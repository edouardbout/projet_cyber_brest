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/>
  <mc:AlternateContent xmlns:mc="http://schemas.openxmlformats.org/markup-compatibility/2006">
    <mc:Choice Requires="x15">
      <x15ac:absPath xmlns:x15ac="http://schemas.microsoft.com/office/spreadsheetml/2010/11/ac" url="C:\Users\cpereirasan\Downloads\"/>
    </mc:Choice>
  </mc:AlternateContent>
  <xr:revisionPtr revIDLastSave="0" documentId="8_{B43F0310-CA15-44C8-9B6B-FC9D1E377E2A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Résumé" sheetId="1" r:id="rId1"/>
    <sheet name="BPU Lot 3" sheetId="2" r:id="rId2"/>
    <sheet name="BPU Lot 3 Location" sheetId="7" r:id="rId3"/>
    <sheet name="Extensions Lot 3" sheetId="3" r:id="rId4"/>
    <sheet name="Extensions Lot 3 Location" sheetId="8" r:id="rId5"/>
    <sheet name="Maintien parc existant Dell" sheetId="4" r:id="rId6"/>
    <sheet name="Prix upsells RAM_CPU_GPU" sheetId="6" state="hidden" r:id="rId7"/>
  </sheets>
  <externalReferences>
    <externalReference r:id="rId8"/>
  </externalReferences>
  <definedNames>
    <definedName name="_xlnm._FilterDatabase" localSheetId="1" hidden="1">'BPU Lot 3'!#REF!</definedName>
    <definedName name="_xlnm._FilterDatabase" localSheetId="2" hidden="1">'BPU Lot 3 Location'!#REF!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4" i="8" l="1"/>
  <c r="K454" i="8"/>
  <c r="J454" i="8"/>
  <c r="I454" i="8"/>
  <c r="L453" i="8"/>
  <c r="K453" i="8"/>
  <c r="J453" i="8"/>
  <c r="I453" i="8"/>
  <c r="L452" i="8"/>
  <c r="K452" i="8"/>
  <c r="J452" i="8"/>
  <c r="I452" i="8"/>
  <c r="L451" i="8"/>
  <c r="K451" i="8"/>
  <c r="J451" i="8"/>
  <c r="I451" i="8"/>
  <c r="L450" i="8"/>
  <c r="K450" i="8"/>
  <c r="J450" i="8"/>
  <c r="I450" i="8"/>
  <c r="L449" i="8"/>
  <c r="K449" i="8"/>
  <c r="J449" i="8"/>
  <c r="I449" i="8"/>
  <c r="L434" i="8"/>
  <c r="K434" i="8"/>
  <c r="J434" i="8"/>
  <c r="I434" i="8"/>
  <c r="L433" i="8"/>
  <c r="K433" i="8"/>
  <c r="J433" i="8"/>
  <c r="I433" i="8"/>
  <c r="L432" i="8"/>
  <c r="K432" i="8"/>
  <c r="J432" i="8"/>
  <c r="I432" i="8"/>
  <c r="L403" i="8"/>
  <c r="K403" i="8"/>
  <c r="J403" i="8"/>
  <c r="I403" i="8"/>
  <c r="L402" i="8"/>
  <c r="K402" i="8"/>
  <c r="J402" i="8"/>
  <c r="I402" i="8"/>
  <c r="L401" i="8"/>
  <c r="K401" i="8"/>
  <c r="J401" i="8"/>
  <c r="I401" i="8"/>
  <c r="L400" i="8"/>
  <c r="K400" i="8"/>
  <c r="J400" i="8"/>
  <c r="I400" i="8"/>
  <c r="L399" i="8"/>
  <c r="K399" i="8"/>
  <c r="J399" i="8"/>
  <c r="I399" i="8"/>
  <c r="L398" i="8"/>
  <c r="K398" i="8"/>
  <c r="J398" i="8"/>
  <c r="I398" i="8"/>
  <c r="L395" i="8"/>
  <c r="K395" i="8"/>
  <c r="J395" i="8"/>
  <c r="I395" i="8"/>
  <c r="L394" i="8"/>
  <c r="K394" i="8"/>
  <c r="J394" i="8"/>
  <c r="I394" i="8"/>
  <c r="L393" i="8"/>
  <c r="K393" i="8"/>
  <c r="J393" i="8"/>
  <c r="I393" i="8"/>
  <c r="L392" i="8"/>
  <c r="K392" i="8"/>
  <c r="J392" i="8"/>
  <c r="I392" i="8"/>
  <c r="L391" i="8"/>
  <c r="K391" i="8"/>
  <c r="J391" i="8"/>
  <c r="I391" i="8"/>
  <c r="L390" i="8"/>
  <c r="K390" i="8"/>
  <c r="J390" i="8"/>
  <c r="I390" i="8"/>
  <c r="L380" i="8"/>
  <c r="K380" i="8"/>
  <c r="J380" i="8"/>
  <c r="I380" i="8"/>
  <c r="L379" i="8"/>
  <c r="K379" i="8"/>
  <c r="J379" i="8"/>
  <c r="I379" i="8"/>
  <c r="L377" i="8"/>
  <c r="K377" i="8"/>
  <c r="J377" i="8"/>
  <c r="I377" i="8"/>
  <c r="L376" i="8"/>
  <c r="K376" i="8"/>
  <c r="J376" i="8"/>
  <c r="I376" i="8"/>
  <c r="L374" i="8"/>
  <c r="K374" i="8"/>
  <c r="J374" i="8"/>
  <c r="I374" i="8"/>
  <c r="L373" i="8"/>
  <c r="K373" i="8"/>
  <c r="J373" i="8"/>
  <c r="I373" i="8"/>
  <c r="L369" i="8"/>
  <c r="K369" i="8"/>
  <c r="J369" i="8"/>
  <c r="I369" i="8"/>
  <c r="L368" i="8"/>
  <c r="K368" i="8"/>
  <c r="J368" i="8"/>
  <c r="I368" i="8"/>
  <c r="L358" i="8"/>
  <c r="K358" i="8"/>
  <c r="J358" i="8"/>
  <c r="I358" i="8"/>
  <c r="L357" i="8"/>
  <c r="K357" i="8"/>
  <c r="J357" i="8"/>
  <c r="I357" i="8"/>
  <c r="L356" i="8"/>
  <c r="K356" i="8"/>
  <c r="J356" i="8"/>
  <c r="I356" i="8"/>
  <c r="L355" i="8"/>
  <c r="K355" i="8"/>
  <c r="J355" i="8"/>
  <c r="I355" i="8"/>
  <c r="L354" i="8"/>
  <c r="K354" i="8"/>
  <c r="J354" i="8"/>
  <c r="I354" i="8"/>
  <c r="L352" i="8"/>
  <c r="K352" i="8"/>
  <c r="J352" i="8"/>
  <c r="I352" i="8"/>
  <c r="L351" i="8"/>
  <c r="K351" i="8"/>
  <c r="J351" i="8"/>
  <c r="I351" i="8"/>
  <c r="L350" i="8"/>
  <c r="K350" i="8"/>
  <c r="J350" i="8"/>
  <c r="I350" i="8"/>
  <c r="L348" i="8"/>
  <c r="K348" i="8"/>
  <c r="J348" i="8"/>
  <c r="I348" i="8"/>
  <c r="L347" i="8"/>
  <c r="K347" i="8"/>
  <c r="J347" i="8"/>
  <c r="I347" i="8"/>
  <c r="L346" i="8"/>
  <c r="K346" i="8"/>
  <c r="J346" i="8"/>
  <c r="I346" i="8"/>
  <c r="L345" i="8"/>
  <c r="K345" i="8"/>
  <c r="J345" i="8"/>
  <c r="I345" i="8"/>
  <c r="L340" i="8"/>
  <c r="K340" i="8"/>
  <c r="J340" i="8"/>
  <c r="I340" i="8"/>
  <c r="L339" i="8"/>
  <c r="K339" i="8"/>
  <c r="J339" i="8"/>
  <c r="I339" i="8"/>
  <c r="L338" i="8"/>
  <c r="K338" i="8"/>
  <c r="J338" i="8"/>
  <c r="I338" i="8"/>
  <c r="L337" i="8"/>
  <c r="K337" i="8"/>
  <c r="J337" i="8"/>
  <c r="I337" i="8"/>
  <c r="L336" i="8"/>
  <c r="K336" i="8"/>
  <c r="J336" i="8"/>
  <c r="I336" i="8"/>
  <c r="L335" i="8"/>
  <c r="K335" i="8"/>
  <c r="J335" i="8"/>
  <c r="I335" i="8"/>
  <c r="L334" i="8"/>
  <c r="K334" i="8"/>
  <c r="J334" i="8"/>
  <c r="I334" i="8"/>
  <c r="L331" i="8"/>
  <c r="K331" i="8"/>
  <c r="J331" i="8"/>
  <c r="I331" i="8"/>
  <c r="L330" i="8"/>
  <c r="K330" i="8"/>
  <c r="J330" i="8"/>
  <c r="I330" i="8"/>
  <c r="L327" i="8"/>
  <c r="K327" i="8"/>
  <c r="J327" i="8"/>
  <c r="I327" i="8"/>
  <c r="L326" i="8"/>
  <c r="K326" i="8"/>
  <c r="J326" i="8"/>
  <c r="I326" i="8"/>
  <c r="L324" i="8"/>
  <c r="K324" i="8"/>
  <c r="J324" i="8"/>
  <c r="I324" i="8"/>
  <c r="L323" i="8"/>
  <c r="K323" i="8"/>
  <c r="J323" i="8"/>
  <c r="I323" i="8"/>
  <c r="L322" i="8"/>
  <c r="K322" i="8"/>
  <c r="J322" i="8"/>
  <c r="I322" i="8"/>
  <c r="L321" i="8"/>
  <c r="K321" i="8"/>
  <c r="J321" i="8"/>
  <c r="I321" i="8"/>
  <c r="L320" i="8"/>
  <c r="K320" i="8"/>
  <c r="J320" i="8"/>
  <c r="I320" i="8"/>
  <c r="L319" i="8"/>
  <c r="K319" i="8"/>
  <c r="J319" i="8"/>
  <c r="I319" i="8"/>
  <c r="L318" i="8"/>
  <c r="K318" i="8"/>
  <c r="J318" i="8"/>
  <c r="I318" i="8"/>
  <c r="L317" i="8"/>
  <c r="K317" i="8"/>
  <c r="J317" i="8"/>
  <c r="I317" i="8"/>
  <c r="L316" i="8"/>
  <c r="K316" i="8"/>
  <c r="J316" i="8"/>
  <c r="I316" i="8"/>
  <c r="L314" i="8"/>
  <c r="K314" i="8"/>
  <c r="J314" i="8"/>
  <c r="I314" i="8"/>
  <c r="L313" i="8"/>
  <c r="K313" i="8"/>
  <c r="J313" i="8"/>
  <c r="I313" i="8"/>
  <c r="L312" i="8"/>
  <c r="K312" i="8"/>
  <c r="J312" i="8"/>
  <c r="I312" i="8"/>
  <c r="L311" i="8"/>
  <c r="K311" i="8"/>
  <c r="J311" i="8"/>
  <c r="I311" i="8"/>
  <c r="L310" i="8"/>
  <c r="K310" i="8"/>
  <c r="J310" i="8"/>
  <c r="I310" i="8"/>
  <c r="L309" i="8"/>
  <c r="K309" i="8"/>
  <c r="J309" i="8"/>
  <c r="I309" i="8"/>
  <c r="L308" i="8"/>
  <c r="K308" i="8"/>
  <c r="J308" i="8"/>
  <c r="I308" i="8"/>
  <c r="L307" i="8"/>
  <c r="K307" i="8"/>
  <c r="J307" i="8"/>
  <c r="I307" i="8"/>
  <c r="L305" i="8"/>
  <c r="K305" i="8"/>
  <c r="J305" i="8"/>
  <c r="I305" i="8"/>
  <c r="L304" i="8"/>
  <c r="K304" i="8"/>
  <c r="J304" i="8"/>
  <c r="I304" i="8"/>
  <c r="L300" i="8"/>
  <c r="K300" i="8"/>
  <c r="J300" i="8"/>
  <c r="I300" i="8"/>
  <c r="L299" i="8"/>
  <c r="K299" i="8"/>
  <c r="J299" i="8"/>
  <c r="I299" i="8"/>
  <c r="L298" i="8"/>
  <c r="K298" i="8"/>
  <c r="J298" i="8"/>
  <c r="I298" i="8"/>
  <c r="L297" i="8"/>
  <c r="K297" i="8"/>
  <c r="J297" i="8"/>
  <c r="I297" i="8"/>
  <c r="L294" i="8"/>
  <c r="K294" i="8"/>
  <c r="J294" i="8"/>
  <c r="I294" i="8"/>
  <c r="L293" i="8"/>
  <c r="K293" i="8"/>
  <c r="J293" i="8"/>
  <c r="I293" i="8"/>
  <c r="L292" i="8"/>
  <c r="K292" i="8"/>
  <c r="J292" i="8"/>
  <c r="I292" i="8"/>
  <c r="L291" i="8"/>
  <c r="K291" i="8"/>
  <c r="J291" i="8"/>
  <c r="I291" i="8"/>
  <c r="L289" i="8"/>
  <c r="K289" i="8"/>
  <c r="J289" i="8"/>
  <c r="I289" i="8"/>
  <c r="L288" i="8"/>
  <c r="K288" i="8"/>
  <c r="J288" i="8"/>
  <c r="I288" i="8"/>
  <c r="L287" i="8"/>
  <c r="K287" i="8"/>
  <c r="J287" i="8"/>
  <c r="I287" i="8"/>
  <c r="L286" i="8"/>
  <c r="K286" i="8"/>
  <c r="J286" i="8"/>
  <c r="I286" i="8"/>
  <c r="L285" i="8"/>
  <c r="K285" i="8"/>
  <c r="J285" i="8"/>
  <c r="I285" i="8"/>
  <c r="L284" i="8"/>
  <c r="K284" i="8"/>
  <c r="J284" i="8"/>
  <c r="I284" i="8"/>
  <c r="L283" i="8"/>
  <c r="K283" i="8"/>
  <c r="J283" i="8"/>
  <c r="I283" i="8"/>
  <c r="L282" i="8"/>
  <c r="K282" i="8"/>
  <c r="J282" i="8"/>
  <c r="I282" i="8"/>
  <c r="L281" i="8"/>
  <c r="K281" i="8"/>
  <c r="J281" i="8"/>
  <c r="I281" i="8"/>
  <c r="L280" i="8"/>
  <c r="K280" i="8"/>
  <c r="J280" i="8"/>
  <c r="I280" i="8"/>
  <c r="L279" i="8"/>
  <c r="K279" i="8"/>
  <c r="J279" i="8"/>
  <c r="I279" i="8"/>
  <c r="L278" i="8"/>
  <c r="K278" i="8"/>
  <c r="J278" i="8"/>
  <c r="I278" i="8"/>
  <c r="L276" i="8"/>
  <c r="K276" i="8"/>
  <c r="J276" i="8"/>
  <c r="I276" i="8"/>
  <c r="L275" i="8"/>
  <c r="K275" i="8"/>
  <c r="J275" i="8"/>
  <c r="I275" i="8"/>
  <c r="L274" i="8"/>
  <c r="K274" i="8"/>
  <c r="J274" i="8"/>
  <c r="I274" i="8"/>
  <c r="L270" i="8"/>
  <c r="K270" i="8"/>
  <c r="J270" i="8"/>
  <c r="I270" i="8"/>
  <c r="L269" i="8"/>
  <c r="K269" i="8"/>
  <c r="J269" i="8"/>
  <c r="I269" i="8"/>
  <c r="L268" i="8"/>
  <c r="K268" i="8"/>
  <c r="J268" i="8"/>
  <c r="I268" i="8"/>
  <c r="L266" i="8"/>
  <c r="K266" i="8"/>
  <c r="J266" i="8"/>
  <c r="I266" i="8"/>
  <c r="L265" i="8"/>
  <c r="K265" i="8"/>
  <c r="J265" i="8"/>
  <c r="I265" i="8"/>
  <c r="L264" i="8"/>
  <c r="K264" i="8"/>
  <c r="J264" i="8"/>
  <c r="I264" i="8"/>
  <c r="L258" i="8"/>
  <c r="K258" i="8"/>
  <c r="J258" i="8"/>
  <c r="I258" i="8"/>
  <c r="L256" i="8"/>
  <c r="K256" i="8"/>
  <c r="J256" i="8"/>
  <c r="I256" i="8"/>
  <c r="L255" i="8"/>
  <c r="K255" i="8"/>
  <c r="J255" i="8"/>
  <c r="I255" i="8"/>
  <c r="L254" i="8"/>
  <c r="K254" i="8"/>
  <c r="J254" i="8"/>
  <c r="I254" i="8"/>
  <c r="L253" i="8"/>
  <c r="K253" i="8"/>
  <c r="J253" i="8"/>
  <c r="I253" i="8"/>
  <c r="L252" i="8"/>
  <c r="K252" i="8"/>
  <c r="J252" i="8"/>
  <c r="I252" i="8"/>
  <c r="L251" i="8"/>
  <c r="K251" i="8"/>
  <c r="J251" i="8"/>
  <c r="I251" i="8"/>
  <c r="L250" i="8"/>
  <c r="K250" i="8"/>
  <c r="J250" i="8"/>
  <c r="I250" i="8"/>
  <c r="L249" i="8"/>
  <c r="K249" i="8"/>
  <c r="J249" i="8"/>
  <c r="I249" i="8"/>
  <c r="L248" i="8"/>
  <c r="K248" i="8"/>
  <c r="J248" i="8"/>
  <c r="I248" i="8"/>
  <c r="L247" i="8"/>
  <c r="K247" i="8"/>
  <c r="J247" i="8"/>
  <c r="I247" i="8"/>
  <c r="L246" i="8"/>
  <c r="K246" i="8"/>
  <c r="J246" i="8"/>
  <c r="I246" i="8"/>
  <c r="L245" i="8"/>
  <c r="K245" i="8"/>
  <c r="J245" i="8"/>
  <c r="I245" i="8"/>
  <c r="L244" i="8"/>
  <c r="K244" i="8"/>
  <c r="J244" i="8"/>
  <c r="I244" i="8"/>
  <c r="L243" i="8"/>
  <c r="K243" i="8"/>
  <c r="J243" i="8"/>
  <c r="I243" i="8"/>
  <c r="L242" i="8"/>
  <c r="K242" i="8"/>
  <c r="J242" i="8"/>
  <c r="I242" i="8"/>
  <c r="L241" i="8"/>
  <c r="K241" i="8"/>
  <c r="J241" i="8"/>
  <c r="I241" i="8"/>
  <c r="L236" i="8"/>
  <c r="K236" i="8"/>
  <c r="J236" i="8"/>
  <c r="I236" i="8"/>
  <c r="L235" i="8"/>
  <c r="K235" i="8"/>
  <c r="J235" i="8"/>
  <c r="I235" i="8"/>
  <c r="L233" i="8"/>
  <c r="K233" i="8"/>
  <c r="J233" i="8"/>
  <c r="I233" i="8"/>
  <c r="L232" i="8"/>
  <c r="K232" i="8"/>
  <c r="J232" i="8"/>
  <c r="I232" i="8"/>
  <c r="L231" i="8"/>
  <c r="K231" i="8"/>
  <c r="J231" i="8"/>
  <c r="I231" i="8"/>
  <c r="L229" i="8"/>
  <c r="K229" i="8"/>
  <c r="J229" i="8"/>
  <c r="I229" i="8"/>
  <c r="L228" i="8"/>
  <c r="K228" i="8"/>
  <c r="J228" i="8"/>
  <c r="I228" i="8"/>
  <c r="L224" i="8"/>
  <c r="K224" i="8"/>
  <c r="J224" i="8"/>
  <c r="I224" i="8"/>
  <c r="L223" i="8"/>
  <c r="K223" i="8"/>
  <c r="J223" i="8"/>
  <c r="I223" i="8"/>
  <c r="L222" i="8"/>
  <c r="K222" i="8"/>
  <c r="J222" i="8"/>
  <c r="I222" i="8"/>
  <c r="L221" i="8"/>
  <c r="K221" i="8"/>
  <c r="J221" i="8"/>
  <c r="I221" i="8"/>
  <c r="L200" i="8"/>
  <c r="K200" i="8"/>
  <c r="J200" i="8"/>
  <c r="I200" i="8"/>
  <c r="L199" i="8"/>
  <c r="K199" i="8"/>
  <c r="J199" i="8"/>
  <c r="I199" i="8"/>
  <c r="L198" i="8"/>
  <c r="K198" i="8"/>
  <c r="J198" i="8"/>
  <c r="I198" i="8"/>
  <c r="L197" i="8"/>
  <c r="K197" i="8"/>
  <c r="J197" i="8"/>
  <c r="I197" i="8"/>
  <c r="L195" i="8"/>
  <c r="K195" i="8"/>
  <c r="J195" i="8"/>
  <c r="I195" i="8"/>
  <c r="L194" i="8"/>
  <c r="K194" i="8"/>
  <c r="J194" i="8"/>
  <c r="I194" i="8"/>
  <c r="L193" i="8"/>
  <c r="K193" i="8"/>
  <c r="J193" i="8"/>
  <c r="I193" i="8"/>
  <c r="L192" i="8"/>
  <c r="K192" i="8"/>
  <c r="J192" i="8"/>
  <c r="I192" i="8"/>
  <c r="L190" i="8"/>
  <c r="K190" i="8"/>
  <c r="J190" i="8"/>
  <c r="I190" i="8"/>
  <c r="L189" i="8"/>
  <c r="K189" i="8"/>
  <c r="J189" i="8"/>
  <c r="I189" i="8"/>
  <c r="L188" i="8"/>
  <c r="K188" i="8"/>
  <c r="J188" i="8"/>
  <c r="I188" i="8"/>
  <c r="L187" i="8"/>
  <c r="K187" i="8"/>
  <c r="J187" i="8"/>
  <c r="I187" i="8"/>
  <c r="L186" i="8"/>
  <c r="K186" i="8"/>
  <c r="J186" i="8"/>
  <c r="I186" i="8"/>
  <c r="L185" i="8"/>
  <c r="K185" i="8"/>
  <c r="J185" i="8"/>
  <c r="I185" i="8"/>
  <c r="L183" i="8"/>
  <c r="K183" i="8"/>
  <c r="J183" i="8"/>
  <c r="I183" i="8"/>
  <c r="L182" i="8"/>
  <c r="K182" i="8"/>
  <c r="J182" i="8"/>
  <c r="I182" i="8"/>
  <c r="L181" i="8"/>
  <c r="K181" i="8"/>
  <c r="J181" i="8"/>
  <c r="I181" i="8"/>
  <c r="L180" i="8"/>
  <c r="K180" i="8"/>
  <c r="J180" i="8"/>
  <c r="I180" i="8"/>
  <c r="L179" i="8"/>
  <c r="K179" i="8"/>
  <c r="J179" i="8"/>
  <c r="I179" i="8"/>
  <c r="L178" i="8"/>
  <c r="K178" i="8"/>
  <c r="J178" i="8"/>
  <c r="I178" i="8"/>
  <c r="L177" i="8"/>
  <c r="K177" i="8"/>
  <c r="J177" i="8"/>
  <c r="I177" i="8"/>
  <c r="L176" i="8"/>
  <c r="K176" i="8"/>
  <c r="J176" i="8"/>
  <c r="I176" i="8"/>
  <c r="L175" i="8"/>
  <c r="K175" i="8"/>
  <c r="J175" i="8"/>
  <c r="I175" i="8"/>
  <c r="L174" i="8"/>
  <c r="K174" i="8"/>
  <c r="J174" i="8"/>
  <c r="I174" i="8"/>
  <c r="L173" i="8"/>
  <c r="K173" i="8"/>
  <c r="J173" i="8"/>
  <c r="I173" i="8"/>
  <c r="L172" i="8"/>
  <c r="K172" i="8"/>
  <c r="J172" i="8"/>
  <c r="I172" i="8"/>
  <c r="L171" i="8"/>
  <c r="K171" i="8"/>
  <c r="J171" i="8"/>
  <c r="I171" i="8"/>
  <c r="L170" i="8"/>
  <c r="K170" i="8"/>
  <c r="J170" i="8"/>
  <c r="I170" i="8"/>
  <c r="L168" i="8"/>
  <c r="K168" i="8"/>
  <c r="J168" i="8"/>
  <c r="I168" i="8"/>
  <c r="L167" i="8"/>
  <c r="K167" i="8"/>
  <c r="J167" i="8"/>
  <c r="I167" i="8"/>
  <c r="L166" i="8"/>
  <c r="K166" i="8"/>
  <c r="J166" i="8"/>
  <c r="I166" i="8"/>
  <c r="L165" i="8"/>
  <c r="K165" i="8"/>
  <c r="J165" i="8"/>
  <c r="I165" i="8"/>
  <c r="L164" i="8"/>
  <c r="K164" i="8"/>
  <c r="J164" i="8"/>
  <c r="I164" i="8"/>
  <c r="L163" i="8"/>
  <c r="K163" i="8"/>
  <c r="J163" i="8"/>
  <c r="I163" i="8"/>
  <c r="L162" i="8"/>
  <c r="K162" i="8"/>
  <c r="J162" i="8"/>
  <c r="I162" i="8"/>
  <c r="L161" i="8"/>
  <c r="K161" i="8"/>
  <c r="J161" i="8"/>
  <c r="I161" i="8"/>
  <c r="L160" i="8"/>
  <c r="K160" i="8"/>
  <c r="J160" i="8"/>
  <c r="I160" i="8"/>
  <c r="L159" i="8"/>
  <c r="K159" i="8"/>
  <c r="J159" i="8"/>
  <c r="I159" i="8"/>
  <c r="L158" i="8"/>
  <c r="K158" i="8"/>
  <c r="J158" i="8"/>
  <c r="I158" i="8"/>
  <c r="L157" i="8"/>
  <c r="K157" i="8"/>
  <c r="J157" i="8"/>
  <c r="I157" i="8"/>
  <c r="L153" i="8"/>
  <c r="K153" i="8"/>
  <c r="J153" i="8"/>
  <c r="I153" i="8"/>
  <c r="L152" i="8"/>
  <c r="K152" i="8"/>
  <c r="J152" i="8"/>
  <c r="I152" i="8"/>
  <c r="L151" i="8"/>
  <c r="K151" i="8"/>
  <c r="J151" i="8"/>
  <c r="I151" i="8"/>
  <c r="L150" i="8"/>
  <c r="K150" i="8"/>
  <c r="J150" i="8"/>
  <c r="I150" i="8"/>
  <c r="L149" i="8"/>
  <c r="K149" i="8"/>
  <c r="J149" i="8"/>
  <c r="I149" i="8"/>
  <c r="L146" i="8"/>
  <c r="K146" i="8"/>
  <c r="J146" i="8"/>
  <c r="I146" i="8"/>
  <c r="L144" i="8"/>
  <c r="K144" i="8"/>
  <c r="J144" i="8"/>
  <c r="I144" i="8"/>
  <c r="L143" i="8"/>
  <c r="K143" i="8"/>
  <c r="J143" i="8"/>
  <c r="I143" i="8"/>
  <c r="L139" i="8"/>
  <c r="K139" i="8"/>
  <c r="J139" i="8"/>
  <c r="I139" i="8"/>
  <c r="L138" i="8"/>
  <c r="K138" i="8"/>
  <c r="J138" i="8"/>
  <c r="I138" i="8"/>
  <c r="L137" i="8"/>
  <c r="K137" i="8"/>
  <c r="J137" i="8"/>
  <c r="I137" i="8"/>
  <c r="L136" i="8"/>
  <c r="K136" i="8"/>
  <c r="J136" i="8"/>
  <c r="I136" i="8"/>
  <c r="L135" i="8"/>
  <c r="K135" i="8"/>
  <c r="J135" i="8"/>
  <c r="I135" i="8"/>
  <c r="L134" i="8"/>
  <c r="K134" i="8"/>
  <c r="J134" i="8"/>
  <c r="I134" i="8"/>
  <c r="L133" i="8"/>
  <c r="K133" i="8"/>
  <c r="J133" i="8"/>
  <c r="I133" i="8"/>
  <c r="L131" i="8"/>
  <c r="K131" i="8"/>
  <c r="J131" i="8"/>
  <c r="I131" i="8"/>
  <c r="L130" i="8"/>
  <c r="K130" i="8"/>
  <c r="J130" i="8"/>
  <c r="I130" i="8"/>
  <c r="L129" i="8"/>
  <c r="K129" i="8"/>
  <c r="J129" i="8"/>
  <c r="I129" i="8"/>
  <c r="L128" i="8"/>
  <c r="K128" i="8"/>
  <c r="J128" i="8"/>
  <c r="I128" i="8"/>
  <c r="L127" i="8"/>
  <c r="K127" i="8"/>
  <c r="J127" i="8"/>
  <c r="I127" i="8"/>
  <c r="L126" i="8"/>
  <c r="K126" i="8"/>
  <c r="J126" i="8"/>
  <c r="I126" i="8"/>
  <c r="L125" i="8"/>
  <c r="K125" i="8"/>
  <c r="J125" i="8"/>
  <c r="I125" i="8"/>
  <c r="L124" i="8"/>
  <c r="K124" i="8"/>
  <c r="J124" i="8"/>
  <c r="I124" i="8"/>
  <c r="L123" i="8"/>
  <c r="K123" i="8"/>
  <c r="J123" i="8"/>
  <c r="I123" i="8"/>
  <c r="L121" i="8"/>
  <c r="K121" i="8"/>
  <c r="J121" i="8"/>
  <c r="I121" i="8"/>
  <c r="L120" i="8"/>
  <c r="K120" i="8"/>
  <c r="J120" i="8"/>
  <c r="I120" i="8"/>
  <c r="L119" i="8"/>
  <c r="K119" i="8"/>
  <c r="J119" i="8"/>
  <c r="I119" i="8"/>
  <c r="L118" i="8"/>
  <c r="K118" i="8"/>
  <c r="J118" i="8"/>
  <c r="I118" i="8"/>
  <c r="L117" i="8"/>
  <c r="K117" i="8"/>
  <c r="J117" i="8"/>
  <c r="I117" i="8"/>
  <c r="L115" i="8"/>
  <c r="K115" i="8"/>
  <c r="J115" i="8"/>
  <c r="I115" i="8"/>
  <c r="L114" i="8"/>
  <c r="K114" i="8"/>
  <c r="J114" i="8"/>
  <c r="I114" i="8"/>
  <c r="L113" i="8"/>
  <c r="K113" i="8"/>
  <c r="J113" i="8"/>
  <c r="I113" i="8"/>
  <c r="L109" i="8"/>
  <c r="K109" i="8"/>
  <c r="J109" i="8"/>
  <c r="I109" i="8"/>
  <c r="L108" i="8"/>
  <c r="K108" i="8"/>
  <c r="J108" i="8"/>
  <c r="I108" i="8"/>
  <c r="L107" i="8"/>
  <c r="K107" i="8"/>
  <c r="J107" i="8"/>
  <c r="I107" i="8"/>
  <c r="L106" i="8"/>
  <c r="K106" i="8"/>
  <c r="J106" i="8"/>
  <c r="I106" i="8"/>
  <c r="L105" i="8"/>
  <c r="K105" i="8"/>
  <c r="J105" i="8"/>
  <c r="I105" i="8"/>
  <c r="L104" i="8"/>
  <c r="K104" i="8"/>
  <c r="J104" i="8"/>
  <c r="I104" i="8"/>
  <c r="L103" i="8"/>
  <c r="K103" i="8"/>
  <c r="J103" i="8"/>
  <c r="I103" i="8"/>
  <c r="L101" i="8"/>
  <c r="K101" i="8"/>
  <c r="J101" i="8"/>
  <c r="I101" i="8"/>
  <c r="L100" i="8"/>
  <c r="K100" i="8"/>
  <c r="J100" i="8"/>
  <c r="I100" i="8"/>
  <c r="L99" i="8"/>
  <c r="K99" i="8"/>
  <c r="J99" i="8"/>
  <c r="I99" i="8"/>
  <c r="L98" i="8"/>
  <c r="K98" i="8"/>
  <c r="J98" i="8"/>
  <c r="I98" i="8"/>
  <c r="L97" i="8"/>
  <c r="K97" i="8"/>
  <c r="J97" i="8"/>
  <c r="I97" i="8"/>
  <c r="L96" i="8"/>
  <c r="K96" i="8"/>
  <c r="J96" i="8"/>
  <c r="I96" i="8"/>
  <c r="L95" i="8"/>
  <c r="K95" i="8"/>
  <c r="J95" i="8"/>
  <c r="I95" i="8"/>
  <c r="L91" i="8"/>
  <c r="K91" i="8"/>
  <c r="J91" i="8"/>
  <c r="I91" i="8"/>
  <c r="L89" i="8"/>
  <c r="K89" i="8"/>
  <c r="J89" i="8"/>
  <c r="I89" i="8"/>
  <c r="L87" i="8"/>
  <c r="K87" i="8"/>
  <c r="J87" i="8"/>
  <c r="I87" i="8"/>
  <c r="L86" i="8"/>
  <c r="K86" i="8"/>
  <c r="J86" i="8"/>
  <c r="I86" i="8"/>
  <c r="L84" i="8"/>
  <c r="K84" i="8"/>
  <c r="J84" i="8"/>
  <c r="I84" i="8"/>
  <c r="L82" i="8"/>
  <c r="K82" i="8"/>
  <c r="J82" i="8"/>
  <c r="I82" i="8"/>
  <c r="L81" i="8"/>
  <c r="K81" i="8"/>
  <c r="J81" i="8"/>
  <c r="I81" i="8"/>
  <c r="L80" i="8"/>
  <c r="K80" i="8"/>
  <c r="J80" i="8"/>
  <c r="I80" i="8"/>
  <c r="L79" i="8"/>
  <c r="K79" i="8"/>
  <c r="J79" i="8"/>
  <c r="I79" i="8"/>
  <c r="L78" i="8"/>
  <c r="K78" i="8"/>
  <c r="J78" i="8"/>
  <c r="I78" i="8"/>
  <c r="L77" i="8"/>
  <c r="K77" i="8"/>
  <c r="J77" i="8"/>
  <c r="I77" i="8"/>
  <c r="L75" i="8"/>
  <c r="K75" i="8"/>
  <c r="J75" i="8"/>
  <c r="I75" i="8"/>
  <c r="L74" i="8"/>
  <c r="K74" i="8"/>
  <c r="J74" i="8"/>
  <c r="I74" i="8"/>
  <c r="L73" i="8"/>
  <c r="K73" i="8"/>
  <c r="J73" i="8"/>
  <c r="I73" i="8"/>
  <c r="L72" i="8"/>
  <c r="K72" i="8"/>
  <c r="J72" i="8"/>
  <c r="I72" i="8"/>
  <c r="L70" i="8"/>
  <c r="K70" i="8"/>
  <c r="J70" i="8"/>
  <c r="I70" i="8"/>
  <c r="L69" i="8"/>
  <c r="K69" i="8"/>
  <c r="J69" i="8"/>
  <c r="I69" i="8"/>
  <c r="L68" i="8"/>
  <c r="K68" i="8"/>
  <c r="J68" i="8"/>
  <c r="I68" i="8"/>
  <c r="L67" i="8"/>
  <c r="K67" i="8"/>
  <c r="J67" i="8"/>
  <c r="I67" i="8"/>
  <c r="L66" i="8"/>
  <c r="K66" i="8"/>
  <c r="J66" i="8"/>
  <c r="I66" i="8"/>
  <c r="L65" i="8"/>
  <c r="K65" i="8"/>
  <c r="J65" i="8"/>
  <c r="I65" i="8"/>
  <c r="L61" i="8"/>
  <c r="K61" i="8"/>
  <c r="J61" i="8"/>
  <c r="I61" i="8"/>
  <c r="L59" i="8"/>
  <c r="K59" i="8"/>
  <c r="J59" i="8"/>
  <c r="I59" i="8"/>
  <c r="L58" i="8"/>
  <c r="K58" i="8"/>
  <c r="J58" i="8"/>
  <c r="I58" i="8"/>
  <c r="L56" i="8"/>
  <c r="K56" i="8"/>
  <c r="J56" i="8"/>
  <c r="I56" i="8"/>
  <c r="L55" i="8"/>
  <c r="K55" i="8"/>
  <c r="J55" i="8"/>
  <c r="I55" i="8"/>
  <c r="L54" i="8"/>
  <c r="K54" i="8"/>
  <c r="J54" i="8"/>
  <c r="I54" i="8"/>
  <c r="L53" i="8"/>
  <c r="K53" i="8"/>
  <c r="J53" i="8"/>
  <c r="I53" i="8"/>
  <c r="L52" i="8"/>
  <c r="K52" i="8"/>
  <c r="J52" i="8"/>
  <c r="I52" i="8"/>
  <c r="L51" i="8"/>
  <c r="K51" i="8"/>
  <c r="J51" i="8"/>
  <c r="I51" i="8"/>
  <c r="L49" i="8"/>
  <c r="K49" i="8"/>
  <c r="J49" i="8"/>
  <c r="I49" i="8"/>
  <c r="L48" i="8"/>
  <c r="K48" i="8"/>
  <c r="J48" i="8"/>
  <c r="I48" i="8"/>
  <c r="L46" i="8"/>
  <c r="K46" i="8"/>
  <c r="J46" i="8"/>
  <c r="I46" i="8"/>
  <c r="L45" i="8"/>
  <c r="K45" i="8"/>
  <c r="J45" i="8"/>
  <c r="I45" i="8"/>
  <c r="L44" i="8"/>
  <c r="K44" i="8"/>
  <c r="J44" i="8"/>
  <c r="I44" i="8"/>
  <c r="L43" i="8"/>
  <c r="K43" i="8"/>
  <c r="J43" i="8"/>
  <c r="I43" i="8"/>
  <c r="L42" i="8"/>
  <c r="K42" i="8"/>
  <c r="J42" i="8"/>
  <c r="I42" i="8"/>
  <c r="L41" i="8"/>
  <c r="K41" i="8"/>
  <c r="J41" i="8"/>
  <c r="I41" i="8"/>
  <c r="L37" i="8"/>
  <c r="K37" i="8"/>
  <c r="J37" i="8"/>
  <c r="I37" i="8"/>
  <c r="L35" i="8"/>
  <c r="K35" i="8"/>
  <c r="J35" i="8"/>
  <c r="I35" i="8"/>
  <c r="L34" i="8"/>
  <c r="K34" i="8"/>
  <c r="J34" i="8"/>
  <c r="I34" i="8"/>
  <c r="L33" i="8"/>
  <c r="K33" i="8"/>
  <c r="J33" i="8"/>
  <c r="I33" i="8"/>
  <c r="L32" i="8"/>
  <c r="K32" i="8"/>
  <c r="J32" i="8"/>
  <c r="I32" i="8"/>
  <c r="L31" i="8"/>
  <c r="K31" i="8"/>
  <c r="J31" i="8"/>
  <c r="I31" i="8"/>
  <c r="L29" i="8"/>
  <c r="K29" i="8"/>
  <c r="J29" i="8"/>
  <c r="I29" i="8"/>
  <c r="L28" i="8"/>
  <c r="K28" i="8"/>
  <c r="J28" i="8"/>
  <c r="I28" i="8"/>
  <c r="L24" i="8"/>
  <c r="K24" i="8"/>
  <c r="J24" i="8"/>
  <c r="I24" i="8"/>
  <c r="L23" i="8"/>
  <c r="K23" i="8"/>
  <c r="J23" i="8"/>
  <c r="I23" i="8"/>
  <c r="L22" i="8"/>
  <c r="K22" i="8"/>
  <c r="J22" i="8"/>
  <c r="I22" i="8"/>
  <c r="L19" i="8"/>
  <c r="K19" i="8"/>
  <c r="J19" i="8"/>
  <c r="I19" i="8"/>
  <c r="L18" i="8"/>
  <c r="K18" i="8"/>
  <c r="J18" i="8"/>
  <c r="I18" i="8"/>
  <c r="L17" i="8"/>
  <c r="K17" i="8"/>
  <c r="J17" i="8"/>
  <c r="I17" i="8"/>
  <c r="L16" i="8"/>
  <c r="K16" i="8"/>
  <c r="J16" i="8"/>
  <c r="I16" i="8"/>
  <c r="L15" i="8"/>
  <c r="K15" i="8"/>
  <c r="J15" i="8"/>
  <c r="I15" i="8"/>
  <c r="L14" i="8"/>
  <c r="K14" i="8"/>
  <c r="J14" i="8"/>
  <c r="I14" i="8"/>
  <c r="L13" i="8"/>
  <c r="K13" i="8"/>
  <c r="J13" i="8"/>
  <c r="I13" i="8"/>
  <c r="L12" i="8"/>
  <c r="K12" i="8"/>
  <c r="J12" i="8"/>
  <c r="I12" i="8"/>
  <c r="L11" i="8"/>
  <c r="K11" i="8"/>
  <c r="J11" i="8"/>
  <c r="I11" i="8"/>
  <c r="L9" i="8"/>
  <c r="K9" i="8"/>
  <c r="J9" i="8"/>
  <c r="I9" i="8"/>
  <c r="L8" i="8"/>
  <c r="K8" i="8"/>
  <c r="J8" i="8"/>
  <c r="I8" i="8"/>
  <c r="L858" i="7" l="1"/>
  <c r="K858" i="7"/>
  <c r="J858" i="7"/>
  <c r="I858" i="7"/>
  <c r="L857" i="7"/>
  <c r="K857" i="7"/>
  <c r="J857" i="7"/>
  <c r="I857" i="7"/>
  <c r="L856" i="7"/>
  <c r="K856" i="7"/>
  <c r="J856" i="7"/>
  <c r="I856" i="7"/>
  <c r="L853" i="7"/>
  <c r="K853" i="7"/>
  <c r="J853" i="7"/>
  <c r="I853" i="7"/>
  <c r="L852" i="7"/>
  <c r="K852" i="7"/>
  <c r="J852" i="7"/>
  <c r="I852" i="7"/>
  <c r="L849" i="7"/>
  <c r="K849" i="7"/>
  <c r="J849" i="7"/>
  <c r="I849" i="7"/>
  <c r="L846" i="7"/>
  <c r="K846" i="7"/>
  <c r="J846" i="7"/>
  <c r="I846" i="7"/>
  <c r="L843" i="7"/>
  <c r="K843" i="7"/>
  <c r="J843" i="7"/>
  <c r="I843" i="7"/>
  <c r="L842" i="7"/>
  <c r="K842" i="7"/>
  <c r="J842" i="7"/>
  <c r="I842" i="7"/>
  <c r="L841" i="7"/>
  <c r="K841" i="7"/>
  <c r="J841" i="7"/>
  <c r="I841" i="7"/>
  <c r="L840" i="7"/>
  <c r="K840" i="7"/>
  <c r="J840" i="7"/>
  <c r="I840" i="7"/>
  <c r="L837" i="7"/>
  <c r="K837" i="7"/>
  <c r="J837" i="7"/>
  <c r="I837" i="7"/>
  <c r="L836" i="7"/>
  <c r="K836" i="7"/>
  <c r="J836" i="7"/>
  <c r="I836" i="7"/>
  <c r="L835" i="7"/>
  <c r="K835" i="7"/>
  <c r="J835" i="7"/>
  <c r="I835" i="7"/>
  <c r="L832" i="7"/>
  <c r="K832" i="7"/>
  <c r="J832" i="7"/>
  <c r="I832" i="7"/>
  <c r="L829" i="7"/>
  <c r="K829" i="7"/>
  <c r="J829" i="7"/>
  <c r="I829" i="7"/>
  <c r="L828" i="7"/>
  <c r="K828" i="7"/>
  <c r="J828" i="7"/>
  <c r="I828" i="7"/>
  <c r="L827" i="7"/>
  <c r="K827" i="7"/>
  <c r="J827" i="7"/>
  <c r="I827" i="7"/>
  <c r="L825" i="7"/>
  <c r="K825" i="7"/>
  <c r="J825" i="7"/>
  <c r="I825" i="7"/>
  <c r="L824" i="7"/>
  <c r="K824" i="7"/>
  <c r="J824" i="7"/>
  <c r="I824" i="7"/>
  <c r="L823" i="7"/>
  <c r="K823" i="7"/>
  <c r="J823" i="7"/>
  <c r="I823" i="7"/>
  <c r="L822" i="7"/>
  <c r="K822" i="7"/>
  <c r="J822" i="7"/>
  <c r="I822" i="7"/>
  <c r="L821" i="7"/>
  <c r="K821" i="7"/>
  <c r="J821" i="7"/>
  <c r="I821" i="7"/>
  <c r="L820" i="7"/>
  <c r="K820" i="7"/>
  <c r="J820" i="7"/>
  <c r="I820" i="7"/>
  <c r="L819" i="7"/>
  <c r="K819" i="7"/>
  <c r="J819" i="7"/>
  <c r="I819" i="7"/>
  <c r="L818" i="7"/>
  <c r="K818" i="7"/>
  <c r="J818" i="7"/>
  <c r="I818" i="7"/>
  <c r="L814" i="7"/>
  <c r="K814" i="7"/>
  <c r="J814" i="7"/>
  <c r="I814" i="7"/>
  <c r="L813" i="7"/>
  <c r="K813" i="7"/>
  <c r="J813" i="7"/>
  <c r="I813" i="7"/>
  <c r="L812" i="7"/>
  <c r="K812" i="7"/>
  <c r="J812" i="7"/>
  <c r="I812" i="7"/>
  <c r="L811" i="7"/>
  <c r="K811" i="7"/>
  <c r="J811" i="7"/>
  <c r="I811" i="7"/>
  <c r="L808" i="7"/>
  <c r="K808" i="7"/>
  <c r="J808" i="7"/>
  <c r="I808" i="7"/>
  <c r="L807" i="7"/>
  <c r="K807" i="7"/>
  <c r="J807" i="7"/>
  <c r="I807" i="7"/>
  <c r="L804" i="7"/>
  <c r="K804" i="7"/>
  <c r="J804" i="7"/>
  <c r="I804" i="7"/>
  <c r="L803" i="7"/>
  <c r="K803" i="7"/>
  <c r="J803" i="7"/>
  <c r="I803" i="7"/>
  <c r="L802" i="7"/>
  <c r="K802" i="7"/>
  <c r="J802" i="7"/>
  <c r="I802" i="7"/>
  <c r="L799" i="7"/>
  <c r="K799" i="7"/>
  <c r="J799" i="7"/>
  <c r="I799" i="7"/>
  <c r="L798" i="7"/>
  <c r="K798" i="7"/>
  <c r="J798" i="7"/>
  <c r="I798" i="7"/>
  <c r="L797" i="7"/>
  <c r="K797" i="7"/>
  <c r="J797" i="7"/>
  <c r="I797" i="7"/>
  <c r="L794" i="7"/>
  <c r="K794" i="7"/>
  <c r="J794" i="7"/>
  <c r="I794" i="7"/>
  <c r="L793" i="7"/>
  <c r="K793" i="7"/>
  <c r="J793" i="7"/>
  <c r="I793" i="7"/>
  <c r="L792" i="7"/>
  <c r="K792" i="7"/>
  <c r="J792" i="7"/>
  <c r="I792" i="7"/>
  <c r="L790" i="7"/>
  <c r="K790" i="7"/>
  <c r="J790" i="7"/>
  <c r="I790" i="7"/>
  <c r="L789" i="7"/>
  <c r="K789" i="7"/>
  <c r="J789" i="7"/>
  <c r="I789" i="7"/>
  <c r="L788" i="7"/>
  <c r="K788" i="7"/>
  <c r="J788" i="7"/>
  <c r="I788" i="7"/>
  <c r="L786" i="7"/>
  <c r="K786" i="7"/>
  <c r="J786" i="7"/>
  <c r="I786" i="7"/>
  <c r="L785" i="7"/>
  <c r="K785" i="7"/>
  <c r="J785" i="7"/>
  <c r="I785" i="7"/>
  <c r="L784" i="7"/>
  <c r="K784" i="7"/>
  <c r="J784" i="7"/>
  <c r="I784" i="7"/>
  <c r="L782" i="7"/>
  <c r="K782" i="7"/>
  <c r="J782" i="7"/>
  <c r="I782" i="7"/>
  <c r="L781" i="7"/>
  <c r="K781" i="7"/>
  <c r="J781" i="7"/>
  <c r="I781" i="7"/>
  <c r="L780" i="7"/>
  <c r="K780" i="7"/>
  <c r="J780" i="7"/>
  <c r="I780" i="7"/>
  <c r="L778" i="7"/>
  <c r="K778" i="7"/>
  <c r="J778" i="7"/>
  <c r="I778" i="7"/>
  <c r="L777" i="7"/>
  <c r="K777" i="7"/>
  <c r="J777" i="7"/>
  <c r="I777" i="7"/>
  <c r="L776" i="7"/>
  <c r="K776" i="7"/>
  <c r="J776" i="7"/>
  <c r="I776" i="7"/>
  <c r="L774" i="7"/>
  <c r="K774" i="7"/>
  <c r="J774" i="7"/>
  <c r="I774" i="7"/>
  <c r="L773" i="7"/>
  <c r="K773" i="7"/>
  <c r="J773" i="7"/>
  <c r="I773" i="7"/>
  <c r="L769" i="7"/>
  <c r="K769" i="7"/>
  <c r="J769" i="7"/>
  <c r="I769" i="7"/>
  <c r="L768" i="7"/>
  <c r="K768" i="7"/>
  <c r="J768" i="7"/>
  <c r="I768" i="7"/>
  <c r="L767" i="7"/>
  <c r="K767" i="7"/>
  <c r="J767" i="7"/>
  <c r="I767" i="7"/>
  <c r="L766" i="7"/>
  <c r="K766" i="7"/>
  <c r="J766" i="7"/>
  <c r="I766" i="7"/>
  <c r="L765" i="7"/>
  <c r="K765" i="7"/>
  <c r="J765" i="7"/>
  <c r="I765" i="7"/>
  <c r="L764" i="7"/>
  <c r="K764" i="7"/>
  <c r="J764" i="7"/>
  <c r="I764" i="7"/>
  <c r="L763" i="7"/>
  <c r="K763" i="7"/>
  <c r="J763" i="7"/>
  <c r="I763" i="7"/>
  <c r="L762" i="7"/>
  <c r="K762" i="7"/>
  <c r="J762" i="7"/>
  <c r="I762" i="7"/>
  <c r="L761" i="7"/>
  <c r="K761" i="7"/>
  <c r="J761" i="7"/>
  <c r="I761" i="7"/>
  <c r="L760" i="7"/>
  <c r="K760" i="7"/>
  <c r="J760" i="7"/>
  <c r="I760" i="7"/>
  <c r="L757" i="7"/>
  <c r="K757" i="7"/>
  <c r="J757" i="7"/>
  <c r="I757" i="7"/>
  <c r="L756" i="7"/>
  <c r="K756" i="7"/>
  <c r="J756" i="7"/>
  <c r="I756" i="7"/>
  <c r="L755" i="7"/>
  <c r="K755" i="7"/>
  <c r="J755" i="7"/>
  <c r="I755" i="7"/>
  <c r="L754" i="7"/>
  <c r="K754" i="7"/>
  <c r="J754" i="7"/>
  <c r="I754" i="7"/>
  <c r="L753" i="7"/>
  <c r="K753" i="7"/>
  <c r="J753" i="7"/>
  <c r="I753" i="7"/>
  <c r="L752" i="7"/>
  <c r="K752" i="7"/>
  <c r="J752" i="7"/>
  <c r="I752" i="7"/>
  <c r="L751" i="7"/>
  <c r="K751" i="7"/>
  <c r="J751" i="7"/>
  <c r="I751" i="7"/>
  <c r="L750" i="7"/>
  <c r="K750" i="7"/>
  <c r="J750" i="7"/>
  <c r="I750" i="7"/>
  <c r="L749" i="7"/>
  <c r="K749" i="7"/>
  <c r="J749" i="7"/>
  <c r="I749" i="7"/>
  <c r="L748" i="7"/>
  <c r="K748" i="7"/>
  <c r="J748" i="7"/>
  <c r="I748" i="7"/>
  <c r="L747" i="7"/>
  <c r="K747" i="7"/>
  <c r="J747" i="7"/>
  <c r="I747" i="7"/>
  <c r="L746" i="7"/>
  <c r="K746" i="7"/>
  <c r="J746" i="7"/>
  <c r="I746" i="7"/>
  <c r="L745" i="7"/>
  <c r="K745" i="7"/>
  <c r="J745" i="7"/>
  <c r="I745" i="7"/>
  <c r="L744" i="7"/>
  <c r="K744" i="7"/>
  <c r="J744" i="7"/>
  <c r="I744" i="7"/>
  <c r="L743" i="7"/>
  <c r="K743" i="7"/>
  <c r="J743" i="7"/>
  <c r="I743" i="7"/>
  <c r="L738" i="7"/>
  <c r="K738" i="7"/>
  <c r="J738" i="7"/>
  <c r="I738" i="7"/>
  <c r="L735" i="7"/>
  <c r="K735" i="7"/>
  <c r="J735" i="7"/>
  <c r="I735" i="7"/>
  <c r="L732" i="7"/>
  <c r="K732" i="7"/>
  <c r="J732" i="7"/>
  <c r="I732" i="7"/>
  <c r="L729" i="7"/>
  <c r="K729" i="7"/>
  <c r="J729" i="7"/>
  <c r="I729" i="7"/>
  <c r="L726" i="7"/>
  <c r="K726" i="7"/>
  <c r="J726" i="7"/>
  <c r="I726" i="7"/>
  <c r="L725" i="7"/>
  <c r="K725" i="7"/>
  <c r="J725" i="7"/>
  <c r="I725" i="7"/>
  <c r="L722" i="7"/>
  <c r="K722" i="7"/>
  <c r="J722" i="7"/>
  <c r="I722" i="7"/>
  <c r="L719" i="7"/>
  <c r="K719" i="7"/>
  <c r="J719" i="7"/>
  <c r="I719" i="7"/>
  <c r="L716" i="7"/>
  <c r="K716" i="7"/>
  <c r="J716" i="7"/>
  <c r="I716" i="7"/>
  <c r="L715" i="7"/>
  <c r="K715" i="7"/>
  <c r="J715" i="7"/>
  <c r="I715" i="7"/>
  <c r="L714" i="7"/>
  <c r="K714" i="7"/>
  <c r="J714" i="7"/>
  <c r="I714" i="7"/>
  <c r="L713" i="7"/>
  <c r="K713" i="7"/>
  <c r="J713" i="7"/>
  <c r="I713" i="7"/>
  <c r="L712" i="7"/>
  <c r="K712" i="7"/>
  <c r="J712" i="7"/>
  <c r="I712" i="7"/>
  <c r="L711" i="7"/>
  <c r="K711" i="7"/>
  <c r="J711" i="7"/>
  <c r="I711" i="7"/>
  <c r="L709" i="7"/>
  <c r="K709" i="7"/>
  <c r="J709" i="7"/>
  <c r="I709" i="7"/>
  <c r="L707" i="7"/>
  <c r="K707" i="7"/>
  <c r="J707" i="7"/>
  <c r="I707" i="7"/>
  <c r="L706" i="7"/>
  <c r="K706" i="7"/>
  <c r="J706" i="7"/>
  <c r="I706" i="7"/>
  <c r="L705" i="7"/>
  <c r="K705" i="7"/>
  <c r="J705" i="7"/>
  <c r="I705" i="7"/>
  <c r="L704" i="7"/>
  <c r="K704" i="7"/>
  <c r="J704" i="7"/>
  <c r="I704" i="7"/>
  <c r="L703" i="7"/>
  <c r="K703" i="7"/>
  <c r="J703" i="7"/>
  <c r="I703" i="7"/>
  <c r="L702" i="7"/>
  <c r="K702" i="7"/>
  <c r="J702" i="7"/>
  <c r="I702" i="7"/>
  <c r="L700" i="7"/>
  <c r="K700" i="7"/>
  <c r="J700" i="7"/>
  <c r="I700" i="7"/>
  <c r="L699" i="7"/>
  <c r="K699" i="7"/>
  <c r="J699" i="7"/>
  <c r="I699" i="7"/>
  <c r="L695" i="7"/>
  <c r="K695" i="7"/>
  <c r="J695" i="7"/>
  <c r="I695" i="7"/>
  <c r="L694" i="7"/>
  <c r="K694" i="7"/>
  <c r="J694" i="7"/>
  <c r="I694" i="7"/>
  <c r="L693" i="7"/>
  <c r="K693" i="7"/>
  <c r="J693" i="7"/>
  <c r="I693" i="7"/>
  <c r="L692" i="7"/>
  <c r="K692" i="7"/>
  <c r="J692" i="7"/>
  <c r="I692" i="7"/>
  <c r="L691" i="7"/>
  <c r="K691" i="7"/>
  <c r="J691" i="7"/>
  <c r="I691" i="7"/>
  <c r="L690" i="7"/>
  <c r="K690" i="7"/>
  <c r="J690" i="7"/>
  <c r="I690" i="7"/>
  <c r="L687" i="7"/>
  <c r="K687" i="7"/>
  <c r="J687" i="7"/>
  <c r="I687" i="7"/>
  <c r="L686" i="7"/>
  <c r="K686" i="7"/>
  <c r="J686" i="7"/>
  <c r="I686" i="7"/>
  <c r="L685" i="7"/>
  <c r="K685" i="7"/>
  <c r="J685" i="7"/>
  <c r="I685" i="7"/>
  <c r="L682" i="7"/>
  <c r="K682" i="7"/>
  <c r="J682" i="7"/>
  <c r="I682" i="7"/>
  <c r="L681" i="7"/>
  <c r="K681" i="7"/>
  <c r="J681" i="7"/>
  <c r="I681" i="7"/>
  <c r="L680" i="7"/>
  <c r="K680" i="7"/>
  <c r="J680" i="7"/>
  <c r="I680" i="7"/>
  <c r="L677" i="7"/>
  <c r="K677" i="7"/>
  <c r="J677" i="7"/>
  <c r="I677" i="7"/>
  <c r="L676" i="7"/>
  <c r="K676" i="7"/>
  <c r="J676" i="7"/>
  <c r="I676" i="7"/>
  <c r="L673" i="7"/>
  <c r="K673" i="7"/>
  <c r="J673" i="7"/>
  <c r="I673" i="7"/>
  <c r="L672" i="7"/>
  <c r="K672" i="7"/>
  <c r="J672" i="7"/>
  <c r="I672" i="7"/>
  <c r="L671" i="7"/>
  <c r="K671" i="7"/>
  <c r="J671" i="7"/>
  <c r="I671" i="7"/>
  <c r="L668" i="7"/>
  <c r="K668" i="7"/>
  <c r="J668" i="7"/>
  <c r="I668" i="7"/>
  <c r="L667" i="7"/>
  <c r="K667" i="7"/>
  <c r="J667" i="7"/>
  <c r="I667" i="7"/>
  <c r="L666" i="7"/>
  <c r="K666" i="7"/>
  <c r="J666" i="7"/>
  <c r="I666" i="7"/>
  <c r="L663" i="7"/>
  <c r="K663" i="7"/>
  <c r="J663" i="7"/>
  <c r="I663" i="7"/>
  <c r="L662" i="7"/>
  <c r="K662" i="7"/>
  <c r="J662" i="7"/>
  <c r="I662" i="7"/>
  <c r="L661" i="7"/>
  <c r="K661" i="7"/>
  <c r="J661" i="7"/>
  <c r="I661" i="7"/>
  <c r="L658" i="7"/>
  <c r="K658" i="7"/>
  <c r="J658" i="7"/>
  <c r="I658" i="7"/>
  <c r="L657" i="7"/>
  <c r="K657" i="7"/>
  <c r="J657" i="7"/>
  <c r="I657" i="7"/>
  <c r="L653" i="7"/>
  <c r="K653" i="7"/>
  <c r="J653" i="7"/>
  <c r="I653" i="7"/>
  <c r="L652" i="7"/>
  <c r="K652" i="7"/>
  <c r="J652" i="7"/>
  <c r="I652" i="7"/>
  <c r="L651" i="7"/>
  <c r="K651" i="7"/>
  <c r="J651" i="7"/>
  <c r="I651" i="7"/>
  <c r="L650" i="7"/>
  <c r="K650" i="7"/>
  <c r="J650" i="7"/>
  <c r="I650" i="7"/>
  <c r="L649" i="7"/>
  <c r="K649" i="7"/>
  <c r="J649" i="7"/>
  <c r="I649" i="7"/>
  <c r="L648" i="7"/>
  <c r="K648" i="7"/>
  <c r="J648" i="7"/>
  <c r="I648" i="7"/>
  <c r="L643" i="7"/>
  <c r="K643" i="7"/>
  <c r="J643" i="7"/>
  <c r="I643" i="7"/>
  <c r="L640" i="7"/>
  <c r="K640" i="7"/>
  <c r="J640" i="7"/>
  <c r="I640" i="7"/>
  <c r="L637" i="7"/>
  <c r="K637" i="7"/>
  <c r="J637" i="7"/>
  <c r="I637" i="7"/>
  <c r="L634" i="7"/>
  <c r="K634" i="7"/>
  <c r="J634" i="7"/>
  <c r="I634" i="7"/>
  <c r="L633" i="7"/>
  <c r="K633" i="7"/>
  <c r="J633" i="7"/>
  <c r="I633" i="7"/>
  <c r="L632" i="7"/>
  <c r="K632" i="7"/>
  <c r="J632" i="7"/>
  <c r="I632" i="7"/>
  <c r="L631" i="7"/>
  <c r="K631" i="7"/>
  <c r="J631" i="7"/>
  <c r="I631" i="7"/>
  <c r="L628" i="7"/>
  <c r="K628" i="7"/>
  <c r="J628" i="7"/>
  <c r="I628" i="7"/>
  <c r="L627" i="7"/>
  <c r="K627" i="7"/>
  <c r="J627" i="7"/>
  <c r="I627" i="7"/>
  <c r="L624" i="7"/>
  <c r="K624" i="7"/>
  <c r="J624" i="7"/>
  <c r="I624" i="7"/>
  <c r="L623" i="7"/>
  <c r="K623" i="7"/>
  <c r="J623" i="7"/>
  <c r="I623" i="7"/>
  <c r="L622" i="7"/>
  <c r="K622" i="7"/>
  <c r="J622" i="7"/>
  <c r="I622" i="7"/>
  <c r="L621" i="7"/>
  <c r="K621" i="7"/>
  <c r="J621" i="7"/>
  <c r="I621" i="7"/>
  <c r="L620" i="7"/>
  <c r="K620" i="7"/>
  <c r="J620" i="7"/>
  <c r="I620" i="7"/>
  <c r="L619" i="7"/>
  <c r="K619" i="7"/>
  <c r="J619" i="7"/>
  <c r="I619" i="7"/>
  <c r="L618" i="7"/>
  <c r="K618" i="7"/>
  <c r="J618" i="7"/>
  <c r="I618" i="7"/>
  <c r="L616" i="7"/>
  <c r="K616" i="7"/>
  <c r="J616" i="7"/>
  <c r="I616" i="7"/>
  <c r="L614" i="7"/>
  <c r="K614" i="7"/>
  <c r="J614" i="7"/>
  <c r="I614" i="7"/>
  <c r="L613" i="7"/>
  <c r="K613" i="7"/>
  <c r="J613" i="7"/>
  <c r="I613" i="7"/>
  <c r="L612" i="7"/>
  <c r="K612" i="7"/>
  <c r="J612" i="7"/>
  <c r="I612" i="7"/>
  <c r="L611" i="7"/>
  <c r="K611" i="7"/>
  <c r="J611" i="7"/>
  <c r="I611" i="7"/>
  <c r="L610" i="7"/>
  <c r="K610" i="7"/>
  <c r="J610" i="7"/>
  <c r="I610" i="7"/>
  <c r="L609" i="7"/>
  <c r="K609" i="7"/>
  <c r="J609" i="7"/>
  <c r="I609" i="7"/>
  <c r="L608" i="7"/>
  <c r="K608" i="7"/>
  <c r="J608" i="7"/>
  <c r="I608" i="7"/>
  <c r="L607" i="7"/>
  <c r="K607" i="7"/>
  <c r="J607" i="7"/>
  <c r="I607" i="7"/>
  <c r="L605" i="7"/>
  <c r="K605" i="7"/>
  <c r="J605" i="7"/>
  <c r="I605" i="7"/>
  <c r="L604" i="7"/>
  <c r="K604" i="7"/>
  <c r="J604" i="7"/>
  <c r="I604" i="7"/>
  <c r="L600" i="7"/>
  <c r="K600" i="7"/>
  <c r="J600" i="7"/>
  <c r="I600" i="7"/>
  <c r="L599" i="7"/>
  <c r="K599" i="7"/>
  <c r="J599" i="7"/>
  <c r="I599" i="7"/>
  <c r="L598" i="7"/>
  <c r="K598" i="7"/>
  <c r="J598" i="7"/>
  <c r="I598" i="7"/>
  <c r="L597" i="7"/>
  <c r="K597" i="7"/>
  <c r="J597" i="7"/>
  <c r="I597" i="7"/>
  <c r="L596" i="7"/>
  <c r="K596" i="7"/>
  <c r="J596" i="7"/>
  <c r="I596" i="7"/>
  <c r="L593" i="7"/>
  <c r="K593" i="7"/>
  <c r="J593" i="7"/>
  <c r="I593" i="7"/>
  <c r="L590" i="7"/>
  <c r="K590" i="7"/>
  <c r="J590" i="7"/>
  <c r="I590" i="7"/>
  <c r="L589" i="7"/>
  <c r="K589" i="7"/>
  <c r="J589" i="7"/>
  <c r="I589" i="7"/>
  <c r="L586" i="7"/>
  <c r="K586" i="7"/>
  <c r="J586" i="7"/>
  <c r="I586" i="7"/>
  <c r="L585" i="7"/>
  <c r="K585" i="7"/>
  <c r="J585" i="7"/>
  <c r="I585" i="7"/>
  <c r="L584" i="7"/>
  <c r="K584" i="7"/>
  <c r="J584" i="7"/>
  <c r="I584" i="7"/>
  <c r="L583" i="7"/>
  <c r="K583" i="7"/>
  <c r="J583" i="7"/>
  <c r="I583" i="7"/>
  <c r="L582" i="7"/>
  <c r="K582" i="7"/>
  <c r="J582" i="7"/>
  <c r="I582" i="7"/>
  <c r="L581" i="7"/>
  <c r="K581" i="7"/>
  <c r="J581" i="7"/>
  <c r="I581" i="7"/>
  <c r="L580" i="7"/>
  <c r="K580" i="7"/>
  <c r="J580" i="7"/>
  <c r="I580" i="7"/>
  <c r="L579" i="7"/>
  <c r="K579" i="7"/>
  <c r="J579" i="7"/>
  <c r="I579" i="7"/>
  <c r="L576" i="7"/>
  <c r="K576" i="7"/>
  <c r="J576" i="7"/>
  <c r="I576" i="7"/>
  <c r="L575" i="7"/>
  <c r="K575" i="7"/>
  <c r="J575" i="7"/>
  <c r="I575" i="7"/>
  <c r="L574" i="7"/>
  <c r="K574" i="7"/>
  <c r="J574" i="7"/>
  <c r="I574" i="7"/>
  <c r="L571" i="7"/>
  <c r="K571" i="7"/>
  <c r="J571" i="7"/>
  <c r="I571" i="7"/>
  <c r="L570" i="7"/>
  <c r="K570" i="7"/>
  <c r="J570" i="7"/>
  <c r="I570" i="7"/>
  <c r="L566" i="7"/>
  <c r="K566" i="7"/>
  <c r="J566" i="7"/>
  <c r="I566" i="7"/>
  <c r="L565" i="7"/>
  <c r="K565" i="7"/>
  <c r="J565" i="7"/>
  <c r="I565" i="7"/>
  <c r="L564" i="7"/>
  <c r="K564" i="7"/>
  <c r="J564" i="7"/>
  <c r="I564" i="7"/>
  <c r="L563" i="7"/>
  <c r="K563" i="7"/>
  <c r="J563" i="7"/>
  <c r="I563" i="7"/>
  <c r="L562" i="7"/>
  <c r="K562" i="7"/>
  <c r="J562" i="7"/>
  <c r="I562" i="7"/>
  <c r="L561" i="7"/>
  <c r="K561" i="7"/>
  <c r="J561" i="7"/>
  <c r="I561" i="7"/>
  <c r="L560" i="7"/>
  <c r="K560" i="7"/>
  <c r="J560" i="7"/>
  <c r="I560" i="7"/>
  <c r="L559" i="7"/>
  <c r="K559" i="7"/>
  <c r="J559" i="7"/>
  <c r="I559" i="7"/>
  <c r="L558" i="7"/>
  <c r="K558" i="7"/>
  <c r="J558" i="7"/>
  <c r="I558" i="7"/>
  <c r="L557" i="7"/>
  <c r="K557" i="7"/>
  <c r="J557" i="7"/>
  <c r="I557" i="7"/>
  <c r="L556" i="7"/>
  <c r="K556" i="7"/>
  <c r="J556" i="7"/>
  <c r="I556" i="7"/>
  <c r="L553" i="7"/>
  <c r="K553" i="7"/>
  <c r="J553" i="7"/>
  <c r="I553" i="7"/>
  <c r="L552" i="7"/>
  <c r="K552" i="7"/>
  <c r="J552" i="7"/>
  <c r="I552" i="7"/>
  <c r="L551" i="7"/>
  <c r="K551" i="7"/>
  <c r="J551" i="7"/>
  <c r="I551" i="7"/>
  <c r="L550" i="7"/>
  <c r="K550" i="7"/>
  <c r="J550" i="7"/>
  <c r="I550" i="7"/>
  <c r="L549" i="7"/>
  <c r="K549" i="7"/>
  <c r="J549" i="7"/>
  <c r="I549" i="7"/>
  <c r="L548" i="7"/>
  <c r="K548" i="7"/>
  <c r="J548" i="7"/>
  <c r="I548" i="7"/>
  <c r="L547" i="7"/>
  <c r="K547" i="7"/>
  <c r="J547" i="7"/>
  <c r="I547" i="7"/>
  <c r="L545" i="7"/>
  <c r="K545" i="7"/>
  <c r="J545" i="7"/>
  <c r="I545" i="7"/>
  <c r="L544" i="7"/>
  <c r="K544" i="7"/>
  <c r="J544" i="7"/>
  <c r="I544" i="7"/>
  <c r="L543" i="7"/>
  <c r="K543" i="7"/>
  <c r="J543" i="7"/>
  <c r="I543" i="7"/>
  <c r="L542" i="7"/>
  <c r="K542" i="7"/>
  <c r="J542" i="7"/>
  <c r="I542" i="7"/>
  <c r="L541" i="7"/>
  <c r="K541" i="7"/>
  <c r="J541" i="7"/>
  <c r="I541" i="7"/>
  <c r="L540" i="7"/>
  <c r="K540" i="7"/>
  <c r="J540" i="7"/>
  <c r="I540" i="7"/>
  <c r="L539" i="7"/>
  <c r="K539" i="7"/>
  <c r="J539" i="7"/>
  <c r="I539" i="7"/>
  <c r="L538" i="7"/>
  <c r="K538" i="7"/>
  <c r="J538" i="7"/>
  <c r="I538" i="7"/>
  <c r="L537" i="7"/>
  <c r="K537" i="7"/>
  <c r="J537" i="7"/>
  <c r="I537" i="7"/>
  <c r="L535" i="7"/>
  <c r="K535" i="7"/>
  <c r="J535" i="7"/>
  <c r="I535" i="7"/>
  <c r="L534" i="7"/>
  <c r="K534" i="7"/>
  <c r="J534" i="7"/>
  <c r="I534" i="7"/>
  <c r="L533" i="7"/>
  <c r="K533" i="7"/>
  <c r="J533" i="7"/>
  <c r="I533" i="7"/>
  <c r="L527" i="7"/>
  <c r="K527" i="7"/>
  <c r="J527" i="7"/>
  <c r="I527" i="7"/>
  <c r="L524" i="7"/>
  <c r="K524" i="7"/>
  <c r="J524" i="7"/>
  <c r="I524" i="7"/>
  <c r="L521" i="7"/>
  <c r="K521" i="7"/>
  <c r="J521" i="7"/>
  <c r="I521" i="7"/>
  <c r="L518" i="7"/>
  <c r="K518" i="7"/>
  <c r="J518" i="7"/>
  <c r="I518" i="7"/>
  <c r="L517" i="7"/>
  <c r="K517" i="7"/>
  <c r="J517" i="7"/>
  <c r="I517" i="7"/>
  <c r="L516" i="7"/>
  <c r="K516" i="7"/>
  <c r="J516" i="7"/>
  <c r="I516" i="7"/>
  <c r="L515" i="7"/>
  <c r="K515" i="7"/>
  <c r="J515" i="7"/>
  <c r="I515" i="7"/>
  <c r="L512" i="7"/>
  <c r="K512" i="7"/>
  <c r="J512" i="7"/>
  <c r="I512" i="7"/>
  <c r="L511" i="7"/>
  <c r="K511" i="7"/>
  <c r="J511" i="7"/>
  <c r="I511" i="7"/>
  <c r="L508" i="7"/>
  <c r="K508" i="7"/>
  <c r="J508" i="7"/>
  <c r="I508" i="7"/>
  <c r="L507" i="7"/>
  <c r="K507" i="7"/>
  <c r="J507" i="7"/>
  <c r="I507" i="7"/>
  <c r="L506" i="7"/>
  <c r="K506" i="7"/>
  <c r="J506" i="7"/>
  <c r="I506" i="7"/>
  <c r="L505" i="7"/>
  <c r="K505" i="7"/>
  <c r="J505" i="7"/>
  <c r="I505" i="7"/>
  <c r="L503" i="7"/>
  <c r="K503" i="7"/>
  <c r="J503" i="7"/>
  <c r="I503" i="7"/>
  <c r="L501" i="7"/>
  <c r="K501" i="7"/>
  <c r="J501" i="7"/>
  <c r="I501" i="7"/>
  <c r="L500" i="7"/>
  <c r="K500" i="7"/>
  <c r="J500" i="7"/>
  <c r="I500" i="7"/>
  <c r="L499" i="7"/>
  <c r="K499" i="7"/>
  <c r="J499" i="7"/>
  <c r="I499" i="7"/>
  <c r="L498" i="7"/>
  <c r="K498" i="7"/>
  <c r="J498" i="7"/>
  <c r="I498" i="7"/>
  <c r="L497" i="7"/>
  <c r="K497" i="7"/>
  <c r="J497" i="7"/>
  <c r="I497" i="7"/>
  <c r="L496" i="7"/>
  <c r="K496" i="7"/>
  <c r="J496" i="7"/>
  <c r="I496" i="7"/>
  <c r="L495" i="7"/>
  <c r="K495" i="7"/>
  <c r="J495" i="7"/>
  <c r="I495" i="7"/>
  <c r="L494" i="7"/>
  <c r="K494" i="7"/>
  <c r="J494" i="7"/>
  <c r="I494" i="7"/>
  <c r="L493" i="7"/>
  <c r="K493" i="7"/>
  <c r="J493" i="7"/>
  <c r="I493" i="7"/>
  <c r="L491" i="7"/>
  <c r="K491" i="7"/>
  <c r="J491" i="7"/>
  <c r="I491" i="7"/>
  <c r="L490" i="7"/>
  <c r="K490" i="7"/>
  <c r="J490" i="7"/>
  <c r="I490" i="7"/>
  <c r="L486" i="7"/>
  <c r="K486" i="7"/>
  <c r="J486" i="7"/>
  <c r="I486" i="7"/>
  <c r="L485" i="7"/>
  <c r="K485" i="7"/>
  <c r="J485" i="7"/>
  <c r="I485" i="7"/>
  <c r="L484" i="7"/>
  <c r="K484" i="7"/>
  <c r="J484" i="7"/>
  <c r="I484" i="7"/>
  <c r="L483" i="7"/>
  <c r="K483" i="7"/>
  <c r="J483" i="7"/>
  <c r="I483" i="7"/>
  <c r="L482" i="7"/>
  <c r="K482" i="7"/>
  <c r="J482" i="7"/>
  <c r="I482" i="7"/>
  <c r="L479" i="7"/>
  <c r="K479" i="7"/>
  <c r="J479" i="7"/>
  <c r="I479" i="7"/>
  <c r="L478" i="7"/>
  <c r="K478" i="7"/>
  <c r="J478" i="7"/>
  <c r="I478" i="7"/>
  <c r="L475" i="7"/>
  <c r="K475" i="7"/>
  <c r="J475" i="7"/>
  <c r="I475" i="7"/>
  <c r="L474" i="7"/>
  <c r="K474" i="7"/>
  <c r="J474" i="7"/>
  <c r="I474" i="7"/>
  <c r="L473" i="7"/>
  <c r="K473" i="7"/>
  <c r="J473" i="7"/>
  <c r="I473" i="7"/>
  <c r="L472" i="7"/>
  <c r="K472" i="7"/>
  <c r="J472" i="7"/>
  <c r="I472" i="7"/>
  <c r="L469" i="7"/>
  <c r="K469" i="7"/>
  <c r="J469" i="7"/>
  <c r="I469" i="7"/>
  <c r="L468" i="7"/>
  <c r="K468" i="7"/>
  <c r="J468" i="7"/>
  <c r="I468" i="7"/>
  <c r="L467" i="7"/>
  <c r="K467" i="7"/>
  <c r="J467" i="7"/>
  <c r="I467" i="7"/>
  <c r="L463" i="7"/>
  <c r="K463" i="7"/>
  <c r="J463" i="7"/>
  <c r="I463" i="7"/>
  <c r="L462" i="7"/>
  <c r="K462" i="7"/>
  <c r="J462" i="7"/>
  <c r="I462" i="7"/>
  <c r="L461" i="7"/>
  <c r="K461" i="7"/>
  <c r="J461" i="7"/>
  <c r="I461" i="7"/>
  <c r="L460" i="7"/>
  <c r="K460" i="7"/>
  <c r="J460" i="7"/>
  <c r="I460" i="7"/>
  <c r="L459" i="7"/>
  <c r="K459" i="7"/>
  <c r="J459" i="7"/>
  <c r="I459" i="7"/>
  <c r="L458" i="7"/>
  <c r="K458" i="7"/>
  <c r="J458" i="7"/>
  <c r="I458" i="7"/>
  <c r="L455" i="7"/>
  <c r="K455" i="7"/>
  <c r="J455" i="7"/>
  <c r="I455" i="7"/>
  <c r="L454" i="7"/>
  <c r="K454" i="7"/>
  <c r="J454" i="7"/>
  <c r="I454" i="7"/>
  <c r="L453" i="7"/>
  <c r="K453" i="7"/>
  <c r="J453" i="7"/>
  <c r="I453" i="7"/>
  <c r="L452" i="7"/>
  <c r="K452" i="7"/>
  <c r="J452" i="7"/>
  <c r="I452" i="7"/>
  <c r="L451" i="7"/>
  <c r="K451" i="7"/>
  <c r="J451" i="7"/>
  <c r="I451" i="7"/>
  <c r="L450" i="7"/>
  <c r="K450" i="7"/>
  <c r="J450" i="7"/>
  <c r="I450" i="7"/>
  <c r="L449" i="7"/>
  <c r="K449" i="7"/>
  <c r="J449" i="7"/>
  <c r="I449" i="7"/>
  <c r="L443" i="7"/>
  <c r="K443" i="7"/>
  <c r="J443" i="7"/>
  <c r="I443" i="7"/>
  <c r="L442" i="7"/>
  <c r="K442" i="7"/>
  <c r="J442" i="7"/>
  <c r="I442" i="7"/>
  <c r="L441" i="7"/>
  <c r="K441" i="7"/>
  <c r="J441" i="7"/>
  <c r="I441" i="7"/>
  <c r="L440" i="7"/>
  <c r="K440" i="7"/>
  <c r="J440" i="7"/>
  <c r="I440" i="7"/>
  <c r="L435" i="7"/>
  <c r="K435" i="7"/>
  <c r="J435" i="7"/>
  <c r="I435" i="7"/>
  <c r="L432" i="7"/>
  <c r="K432" i="7"/>
  <c r="J432" i="7"/>
  <c r="I432" i="7"/>
  <c r="L429" i="7"/>
  <c r="K429" i="7"/>
  <c r="J429" i="7"/>
  <c r="I429" i="7"/>
  <c r="L428" i="7"/>
  <c r="K428" i="7"/>
  <c r="J428" i="7"/>
  <c r="I428" i="7"/>
  <c r="L427" i="7"/>
  <c r="K427" i="7"/>
  <c r="J427" i="7"/>
  <c r="I427" i="7"/>
  <c r="L424" i="7"/>
  <c r="K424" i="7"/>
  <c r="J424" i="7"/>
  <c r="I424" i="7"/>
  <c r="L421" i="7"/>
  <c r="K421" i="7"/>
  <c r="J421" i="7"/>
  <c r="I421" i="7"/>
  <c r="L418" i="7"/>
  <c r="K418" i="7"/>
  <c r="J418" i="7"/>
  <c r="I418" i="7"/>
  <c r="L417" i="7"/>
  <c r="K417" i="7"/>
  <c r="J417" i="7"/>
  <c r="I417" i="7"/>
  <c r="L416" i="7"/>
  <c r="K416" i="7"/>
  <c r="J416" i="7"/>
  <c r="I416" i="7"/>
  <c r="L413" i="7"/>
  <c r="K413" i="7"/>
  <c r="J413" i="7"/>
  <c r="I413" i="7"/>
  <c r="L412" i="7"/>
  <c r="K412" i="7"/>
  <c r="J412" i="7"/>
  <c r="I412" i="7"/>
  <c r="L411" i="7"/>
  <c r="K411" i="7"/>
  <c r="J411" i="7"/>
  <c r="I411" i="7"/>
  <c r="L410" i="7"/>
  <c r="K410" i="7"/>
  <c r="J410" i="7"/>
  <c r="I410" i="7"/>
  <c r="L409" i="7"/>
  <c r="K409" i="7"/>
  <c r="J409" i="7"/>
  <c r="I409" i="7"/>
  <c r="L406" i="7"/>
  <c r="K406" i="7"/>
  <c r="J406" i="7"/>
  <c r="I406" i="7"/>
  <c r="L405" i="7"/>
  <c r="K405" i="7"/>
  <c r="J405" i="7"/>
  <c r="I405" i="7"/>
  <c r="L404" i="7"/>
  <c r="K404" i="7"/>
  <c r="J404" i="7"/>
  <c r="I404" i="7"/>
  <c r="L403" i="7"/>
  <c r="K403" i="7"/>
  <c r="J403" i="7"/>
  <c r="I403" i="7"/>
  <c r="L400" i="7"/>
  <c r="K400" i="7"/>
  <c r="J400" i="7"/>
  <c r="I400" i="7"/>
  <c r="L399" i="7"/>
  <c r="K399" i="7"/>
  <c r="J399" i="7"/>
  <c r="I399" i="7"/>
  <c r="L398" i="7"/>
  <c r="K398" i="7"/>
  <c r="J398" i="7"/>
  <c r="I398" i="7"/>
  <c r="L395" i="7"/>
  <c r="K395" i="7"/>
  <c r="J395" i="7"/>
  <c r="I395" i="7"/>
  <c r="L394" i="7"/>
  <c r="K394" i="7"/>
  <c r="J394" i="7"/>
  <c r="I394" i="7"/>
  <c r="L393" i="7"/>
  <c r="K393" i="7"/>
  <c r="J393" i="7"/>
  <c r="I393" i="7"/>
  <c r="L392" i="7"/>
  <c r="K392" i="7"/>
  <c r="J392" i="7"/>
  <c r="I392" i="7"/>
  <c r="L390" i="7"/>
  <c r="K390" i="7"/>
  <c r="J390" i="7"/>
  <c r="I390" i="7"/>
  <c r="L389" i="7"/>
  <c r="K389" i="7"/>
  <c r="J389" i="7"/>
  <c r="I389" i="7"/>
  <c r="L386" i="7"/>
  <c r="K386" i="7"/>
  <c r="J386" i="7"/>
  <c r="I386" i="7"/>
  <c r="L381" i="7"/>
  <c r="K381" i="7"/>
  <c r="J381" i="7"/>
  <c r="I381" i="7"/>
  <c r="L378" i="7"/>
  <c r="K378" i="7"/>
  <c r="J378" i="7"/>
  <c r="I378" i="7"/>
  <c r="L377" i="7"/>
  <c r="K377" i="7"/>
  <c r="J377" i="7"/>
  <c r="I377" i="7"/>
  <c r="L374" i="7"/>
  <c r="K374" i="7"/>
  <c r="J374" i="7"/>
  <c r="I374" i="7"/>
  <c r="L373" i="7"/>
  <c r="K373" i="7"/>
  <c r="J373" i="7"/>
  <c r="I373" i="7"/>
  <c r="L372" i="7"/>
  <c r="K372" i="7"/>
  <c r="J372" i="7"/>
  <c r="I372" i="7"/>
  <c r="L371" i="7"/>
  <c r="K371" i="7"/>
  <c r="J371" i="7"/>
  <c r="I371" i="7"/>
  <c r="L368" i="7"/>
  <c r="K368" i="7"/>
  <c r="J368" i="7"/>
  <c r="I368" i="7"/>
  <c r="L367" i="7"/>
  <c r="K367" i="7"/>
  <c r="J367" i="7"/>
  <c r="I367" i="7"/>
  <c r="L366" i="7"/>
  <c r="K366" i="7"/>
  <c r="J366" i="7"/>
  <c r="I366" i="7"/>
  <c r="L365" i="7"/>
  <c r="K365" i="7"/>
  <c r="J365" i="7"/>
  <c r="I365" i="7"/>
  <c r="L362" i="7"/>
  <c r="K362" i="7"/>
  <c r="J362" i="7"/>
  <c r="I362" i="7"/>
  <c r="L359" i="7"/>
  <c r="K359" i="7"/>
  <c r="J359" i="7"/>
  <c r="I359" i="7"/>
  <c r="L358" i="7"/>
  <c r="K358" i="7"/>
  <c r="J358" i="7"/>
  <c r="I358" i="7"/>
  <c r="L357" i="7"/>
  <c r="K357" i="7"/>
  <c r="J357" i="7"/>
  <c r="I357" i="7"/>
  <c r="L356" i="7"/>
  <c r="K356" i="7"/>
  <c r="J356" i="7"/>
  <c r="I356" i="7"/>
  <c r="L353" i="7"/>
  <c r="K353" i="7"/>
  <c r="J353" i="7"/>
  <c r="I353" i="7"/>
  <c r="L350" i="7"/>
  <c r="K350" i="7"/>
  <c r="J350" i="7"/>
  <c r="I350" i="7"/>
  <c r="L349" i="7"/>
  <c r="K349" i="7"/>
  <c r="J349" i="7"/>
  <c r="I349" i="7"/>
  <c r="L348" i="7"/>
  <c r="K348" i="7"/>
  <c r="J348" i="7"/>
  <c r="I348" i="7"/>
  <c r="L347" i="7"/>
  <c r="K347" i="7"/>
  <c r="J347" i="7"/>
  <c r="I347" i="7"/>
  <c r="L346" i="7"/>
  <c r="K346" i="7"/>
  <c r="J346" i="7"/>
  <c r="I346" i="7"/>
  <c r="L345" i="7"/>
  <c r="K345" i="7"/>
  <c r="J345" i="7"/>
  <c r="I345" i="7"/>
  <c r="L344" i="7"/>
  <c r="K344" i="7"/>
  <c r="J344" i="7"/>
  <c r="I344" i="7"/>
  <c r="L341" i="7"/>
  <c r="K341" i="7"/>
  <c r="J341" i="7"/>
  <c r="I341" i="7"/>
  <c r="L340" i="7"/>
  <c r="K340" i="7"/>
  <c r="J340" i="7"/>
  <c r="I340" i="7"/>
  <c r="L337" i="7"/>
  <c r="K337" i="7"/>
  <c r="J337" i="7"/>
  <c r="I337" i="7"/>
  <c r="L336" i="7"/>
  <c r="K336" i="7"/>
  <c r="J336" i="7"/>
  <c r="I336" i="7"/>
  <c r="L335" i="7"/>
  <c r="K335" i="7"/>
  <c r="J335" i="7"/>
  <c r="I335" i="7"/>
  <c r="L332" i="7"/>
  <c r="K332" i="7"/>
  <c r="J332" i="7"/>
  <c r="I332" i="7"/>
  <c r="L331" i="7"/>
  <c r="K331" i="7"/>
  <c r="J331" i="7"/>
  <c r="I331" i="7"/>
  <c r="L330" i="7"/>
  <c r="K330" i="7"/>
  <c r="J330" i="7"/>
  <c r="I330" i="7"/>
  <c r="L323" i="7"/>
  <c r="K323" i="7"/>
  <c r="J323" i="7"/>
  <c r="I323" i="7"/>
  <c r="L322" i="7"/>
  <c r="K322" i="7"/>
  <c r="J322" i="7"/>
  <c r="I322" i="7"/>
  <c r="L321" i="7"/>
  <c r="K321" i="7"/>
  <c r="J321" i="7"/>
  <c r="I321" i="7"/>
  <c r="L316" i="7"/>
  <c r="K316" i="7"/>
  <c r="J316" i="7"/>
  <c r="I316" i="7"/>
  <c r="L313" i="7"/>
  <c r="K313" i="7"/>
  <c r="J313" i="7"/>
  <c r="I313" i="7"/>
  <c r="L310" i="7"/>
  <c r="K310" i="7"/>
  <c r="J310" i="7"/>
  <c r="I310" i="7"/>
  <c r="L309" i="7"/>
  <c r="K309" i="7"/>
  <c r="J309" i="7"/>
  <c r="I309" i="7"/>
  <c r="L308" i="7"/>
  <c r="K308" i="7"/>
  <c r="J308" i="7"/>
  <c r="I308" i="7"/>
  <c r="L305" i="7"/>
  <c r="K305" i="7"/>
  <c r="J305" i="7"/>
  <c r="I305" i="7"/>
  <c r="L302" i="7"/>
  <c r="K302" i="7"/>
  <c r="J302" i="7"/>
  <c r="I302" i="7"/>
  <c r="L301" i="7"/>
  <c r="K301" i="7"/>
  <c r="J301" i="7"/>
  <c r="I301" i="7"/>
  <c r="L300" i="7"/>
  <c r="K300" i="7"/>
  <c r="J300" i="7"/>
  <c r="I300" i="7"/>
  <c r="L297" i="7"/>
  <c r="K297" i="7"/>
  <c r="J297" i="7"/>
  <c r="I297" i="7"/>
  <c r="L296" i="7"/>
  <c r="K296" i="7"/>
  <c r="J296" i="7"/>
  <c r="I296" i="7"/>
  <c r="L295" i="7"/>
  <c r="K295" i="7"/>
  <c r="J295" i="7"/>
  <c r="I295" i="7"/>
  <c r="L294" i="7"/>
  <c r="K294" i="7"/>
  <c r="J294" i="7"/>
  <c r="I294" i="7"/>
  <c r="L291" i="7"/>
  <c r="K291" i="7"/>
  <c r="J291" i="7"/>
  <c r="I291" i="7"/>
  <c r="L290" i="7"/>
  <c r="K290" i="7"/>
  <c r="J290" i="7"/>
  <c r="I290" i="7"/>
  <c r="L289" i="7"/>
  <c r="K289" i="7"/>
  <c r="J289" i="7"/>
  <c r="I289" i="7"/>
  <c r="L288" i="7"/>
  <c r="K288" i="7"/>
  <c r="J288" i="7"/>
  <c r="I288" i="7"/>
  <c r="L285" i="7"/>
  <c r="K285" i="7"/>
  <c r="J285" i="7"/>
  <c r="I285" i="7"/>
  <c r="L284" i="7"/>
  <c r="K284" i="7"/>
  <c r="J284" i="7"/>
  <c r="I284" i="7"/>
  <c r="L283" i="7"/>
  <c r="K283" i="7"/>
  <c r="J283" i="7"/>
  <c r="I283" i="7"/>
  <c r="I277" i="7"/>
  <c r="I280" i="7"/>
  <c r="L280" i="7"/>
  <c r="K280" i="7"/>
  <c r="J280" i="7"/>
  <c r="L279" i="7"/>
  <c r="K279" i="7"/>
  <c r="J279" i="7"/>
  <c r="I279" i="7"/>
  <c r="L278" i="7"/>
  <c r="K278" i="7"/>
  <c r="J278" i="7"/>
  <c r="I278" i="7"/>
  <c r="L277" i="7"/>
  <c r="K277" i="7"/>
  <c r="J277" i="7"/>
  <c r="L275" i="7"/>
  <c r="K275" i="7"/>
  <c r="J275" i="7"/>
  <c r="I275" i="7"/>
  <c r="L274" i="7"/>
  <c r="K274" i="7"/>
  <c r="J274" i="7"/>
  <c r="I274" i="7"/>
  <c r="L272" i="7"/>
  <c r="K272" i="7"/>
  <c r="J272" i="7"/>
  <c r="I272" i="7"/>
  <c r="L271" i="7"/>
  <c r="K271" i="7"/>
  <c r="J271" i="7"/>
  <c r="I271" i="7"/>
  <c r="L268" i="7"/>
  <c r="K268" i="7"/>
  <c r="J268" i="7"/>
  <c r="I268" i="7"/>
  <c r="L263" i="7"/>
  <c r="K263" i="7"/>
  <c r="J263" i="7"/>
  <c r="I263" i="7"/>
  <c r="L260" i="7"/>
  <c r="K260" i="7"/>
  <c r="J260" i="7"/>
  <c r="I260" i="7"/>
  <c r="L257" i="7"/>
  <c r="K257" i="7"/>
  <c r="J257" i="7"/>
  <c r="I257" i="7"/>
  <c r="L254" i="7"/>
  <c r="K254" i="7"/>
  <c r="J254" i="7"/>
  <c r="I254" i="7"/>
  <c r="L251" i="7"/>
  <c r="K251" i="7"/>
  <c r="J251" i="7"/>
  <c r="I251" i="7"/>
  <c r="L250" i="7"/>
  <c r="K250" i="7"/>
  <c r="J250" i="7"/>
  <c r="I250" i="7"/>
  <c r="L247" i="7"/>
  <c r="K247" i="7"/>
  <c r="J247" i="7"/>
  <c r="I247" i="7"/>
  <c r="L246" i="7"/>
  <c r="K246" i="7"/>
  <c r="J246" i="7"/>
  <c r="I246" i="7"/>
  <c r="L245" i="7"/>
  <c r="K245" i="7"/>
  <c r="J245" i="7"/>
  <c r="I245" i="7"/>
  <c r="L244" i="7"/>
  <c r="K244" i="7"/>
  <c r="J244" i="7"/>
  <c r="I244" i="7"/>
  <c r="L243" i="7"/>
  <c r="K243" i="7"/>
  <c r="J243" i="7"/>
  <c r="I243" i="7"/>
  <c r="L242" i="7"/>
  <c r="K242" i="7"/>
  <c r="J242" i="7"/>
  <c r="I242" i="7"/>
  <c r="L241" i="7"/>
  <c r="K241" i="7"/>
  <c r="J241" i="7"/>
  <c r="I241" i="7"/>
  <c r="L236" i="7"/>
  <c r="K236" i="7"/>
  <c r="J236" i="7"/>
  <c r="I236" i="7"/>
  <c r="L233" i="7"/>
  <c r="K233" i="7"/>
  <c r="J233" i="7"/>
  <c r="I233" i="7"/>
  <c r="L232" i="7"/>
  <c r="K232" i="7"/>
  <c r="J232" i="7"/>
  <c r="I232" i="7"/>
  <c r="L229" i="7"/>
  <c r="K229" i="7"/>
  <c r="J229" i="7"/>
  <c r="I229" i="7"/>
  <c r="L228" i="7"/>
  <c r="K228" i="7"/>
  <c r="J228" i="7"/>
  <c r="I228" i="7"/>
  <c r="L227" i="7"/>
  <c r="K227" i="7"/>
  <c r="J227" i="7"/>
  <c r="I227" i="7"/>
  <c r="L224" i="7"/>
  <c r="K224" i="7"/>
  <c r="J224" i="7"/>
  <c r="I224" i="7"/>
  <c r="L221" i="7"/>
  <c r="K221" i="7"/>
  <c r="J221" i="7"/>
  <c r="I221" i="7"/>
  <c r="L218" i="7"/>
  <c r="K218" i="7"/>
  <c r="J218" i="7"/>
  <c r="I218" i="7"/>
  <c r="L217" i="7"/>
  <c r="K217" i="7"/>
  <c r="J217" i="7"/>
  <c r="I217" i="7"/>
  <c r="L216" i="7"/>
  <c r="K216" i="7"/>
  <c r="J216" i="7"/>
  <c r="I216" i="7"/>
  <c r="L215" i="7"/>
  <c r="K215" i="7"/>
  <c r="J215" i="7"/>
  <c r="I215" i="7"/>
  <c r="L214" i="7"/>
  <c r="K214" i="7"/>
  <c r="J214" i="7"/>
  <c r="I214" i="7"/>
  <c r="L213" i="7"/>
  <c r="K213" i="7"/>
  <c r="J213" i="7"/>
  <c r="I213" i="7"/>
  <c r="L210" i="7"/>
  <c r="K210" i="7"/>
  <c r="J210" i="7"/>
  <c r="I210" i="7"/>
  <c r="L209" i="7"/>
  <c r="K209" i="7"/>
  <c r="J209" i="7"/>
  <c r="I209" i="7"/>
  <c r="L206" i="7"/>
  <c r="K206" i="7"/>
  <c r="J206" i="7"/>
  <c r="I206" i="7"/>
  <c r="L205" i="7"/>
  <c r="K205" i="7"/>
  <c r="J205" i="7"/>
  <c r="I205" i="7"/>
  <c r="L202" i="7"/>
  <c r="K202" i="7"/>
  <c r="J202" i="7"/>
  <c r="I202" i="7"/>
  <c r="L201" i="7"/>
  <c r="K201" i="7"/>
  <c r="J201" i="7"/>
  <c r="I201" i="7"/>
  <c r="L198" i="7"/>
  <c r="K198" i="7"/>
  <c r="J198" i="7"/>
  <c r="I198" i="7"/>
  <c r="L197" i="7"/>
  <c r="K197" i="7"/>
  <c r="J197" i="7"/>
  <c r="I197" i="7"/>
  <c r="L196" i="7"/>
  <c r="K196" i="7"/>
  <c r="J196" i="7"/>
  <c r="I196" i="7"/>
  <c r="L195" i="7"/>
  <c r="K195" i="7"/>
  <c r="J195" i="7"/>
  <c r="I195" i="7"/>
  <c r="L194" i="7"/>
  <c r="K194" i="7"/>
  <c r="J194" i="7"/>
  <c r="I194" i="7"/>
  <c r="L193" i="7"/>
  <c r="K193" i="7"/>
  <c r="J193" i="7"/>
  <c r="I193" i="7"/>
  <c r="L192" i="7"/>
  <c r="K192" i="7"/>
  <c r="J192" i="7"/>
  <c r="I192" i="7"/>
  <c r="L187" i="7"/>
  <c r="K187" i="7"/>
  <c r="J187" i="7"/>
  <c r="I187" i="7"/>
  <c r="L184" i="7"/>
  <c r="K184" i="7"/>
  <c r="J184" i="7"/>
  <c r="I184" i="7"/>
  <c r="L183" i="7"/>
  <c r="K183" i="7"/>
  <c r="J183" i="7"/>
  <c r="I183" i="7"/>
  <c r="L180" i="7"/>
  <c r="K180" i="7"/>
  <c r="J180" i="7"/>
  <c r="I180" i="7"/>
  <c r="L179" i="7"/>
  <c r="K179" i="7"/>
  <c r="J179" i="7"/>
  <c r="I179" i="7"/>
  <c r="L178" i="7"/>
  <c r="K178" i="7"/>
  <c r="J178" i="7"/>
  <c r="I178" i="7"/>
  <c r="L177" i="7"/>
  <c r="K177" i="7"/>
  <c r="J177" i="7"/>
  <c r="I177" i="7"/>
  <c r="L174" i="7"/>
  <c r="K174" i="7"/>
  <c r="J174" i="7"/>
  <c r="I174" i="7"/>
  <c r="L173" i="7"/>
  <c r="K173" i="7"/>
  <c r="J173" i="7"/>
  <c r="I173" i="7"/>
  <c r="L172" i="7"/>
  <c r="K172" i="7"/>
  <c r="J172" i="7"/>
  <c r="I172" i="7"/>
  <c r="L171" i="7"/>
  <c r="K171" i="7"/>
  <c r="J171" i="7"/>
  <c r="I171" i="7"/>
  <c r="L168" i="7"/>
  <c r="K168" i="7"/>
  <c r="J168" i="7"/>
  <c r="I168" i="7"/>
  <c r="L165" i="7"/>
  <c r="K165" i="7"/>
  <c r="J165" i="7"/>
  <c r="I165" i="7"/>
  <c r="L164" i="7"/>
  <c r="K164" i="7"/>
  <c r="J164" i="7"/>
  <c r="I164" i="7"/>
  <c r="L163" i="7"/>
  <c r="K163" i="7"/>
  <c r="J163" i="7"/>
  <c r="I163" i="7"/>
  <c r="L161" i="7"/>
  <c r="K161" i="7"/>
  <c r="J161" i="7"/>
  <c r="I161" i="7"/>
  <c r="L160" i="7"/>
  <c r="K160" i="7"/>
  <c r="J160" i="7"/>
  <c r="I160" i="7"/>
  <c r="L159" i="7"/>
  <c r="K159" i="7"/>
  <c r="J159" i="7"/>
  <c r="I159" i="7"/>
  <c r="L158" i="7"/>
  <c r="K158" i="7"/>
  <c r="J158" i="7"/>
  <c r="I158" i="7"/>
  <c r="L157" i="7"/>
  <c r="K157" i="7"/>
  <c r="J157" i="7"/>
  <c r="I157" i="7"/>
  <c r="L156" i="7"/>
  <c r="K156" i="7"/>
  <c r="J156" i="7"/>
  <c r="I156" i="7"/>
  <c r="L155" i="7"/>
  <c r="K155" i="7"/>
  <c r="J155" i="7"/>
  <c r="I155" i="7"/>
  <c r="L151" i="7"/>
  <c r="K151" i="7"/>
  <c r="J151" i="7"/>
  <c r="I151" i="7"/>
  <c r="L150" i="7"/>
  <c r="K150" i="7"/>
  <c r="J150" i="7"/>
  <c r="I150" i="7"/>
  <c r="L147" i="7"/>
  <c r="K147" i="7"/>
  <c r="J147" i="7"/>
  <c r="I147" i="7"/>
  <c r="L144" i="7"/>
  <c r="K144" i="7"/>
  <c r="J144" i="7"/>
  <c r="I144" i="7"/>
  <c r="L143" i="7"/>
  <c r="K143" i="7"/>
  <c r="J143" i="7"/>
  <c r="I143" i="7"/>
  <c r="L142" i="7"/>
  <c r="K142" i="7"/>
  <c r="J142" i="7"/>
  <c r="I142" i="7"/>
  <c r="L141" i="7"/>
  <c r="K141" i="7"/>
  <c r="J141" i="7"/>
  <c r="I141" i="7"/>
  <c r="L140" i="7"/>
  <c r="K140" i="7"/>
  <c r="J140" i="7"/>
  <c r="I140" i="7"/>
  <c r="L139" i="7"/>
  <c r="K139" i="7"/>
  <c r="J139" i="7"/>
  <c r="I139" i="7"/>
  <c r="L138" i="7"/>
  <c r="K138" i="7"/>
  <c r="J138" i="7"/>
  <c r="I138" i="7"/>
  <c r="L137" i="7"/>
  <c r="K137" i="7"/>
  <c r="J137" i="7"/>
  <c r="I137" i="7"/>
  <c r="L134" i="7"/>
  <c r="K134" i="7"/>
  <c r="J134" i="7"/>
  <c r="I134" i="7"/>
  <c r="L133" i="7"/>
  <c r="K133" i="7"/>
  <c r="J133" i="7"/>
  <c r="I133" i="7"/>
  <c r="L132" i="7"/>
  <c r="K132" i="7"/>
  <c r="J132" i="7"/>
  <c r="I132" i="7"/>
  <c r="L129" i="7"/>
  <c r="K129" i="7"/>
  <c r="J129" i="7"/>
  <c r="I129" i="7"/>
  <c r="L128" i="7"/>
  <c r="K128" i="7"/>
  <c r="J128" i="7"/>
  <c r="I128" i="7"/>
  <c r="L127" i="7"/>
  <c r="K127" i="7"/>
  <c r="J127" i="7"/>
  <c r="I127" i="7"/>
  <c r="L126" i="7"/>
  <c r="K126" i="7"/>
  <c r="J126" i="7"/>
  <c r="I126" i="7"/>
  <c r="L125" i="7"/>
  <c r="K125" i="7"/>
  <c r="J125" i="7"/>
  <c r="I125" i="7"/>
  <c r="L123" i="7"/>
  <c r="K123" i="7"/>
  <c r="J123" i="7"/>
  <c r="I123" i="7"/>
  <c r="L122" i="7"/>
  <c r="K122" i="7"/>
  <c r="J122" i="7"/>
  <c r="I122" i="7"/>
  <c r="L121" i="7"/>
  <c r="K121" i="7"/>
  <c r="J121" i="7"/>
  <c r="I121" i="7"/>
  <c r="L120" i="7"/>
  <c r="K120" i="7"/>
  <c r="J120" i="7"/>
  <c r="I120" i="7"/>
  <c r="L117" i="7"/>
  <c r="K117" i="7"/>
  <c r="J117" i="7"/>
  <c r="I117" i="7"/>
  <c r="L116" i="7"/>
  <c r="K116" i="7"/>
  <c r="J116" i="7"/>
  <c r="I116" i="7"/>
  <c r="L115" i="7"/>
  <c r="K115" i="7"/>
  <c r="J115" i="7"/>
  <c r="I115" i="7"/>
  <c r="L114" i="7"/>
  <c r="K114" i="7"/>
  <c r="J114" i="7"/>
  <c r="I114" i="7"/>
  <c r="L113" i="7"/>
  <c r="K113" i="7"/>
  <c r="J113" i="7"/>
  <c r="I113" i="7"/>
  <c r="L108" i="7"/>
  <c r="K108" i="7"/>
  <c r="J108" i="7"/>
  <c r="I108" i="7"/>
  <c r="L105" i="7"/>
  <c r="K105" i="7"/>
  <c r="J105" i="7"/>
  <c r="I105" i="7"/>
  <c r="L104" i="7"/>
  <c r="K104" i="7"/>
  <c r="J104" i="7"/>
  <c r="I104" i="7"/>
  <c r="L101" i="7"/>
  <c r="K101" i="7"/>
  <c r="J101" i="7"/>
  <c r="I101" i="7"/>
  <c r="L100" i="7"/>
  <c r="K100" i="7"/>
  <c r="J100" i="7"/>
  <c r="I100" i="7"/>
  <c r="L99" i="7"/>
  <c r="K99" i="7"/>
  <c r="J99" i="7"/>
  <c r="I99" i="7"/>
  <c r="L96" i="7"/>
  <c r="K96" i="7"/>
  <c r="J96" i="7"/>
  <c r="I96" i="7"/>
  <c r="L95" i="7"/>
  <c r="K95" i="7"/>
  <c r="J95" i="7"/>
  <c r="I95" i="7"/>
  <c r="L94" i="7"/>
  <c r="K94" i="7"/>
  <c r="J94" i="7"/>
  <c r="I94" i="7"/>
  <c r="L93" i="7"/>
  <c r="K93" i="7"/>
  <c r="J93" i="7"/>
  <c r="I93" i="7"/>
  <c r="L90" i="7"/>
  <c r="K90" i="7"/>
  <c r="J90" i="7"/>
  <c r="I90" i="7"/>
  <c r="L89" i="7"/>
  <c r="K89" i="7"/>
  <c r="J89" i="7"/>
  <c r="I89" i="7"/>
  <c r="L86" i="7"/>
  <c r="K86" i="7"/>
  <c r="J86" i="7"/>
  <c r="I86" i="7"/>
  <c r="L85" i="7"/>
  <c r="K85" i="7"/>
  <c r="J85" i="7"/>
  <c r="I85" i="7"/>
  <c r="L84" i="7"/>
  <c r="K84" i="7"/>
  <c r="J84" i="7"/>
  <c r="I84" i="7"/>
  <c r="L81" i="7"/>
  <c r="K81" i="7"/>
  <c r="J81" i="7"/>
  <c r="I81" i="7"/>
  <c r="L80" i="7"/>
  <c r="K80" i="7"/>
  <c r="J80" i="7"/>
  <c r="I80" i="7"/>
  <c r="L79" i="7"/>
  <c r="K79" i="7"/>
  <c r="J79" i="7"/>
  <c r="I79" i="7"/>
  <c r="L78" i="7"/>
  <c r="K78" i="7"/>
  <c r="J78" i="7"/>
  <c r="I78" i="7"/>
  <c r="L77" i="7"/>
  <c r="K77" i="7"/>
  <c r="J77" i="7"/>
  <c r="I77" i="7"/>
  <c r="L76" i="7"/>
  <c r="K76" i="7"/>
  <c r="J76" i="7"/>
  <c r="I76" i="7"/>
  <c r="L75" i="7"/>
  <c r="K75" i="7"/>
  <c r="J75" i="7"/>
  <c r="I75" i="7"/>
  <c r="L72" i="7"/>
  <c r="K72" i="7"/>
  <c r="J72" i="7"/>
  <c r="I72" i="7"/>
  <c r="L71" i="7"/>
  <c r="K71" i="7"/>
  <c r="J71" i="7"/>
  <c r="I71" i="7"/>
  <c r="L70" i="7"/>
  <c r="K70" i="7"/>
  <c r="J70" i="7"/>
  <c r="I70" i="7"/>
  <c r="L67" i="7"/>
  <c r="K67" i="7"/>
  <c r="J67" i="7"/>
  <c r="I67" i="7"/>
  <c r="L66" i="7"/>
  <c r="K66" i="7"/>
  <c r="J66" i="7"/>
  <c r="I66" i="7"/>
  <c r="L65" i="7"/>
  <c r="K65" i="7"/>
  <c r="J65" i="7"/>
  <c r="I65" i="7"/>
  <c r="L62" i="7"/>
  <c r="K62" i="7"/>
  <c r="J62" i="7"/>
  <c r="I62" i="7"/>
  <c r="L61" i="7"/>
  <c r="K61" i="7"/>
  <c r="J61" i="7"/>
  <c r="I61" i="7"/>
  <c r="L60" i="7"/>
  <c r="K60" i="7"/>
  <c r="J60" i="7"/>
  <c r="I60" i="7"/>
  <c r="L55" i="7"/>
  <c r="K55" i="7"/>
  <c r="J55" i="7"/>
  <c r="I55" i="7"/>
  <c r="I52" i="7"/>
  <c r="J52" i="7"/>
  <c r="K52" i="7"/>
  <c r="L52" i="7"/>
  <c r="L51" i="7"/>
  <c r="K51" i="7"/>
  <c r="J51" i="7"/>
  <c r="I51" i="7"/>
  <c r="L48" i="7"/>
  <c r="K48" i="7"/>
  <c r="J48" i="7"/>
  <c r="I48" i="7"/>
  <c r="I45" i="7"/>
  <c r="J45" i="7"/>
  <c r="K45" i="7"/>
  <c r="L45" i="7"/>
  <c r="L44" i="7"/>
  <c r="K44" i="7"/>
  <c r="J44" i="7"/>
  <c r="I44" i="7"/>
  <c r="L43" i="7"/>
  <c r="K43" i="7"/>
  <c r="J43" i="7"/>
  <c r="I43" i="7"/>
  <c r="L40" i="7"/>
  <c r="K40" i="7"/>
  <c r="J40" i="7"/>
  <c r="I40" i="7"/>
  <c r="L39" i="7"/>
  <c r="K39" i="7"/>
  <c r="J39" i="7"/>
  <c r="I39" i="7"/>
  <c r="I36" i="7"/>
  <c r="J36" i="7"/>
  <c r="K36" i="7"/>
  <c r="L36" i="7"/>
  <c r="L35" i="7"/>
  <c r="K35" i="7"/>
  <c r="J35" i="7"/>
  <c r="I35" i="7"/>
  <c r="L34" i="7"/>
  <c r="K34" i="7"/>
  <c r="J34" i="7"/>
  <c r="I34" i="7"/>
  <c r="L33" i="7"/>
  <c r="K33" i="7"/>
  <c r="J33" i="7"/>
  <c r="I33" i="7"/>
  <c r="L30" i="7"/>
  <c r="K30" i="7"/>
  <c r="J30" i="7"/>
  <c r="I30" i="7"/>
  <c r="L29" i="7"/>
  <c r="K29" i="7"/>
  <c r="J29" i="7"/>
  <c r="I29" i="7"/>
  <c r="L28" i="7"/>
  <c r="K28" i="7"/>
  <c r="J28" i="7"/>
  <c r="I28" i="7"/>
  <c r="L25" i="7"/>
  <c r="K25" i="7"/>
  <c r="J25" i="7"/>
  <c r="I25" i="7"/>
  <c r="L24" i="7"/>
  <c r="K24" i="7"/>
  <c r="J24" i="7"/>
  <c r="I24" i="7"/>
  <c r="L23" i="7"/>
  <c r="K23" i="7"/>
  <c r="J23" i="7"/>
  <c r="I23" i="7"/>
  <c r="I19" i="7"/>
  <c r="J19" i="7"/>
  <c r="K19" i="7"/>
  <c r="L19" i="7"/>
  <c r="I20" i="7"/>
  <c r="J20" i="7"/>
  <c r="K20" i="7"/>
  <c r="L20" i="7"/>
  <c r="L18" i="7"/>
  <c r="K18" i="7"/>
  <c r="J18" i="7"/>
  <c r="I18" i="7"/>
  <c r="I7" i="7"/>
  <c r="J7" i="7"/>
  <c r="K7" i="7"/>
  <c r="L7" i="7"/>
  <c r="I8" i="7"/>
  <c r="J8" i="7"/>
  <c r="K8" i="7"/>
  <c r="L8" i="7"/>
  <c r="I9" i="7"/>
  <c r="J9" i="7"/>
  <c r="K9" i="7"/>
  <c r="L9" i="7"/>
  <c r="I10" i="7"/>
  <c r="J10" i="7"/>
  <c r="K10" i="7"/>
  <c r="L10" i="7"/>
  <c r="I11" i="7"/>
  <c r="J11" i="7"/>
  <c r="K11" i="7"/>
  <c r="L11" i="7"/>
  <c r="J6" i="7"/>
  <c r="K6" i="7"/>
  <c r="L6" i="7"/>
  <c r="I6" i="7"/>
  <c r="H44" i="1" l="1"/>
  <c r="J44" i="1" s="1"/>
  <c r="H43" i="1"/>
  <c r="I43" i="1" s="1"/>
  <c r="J43" i="1" s="1"/>
  <c r="K43" i="1" s="1"/>
  <c r="C44" i="6" l="1"/>
  <c r="C43" i="6"/>
  <c r="C42" i="6"/>
  <c r="C41" i="6"/>
  <c r="B40" i="6"/>
  <c r="B24" i="6"/>
  <c r="B21" i="6"/>
  <c r="B20" i="6"/>
  <c r="B19" i="6"/>
  <c r="B18" i="6"/>
</calcChain>
</file>

<file path=xl/sharedStrings.xml><?xml version="1.0" encoding="utf-8"?>
<sst xmlns="http://schemas.openxmlformats.org/spreadsheetml/2006/main" count="4717" uniqueCount="1934">
  <si>
    <t>Version</t>
  </si>
  <si>
    <t>Mise à jour des Tarifs Matinfo 5</t>
  </si>
  <si>
    <t>Code couleur</t>
  </si>
  <si>
    <t>V1</t>
  </si>
  <si>
    <t>Démarrage Matinfo 5</t>
  </si>
  <si>
    <t>Texte</t>
  </si>
  <si>
    <t>Option non disponible dans les DROM COM</t>
  </si>
  <si>
    <t>Intégration onglet maintien parc existant Dell</t>
  </si>
  <si>
    <t>Option spécifique aux DROM COM</t>
  </si>
  <si>
    <t>Transition sur les nouveaux modèles / options</t>
  </si>
  <si>
    <t>Retrait des produits / options en fin de vie</t>
  </si>
  <si>
    <t>Modifications mineures de certains libellés</t>
  </si>
  <si>
    <t>V2</t>
  </si>
  <si>
    <t xml:space="preserve">Retrait de la configuration Cat1Conf5a </t>
  </si>
  <si>
    <t>Retrait WYSE 3040 et 5030 PCoIP et Ajout WYSE 5470 Mobile en versions Win10 IOT et ThinOS</t>
  </si>
  <si>
    <t>Révision des prix à hauteur de 2.5% sur l’ensemble des lignes (hors options service)</t>
  </si>
  <si>
    <t>V3</t>
  </si>
  <si>
    <t>Ajout du Precision 5560 en Catégorie 1 Configuration 5</t>
  </si>
  <si>
    <t>Ajout des options spécifiques aux DROM COM et mise en place du code couleur ci-contre</t>
  </si>
  <si>
    <t>Modification des GPU au niveau des configurations de base des Precision Tour et Rack</t>
  </si>
  <si>
    <t xml:space="preserve">Passage sur une dalle FHD 500 nits sur les configurations de base des Precision 7560 et 7760 </t>
  </si>
  <si>
    <t>Catégorie 2 Configuration 1 : Passage temporaire de la configuration de base sous Windows en attendant le support de la carte T1000 (8Go) sous Ubuntu</t>
  </si>
  <si>
    <t>Bordereau de prix</t>
  </si>
  <si>
    <t>CATEGORIE 1 : Modélisation</t>
  </si>
  <si>
    <t>Désignation/Description des matériels</t>
  </si>
  <si>
    <t>Référence constructeur
(le cas échéant)</t>
  </si>
  <si>
    <t>Numéro 
de référence</t>
  </si>
  <si>
    <t>TARIFS
 en € HT</t>
  </si>
  <si>
    <t>3-1-1-1a</t>
  </si>
  <si>
    <t>3-1-2-1a</t>
  </si>
  <si>
    <t>3-1-3-1a</t>
  </si>
  <si>
    <t>3-1-4-1a</t>
  </si>
  <si>
    <t>3-1-6-1a</t>
  </si>
  <si>
    <t>CATEGORIE 1 : extensions et périphériques associés, extensions de garantie, installation, etc.</t>
  </si>
  <si>
    <t>Passages de processeur</t>
  </si>
  <si>
    <t>3-1-1-2</t>
  </si>
  <si>
    <t>3-1-1-3</t>
  </si>
  <si>
    <t>3-1-1-4</t>
  </si>
  <si>
    <t>3-1-1-5</t>
  </si>
  <si>
    <t>Passages de mémoire</t>
  </si>
  <si>
    <t>3-1-1-8</t>
  </si>
  <si>
    <t>3-1-1-9</t>
  </si>
  <si>
    <t>1er disque dur (passage)</t>
  </si>
  <si>
    <t>SSD 512GoM.2 PCIe NVMe Classe 40</t>
  </si>
  <si>
    <t>3-1-1-13</t>
  </si>
  <si>
    <t>SSD 1To M.2 PCIe NVMe Classe 40</t>
  </si>
  <si>
    <t>3-1-1-14</t>
  </si>
  <si>
    <t>SSD 2To M.2 PCIe NVMe Classe 40</t>
  </si>
  <si>
    <t>3-1-1-15</t>
  </si>
  <si>
    <t>Ajout 2nd disque dur</t>
  </si>
  <si>
    <t>3-1-1-16</t>
  </si>
  <si>
    <t>3-1-1-17</t>
  </si>
  <si>
    <t>3-1-1-18</t>
  </si>
  <si>
    <t>3-1-1-19</t>
  </si>
  <si>
    <t>Carte graphique (passsage)</t>
  </si>
  <si>
    <t>3-1-1-26</t>
  </si>
  <si>
    <t>Cartes d'interface aditionnelles</t>
  </si>
  <si>
    <t>3-1-1-28</t>
  </si>
  <si>
    <t>3-1-1-29</t>
  </si>
  <si>
    <t>3-1-1-30</t>
  </si>
  <si>
    <t>Carte sans fil additionnelle (Ajout)</t>
  </si>
  <si>
    <t>3-1-1-31</t>
  </si>
  <si>
    <t>Gestion avancée</t>
  </si>
  <si>
    <t>Activation ISM (Intel Standard Management)</t>
  </si>
  <si>
    <t>3-1-1-32</t>
  </si>
  <si>
    <t xml:space="preserve">Activation des fonctionnalités de gestion avancées Intel® vPro en Usine </t>
  </si>
  <si>
    <t>3-1-1-33</t>
  </si>
  <si>
    <t>Passage au clavier QWERTY US</t>
  </si>
  <si>
    <t>Passage au clavier Multimédia QWERTY US</t>
  </si>
  <si>
    <t>3-1-1-34</t>
  </si>
  <si>
    <t>3-0-1-154</t>
  </si>
  <si>
    <t>3-0-1-155</t>
  </si>
  <si>
    <t>Extensions de garantie acquises lors de l'achat initial</t>
  </si>
  <si>
    <t>Extension de garantie ProSupport 6 ans J+1 (heures ouvrés, jours ouvrés) + SAM Matinfo 5</t>
  </si>
  <si>
    <t>3-0-3-1</t>
  </si>
  <si>
    <t>Extension de garantie ProSupport 7 ans J+1 (heures ouvrés, jours ouvrés) + SAM Matinfo 5</t>
  </si>
  <si>
    <t>3-0-3-2</t>
  </si>
  <si>
    <t>3-0-3-3</t>
  </si>
  <si>
    <r>
      <t>Extension Pack Maintenance ProActive 5 ans J+1 (ProSupport Plus - Inclut la garantie casse et Keep Your Hard Drive)</t>
    </r>
    <r>
      <rPr>
        <sz val="10"/>
        <color indexed="2"/>
        <rFont val="Calibri"/>
        <family val="2"/>
        <scheme val="minor"/>
      </rPr>
      <t xml:space="preserve"> - Non disponible dans les DROM COM</t>
    </r>
  </si>
  <si>
    <t>3-0-3-4</t>
  </si>
  <si>
    <r>
      <t>Extension Pack Maintenance ProActive 5 ans H+4 avec service sur site 24x7 (ProSupport Plus - Inclut la garantie casse et Keep Your Hard Drive)</t>
    </r>
    <r>
      <rPr>
        <sz val="10"/>
        <color indexed="2"/>
        <rFont val="Calibri"/>
        <family val="2"/>
        <scheme val="minor"/>
      </rPr>
      <t xml:space="preserve"> - Non disponible dans les DROM COM </t>
    </r>
  </si>
  <si>
    <t>Livraison DDP &amp; Garantie DROM COM - Sélection obligatoire</t>
  </si>
  <si>
    <t>3-0-3-100</t>
  </si>
  <si>
    <t>3-0-3-101</t>
  </si>
  <si>
    <t>3-0-3-102</t>
  </si>
  <si>
    <t>3-0-3-103</t>
  </si>
  <si>
    <t>3-0-3-104</t>
  </si>
  <si>
    <t>5 ans de protection des données - Conservez votre disque dur (Keep Your Hard Drive)</t>
  </si>
  <si>
    <t>3-0-3-13</t>
  </si>
  <si>
    <t>3-0-3-14</t>
  </si>
  <si>
    <t>Processeur (Passage)</t>
  </si>
  <si>
    <t>3-1-2-6</t>
  </si>
  <si>
    <t>SSD 512Go M.2 PCIe NVMe Classe 40</t>
  </si>
  <si>
    <t>DD 1To 7200 tr/min 2"5</t>
  </si>
  <si>
    <t>3-1-2-10</t>
  </si>
  <si>
    <t>3-1-2-11</t>
  </si>
  <si>
    <t xml:space="preserve">DD 4To 7200 Tr/min 3,5" Enterprise </t>
  </si>
  <si>
    <t>3-1-2-12</t>
  </si>
  <si>
    <t>Lecteur optique et/ou de cartes mémoire Aditionnel</t>
  </si>
  <si>
    <t>Lecteur de carte micro SD</t>
  </si>
  <si>
    <t>3-1-2-15</t>
  </si>
  <si>
    <t>3-1-2-17</t>
  </si>
  <si>
    <t>Port additionnel - 1 seul choix possible</t>
  </si>
  <si>
    <t>Cartes d'interface additionnelles - 1 seule carte possible</t>
  </si>
  <si>
    <t>Seconde carte PCIe d‘interface réseau Intel I210 1 Gb (1x1 GbE)</t>
  </si>
  <si>
    <t>3-1-2-18</t>
  </si>
  <si>
    <t>3-1-2-21</t>
  </si>
  <si>
    <t>Carte PCIe avec port série mi-hauteur</t>
  </si>
  <si>
    <t>3-1-2-22</t>
  </si>
  <si>
    <t xml:space="preserve"> </t>
  </si>
  <si>
    <t>3-0-1-151</t>
  </si>
  <si>
    <t>3-0-1-152</t>
  </si>
  <si>
    <t>Socle Dell tout-en-un au format SFF | OSS21</t>
  </si>
  <si>
    <t>482-BBDY</t>
  </si>
  <si>
    <t>3-0-1-153</t>
  </si>
  <si>
    <t>3-1-3-3</t>
  </si>
  <si>
    <t>3-1-3-4</t>
  </si>
  <si>
    <t>3-1-3-5</t>
  </si>
  <si>
    <t>3-1-3-6</t>
  </si>
  <si>
    <t>3-1-3-7</t>
  </si>
  <si>
    <t>3-1-3-8</t>
  </si>
  <si>
    <t>3-1-3-9</t>
  </si>
  <si>
    <t>3-1-3-10</t>
  </si>
  <si>
    <t>Ajout 2nd disque dur M.2 SSD et HDD</t>
  </si>
  <si>
    <t>Alimentation (passage) - Pas de mise à jour possible après achat</t>
  </si>
  <si>
    <t>3-1-3-12</t>
  </si>
  <si>
    <t>Cartes graphiques Professionnelles</t>
  </si>
  <si>
    <t>3-1-3-25</t>
  </si>
  <si>
    <t>3-1-3-27</t>
  </si>
  <si>
    <t>3-1-1-36</t>
  </si>
  <si>
    <t>3-1-3-28</t>
  </si>
  <si>
    <t>3-1-3-16</t>
  </si>
  <si>
    <t>Cartes graphiques Grand Public</t>
  </si>
  <si>
    <t>3-1-3-17</t>
  </si>
  <si>
    <t>3-1-3-18</t>
  </si>
  <si>
    <t>3-1-3-19</t>
  </si>
  <si>
    <t>Lecteur optique et/ou de cartes mémoire (ajout)</t>
  </si>
  <si>
    <t>Carte PCIe avec port série - Pleine hauteur</t>
  </si>
  <si>
    <t>3-1-3-22</t>
  </si>
  <si>
    <t>Accessoires pour Precision 36X0</t>
  </si>
  <si>
    <t>3-0-1-149</t>
  </si>
  <si>
    <t>3-0-1-150</t>
  </si>
  <si>
    <t>Passages de processeur et carte graphique</t>
  </si>
  <si>
    <t>3-1-4-2</t>
  </si>
  <si>
    <t>3-1-4-7</t>
  </si>
  <si>
    <t>3-1-4-8</t>
  </si>
  <si>
    <t>3-1-4-9</t>
  </si>
  <si>
    <t>3-1-4-10</t>
  </si>
  <si>
    <t>3-1-4-11</t>
  </si>
  <si>
    <t>3-1-4-12</t>
  </si>
  <si>
    <t>3-1-4-13</t>
  </si>
  <si>
    <t>SSD 1 To M.2 PCIe NVMe Classe 40</t>
  </si>
  <si>
    <t>3-1-4-14</t>
  </si>
  <si>
    <t>SSD 2 To M.2 PCIe NVMe Classe 40</t>
  </si>
  <si>
    <t>3-1-4-15</t>
  </si>
  <si>
    <t xml:space="preserve">Ajout 2nd disque dur </t>
  </si>
  <si>
    <t>SSD 512 Go M.2 PCIe NVMe classe 40</t>
  </si>
  <si>
    <t>3-1-4-18</t>
  </si>
  <si>
    <t>SSD 1 To M.2 PCIe NVMe classe 40</t>
  </si>
  <si>
    <t>3-1-4-19</t>
  </si>
  <si>
    <t>Options écran (passage)</t>
  </si>
  <si>
    <t>3-1-4-23</t>
  </si>
  <si>
    <t>3-1-4-24</t>
  </si>
  <si>
    <t>3-1-4-26</t>
  </si>
  <si>
    <t>Passage au clavier QWERTY</t>
  </si>
  <si>
    <t>Clavier intégré rétroéclairé - Anglais  internationnal (QWERTY)</t>
  </si>
  <si>
    <t>3-1-4-28</t>
  </si>
  <si>
    <t>Passage de batterie</t>
  </si>
  <si>
    <t>3-1-4-31</t>
  </si>
  <si>
    <t>3-1-4-32</t>
  </si>
  <si>
    <t>3-1-4-33</t>
  </si>
  <si>
    <t>3-1-4-34</t>
  </si>
  <si>
    <t>3-0-3-5</t>
  </si>
  <si>
    <t>3-0-3-6</t>
  </si>
  <si>
    <t>3-0-3-7</t>
  </si>
  <si>
    <t>WD19S - Dock USB-C 180W - 2 x DP 1.4 / 1 x HDMI / 1 x USB-C / Ethernet &amp; USB - Garantie 5 ans</t>
  </si>
  <si>
    <t>210-AZBU</t>
  </si>
  <si>
    <t>3-0-2-4</t>
  </si>
  <si>
    <t>3-0-2-5</t>
  </si>
  <si>
    <t>3-1-6-10</t>
  </si>
  <si>
    <t>3-1-6-24</t>
  </si>
  <si>
    <t>3-1-6-25</t>
  </si>
  <si>
    <t>3-1-6-4</t>
  </si>
  <si>
    <t>3-1-6-5</t>
  </si>
  <si>
    <t>3-1-6-8</t>
  </si>
  <si>
    <t>Passages de cartes graphiques</t>
  </si>
  <si>
    <t>3-1-6-11</t>
  </si>
  <si>
    <t>3-1-6-12</t>
  </si>
  <si>
    <t>3-1-6-13</t>
  </si>
  <si>
    <t>Passages d'écran</t>
  </si>
  <si>
    <t>3-1-6-16</t>
  </si>
  <si>
    <t>3-1-6-17</t>
  </si>
  <si>
    <t>Clavier intégré rétroéclairé - Américain international (QWERTY)</t>
  </si>
  <si>
    <t>3-1-6-20</t>
  </si>
  <si>
    <t>3-1-6-21</t>
  </si>
  <si>
    <t>3-1-6-22</t>
  </si>
  <si>
    <t>Communication (wifi, 4G ...)</t>
  </si>
  <si>
    <t>3-1-6-23</t>
  </si>
  <si>
    <t>Stations d'accueil</t>
  </si>
  <si>
    <t xml:space="preserve">210-AZBW </t>
  </si>
  <si>
    <t>3-0-2-6</t>
  </si>
  <si>
    <t>CATEGORIE 2 : VR avancée</t>
  </si>
  <si>
    <t>3-2-1-1a</t>
  </si>
  <si>
    <t>3-2-2-1a</t>
  </si>
  <si>
    <t>3-2-3-1a</t>
  </si>
  <si>
    <t>CATEGORIE 2 : extensions et périphériques associés, extensions de garantie, installation, etc.</t>
  </si>
  <si>
    <t>3-2-1-21</t>
  </si>
  <si>
    <t>3-2-1-22</t>
  </si>
  <si>
    <t>3-2-1-27</t>
  </si>
  <si>
    <t>3-2-1-28</t>
  </si>
  <si>
    <t>3-2-1-29</t>
  </si>
  <si>
    <t>3-2-1-30</t>
  </si>
  <si>
    <t>3-2-1-24</t>
  </si>
  <si>
    <t>3-2-1-25</t>
  </si>
  <si>
    <t>3-2-1-26</t>
  </si>
  <si>
    <t>3-2-1-45</t>
  </si>
  <si>
    <t>3-2-1-46</t>
  </si>
  <si>
    <t>3-2-1-47</t>
  </si>
  <si>
    <t>3-2-1-53</t>
  </si>
  <si>
    <t>3-2-2-2</t>
  </si>
  <si>
    <t>3-2-2-3</t>
  </si>
  <si>
    <t>3-2-2-4</t>
  </si>
  <si>
    <t>3-2-2-5</t>
  </si>
  <si>
    <t>3-2-2-9</t>
  </si>
  <si>
    <t>3-2-2-10</t>
  </si>
  <si>
    <t>3-2-2-17</t>
  </si>
  <si>
    <t>3-2-2-18</t>
  </si>
  <si>
    <t>3-2-3-2</t>
  </si>
  <si>
    <t>3-2-3-6</t>
  </si>
  <si>
    <t>3-2-3-7</t>
  </si>
  <si>
    <t>3-2-3-12</t>
  </si>
  <si>
    <t>3-2-3-13</t>
  </si>
  <si>
    <t>3-2-3-15</t>
  </si>
  <si>
    <t>3-2-3-16</t>
  </si>
  <si>
    <t>3-2-3-17</t>
  </si>
  <si>
    <t>3-2-3-25</t>
  </si>
  <si>
    <t>3-2-3-26</t>
  </si>
  <si>
    <t>3-2-0-34</t>
  </si>
  <si>
    <t>3-2-0-37</t>
  </si>
  <si>
    <t>3-2-0-38</t>
  </si>
  <si>
    <t>3-2-0-39</t>
  </si>
  <si>
    <t>CATEGORIE 3 : Calcul</t>
  </si>
  <si>
    <t>PRECISION 5820 Tower</t>
  </si>
  <si>
    <t>3-3-1-1a</t>
  </si>
  <si>
    <t>PRECISION 7920 Tower</t>
  </si>
  <si>
    <t>3-3-2-1a</t>
  </si>
  <si>
    <t>PRECISION 7920 Rack</t>
  </si>
  <si>
    <t>3-3-3-1a</t>
  </si>
  <si>
    <t>CATEGORIE 3 : extensions et périphériques associés, extensions de garantie, installation, etc.</t>
  </si>
  <si>
    <t>CAT3_Configuration n°1 - Precision T5820 Tour</t>
  </si>
  <si>
    <t>Intel Xeon W-2225 (4 cœurs HT, 4.1Ghz, 4.6Ghz Turbo, 8.25M cache, 105W)</t>
  </si>
  <si>
    <t>3-3-1-2</t>
  </si>
  <si>
    <t>Intel Xeon W-2235 (6 cœurs HT, 3.8Ghz, 4.6GHzTurbo, 8.25M Cache, 130W)</t>
  </si>
  <si>
    <t>3-3-1-3</t>
  </si>
  <si>
    <t>Intel Xeon W-2245 (8 cœurs HT, 3.9Ghz , 4.7Ghz Turbo, 16.5M cache, 155W)</t>
  </si>
  <si>
    <t>3-3-1-4</t>
  </si>
  <si>
    <t>Intel Xeon W-2255 (10 cœurs HT, 3.7Ghz, 4.7Ghz Turbo, 19.25M cache, 165W)</t>
  </si>
  <si>
    <t>3-3-1-5</t>
  </si>
  <si>
    <t>Intel Xeon W-2265 (12 cœurs HT, 3.5Ghz, 4.8Ghz Turbo, 19.25M cache, 165W)</t>
  </si>
  <si>
    <t>3-3-1-6</t>
  </si>
  <si>
    <t>Intel Xeon W-2275 (14 cœurs HT, 3.3GHz, 4.8 GHz Turbo, 19.25M cache, 165W)</t>
  </si>
  <si>
    <t>3-3-1-7</t>
  </si>
  <si>
    <t>Intel Xeon W-2295 (18 cœurs HT, 3.0GHz, 4.6 GHz Turbo, 24.75M cache, 165W)</t>
  </si>
  <si>
    <t>3-3-1-8</t>
  </si>
  <si>
    <t>64Go 3200 MHz DDR4 - 4x16Go ECC</t>
  </si>
  <si>
    <t>3-3-1-9</t>
  </si>
  <si>
    <t>3-3-1-10</t>
  </si>
  <si>
    <t>3-3-1-11</t>
  </si>
  <si>
    <t>3-3-1-12</t>
  </si>
  <si>
    <t>3-3-1-13</t>
  </si>
  <si>
    <t>3-3-1-14</t>
  </si>
  <si>
    <t>Carte Duo PCIe X8 avec 1 disque</t>
  </si>
  <si>
    <t>Dell ultra Speed drive Duo Pcie X8 avec 1 disque SSD 1To M.2 PCIe NVMe Classe 40</t>
  </si>
  <si>
    <t>3-3-1-15</t>
  </si>
  <si>
    <t>Dell ultra Speed drive Duo Pcie X8 avec 1 disque SSD 2 To M.2 PCIe NVMe Classe 40</t>
  </si>
  <si>
    <t>3-3-1-16</t>
  </si>
  <si>
    <t>Carte Duo PCIe X8 avec 2 disques</t>
  </si>
  <si>
    <t>Dell ultra Speed drive Duo Pcie X8 avec 2 disques SSD 512 Go M.2 PCIe NVMe Classe 40</t>
  </si>
  <si>
    <t>3-3-1-17</t>
  </si>
  <si>
    <t>Dell ultra Speed drive Duo Pcie X8 avec 2 disques SSD 1 To M.2 PCIe NVMe Classe 40</t>
  </si>
  <si>
    <t>3-3-1-18</t>
  </si>
  <si>
    <t>Dell ultra Speed drive Duo Pcie X8 avec 2 disques SSD 2 To M.2 PCIe NVMe Classe 40</t>
  </si>
  <si>
    <t>3-3-1-19</t>
  </si>
  <si>
    <t>Carte Quad PCIe X16 avec 1 disque</t>
  </si>
  <si>
    <t>Dell ultra Speed drive Quad  Pcie X16 avec 1 disque SSD 512Go M.2 PCIe NVMe Classe 40</t>
  </si>
  <si>
    <t>3-3-1-20</t>
  </si>
  <si>
    <t>Dell ultra Speed drive Quad  Pcie X16 avec 1 disque SSD 1To M.2 PCIe NVMe Classe 40</t>
  </si>
  <si>
    <t>3-3-1-21</t>
  </si>
  <si>
    <t>Dell ultra Speed drive Quad Pcie X16 avec 1 disque SSD 2 To M.2 PCIe NVMe Classe 40</t>
  </si>
  <si>
    <t>3-3-1-22</t>
  </si>
  <si>
    <t>Carte Quad PCIe X16 avec 2 disques</t>
  </si>
  <si>
    <t>Dell ultra Speed drive Quad  Pcie X16 avec 2 disques SSD 512Go M.2 PCIe NVMe Classe 40</t>
  </si>
  <si>
    <t>3-3-1-23</t>
  </si>
  <si>
    <t>Dell ultra Speed drive Quad Pcie X16 avec 2 disques SSD 1To M.2 PCIe NVMe Classe 40</t>
  </si>
  <si>
    <t>3-3-1-24</t>
  </si>
  <si>
    <t>Dell ultra Speed drive Quad Pcie X16 avec 2 disque SSD 2 To M.2 PCIe NVMe Classe 40</t>
  </si>
  <si>
    <t>3-3-1-25</t>
  </si>
  <si>
    <t>Carte Quad PCIe X16 avec 3 disques</t>
  </si>
  <si>
    <t>Dell ultra Speed drive Quad Pcie X16 avec 3 disques SSD 512 Go M.2 PCIe NVMe Classe 40</t>
  </si>
  <si>
    <t>3-3-1-26</t>
  </si>
  <si>
    <t>Dell ultra Speed drive Quad Pcie X16 avec 3 disques SSD 1 To M.2 PCIe NVMe Classe 40</t>
  </si>
  <si>
    <t>3-3-1-27</t>
  </si>
  <si>
    <t xml:space="preserve">Dell ultra Speed drive Quad Pcie X16 avec 3 disques SSD 2 To M.2 PCIe NVMe Class 40 </t>
  </si>
  <si>
    <t>3-3-1-28</t>
  </si>
  <si>
    <t>Carte Quad PCIe X16 avec 4 disques</t>
  </si>
  <si>
    <t>Dell ultra Speed drive Quad Pcie X16 avec 4 disques SSD 512 Go M.2 PCIe NVMe Classe 40</t>
  </si>
  <si>
    <t>3-3-1-29</t>
  </si>
  <si>
    <t>Dell ultra Speed drive Quad Pcie X16 avec 4 disques SSD 1 To M.2 PCIe NVMe Classe 40</t>
  </si>
  <si>
    <t>3-3-1-30</t>
  </si>
  <si>
    <t xml:space="preserve">Dell ultra Speed drive Quad Pcie X16 avec 4 disques SSD 2 To M.2 PCIe NVMe Class 40 </t>
  </si>
  <si>
    <t>3-3-1-31</t>
  </si>
  <si>
    <t xml:space="preserve">Configuration RAID Ultraspeed - Non compatible Ubuntu </t>
  </si>
  <si>
    <t>RAID 0 (2 à 4 disques identiques) - Inclus le passage sur contrôleur AHCI avec clé vROC</t>
  </si>
  <si>
    <t>3-3-1-34</t>
  </si>
  <si>
    <t>RAID 1 (2  disques identiques) - Inclus le passage sur contrôleur AHCI avec clé vROC</t>
  </si>
  <si>
    <t>3-3-1-36</t>
  </si>
  <si>
    <t>RAID 10 (4 disques identiques) - Inclus le passage sur contrôleur AHCI avec clé vROC</t>
  </si>
  <si>
    <t>3-3-1-37</t>
  </si>
  <si>
    <t>DD 1To 7200 tr/min 3"5</t>
  </si>
  <si>
    <t>3-3-1-38</t>
  </si>
  <si>
    <t>DD 2To 7200 tr/min 3"5</t>
  </si>
  <si>
    <t>3-3-1-39</t>
  </si>
  <si>
    <t>3-3-1-40</t>
  </si>
  <si>
    <t>DD 8To 7200 Tr/min 3,5" Enterprise</t>
  </si>
  <si>
    <t>3-3-1-41</t>
  </si>
  <si>
    <t>DD 12To 7200 Tr/min 3,5" Enterprise</t>
  </si>
  <si>
    <t>3-3-1-42</t>
  </si>
  <si>
    <t>3-3-1-43</t>
  </si>
  <si>
    <t xml:space="preserve">RAID 1 - Uniquement compatible avec 2 disques identiques 3,5’’ </t>
  </si>
  <si>
    <t>3-3-1-45</t>
  </si>
  <si>
    <t xml:space="preserve">RAID 0 - Uniquement compatible avec 2 à 4 disques identiques 3,5’’ </t>
  </si>
  <si>
    <t>3-3-1-46</t>
  </si>
  <si>
    <t>3-3-1-47</t>
  </si>
  <si>
    <t>3-3-1-48</t>
  </si>
  <si>
    <t>Cartes graphiques Professionnelles AMD</t>
  </si>
  <si>
    <t>3-3-1-49</t>
  </si>
  <si>
    <t>3-3-1-50</t>
  </si>
  <si>
    <t>AMD FirePro W6600 8Go (1792 cœurs, 4xDP )</t>
  </si>
  <si>
    <t xml:space="preserve">AMD FirePro W6800 32Go (3840 cœurs, 6xmDP ) </t>
  </si>
  <si>
    <t>Cartes graphiques Professionnelles NVIDIA</t>
  </si>
  <si>
    <t xml:space="preserve">NVIDIA T1000 8Go (896 cœurs CUDA, 4x mDP) </t>
  </si>
  <si>
    <t>3-3-1-60</t>
  </si>
  <si>
    <t>NVIDIA RTX A5000 24Go (8192 cœurs CUDA, 256 cœurs Tensor gen3, 64 cœurs RT 2ème gen,  4xDP)</t>
  </si>
  <si>
    <t>3-3-1-62</t>
  </si>
  <si>
    <t>NVIDIA RTX A6000 48Go (10752 cœurs CUDA, 336 cœurs Tenosr Gen3, 84 cœurs RT Gen2, 4xDP)</t>
  </si>
  <si>
    <t xml:space="preserve">NVIDIA Quadro GV100 (32 Go, 5120 cœurs CUDA, 640 cœurs Tensor, 4xDP, optimisée Deep Learning)  </t>
  </si>
  <si>
    <t>3-3-1-64</t>
  </si>
  <si>
    <t xml:space="preserve">NVIDIA Quadro GV100 32 Go (5120 cœurs CUDA, 640 cœurs Tensor, 4xDP, optimisée Deep Learning)  </t>
  </si>
  <si>
    <t>3-3-1-65</t>
  </si>
  <si>
    <t>Doubles cartes graphiques Professionnelles NVIDIA</t>
  </si>
  <si>
    <t xml:space="preserve">Doubles cartes graphiques Professionnelles NVIDIA </t>
  </si>
  <si>
    <t>3-3-1-83</t>
  </si>
  <si>
    <t>3-3-1-84</t>
  </si>
  <si>
    <r>
      <t xml:space="preserve">2 x NVIDIA RTX A5000 (24Go, 8192 cœurs CUDA, 256 cœurs Tensor gen3, 64 cœurs RT 2ème gen,  4xDP) </t>
    </r>
    <r>
      <rPr>
        <sz val="10"/>
        <color indexed="2"/>
        <rFont val="Calibri"/>
        <family val="2"/>
        <scheme val="minor"/>
      </rPr>
      <t>- Multi Display non supporté sous Ubuntu : usage uniquement pour calcul GPU (DataScience ou DL/ML/AI)</t>
    </r>
  </si>
  <si>
    <t>3-3-1-68</t>
  </si>
  <si>
    <r>
      <t xml:space="preserve">2 x NVIDIA RTX A5000 NV Link (24Go, 8192 cœurs CUDA, 256 cœurs Tensor gen3, 64 cœurs RT 2ème gen,  4xDP) </t>
    </r>
    <r>
      <rPr>
        <sz val="10"/>
        <color indexed="2"/>
        <rFont val="Calibri"/>
        <family val="2"/>
        <scheme val="minor"/>
      </rPr>
      <t>- Multi Display non supporté sous Ubuntu : usage uniquement pour calcul GPU (DataScience ou DL/ML/AI)</t>
    </r>
  </si>
  <si>
    <t>3-3-1-85</t>
  </si>
  <si>
    <t>Graveur DVD+/-RW 8x ultraplat</t>
  </si>
  <si>
    <t>3-3-1-72</t>
  </si>
  <si>
    <t>Graveur DVD+/-RW demi-hauteur 16x sur FlexBay 5,25"</t>
  </si>
  <si>
    <t>3-3-1-73</t>
  </si>
  <si>
    <t>Cartes d'interface aditionnelles (hors unités de stockage de masse)</t>
  </si>
  <si>
    <t>3-3-1-76</t>
  </si>
  <si>
    <t>3-3-1-78</t>
  </si>
  <si>
    <t>3-3-1-79</t>
  </si>
  <si>
    <t>3-3-1-80</t>
  </si>
  <si>
    <t>3-3-1-75</t>
  </si>
  <si>
    <t>Kit de mise en rack</t>
  </si>
  <si>
    <t xml:space="preserve">Kit de mise en rack (4U) avec Rails coulissants </t>
  </si>
  <si>
    <t>3-3-1-82</t>
  </si>
  <si>
    <t>3-0-3-8</t>
  </si>
  <si>
    <t>3-0-3-9</t>
  </si>
  <si>
    <t>3-0-3-10</t>
  </si>
  <si>
    <t>3-0-3-11</t>
  </si>
  <si>
    <t>CAT3_Configuration n°2 - Precision T7920 Tour</t>
  </si>
  <si>
    <t>2 x Intel Xeon Silver</t>
  </si>
  <si>
    <t>2x Intel Xeon Silver 4210R (10 Coeurs, 2.4-3.2GHz Turbo, 13.75Mo cache, 100W)</t>
  </si>
  <si>
    <t>3-3-2-2</t>
  </si>
  <si>
    <t>2x Intel Xeon Silver 4214R (12 Coeurs, 2.4-3.5GHz Turbo, 16.5Mo cache, 100W)</t>
  </si>
  <si>
    <t>3-3-2-3</t>
  </si>
  <si>
    <t>2x Intel Xeon Silver 4216 (16 Coeurs, 2.1-3.2GHz Turbo, 22Mo cache, 100W)</t>
  </si>
  <si>
    <t>3-3-2-5</t>
  </si>
  <si>
    <t>2 x Intel Xeon Gold</t>
  </si>
  <si>
    <t>2x Intel Xeon Gold 5218R (20 Coeurs, 2.1-4.0GHz Turbo, 22Mo cache, 125W)</t>
  </si>
  <si>
    <t>3-3-2-6</t>
  </si>
  <si>
    <t>2x Intel Xeon Gold 5220R (24 Coeurs, 2.2-4.0GHz Turbo, 35,75Mo cache, 150W)</t>
  </si>
  <si>
    <t>3-3-2-7</t>
  </si>
  <si>
    <t>2x Intel Xeon Gold 6226R (16 Cœurs, 2.9-3.9GHz Turbo, 22Mo Cache, 150W)</t>
  </si>
  <si>
    <t>3-3-2-8</t>
  </si>
  <si>
    <t>2x Intel Xeon Gold 6230R (26 Cœurs, 2.1-4.0GHz Turbo, 35.75Mo Cache, 150W)</t>
  </si>
  <si>
    <t>3-3-2-9</t>
  </si>
  <si>
    <t>2x Intel Xeon Gold 6240R (24 Coeurs, 2.4-4.0GHz Turbo, 35.75Mo cache, 165W)</t>
  </si>
  <si>
    <t>3-3-2-10</t>
  </si>
  <si>
    <t>2x Intel Xeon Gold 6246R (16 Coeurs, 3.4-4.1GHz Turbo, 35.75Mo cache, 205W)</t>
  </si>
  <si>
    <t>3-3-2-11</t>
  </si>
  <si>
    <t>2x Intel Xeon Gold 6248R (24 Coeurs, 3.0-4.0GHz Turbo, 35.75Mo cache, 205W)</t>
  </si>
  <si>
    <t>3-3-2-12</t>
  </si>
  <si>
    <t>2x Intel Xeon Gold 6254 (18 Coeurs, 3.1-4.0GHz Turbo, 24.75Mo cache, 200W)</t>
  </si>
  <si>
    <t>3-3-2-13</t>
  </si>
  <si>
    <t>2x Intel Xeon Gold 6258R (28 Coeurs, 2.7-4.0GHz Turbo, 38.5Mo cache, 205W)</t>
  </si>
  <si>
    <t>3-3-2-14</t>
  </si>
  <si>
    <t>2 x Intel Xeon Platinum</t>
  </si>
  <si>
    <t>2x Intel Xeon Platinum 8253 (16 Coeurs, 2.2-3.0GHz Turbo, 22Mo cache, 125W)</t>
  </si>
  <si>
    <t>3-3-2-15</t>
  </si>
  <si>
    <t>2x Intel Xeon Platinum  8260 (24 Coeurs, 2.4-3.9GHz Turbo, 35.75Mo cache, 165W)</t>
  </si>
  <si>
    <t>3-3-2-16</t>
  </si>
  <si>
    <r>
      <t>2x Intel Xeon Platinum 8260L (24 Coeurs, 2.4-3.9GHz Turbo, 35.75Mo cache, 165W)</t>
    </r>
    <r>
      <rPr>
        <sz val="10"/>
        <color indexed="2"/>
        <rFont val="Calibri"/>
        <family val="2"/>
        <scheme val="minor"/>
      </rPr>
      <t xml:space="preserve"> - Supporte Mémoire 1To par CPU</t>
    </r>
  </si>
  <si>
    <t>3-3-2-17</t>
  </si>
  <si>
    <t xml:space="preserve">2x Intel Xeon Platinum 8276 (28 Coeurs, 2.2-4.0GHz Turbo, 38.5Mo cache, 165W) </t>
  </si>
  <si>
    <t>3-3-2-18</t>
  </si>
  <si>
    <r>
      <t>2x Intel XeonPlatinum 8276L (28 Coeurs, 2.2-4.0GHz Turbo, 38.5Mo cache, 165W)</t>
    </r>
    <r>
      <rPr>
        <sz val="10"/>
        <color indexed="2"/>
        <rFont val="Calibri"/>
        <family val="2"/>
        <scheme val="minor"/>
      </rPr>
      <t xml:space="preserve"> - Supporte Mémoire 1To par CPU</t>
    </r>
  </si>
  <si>
    <t>3-3-2-19</t>
  </si>
  <si>
    <t xml:space="preserve">2x Intel Xeon Platinum 8280 (28 Coeurs, 2.7-4.0GHz Turbo, 38.5Mo cache, 205W) </t>
  </si>
  <si>
    <t>3-3-2-20</t>
  </si>
  <si>
    <r>
      <t>2x Intel Xeon Platinum 8280L (28 Coeurs, 2.7-4.0GHz Turbo, 38.5Mo cache, 205W)</t>
    </r>
    <r>
      <rPr>
        <sz val="10"/>
        <color indexed="2"/>
        <rFont val="Calibri"/>
        <family val="2"/>
        <scheme val="minor"/>
      </rPr>
      <t xml:space="preserve"> - Supporte Mémoire 1To par CPU</t>
    </r>
  </si>
  <si>
    <t>3-3-2-21</t>
  </si>
  <si>
    <t>128Go 3200 MHz DDR4 - 2x64Go ECC</t>
  </si>
  <si>
    <t>3-3-2-22</t>
  </si>
  <si>
    <t>128Go 3200 MHz DDR4 - 8x16Go ECC</t>
  </si>
  <si>
    <t>3-3-2-23</t>
  </si>
  <si>
    <t>192Go 3200 MHz DDR4 - 12x16Go ECC</t>
  </si>
  <si>
    <t>3-3-2-24</t>
  </si>
  <si>
    <r>
      <t xml:space="preserve">256Go 3200 MHz DDR4 - 4x64Go ECC - </t>
    </r>
    <r>
      <rPr>
        <sz val="10"/>
        <color indexed="2"/>
        <rFont val="Calibri"/>
        <family val="2"/>
        <scheme val="minor"/>
      </rPr>
      <t>Nécessite disque de demarage de 512Go avec Windows 10</t>
    </r>
  </si>
  <si>
    <t>3-3-2-25</t>
  </si>
  <si>
    <r>
      <t xml:space="preserve">384Go 3200 MHz DDR4 - 12x32Go ECC - </t>
    </r>
    <r>
      <rPr>
        <sz val="10"/>
        <color indexed="2"/>
        <rFont val="Calibri"/>
        <family val="2"/>
        <scheme val="minor"/>
      </rPr>
      <t>Nécessite disque de demarage de 1To avec Windows 10</t>
    </r>
  </si>
  <si>
    <t>3-3-2-26</t>
  </si>
  <si>
    <r>
      <t xml:space="preserve">512Go 3200 MHz DDR4 - 8x64Go ECC - </t>
    </r>
    <r>
      <rPr>
        <sz val="10"/>
        <color indexed="2"/>
        <rFont val="Calibri"/>
        <family val="2"/>
        <scheme val="minor"/>
      </rPr>
      <t>Nécessite disque de demarage de 1To avec Windows 10</t>
    </r>
  </si>
  <si>
    <t>3-3-2-27</t>
  </si>
  <si>
    <r>
      <t>768Go 3200 MHz DDR4  - 12x64Go ECC</t>
    </r>
    <r>
      <rPr>
        <sz val="10"/>
        <color indexed="2"/>
        <rFont val="Calibri"/>
        <family val="2"/>
        <scheme val="minor"/>
      </rPr>
      <t xml:space="preserve"> - Nécessite disque de demarage de 2To avec Windows 10</t>
    </r>
  </si>
  <si>
    <t>3-3-2-28</t>
  </si>
  <si>
    <r>
      <t>1 To 3200 MHz DDR4 - 8x128Go ECC</t>
    </r>
    <r>
      <rPr>
        <sz val="10"/>
        <color indexed="2"/>
        <rFont val="Calibri"/>
        <family val="2"/>
        <scheme val="minor"/>
      </rPr>
      <t xml:space="preserve"> - Nécessite disque de demarage de 2To avec Windows 10</t>
    </r>
  </si>
  <si>
    <t>3-3-2-69</t>
  </si>
  <si>
    <r>
      <t>1.5To 3200 MHz DDR4 - 12x128Go ECC</t>
    </r>
    <r>
      <rPr>
        <sz val="10"/>
        <color indexed="2"/>
        <rFont val="Calibri"/>
        <family val="2"/>
        <scheme val="minor"/>
      </rPr>
      <t xml:space="preserve"> - Nécessite disque de demarage de 4To avec Windows 10</t>
    </r>
  </si>
  <si>
    <t>3-3-2-70</t>
  </si>
  <si>
    <r>
      <t xml:space="preserve">2To 3200 MHz DDR4 - 16x128Go ECC </t>
    </r>
    <r>
      <rPr>
        <sz val="10"/>
        <color indexed="2"/>
        <rFont val="Calibri"/>
        <family val="2"/>
        <scheme val="minor"/>
      </rPr>
      <t>- Nécessite disque de demarage de 4To avec Windows 10</t>
    </r>
  </si>
  <si>
    <t>3-3-2-31</t>
  </si>
  <si>
    <r>
      <t>3To 3200 MHz DDR4 - 24x128Go ECC</t>
    </r>
    <r>
      <rPr>
        <sz val="10"/>
        <color indexed="2"/>
        <rFont val="Calibri"/>
        <family val="2"/>
        <scheme val="minor"/>
      </rPr>
      <t>- Nécessite disque de demarage de 8To avec Windows 10</t>
    </r>
  </si>
  <si>
    <t>3-3-2-32</t>
  </si>
  <si>
    <t>3-3-2-33</t>
  </si>
  <si>
    <t>3-3-2-35</t>
  </si>
  <si>
    <t>Ajout disques supplémentaires SATA 3,5'' (jusqu'à 8 disques)</t>
  </si>
  <si>
    <t xml:space="preserve">RAID 5 - Uniquement compatible avec 3 à 8 disques identiques 3,5’’ </t>
  </si>
  <si>
    <t xml:space="preserve">RAID 10 - Uniquement compatible avec 4/6/8 disques identiques 3,5’’ </t>
  </si>
  <si>
    <t>3-3-2-71</t>
  </si>
  <si>
    <t>3-3-2-72</t>
  </si>
  <si>
    <t>3-3-2-73</t>
  </si>
  <si>
    <t>3-3-2-75</t>
  </si>
  <si>
    <t>3-3-2-68</t>
  </si>
  <si>
    <t>3-3-2-76</t>
  </si>
  <si>
    <t>3-3-2-55</t>
  </si>
  <si>
    <t>3-3-2-57</t>
  </si>
  <si>
    <t>3-3-2-59</t>
  </si>
  <si>
    <t>3-3-2-60</t>
  </si>
  <si>
    <t>3-3-2-77</t>
  </si>
  <si>
    <t>3-3-2-78</t>
  </si>
  <si>
    <t>3-3-2-79</t>
  </si>
  <si>
    <t>3-3-2-63</t>
  </si>
  <si>
    <r>
      <t xml:space="preserve">2 x NVIDIA RTX A5000 24Go (8192 cœurs CUDA, 256 cœurs Tensor gen3, 64 cœurs RT 2ème gen,  4xDP) - </t>
    </r>
    <r>
      <rPr>
        <sz val="10"/>
        <color indexed="2"/>
        <rFont val="Calibri"/>
        <family val="2"/>
        <scheme val="minor"/>
      </rPr>
      <t>Multi Display non supporté sous Ubuntu : usage uniquement pour calcul GPU (DataScience ou DL/ML/AI)</t>
    </r>
  </si>
  <si>
    <t>3-3-2-80</t>
  </si>
  <si>
    <t>3-3-2-66</t>
  </si>
  <si>
    <r>
      <t xml:space="preserve">2 x NVIDIA RTX A6000 48Go (10752 cœurs CUDA, 336 cœurs Tenosr Gen3, 84 cœurs RT Gen2, 4xDP) </t>
    </r>
    <r>
      <rPr>
        <sz val="10"/>
        <color indexed="2"/>
        <rFont val="Calibri"/>
        <family val="2"/>
        <scheme val="minor"/>
      </rPr>
      <t>- Multi Display non supporté sous Ubuntu : usage uniquement pour calcul GPU (DataScience ou DL/ML/AI)</t>
    </r>
  </si>
  <si>
    <r>
      <t xml:space="preserve">2 x NVIDIA RTX A6000 48Go NVLink (10752 cœurs CUDA, 336 cœurs Tenosr Gen3, 84 cœurs RT Gen2, 4xDP) </t>
    </r>
    <r>
      <rPr>
        <sz val="10"/>
        <color indexed="2"/>
        <rFont val="Calibri"/>
        <family val="2"/>
        <scheme val="minor"/>
      </rPr>
      <t>- Multi Display non supporté sous Ubuntu : usage uniquement pour calcul GPU (DataScience ou DL/ML/AI)</t>
    </r>
  </si>
  <si>
    <t>3-3-2-81</t>
  </si>
  <si>
    <t xml:space="preserve">Kit de mise en rack (5U) avec Rails coulissants </t>
  </si>
  <si>
    <t>3-0-3-12</t>
  </si>
  <si>
    <t>CAT3_Configuration n°3 - Precision R7920 Rack</t>
  </si>
  <si>
    <t>2x Intel Xeon Gold 5220R (24 Coeurs, 2.2-4.0GHz Turbo, 35.75Mo cache, 150W)</t>
  </si>
  <si>
    <t>3-3-3-2</t>
  </si>
  <si>
    <t>3-3-3-3</t>
  </si>
  <si>
    <t>3-3-3-4</t>
  </si>
  <si>
    <t>3-3-3-5</t>
  </si>
  <si>
    <t>3-3-3-6</t>
  </si>
  <si>
    <t>3-3-3-7</t>
  </si>
  <si>
    <t>3-3-3-8</t>
  </si>
  <si>
    <t>3-3-3-9</t>
  </si>
  <si>
    <t>3-3-3-10</t>
  </si>
  <si>
    <t>3-3-3-11</t>
  </si>
  <si>
    <t>3-3-3-12</t>
  </si>
  <si>
    <t>3-3-3-13</t>
  </si>
  <si>
    <r>
      <t xml:space="preserve">2x Intel XeonPlatinum 8276L (28 Coeurs, 2.2-4.0GHz Turbo, 38.5Mo cache, 165W) </t>
    </r>
    <r>
      <rPr>
        <sz val="10"/>
        <color indexed="2"/>
        <rFont val="Calibri"/>
        <family val="2"/>
        <scheme val="minor"/>
      </rPr>
      <t>- Supporte Mémoire 1To par CPU</t>
    </r>
  </si>
  <si>
    <t>3-3-3-14</t>
  </si>
  <si>
    <t>3-3-3-15</t>
  </si>
  <si>
    <t>3-3-3-16</t>
  </si>
  <si>
    <t>3-3-3-17</t>
  </si>
  <si>
    <t>192Go  3200MHz DDR4 (12x16Go) ECC</t>
  </si>
  <si>
    <t>3-3-3-18</t>
  </si>
  <si>
    <t>3-3-3-19</t>
  </si>
  <si>
    <t>3-3-3-20</t>
  </si>
  <si>
    <t>3-3-3-21</t>
  </si>
  <si>
    <r>
      <t xml:space="preserve">768 Go  3200MHz DDR4 (12x64Go) ECC </t>
    </r>
    <r>
      <rPr>
        <sz val="10"/>
        <color indexed="2"/>
        <rFont val="Calibri"/>
        <family val="2"/>
        <scheme val="minor"/>
      </rPr>
      <t>- Nécessite disque de demarage de 2To avec Windows 10</t>
    </r>
  </si>
  <si>
    <t>3-3-3-22</t>
  </si>
  <si>
    <r>
      <t>1To  3200MHz DDR4 (8x128Go) ECC</t>
    </r>
    <r>
      <rPr>
        <sz val="10"/>
        <color indexed="2"/>
        <rFont val="Calibri"/>
        <family val="2"/>
        <scheme val="minor"/>
      </rPr>
      <t xml:space="preserve"> - Nécessite disque de demarage de 2To avec Windows 10</t>
    </r>
  </si>
  <si>
    <t>3-3-3-23</t>
  </si>
  <si>
    <r>
      <t xml:space="preserve">1.5To  3200MHz DDR4 (12x128Go) ECC </t>
    </r>
    <r>
      <rPr>
        <sz val="10"/>
        <color indexed="2"/>
        <rFont val="Calibri"/>
        <family val="2"/>
        <scheme val="minor"/>
      </rPr>
      <t>- Nécessite disque de demarage de 3To avec Windows 10</t>
    </r>
  </si>
  <si>
    <t>3-3-3-24</t>
  </si>
  <si>
    <r>
      <t>2To  3200MHz DDR4 (16x128Go) ECC</t>
    </r>
    <r>
      <rPr>
        <sz val="10"/>
        <color indexed="2"/>
        <rFont val="Calibri"/>
        <family val="2"/>
        <scheme val="minor"/>
      </rPr>
      <t xml:space="preserve"> - Nécessite disque de demarage de 4To avec Windows 10</t>
    </r>
  </si>
  <si>
    <t>3-3-3-25</t>
  </si>
  <si>
    <r>
      <t xml:space="preserve">3To  3200MHz DDR4 (24x128Go) ECC </t>
    </r>
    <r>
      <rPr>
        <sz val="10"/>
        <color indexed="2"/>
        <rFont val="Calibri"/>
        <family val="2"/>
        <scheme val="minor"/>
      </rPr>
      <t>- Nécessite disque de demarage de 8To avec Windows 10</t>
    </r>
  </si>
  <si>
    <t>3-3-3-26</t>
  </si>
  <si>
    <t xml:space="preserve">Contrôleur disque (Passage) </t>
  </si>
  <si>
    <t>3-3-3-27</t>
  </si>
  <si>
    <t xml:space="preserve">Contrôleur PERC H330 (RAID logiciel 0/1/5/10) </t>
  </si>
  <si>
    <t>3-3-3-28</t>
  </si>
  <si>
    <t>Contrôleur PERC H740P (RAID hardware 0/1/5/10, 8Mo cache)</t>
  </si>
  <si>
    <t xml:space="preserve">Configuration RAID SATA 3,5'' </t>
  </si>
  <si>
    <t>Lecteur DVD+/- RW SATA ultra plat</t>
  </si>
  <si>
    <t>3-3-3-29</t>
  </si>
  <si>
    <t>3-3-3-30</t>
  </si>
  <si>
    <t>3-3-3-31</t>
  </si>
  <si>
    <t>Alimentation (Passage)</t>
  </si>
  <si>
    <t>Un bloc d'alimentation simple hot swapp 1600W</t>
  </si>
  <si>
    <t>3-3-3-32</t>
  </si>
  <si>
    <t>Deux blocs d'alimentation redondants hot swapp 1100W</t>
  </si>
  <si>
    <t>3-3-3-33</t>
  </si>
  <si>
    <t>Deux blocs d'alimentation redondants hot swapp 1600W</t>
  </si>
  <si>
    <t>3-3-3-34</t>
  </si>
  <si>
    <t>3-3-3-35</t>
  </si>
  <si>
    <t>Carte d'administration à distance</t>
  </si>
  <si>
    <t xml:space="preserve">Passage à carte iDRAC 9 Entreprise </t>
  </si>
  <si>
    <t>3-3-3-41</t>
  </si>
  <si>
    <t>Rails coulissant Ready rails sans bras de management de cables</t>
  </si>
  <si>
    <t>3-3-3-36</t>
  </si>
  <si>
    <t>Rails coulissant Ready rails avec bras de management de cables</t>
  </si>
  <si>
    <t>3-3-3-37</t>
  </si>
  <si>
    <t xml:space="preserve">Cadre et Quick Sync (option) </t>
  </si>
  <si>
    <t>Quick Sync sans cadre</t>
  </si>
  <si>
    <t>3-3-3-38</t>
  </si>
  <si>
    <t>Cadre avant sans Quick Sync</t>
  </si>
  <si>
    <t>3-3-3-39</t>
  </si>
  <si>
    <t>Cadre avant avec Quick Sync</t>
  </si>
  <si>
    <t>3-3-3-40</t>
  </si>
  <si>
    <t>Extensions Communes Hors Configurations pour le Lot 3</t>
  </si>
  <si>
    <t>Tarif révisé final 
en € HT</t>
  </si>
  <si>
    <t>Cartes graphiques additionnelles - Ajoutées postérieurement à l'achat de la machine (Nécessite de valider en amont compatibilité station, disponibilité slot PCIe, puissance alimentation et support OS, etc.)</t>
  </si>
  <si>
    <t>3-0-1-2</t>
  </si>
  <si>
    <t>3-0-1-3</t>
  </si>
  <si>
    <t>3-0-1-4</t>
  </si>
  <si>
    <t>3-0-1-6</t>
  </si>
  <si>
    <t>3-0-1-5</t>
  </si>
  <si>
    <t>3-0-1-8</t>
  </si>
  <si>
    <t>490-BGSR</t>
  </si>
  <si>
    <t>3-0-1-7</t>
  </si>
  <si>
    <t xml:space="preserve">Unités de stockage additionnelles avec support de fixation et cablage, ajoutées postérieurement à l'achat de la machine </t>
  </si>
  <si>
    <t xml:space="preserve">SSD 512Go M.2 PCIe NVMe Classe 40 </t>
  </si>
  <si>
    <t>AA618641</t>
  </si>
  <si>
    <t>3-0-1-15</t>
  </si>
  <si>
    <t>AA615520</t>
  </si>
  <si>
    <t>3-0-1-16</t>
  </si>
  <si>
    <t>AB400209</t>
  </si>
  <si>
    <t>3-0-1-17</t>
  </si>
  <si>
    <t>Unités de stockage de masse et graveur externes</t>
  </si>
  <si>
    <t>Clés USB-A &amp; C</t>
  </si>
  <si>
    <t>Dell 64GB USB A/C Combo Flash Drive - Bleu</t>
  </si>
  <si>
    <t>AB135418</t>
  </si>
  <si>
    <t>3-0-1-18</t>
  </si>
  <si>
    <t>Dell 128GB USB A/C Combo Flash Drive - Bleu</t>
  </si>
  <si>
    <t>AB135396</t>
  </si>
  <si>
    <t>3-0-1-19</t>
  </si>
  <si>
    <t>Disques dur externes</t>
  </si>
  <si>
    <t>3-0-1-20</t>
  </si>
  <si>
    <t>3-0-1-22</t>
  </si>
  <si>
    <t>3-0-1-23</t>
  </si>
  <si>
    <t>Seagate - Disque Dur pour PC Bureau - Expansion Desk 6To 3.5 USB 3.0 (STEB6000403) - Noir</t>
  </si>
  <si>
    <t xml:space="preserve">AB771150 </t>
  </si>
  <si>
    <t>3-0-1-24</t>
  </si>
  <si>
    <t>Seagate - Disque Dur pour PC Bureau - Expansion Desk 8To 3.5 USB 3.0 (STEB8000402) - Noir</t>
  </si>
  <si>
    <t xml:space="preserve">AB771942 </t>
  </si>
  <si>
    <t>3-0-1-25</t>
  </si>
  <si>
    <t>Graveur externe</t>
  </si>
  <si>
    <t>Graveur Externe Ultramince DVD+/-RW Dell DW316 USB</t>
  </si>
  <si>
    <t>784-BBBI</t>
  </si>
  <si>
    <t>3-0-1-30</t>
  </si>
  <si>
    <t>Claviers et combos</t>
  </si>
  <si>
    <t>Claviers et combos AZERTY</t>
  </si>
  <si>
    <t>Dell KB216 - Clavier Multimedia - Noir - AZERTY</t>
  </si>
  <si>
    <t>580-ADGU</t>
  </si>
  <si>
    <t>3-0-1-31</t>
  </si>
  <si>
    <t xml:space="preserve">Dell KB522 -  Clavier Professionnel Multimedia - Noir - AZERTY </t>
  </si>
  <si>
    <t>580-17671</t>
  </si>
  <si>
    <t>3-0-1-32</t>
  </si>
  <si>
    <t>Dell KB813 - Clavier Smartcard - Noir - AZERTY</t>
  </si>
  <si>
    <t>580-18354</t>
  </si>
  <si>
    <t>3-0-1-33</t>
  </si>
  <si>
    <t>Dell - Combo Clavier et souris filaires (KB216 + MS116) - AZERTY</t>
  </si>
  <si>
    <t>580-ADGU+570-AAIS</t>
  </si>
  <si>
    <t>3-0-1-34</t>
  </si>
  <si>
    <t>Dell KM5221W - Combo Clavier et souris sans fil - Noir - AZERTY</t>
  </si>
  <si>
    <t>580-AJRL</t>
  </si>
  <si>
    <t>3-0-1-35</t>
  </si>
  <si>
    <t>Dell KM7321W - Combo Clavier et souris sans fil Dell Premier - Gris - AZERTY</t>
  </si>
  <si>
    <t>580-AJQM</t>
  </si>
  <si>
    <t>3-0-1-36</t>
  </si>
  <si>
    <t>Claviers étanches AZERTY</t>
  </si>
  <si>
    <t xml:space="preserve">Cherry KC 1068 - Clavier filaire étanche désinfectable, dans enveloppe de protection soudée, IP 68 (JK-1068FR-0) - AZERTY - Blanc </t>
  </si>
  <si>
    <t>AB766551</t>
  </si>
  <si>
    <t>3-0-1-39</t>
  </si>
  <si>
    <t>Cherry KC 1068 - Clavier filaire étanche désinfectable, dans enveloppe de protection soudée, IP 68  (JK-1068FR-2) - AZERTY - Noir</t>
  </si>
  <si>
    <t>AB766552</t>
  </si>
  <si>
    <t>3-0-1-40</t>
  </si>
  <si>
    <t>Claviers et combos QWERTY</t>
  </si>
  <si>
    <t xml:space="preserve">Dell KB216 - Clavier Multimedia - Noir - Américain/international QWERTY </t>
  </si>
  <si>
    <t>580-ADHK</t>
  </si>
  <si>
    <t>3-0-1-41</t>
  </si>
  <si>
    <t xml:space="preserve">Dell KB522 -  Clavier Professionnel Multimedia - Noir - Américain/international QWERTY </t>
  </si>
  <si>
    <t>580-17667</t>
  </si>
  <si>
    <t>3-0-1-42</t>
  </si>
  <si>
    <t>Dell KB813 - Clavier Smartcard - Noir - QWERTY</t>
  </si>
  <si>
    <t>580-18366</t>
  </si>
  <si>
    <t>3-0-1-43</t>
  </si>
  <si>
    <t>Dell - Combo Clavier et souris filaires (KB216 + MS116) - QWERTY</t>
  </si>
  <si>
    <t>580-ADHK+570-AAIS</t>
  </si>
  <si>
    <t>3-0-1-44</t>
  </si>
  <si>
    <t>Dell KM5221W - Combo Clavier et souris sans fil - Noir - QWERTY</t>
  </si>
  <si>
    <t>580-AJRP</t>
  </si>
  <si>
    <t>3-0-1-45</t>
  </si>
  <si>
    <t>Dell KM7321W - Combo Clavier et souris sans fil Dell Premier - QWERTY</t>
  </si>
  <si>
    <t>580-AJQJ</t>
  </si>
  <si>
    <t>3-0-1-46</t>
  </si>
  <si>
    <t>Claviers étanches QWERTY</t>
  </si>
  <si>
    <t xml:space="preserve">Cherry KC 1068 - Clavier filaire étanche désinfectable, dans enveloppe de protection soudée, IP 68 (JK-1068EU-0) - QWERTY - Blanc </t>
  </si>
  <si>
    <t>AB766555</t>
  </si>
  <si>
    <t>3-0-1-49</t>
  </si>
  <si>
    <t xml:space="preserve">Cherry KC 1068 - Clavier filaire étanche désinfectable, dans enveloppe de protection soudée, IP 68 (JK-1068EU-2) - QWERTY - Noir </t>
  </si>
  <si>
    <t>AB766556</t>
  </si>
  <si>
    <t>3-0-1-50</t>
  </si>
  <si>
    <t>Accessoire pour clavier</t>
  </si>
  <si>
    <t>Port Designs - Pavé numérique USB-C et USB-A filaire (900801) - Noir</t>
  </si>
  <si>
    <t>AB776810</t>
  </si>
  <si>
    <t>3-0-1-51</t>
  </si>
  <si>
    <t>Périphérique de pointage 2D/3D et dispositif complémentaire associés (tapis, repose main, ...)</t>
  </si>
  <si>
    <t>Souris</t>
  </si>
  <si>
    <t>Dell MS116 - Souris optique - Noir</t>
  </si>
  <si>
    <t xml:space="preserve">570-AAIS </t>
  </si>
  <si>
    <t>3-0-1-52</t>
  </si>
  <si>
    <t>Dell MS3220 - Souris laser filaire (3200 DPI) - Noir - Garantie 3 ans incluse</t>
  </si>
  <si>
    <t>570-ABHN</t>
  </si>
  <si>
    <t>3-0-1-53</t>
  </si>
  <si>
    <t>Dell MS3320W - Souris sans fil - RF 2.4GHz Dongle &amp; Bluetooth - Noir - Garantie 3 ans incluse</t>
  </si>
  <si>
    <t>570-ABHK</t>
  </si>
  <si>
    <t>3-0-1-54</t>
  </si>
  <si>
    <t>Dell MS7421W- Souris sans fil rechargeable (via USB-C) - Grise - Garantie 3 ans</t>
  </si>
  <si>
    <t>570-ABLO</t>
  </si>
  <si>
    <t>3-0-1-55</t>
  </si>
  <si>
    <t>Port Designs - Souris PRO sans fil  et silencieuse (900713) - Noir</t>
  </si>
  <si>
    <t xml:space="preserve">AB788779 </t>
  </si>
  <si>
    <t>3-0-1-56</t>
  </si>
  <si>
    <t>Port Designs - Souris PRO sans fil  et silencieuse (900714) - Blanc</t>
  </si>
  <si>
    <t xml:space="preserve">AB788790 </t>
  </si>
  <si>
    <t>3-0-1-57</t>
  </si>
  <si>
    <t>Souris ergonomiques</t>
  </si>
  <si>
    <t>Port Designs - Souris ergonomique sans fil rechargeable pour Droitier (900706-BT) - Noir</t>
  </si>
  <si>
    <t>AB839200</t>
  </si>
  <si>
    <t>3-0-1-58</t>
  </si>
  <si>
    <t>Cherry MW 4500 LEFT - Souris ergonomique sans fil - Pour les gauchers - Plus d'ergonomie et moins de fatigue (JW-4550) - Noir</t>
  </si>
  <si>
    <t>AB766557</t>
  </si>
  <si>
    <t>3-0-1-59</t>
  </si>
  <si>
    <t>Cherry MW 4500  - Souris ergonomique sans fil - Pour les droitiers - Plus d'ergonomie et moins de fatigue (JW-4500) - Noir</t>
  </si>
  <si>
    <t>AB766558</t>
  </si>
  <si>
    <t>3-0-1-60</t>
  </si>
  <si>
    <t>3-0-1-61</t>
  </si>
  <si>
    <t>Souris 3D</t>
  </si>
  <si>
    <t>3D Connexion - CadMouse Compact - Souris filaire Haute performance pour ingénierie (3DX-700081) - Noir</t>
  </si>
  <si>
    <t>AB779271</t>
  </si>
  <si>
    <t>3-0-1-62</t>
  </si>
  <si>
    <t>3-0-1-63</t>
  </si>
  <si>
    <t>3D Connexion - SpaceMouse Compact -  Souris 3D filaire USB (3DX-700059) - Noir</t>
  </si>
  <si>
    <t>AB779273</t>
  </si>
  <si>
    <t>3-0-1-64</t>
  </si>
  <si>
    <t>3D Connexion - SpaceMouse Wireless - Souris 3D sans fil / filaire - 2 boutons - récepteur sans fil USB 2.4 GHz + éti de transport (3DX-700066) - Noir</t>
  </si>
  <si>
    <t>AB779274</t>
  </si>
  <si>
    <t>3-0-1-65</t>
  </si>
  <si>
    <t>3-0-1-66</t>
  </si>
  <si>
    <t xml:space="preserve">3D Connexion - Souris 3D sans fil 15 boutons - Technologie 6DoF - sans fil - RF 2.4GHz (3DX-700075) - Noir </t>
  </si>
  <si>
    <t>AB779276</t>
  </si>
  <si>
    <t>3-0-1-67</t>
  </si>
  <si>
    <t>Repose poignets</t>
  </si>
  <si>
    <t>Port Designs - Repose-poignets ergonomique pour clavier (900718) - Noir</t>
  </si>
  <si>
    <t xml:space="preserve">AB788741 </t>
  </si>
  <si>
    <t>3-0-1-68</t>
  </si>
  <si>
    <t>Tapis de souris</t>
  </si>
  <si>
    <t>Port Designs - Tapis de souris ergonomique (900717) - Noir</t>
  </si>
  <si>
    <t xml:space="preserve">AB788740 </t>
  </si>
  <si>
    <t>3-0-1-69</t>
  </si>
  <si>
    <t>3D Connexion - CadMouse Pad Compact (3DX-700068) - Noir</t>
  </si>
  <si>
    <t>3-0-1-70</t>
  </si>
  <si>
    <t>Télécommande de présentation</t>
  </si>
  <si>
    <t>Kensington Si600 - Télécommande de présentation sans fil avec pointeur laser rouge 4 boutons - Récepteur USB - RF (33374EU) - Noir</t>
  </si>
  <si>
    <t>A7280192</t>
  </si>
  <si>
    <t>3-0-1-71</t>
  </si>
  <si>
    <t>Webcams et solution de visioconférence</t>
  </si>
  <si>
    <t>Webcams</t>
  </si>
  <si>
    <t>Port Designs - Webcam FHD (1920x1080) pour vidéoconférence - Connectivité USB-A et USB-C (900078) - Noir</t>
  </si>
  <si>
    <t>AB777415</t>
  </si>
  <si>
    <t>3-0-1-72</t>
  </si>
  <si>
    <t>Logitech C505E Business Webcam - Couleur - 720p (1280x720) - Grand angle et micro longue portée - Connectivité USB (960-001372) - Noir</t>
  </si>
  <si>
    <t>AB420720</t>
  </si>
  <si>
    <t>3-0-1-73</t>
  </si>
  <si>
    <t>Logitech C930E Business Webcam - Couleur - Enregistrement vidéo FHD (1920x1080) - Grand angle et micro longue portée - Connectivité USB - Certifié Skype (960-000972) - Noir</t>
  </si>
  <si>
    <t>A6943703</t>
  </si>
  <si>
    <t>3-0-1-74</t>
  </si>
  <si>
    <t>Logitech BRIO 4K Ultra HD (4096x2160) PRO Webcam - Couleur - Compatible Windows Hello - Grand angle et micro longue portée - Connectivité USB (960-001106) - Noir</t>
  </si>
  <si>
    <t>A9580031</t>
  </si>
  <si>
    <t>3-0-1-75</t>
  </si>
  <si>
    <t>722-BBBI</t>
  </si>
  <si>
    <t>3-0-1-76</t>
  </si>
  <si>
    <t>Solution de visioconférence</t>
  </si>
  <si>
    <t>Jabra - PanaCast MS Global - Caméra de visioconférence - Solution Vidéo Plug-and-Play panoramique 4K à 180° avec câble de 80 cm (8100-119) - Noir</t>
  </si>
  <si>
    <t>AB740777</t>
  </si>
  <si>
    <t>3-0-1-77</t>
  </si>
  <si>
    <t>Jabra - Hub USB-C - Unité permettant de connecter la Panacast et le speaker à l'ordinateur d'un simple câble (14207-58) - Option</t>
  </si>
  <si>
    <t>AB740778</t>
  </si>
  <si>
    <t>3-0-1-78</t>
  </si>
  <si>
    <t>Jabra - Wall Mount - Système de montage conçu pour fixer la Panacast à un mur (14207-57) - Option</t>
  </si>
  <si>
    <t>AB740779</t>
  </si>
  <si>
    <t>3-0-1-79</t>
  </si>
  <si>
    <t>Jabra - Table Stand - Support permettant d'utiliser la Panacast comme unité autonome (14207-56) - Option</t>
  </si>
  <si>
    <t>AB740780</t>
  </si>
  <si>
    <t>3-0-1-80</t>
  </si>
  <si>
    <t>Jabra - USB Cable de 1.8 mètre pour connecter la Panacast à l'ordinateur (14202-09) - Option</t>
  </si>
  <si>
    <t>AB740781</t>
  </si>
  <si>
    <t>3-0-1-81</t>
  </si>
  <si>
    <t>Hauts-parleurs, Microphones et Casques audio</t>
  </si>
  <si>
    <t xml:space="preserve">Barres son </t>
  </si>
  <si>
    <t>520-AASI</t>
  </si>
  <si>
    <t>3-0-1-82</t>
  </si>
  <si>
    <r>
      <t xml:space="preserve">Barre son externe slim Dell SB521A (fixation magnétique, HP 3.6 Watts) </t>
    </r>
    <r>
      <rPr>
        <sz val="10"/>
        <color indexed="2"/>
        <rFont val="Calibri"/>
        <family val="2"/>
        <scheme val="minor"/>
      </rPr>
      <t>- Compatible avec moniteurs Dell de dernière génération PRO 2 ID design (Pxx21x / Pxx22Xx / Pxx23Xx / Uxx21x / Uxx22x / Uxx23x)</t>
    </r>
  </si>
  <si>
    <r>
      <t xml:space="preserve">Barre son externe slim Dell SB522A (fixation magnétique, HP 3.6 Watts, certifié MS Teams) </t>
    </r>
    <r>
      <rPr>
        <sz val="10"/>
        <color indexed="2"/>
        <rFont val="Calibri"/>
        <family val="2"/>
        <scheme val="minor"/>
      </rPr>
      <t>- Compatible avec moniteurs Dell de dernière génération PRO 2 ID design (Pxx21x / Pxx22Xx / Pxx23Xx / Uxx21x / Uxx22x / Uxx23x)</t>
    </r>
  </si>
  <si>
    <t>520-AAVR</t>
  </si>
  <si>
    <t>3-0-1-9</t>
  </si>
  <si>
    <t>Haut-parleurs</t>
  </si>
  <si>
    <t xml:space="preserve">Dell MH3021P - Combo Haut-Parleur/adaptateur mobile - USB-C / 2 x USB-A / HDMI / microphone et Haut-parleur / Power Delivery 90W </t>
  </si>
  <si>
    <t>470-AELP</t>
  </si>
  <si>
    <t>3-0-1-83</t>
  </si>
  <si>
    <t>EPOS/Sennheiser EXPAND SP 20 - Speaker filaire portable jusqu'à 4 personnes (1000226)</t>
  </si>
  <si>
    <t>AB740782</t>
  </si>
  <si>
    <t>3-0-1-84</t>
  </si>
  <si>
    <t>EPOS/Sennheiser EXPAND SP 30 - Speaker sans fil jusqu'à 8 personnes (1000223)</t>
  </si>
  <si>
    <t>AB740783</t>
  </si>
  <si>
    <t>3-0-1-85</t>
  </si>
  <si>
    <t>EPOS/Sennheiser EXPAND 80T - Speaker évolutif, supérieur - jusqu'à 7 personnes (1000203)</t>
  </si>
  <si>
    <t>AB740784</t>
  </si>
  <si>
    <t>3-0-1-86</t>
  </si>
  <si>
    <t>EPOS/Sennheiser EXPAND 80 - Microphone d'extension (1000229)</t>
  </si>
  <si>
    <t>AB740785</t>
  </si>
  <si>
    <t>3-0-1-87</t>
  </si>
  <si>
    <t>Casques filaires</t>
  </si>
  <si>
    <t>EPOS/Sennheiser Impact SC 60 USB ML - Casque binaural filaire USB (1000551)</t>
  </si>
  <si>
    <t>3-0-1-88</t>
  </si>
  <si>
    <t>EPOS/Sennheiser ADAPT 160T USB II Casque binaural filaire USB (1000901)</t>
  </si>
  <si>
    <t>AB740787</t>
  </si>
  <si>
    <t>3-0-1-89</t>
  </si>
  <si>
    <t>EPOS/Sennheiser SC 75 - Casque binaural filaire Jack 3,5 &amp; USB - MS Optimised (1000635)</t>
  </si>
  <si>
    <t>AB740788</t>
  </si>
  <si>
    <t>3-0-1-90</t>
  </si>
  <si>
    <t>Jabra EVOLVE 20 MS Stereo USB (4999-823-109)</t>
  </si>
  <si>
    <t>AB740760</t>
  </si>
  <si>
    <t>3-0-1-91</t>
  </si>
  <si>
    <t>Jabra EVOLVE 30 II MS Duo USB (5399-823-309)</t>
  </si>
  <si>
    <t>AB740761</t>
  </si>
  <si>
    <t>3-0-1-92</t>
  </si>
  <si>
    <t>Jabra EVOLVE 40 MS Duo USB (6399-823-109)</t>
  </si>
  <si>
    <t>AB740762</t>
  </si>
  <si>
    <t>3-0-1-93</t>
  </si>
  <si>
    <t>3-0-1-94</t>
  </si>
  <si>
    <t>Casques sans fil</t>
  </si>
  <si>
    <t>EPOS/Sennheiser ADAPT 260 T - Casque Binaural sans fil Bluetooth - Branche rétractable (1000882)</t>
  </si>
  <si>
    <t>AB740789</t>
  </si>
  <si>
    <t>3-0-1-95</t>
  </si>
  <si>
    <t>EPOS/Sennheiser MB Pro 2 UC ML - Casque Binaural sans fil Bluetooth (1000567)</t>
  </si>
  <si>
    <t>AB740790</t>
  </si>
  <si>
    <t>3-0-1-96</t>
  </si>
  <si>
    <t>EPOS/Sennheiser ADAPT 360 Blanc - Micro-casque ANC BT avec Dongle -  Design contemporain - Ecouteurs ergonomiques - son stéréo Haute Qualité (1000210)</t>
  </si>
  <si>
    <t>AB740791</t>
  </si>
  <si>
    <t>3-0-1-97</t>
  </si>
  <si>
    <t>EPOS/Sennheiser ADAPT 360 Noir - Micro-casque ANC BT avec Dongle -  Design contemporain - Ecouteurs ergonomiques - son stéréo Haute Qualité (1000209)</t>
  </si>
  <si>
    <t>AB740792</t>
  </si>
  <si>
    <t>3-0-1-98</t>
  </si>
  <si>
    <t>3-0-1-99</t>
  </si>
  <si>
    <t>Jabra EVOLVE2 65 - Casque Binaural sans fil Bluetooth MS Stereo USB-C Optimisé Teams (26599-999-899)</t>
  </si>
  <si>
    <t>AB740765</t>
  </si>
  <si>
    <t>3-0-1-100</t>
  </si>
  <si>
    <t>Onduleurs et autres dispostifs de protection électrique</t>
  </si>
  <si>
    <t>Parasurtenseurs</t>
  </si>
  <si>
    <t>APC Schneider - SurgeArrest - Parasurtenseur - 5 prises 10A - 2 prises USB - 230V France (PM5U-FR)</t>
  </si>
  <si>
    <t xml:space="preserve">AB741425 </t>
  </si>
  <si>
    <t>3-0-1-102</t>
  </si>
  <si>
    <t>APC Schneider - SurgeArrest - Parasurtenseur - 6 prises 10A - 2 prises USB - 230V France (PM6U-FR)</t>
  </si>
  <si>
    <t xml:space="preserve">AB741430 </t>
  </si>
  <si>
    <t>3-0-1-103</t>
  </si>
  <si>
    <t xml:space="preserve">Onduleur </t>
  </si>
  <si>
    <t>APC Schneider - Back-UPS - Onduleurs monophasés Off-Line - 650VA - 230V - 1USB - 6+2 Prises - France (BE650G2-FR)</t>
  </si>
  <si>
    <t xml:space="preserve">AB741497 </t>
  </si>
  <si>
    <t>3-0-1-104</t>
  </si>
  <si>
    <t>Câble de sécurité pour station de travail Tour</t>
  </si>
  <si>
    <t>Dell Kensington (T-BAR Lock Slot) Desktop &amp; Peripheral Locking kit (PC + écran + accessoires)</t>
  </si>
  <si>
    <t>461-10185</t>
  </si>
  <si>
    <t>3-0-1-105</t>
  </si>
  <si>
    <t xml:space="preserve">Dell Kensington (T-BAR Lock Slot) câble simple tête à clé </t>
  </si>
  <si>
    <t>461-10054</t>
  </si>
  <si>
    <t>3-0-1-106</t>
  </si>
  <si>
    <t>Dell Kensignton (T-BAR Lock Slot) câble double tête (PC + écran) à clé</t>
  </si>
  <si>
    <t>461-10053</t>
  </si>
  <si>
    <t>3-0-1-107</t>
  </si>
  <si>
    <t>Dell Kensington (T-BAR Lock Slot) câble simple tête Masterkey solution (25 câbles + 2 Masterkeys)</t>
  </si>
  <si>
    <t>461-10072</t>
  </si>
  <si>
    <t>3-0-1-108</t>
  </si>
  <si>
    <t>Dell Kensintgon (T-BAR Lock Slot) câble double tête (PC + écran) Masterkey solution (25 câbles + 2 Masterkeys)</t>
  </si>
  <si>
    <t>461-10214</t>
  </si>
  <si>
    <t>3-0-1-109</t>
  </si>
  <si>
    <t>Moniteurs avec 5 ans de garantie de base</t>
  </si>
  <si>
    <t>Moniteurs P (Professionnel)</t>
  </si>
  <si>
    <t>Moniteur 22" - Dell P2222H - 1920x1080 - Connecteurs VGA/DP/HDMI - Câble: DP</t>
  </si>
  <si>
    <t>3-0-1-178</t>
  </si>
  <si>
    <t>Moniteur 24" - Dell P2422HE - 1920x1080 - Hub USB-C (PD65W) avec RJ45/DP/HDMI - Câbles : USB-C/DP</t>
  </si>
  <si>
    <t>3-0-1-112</t>
  </si>
  <si>
    <t>Moniteur 24" - Dell P2422HE Sans Pied - 1920x1080 - Hub USB-C (PD65W) avec RJ45/DP/HDMI - Câbles : USB-C/DP</t>
  </si>
  <si>
    <t>3-0-1-113</t>
  </si>
  <si>
    <t>3-0-1-175</t>
  </si>
  <si>
    <t>Moniteur 24" - Dell P2423 - 1920x1200 - Format 16/10 - Connecteurs DP/HDMI/VGA/DVI - Câble : DP</t>
  </si>
  <si>
    <t>Moniteur 24" - Dell P2423D - QHD (2560x1440) - Connecteurs DP/HDMI - Câble :DP</t>
  </si>
  <si>
    <t>3-0-1-179</t>
  </si>
  <si>
    <t>Moniteur 24" - Dell P2423DE - QHD (2560x1440) - hub USB-C (90W) avec RJ45/DP/HDMI - Câble :USB-C/DP</t>
  </si>
  <si>
    <t>3-0-1-180</t>
  </si>
  <si>
    <t>Moniteur 27" - Dell P2722H - 1920x1080 - Connecteurs VGA/DP/HDMI - Câble: DP</t>
  </si>
  <si>
    <t>3-0-1-116</t>
  </si>
  <si>
    <t>Moniteur 27" - Dell P2722HE - 1920x1080 - Connecteurs USB-C (PD 65W) avec RJ-45/DP/HDMI - Câbles : USB-C/DP</t>
  </si>
  <si>
    <t>3-0-1-117</t>
  </si>
  <si>
    <t>Moniteur 27" - Dell P2723D - QHD (2560x1440) - Connecteurs DP/HDMI - Câble :DP</t>
  </si>
  <si>
    <t>3-0-1-181</t>
  </si>
  <si>
    <t>Moniteur 27" - Dell P2723DE - QHD (2560x1440) - hub USB-C (90W) avec RJ45/DP/HDMI - Câble :USB-C/DP</t>
  </si>
  <si>
    <t>3-0-1-182</t>
  </si>
  <si>
    <t>Moniteur 27" - Dell P2723QE - UHD(3840x2160) - Hub USB-C(90W) avec RJ45/DP/HDMI - Câble :USB-C/DP</t>
  </si>
  <si>
    <t>3-0-1-183</t>
  </si>
  <si>
    <t>Moniteur 34'' - Dell P3421Wm - 3440x1440 - Format 21/9 incurvé - Connecteurs USB-C (65W)/DP/HDMI - Câbles: USB-C/DP/HDMI</t>
  </si>
  <si>
    <t>3-0-1-119</t>
  </si>
  <si>
    <t>Moniteurs U (Ultrasharp)</t>
  </si>
  <si>
    <t>Moniteur 24" - Dell U2422H - 1920x1080 - Ultrasharp - Connecteurs HDMI/DP - Câble fourni : DP</t>
  </si>
  <si>
    <t>3-0-1-120</t>
  </si>
  <si>
    <t>Moniteur 24" - Dell U2422H Sans Pied - 1920x1080 - Ultrasharp - Connecteurs HDMI/DP - Câble : DP</t>
  </si>
  <si>
    <t>3-0-1-121</t>
  </si>
  <si>
    <t>3-0-1-122</t>
  </si>
  <si>
    <t>Moniteur 24" - Dell U2421E - 1920x1200 - Format 16/10 - Ultrasharp avec Hub USB-C/RJ45 et Low Blue Light - Connecteurs USB-C/RJ45/HDMI/DP - Câbles : USB-C/DP</t>
  </si>
  <si>
    <t>3-0-1-123</t>
  </si>
  <si>
    <t>Moniteur 27" - Dell U2722D - QHD (2560x1440) - Ultrasharp - Connecteurs DP/HDMI - Câble fourni : DP</t>
  </si>
  <si>
    <t>3-0-1-184</t>
  </si>
  <si>
    <t>Moniteur 27" - Dell U2722DE - 2560x1440 - Ultrasharp avec Hub USB-C/RJ45 - Connecteurs USB-C (PD 90W)/RJ45/HDMI/DP - Câble fourni : USB-C/DP</t>
  </si>
  <si>
    <t>3-0-1-125</t>
  </si>
  <si>
    <t>Moniteur 27'' - Dell U2723QE - 4K (3840x2160) - Ultrasharp HDR 400 avec Hub USB-C(90W) et RJ45- Connecteurs USB-C/RJ45/DP/HDMI -Câbles: USB-C/DP</t>
  </si>
  <si>
    <t>3-0-1-185</t>
  </si>
  <si>
    <t>3-0-1-127</t>
  </si>
  <si>
    <t>Moniteur 30'' - Dell U3023E - WQXGA (2560x1600) - Format 16:10 - Ultrasharp - Connecteurs USB-C (90W)/DP/HDMI -Câbles: USB-C/DP</t>
  </si>
  <si>
    <t>3-0-1-186</t>
  </si>
  <si>
    <t>3-0-1-187</t>
  </si>
  <si>
    <t>3-0-1-129</t>
  </si>
  <si>
    <t>3-0-1-130</t>
  </si>
  <si>
    <t>3-0-1-131</t>
  </si>
  <si>
    <t>3-0-1-132</t>
  </si>
  <si>
    <t>Moniteurs C (Multimedia)</t>
  </si>
  <si>
    <t>Moniteur 24'' Multimedia - Dell C2423H - FHD (1920x1080) -  Webcam 5MP FHD &amp; Camera IR (Windows Hello), micro + 2x 5W HP, Low Blue Light - Connecteurs : DP/HDMI - Câbles : DP/HDMI</t>
  </si>
  <si>
    <t>3-0-1-188</t>
  </si>
  <si>
    <t>Moniteur 24'' Multimedia (certifié Teams) - Dell C2422HE - 1920x1080 -  Webcam 5MP FHD &amp; Camera IR (Windows Hello), 2xHP, RJ45, Low Blue Light, KVM - Connecteurs : USB-C(90W)/DP/HDMI - Câbles : USB-C/DP</t>
  </si>
  <si>
    <t>3-0-1-133</t>
  </si>
  <si>
    <t>Moniteur 24'' Multimedia (certifié Teams) - Dell C2422HE Sans Pied - 1920x1080 - Webcam 5MP FHD &amp; Camera IR (Windows Hello), 2xHP, RJ45, Low Blue Light, KVM - Connecteurs : USB-C (PD 90W)/DP/HDMI - Câbles : USB-C/DP</t>
  </si>
  <si>
    <t>3-0-1-134</t>
  </si>
  <si>
    <t>3-0-1-189</t>
  </si>
  <si>
    <t>Moniteur 27'' Multimedia (certifié Teams) - Dell C2722DE - 2560x1400 - Webcam 5MP FHD &amp; Camera IR (Windows Hello), 2xHP, RJ45, Low Blue Light, KVM - Connecteurs : USB-C(90W)/DP/HDMI - Câbles : USB-C/DP</t>
  </si>
  <si>
    <t>3-0-1-135</t>
  </si>
  <si>
    <t>Moniteur 34'' Multimedia (certifié Teams) - Dell C3422WE - 3440x1440 - Webcam 5MP FHD &amp; Camera IR (Windows Hello), 2xHP, RJ45, Low Blue Light, KVM - Connecteurs : USB-C(90W)/DP/HDMI - Câbles : USB-C/DP</t>
  </si>
  <si>
    <t>3-0-1-136</t>
  </si>
  <si>
    <t>Extensions de garantie acquises lors de l'achat initial - Non disponible dans les DROM COM</t>
  </si>
  <si>
    <t>Extension de garantie 6 ans - Moniteur inférieur à 32 pouces</t>
  </si>
  <si>
    <t>3-0-1-137</t>
  </si>
  <si>
    <t>Extension de garantie 6 ans - Moniteur supérieur ou égal à 32 pouces</t>
  </si>
  <si>
    <t>3-0-1-138</t>
  </si>
  <si>
    <t>Extension de garantie 7 ans - Moniteur inférieur à 32 pouces</t>
  </si>
  <si>
    <t>3-0-1-139</t>
  </si>
  <si>
    <t>Extension de garantie 7 ans - Moniteur supérieur ou égal à 32 pouces</t>
  </si>
  <si>
    <t>3-0-1-140</t>
  </si>
  <si>
    <t>Extensions de garantie en cours de garantie déjà acquise initialement - Non disponible dans les DROM COM</t>
  </si>
  <si>
    <r>
      <t>Extension de garantie 6ème année - Moniteur inférieur à 32 pouces</t>
    </r>
    <r>
      <rPr>
        <sz val="10"/>
        <color indexed="2"/>
        <rFont val="Calibri"/>
        <family val="2"/>
        <scheme val="minor"/>
      </rPr>
      <t xml:space="preserve"> - Après l'achat</t>
    </r>
  </si>
  <si>
    <t>3-0-1-141</t>
  </si>
  <si>
    <r>
      <t>Extension de garantie 6ème année - Moniteur supérieur ou égal à 32 pouces</t>
    </r>
    <r>
      <rPr>
        <sz val="10"/>
        <color indexed="2"/>
        <rFont val="Calibri"/>
        <family val="2"/>
        <scheme val="minor"/>
      </rPr>
      <t xml:space="preserve"> - Après l'achat</t>
    </r>
  </si>
  <si>
    <t>3-0-1-142</t>
  </si>
  <si>
    <r>
      <t>Extension de garantie 6ème et 7ème année - Moniteur inférieur à 32 pouces</t>
    </r>
    <r>
      <rPr>
        <sz val="10"/>
        <color indexed="2"/>
        <rFont val="Calibri"/>
        <family val="2"/>
        <scheme val="minor"/>
      </rPr>
      <t xml:space="preserve"> - Après l'achat</t>
    </r>
  </si>
  <si>
    <t>3-0-1-143</t>
  </si>
  <si>
    <r>
      <t>Extension de garantie 6ème et 7ème année - Moniteur supérieur ou égal à 32 pouces</t>
    </r>
    <r>
      <rPr>
        <sz val="10"/>
        <color indexed="2"/>
        <rFont val="Calibri"/>
        <family val="2"/>
        <scheme val="minor"/>
      </rPr>
      <t xml:space="preserve"> - Après l'achat</t>
    </r>
  </si>
  <si>
    <t>3-0-1-144</t>
  </si>
  <si>
    <t>Livraison DDP &amp; Garantie DROM COM pour moniteurs - Sélection obligatoire</t>
  </si>
  <si>
    <t>Diagonale ≤ 22"</t>
  </si>
  <si>
    <t>3-0-3-200</t>
  </si>
  <si>
    <t>3-0-3-201</t>
  </si>
  <si>
    <t>3-0-3-202</t>
  </si>
  <si>
    <t>Diagonale ≥ 24" et &lt; 27"</t>
  </si>
  <si>
    <t>3-0-3-203</t>
  </si>
  <si>
    <t>3-0-3-204</t>
  </si>
  <si>
    <t>3-0-3-205</t>
  </si>
  <si>
    <t>Diagonale = 27"</t>
  </si>
  <si>
    <t>3-0-3-206</t>
  </si>
  <si>
    <t>3-0-3-207</t>
  </si>
  <si>
    <t>3-0-3-208</t>
  </si>
  <si>
    <t>Diagonale &gt; 27"</t>
  </si>
  <si>
    <t>3-0-3-209</t>
  </si>
  <si>
    <t>3-0-3-210</t>
  </si>
  <si>
    <t>3-0-3-211</t>
  </si>
  <si>
    <t>Supports de fixation, multi-écrans et bras articulés</t>
  </si>
  <si>
    <t>Dell - Bras articulé MSA20 monoécran, noir - Supporte jusqu'à 10Kg (écran 38'' Maximum)</t>
  </si>
  <si>
    <t>482-BBDJ</t>
  </si>
  <si>
    <t>3-0-1-145</t>
  </si>
  <si>
    <t>Dell - Bras MDA20 pour écran double, noir - Supporte jusqu'à 10Kg (deux écrans 27'' maximum)</t>
  </si>
  <si>
    <t>482-BBDL</t>
  </si>
  <si>
    <t>3-0-1-146</t>
  </si>
  <si>
    <t>Dell - Socle MDS19 pour écran double, noir - Supporte jusqu'à 2 écrans 27''</t>
  </si>
  <si>
    <t>482-BBCY</t>
  </si>
  <si>
    <t>3-0-1-147</t>
  </si>
  <si>
    <t>Ergotron - Bras LX bi-écrans superposés colonne haute, fixation bureau, blanc - supporte jusque 2 écrans 40"</t>
  </si>
  <si>
    <t>A9893921</t>
  </si>
  <si>
    <t>3-0-1-148</t>
  </si>
  <si>
    <t>Accessoires pour stations de travail Tour</t>
  </si>
  <si>
    <t>Clients légers</t>
  </si>
  <si>
    <t>3-0-1-167</t>
  </si>
  <si>
    <t>3-0-1-168</t>
  </si>
  <si>
    <t>3-0-1-176</t>
  </si>
  <si>
    <t>3-0-1-169</t>
  </si>
  <si>
    <t>3-0-1-173</t>
  </si>
  <si>
    <t>210-ALWZ</t>
  </si>
  <si>
    <t>3-0-1-174</t>
  </si>
  <si>
    <t xml:space="preserve">Extensions spécifiques à la Mobilité </t>
  </si>
  <si>
    <t>Alimentations et stations d'accueil</t>
  </si>
  <si>
    <t>Blocs d'alimentation (chargeurs)</t>
  </si>
  <si>
    <t>Alimentation 130W - USB-C (Precision 3561)</t>
  </si>
  <si>
    <t>450-AHRG</t>
  </si>
  <si>
    <t>3-0-2-1</t>
  </si>
  <si>
    <t>Alimentation 180W - Barrel 7.4mm (Precision 7560 et stations d'accueil WD19X 180W)</t>
  </si>
  <si>
    <t>450-ABJQ</t>
  </si>
  <si>
    <t>3-0-2-2</t>
  </si>
  <si>
    <t>Alimentation 240W - Barrel 7.4mm (Precision 7760 et stations d'accueil WD19X 240W)</t>
  </si>
  <si>
    <t>450-ABIT</t>
  </si>
  <si>
    <t>3-0-2-3</t>
  </si>
  <si>
    <t>WD19DCS - Dock Dual USB-C 240W -  x DP 1.4 / 1 x HDMI / 1 x USB-C / Ethernet &amp; USB - Uniquement compatible avec Precision 7560/7760 - Garantie 5 ans</t>
  </si>
  <si>
    <t>Adaptateurs et câbles</t>
  </si>
  <si>
    <t>Adaptateurs mobilité</t>
  </si>
  <si>
    <t>Adaptateur 7en1 DA310 (HDMI, DP, VGA, Ethernet, USB-C et 2xUSB-A)</t>
  </si>
  <si>
    <t>470-AEUP</t>
  </si>
  <si>
    <t>3-0-2-7</t>
  </si>
  <si>
    <t>3-0-2-54</t>
  </si>
  <si>
    <t>Adaptateur USB-C vers HDMI/DP avec Power Delivery</t>
  </si>
  <si>
    <t>470-AEGY</t>
  </si>
  <si>
    <t>3-0-2-8</t>
  </si>
  <si>
    <t>Adaptateurs et câbles vidéo</t>
  </si>
  <si>
    <t>Adaptateur DisplayPort vers DVI (resolution max 1920x1200)</t>
  </si>
  <si>
    <t>470-ABEO</t>
  </si>
  <si>
    <t>3-0-2-9</t>
  </si>
  <si>
    <t>Adaptateur DisplayPort vers HDMI 2.0</t>
  </si>
  <si>
    <t>3-0-2-10</t>
  </si>
  <si>
    <t>Adaptateur DisplayPort vers VGA (resolution max 1920x1200)</t>
  </si>
  <si>
    <t>470-ABEL</t>
  </si>
  <si>
    <t>3-0-2-11</t>
  </si>
  <si>
    <t>Adaptateur mini DP vers DP</t>
  </si>
  <si>
    <t>470-13627</t>
  </si>
  <si>
    <t>3-0-2-12</t>
  </si>
  <si>
    <t>Adaptateur USB-C vers DP</t>
  </si>
  <si>
    <t>470-ACFC</t>
  </si>
  <si>
    <t>3-0-2-13</t>
  </si>
  <si>
    <t>Adaptateur USB-C vers VGA</t>
  </si>
  <si>
    <t>470-ADFQ</t>
  </si>
  <si>
    <t>3-0-2-14</t>
  </si>
  <si>
    <t>Adaptateur USB-C vers HDMI</t>
  </si>
  <si>
    <t>470-ABMZ</t>
  </si>
  <si>
    <t>3-0-2-15</t>
  </si>
  <si>
    <t>Adaptateur USB-C vers USB-A 3.0</t>
  </si>
  <si>
    <t>470-ABNE</t>
  </si>
  <si>
    <t>3-0-2-16</t>
  </si>
  <si>
    <t xml:space="preserve">Câble mini DP vers DP 2 mètres </t>
  </si>
  <si>
    <t>A7724407</t>
  </si>
  <si>
    <t>3-0-2-17</t>
  </si>
  <si>
    <t>Câble DisplayPort (M) vers DisplayPort (M) 1 mètre</t>
  </si>
  <si>
    <t>A7724400</t>
  </si>
  <si>
    <t>3-0-2-18</t>
  </si>
  <si>
    <t>Câble DisplayPort (M) vers DisplayPort (M) 3 mètres</t>
  </si>
  <si>
    <t>A7724402</t>
  </si>
  <si>
    <t>3-0-2-19</t>
  </si>
  <si>
    <t>Câble HDMI 2.0 (Mâle)/(Mâle) - Noir - 2m</t>
  </si>
  <si>
    <t>A7292667</t>
  </si>
  <si>
    <t>3-0-2-20</t>
  </si>
  <si>
    <t>Adaptateurs et câbles réseau</t>
  </si>
  <si>
    <t>Câble réseau RJ45 Cat 6 3 m</t>
  </si>
  <si>
    <t>A6927658</t>
  </si>
  <si>
    <t>3-0-2-21</t>
  </si>
  <si>
    <t>Câble réseau RJ45 Cat 6 5 m</t>
  </si>
  <si>
    <t xml:space="preserve">A6927659 </t>
  </si>
  <si>
    <t>3-0-2-22</t>
  </si>
  <si>
    <t>Adaptateur Dell USB-C vers RJ45 (PXE Boot)</t>
  </si>
  <si>
    <t>470-ABND</t>
  </si>
  <si>
    <t>3-0-2-23</t>
  </si>
  <si>
    <t>Adaptateur ACCELL USB 3.0 vers RJ45 - Fontionnalités WOL, MAC Address Pass-through, PXE Boot (J141B-005B-2)</t>
  </si>
  <si>
    <t>A9833510</t>
  </si>
  <si>
    <t>3-0-2-24</t>
  </si>
  <si>
    <t>Câbles de sécurité pour station de travail Mobile</t>
  </si>
  <si>
    <t>Dell Kensignton (Wedge Lock Slot) câble simple tête à clé</t>
  </si>
  <si>
    <t> 461-AAFD</t>
  </si>
  <si>
    <t>3-0-2-25</t>
  </si>
  <si>
    <t>Dell Kensington (Wedge + T-BAR Lock Slot) câble double tête (Portable + station d'accueil) à clé</t>
  </si>
  <si>
    <t> 461-AAFE</t>
  </si>
  <si>
    <t>3-0-2-26</t>
  </si>
  <si>
    <t>Dell Kensignton (Wedge Lock Slot) câble simple tête à clé Masterkey solution (25 câbles + 2 Masterkeys)</t>
  </si>
  <si>
    <t> 461-AAFB</t>
  </si>
  <si>
    <t>3-0-2-27</t>
  </si>
  <si>
    <t>Dell Kensington (Wedge + T-BAR Lock Slot) câble double tête (Portable + station d'accueil) à clé Masterkey solution (25 câbles + 2 Masterkeys)</t>
  </si>
  <si>
    <t> 461-AAFC</t>
  </si>
  <si>
    <t>3-0-2-28</t>
  </si>
  <si>
    <t>Sacs de transport</t>
  </si>
  <si>
    <t>3-0-2-29</t>
  </si>
  <si>
    <t>460-BDLH</t>
  </si>
  <si>
    <t xml:space="preserve">AB776808 </t>
  </si>
  <si>
    <t>3-0-2-30</t>
  </si>
  <si>
    <t>Sacoches</t>
  </si>
  <si>
    <t>3-0-2-31</t>
  </si>
  <si>
    <t>460-BDLI</t>
  </si>
  <si>
    <t>460-BCQL</t>
  </si>
  <si>
    <t>3-0-2-32</t>
  </si>
  <si>
    <t xml:space="preserve">Sacoche Targus CitySmart Advanced 15" - Noir/Gris - Garantie à vie (TBT914EU) </t>
  </si>
  <si>
    <t>AB744806</t>
  </si>
  <si>
    <t>3-0-2-33</t>
  </si>
  <si>
    <t>Sacoche Port Designs YOSEMITE ECO 15" - Gris - Garantie à vie (400701)</t>
  </si>
  <si>
    <t xml:space="preserve">AB776811 </t>
  </si>
  <si>
    <t>3-0-2-35</t>
  </si>
  <si>
    <t xml:space="preserve">Sacoche Targus Classic+ 17'' &amp; 18" - Noir/Rouge - Garantie à vie (CN418EU) </t>
  </si>
  <si>
    <t>AB744808</t>
  </si>
  <si>
    <t>3-0-2-36</t>
  </si>
  <si>
    <t>Sac à dos</t>
  </si>
  <si>
    <t>3-0-2-38</t>
  </si>
  <si>
    <t>460-BDLE</t>
  </si>
  <si>
    <t>460-BCQM</t>
  </si>
  <si>
    <t>3-0-2-39</t>
  </si>
  <si>
    <t>460-BCQK</t>
  </si>
  <si>
    <t>3-0-2-40</t>
  </si>
  <si>
    <t>Sac à dos Targus Intellect 15" - Noir/Gris - Garantie à vie (TBB565GL)</t>
  </si>
  <si>
    <t>AB744809</t>
  </si>
  <si>
    <t>3-0-2-41</t>
  </si>
  <si>
    <t>Sac à dos Targus Cypress Ecosmart 15" - Gris - Garantie à vie (TBB58602GL)</t>
  </si>
  <si>
    <t>AB744811</t>
  </si>
  <si>
    <t>3-0-2-43</t>
  </si>
  <si>
    <t>Sac à dos fourre-tout Targus Newport Convertible 15" - Garantie à vie (TBB600GL)</t>
  </si>
  <si>
    <t>AB839182</t>
  </si>
  <si>
    <t>3-0-2-44</t>
  </si>
  <si>
    <t>Sac à dos Targus Newport 15'' - Noir - Garantie à vie (TBB599GL)</t>
  </si>
  <si>
    <t>AB744813</t>
  </si>
  <si>
    <t>3-0-2-45</t>
  </si>
  <si>
    <t>Sac à dos Port Designs YOSEMITE ECO XL 15" - Gris - Garantie à vie (400703)</t>
  </si>
  <si>
    <t xml:space="preserve">AB776812 </t>
  </si>
  <si>
    <t>3-0-2-46</t>
  </si>
  <si>
    <t>Trolleys</t>
  </si>
  <si>
    <t>Trolley Targus Executive 15 &amp; 16" - Noir - Garantie à vie (TBR003EU)</t>
  </si>
  <si>
    <t>AB744814</t>
  </si>
  <si>
    <t>3-0-2-47</t>
  </si>
  <si>
    <t>Trolley Targus City Gear XL 17" - Noir - Garantie à vie (TCG717GL)</t>
  </si>
  <si>
    <t>AB744815</t>
  </si>
  <si>
    <t>3-0-2-48</t>
  </si>
  <si>
    <t>Support pour ordinateur portable</t>
  </si>
  <si>
    <t>Kensington Easy Riser - support pour ordinateur portable - Gris</t>
  </si>
  <si>
    <t>A7166515</t>
  </si>
  <si>
    <t>3-0-2-49</t>
  </si>
  <si>
    <t>Port Designs - Support Ergonomique pour Notebook (901103)</t>
  </si>
  <si>
    <t>AB809409</t>
  </si>
  <si>
    <t>3-0-2-50</t>
  </si>
  <si>
    <t xml:space="preserve">Filtres de confidentialité </t>
  </si>
  <si>
    <t xml:space="preserve">AB771954 </t>
  </si>
  <si>
    <t>3-0-2-51</t>
  </si>
  <si>
    <t xml:space="preserve">AB771955 </t>
  </si>
  <si>
    <t>3-0-2-52</t>
  </si>
  <si>
    <t xml:space="preserve">AB983450 </t>
  </si>
  <si>
    <t>3-0-2-55</t>
  </si>
  <si>
    <t xml:space="preserve">AB771956 </t>
  </si>
  <si>
    <t>3-0-2-53</t>
  </si>
  <si>
    <t>Extensions de garantie et prestations de services</t>
  </si>
  <si>
    <t>Garanties complémentaires acquises lors de l'achat initial - Non disponible dans les DROM COM</t>
  </si>
  <si>
    <r>
      <t>5 ans de garantie contre les Dommages Accidentels (Garantie casse)</t>
    </r>
    <r>
      <rPr>
        <sz val="10"/>
        <color indexed="2"/>
        <rFont val="Calibri"/>
        <family val="2"/>
        <scheme val="minor"/>
      </rPr>
      <t xml:space="preserve"> </t>
    </r>
  </si>
  <si>
    <t>Extensions de garantie en cours après achat matériel (dans la limite de 7 ans à partir de la date d'achat du matériel) - Non disponible dans les DROM COM</t>
  </si>
  <si>
    <t>Extension de garantie ProSupport 6 ans J+1 (heures ouvrés, jours ouvrés) + SAM Matinfo 5 (après achat)</t>
  </si>
  <si>
    <t>3-0-3-18</t>
  </si>
  <si>
    <t>Extension de garantie ProSupport 7 ans J+1 (heures ouvrés, jours ouvrés) + SAM Matinfo 5 (après achat)</t>
  </si>
  <si>
    <t>3-0-3-19</t>
  </si>
  <si>
    <t>3-0-3-20</t>
  </si>
  <si>
    <t>3-0-3-21</t>
  </si>
  <si>
    <t>3-0-3-22</t>
  </si>
  <si>
    <t>3-0-3-23</t>
  </si>
  <si>
    <t>Frais d'expédition DROM COM - Obligatoire pour les commandes de moins de 20 produits (configurations et/ou périphériques)</t>
  </si>
  <si>
    <t>Forfait pour chaque commande DROM COM de moins de 20 produits</t>
  </si>
  <si>
    <t>3-0-3-105</t>
  </si>
  <si>
    <t>Prestations de marquage et étiquetage (Gravure, Etiquetage, Rapports, Marquage Antivol, etc.)</t>
  </si>
  <si>
    <t>3-0-3-24</t>
  </si>
  <si>
    <t>Etiquette sur la machine (Informations système : modèle, adresse MAC, numero de commande)</t>
  </si>
  <si>
    <t>3-0-3-25</t>
  </si>
  <si>
    <t>Etiquette sur le carton d'emballage (Service Tag, modèle, processeur, mémoire, taille disque dur, numéro de commande)</t>
  </si>
  <si>
    <t>3-0-3-26</t>
  </si>
  <si>
    <r>
      <t xml:space="preserve">Marquage antivol personnalisable STOPTRACK ANTI-THEFT LABEL </t>
    </r>
    <r>
      <rPr>
        <sz val="10"/>
        <color indexed="2"/>
        <rFont val="Calibri"/>
        <family val="2"/>
        <scheme val="minor"/>
      </rPr>
      <t>- Hors Precision 7920 Rack</t>
    </r>
  </si>
  <si>
    <t>3-0-3-27</t>
  </si>
  <si>
    <t>3-0-3-28</t>
  </si>
  <si>
    <t>Rapport de Production au format Excel envoyé par email (détails commandes, informations techniques, etc.)</t>
  </si>
  <si>
    <t xml:space="preserve">708-10080    </t>
  </si>
  <si>
    <t>3-0-3-29</t>
  </si>
  <si>
    <t>Prestations de préparation des matériels en usine (bios, partitionnement, gestion des images d'OS, etc.)</t>
  </si>
  <si>
    <t>3-0-3-30</t>
  </si>
  <si>
    <t>3-0-3-31</t>
  </si>
  <si>
    <t>3-0-3-32</t>
  </si>
  <si>
    <t>3-0-3-33</t>
  </si>
  <si>
    <t>3-0-3-34</t>
  </si>
  <si>
    <t>3-0-3-35</t>
  </si>
  <si>
    <t>Prestations d'installation - Non disponible dans les DROM COM</t>
  </si>
  <si>
    <t>Installation physique (vérification de l'état des composants, déballage, installation, connexion réseau, contrôle du bon démarrage, etc.)</t>
  </si>
  <si>
    <t>Installation physique et configuration d'un système - Prix unitaire par lot de 2 à 20 unités / Visite</t>
  </si>
  <si>
    <t>3-0-3-36</t>
  </si>
  <si>
    <t xml:space="preserve">Option installation d'un périphérique par lot de 2 à 20 systèmes - Prestation optionnelle réalisée en complément de la prestation d'installation physique d'un poste </t>
  </si>
  <si>
    <t>3-0-3-37</t>
  </si>
  <si>
    <t>Installation physique et configuration d'un système - Prix unitaire par lot de 21 à 250 unités / Visite</t>
  </si>
  <si>
    <t>3-0-3-38</t>
  </si>
  <si>
    <t xml:space="preserve">Option installation d'un périphérique par lot de 21 à 250 systèmes - Prestation optionnelle réalisée en complément de la prestation d'installation physique d'un poste </t>
  </si>
  <si>
    <t>3-0-3-39</t>
  </si>
  <si>
    <t>Installation logicielle (préparation du support, installation système exploitations, vérification clé, pilotes, tests des fonctionnalités, etc.)</t>
  </si>
  <si>
    <t>Installation logicielle - Prix unitaire par lot de 2 à 20 unités / Visite</t>
  </si>
  <si>
    <t>3-0-3-40</t>
  </si>
  <si>
    <t>Option masterisation d’un poste sur site (remasterisation) par lot de 2 à 20 systèmes - Prestation réalisée en complément de la prestation d'installation physique d'un poste</t>
  </si>
  <si>
    <t>3-0-3-41</t>
  </si>
  <si>
    <t>Installation logicielle - Prix unitaire par lot de 21 à 250 unités / Visite</t>
  </si>
  <si>
    <t>3-0-3-42</t>
  </si>
  <si>
    <t>Option masterisation d’un poste sur site (remasterisation) par lot de 21 à 250 systèmes - Prestation réalisée en complément de la prestation d'installation physique d'un poste</t>
  </si>
  <si>
    <t>3-0-3-43</t>
  </si>
  <si>
    <t>Prestations transfert de données utilisateurs (transfert de données, destruction des disques dur, etc.) - Non disponible dans les DROM COM</t>
  </si>
  <si>
    <r>
      <t xml:space="preserve">Prestation de transfert de données (jusqu'à 100Go) sur site de 2 à 20 systèmes </t>
    </r>
    <r>
      <rPr>
        <sz val="10"/>
        <color indexed="2"/>
        <rFont val="Calibri"/>
        <family val="2"/>
        <scheme val="minor"/>
      </rPr>
      <t>- Prestation réalisée en complément de la prestation d'installation physique d'un poste</t>
    </r>
  </si>
  <si>
    <t>3-0-3-44</t>
  </si>
  <si>
    <r>
      <t>Prestation de transfert de données (jusqu'à 100Go) sur site de 21 à 250 systèmes</t>
    </r>
    <r>
      <rPr>
        <sz val="10"/>
        <color indexed="2"/>
        <rFont val="Calibri"/>
        <family val="2"/>
        <scheme val="minor"/>
      </rPr>
      <t xml:space="preserve"> - Prestation réalisée en complément de la prestation d'installation physique d'un poste</t>
    </r>
  </si>
  <si>
    <t>3-0-3-45</t>
  </si>
  <si>
    <r>
      <t xml:space="preserve">Prestation d'effacement des données sur site </t>
    </r>
    <r>
      <rPr>
        <sz val="10"/>
        <color indexed="2"/>
        <rFont val="Calibri"/>
        <family val="2"/>
        <scheme val="minor"/>
      </rPr>
      <t>- Prestation réalisée en complément de la prestation d'installation physique d'un poste</t>
    </r>
  </si>
  <si>
    <t>3-0-3-46</t>
  </si>
  <si>
    <r>
      <t xml:space="preserve">Prestation d'effacement des données hors site </t>
    </r>
    <r>
      <rPr>
        <sz val="10"/>
        <color indexed="2"/>
        <rFont val="Calibri"/>
        <family val="2"/>
        <scheme val="minor"/>
      </rPr>
      <t>- Prestation réalisée en complément de la prestation d'installation physique d'un poste</t>
    </r>
  </si>
  <si>
    <t>3-0-3-47</t>
  </si>
  <si>
    <t>Prestation de destruction de disque dur sur site (moins de 20 disques) - Prix par disque détruit</t>
  </si>
  <si>
    <t>3-0-3-48</t>
  </si>
  <si>
    <t>Prestation de destruction de disque dur sur site (plus de 20 disques) - Prix par disque détruit</t>
  </si>
  <si>
    <t>3-0-3-49</t>
  </si>
  <si>
    <t>Prestation de destruction de disque dur hors site - Prix par disque détruit</t>
  </si>
  <si>
    <t>3-0-3-50</t>
  </si>
  <si>
    <t>Prestations de gestion des emballages (évacuation et recyclage hors site de l'établissement, etc.) - Non disponible dans les DROM COM</t>
  </si>
  <si>
    <t>Récupération des emballages lors de la livraison - Prix par carton</t>
  </si>
  <si>
    <t>3-0-3-51</t>
  </si>
  <si>
    <t>Récupération des emballages dans le cadre d'une prestation d'installation - Prix par carton</t>
  </si>
  <si>
    <t>3-0-3-52</t>
  </si>
  <si>
    <t>Offres packagées de déploiement</t>
  </si>
  <si>
    <t>Offre Packagée de déploiement Basique (Basic Deploy) - Prix par poste</t>
  </si>
  <si>
    <t>3-0-3-53</t>
  </si>
  <si>
    <t>Offre Packagée de déploiement Standard (ProDeploy) - Prix par poste</t>
  </si>
  <si>
    <t>3-0-3-54</t>
  </si>
  <si>
    <t>Offre Packagée de déploiement Avancé (ProDeploy Plus) - Prix par poste</t>
  </si>
  <si>
    <t>3-0-3-55</t>
  </si>
  <si>
    <t>Stockage</t>
  </si>
  <si>
    <t>Stockage courte durée - Prix par poste</t>
  </si>
  <si>
    <t>3-0-3-56</t>
  </si>
  <si>
    <t>Prestations à la journée</t>
  </si>
  <si>
    <t>Journée Manutentionnaire - Prix par jour</t>
  </si>
  <si>
    <t>3-0-3-57</t>
  </si>
  <si>
    <t>Journée Technicien Déploiement - Prix par jour</t>
  </si>
  <si>
    <t>3-0-3-58</t>
  </si>
  <si>
    <t>Journée Chef de Projet - Prix par jour</t>
  </si>
  <si>
    <t>3-0-3-59</t>
  </si>
  <si>
    <t>Journée Coordinateur - Prix par jour</t>
  </si>
  <si>
    <t>3-0-3-60</t>
  </si>
  <si>
    <t>Recyclage</t>
  </si>
  <si>
    <t>Recyclage  des postes de travail - Solution gratuite - Prix par poste</t>
  </si>
  <si>
    <t>3-0-3-61</t>
  </si>
  <si>
    <t>Recyclage  des postes de travail - Récupération et recyclage du poste avec effacement des données hors site - Prix par poste</t>
  </si>
  <si>
    <t>3-0-3-62</t>
  </si>
  <si>
    <t>Recyclage  des postes de travail - Récupération et recyclage du poste avec effacement des données sur site - Prix par poste</t>
  </si>
  <si>
    <t>3-0-3-63</t>
  </si>
  <si>
    <t>Extensions Proposées avec Configuration</t>
  </si>
  <si>
    <t>3-0-4-1</t>
  </si>
  <si>
    <t>3-0-4-2</t>
  </si>
  <si>
    <t>3-0-4-3</t>
  </si>
  <si>
    <t>Maintien du parc existant Dell</t>
  </si>
  <si>
    <t>Extensions pour postes fixes Optiplex</t>
  </si>
  <si>
    <t>Accessoires Optiplex - Non disponible dans les DROM COM</t>
  </si>
  <si>
    <t>Accessoires pour Optiplex format Micro</t>
  </si>
  <si>
    <t xml:space="preserve">Alimentation pour Optiplex Micro </t>
  </si>
  <si>
    <t>450-AGNS</t>
  </si>
  <si>
    <t>3-0-5-7</t>
  </si>
  <si>
    <t>450-AECL</t>
  </si>
  <si>
    <t>Extensions de garantie en cours après achat matériel Optiplex (dans la limite de 5 ans à partir de la date d'achat du matériel) - Non disponible dans les DROM COM</t>
  </si>
  <si>
    <r>
      <t xml:space="preserve">Extension de garantie pour 1 an supplémentaire ProSupport J+1 (heures ouvrées, jours ouvrés) + TAM Matinfo </t>
    </r>
    <r>
      <rPr>
        <sz val="10"/>
        <color indexed="2"/>
        <rFont val="Calibri"/>
        <family val="2"/>
        <scheme val="minor"/>
      </rPr>
      <t>- Ne peut être acquis via le portail dell-matinfo. Merci de contacter votre commercial</t>
    </r>
  </si>
  <si>
    <t>3-0-5-21</t>
  </si>
  <si>
    <r>
      <t xml:space="preserve">Extension de garantie pour 2 ans supplémentaire ProSupport J+1 (heures ouvrées, jours ouvrés) + TAM Matinfo </t>
    </r>
    <r>
      <rPr>
        <sz val="10"/>
        <color indexed="2"/>
        <rFont val="Calibri"/>
        <family val="2"/>
        <scheme val="minor"/>
      </rPr>
      <t>- Ne peut être acquis via le portail dell-matinfo. Merci de contacter votre commercial</t>
    </r>
  </si>
  <si>
    <t>3-0-5-22</t>
  </si>
  <si>
    <t>Batterie de remplacement pour station de travail Precision Mobile (garantie 1 an) - Non disponible dans les DROM COM</t>
  </si>
  <si>
    <t>Batterie pour Precision 7530/7540/7730/7740 - 4 Cellules 64Whr</t>
  </si>
  <si>
    <t>451-BCJE</t>
  </si>
  <si>
    <t>3-0-5-24</t>
  </si>
  <si>
    <t>Batterie pour Precision 7530/7540/7730/7740 - 6 Cellules 97Whr</t>
  </si>
  <si>
    <t>451-BCGI</t>
  </si>
  <si>
    <t>3-0-5-25</t>
  </si>
  <si>
    <t>Batterie pour Precision 3520 - 4 Cellules 68Whr</t>
  </si>
  <si>
    <t>451-BBZG</t>
  </si>
  <si>
    <t>3-0-5-26</t>
  </si>
  <si>
    <t>Batterie pour Precision 3541 - 4 Cellules 68Whr</t>
  </si>
  <si>
    <t>451-BCNS</t>
  </si>
  <si>
    <t>3-0-5-27</t>
  </si>
  <si>
    <t>Batterie pour Precision 3541 - 6 Cellules 97Whr</t>
  </si>
  <si>
    <t>451-BCNU ou 451-BCNV</t>
  </si>
  <si>
    <t>3-0-5-28</t>
  </si>
  <si>
    <t>Adptateurs secteurs pour station de travail Precision Mobile - Non disponible dans les DROM COM</t>
  </si>
  <si>
    <t>Adaptateur secteur 130W 7,4mm - Precision 35XX</t>
  </si>
  <si>
    <t>3-0-5-30</t>
  </si>
  <si>
    <t>Adaptateur secteur 130W 4,5mm - Precision 5520/5530/5540</t>
  </si>
  <si>
    <t>3-0-5-31</t>
  </si>
  <si>
    <t>Adaptateur secteur 180W 7,4mm - Precision 75X0 et stations d'accueil WD19X 180W</t>
  </si>
  <si>
    <t>3-0-5-32</t>
  </si>
  <si>
    <t>Adaptateur secteur 240W 7,4mm - Precision 77X0 et stations d'accueil WD19X 180W</t>
  </si>
  <si>
    <t>3-0-5-33</t>
  </si>
  <si>
    <t>Batteries de remplacement Latitude et XPS (garantie 1 an) - Non disponible dans les DROM COM</t>
  </si>
  <si>
    <t>Batterie pour Latitude 5400/5500 - 4 cellules 68Wh</t>
  </si>
  <si>
    <t xml:space="preserve">451-BCNX </t>
  </si>
  <si>
    <t>3-0-5-34</t>
  </si>
  <si>
    <t>Batterie pour Latitude 5410/5510 - 4 cellules 68Wh</t>
  </si>
  <si>
    <t xml:space="preserve">451-BCNS </t>
  </si>
  <si>
    <t>3-0-5-35</t>
  </si>
  <si>
    <t>Batterie pour Latitude 5280/5480/5580 &amp; 5290/5490/5590 - 4 cellules 68Wh</t>
  </si>
  <si>
    <t>3-0-5-36</t>
  </si>
  <si>
    <t>Batterie pour Latitude 5280/5480/5580 &amp; 5290/5490/5590 - 3 cellules 51Wh</t>
  </si>
  <si>
    <t>451-BBZT</t>
  </si>
  <si>
    <t>3-0-5-37</t>
  </si>
  <si>
    <t>Batterie pour Latitude 5280/5480/5580 &amp; 5290/5490/5590 - 3 cellules 42Wh</t>
  </si>
  <si>
    <t>451-BBZP</t>
  </si>
  <si>
    <t>3-0-5-38</t>
  </si>
  <si>
    <t>Adaptateurs mobilité et chargeurs - Non disponible dans les DROM COM</t>
  </si>
  <si>
    <t>Adaptateur secteur 65W Européen - Barrel 4.5mm</t>
  </si>
  <si>
    <t>3-0-5-44</t>
  </si>
  <si>
    <t>Adaptateur secteur 65W Européen - Barrel 7.4mm</t>
  </si>
  <si>
    <t>450-ABFS</t>
  </si>
  <si>
    <t>3-0-5-46</t>
  </si>
  <si>
    <r>
      <t xml:space="preserve">Adaptateur secteur 65W </t>
    </r>
    <r>
      <rPr>
        <sz val="10"/>
        <color indexed="64"/>
        <rFont val="Calibri"/>
        <family val="2"/>
        <scheme val="minor"/>
      </rPr>
      <t xml:space="preserve">USB-C </t>
    </r>
    <r>
      <rPr>
        <sz val="10"/>
        <rFont val="Calibri"/>
        <family val="2"/>
        <scheme val="minor"/>
      </rPr>
      <t>Européen</t>
    </r>
  </si>
  <si>
    <t>3-0-5-47</t>
  </si>
  <si>
    <t>450-ALJL</t>
  </si>
  <si>
    <t>Adaptateur secteur 90W USB-C Européen</t>
  </si>
  <si>
    <t>3-0-5-51</t>
  </si>
  <si>
    <t xml:space="preserve">Adaptateur secteur 130W USB-C - Européen </t>
  </si>
  <si>
    <t>3-0-5-54</t>
  </si>
  <si>
    <t>Stylets - Non disponible dans les DROM COM</t>
  </si>
  <si>
    <t>3-0-5-60</t>
  </si>
  <si>
    <t>Stations d'accueil et Réplicateur de ports - Non disponible dans les DROM COM</t>
  </si>
  <si>
    <t>3-0-5-63</t>
  </si>
  <si>
    <t>3-0-5-64</t>
  </si>
  <si>
    <t>Accessoires pour modèles durcis et Latitude 7320 Detachable - Non disponible dans les DROM COM</t>
  </si>
  <si>
    <t>Batterie 2 cellules 34Wh pour Latitude Rugged 7212 et 7220</t>
  </si>
  <si>
    <t>451-BCDH</t>
  </si>
  <si>
    <t>3-0-5-65</t>
  </si>
  <si>
    <t>Dell sacoche pour Latitude Rugged 7212/7220</t>
  </si>
  <si>
    <t>460-BBSZ</t>
  </si>
  <si>
    <t>3-0-5-68</t>
  </si>
  <si>
    <t>Bandoulière pour Latitude Rugged 7212/7220 / 7424</t>
  </si>
  <si>
    <t>460-BCHN</t>
  </si>
  <si>
    <t>3-0-5-69</t>
  </si>
  <si>
    <t>Stylet actif Dell PN720R pour Latitude Rugged 7220 uniquement</t>
  </si>
  <si>
    <t>750-ACHI</t>
  </si>
  <si>
    <t>3-0-5-75</t>
  </si>
  <si>
    <t>5 pointes de rechange pour stylet actif PN720R</t>
  </si>
  <si>
    <t>750-ACHK</t>
  </si>
  <si>
    <t>3-0-5-76</t>
  </si>
  <si>
    <t>Béquille de support pour Latitude Rugged 7212/7220</t>
  </si>
  <si>
    <t>452-BCZQ</t>
  </si>
  <si>
    <t>3-0-5-77</t>
  </si>
  <si>
    <r>
      <t xml:space="preserve">Coque renforcée pour Latitude 7320 2en1 Detachable </t>
    </r>
    <r>
      <rPr>
        <sz val="10"/>
        <color indexed="2"/>
        <rFont val="Calibri"/>
        <family val="2"/>
        <scheme val="minor"/>
      </rPr>
      <t>- Non compatible avec modèles précédents</t>
    </r>
  </si>
  <si>
    <t>460-BDEP</t>
  </si>
  <si>
    <t>3-0-5-94</t>
  </si>
  <si>
    <t>Filtres de confidencialité - Non disponible dans les DROM COM</t>
  </si>
  <si>
    <t>3M Filtre de confidentialité 13''3 (PF133W9B) - Compatible Latitude 53XX / 73X0 &amp; XPS 13 9380</t>
  </si>
  <si>
    <t xml:space="preserve">AB774926 </t>
  </si>
  <si>
    <t>3-0-5-85</t>
  </si>
  <si>
    <t>3M Filtre de confidentialité pour écran tactile 13''3 (TF133W9B) - Compatible Latitude 53X0 / 73X0 &amp; XPS 13 9380</t>
  </si>
  <si>
    <t xml:space="preserve">AB775210 </t>
  </si>
  <si>
    <t>3-0-5-86</t>
  </si>
  <si>
    <t>3M Filtre de confidentialité 13''3 (PFNDE008) - Compatible Latitude 5310 2-en-1 &amp; 7310 2-en-1</t>
  </si>
  <si>
    <t xml:space="preserve">AB775223 </t>
  </si>
  <si>
    <t>3-0-5-87</t>
  </si>
  <si>
    <t xml:space="preserve">AB774973 </t>
  </si>
  <si>
    <t>3-0-5-88</t>
  </si>
  <si>
    <t xml:space="preserve">AB775224 </t>
  </si>
  <si>
    <t>3-0-5-89</t>
  </si>
  <si>
    <t>Extensions de garantie en cours après achat matériel Latitude ou XPS  (dans la limite de 5 ans à partir de la date d'achat du matériel) - Non disponible dans les DROM COM</t>
  </si>
  <si>
    <t>Latitude 3XX0 / 5XX0 / 5495 &amp; 3390 2-en-1</t>
  </si>
  <si>
    <r>
      <t xml:space="preserve">Extension de garantie pour 1 an supplémentaire ProSupport J+1 (heures ouvrés, jours ouvrés) + TAM Matinfo </t>
    </r>
    <r>
      <rPr>
        <sz val="10"/>
        <color indexed="2"/>
        <rFont val="Calibri"/>
        <family val="2"/>
        <scheme val="minor"/>
      </rPr>
      <t xml:space="preserve"> - Ne peut être acquis via le portail dell-matinfo. Merci de contacter votre commercial</t>
    </r>
  </si>
  <si>
    <t>3-0-5-90</t>
  </si>
  <si>
    <t>Latitude 7XX0 / 5XX0 2-en-1 / 7XX0 2-en-1 &amp; 9XX0</t>
  </si>
  <si>
    <r>
      <t xml:space="preserve">Extension de garantie pour 1 an supplémentaire ProSupport J+1 (heures ouvrés, jours ouvrés) + TAM Matinfo  </t>
    </r>
    <r>
      <rPr>
        <sz val="10"/>
        <color indexed="2"/>
        <rFont val="Calibri"/>
        <family val="2"/>
        <scheme val="minor"/>
      </rPr>
      <t>- Ne peut être acquis via le portail dell-matinfo. Merci de contacter votre commercial</t>
    </r>
  </si>
  <si>
    <t>3-0-5-91</t>
  </si>
  <si>
    <t>Latitude Rugged 7414 / 7424 / 7212 &amp; 7220</t>
  </si>
  <si>
    <r>
      <t>Extension de garantie pour 1 an supplémentaire ProSupport J+1 (heures ouvrés, jours ouvrés) + TAM Matinfo</t>
    </r>
    <r>
      <rPr>
        <sz val="10"/>
        <color indexed="2"/>
        <rFont val="Calibri"/>
        <family val="2"/>
        <scheme val="minor"/>
      </rPr>
      <t xml:space="preserve"> - Ne peut être acquis via le portail dell-matinfo. Merci de contacter votre commercial</t>
    </r>
  </si>
  <si>
    <t>3-0-5-92</t>
  </si>
  <si>
    <t>XPS (dans la limite de 4 ans à partir de la date d'achat)</t>
  </si>
  <si>
    <r>
      <t xml:space="preserve">Extension de garantie pour 1 an supplémentaire ProSupport J+1 (heures ouvrés, jours ouvrés) + TAM Matinfo </t>
    </r>
    <r>
      <rPr>
        <sz val="10"/>
        <color indexed="2"/>
        <rFont val="Calibri"/>
        <family val="2"/>
        <scheme val="minor"/>
      </rPr>
      <t>- Ne peut être acquis via le portail dell-matinfo. Merci de contacter votre commercial</t>
    </r>
  </si>
  <si>
    <t>3-0-5-93</t>
  </si>
  <si>
    <t>3-1-6-26</t>
  </si>
  <si>
    <t xml:space="preserve">NVIDIA  RTX A4500 20Go (7168 cœurs CUDA, 224 cœurs Tensor, 56 cœurs RT, 4xDP) </t>
  </si>
  <si>
    <t>Livraison DDP &amp; Garantie DROM COM 3 ans GTI J+1 (sauf J+2 pour Tahiti &amp; presqu'île et Wallis &amp; Futuna)</t>
  </si>
  <si>
    <t>AC007424</t>
  </si>
  <si>
    <t>3-0-1-190</t>
  </si>
  <si>
    <t>Jabra EVOLVE 65e, MS Link 370 MS Ecouteurs sans fil PRO (1099-823-309)</t>
  </si>
  <si>
    <t>Livraison DDP &amp; Garantie DROM COM 4 ans GTI J+1 (sauf J+2 pour Tahiti &amp; presqu'île et Wallis &amp; Futuna)</t>
  </si>
  <si>
    <t>Livraison DDP &amp; Garantie DROM COM 5 ans GTI J+1 (sauf J+2 pour Tahiti &amp; presqu'île et Wallis &amp; Futuna)</t>
  </si>
  <si>
    <t>Livraison DDP &amp; Garantie DROM COM 6 ans GTI J+1 (sauf J+2 pour Tahiti &amp; presqu'île et Wallis &amp; Futuna)</t>
  </si>
  <si>
    <t>Livraison DDP &amp; Garantie DROM COM 7 ans GTI J+1 (sauf J+2 pour Tahiti &amp; presqu'île et Wallis &amp; Futuna)</t>
  </si>
  <si>
    <t>Tarif en € HT</t>
  </si>
  <si>
    <t xml:space="preserve">Deux blocs d'alimentation non redondants 1600W </t>
  </si>
  <si>
    <t>Révision tarifaire temporaire, liée à la conjoncture du Marché IT et à la crise sanitaire, sur certaines bases (augmentation de 10% sur les Precision 3650 et 3561) et extensions communes (hausses tarifaires sur les moniteurs 24 pouces)</t>
  </si>
  <si>
    <t>Hausse de 5% sur l'ensemble des machines et composants (application de la paritié €/$)</t>
  </si>
  <si>
    <t>Promotion sur le portail Dell Matinfo jusqu'à la prochaine mise à jours des barrettes 128Go de Cat3Conf2&amp;3</t>
  </si>
  <si>
    <t>AC033268</t>
  </si>
  <si>
    <r>
      <t xml:space="preserve">Stylet actif DELL PN5122W </t>
    </r>
    <r>
      <rPr>
        <sz val="10"/>
        <color indexed="2"/>
        <rFont val="Calibri"/>
        <family val="2"/>
        <scheme val="minor"/>
      </rPr>
      <t>- Compatible avec tous les systèmes hybrides avec clavier détachable et écran 360° (hors 3390 2en1)</t>
    </r>
  </si>
  <si>
    <t>750-ADRD</t>
  </si>
  <si>
    <t>AC051772</t>
  </si>
  <si>
    <t>Cherry MW 8C ERGO - Souris sans fil USB &amp; Bluetooth - rechargeable USB-C- parfaite pour grandes mains- confort et qualité (JW-8600) - Noir &amp; Argent</t>
  </si>
  <si>
    <t>AA252246</t>
  </si>
  <si>
    <t>470-AFKL</t>
  </si>
  <si>
    <t>V4</t>
  </si>
  <si>
    <t xml:space="preserve">Adaptateur 6en1 DA305 (HDMI, DP, Ethernet, USB-C et 2xUSB-A) </t>
  </si>
  <si>
    <t>Extensions : Modification de certains libellés, Retrait des produits / options en fin de vie</t>
  </si>
  <si>
    <t>Maintien Parc existant : Modification de certains libellés, Retrait des produits / options en fin de vie</t>
  </si>
  <si>
    <t>NVIDIA RTX A2000 12Go (3228 cœurs CUDA, 4x mDP)</t>
  </si>
  <si>
    <t xml:space="preserve">NVIDIA RTX A2000 12Go (3228 cœurs CUDA, 4x mDP) </t>
  </si>
  <si>
    <t>Cat1Conf4: Transition Precision 3561 vers Precision 3571 (processeurs 12eme Gen, mémoire DDR5, WIFI 6E)</t>
  </si>
  <si>
    <t>Cat1Conf5: Transition Precision 5560 vers Precision 5570 (processeurs 12eme Gen, mémoire DDR5, WIFI 6E)</t>
  </si>
  <si>
    <t>Catégorie 3 : Retraits / ajouts cartes graphiques</t>
  </si>
  <si>
    <t>32Go 4800MHz DDR5 - 2x16Go</t>
  </si>
  <si>
    <t>32Go 4800MHz DDR5 - 1x32Go</t>
  </si>
  <si>
    <t xml:space="preserve">Option de communication (ajout) - </t>
  </si>
  <si>
    <t xml:space="preserve">64Go 4800MHz DDR5 - 2x32Go </t>
  </si>
  <si>
    <t>Cat1Conf1: Transition Precision 3240 vers Precision 3260 Compact</t>
  </si>
  <si>
    <t>Cat1Conf2: Transition Precision 3450 vers Precision 3460 SFF</t>
  </si>
  <si>
    <t>Cat1Conf3/cat2Conf1&amp;2: Transition Precision 3650 vers Precision 3660 MT</t>
  </si>
  <si>
    <t>Cat1Conf6: Transition Precision 7760 vers Precision 7770</t>
  </si>
  <si>
    <t>V5</t>
  </si>
  <si>
    <t>PRECISION 3260 Compact</t>
  </si>
  <si>
    <t>PRECISION 3460 SFF</t>
  </si>
  <si>
    <t>PRECISION 3660 MT</t>
  </si>
  <si>
    <t>CAT1_Configuration n°1 - PRECISION 3260 format Compact</t>
  </si>
  <si>
    <t xml:space="preserve">Passages de mémoire ECC </t>
  </si>
  <si>
    <t>SSD 4To M.2 PCIe NVMe Classe 40</t>
  </si>
  <si>
    <t>SSD 256Go M.2 PCIe NVMe Classe 35</t>
  </si>
  <si>
    <t>3-1-1-38</t>
  </si>
  <si>
    <t>NVIDIA T1000 4Go (896 cœurs CUDA, 4x mDP) - Disponibilité limitée</t>
  </si>
  <si>
    <r>
      <t xml:space="preserve">Port VGA intégré </t>
    </r>
    <r>
      <rPr>
        <sz val="10"/>
        <color rgb="FFFF0000"/>
        <rFont val="Calibri"/>
        <family val="2"/>
        <scheme val="minor"/>
      </rPr>
      <t>- Un seul choix possible</t>
    </r>
  </si>
  <si>
    <t>382-BBFW</t>
  </si>
  <si>
    <r>
      <t xml:space="preserve">Port HDMI intégré </t>
    </r>
    <r>
      <rPr>
        <sz val="10"/>
        <color rgb="FFFF0000"/>
        <rFont val="Calibri"/>
        <family val="2"/>
        <scheme val="minor"/>
      </rPr>
      <t>- Un seul choix possible</t>
    </r>
  </si>
  <si>
    <r>
      <t xml:space="preserve">Port DP intégré </t>
    </r>
    <r>
      <rPr>
        <sz val="10"/>
        <color rgb="FFFF0000"/>
        <rFont val="Calibri"/>
        <family val="2"/>
        <scheme val="minor"/>
      </rPr>
      <t>- Un seul choix possible</t>
    </r>
  </si>
  <si>
    <t>Carte bibande Intel® Wireless WIFI6E AX211 (2x2) + Bluetooth 5.2 - antenne interne</t>
  </si>
  <si>
    <t>482-BBEM</t>
  </si>
  <si>
    <t>CAT1_Configuration n°2 - PRECISION 3460 format SFF</t>
  </si>
  <si>
    <t>64Go 4800 MHz DDR5 - 2x32Go</t>
  </si>
  <si>
    <r>
      <t>DD 2To 7200 tr/min 3"5</t>
    </r>
    <r>
      <rPr>
        <sz val="10"/>
        <color rgb="FFFF0000"/>
        <rFont val="Calibri"/>
        <family val="2"/>
        <scheme val="minor"/>
      </rPr>
      <t xml:space="preserve"> </t>
    </r>
  </si>
  <si>
    <t xml:space="preserve">DD 4To 5400 Tr/min 3,5" </t>
  </si>
  <si>
    <t>NVIDIA RTX A2000 12 Go (3228 cœurs CUDA, 4xmDP)</t>
  </si>
  <si>
    <r>
      <t xml:space="preserve">Carte PCIe avec port USB-C supplémentaire - </t>
    </r>
    <r>
      <rPr>
        <sz val="10"/>
        <color rgb="FFFF0000"/>
        <rFont val="Calibri"/>
        <family val="2"/>
        <scheme val="minor"/>
      </rPr>
      <t>Un seul choix possible</t>
    </r>
  </si>
  <si>
    <t>Seconde carte PCIe d‘interface réseau Intel I225 1 Gb (1x1 GbE)</t>
  </si>
  <si>
    <t>Carte bibande Intel® Wireless WIFI6E AX211 (2x2) + Bluetooth 5.2 - Antenne interne</t>
  </si>
  <si>
    <t xml:space="preserve">Cache câbles pour Precision 3460 SFF </t>
  </si>
  <si>
    <t>Kit: 325-BEMY</t>
  </si>
  <si>
    <t>32Go 4400MHz DDR5 - 2x16Go</t>
  </si>
  <si>
    <t xml:space="preserve">64Go 4400MHz DDR5 - 2x32Go </t>
  </si>
  <si>
    <t xml:space="preserve">64Go 4000MHz DDR5 - 4x16Go </t>
  </si>
  <si>
    <t xml:space="preserve">128Go 3600MHz DDR5 - 4x32Go </t>
  </si>
  <si>
    <t>16Go 4400MHz DDR5 - 1x16Go - ECC</t>
  </si>
  <si>
    <t>3-1-3-13</t>
  </si>
  <si>
    <t>32Go 4400MHz DDR5 - 2x16Go - ECC</t>
  </si>
  <si>
    <t>64Go 4000MHz DDR5 - 4x16Go - ECC</t>
  </si>
  <si>
    <t>3-1-3-14</t>
  </si>
  <si>
    <t>64Go 4400MHz DDR5 - 2x32Go - ECC</t>
  </si>
  <si>
    <t>128Go 3600MHz DDR5 - 4x32Go - ECC</t>
  </si>
  <si>
    <t>Système de refroidissement (Passage) - option obligatoire avec processeurs 125W</t>
  </si>
  <si>
    <r>
      <t xml:space="preserve">Passage vers Refroissement avancé (optimisation performance) - </t>
    </r>
    <r>
      <rPr>
        <sz val="10"/>
        <color rgb="FFFF0000"/>
        <rFont val="Calibri"/>
        <family val="2"/>
        <scheme val="minor"/>
      </rPr>
      <t>requis avec processeurs 125W</t>
    </r>
  </si>
  <si>
    <t>3-1-3-30</t>
  </si>
  <si>
    <r>
      <t>Passage vers refroidissement liquide (optimisation performance et acoustique) -</t>
    </r>
    <r>
      <rPr>
        <sz val="10"/>
        <color rgb="FFFF0000"/>
        <rFont val="Calibri"/>
        <family val="2"/>
        <scheme val="minor"/>
      </rPr>
      <t xml:space="preserve"> requis avec processeurs 125W</t>
    </r>
  </si>
  <si>
    <t>3-1-3-31</t>
  </si>
  <si>
    <t>NVIDIA  RTX A4000 16Go(6144 cœurs CUDA, 192 cœurs Tensor, 48 cœurs RT, 4xDP) - Disponibilité limitée</t>
  </si>
  <si>
    <r>
      <t>NVIDIA RTX A5000 (24Go, 8192 cœurs CUDA, 256 cœurs Tensor gen3, 64 cœurs RT 2ème gen,  4xDP)</t>
    </r>
    <r>
      <rPr>
        <sz val="10"/>
        <color rgb="FFFF0000"/>
        <rFont val="Calibri"/>
        <family val="2"/>
        <scheme val="minor"/>
      </rPr>
      <t xml:space="preserve"> - Passage nécessaire sur alimentation 1000W minimum</t>
    </r>
    <r>
      <rPr>
        <sz val="10"/>
        <rFont val="Calibri"/>
        <family val="2"/>
        <scheme val="minor"/>
      </rPr>
      <t xml:space="preserve"> </t>
    </r>
  </si>
  <si>
    <r>
      <t xml:space="preserve">NVIDIA Geforce RTX3060 (12Go, 3584 cœurs CUDA, 28 cœurs Tensor gen3, 112 cœurs RTGen 2, 3xDP + 1xHDMI) - </t>
    </r>
    <r>
      <rPr>
        <sz val="10"/>
        <color rgb="FFFF0000"/>
        <rFont val="Calibri"/>
        <family val="2"/>
        <scheme val="minor"/>
      </rPr>
      <t>Support uniquement Win10</t>
    </r>
  </si>
  <si>
    <r>
      <t xml:space="preserve">NVIDIA Geforce RTX3070 (8Go, 5888 cœurs CUDA, 184 cœurs Tensor gen3, 46 cœurs RTGen 2, 3xDP + 1xHDMI) - </t>
    </r>
    <r>
      <rPr>
        <sz val="10"/>
        <color rgb="FFFF0000"/>
        <rFont val="Calibri"/>
        <family val="2"/>
        <scheme val="minor"/>
      </rPr>
      <t>Support uniquement Win10 - Passage nécessaire sur alimentation 1000W</t>
    </r>
  </si>
  <si>
    <r>
      <t xml:space="preserve">NVIDIA Geforce RTX3080 (10Go, 8704 cœurs CUDA, 272 cœurs Tensor gen3, 68 cœurs RTGen 2,  3xDP + 1xHDMI) - </t>
    </r>
    <r>
      <rPr>
        <sz val="10"/>
        <color rgb="FFFF0000"/>
        <rFont val="Calibri"/>
        <family val="2"/>
        <scheme val="minor"/>
      </rPr>
      <t>Support uniquement Win10 - Passage necessaire sur alimentation 1000W  - Incompatible avec autres cartes d'extension</t>
    </r>
  </si>
  <si>
    <r>
      <t xml:space="preserve">Graveur DVD+/-RW ultraplat 8x -  </t>
    </r>
    <r>
      <rPr>
        <sz val="10"/>
        <color rgb="FFFF0000"/>
        <rFont val="Calibri"/>
        <family val="2"/>
        <scheme val="minor"/>
      </rPr>
      <t>au choix</t>
    </r>
  </si>
  <si>
    <r>
      <t xml:space="preserve">Port VGA intégré -  </t>
    </r>
    <r>
      <rPr>
        <sz val="10"/>
        <color rgb="FFFF0000"/>
        <rFont val="Calibri"/>
        <family val="2"/>
        <scheme val="minor"/>
      </rPr>
      <t>un seul choix possible</t>
    </r>
  </si>
  <si>
    <r>
      <t xml:space="preserve">Port HDMI intégré - </t>
    </r>
    <r>
      <rPr>
        <sz val="10"/>
        <color rgb="FFFF0000"/>
        <rFont val="Calibri"/>
        <family val="2"/>
        <scheme val="minor"/>
      </rPr>
      <t>un seul choix possible</t>
    </r>
  </si>
  <si>
    <r>
      <t>Carte PCIe avec port USB-C supplémentaire  -</t>
    </r>
    <r>
      <rPr>
        <sz val="10"/>
        <color rgb="FFFF0000"/>
        <rFont val="Calibri"/>
        <family val="2"/>
        <scheme val="minor"/>
      </rPr>
      <t xml:space="preserve"> un seul choix possible</t>
    </r>
  </si>
  <si>
    <t>Carte Réseau additionnelle - 1 seul choix parmi Carte réseau aditionnelle, carte sans fil aditionnelle et carte PCIe aditionnelle</t>
  </si>
  <si>
    <t>Cache de câbles pour Precision 3660 MT</t>
  </si>
  <si>
    <t>32Go 4800MHz DDR5 - 2x16Go non ECC</t>
  </si>
  <si>
    <t>64Go 4800MHz DDR5 - 2x32Go non ECC</t>
  </si>
  <si>
    <t>Passages de mémoire CAMM</t>
  </si>
  <si>
    <t>16Go 4800MHz DDR5 - 1x16Go (CAMM)</t>
  </si>
  <si>
    <t>3-1-6-27</t>
  </si>
  <si>
    <t>3-1-6-28</t>
  </si>
  <si>
    <t>SSD 1To M.2 PCIe NVMe</t>
  </si>
  <si>
    <t>SSD 2To M.2 PCIe NVMe</t>
  </si>
  <si>
    <t xml:space="preserve">SSD 4To M.2 PCIe NVMe </t>
  </si>
  <si>
    <t>3-1-6-29</t>
  </si>
  <si>
    <t>SSD 512 Go M.2 PCIe NVMe</t>
  </si>
  <si>
    <t>SSD 1 To M.2 PCIe NVMe</t>
  </si>
  <si>
    <t>SSD 2 To M.2 PCIe NVMe</t>
  </si>
  <si>
    <t>3-1-6-30</t>
  </si>
  <si>
    <t>3-1-6-15</t>
  </si>
  <si>
    <t>293-10023,494-31477</t>
  </si>
  <si>
    <t>Etiquette Couleur pour poste de travail (informations spécifiques au choix parmi 25 champs de données différents, possibilité de QR Code et de système de couleur RVB) - Nécessite la création d’un projet de personnalisation usine</t>
  </si>
  <si>
    <t>293-10113,494-31477</t>
  </si>
  <si>
    <t>293-10026,494-31478</t>
  </si>
  <si>
    <t>293-10000,691-15425</t>
  </si>
  <si>
    <t>693-11409</t>
  </si>
  <si>
    <t>Paramétrage du Bios en usine (nombre de paramètres illimité) - Prix par poste - Nécessite la création d’un projet de personnalisation usine</t>
  </si>
  <si>
    <t>Descente d'un master statique (format Wim, Clonezilla, etc.) en usine - Prix par poste - Nécessite la création d’un projet de personnalisation usine</t>
  </si>
  <si>
    <t>Descente d'un master dynamique Dell Image Assist en usine - Prix par poste - Nécessite la création d’un projet de personnalisation usine</t>
  </si>
  <si>
    <t>Descente d'un master dynamique via le process Dell Connected Configuration - Prix par poste - Nécessite la création d’un projet de personnalisation usine</t>
  </si>
  <si>
    <t>Enregistrement en usine d'un poste de travail dans l'Azure AD Client - Prix par poste - Nécessite la création d’un projet de personnalisation usine</t>
  </si>
  <si>
    <t>Enregistrement en usine d'un poste de travail dans la console Workspace One VMWare  - Prix par poste - Nécessite la création d’un projet de personnalisation usine</t>
  </si>
  <si>
    <t>WD22TB4 - Dock Thunderbolt 180W - 2 x DP 1.4 / 1 x HDMI / 2 x Thunderbolt / 2 x USB-C / Ethernet &amp; USB - Garantie 5 ans</t>
  </si>
  <si>
    <t>210-BDTD</t>
  </si>
  <si>
    <t>CAT2_Configuration n°2 - PRECISION 3660  format MT</t>
  </si>
  <si>
    <t xml:space="preserve">Système de refroidissement (Passage) </t>
  </si>
  <si>
    <t>Passage refroidissement avancé vers refroidissement liquide (optimisation performance et acoustique)</t>
  </si>
  <si>
    <t>3-2-2-20</t>
  </si>
  <si>
    <r>
      <t xml:space="preserve">NVIDIA Geforce RTX3070 (8Go, 5888 cœurs CUDA, 184 cœurs Tensor gen3, 46 cœurs RTGen 2, 3xDP + 1xHDMI) - </t>
    </r>
    <r>
      <rPr>
        <sz val="10"/>
        <color rgb="FFFF0000"/>
        <rFont val="Calibri"/>
        <family val="2"/>
        <scheme val="minor"/>
      </rPr>
      <t xml:space="preserve">Support uniquement Win10 </t>
    </r>
  </si>
  <si>
    <r>
      <t>NVIDIA Geforce RTX3080 (10Go, 8704 cœurs CUDA, 272 cœurs Tensor gen3, 68 cœurs RTGen 2,  3xDP + 1xHDMI) -</t>
    </r>
    <r>
      <rPr>
        <sz val="10"/>
        <color rgb="FFFF0000"/>
        <rFont val="Calibri"/>
        <family val="2"/>
        <scheme val="minor"/>
      </rPr>
      <t xml:space="preserve"> Support uniquement Win10 - incompatible avec autres cartes d'extension</t>
    </r>
  </si>
  <si>
    <t xml:space="preserve">SSD 1 To M.2 PCIe NVMe </t>
  </si>
  <si>
    <t xml:space="preserve">SSD 2To M.2 PCIe NVMe </t>
  </si>
  <si>
    <t>3-2-3-24</t>
  </si>
  <si>
    <t>3-2-0-41</t>
  </si>
  <si>
    <r>
      <rPr>
        <b/>
        <sz val="10"/>
        <color theme="1"/>
        <rFont val="Calibri"/>
        <family val="2"/>
        <scheme val="minor"/>
      </rPr>
      <t>CAT3_Configuration n°3 - PRECISION 7920 format Rack</t>
    </r>
    <r>
      <rPr>
        <sz val="10"/>
        <color theme="1"/>
        <rFont val="Calibri"/>
        <family val="2"/>
        <scheme val="minor"/>
      </rPr>
      <t xml:space="preserve">
Alimentation simple hot swapp 80Plus Gold 1100W jusqu'à 90% d'efficacité - norme ENERGY STAR 
2x Intel Xeon Gold 5218R (20 Coeurs, 2.1-4.0GHz Turbo, 22Mo cache, 125W)
64Go DDR4 3200MHz (8x8Go) - ECC
SSD 512Go M.2 PCIe NVMe Classe 40 (sur carte Dell Ultra-Speed Duo)
Carte réseau I350 (4x1Gbit) 
Ensemble souris et clavier Multimédia
NVIDIA T400 4Go (384 cœurs CUDA, 3x mDP) 
Ubuntu 20.04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</si>
  <si>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r>
      <t xml:space="preserve">512Go 3200 MHz DDR4 - 8x64Go ECC </t>
    </r>
    <r>
      <rPr>
        <sz val="10"/>
        <color rgb="FFFF0000"/>
        <rFont val="Calibri"/>
        <family val="2"/>
        <scheme val="minor"/>
      </rPr>
      <t xml:space="preserve">- Nécessite disque de demarage de 1To </t>
    </r>
  </si>
  <si>
    <t xml:space="preserve">NVIDIA RTX A5500 (24Go, 10240 cœurs CUDA, 320 cœurs Tensor gen3, 80 cœurs RT 2ème gen,  4xDP) </t>
  </si>
  <si>
    <r>
      <t xml:space="preserve">Seconde carte PCIe d'interface réseau Intel® X550-T2 à deux ports 10 GbE - </t>
    </r>
    <r>
      <rPr>
        <sz val="10"/>
        <color rgb="FFFF0000"/>
        <rFont val="Calibri"/>
        <family val="2"/>
        <scheme val="minor"/>
      </rPr>
      <t>Disponibilité limitée</t>
    </r>
  </si>
  <si>
    <t>NVIDIA  RTX A4500 20Go (7168 cœurs CUDA, 224 cœurs Tensor, 56 cœurs RT, 4xDP)</t>
  </si>
  <si>
    <r>
      <t xml:space="preserve">NVIDIA RTX A5000 24Go (8192 cœurs CUDA, 256 cœurs Tensor gen3, 64 cœurs RT 2ème gen,  4xDP) - </t>
    </r>
    <r>
      <rPr>
        <sz val="10"/>
        <color rgb="FFFF0000"/>
        <rFont val="Calibri"/>
        <family val="2"/>
        <scheme val="minor"/>
      </rPr>
      <t>Disponibilité limitée</t>
    </r>
  </si>
  <si>
    <t>128Go  3200MHz DDR4 (2x64Go) ECC</t>
  </si>
  <si>
    <r>
      <t xml:space="preserve">2x NVIDIA  RTX A4500 20Go (7168 cœurs CUDA, 224 cœurs Tensor, 56 cœurs RT, 4xDP): </t>
    </r>
    <r>
      <rPr>
        <sz val="10"/>
        <color rgb="FFFF0000"/>
        <rFont val="Calibri"/>
        <family val="2"/>
        <scheme val="minor"/>
      </rPr>
      <t>- Multi Display non supporté sous Ubuntu : usage uniquement pour calcul GPU (DataScience ou DL/ML/AI)</t>
    </r>
  </si>
  <si>
    <t xml:space="preserve">Carte réseau Intel® X710-t à deux ports 10 GbE DA/SFP+ et Intel i350 double port 1 GbE </t>
  </si>
  <si>
    <t>210-BEYX</t>
  </si>
  <si>
    <t>210-BEYV</t>
  </si>
  <si>
    <t>Cartes Full Height</t>
  </si>
  <si>
    <t>Cartes Low Profile (chassis Compact et SFF)</t>
  </si>
  <si>
    <r>
      <t xml:space="preserve">NVIDIA T400 Low Profile (4Go, 3x mDP) - </t>
    </r>
    <r>
      <rPr>
        <sz val="10"/>
        <color rgb="FFFF0000"/>
        <rFont val="Calibri"/>
        <family val="2"/>
        <scheme val="minor"/>
      </rPr>
      <t>Nécessite de valider en amont compatibilité station, disponibilité slot PCIe, puissance alimentation et support OS, etc.</t>
    </r>
  </si>
  <si>
    <t>490-BIBT</t>
  </si>
  <si>
    <t>3-0-1-1</t>
  </si>
  <si>
    <t>490-BIBR</t>
  </si>
  <si>
    <r>
      <t xml:space="preserve">NVIDIA T400 Full Height (4Go, 3x mDP) - </t>
    </r>
    <r>
      <rPr>
        <sz val="10"/>
        <color rgb="FFFF0000"/>
        <rFont val="Calibri"/>
        <family val="2"/>
        <scheme val="minor"/>
      </rPr>
      <t>Nécessite de valider en amont compatibilité station, disponibilité slot PCIe, puissance alimentation et support OS, etc.</t>
    </r>
  </si>
  <si>
    <t>490-BHRT</t>
  </si>
  <si>
    <r>
      <t xml:space="preserve">NVIDIA T1000 Full Height (8Go, 4xmDP) </t>
    </r>
    <r>
      <rPr>
        <sz val="10"/>
        <color rgb="FFFF0000"/>
        <rFont val="Calibri"/>
        <family val="2"/>
        <scheme val="minor"/>
      </rPr>
      <t>- Nécessite de valider en amont compatibilité station, disponibilité slot PCIe, puissance alimentation et support OS, etc.</t>
    </r>
  </si>
  <si>
    <t>490-BHRU</t>
  </si>
  <si>
    <r>
      <t xml:space="preserve">NVIDIA RTX A2000 12Go (3228 cœurs CUDA, 4x mDP)  - </t>
    </r>
    <r>
      <rPr>
        <sz val="10"/>
        <color rgb="FFFF0000"/>
        <rFont val="Calibri"/>
        <family val="2"/>
        <scheme val="minor"/>
      </rPr>
      <t>Nécessite de valider en amont compatibilité station, disponibilité slot PCIe, puissance alimentation et support OS, etc.</t>
    </r>
  </si>
  <si>
    <t>490-BHRS</t>
  </si>
  <si>
    <r>
      <t>NVIDIA RTX A4000 (16Go, 4xDP)</t>
    </r>
    <r>
      <rPr>
        <sz val="10"/>
        <color rgb="FFFF0000"/>
        <rFont val="Calibri"/>
        <family val="2"/>
        <scheme val="minor"/>
      </rPr>
      <t xml:space="preserve"> - Nécessite de valider en amont compatibilité station, disponibilité slot PCIe, puissance alimentation et support OS, etc.</t>
    </r>
  </si>
  <si>
    <t>490-BHTJ</t>
  </si>
  <si>
    <r>
      <t>NVIDIA RTX A4500 (20Go, 4xDP)</t>
    </r>
    <r>
      <rPr>
        <sz val="10"/>
        <color rgb="FFFF0000"/>
        <rFont val="Calibri"/>
        <family val="2"/>
        <scheme val="minor"/>
      </rPr>
      <t xml:space="preserve"> - Nécessite de valider en amont compatibilité station, disponibilité slot PCIe, puissance alimentation et support OS, etc.</t>
    </r>
  </si>
  <si>
    <t>490-BHRV ou BHRR (version avec extender)</t>
  </si>
  <si>
    <t>3-0-1-10</t>
  </si>
  <si>
    <r>
      <t xml:space="preserve">NVIDIA RTX A5000 (24Go,  4xDP) - </t>
    </r>
    <r>
      <rPr>
        <sz val="10"/>
        <color rgb="FFFF0000"/>
        <rFont val="Calibri"/>
        <family val="2"/>
        <scheme val="minor"/>
      </rPr>
      <t>Nécessite de valider en amont compatibilité station, disponibilité slot PCIe, puissance alimentation et support OS, etc.</t>
    </r>
  </si>
  <si>
    <r>
      <t>NVIDIA RTX A5500 (24Go, 4xDP)</t>
    </r>
    <r>
      <rPr>
        <sz val="10"/>
        <color rgb="FFFF0000"/>
        <rFont val="Calibri"/>
        <family val="2"/>
        <scheme val="minor"/>
      </rPr>
      <t xml:space="preserve"> - Nécessite de valider en amont compatibilité station, disponibilité slot PCIe, puissance alimentation et support OS, etc.</t>
    </r>
  </si>
  <si>
    <t>490-BHXM</t>
  </si>
  <si>
    <t>3-0-1-11</t>
  </si>
  <si>
    <r>
      <t>NVIDIA RTX A6000 (48Go, 4xDP)</t>
    </r>
    <r>
      <rPr>
        <sz val="10"/>
        <color rgb="FFFF0000"/>
        <rFont val="Calibri"/>
        <family val="2"/>
        <scheme val="minor"/>
      </rPr>
      <t xml:space="preserve"> - Nécessite de valider en amont compatibilité station, disponibilité slot PCIe, puissance alimentation et support OS, etc.</t>
    </r>
  </si>
  <si>
    <t>Kit : 325-BEMZ</t>
  </si>
  <si>
    <t>Filtre anti-poussière Precision 3660 MT (uniquement commandable avec la machine)</t>
  </si>
  <si>
    <t>Accessoires pour Precision SFF</t>
  </si>
  <si>
    <t>Filtre anti-poussière Precision 3460 SFF (uniquement commandable avec la machine)</t>
  </si>
  <si>
    <t>Tied : 325-BELO / Kit : 750-ADSF</t>
  </si>
  <si>
    <t>Accessoires pour Precision 3260 Compact</t>
  </si>
  <si>
    <t>Socle Dell tout-en un CFS 22 pour Precision 3260 Compact - compatible avec écrans inférieur ou égal 27'' (Pro 2 ID)</t>
  </si>
  <si>
    <r>
      <rPr>
        <b/>
        <sz val="10"/>
        <color rgb="FF000000"/>
        <rFont val="Calibri"/>
        <family val="2"/>
        <scheme val="minor"/>
      </rPr>
      <t>Optiplex 3000 Thin Client - Win10 IoT</t>
    </r>
    <r>
      <rPr>
        <sz val="10"/>
        <color indexed="64"/>
        <rFont val="Calibri"/>
        <family val="2"/>
        <scheme val="minor"/>
      </rPr>
      <t xml:space="preserve">
Intel Celeron N5105 -  8 Go DDR4 -  SSD 256Go M.2 PCIe - Clavier &amp; souris - Adaptateur secteur 65 watts
5 ans Pro Support J+1 - Wyse Management Suite - version Standard</t>
    </r>
  </si>
  <si>
    <r>
      <rPr>
        <b/>
        <sz val="10"/>
        <color rgb="FF000000"/>
        <rFont val="Calibri"/>
        <family val="2"/>
        <scheme val="minor"/>
      </rPr>
      <t>Optiplex 3000 Thin Client - Thin OS</t>
    </r>
    <r>
      <rPr>
        <sz val="10"/>
        <color indexed="64"/>
        <rFont val="Calibri"/>
        <family val="2"/>
        <scheme val="minor"/>
      </rPr>
      <t xml:space="preserve">
Intel Celeron N5105 -  4 Go DDR4 -  32 Go de mémoire Flash eMMC- Clavier &amp; souris - Adaptateur secteur 65 watts
5 ans Pro Support J+1 - Wyse Management Suite - version Standard</t>
    </r>
  </si>
  <si>
    <t>379-BESD + 329-BGOK</t>
  </si>
  <si>
    <t>3-0-1-170</t>
  </si>
  <si>
    <r>
      <t xml:space="preserve">Port additionnel VGA - </t>
    </r>
    <r>
      <rPr>
        <sz val="10"/>
        <color rgb="FFFF0000"/>
        <rFont val="Calibri"/>
        <family val="2"/>
        <scheme val="minor"/>
      </rPr>
      <t>Uniquement commandable avec Optiplex 3000 TC</t>
    </r>
  </si>
  <si>
    <t>3-0-1-171</t>
  </si>
  <si>
    <r>
      <t xml:space="preserve">Port additionnel HDMI - </t>
    </r>
    <r>
      <rPr>
        <sz val="10"/>
        <color rgb="FFFF0000"/>
        <rFont val="Calibri"/>
        <family val="2"/>
        <scheme val="minor"/>
      </rPr>
      <t>Uniquement commandable avec Optiplex 3000 TC</t>
    </r>
  </si>
  <si>
    <t>382-BBLH ou 382-BBFI</t>
  </si>
  <si>
    <t>3-0-1-172</t>
  </si>
  <si>
    <r>
      <t xml:space="preserve">Port additionnel USB type C - </t>
    </r>
    <r>
      <rPr>
        <sz val="10"/>
        <color rgb="FFFF0000"/>
        <rFont val="Calibri"/>
        <family val="2"/>
        <scheme val="minor"/>
      </rPr>
      <t>Uniquement commandable avec Optiplex 3000 TC</t>
    </r>
  </si>
  <si>
    <t>382-BBKO</t>
  </si>
  <si>
    <r>
      <t xml:space="preserve">Port additionnel série - </t>
    </r>
    <r>
      <rPr>
        <sz val="10"/>
        <color rgb="FFFF0000"/>
        <rFont val="Calibri"/>
        <family val="2"/>
        <scheme val="minor"/>
      </rPr>
      <t>Uniquement commandable avec Optiplex 3000 TC</t>
    </r>
  </si>
  <si>
    <t>382-BBIZ</t>
  </si>
  <si>
    <t>Support de montage VESA pour modèles OptiPlex 3000 TC (ecran nouvelle génération) - avec support bloc d'alimentation</t>
  </si>
  <si>
    <t>482-BBEP</t>
  </si>
  <si>
    <t>3-0-1-194</t>
  </si>
  <si>
    <t>Support de montage VESA double pour modèles OptiPlex 3000 TC (ecran nouvelle génération)</t>
  </si>
  <si>
    <t>482-BBEQ</t>
  </si>
  <si>
    <t>3-0-1-191</t>
  </si>
  <si>
    <t xml:space="preserve">Socle tout-en-un format Micro MFS22 - Pour Optiplex 3000 TC et ecran de dernière génération </t>
  </si>
  <si>
    <t>482-BBEO</t>
  </si>
  <si>
    <t>3-0-1-192</t>
  </si>
  <si>
    <t>3-0-2-56</t>
  </si>
  <si>
    <t>Sacoche Targus Cypress Slimcase Ecosmart 15.6 Grise - Garantie à vie (TBS92502GL)</t>
  </si>
  <si>
    <t>AC157142</t>
  </si>
  <si>
    <t>3-0-2-34</t>
  </si>
  <si>
    <t>3-0-2-57</t>
  </si>
  <si>
    <t>3M Filtre de confidentialité 15.6'' 16:10 (PFNDE015) - Compatible Precision 5560 et 5570</t>
  </si>
  <si>
    <t>AC158334</t>
  </si>
  <si>
    <t>3-0-2-58</t>
  </si>
  <si>
    <t>Precision 3000 Tower</t>
  </si>
  <si>
    <t>Precision Mobile</t>
  </si>
  <si>
    <t>Precision 5000/7000 Tower &amp; Rack</t>
  </si>
  <si>
    <r>
      <t>NVIDIA  RTX A4000 16Go (6144 cœurs CUDA, 192 cœurs Tensor, 48 cœurs RT, 4xDP) -</t>
    </r>
    <r>
      <rPr>
        <sz val="10"/>
        <color rgb="FFFF0000"/>
        <rFont val="Calibri"/>
        <family val="2"/>
        <scheme val="minor"/>
      </rPr>
      <t xml:space="preserve"> Disponibilité limitée</t>
    </r>
  </si>
  <si>
    <r>
      <t xml:space="preserve">NVIDIA  RTX A4000 16Go (6144 cœurs CUDA, 192 cœurs Tensor, 48 cœurs RT, 4xDP) </t>
    </r>
    <r>
      <rPr>
        <sz val="10"/>
        <color rgb="FFFF0000"/>
        <rFont val="Calibri"/>
        <family val="2"/>
        <scheme val="minor"/>
      </rPr>
      <t>- Disponibilité limitée</t>
    </r>
  </si>
  <si>
    <t>Cat2conf3: Transition Precision 7560 vers Precision 7670</t>
  </si>
  <si>
    <t>AC266850</t>
  </si>
  <si>
    <t>Passages de processeur, mémoire et carte graphique</t>
  </si>
  <si>
    <t>Cat1Conf5Bis: Ajout Precision mobile 5470</t>
  </si>
  <si>
    <t>3-1-5-1abis</t>
  </si>
  <si>
    <t xml:space="preserve">64Go 4400MHz DDR5 - 4x16Go </t>
  </si>
  <si>
    <r>
      <t xml:space="preserve">NVIDIA RTX A5500 (24Go, 10240 cœurs CUDA, 320 cœurs Tensor gen3, 80 cœurs RT 2ème gen,  4xDP) </t>
    </r>
    <r>
      <rPr>
        <sz val="10"/>
        <color rgb="FFFF0000"/>
        <rFont val="Calibri"/>
        <family val="2"/>
        <scheme val="minor"/>
      </rPr>
      <t xml:space="preserve"> </t>
    </r>
  </si>
  <si>
    <t>3-2-2-21</t>
  </si>
  <si>
    <t>3-2-2-22</t>
  </si>
  <si>
    <t>3-1-5-10</t>
  </si>
  <si>
    <t>Jabra Panacast Meet Anywhere -KIT MINI - UC  (Panacast + Speak 750 + Premium Travel case) ( 8402-229)</t>
  </si>
  <si>
    <t>3-0-1-196</t>
  </si>
  <si>
    <t>Jabra Panacast Meet Anywhere -KIT MINI - MS Teams  (Panacast + Speak 750 + Premium Travel case) ( 8402-129)</t>
  </si>
  <si>
    <t>3-0-1-197</t>
  </si>
  <si>
    <t>Support de montage VESA (installation sous le bureau) pour Precision Compact - avec rangement alimentation</t>
  </si>
  <si>
    <t>3-0-1-198</t>
  </si>
  <si>
    <t xml:space="preserve">Dell Webcam Professional (WB5023) - 2K QHD - cadrage automatique IA - avec Audio - Certifié Teams et Zoom </t>
  </si>
  <si>
    <t>Dell Webcam Ultrasharp (WB7022) - 4K Ultra HD (3840 x 2160) - Couleur - Compatible Windows Hello - Cadrage automatique IA – Certifié Teams et Zoom - Noir</t>
  </si>
  <si>
    <t>490-BHTI ou 490-BGYC (version avec extender)</t>
  </si>
  <si>
    <t>Dell Dock HD22Q - Station d'accueil pour portable avec socle de recharge sans fil (12W) pour smartphone ou écouteurs compatibles Qi - 1 x DP 1.4 / 1 x HDMI / 1 x USB-C (PD 90W) / Ethernet &amp; USB - Garantie 3 ans</t>
  </si>
  <si>
    <t>Dell Dock UD22 130 W - universelle  pour portable USB-C (avec DP alt mode ou Display Link) - 2 x DP 1.4 / 1 x HDMI / 1 x USB-C (PD 90W) / Ethernet &amp; USB - Garantie 3 ans</t>
  </si>
  <si>
    <r>
      <t>Extension Pack Maintenance ProActive 5 ans H+4 avec service sur site 24x7 - Rack (ProSupport Plus - Inclut la garantie casse et Keep Your Hard Drive)</t>
    </r>
    <r>
      <rPr>
        <sz val="10"/>
        <color indexed="2"/>
        <rFont val="Calibri"/>
        <family val="2"/>
        <scheme val="minor"/>
      </rPr>
      <t xml:space="preserve"> - Non disponible dans les DROM COM </t>
    </r>
  </si>
  <si>
    <t>CAT1_Configuration n°3 - PRECISION 3660  format MT</t>
  </si>
  <si>
    <t>1er disque dur (Passage)</t>
  </si>
  <si>
    <t>Ajout disques supplémentaires SATA 3,5'' (jusqu'à 3 disques)</t>
  </si>
  <si>
    <t>Ajout 2nd disque</t>
  </si>
  <si>
    <t>Ajout 3eme ou 4eme disque dur M.2 SSD ou SATA</t>
  </si>
  <si>
    <t>Cat3Conf1: Modification de la configuration de base avec Passage de T400 2Go à T400 4Go - Passage sur stockage Flexbay</t>
  </si>
  <si>
    <t>Cat3Conf2: Modification de la configuration: passage sur stockage Flexbay</t>
  </si>
  <si>
    <t>Configuration RAID M.2 PCIe - Incompatible Ubuntu</t>
  </si>
  <si>
    <r>
      <t xml:space="preserve">RAID 0 (2 à 4 SSD M.2 identiques) - Inclus le passage sur contrôleur AHCI avec clé vROC </t>
    </r>
    <r>
      <rPr>
        <sz val="10"/>
        <color rgb="FFFF0000"/>
        <rFont val="Calibri"/>
        <family val="2"/>
        <scheme val="minor"/>
      </rPr>
      <t>- Incompatible Ubuntu</t>
    </r>
  </si>
  <si>
    <r>
      <t xml:space="preserve">RAID 1 (2 SSD M.2 identiques) - Inclus le passage sur contrôleur AHCI avec clé vROC </t>
    </r>
    <r>
      <rPr>
        <sz val="10"/>
        <color rgb="FFFF0000"/>
        <rFont val="Calibri"/>
        <family val="2"/>
        <scheme val="minor"/>
      </rPr>
      <t>- Incompatible Ubuntu</t>
    </r>
  </si>
  <si>
    <r>
      <t xml:space="preserve">RAID 0 (2 à 4 disques identiques) - Inclus le passage sur contrôleur AHCI avec clé vROC - </t>
    </r>
    <r>
      <rPr>
        <sz val="10"/>
        <color rgb="FFFF0000"/>
        <rFont val="Calibri"/>
        <family val="2"/>
        <scheme val="minor"/>
      </rPr>
      <t>Incompatible Ubuntu</t>
    </r>
  </si>
  <si>
    <r>
      <t xml:space="preserve">RAID 1 (2  disques identiques) - Inclus le passage sur contrôleur AHCI avec clé vROC  - </t>
    </r>
    <r>
      <rPr>
        <sz val="10"/>
        <color rgb="FFFF0000"/>
        <rFont val="Calibri"/>
        <family val="2"/>
        <scheme val="minor"/>
      </rPr>
      <t>Incompatible Ubuntu</t>
    </r>
  </si>
  <si>
    <r>
      <t xml:space="preserve">Graveur DVD+/-RW demi-hauteur 16x sur FlexBay 5,25" </t>
    </r>
    <r>
      <rPr>
        <sz val="10"/>
        <color rgb="FFFF0000"/>
        <rFont val="Calibri"/>
        <family val="2"/>
        <scheme val="minor"/>
      </rPr>
      <t>- Incompatible avec 5eme disque</t>
    </r>
  </si>
  <si>
    <t>Flexbay arrière pour disques 5 à 8</t>
  </si>
  <si>
    <t>Ajout Disques SATA 3.5'' - Flexbay 5 à 8</t>
  </si>
  <si>
    <t>450-ABJQ ou 450-18644</t>
  </si>
  <si>
    <t>Ajout emplacement stockage interne face arrière pour disques supplémentaires  SATA - 5ème à 8eme disques</t>
  </si>
  <si>
    <t>Hausse de 5% sur l'ensemble des machines et composants (application de la parité €/$)
Le nouveau taux de parité pris en compte est celui du mois de septembre 2022 : 0,9904 arrondi au dixième soit 1,0</t>
  </si>
  <si>
    <t>Révision tarifaire provisoire liée à la conjoncture du Marché IT  : augmentation globale de 10% sur la base des consommations MATINFO 5 répartie de la façon suivante: +11% sur les stations de travail dont service et OS ainsi que sur les docks et +5% sur les clients légers, les écrans et périphériques. Cette révision sera réexaminée d'ici fin Mars 2023</t>
  </si>
  <si>
    <t>555-BHDV</t>
  </si>
  <si>
    <t xml:space="preserve">AB827329 </t>
  </si>
  <si>
    <t>3-0-2-59</t>
  </si>
  <si>
    <t>3-0-2-60</t>
  </si>
  <si>
    <t>450-ABIT ou 450-18650 ou 450-AIZL</t>
  </si>
  <si>
    <r>
      <t xml:space="preserve">CAT2_Configuration n°1 - PRECISION 3660 format MT (non disponible sur le portail)
</t>
    </r>
    <r>
      <rPr>
        <sz val="10"/>
        <color theme="1"/>
        <rFont val="Calibri"/>
        <family val="2"/>
        <scheme val="minor"/>
      </rPr>
      <t>Alimentation 500W Platinum jusqu'à 92% d'efficacité  - norme ENERGY STAR
Système de refroidissement standard
Intel Core i5-12500 (6 cœurs HT, 3.0-4.6 Ghz Turbo, 18 Mo cache, 65W)
16Go 4400MHz DDR5 - 2x8Go
SSD 512Go M.2 PCIe NVMe Classe 40
NVIDIA T1000 8Go (896 cœurs CUDA, 4x mDP) 
Ubuntu 20.04
Ensemble souris et clavier Multimédia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</si>
  <si>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AC327348</t>
  </si>
  <si>
    <t>AC327349</t>
  </si>
  <si>
    <t>V6</t>
  </si>
  <si>
    <t>PRECISION 3581</t>
  </si>
  <si>
    <t>Intel Core i7-13700H (14 Cœurs HT, 2.4-5.0GHz Turbo, 24Mo cache) et NVIDIA RTX A500 (4Go DDR6, 2048 coeurs CUDA)</t>
  </si>
  <si>
    <t xml:space="preserve">Intel Core i9-13900H (14 Cœurs HT, 2.6-5.4GHz Turbo, 24 Mo cache) et NVIDIA RTX 2000 Ada (8Go DDR6, 3072 coeurs CUDA) </t>
  </si>
  <si>
    <t xml:space="preserve">Batterie 6 cellules (97Wh) compatible ExpressCharge™ </t>
  </si>
  <si>
    <t>391-BHKI</t>
  </si>
  <si>
    <t>391-BHKG</t>
  </si>
  <si>
    <t>391-BHKQ</t>
  </si>
  <si>
    <t>391-BHKB ou 391-BHKO (si 4G)</t>
  </si>
  <si>
    <r>
      <t xml:space="preserve">Écran 15,6" non tactile antireflet FHD (1 920 x 1 080), 250 nits, 45% NTSC, Caméra FHD infrarouge - </t>
    </r>
    <r>
      <rPr>
        <sz val="10"/>
        <color rgb="FFFF0000"/>
        <rFont val="Calibri"/>
        <family val="2"/>
        <scheme val="minor"/>
      </rPr>
      <t>compatible  4G</t>
    </r>
  </si>
  <si>
    <r>
      <t xml:space="preserve">Écran 15,6" non tactile antireflet FHD (1 920 x 1 080 ), 400 nits, 100% sRVB, Caméra FHD  - </t>
    </r>
    <r>
      <rPr>
        <sz val="10"/>
        <color rgb="FFFF0000"/>
        <rFont val="Calibri"/>
        <family val="2"/>
        <scheme val="minor"/>
      </rPr>
      <t>Compatible  5G</t>
    </r>
  </si>
  <si>
    <r>
      <t xml:space="preserve">Écran 15,6"  tactile antireflet FHD (1 920 x 1 080), 250 nits, 45% NTSC, caméra FHD Infrarouge - </t>
    </r>
    <r>
      <rPr>
        <sz val="10"/>
        <color rgb="FFFF0000"/>
        <rFont val="Calibri"/>
        <family val="2"/>
        <scheme val="minor"/>
      </rPr>
      <t>Compatible 4G</t>
    </r>
  </si>
  <si>
    <r>
      <t xml:space="preserve">Écran 15,6"  tactile antireflet FHD (1 920 x 1 080), 250 nits, 45% NTSC, Caméra EMZA FHD infrarouge (Intelligent Privacy)  - </t>
    </r>
    <r>
      <rPr>
        <sz val="10"/>
        <color rgb="FFFF0000"/>
        <rFont val="Calibri"/>
        <family val="2"/>
        <scheme val="minor"/>
      </rPr>
      <t>Compatible 4G</t>
    </r>
  </si>
  <si>
    <t>391-BHJU</t>
  </si>
  <si>
    <r>
      <t xml:space="preserve">Écran 15,6" non tactile antireflet FHD (1 920 x 1 080 ), 400 nits, 100% sRVB, Caméra FHD infrarouge - </t>
    </r>
    <r>
      <rPr>
        <sz val="10"/>
        <color rgb="FFFF0000"/>
        <rFont val="Calibri"/>
        <family val="2"/>
        <scheme val="minor"/>
      </rPr>
      <t>compatible 4G</t>
    </r>
  </si>
  <si>
    <r>
      <t xml:space="preserve">Écran 15,6" non tactile antireflet FHD (1 920 x 1 080), 250 nits, 45% NTSC, Caméra EMZA FHD infrarouge (Intelligent Privacy)- </t>
    </r>
    <r>
      <rPr>
        <sz val="10"/>
        <color rgb="FFFF0000"/>
        <rFont val="Calibri"/>
        <family val="2"/>
        <scheme val="minor"/>
      </rPr>
      <t>compatible 4G</t>
    </r>
  </si>
  <si>
    <t>391-BHKV</t>
  </si>
  <si>
    <t>Extensions : Retrait des produits / options en fin de vie</t>
  </si>
  <si>
    <t>Intel Core i7-13700H (14 Cœurs HT, 2.4-5.0GHz Turbo, 24Mo cache) et NVIDIA RTX A1000 (6Go DDR6, 2560 coeurs CUDA)</t>
  </si>
  <si>
    <t>CAT1_Configuration n°4b- PRECISION Mobile 3581</t>
  </si>
  <si>
    <t>Moniteur 34'' - Dell U3423WE - 3440x1440 IPS Black - Ultrasharp Format 21:9 incurvé - Hub USB-C(PD 90W)/RJ45/2xHDMI/DP/Speakers 2x5W - Câbles : USB-C/HDMI/DP</t>
  </si>
  <si>
    <t>Cat1Conf4b:  Ajout Precision 3581</t>
  </si>
  <si>
    <t>3-1-4-40</t>
  </si>
  <si>
    <t>3-1-4-41</t>
  </si>
  <si>
    <t>3-1-4-42</t>
  </si>
  <si>
    <t>3-1-4-43</t>
  </si>
  <si>
    <t>3-1-4-44</t>
  </si>
  <si>
    <t>3-1-4-45</t>
  </si>
  <si>
    <t>3-1-4-46</t>
  </si>
  <si>
    <t>Intel Core i7-13800H (14 Cœurs HT, 2.5-5.2GHz Turbo, 24Mo cache) et NVIDIA RTX A500 (4Go DDR6, 2048 coeurs CUDA)</t>
  </si>
  <si>
    <t>Intel Core i7-13800H (14 Cœurs HT, 2.5-5.2GHz Turbo, 24Mo cache) et NVIDIA RTX A1000 (6Go DDR6, 2560 coeurs CUDA)</t>
  </si>
  <si>
    <t>Intel Core i7-13800H (14 Cœurs HT, 2.5-5.2GHz Turbo, 24Mo cache) et NVIDIA RTX 2000 Ada (8Go DDR6, 3072 coeurs CUDA)</t>
  </si>
  <si>
    <t>Moniteur 49" - Dell U4924DW - 5120x1440 IPS Black - Ultrasharp 32:9 incurvé - Connecteurs: Hub USB-C (PD 90W)/RJ45/2xHDMI/DP/Speakers 2x9W - Câbles: USB-C/DP/HDMI</t>
  </si>
  <si>
    <t>Moniteur 27'' Multimedia - Dell C2723H -FHD (1920x1080) -  Webcam 5MP FHD &amp; Camera IR (Windows Hello), micro + 2x 5W HP, Low Blue Light - Connecteurs : DP/HDMI - Câbles : DP/HDMI</t>
  </si>
  <si>
    <t>Date de soumission du projet de BPU</t>
  </si>
  <si>
    <t>Date de validation du BPU</t>
  </si>
  <si>
    <t>Baisse de 5% sur l'ensemble des machines et composants (application de la parité €/$) hors prestations de service, logiciels et garanties associées aux matériels
Le nouveau taux de parité pris en compte est celui du mois de Février 2023 : 1,0715 arrondi au dixième soit 1,1</t>
  </si>
  <si>
    <t>V7</t>
  </si>
  <si>
    <t>Tower 3x60: Transition CPU vers 13eme gen</t>
  </si>
  <si>
    <t>Cat1Conf5Bis: Transition Precision 5470 vers 5480</t>
  </si>
  <si>
    <t>Cat1Conf6: Transition Precision 7770 vers Precision 7780</t>
  </si>
  <si>
    <t>Cat2conf3: Transition Precision 7670 vers Precision 7680</t>
  </si>
  <si>
    <t>Cat3Conf2Bis: ajout Precision 7865 Tower</t>
  </si>
  <si>
    <t>3M Filtre de confidentialité 14'' 16:9 (PF140W9B) - Compatible Precision &amp; Latitude 14''</t>
  </si>
  <si>
    <t>3M Filtre de confidentialité pour écran tactile 14'' 16:9 (TF140W9B) - Compatible Compatible Precision &amp; Latitude 14''</t>
  </si>
  <si>
    <r>
      <t>NVIDIA RTX A6000 ADA (48Go, 18176 CUDA cores, 91.1 TFLOPS SP,  4xDP)</t>
    </r>
    <r>
      <rPr>
        <sz val="10"/>
        <color rgb="FFFF0000"/>
        <rFont val="Calibri"/>
        <family val="2"/>
        <scheme val="minor"/>
      </rPr>
      <t xml:space="preserve"> - Nécessite de valider en amont compatibilité station, disponibilité slot PCIe, puissance alimentation et support OS, etc.</t>
    </r>
  </si>
  <si>
    <t>490-BJMS</t>
  </si>
  <si>
    <t>722-BBBV</t>
  </si>
  <si>
    <t>3-0-1-101</t>
  </si>
  <si>
    <t>722-BBBU</t>
  </si>
  <si>
    <t>Dell SP3022 - Haut-Parleur 2x 1.8W - certifié Teams &amp; Zoom - annulation automatique du bruit - entrée USB-A ou USB-C (au choix)</t>
  </si>
  <si>
    <t>520-AAVQ</t>
  </si>
  <si>
    <t>3-0-1-110</t>
  </si>
  <si>
    <t>Jabra EVOLVE 65 SE MS Stereo (6599-833-309)</t>
  </si>
  <si>
    <t>AC381803</t>
  </si>
  <si>
    <t>Moniteur 24" - Dell U2422HE - 1920x1080 - Ultrasharp avec Hub USB-C/RJ45 - Connecteurs USB-C (PD 90W)/RJ45/HDMI/DP - Câble fourni : USB-C/DP</t>
  </si>
  <si>
    <t>Moniteur 32'' - Dell U3223QE - 4K (3840x2160) IPS Black/HDR400 - Ultrasharp  - Hub USB-C(90W)/RJ45/DP/HDMI -Câbles: USB-C/DP</t>
  </si>
  <si>
    <t>Tied : 750-ADRH / kit 750-ADSG</t>
  </si>
  <si>
    <t>Housses (Hors Precision 7000)</t>
  </si>
  <si>
    <t>Housse Dell Ecoloop Pro 15-16 (CV5623) - Jusqu'à 16'' (hors Precision 76x0)</t>
  </si>
  <si>
    <t>Housse Port Designs YOSEMITE ECO - Gris - Garantie à vie (400705) - jusqu'à 15.6''</t>
  </si>
  <si>
    <t>460-BDQP</t>
  </si>
  <si>
    <t>Sacoche Dell Ecoloop Pro (CC5623) - jusqu'à 16''</t>
  </si>
  <si>
    <t>Sacoche Dell Premier 15 (PE1520C) - jusqu'à 16''</t>
  </si>
  <si>
    <t>Sac à dos Dell Ecoloop Pro (CP5723) - jusqu'à 17''</t>
  </si>
  <si>
    <t>Sac à dos Dell EcoLoop Premier 15 (PE1520P) - jusqu'à 16''</t>
  </si>
  <si>
    <t>Sac à dos Dell EcoLoop Premier Slim 15 (PE1520PS) - jusqu'à 16''</t>
  </si>
  <si>
    <r>
      <t xml:space="preserve">Gravure laser permettant l'identification de votre entité (logo ou informations succintes) - </t>
    </r>
    <r>
      <rPr>
        <sz val="10"/>
        <color rgb="FFFF0000"/>
        <rFont val="Calibri"/>
        <family val="2"/>
        <scheme val="minor"/>
      </rPr>
      <t>Nécessite la création d’un projet de personnalisation usine (stations mobiles uniquement)</t>
    </r>
  </si>
  <si>
    <t>Autres prestations de services spécifiques (Coût journée : Chef de projet, Technicien de déploiement, etc.) - Non disponible dans les DROM COM &amp; sur Precision 79x0 Rack</t>
  </si>
  <si>
    <r>
      <t xml:space="preserve">Licence Microsoft Windows 11 Pro, 64 bits multilingue (anglais, néerlandais, français, allemand, italien) - </t>
    </r>
    <r>
      <rPr>
        <sz val="10"/>
        <color indexed="2"/>
        <rFont val="Calibri"/>
        <family val="2"/>
        <scheme val="minor"/>
      </rPr>
      <t>Pour processeurs Intel Core i5 &amp; i7 uniquement</t>
    </r>
  </si>
  <si>
    <t>3-0-4-4</t>
  </si>
  <si>
    <r>
      <t xml:space="preserve">Licence Microsoft Windows 11 Pro, 64 bits multilingue (anglais, néerlandais, français, allemand, italien) - </t>
    </r>
    <r>
      <rPr>
        <sz val="10"/>
        <color indexed="2"/>
        <rFont val="Calibri"/>
        <family val="2"/>
        <scheme val="minor"/>
      </rPr>
      <t>Pour processeurs Intel Core i9 et processeu</t>
    </r>
    <r>
      <rPr>
        <sz val="10"/>
        <color rgb="FFFF0000"/>
        <rFont val="Calibri"/>
        <family val="2"/>
        <scheme val="minor"/>
      </rPr>
      <t>rs AMD uniquement</t>
    </r>
  </si>
  <si>
    <t>3-0-4-5</t>
  </si>
  <si>
    <r>
      <t xml:space="preserve">Licence Microsoft Windows 11 Pro, 64 bits multilingue (anglais, néerlandais, français, allemand, italien) - </t>
    </r>
    <r>
      <rPr>
        <sz val="10"/>
        <color indexed="2"/>
        <rFont val="Calibri"/>
        <family val="2"/>
        <scheme val="minor"/>
      </rPr>
      <t>Pour processeurs Intel Xeon uniquement</t>
    </r>
  </si>
  <si>
    <t>3-0-4-6</t>
  </si>
  <si>
    <t>619-APWY</t>
  </si>
  <si>
    <t>619-AQMC</t>
  </si>
  <si>
    <t>619-AQKB</t>
  </si>
  <si>
    <t>Intel Core i5-13600 (14 cœurs HT, 2.7-5 Ghz Turbo,24 Mo cache, 65W)</t>
  </si>
  <si>
    <t>Intel Core i7-13700 (16 cœurs HT, 2.1-5.2 Ghz Turbo, 30 Mo cache, 65W)</t>
  </si>
  <si>
    <t>Intel Core i9-13900 (24 cœurs HT, 2.0-5.6 Ghz Turbo, 36 Mo cache, 65W)</t>
  </si>
  <si>
    <t>Graveur DVD+/-RW ultraplat 8x</t>
  </si>
  <si>
    <r>
      <t xml:space="preserve">Intel Core i7-13700K (16 cœurs HT, 2.5-5.4 Ghz Turbo, 30 Mo cache, 125W) </t>
    </r>
    <r>
      <rPr>
        <sz val="10"/>
        <color rgb="FFFF0000"/>
        <rFont val="Calibri"/>
        <family val="2"/>
        <scheme val="minor"/>
      </rPr>
      <t>- necessite Alimentation 1000W et refroidissement avancé ou liquide</t>
    </r>
  </si>
  <si>
    <r>
      <t>Intel Core i9-13900K (24 cœurs HT, 3.0-5.8 Ghz Turbo, 36 Mo cache, 125W)</t>
    </r>
    <r>
      <rPr>
        <sz val="10"/>
        <color rgb="FFFF0000"/>
        <rFont val="Calibri"/>
        <family val="2"/>
        <scheme val="minor"/>
      </rPr>
      <t xml:space="preserve"> - necessite Alimentation 1000W et refroidissement avancé ou liquide</t>
    </r>
  </si>
  <si>
    <t>Carte PCIe Thunderbolt 4</t>
  </si>
  <si>
    <t>CAT1_Configuration n°5bis- PRECISION Mobile 5480</t>
  </si>
  <si>
    <t xml:space="preserve">Intel Core i7-13700K (16 cœurs HT, 2.5-5.4 Ghz Turbo, 30 Mo cache, 125W) </t>
  </si>
  <si>
    <r>
      <t>Intel Core i9-13900K (24 cœurs HT, 3.0-5.8 Ghz Turbo, 36 Mo cache, 125W)</t>
    </r>
    <r>
      <rPr>
        <sz val="10"/>
        <color rgb="FFFF0000"/>
        <rFont val="Calibri"/>
        <family val="2"/>
        <scheme val="minor"/>
      </rPr>
      <t xml:space="preserve"> </t>
    </r>
  </si>
  <si>
    <t>1er disque dur M.2 PCIe NVMe (passage)</t>
  </si>
  <si>
    <t>2ème disque M.2 PCIe NVMe (ajout)</t>
  </si>
  <si>
    <r>
      <t xml:space="preserve">NVIDIA Geforce RTX3080 (10Go, 3xDP + 1xHDMI) </t>
    </r>
    <r>
      <rPr>
        <sz val="10"/>
        <color indexed="2"/>
        <rFont val="Calibri"/>
        <family val="2"/>
        <scheme val="minor"/>
      </rPr>
      <t>- Uniquement Windows</t>
    </r>
  </si>
  <si>
    <r>
      <t xml:space="preserve">2x NVIDIA  RTX A4500 20Go (7168 cœurs CUDA, 224 cœurs Tensor, 56 cœurs RT, 4xDP) </t>
    </r>
    <r>
      <rPr>
        <sz val="10"/>
        <color indexed="2"/>
        <rFont val="Calibri"/>
        <family val="2"/>
        <scheme val="minor"/>
      </rPr>
      <t>- Multi Display non supporté sous Ubuntu : usage uniquement pour calcul GPU (DataScience ou DL/ML/AI)</t>
    </r>
  </si>
  <si>
    <r>
      <t xml:space="preserve">2x NVIDIA  RTX A4500 20Go NV Link (7168 cœurs CUDA, 224 cœurs Tensor, 56 cœurs RT, 4xDP) - </t>
    </r>
    <r>
      <rPr>
        <sz val="10"/>
        <color rgb="FFFF0000"/>
        <rFont val="Calibri"/>
        <family val="2"/>
        <scheme val="minor"/>
      </rPr>
      <t>Multi Display non supporté sous Ubuntu : usage uniquement pour calcul GPU (DataScience ou DL/ML/AI)</t>
    </r>
  </si>
  <si>
    <r>
      <t xml:space="preserve">2x NVIDIA  RTX A4500 20Go (7168 cœurs CUDA, 224 cœurs Tensor, 56 cœurs RT, 4xDP) </t>
    </r>
    <r>
      <rPr>
        <sz val="10"/>
        <color indexed="2"/>
        <rFont val="Calibri"/>
        <family val="2"/>
        <scheme val="minor"/>
      </rPr>
      <t>-  Multi Display non supporté sous Ubuntu : usage uniquement pour calcul GPU (DataScience ou DL/ML/AI)</t>
    </r>
  </si>
  <si>
    <r>
      <t xml:space="preserve">2x NVIDIA  RTX A4500 20Go NV Link (7168 cœurs CUDA, 224 cœurs Tensor, 56 cœurs RT, 4xDP) </t>
    </r>
    <r>
      <rPr>
        <sz val="10"/>
        <color indexed="2"/>
        <rFont val="Calibri"/>
        <family val="2"/>
        <scheme val="minor"/>
      </rPr>
      <t>-  Multi Display non supporté sous Ubuntu : usage uniquement pour calcul GPU (DataScience ou DL/ML/AI)</t>
    </r>
  </si>
  <si>
    <r>
      <t xml:space="preserve">3x NVIDIA  RTX A4500 20Go (7168 cœurs CUDA, 224 cœurs Tensor, 56 cœurs RT, 4xDP) </t>
    </r>
    <r>
      <rPr>
        <sz val="10"/>
        <color indexed="2"/>
        <rFont val="Calibri"/>
        <family val="2"/>
        <scheme val="minor"/>
      </rPr>
      <t xml:space="preserve"> - Multi Display non supporté sous Ubuntu : usage uniquement pour calcul GPU (DataScience ou DL/ML/AI)</t>
    </r>
  </si>
  <si>
    <t>460-BCZV</t>
  </si>
  <si>
    <t>520-AAVV</t>
  </si>
  <si>
    <t>Dell WH1022 - Casque Stereo USB</t>
  </si>
  <si>
    <t>Dell WH3022 - Casque Stereo USB avec réduction du bruit</t>
  </si>
  <si>
    <t>520-AATL</t>
  </si>
  <si>
    <t>Stylets</t>
  </si>
  <si>
    <t>750-ADRC</t>
  </si>
  <si>
    <t>3-3-2-1b</t>
  </si>
  <si>
    <t>PRECISION 7865 Tower</t>
  </si>
  <si>
    <t>CAT3_Configuration n°2B - Precision 7865 Tower</t>
  </si>
  <si>
    <t>128Go 3200 MHz DDR4 - 4x32Go ECC</t>
  </si>
  <si>
    <t>3-3-2-86</t>
  </si>
  <si>
    <t xml:space="preserve">256Go 3200 MHz DDR4 - 4x64Go ECC </t>
  </si>
  <si>
    <t>3-3-2-87</t>
  </si>
  <si>
    <t>256Go 3200 MHz DDR4 - 8x32Go ECC</t>
  </si>
  <si>
    <t>3-3-2-88</t>
  </si>
  <si>
    <t xml:space="preserve">512Go 3200 MHz DDR4 - 8x64Go ECC </t>
  </si>
  <si>
    <t>3-3-2-89</t>
  </si>
  <si>
    <t xml:space="preserve">512Go 3200 MHz DDR4 - 4x128Go ECC </t>
  </si>
  <si>
    <t>3-3-2-90</t>
  </si>
  <si>
    <r>
      <t>1To 3200 MHz DDR4 - 8x128Go ECC</t>
    </r>
    <r>
      <rPr>
        <sz val="10"/>
        <color rgb="FFFF0000"/>
        <rFont val="Calibri"/>
        <family val="2"/>
        <scheme val="minor"/>
      </rPr>
      <t xml:space="preserve"> </t>
    </r>
  </si>
  <si>
    <t>3-3-2-91</t>
  </si>
  <si>
    <t>Passage 1er disque - SSD M.2 (interne)</t>
  </si>
  <si>
    <t>Ajout 2nd disque - SSD M.2 (interne)</t>
  </si>
  <si>
    <t>Ajout 3eme disque  - SATA Flexbay #1</t>
  </si>
  <si>
    <t xml:space="preserve">Ajout 4eme disque - SATA Flexbay #2 </t>
  </si>
  <si>
    <t>Verrouillage disque dur SATA Flexbays</t>
  </si>
  <si>
    <t>Panneau de verrouillage pour disque dur SATA (Quantité 1) - necessite disque SATA en Flexbay #1</t>
  </si>
  <si>
    <t>3-3-2-92</t>
  </si>
  <si>
    <t>Panneau de verrouillage pour disque dur SATA (Quantité 2) - necessite disques SATA en Flexbay #1 et #2</t>
  </si>
  <si>
    <t>3-3-2-93</t>
  </si>
  <si>
    <t>Ajout 5eme disque SATA (Interne) - uniquement si Flexbays #1 et 2 remplis</t>
  </si>
  <si>
    <t>Ajout 6eme disque SATA (interne) - uniquement si Flexbays #1 et 2 remplis</t>
  </si>
  <si>
    <t>Ajout carte Dell Ultra-Speed - uniquement si emplacements M.2 internes remplis  - incompatible avec dual GPUs et cartes d'extensions</t>
  </si>
  <si>
    <t>Dell ultra Speed drive Duo Pcie X8 avec 2 disques SSD 1To M.2 PCIe NVMe Classe 40</t>
  </si>
  <si>
    <t>3-3-2-94</t>
  </si>
  <si>
    <t>Dell ultra Speed drive Duo Pcie X8 avec 2 disques SSD 2To M.2 PCIe NVMe Classe 40</t>
  </si>
  <si>
    <t>3-3-2-95</t>
  </si>
  <si>
    <t>Dell ultra Speed drive Duo Pcie X8 avec 2 disques SSD 4To M.2 PCIe NVMe Classe 40</t>
  </si>
  <si>
    <t>3-3-2-96</t>
  </si>
  <si>
    <t>Dell ultra Speed drive Quad Pcie X16 avec 4 disques SSD 1To M.2 PCIe NVMe Classe 40</t>
  </si>
  <si>
    <t>3-3-2-97</t>
  </si>
  <si>
    <t>Dell ultra Speed drive Quad Pcie X16 avec 4 disques SSD 2To M.2 PCIe NVMe Classe 40</t>
  </si>
  <si>
    <t>3-3-2-98</t>
  </si>
  <si>
    <t>Dell ultra Speed drive Quad Pcie X16 avec 4 disques SSD 4To M.2 PCIe NVMe Classe 40</t>
  </si>
  <si>
    <t>3-3-2-99</t>
  </si>
  <si>
    <r>
      <t xml:space="preserve">NVIDIA RTX A4000 16Go (6144 cœurs CUDA, 192 cœurs Tensor, 48 cœurs RT, 4xDP) - </t>
    </r>
    <r>
      <rPr>
        <sz val="10"/>
        <color rgb="FFFF0000"/>
        <rFont val="Calibri"/>
        <family val="2"/>
        <scheme val="minor"/>
      </rPr>
      <t>Disponibilité limitée</t>
    </r>
  </si>
  <si>
    <t xml:space="preserve">NVIDIA RTX A4500 20Go (7168 cœurs CUDA, 224 cœurs Tensor, 56 cœurs RT, 4xDP) </t>
  </si>
  <si>
    <r>
      <t xml:space="preserve">NVIDIA Geforce RTX3080 (10Go, 3xDP + 1xHDMI) </t>
    </r>
    <r>
      <rPr>
        <sz val="10"/>
        <color rgb="FFFF0000"/>
        <rFont val="Calibri"/>
        <family val="2"/>
        <scheme val="minor"/>
      </rPr>
      <t>- Incompatible Ubuntu</t>
    </r>
  </si>
  <si>
    <t>Doubles cartes graphiques Professionnelles NVIDIA - Multi Display non supporté sous Ubuntu : usage uniquement pour calcul GPU (DataScience ou DL/ML/AI)</t>
  </si>
  <si>
    <r>
      <t xml:space="preserve">Dual NVIDIA  RTX A4500 20Go (7168 cœurs CUDA, 224 cœurs Tensor, 56 cœurs RT, 4xDP) </t>
    </r>
    <r>
      <rPr>
        <sz val="10"/>
        <color rgb="FFFF0000"/>
        <rFont val="Calibri"/>
        <family val="2"/>
        <scheme val="minor"/>
      </rPr>
      <t>- Multi Display non supporté sous Ubuntu : usage uniquement pour calcul GPU (DataScience ou DL/ML/AI)</t>
    </r>
  </si>
  <si>
    <r>
      <t xml:space="preserve">Dual NVIDIA  RTX A4500 20Go NV Link (7168 cœurs CUDA, 224 cœurs Tensor, 56 cœurs RT, 4xDP) </t>
    </r>
    <r>
      <rPr>
        <sz val="10"/>
        <color rgb="FFFF0000"/>
        <rFont val="Calibri"/>
        <family val="2"/>
        <scheme val="minor"/>
      </rPr>
      <t xml:space="preserve"> - Multi Display non supporté sous Ubuntu : usage uniquement pour calcul GPU (DataScience ou DL/ML/AI)</t>
    </r>
  </si>
  <si>
    <r>
      <t xml:space="preserve">Dual NVIDIA RTX A5500 24Go (10240 cœurs CUDA, 320 cœurs Tensor gen3, 80 cœurs RT 2ème gen,  4xDP) </t>
    </r>
    <r>
      <rPr>
        <sz val="10"/>
        <color rgb="FFFF0000"/>
        <rFont val="Calibri"/>
        <family val="2"/>
        <scheme val="minor"/>
      </rPr>
      <t xml:space="preserve"> - Multi Display non supporté sous Ubuntu : usage uniquement pour calcul GPU (DataScience ou DL/ML/AI)</t>
    </r>
  </si>
  <si>
    <t>3-3-2-103</t>
  </si>
  <si>
    <r>
      <t xml:space="preserve">Dual NVIDIA RTX A5500 24Go NVLink (10240 cœurs CUDA, 320 cœurs Tensor gen3, 80 cœurs RT 2ème gen,  4xDP)  </t>
    </r>
    <r>
      <rPr>
        <sz val="10"/>
        <color rgb="FFFF0000"/>
        <rFont val="Calibri"/>
        <family val="2"/>
        <scheme val="minor"/>
      </rPr>
      <t>- - Multi Display non supporté sous Ubuntu : usage uniquement pour calcul GPU (DataScience ou DL/ML/AI)</t>
    </r>
  </si>
  <si>
    <t>3-3-2-104</t>
  </si>
  <si>
    <r>
      <t xml:space="preserve">Dual NVIDIA RTX A6000 48Go (10752 cœurs CUDA, 336 cœurs Tenosr Gen3, 84 cœurs RT Gen2, 4xDP) </t>
    </r>
    <r>
      <rPr>
        <sz val="10"/>
        <color rgb="FFFF0000"/>
        <rFont val="Calibri"/>
        <family val="2"/>
        <scheme val="minor"/>
      </rPr>
      <t>- Multi Display non supporté sous Ubuntu : usage uniquement pour calcul GPU (DataScience ou DL/ML/AI)</t>
    </r>
  </si>
  <si>
    <r>
      <t xml:space="preserve">Dual NVIDIA RTX A6000 48Go NVLink (10752 cœurs CUDA, 336 cœurs Tenosr Gen3, 84 cœurs RT Gen2, 4xDP) </t>
    </r>
    <r>
      <rPr>
        <sz val="10"/>
        <color rgb="FFFF0000"/>
        <rFont val="Calibri"/>
        <family val="2"/>
        <scheme val="minor"/>
      </rPr>
      <t>- Multi Display non supporté sous Ubuntu : usage uniquement pour calcul GPU (DataScience ou DL/ML/AI)</t>
    </r>
  </si>
  <si>
    <t xml:space="preserve">Lecteur optique </t>
  </si>
  <si>
    <t>3-3-1-74</t>
  </si>
  <si>
    <t>Cartes réseau additionnelles - 4 slots disponibles sur configurtation de base</t>
  </si>
  <si>
    <t>Seconde carte PCIe d‘interface réseau Intel i225 2.5 Gbe</t>
  </si>
  <si>
    <t>3-3-2-100</t>
  </si>
  <si>
    <t>Seconde carte PCIe d'interface réseau Intel® X710 10Gbe à deux ports cuivre</t>
  </si>
  <si>
    <t>3-3-2-101</t>
  </si>
  <si>
    <t>Cartes Sans fil  - 4 slots disponibles sur configurtation de base</t>
  </si>
  <si>
    <t>Carte WIFI Qualcomm® WCN6856-DBS (802.11ax), 2x2 + Bluetooth 5.2</t>
  </si>
  <si>
    <t>Carte Thunderbolt  - 4 slots disponibles sur configurtation de base</t>
  </si>
  <si>
    <t>Carte PCIe Thunderbolt 3 (2 ports Type-C, 1 port d‘entrée DP)</t>
  </si>
  <si>
    <t>3-3-1-81</t>
  </si>
  <si>
    <t>Carte série  - 4 slots disponibles sur configurtation de base</t>
  </si>
  <si>
    <t>460-BDQQ</t>
  </si>
  <si>
    <t>452-BDUJ</t>
  </si>
  <si>
    <t>PRECISION 5480</t>
  </si>
  <si>
    <t>Intel Core i7-13800H (14 Cœurs HT, 2.5-5.2GHz Turbo, 24Mo cache), Mémoire 32Go 5200 MHz DDR5 (soudée) et NVIDIA RTX A1000 6Go</t>
  </si>
  <si>
    <t>Intel Core i7-13800H (14 Cœurs HT, 2.5-5.2GHz Turbo, 24Mo cache), Mémoire 32Go 5200 MHz DDR5 (soudée) et NVIDIA RTX 2000 ADA 8Go</t>
  </si>
  <si>
    <t>Intel Core i9-13900H (14 Cœurs HT, 2.6-5.4GHz Turbo, 24Mo cache), Mémoire 32Go 5200 MHz DDR5 (soudée) et NVIDIA RTX A1000 6Go</t>
  </si>
  <si>
    <t>Intel Core i9-13900H (14 Cœurs HT, 2.6-5.4GHz Turbo, 24Mo cache), Mémoire 64Go 5200 MHz DDR5 (soudée) et NVIDIA RTX 2000 ADA 8Go</t>
  </si>
  <si>
    <t>Intel Core i9-13900H (14 Cœurs HT, 2.6-5.4GHz Turbo, 24Mo cache), Mémoire 64Go 5200 MHz DDR5 (soudée) et NVIDIA RTX 3000 ADA 8Go</t>
  </si>
  <si>
    <t>Intel Core i7-13800H (14 Cœurs HT, 2.5-5.2GHz Turbo, 24Mo cache), Mémoire 64Go 5200 MHz DDR5 (soudée) et NVIDIA RTX 2000 ADA 8Go</t>
  </si>
  <si>
    <t>Intel Core i7-13800H (14 Cœurs HT, 2.5-5.2GHz Turbo, 24Mo cache), Mémoire 32Go 5200 MHz DDR5 (soudée) et NVIDIA RTX 3000 ADA 8Go</t>
  </si>
  <si>
    <t>PRECISION 7680</t>
  </si>
  <si>
    <t>CAT2_Configuration n°3- PRECISION Mobile 7680</t>
  </si>
  <si>
    <t>32Go 5600MHz DDR5 - 1x32Go (CAMM)</t>
  </si>
  <si>
    <t>64Go 5600MHz DDR5 - 1x64Go (CAMM)</t>
  </si>
  <si>
    <t>128Go 3600MHz DDR5 - 1x128Go (CAMM)</t>
  </si>
  <si>
    <r>
      <t>NVIDIA RTX 3500 ADA (12Go DDR6, 5120 coeurs CUDA, 160 coeurs Tensor, 40 coeurs RT) - Chassis Performance (</t>
    </r>
    <r>
      <rPr>
        <sz val="10"/>
        <color rgb="FFFF0000"/>
        <rFont val="Calibri"/>
        <family val="2"/>
        <scheme val="minor"/>
      </rPr>
      <t>necessite de passer sur batterie 93Whr et bloc 240W)</t>
    </r>
  </si>
  <si>
    <r>
      <t>NVIDIA RTX 4000 ADA (12Go DDR6, 7424 coeurs CUDA, 232 coeurs Tensor, 58 coeurs RT) - Chassis Performance (</t>
    </r>
    <r>
      <rPr>
        <sz val="10"/>
        <color rgb="FFFF0000"/>
        <rFont val="Calibri"/>
        <family val="2"/>
        <scheme val="minor"/>
      </rPr>
      <t>necessite de passer sur batterie 93Whr et bloc 240W)</t>
    </r>
  </si>
  <si>
    <r>
      <t>NVIDIA RTX 5000 ADA (16Go DDR6, 9728 coeurs CUDA, 304 coeurs Tensor, 76 coeurs RT) - Chassis Performance (</t>
    </r>
    <r>
      <rPr>
        <sz val="10"/>
        <color rgb="FFFF0000"/>
        <rFont val="Calibri"/>
        <family val="2"/>
        <scheme val="minor"/>
      </rPr>
      <t>necessite de passer sur batterie 93Whr et bloc 240W)</t>
    </r>
  </si>
  <si>
    <t>PRECISION 7780</t>
  </si>
  <si>
    <t xml:space="preserve">Passages d'écran </t>
  </si>
  <si>
    <t>CAT1_Configuration n°6- PRECISION Mobile 7780</t>
  </si>
  <si>
    <r>
      <t xml:space="preserve">Modem 5G intégré Qualcomm Snapdragon X55 LTE (DW5930e) - </t>
    </r>
    <r>
      <rPr>
        <sz val="10"/>
        <color indexed="2"/>
        <rFont val="Calibri"/>
        <family val="2"/>
        <scheme val="minor"/>
      </rPr>
      <t>incompatible Ubuntu - necessite écran compatible Modem 5G</t>
    </r>
  </si>
  <si>
    <r>
      <t>Écran 17,3" non tactile antireflet FHD (1920 x 1080), 500 nits, 100% DCI-P3, webcam FHD IR </t>
    </r>
    <r>
      <rPr>
        <sz val="10"/>
        <color rgb="FFFF0000"/>
        <rFont val="Calibri"/>
        <family val="2"/>
        <scheme val="minor"/>
      </rPr>
      <t xml:space="preserve"> - Incompatible 5G</t>
    </r>
  </si>
  <si>
    <r>
      <t>Écran 17,3" non tactile antireflet FHD (1920 x 1080), 500 nits, 100% DCI-P3, webcam FHD IR </t>
    </r>
    <r>
      <rPr>
        <sz val="10"/>
        <color rgb="FFFF0000"/>
        <rFont val="Calibri"/>
        <family val="2"/>
        <scheme val="minor"/>
      </rPr>
      <t xml:space="preserve"> - Compatible Modem 5G</t>
    </r>
    <r>
      <rPr>
        <sz val="10"/>
        <rFont val="Calibri"/>
        <family val="2"/>
        <scheme val="minor"/>
      </rPr>
      <t xml:space="preserve"> </t>
    </r>
  </si>
  <si>
    <r>
      <t xml:space="preserve">Écran 17,3" non tactile antireflet UHD HDR400  (3840 x 2160), 500 nits, 100% Adobe, webcam FHD IR </t>
    </r>
    <r>
      <rPr>
        <sz val="10"/>
        <color rgb="FFFF0000"/>
        <rFont val="Calibri"/>
        <family val="2"/>
        <scheme val="minor"/>
      </rPr>
      <t>- Incompatible 5G</t>
    </r>
  </si>
  <si>
    <r>
      <t xml:space="preserve">Écran 16" 16:10 non tactile antireflet  FHD+ (1920 x 1280), 500 nits, 100% DCI-P3,  webcam FHD IR </t>
    </r>
    <r>
      <rPr>
        <sz val="10"/>
        <color rgb="FFFF0000"/>
        <rFont val="Calibri"/>
        <family val="2"/>
        <scheme val="minor"/>
      </rPr>
      <t>- Incompatible 5G</t>
    </r>
  </si>
  <si>
    <r>
      <t xml:space="preserve">Écran 16" 16:10 tactile antireflet  OLED UHD+ (3840 x 2400), 400 nits, 100% DCI-P3,  webcam FHD IR </t>
    </r>
    <r>
      <rPr>
        <sz val="10"/>
        <color rgb="FFFF0000"/>
        <rFont val="Calibri"/>
        <family val="2"/>
        <scheme val="minor"/>
      </rPr>
      <t>- Incompatible 5G</t>
    </r>
  </si>
  <si>
    <t>Intel Core i5-13600H (12 Coeurs HT, 2.70-4.8GHz Turbo, 18Mo cache) et NVIDIA RTX A1000 (6Go DDR6, 2560 coeurs CUDA)</t>
  </si>
  <si>
    <r>
      <rPr>
        <b/>
        <sz val="10"/>
        <color theme="1"/>
        <rFont val="Calibri"/>
        <family val="2"/>
        <scheme val="minor"/>
      </rPr>
      <t>CAT1_Configuration n°5Bis - PRECISION Mobile 5480</t>
    </r>
    <r>
      <rPr>
        <sz val="10"/>
        <color theme="1"/>
        <rFont val="Calibri"/>
        <family val="2"/>
        <scheme val="minor"/>
      </rPr>
      <t xml:space="preserve">
Intel Core i7-13700H (14 Cœurs HT, 2.4-5.0GHz Turbo, 24Mo cache), Mémoire 16Go 5200 MHz DDR5 (soudée)et NVIDIA RTX A1000 6Go
Écran 14" 16:10 non tactile antireflet FHD+ (1 920 x 1 200), 500 nits,  sRVB 100%, webcam FHD IR
SSD 512Go M.2 PCIe NVMe Classe 40
Batterie 4 cellules72Wh Long Life (5 ans de garantie, 1000 cycles, Express Charge 1.0) 
Intel Wi-Fi 6 AX211, WIFI-6E (802.11ax)  + Bluetooth 5.2
Repose-poignets simple pointage avec lecteur d'empreintes
Bloc d'alimentation Type-C 130W
Adaptateur USB-C vers USB-A+HDMI
Ubuntu 22.04
ProSupport 5 ans, intervention sur site J+1: support professionnel de niveau 2 comprenant assistance matériel et logiciel, 24H/24, 7j/7 
Disponibilité d'un Technical Account Manager (TAM) dédié exclusivement à MATINFO 5 pour la gestion des escalades et du reporting
</t>
    </r>
  </si>
  <si>
    <t>3-0-1-12</t>
  </si>
  <si>
    <t>3-0-1-13</t>
  </si>
  <si>
    <t>3-0-1-199</t>
  </si>
  <si>
    <t>3-0-1-200</t>
  </si>
  <si>
    <t>3-0-1-201</t>
  </si>
  <si>
    <t>3-0-1-202</t>
  </si>
  <si>
    <t>3-0-2-61</t>
  </si>
  <si>
    <t>RTX A1000</t>
  </si>
  <si>
    <t>RTX 2000 Ada</t>
  </si>
  <si>
    <t>RTX 4000 Ada</t>
  </si>
  <si>
    <t>RTX 5000 Ada</t>
  </si>
  <si>
    <t>RTX 4090</t>
  </si>
  <si>
    <t>From RTX A1000</t>
  </si>
  <si>
    <t>From RTX A500</t>
  </si>
  <si>
    <t>From Core i5-13600H</t>
  </si>
  <si>
    <t>From Core i7-13700H</t>
  </si>
  <si>
    <t>From RTX A2000</t>
  </si>
  <si>
    <t xml:space="preserve">32Go 5600MHz DDR5 - 2x16Go </t>
  </si>
  <si>
    <t xml:space="preserve">64Go 5600MHz DDR5 - 2x32Go </t>
  </si>
  <si>
    <r>
      <t xml:space="preserve">Batterie 6 cellules 93Wh LLC et bloc alimentation 240W </t>
    </r>
    <r>
      <rPr>
        <sz val="10"/>
        <color rgb="FFFF0000"/>
        <rFont val="Calibri"/>
        <family val="2"/>
        <scheme val="minor"/>
      </rPr>
      <t>- obligatoire avec cartes RTX 3500/4000/5000/4090</t>
    </r>
  </si>
  <si>
    <r>
      <t xml:space="preserve">NVIDIA T1000 Low Profile (8Go, 4xmDP) </t>
    </r>
    <r>
      <rPr>
        <sz val="10"/>
        <color rgb="FFFF0000"/>
        <rFont val="Calibri"/>
        <family val="2"/>
        <scheme val="minor"/>
      </rPr>
      <t>- Nécessite de valider en amont compatibilité station, disponibilité slot PCIe, puissance alimentation et support OS, etc.</t>
    </r>
  </si>
  <si>
    <r>
      <t>NVIDIA GeForce RTX 4090 (16Go DDR6, 9728 cœurs CUDA) - Chassis Performance (</t>
    </r>
    <r>
      <rPr>
        <sz val="10"/>
        <color rgb="FFFF0000"/>
        <rFont val="Calibri"/>
        <family val="2"/>
        <scheme val="minor"/>
      </rPr>
      <t>necessite de passer sur batterie 93Whr et bloc 240W)</t>
    </r>
    <r>
      <rPr>
        <sz val="10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>- Incompatible Ubuntu</t>
    </r>
  </si>
  <si>
    <t>NVIDIA RTX 2000 ADA (8Go DDR6, 3072 coeurs CUDA, 96 coeurs Tensor, 24 coeurs RT) - Chassis Thin</t>
  </si>
  <si>
    <t>64Go 5600MHz DDR5 - 2x32Go ECC</t>
  </si>
  <si>
    <t>32Go 5600MHz DDR5 - 1x32Go ECC</t>
  </si>
  <si>
    <t>3-1-3-23</t>
  </si>
  <si>
    <t>3-1-4-1</t>
  </si>
  <si>
    <t>Intel Core i9-13950HX (24 Cœurs HT, 2.2Ghz, 5.5GHz Turbo, 36 Mo cache)</t>
  </si>
  <si>
    <r>
      <rPr>
        <b/>
        <sz val="10"/>
        <color theme="1"/>
        <rFont val="Calibri"/>
        <family val="2"/>
        <scheme val="minor"/>
      </rPr>
      <t>CAT1_Configuration n°6 - PRECISION Mobile 7780</t>
    </r>
    <r>
      <rPr>
        <sz val="10"/>
        <color theme="1"/>
        <rFont val="Calibri"/>
        <family val="2"/>
        <scheme val="minor"/>
      </rPr>
      <t xml:space="preserve">
Intel Core i7-13850HX (20 Cœurs HT, 2.1-5.3GHz Turbo, 30Mo cache)
NVIDIA RTX 2000 ADA (8Go DDR6, 3072 coeurs CUDA, 96  coeurs Tensor, 24 coeurs RT)
Écran 17,3" non tactile antireflet FHD (1920 x 1080), 500nits, 100% DCI-P3, webcam FHD
16Go 5600MHz DDR5 - 1x16Go non ECC
SSD 512 Go M.2 PCIe NVMe classe 40
Batterie 6 cellules 93Wh Long Life (5 ans de garantie, 1000 cycles, Express Charge 1.0) 
Bloc d'alimentation Barrel 240W
Intel Wi-Fi 6 AX211, WIFI-6E (802.11ax)  + Bluetooth 5.2
Repose-poignets simple pointage sans dispositif de sécurité
Ubuntu 22.04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</si>
  <si>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Simulation….</t>
  </si>
  <si>
    <t>BPU V4</t>
  </si>
  <si>
    <t>+5% parité</t>
  </si>
  <si>
    <t>BPU V5 (+10%)</t>
  </si>
  <si>
    <t>BPU V6 (-5% parité)</t>
  </si>
  <si>
    <t>BPU V7</t>
  </si>
  <si>
    <t>…. avec hausse temporaire</t>
  </si>
  <si>
    <t>…. sans hausse temporaire</t>
  </si>
  <si>
    <t>Révision des prix à hauteur de 2.5% sur l’ensemble des lignes</t>
  </si>
  <si>
    <t>Cat1Conf4 : Retrait Precision 3571</t>
  </si>
  <si>
    <t>Cat1Conf5 : Retrait Precision 5570 sans successeur</t>
  </si>
  <si>
    <t>Stockage (Passage)</t>
  </si>
  <si>
    <t>3-2-3-4</t>
  </si>
  <si>
    <t>3-2-3-5</t>
  </si>
  <si>
    <t>3-2-3-8</t>
  </si>
  <si>
    <t>3-1-6-14</t>
  </si>
  <si>
    <t>3-1-6-18</t>
  </si>
  <si>
    <t>MÉMOIRE</t>
  </si>
  <si>
    <t xml:space="preserve">Mémoire </t>
  </si>
  <si>
    <t>Mémoire DDR4 ECC  (5000/7000 Tower &amp; Rack)</t>
  </si>
  <si>
    <t>1x8Go DDR4 ECC</t>
  </si>
  <si>
    <t>1x16Go DDR4 ECC</t>
  </si>
  <si>
    <t>1x32Go DDR4 ECC</t>
  </si>
  <si>
    <t>1x64Go DDR4 ECC</t>
  </si>
  <si>
    <t>1x128Go DDR4 ECC</t>
  </si>
  <si>
    <t>Mémoire DDR5 (Tower 3000 / Mobile)</t>
  </si>
  <si>
    <t>1x8Go DDR5</t>
  </si>
  <si>
    <t>1x16Go DDR5</t>
  </si>
  <si>
    <t>1x32Go DDR5</t>
  </si>
  <si>
    <t>Mémoire DDR5 ECC (Tower 3660 / Mobile 7000)</t>
  </si>
  <si>
    <t>1x16Go DDR5 ECC</t>
  </si>
  <si>
    <t>1x32Go DDR5 ECC</t>
  </si>
  <si>
    <t>Mémoire CAMM (Mobile 7000)</t>
  </si>
  <si>
    <t>Mémoire LPDDR5 (Mobile 5000)</t>
  </si>
  <si>
    <t>Passage de 16Go à …</t>
  </si>
  <si>
    <t>Passage de 32Go à …</t>
  </si>
  <si>
    <t>32Go LPDDR5</t>
  </si>
  <si>
    <t>64Go LPDDR5</t>
  </si>
  <si>
    <t>CPU MOBILE</t>
  </si>
  <si>
    <t xml:space="preserve">CPU Mobile WS </t>
  </si>
  <si>
    <t>From Core i7-13850HX</t>
  </si>
  <si>
    <t>Intel Core i7-13700H</t>
  </si>
  <si>
    <t xml:space="preserve">Intel Core i7-13800H </t>
  </si>
  <si>
    <t xml:space="preserve">Intel Core i9-13900H </t>
  </si>
  <si>
    <t>Intel Core i9-13950HX</t>
  </si>
  <si>
    <t>GPU MOBILE</t>
  </si>
  <si>
    <t>RTX 3x00 Ada</t>
  </si>
  <si>
    <r>
      <rPr>
        <b/>
        <sz val="10"/>
        <color theme="1"/>
        <rFont val="Calibri"/>
        <family val="2"/>
        <scheme val="minor"/>
      </rPr>
      <t>CAT3_Configuration n°2B - PRECISION 7865 format tour (AMD)</t>
    </r>
    <r>
      <rPr>
        <sz val="10"/>
        <color theme="1"/>
        <rFont val="Calibri"/>
        <family val="2"/>
        <scheme val="minor"/>
      </rPr>
      <t xml:space="preserve">
Alimentation Platinum 1000W - norme ENERGY STAR 
AMD Ryzen Threadripper PRO 5945WX (12 coeurs, 4.1-4.55 Ghz, 64 Mo cache, 280W)
64Go DDR4 3200MHz (2x32Go) - ECC
SSD 1To M.2 PCIe NVMe Classe 40 (interne)
NVIDIA T400 4Go (384 coeurs CUDA, 3x mDP)
Ensemble souris et clavier Multimédia
Ubuntu 20.04 </t>
    </r>
    <r>
      <rPr>
        <b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</si>
  <si>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 xml:space="preserve">128Go 3200 MHz DDR4 - 2x64Go ECC </t>
  </si>
  <si>
    <t xml:space="preserve">128Go 3200 MHz DDR4 - 4x32Go ECC </t>
  </si>
  <si>
    <t xml:space="preserve">384Go 3200 MHz DDR4 - 12x32Go ECC </t>
  </si>
  <si>
    <t xml:space="preserve">Sac à dos Dell Ecoloop Pro Slim 15 (CP5724S) - jusqu'à 15.6'' </t>
  </si>
  <si>
    <t>Sacoche Dell Ecoloop Pro Slim 15 (CC5624S) - jusqu'à 15.6''</t>
  </si>
  <si>
    <t>Pack 10 sacoches - Dell Essentiel 15 (ES1520C) - Jusqu'à 15.6''</t>
  </si>
  <si>
    <r>
      <rPr>
        <b/>
        <sz val="10"/>
        <color rgb="FF000000"/>
        <rFont val="Calibri"/>
        <family val="2"/>
        <scheme val="minor"/>
      </rPr>
      <t>Optiplex AIO Thin OS - CPU 35W - Alimentation externe</t>
    </r>
    <r>
      <rPr>
        <sz val="10"/>
        <color indexed="64"/>
        <rFont val="Calibri"/>
        <family val="2"/>
        <scheme val="minor"/>
      </rPr>
      <t xml:space="preserve">
</t>
    </r>
    <r>
      <rPr>
        <sz val="10"/>
        <color rgb="FF000000"/>
        <rFont val="Calibri"/>
        <family val="2"/>
        <scheme val="minor"/>
      </rPr>
      <t>Ecran 24'' FHD non tactile - Intel Celeron G6900T (35W) -  8 Go DDR4 -  SSD 256Go M.2 PCIe - Clavier &amp; souris - Socle réglable en hauteur - Adaptateur secteur 130 watts
5 ans Pro Support J+1 - Wyse Management Suite - version Standard</t>
    </r>
    <r>
      <rPr>
        <sz val="10"/>
        <color indexed="64"/>
        <rFont val="Calibri"/>
        <family val="2"/>
        <scheme val="minor"/>
      </rPr>
      <t xml:space="preserve"> (jusqu'à 1000 postes)</t>
    </r>
  </si>
  <si>
    <r>
      <rPr>
        <b/>
        <sz val="10"/>
        <color rgb="FF000000"/>
        <rFont val="Calibri"/>
        <family val="2"/>
        <scheme val="minor"/>
      </rPr>
      <t>Optiplex AIO Thin OS - CPU 46W - Alimentation interne</t>
    </r>
    <r>
      <rPr>
        <sz val="10"/>
        <color indexed="64"/>
        <rFont val="Calibri"/>
        <family val="2"/>
        <scheme val="minor"/>
      </rPr>
      <t xml:space="preserve">
</t>
    </r>
    <r>
      <rPr>
        <sz val="10"/>
        <color rgb="FF000000"/>
        <rFont val="Calibri"/>
        <family val="2"/>
        <scheme val="minor"/>
      </rPr>
      <t>Ecran 24'' FHD non tactile - Intel Pentium G7400 (46W) -  8 Go DDR5 -  SSD 256Go M.2 PCIe - Clavier &amp; souris - Socle réglable en hauteur - Alimentation 160W intégrée
5 ans Pro Support J+1 - Wyse Management Suite - version Standard</t>
    </r>
    <r>
      <rPr>
        <sz val="10"/>
        <color indexed="64"/>
        <rFont val="Calibri"/>
        <family val="2"/>
        <scheme val="minor"/>
      </rPr>
      <t xml:space="preserve"> (jusqu'à 1000 postes)</t>
    </r>
  </si>
  <si>
    <r>
      <t xml:space="preserve">Licence et maintenance pour WMS Wyse Management Suite version Pro pour 1 an (par poste) - </t>
    </r>
    <r>
      <rPr>
        <sz val="10"/>
        <color rgb="FFFF0000"/>
        <rFont val="Calibri"/>
        <family val="2"/>
        <scheme val="minor"/>
      </rPr>
      <t>Obligatoire pour parc &gt; 1000 postes</t>
    </r>
  </si>
  <si>
    <t>Clients léger - format Micro</t>
  </si>
  <si>
    <t>Clients léger - format AIO</t>
  </si>
  <si>
    <t>Licence et Maintenance WMS Pro</t>
  </si>
  <si>
    <r>
      <t xml:space="preserve">Carte WIFI pour Optiplex AIO Thin Client </t>
    </r>
    <r>
      <rPr>
        <sz val="10"/>
        <color rgb="FFFF0000"/>
        <rFont val="Calibri"/>
        <family val="2"/>
        <scheme val="minor"/>
      </rPr>
      <t>- Uniquement commandable avec le système</t>
    </r>
  </si>
  <si>
    <t>555-BHDU + 555-BIGS</t>
  </si>
  <si>
    <r>
      <t xml:space="preserve">Passage sur Pentium G7400T (35W) - </t>
    </r>
    <r>
      <rPr>
        <sz val="10"/>
        <color rgb="FFFF0000"/>
        <rFont val="Calibri"/>
        <family val="2"/>
        <scheme val="minor"/>
      </rPr>
      <t>Uniquement commandable avec Optiplex AIO Thin OS - CPU 35W)</t>
    </r>
  </si>
  <si>
    <r>
      <t>Carte WIFI pour Optiplex 3000 Thin Client</t>
    </r>
    <r>
      <rPr>
        <sz val="10"/>
        <color rgb="FFFF0000"/>
        <rFont val="Calibri"/>
        <family val="2"/>
        <scheme val="minor"/>
      </rPr>
      <t xml:space="preserve"> - Uniquement commandable avec Optiplex 3000 TC</t>
    </r>
  </si>
  <si>
    <r>
      <t xml:space="preserve">Passage sur Pentium N6005 - </t>
    </r>
    <r>
      <rPr>
        <sz val="10"/>
        <color rgb="FFFF0000"/>
        <rFont val="Calibri"/>
        <family val="2"/>
        <scheme val="minor"/>
      </rPr>
      <t>Uniquement commandable avec Optiplex 3000 TC</t>
    </r>
  </si>
  <si>
    <t>Annulation de la révision tarifaire provisoire liée à la conjoncture du Marché IT accordée sur le BPU V5 (exemple de calcul a droite pour expliquer les formules et le retour a la situation de départ)</t>
  </si>
  <si>
    <t>Jabra EVOLVE2 40 SE - Casque filaire Duo USB-C - Coussinets isolants / réduction de bruits / Certifié MS Teams (24189-999-899)</t>
  </si>
  <si>
    <r>
      <t xml:space="preserve">Passage vers Alimentation 1000W Platinum - </t>
    </r>
    <r>
      <rPr>
        <sz val="10"/>
        <color rgb="FFFF0000"/>
        <rFont val="Calibri"/>
        <family val="2"/>
        <scheme val="minor"/>
      </rPr>
      <t>requis avec RTX A5x00 et RTX 3070/3080</t>
    </r>
  </si>
  <si>
    <r>
      <t xml:space="preserve">CAT3_Configuration n°1 - PRECISION 5820 format Tour 
</t>
    </r>
    <r>
      <rPr>
        <sz val="10"/>
        <color theme="1"/>
        <rFont val="Calibri"/>
        <family val="2"/>
        <scheme val="minor"/>
      </rPr>
      <t>Alimentation 80Plus Gold 950W jusqu'à 90% d'efficacité - norme ENERGY STAR 
Intel Xeon W-2223 (4 cœurs HT, 3.6Ghz, 3.9Ghz Turbo, 8.25M cache, 120W
32Go DDR4 3200 MHz (2x16Go) - ECC
SSD 512Go M.2 PCIe NVMe Classe 40 (sur Flexbay)
Ensemble souris et clavier Multimédia
NVIDIA T400 4Go (384 cœurs CUDA, 3x mDP) 
Ubuntu 20.04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</si>
  <si>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r>
      <rPr>
        <b/>
        <sz val="10"/>
        <color theme="1"/>
        <rFont val="Calibri"/>
        <family val="2"/>
        <scheme val="minor"/>
      </rPr>
      <t xml:space="preserve">CAT3_Configuration n°2 - PRECISION 7920 format Tour </t>
    </r>
    <r>
      <rPr>
        <sz val="10"/>
        <color theme="1"/>
        <rFont val="Calibri"/>
        <family val="2"/>
        <scheme val="minor"/>
      </rPr>
      <t xml:space="preserve">
Alimentation 80Plus Gold 1400W jusqu'à 90% d'efficacité - norme ENERGY STAR 
2x Intel® Xeon™ Silver 4208 (8 Coeurs, 2.1-3.2Ghz Turbo, 11M Cache, 85W)
64Go DDR4 3200MHz (4x16Go) - ECC
SSD 1To M.2 PCIe NVMe Classe 40  (sur Flexbay)
Ensemble souris et clavier Multimédia
NVIDIA T400 4Go (384 cœurs CUDA, 3x mDP) 
Ubuntu 20.04</t>
    </r>
    <r>
      <rPr>
        <b/>
        <sz val="10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</si>
  <si>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r>
      <t xml:space="preserve">Alimentation Platinum 1350W - norme ENERGY STAR - </t>
    </r>
    <r>
      <rPr>
        <sz val="10"/>
        <color rgb="FFFF0000"/>
        <rFont val="Calibri"/>
        <family val="2"/>
        <scheme val="minor"/>
      </rPr>
      <t>obligatoire avec cartes Dual</t>
    </r>
  </si>
  <si>
    <t xml:space="preserve">NVIDIA RTX 3500 ADA (12Go DDR6, 5120 coeurs CUDA, 160 coeurs Tensor, 40 coeurs RT) </t>
  </si>
  <si>
    <t xml:space="preserve">NVIDIA RTX 4000 ADA (12Go DDR6, 7424 coeurs CUDA, 232 coeurs Tensor, 58 coeurs RT) </t>
  </si>
  <si>
    <t xml:space="preserve">NVIDIA RTX 5000 ADA (16Go DDR6, 9728 coeurs CUDA, 304 coeurs Tensor, 76 coeurs RT) </t>
  </si>
  <si>
    <r>
      <t>NVIDIA GeForc</t>
    </r>
    <r>
      <rPr>
        <sz val="10"/>
        <color theme="1"/>
        <rFont val="Calibri"/>
        <family val="2"/>
        <scheme val="minor"/>
      </rPr>
      <t>e RTX 4090 (16Go GDDR6, 9728 cœurs CUDA)</t>
    </r>
    <r>
      <rPr>
        <sz val="10"/>
        <rFont val="Calibri"/>
        <family val="2"/>
        <scheme val="minor"/>
      </rPr>
      <t xml:space="preserve">   </t>
    </r>
  </si>
  <si>
    <t>3M Filtre de confidentialité 15''6 (PF156W9B) - Compatible Precision 35X1 et 7560</t>
  </si>
  <si>
    <t>3M Filtre de confidentialité pour écran tactile 15"6 (TF156W9B) - Compatible Precision 35x1 et 7560</t>
  </si>
  <si>
    <t>3M Filtre de confidentialité 17'3 (PF173W9B) - Compatible Precision 77X0</t>
  </si>
  <si>
    <t>3M Filtre de confidentialité 16'' 16:10 (TF160W1B) - Compatible Precision 76x0</t>
  </si>
  <si>
    <t>3M Filtre de confidentialité 14'' 16:10  (TF140W1B) - Compatible Precision 54x0</t>
  </si>
  <si>
    <t>3M Filtre de confidentialité pour écran tactile 14'' 16:10 (PF140W1E) - Compatible Precision 54x0</t>
  </si>
  <si>
    <t>3-0-1-203</t>
  </si>
  <si>
    <t>3-1-4-3</t>
  </si>
  <si>
    <t>3-1-4-4</t>
  </si>
  <si>
    <t>3-1-4-5</t>
  </si>
  <si>
    <t>3-1-4-6</t>
  </si>
  <si>
    <t>3-3-1-32</t>
  </si>
  <si>
    <t>Module de sécurité (biométrique …)</t>
  </si>
  <si>
    <t xml:space="preserve">Module de sécurité (biométrique …) </t>
  </si>
  <si>
    <t>AC591456</t>
  </si>
  <si>
    <t>Écran 14" 16:10 tactile antireflet QHD+ (2560x1600), 500 nits,  100% sRGB, webcam FHD IR (compatible avec stylet actif)</t>
  </si>
  <si>
    <t>Stylet actif rechargeable DELL premier PN7522W - Uniquement pour Precision 5480 tactile et Latitude 2en1</t>
  </si>
  <si>
    <t xml:space="preserve">Lecteur de carte à puce à contact </t>
  </si>
  <si>
    <t xml:space="preserve">Lecteur d‘empreintes digitales, lecteur de carte à puce à contact </t>
  </si>
  <si>
    <t>Prix Passage</t>
  </si>
  <si>
    <r>
      <t xml:space="preserve">Lecteur d‘empreintes digitales , lecteur de carte à puce à contact et sans contact (NFC)  </t>
    </r>
    <r>
      <rPr>
        <sz val="10"/>
        <color rgb="FFFF0000"/>
        <rFont val="Calibri"/>
        <family val="2"/>
        <scheme val="minor"/>
      </rPr>
      <t>- Uniquement Windows</t>
    </r>
  </si>
  <si>
    <r>
      <t xml:space="preserve">Lecteur d‘empreintes digitales , lecteur de carte à puce à contact et sans contact (NFC)  - </t>
    </r>
    <r>
      <rPr>
        <sz val="10"/>
        <color rgb="FFFF0000"/>
        <rFont val="Calibri"/>
        <family val="2"/>
        <scheme val="minor"/>
      </rPr>
      <t>Uniquement Windows</t>
    </r>
  </si>
  <si>
    <r>
      <t>Lecteur d‘empreintes digitales, lecteur de cartes à puce à contact et sans contact (NFC)</t>
    </r>
    <r>
      <rPr>
        <sz val="10"/>
        <color rgb="FFFF0000"/>
        <rFont val="Calibri"/>
        <family val="2"/>
        <scheme val="minor"/>
      </rPr>
      <t xml:space="preserve"> - Uniquement Windows</t>
    </r>
  </si>
  <si>
    <r>
      <t>Lecteur d‘empreintes digitales FIPS, lecteur de cartes à puce à contact et sans contact (NFC)</t>
    </r>
    <r>
      <rPr>
        <sz val="10"/>
        <color rgb="FFFF0000"/>
        <rFont val="Calibri"/>
        <family val="2"/>
        <scheme val="minor"/>
      </rPr>
      <t xml:space="preserve"> - Uniquement Windows</t>
    </r>
  </si>
  <si>
    <r>
      <t>Lecteur d‘empreintes digitales, lecteur de cartes à puce à contact et sans contact (NFC) -</t>
    </r>
    <r>
      <rPr>
        <sz val="10"/>
        <color rgb="FFFF0000"/>
        <rFont val="Calibri"/>
        <family val="2"/>
        <scheme val="minor"/>
      </rPr>
      <t xml:space="preserve"> Uniquement Windows</t>
    </r>
  </si>
  <si>
    <r>
      <t xml:space="preserve">Lecteur d‘empreintes digitales FIPS, lecteur de cartes à puce à contact et sans contact (NFC) - </t>
    </r>
    <r>
      <rPr>
        <sz val="10"/>
        <color rgb="FFFF0000"/>
        <rFont val="Calibri"/>
        <family val="2"/>
        <scheme val="minor"/>
      </rPr>
      <t>Uniquement Windows</t>
    </r>
  </si>
  <si>
    <r>
      <t>Modem 5G intégré Intel DW5931E -</t>
    </r>
    <r>
      <rPr>
        <sz val="10"/>
        <color rgb="FFFF0000"/>
        <rFont val="Calibri"/>
        <family val="2"/>
        <scheme val="minor"/>
      </rPr>
      <t xml:space="preserve"> necessite choix écran compatible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>- Uniquement Windows</t>
    </r>
  </si>
  <si>
    <r>
      <t>Modem 4G intégré Intel XMM7560R  -</t>
    </r>
    <r>
      <rPr>
        <sz val="10"/>
        <color rgb="FFFF0000"/>
        <rFont val="Calibri"/>
        <family val="2"/>
        <scheme val="minor"/>
      </rPr>
      <t xml:space="preserve"> necessite choix écran compatible</t>
    </r>
  </si>
  <si>
    <t>Lecteur de cartes à puce à contact</t>
  </si>
  <si>
    <t>Lecteur de carte à puce à contact</t>
  </si>
  <si>
    <t>Moniteur 43" - Dell U4323QE - 3840x2160 IPS Black - Ultrasharp - Hub USB-C (PD 90W)/RJ45/2xHDMI/2xDP/Speakers 2x8W - Câbles : USB-C/DP/HDMI</t>
  </si>
  <si>
    <r>
      <t xml:space="preserve">NVIDIA RTX A5500 24Go (10240 cœurs CUDA, 320 cœurs Tensor gen3, 80 cœurs RT 2ème gen,  4xDP) - </t>
    </r>
    <r>
      <rPr>
        <sz val="10"/>
        <color rgb="FFFF0000"/>
        <rFont val="Calibri"/>
        <family val="2"/>
        <scheme val="minor"/>
      </rPr>
      <t>Incompatible avec Ubuntu jusqu'à Fin Juillet</t>
    </r>
  </si>
  <si>
    <r>
      <t xml:space="preserve">NVIDIA RTX A5500 (24Go, 10240 cœurs CUDA, 320 cœurs Tensor gen3, 80 cœurs RT 2ème gen,  4xDP)  - </t>
    </r>
    <r>
      <rPr>
        <sz val="10"/>
        <color rgb="FFFF0000"/>
        <rFont val="Calibri"/>
        <family val="2"/>
        <scheme val="minor"/>
      </rPr>
      <t xml:space="preserve">Passage nécessaire sur alimentation 1000W minimum </t>
    </r>
  </si>
  <si>
    <t>3D Connexion - Kit Sans fil SpaceMouse 2 avec étui de transport, CadMouse Pad Compact, récepteur universel 3Dconnexion, câble micro-USB de 1,5m (3DX-700108) - Noir</t>
  </si>
  <si>
    <t>AC606422</t>
  </si>
  <si>
    <t>AC606423</t>
  </si>
  <si>
    <t>3D Connexion - CadMouse Compact Wireless - Souris sans fil Hauter Performance pour spécialistes CAO (3DX-700118) - Noir</t>
  </si>
  <si>
    <t>Moniteur 27'' - Dell UP2720QA - 3840x2160 - Ultrasharp Premier Color avec sonde calibration CalMAN intégrée - Connecteurs USB-C /DP/2xHDMI - Câbles : USB-C/HDMI/DP</t>
  </si>
  <si>
    <t xml:space="preserve">Dell Webcam Professional (WB3023) - 2K QHD - Certifié Teams et Zoom </t>
  </si>
  <si>
    <t>Moniteur 38" - Dell U3824DW - 3840x1600 IPS Black - Ultrasharp 21:9 incurvé - Hub USB-C (PD 90W) / RJ45/2xHDMI/DP - Câbles: USB-C/HDMI/DP</t>
  </si>
  <si>
    <t>3-1-3-20</t>
  </si>
  <si>
    <t xml:space="preserve">Passages de cartes graphiques </t>
  </si>
  <si>
    <r>
      <t>Écran 16" 16:10 non tactile antireflet FHD+ (1920 x 1080), 500 nits, 100% DCI-P3, webcam FHD IR </t>
    </r>
    <r>
      <rPr>
        <sz val="10"/>
        <color rgb="FFFF0000"/>
        <rFont val="Calibri"/>
        <family val="2"/>
        <scheme val="minor"/>
      </rPr>
      <t>- Compatible Modem 5G - incompatible Ubuntu</t>
    </r>
  </si>
  <si>
    <r>
      <t xml:space="preserve">Licence Microsoft Windows 10 Pro (licence W10 22H2 - Français - comprend MAJ gratuite  vers  Windows 11 Pro) - </t>
    </r>
    <r>
      <rPr>
        <sz val="10"/>
        <color indexed="2"/>
        <rFont val="Calibri"/>
        <family val="2"/>
        <scheme val="minor"/>
      </rPr>
      <t>Pour processeurs Intel Core i5 &amp; i7 uniquement</t>
    </r>
  </si>
  <si>
    <r>
      <t xml:space="preserve">Licence Microsoft Windows 10 Pro  (licence W10 22H2 - Français - comprend MAJ gratuite  vers  Windows 11 Pro) - </t>
    </r>
    <r>
      <rPr>
        <sz val="10"/>
        <color indexed="2"/>
        <rFont val="Calibri"/>
        <family val="2"/>
        <scheme val="minor"/>
      </rPr>
      <t>Pour processeurs Intel Core i9 et processeurs AMD uniquement</t>
    </r>
  </si>
  <si>
    <r>
      <t xml:space="preserve">Licence Microsoft Windows 10 Pro (licence W10 22H2 - Français - comprend MAJ gratuite  vers  Windows 11 Pro) - </t>
    </r>
    <r>
      <rPr>
        <sz val="10"/>
        <color indexed="2"/>
        <rFont val="Calibri"/>
        <family val="2"/>
        <scheme val="minor"/>
      </rPr>
      <t>Pour processeurs Intel Xeon uniquement</t>
    </r>
  </si>
  <si>
    <t>Seagate - Disque Dur Portable externe - One Touch Password  1To (STKY1000400) - Noir</t>
  </si>
  <si>
    <t>AC635950</t>
  </si>
  <si>
    <t>Seagate - Disque Dur Portable externe - One Touch Password  1To (STKY2000400) - Noir</t>
  </si>
  <si>
    <t xml:space="preserve">AC635967 </t>
  </si>
  <si>
    <t>Seagate - Disque Dur Portable externe -Ultra Touch 2To USB3.0/2.0 USB-C - avec Rescue Data Recovery (STMA2000400) - Noir</t>
  </si>
  <si>
    <t>AC616528</t>
  </si>
  <si>
    <t>450-BBZG</t>
  </si>
  <si>
    <t>via projet CS</t>
  </si>
  <si>
    <r>
      <t xml:space="preserve">CAT1_Configuration n°1 - PRECISION 3260 format Compact
</t>
    </r>
    <r>
      <rPr>
        <sz val="10"/>
        <color theme="1"/>
        <rFont val="Calibri"/>
        <family val="2"/>
        <scheme val="minor"/>
      </rPr>
      <t>Bloc d'alimentation externe 240W - norme ENERGY STAR
Intel Core i5-13500 (14 cœurs HT, 2.5-4.8 Ghz Turbo,24 Mo cache, 65W)
16Go 4800MHz DDR5 - 1x16Go
SSD 256Go M.2 PCIe NVMe Classe 35
NVIDIA T400 4Go (384 cœurs CUDA, 3x mDP) 
Ubuntu 22.04
Ensemble souris et clavier Multimédia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</si>
  <si>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r>
      <t xml:space="preserve">CAT1_Configuration n°2 - PRECISION 3460 format SFF
</t>
    </r>
    <r>
      <rPr>
        <sz val="10"/>
        <color theme="1"/>
        <rFont val="Calibri"/>
        <family val="2"/>
        <scheme val="minor"/>
      </rPr>
      <t>Alimentation 300W Platinum jusqu'à 92% d'efficacité  - norme ENERGY STAR
Intel Core i5-13500 (14 cœurs HT, 2.5-4.8 Ghz Turbo,24 Mo cache, 65W)
16Go 4800MHz DDR5 - 1x16Go
SSD 256Go M.2 PCIe NVMe Classe 35
NVIDIA T400 4Go (384 cœurs CUDA, 3x mDP) 
Ubuntu 22.04
Ensemble souris et clavier Multimédia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</si>
  <si>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r>
      <t xml:space="preserve">CAT1_Configuration n°3 - PRECISION 3660 format MT
</t>
    </r>
    <r>
      <rPr>
        <sz val="10"/>
        <color theme="1"/>
        <rFont val="Calibri"/>
        <family val="2"/>
        <scheme val="minor"/>
      </rPr>
      <t>Alimentation 500W Platinum jusqu'à 92% d'efficacité  - norme ENERGY STAR
Système de refroidissement standard
Intel Core i5-13500 (14 cœurs HT, 2.5-4.8 Ghz Turbo,24 Mo cache, 65W)
16Go 4400MHz DDR5 - 2x8Go
SSD 256Go M.2 PCIe NVMe Classe 35
NVIDIA T400 4Go (384 cœurs CUDA, 3x mDP) 
Ubuntu 22.04
Ensemble souris et clavier Multimédia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</si>
  <si>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r>
      <rPr>
        <b/>
        <sz val="10"/>
        <color theme="1"/>
        <rFont val="Calibri"/>
        <family val="2"/>
        <scheme val="minor"/>
      </rPr>
      <t>CAT1_Configuration n°4 - PRECISION Mobile 3581</t>
    </r>
    <r>
      <rPr>
        <sz val="10"/>
        <color theme="1"/>
        <rFont val="Calibri"/>
        <family val="2"/>
        <scheme val="minor"/>
      </rPr>
      <t xml:space="preserve">
Intel Core i5-13600H (12 Coeurs HT, 2.70-4.8GHz Turbo, 18Mo cache) et NVIDIA RTX A500 (4Go DDR6, 2048 coeurs CUDA)
Écran 15,6" non tactile antireflet FHD (1 920 x 1 080), 250 nits, 45% NTSC, caméra FHD - Incompatible 4G/5G
16Go 4800MHz DDR5 - 1x16Go 
SSD 512Go M.2 PCIe NVMe Classe 35
Repose-poignets simple pointage sans dispositif de sécurité
Intel Wi-Fi 6 AX211, WIFI-6E(802.11ax)  + Bluetooth 5.2
Batterie 4 cellules 64Wh LLC (5 ans de garantie, 1000 cycles, Express charge 1.0) 
Bloc d'alimentation Type-C 130W
Ubuntu 22.04 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</si>
  <si>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r>
      <t xml:space="preserve">CAT2_Configuration n°2 - PRECISION 3660 format MT
</t>
    </r>
    <r>
      <rPr>
        <sz val="10"/>
        <color theme="1"/>
        <rFont val="Calibri"/>
        <family val="2"/>
        <scheme val="minor"/>
      </rPr>
      <t>Alimentation 1000W Platinum jusqu'à 92% d'efficacité  - norme ENERGY STAR
Système de refoidissement avancé
Intel Core i7-13700 (16 cœurs HT, 2.1-5.2 Ghz Turbo, 30 Mo cache, 65W)
32Go 4400MHz DDR5 - 2x16Go
SSD 512Go M.2 PCIe NVMe Classe 40
NVIDIA Geforce RTX3060 (12Go, 3584 cœurs CUDA, 28 cœurs Tensor gen3, 112 cœurs RTGen 2, 3xDP + 1xHDMI)
Sans OS
Ensemble souris et clavier Multimédia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</si>
  <si>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r>
      <rPr>
        <b/>
        <sz val="10"/>
        <color theme="1"/>
        <rFont val="Calibri"/>
        <family val="2"/>
        <scheme val="minor"/>
      </rPr>
      <t>CAT2_Configuration n°3 - PRECISION Mobile 7680</t>
    </r>
    <r>
      <rPr>
        <sz val="10"/>
        <color theme="1"/>
        <rFont val="Calibri"/>
        <family val="2"/>
        <scheme val="minor"/>
      </rPr>
      <t xml:space="preserve">
Intel Core i7-13850HX (20 Cœurs HT, 2.1-5.3GHz Turbo, 30Mo cache)
NVIDIA RTX A1000 (6Go DDR6, 2560 coeurs CUDA, 80  coeurs Tensor, 20 coeurs RT) - Chassis Thin
Écran 16" 16:10 non tactile antireflet FHD+ (1920 x 1200); 500 nits, 100% DCI-P3, webcam FHD
16Go 5600 MHz DDR5- 1x16Go non ECC
SSD 512 Go M.2 PCIe NVMe Class 40
Batterie 6 cellules 83Wh Longue Life (5 ans de garantie, 1000 cycles, Express charge 1.0)  
Intel Wi-Fi 6 AX211, WIFI-6E (802.11ax)  + Bluetooth 5.2
Repose-poignets simple pointage sans dispositif de sécurité
Bloc d'alimentation Barrel 180W
Ubuntu 22.04
ProSupport 5 ans, intervention sur site J+1: support professionnel de niveau 2 comprenant assistance matériel et logiciel, 24H/24, 7j/7 
Disponibilité d'un Technical Account Manager (TAM) dédié exclusivement à MATINFO 5 pour la gestion des escalades et du reporting</t>
    </r>
  </si>
  <si>
    <t>128Go 3600MHz DDR5 - 4x32Go</t>
  </si>
  <si>
    <t>Option Batterie / Bloc alimentation (passage) - obligatoire avec certaines cartes graphiques</t>
  </si>
  <si>
    <t>Ajout onglets ''location''</t>
  </si>
  <si>
    <t>AC576729</t>
  </si>
  <si>
    <t>Option spécifique à la location</t>
  </si>
  <si>
    <t>Loyer trimestriel location 12 mois</t>
  </si>
  <si>
    <t>Loyer trimestriel location 24 mois</t>
  </si>
  <si>
    <t>Loyer trimestriel location 36 mois</t>
  </si>
  <si>
    <t>Loyer trimestriel location 48 mois</t>
  </si>
  <si>
    <t>Coeff 12 mois</t>
  </si>
  <si>
    <t>Coeff 24 mois</t>
  </si>
  <si>
    <t>Coeff 36 mois</t>
  </si>
  <si>
    <t>Coeff 48 mois</t>
  </si>
  <si>
    <t>Effacement des données (OBLIGATOIRE)</t>
  </si>
  <si>
    <t>3-0-3-106</t>
  </si>
  <si>
    <r>
      <t xml:space="preserve">Dual NVIDIA RTX A5500 24Go NVLink (10240 cœurs CUDA, 320 cœurs Tensor gen3, 80 cœurs RT 2ème gen,  4xDP) </t>
    </r>
    <r>
      <rPr>
        <sz val="10"/>
        <color rgb="FFFF0000"/>
        <rFont val="Calibri"/>
        <family val="2"/>
        <scheme val="minor"/>
      </rPr>
      <t>- Multi Display non supporté sous Ubuntu : usage uniquement pour calcul GPU (DataScience ou DL/ML/AI)</t>
    </r>
  </si>
  <si>
    <t>Prestation de retour (OBLIGATOIRE)</t>
  </si>
  <si>
    <t>Prestation de retour et d’effacement de données (le cas échéant) dans le cadre de la location</t>
  </si>
  <si>
    <t>Prestation de retour et d’effacement de données - Obligatoire pour chaque configuration (station de travail fixe ou mobile) du Lot 3</t>
  </si>
  <si>
    <t>Prestation de retour - Obligatoire pour chaque moniteur du Lot 3</t>
  </si>
  <si>
    <t>3-0-3-107</t>
  </si>
  <si>
    <t>Descriptif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</si>
</sst>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.00_);_(&quot;$&quot;* \(#,##0.00\);_(&quot;$&quot;* &quot;-&quot;??_);_(@_)"/>
    <numFmt numFmtId="165" formatCode="#,##0\ &quot;€&quot;"/>
    <numFmt numFmtId="166" formatCode="_-* #,##0\ [$€-40C]_-;\-* #,##0\ [$€-40C]_-;_-* &quot;-&quot;??\ [$€-40C]_-;_-@_-"/>
    <numFmt numFmtId="167" formatCode="#,##0\ [$€-40C]"/>
    <numFmt numFmtId="168" formatCode="#,##0.00\ [$€-40C]"/>
    <numFmt numFmtId="169" formatCode="_([$€-2]\ * #,##0.00_);_([$€-2]\ * \(#,##0.00\);_([$€-2]\ * &quot;-&quot;??_);_(@_)"/>
    <numFmt numFmtId="170" formatCode="_([$€-2]\ * #,##0_);_([$€-2]\ * \(#,##0\);_([$€-2]\ * &quot;-&quot;??_);_(@_)"/>
    <numFmt numFmtId="171" formatCode="_ * #,##0_)\ [$€-1]_ ;_ * \(#,##0\)\ [$€-1]_ ;_ * &quot;-&quot;_)\ [$€-1]_ ;_ @_ "/>
    <numFmt numFmtId="172" formatCode="0.000%"/>
  </numFmts>
  <fonts count="4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i/>
      <sz val="11"/>
      <color rgb="FF7F7F7F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6"/>
      <color indexed="4"/>
      <name val="Calibri"/>
      <family val="2"/>
      <scheme val="minor"/>
    </font>
    <font>
      <sz val="16"/>
      <color indexed="4"/>
      <name val="Calibri"/>
      <family val="2"/>
      <scheme val="minor"/>
    </font>
    <font>
      <b/>
      <sz val="16"/>
      <color indexed="2"/>
      <name val="Calibri"/>
      <family val="2"/>
      <scheme val="minor"/>
    </font>
    <font>
      <sz val="16"/>
      <color indexed="2"/>
      <name val="Calibri"/>
      <family val="2"/>
      <scheme val="minor"/>
    </font>
    <font>
      <sz val="10"/>
      <color indexed="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65"/>
      <name val="Calibri"/>
      <family val="2"/>
      <scheme val="minor"/>
    </font>
    <font>
      <sz val="10"/>
      <color indexed="65"/>
      <name val="Calibri"/>
      <family val="2"/>
      <scheme val="minor"/>
    </font>
    <font>
      <b/>
      <sz val="10"/>
      <color indexed="2"/>
      <name val="Calibri"/>
      <family val="2"/>
      <scheme val="minor"/>
    </font>
    <font>
      <sz val="10"/>
      <color indexed="64"/>
      <name val="Calibri"/>
      <family val="2"/>
      <scheme val="minor"/>
    </font>
    <font>
      <sz val="10"/>
      <color indexed="2"/>
      <name val="Arial"/>
      <family val="2"/>
    </font>
    <font>
      <b/>
      <sz val="16"/>
      <color indexed="4"/>
      <name val="Arial"/>
      <family val="2"/>
    </font>
    <font>
      <b/>
      <sz val="16"/>
      <color indexed="2"/>
      <name val="Arial"/>
      <family val="2"/>
    </font>
    <font>
      <sz val="10"/>
      <color rgb="FF0070C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rgb="FF00B0F0"/>
      </patternFill>
    </fill>
    <fill>
      <patternFill patternType="solid">
        <fgColor indexed="51"/>
        <bgColor indexed="51"/>
      </patternFill>
    </fill>
    <fill>
      <patternFill patternType="solid">
        <fgColor indexed="47"/>
        <bgColor indexed="22"/>
      </patternFill>
    </fill>
    <fill>
      <patternFill patternType="solid">
        <fgColor indexed="4"/>
        <bgColor indexed="4"/>
      </patternFill>
    </fill>
    <fill>
      <patternFill patternType="solid">
        <fgColor indexed="65"/>
        <bgColor indexed="26"/>
      </patternFill>
    </fill>
    <fill>
      <patternFill patternType="solid">
        <fgColor indexed="51"/>
        <bgColor indexed="51"/>
      </patternFill>
    </fill>
    <fill>
      <patternFill patternType="solid">
        <fgColor indexed="47"/>
        <bgColor indexed="47"/>
      </patternFill>
    </fill>
    <fill>
      <patternFill patternType="solid">
        <fgColor indexed="4"/>
        <bgColor indexed="4"/>
      </patternFill>
    </fill>
    <fill>
      <patternFill patternType="solid">
        <fgColor indexed="1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rgb="FF00B0F0"/>
      </patternFill>
    </fill>
    <fill>
      <patternFill patternType="solid">
        <fgColor theme="9" tint="0.59999389629810485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59"/>
      </left>
      <right style="thin">
        <color indexed="59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59"/>
      </left>
      <right style="thin">
        <color indexed="59"/>
      </right>
      <top style="thin">
        <color indexed="64"/>
      </top>
      <bottom style="thin">
        <color indexed="59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3">
    <xf numFmtId="0" fontId="0" fillId="0" borderId="0"/>
    <xf numFmtId="164" fontId="31" fillId="0" borderId="0" applyFont="0" applyFill="0" applyBorder="0"/>
    <xf numFmtId="0" fontId="7" fillId="0" borderId="0"/>
    <xf numFmtId="0" fontId="8" fillId="0" borderId="0"/>
    <xf numFmtId="0" fontId="7" fillId="0" borderId="0"/>
    <xf numFmtId="0" fontId="7" fillId="0" borderId="0"/>
    <xf numFmtId="0" fontId="9" fillId="0" borderId="0" applyNumberFormat="0" applyFill="0" applyBorder="0"/>
    <xf numFmtId="0" fontId="5" fillId="0" borderId="0"/>
    <xf numFmtId="164" fontId="5" fillId="0" borderId="0" applyFont="0" applyFill="0" applyBorder="0"/>
    <xf numFmtId="9" fontId="5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513">
    <xf numFmtId="0" fontId="0" fillId="0" borderId="0" xfId="0"/>
    <xf numFmtId="0" fontId="11" fillId="0" borderId="0" xfId="0" applyFont="1"/>
    <xf numFmtId="0" fontId="11" fillId="0" borderId="6" xfId="0" applyFont="1" applyBorder="1"/>
    <xf numFmtId="0" fontId="11" fillId="0" borderId="10" xfId="0" applyFont="1" applyBorder="1"/>
    <xf numFmtId="0" fontId="11" fillId="0" borderId="13" xfId="0" applyFont="1" applyBorder="1"/>
    <xf numFmtId="0" fontId="11" fillId="0" borderId="10" xfId="0" applyFont="1" applyBorder="1" applyAlignment="1">
      <alignment wrapText="1"/>
    </xf>
    <xf numFmtId="0" fontId="13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right" vertical="center"/>
    </xf>
    <xf numFmtId="165" fontId="15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18" fillId="5" borderId="17" xfId="5" applyFont="1" applyFill="1" applyBorder="1" applyAlignment="1">
      <alignment horizontal="center" vertical="center" wrapText="1"/>
    </xf>
    <xf numFmtId="0" fontId="18" fillId="5" borderId="18" xfId="5" applyFont="1" applyFill="1" applyBorder="1" applyAlignment="1">
      <alignment horizontal="center" vertical="center" wrapText="1"/>
    </xf>
    <xf numFmtId="49" fontId="18" fillId="5" borderId="18" xfId="5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top"/>
    </xf>
    <xf numFmtId="165" fontId="13" fillId="0" borderId="0" xfId="0" applyNumberFormat="1" applyFont="1"/>
    <xf numFmtId="165" fontId="17" fillId="4" borderId="16" xfId="0" applyNumberFormat="1" applyFont="1" applyFill="1" applyBorder="1" applyAlignment="1">
      <alignment horizontal="right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/>
    </xf>
    <xf numFmtId="0" fontId="13" fillId="0" borderId="7" xfId="0" applyFont="1" applyBorder="1" applyAlignment="1">
      <alignment vertical="center"/>
    </xf>
    <xf numFmtId="49" fontId="13" fillId="0" borderId="21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49" fontId="23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23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0" fillId="0" borderId="0" xfId="0"/>
    <xf numFmtId="0" fontId="13" fillId="2" borderId="7" xfId="0" applyFont="1" applyFill="1" applyBorder="1" applyAlignment="1">
      <alignment vertical="center"/>
    </xf>
    <xf numFmtId="49" fontId="11" fillId="2" borderId="7" xfId="5" applyNumberFormat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vertical="center"/>
    </xf>
    <xf numFmtId="49" fontId="12" fillId="3" borderId="7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3" fillId="0" borderId="7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right" vertical="center"/>
    </xf>
    <xf numFmtId="0" fontId="11" fillId="2" borderId="7" xfId="5" applyFont="1" applyFill="1" applyBorder="1" applyAlignment="1">
      <alignment vertical="center"/>
    </xf>
    <xf numFmtId="165" fontId="11" fillId="2" borderId="7" xfId="0" applyNumberFormat="1" applyFont="1" applyFill="1" applyBorder="1" applyAlignment="1">
      <alignment horizontal="right" vertical="center"/>
    </xf>
    <xf numFmtId="0" fontId="21" fillId="6" borderId="0" xfId="0" applyFont="1" applyFill="1"/>
    <xf numFmtId="165" fontId="22" fillId="6" borderId="0" xfId="0" applyNumberFormat="1" applyFont="1" applyFill="1" applyAlignment="1">
      <alignment horizontal="right"/>
    </xf>
    <xf numFmtId="0" fontId="23" fillId="0" borderId="0" xfId="0" applyFont="1"/>
    <xf numFmtId="49" fontId="13" fillId="0" borderId="0" xfId="0" applyNumberFormat="1" applyFont="1"/>
    <xf numFmtId="49" fontId="21" fillId="6" borderId="0" xfId="0" applyNumberFormat="1" applyFont="1" applyFill="1" applyAlignment="1">
      <alignment horizontal="center"/>
    </xf>
    <xf numFmtId="0" fontId="23" fillId="7" borderId="0" xfId="0" applyFont="1" applyFill="1" applyAlignment="1">
      <alignment horizontal="left" vertical="center"/>
    </xf>
    <xf numFmtId="49" fontId="23" fillId="0" borderId="22" xfId="0" applyNumberFormat="1" applyFont="1" applyBorder="1" applyAlignment="1">
      <alignment horizontal="center"/>
    </xf>
    <xf numFmtId="49" fontId="13" fillId="6" borderId="0" xfId="0" applyNumberFormat="1" applyFont="1" applyFill="1" applyAlignment="1">
      <alignment horizontal="center" vertical="center"/>
    </xf>
    <xf numFmtId="0" fontId="0" fillId="0" borderId="0" xfId="0" applyAlignment="1">
      <alignment wrapText="1"/>
    </xf>
    <xf numFmtId="0" fontId="26" fillId="0" borderId="0" xfId="4" applyFont="1" applyAlignment="1">
      <alignment vertical="center" wrapText="1"/>
    </xf>
    <xf numFmtId="0" fontId="0" fillId="0" borderId="0" xfId="0" applyAlignment="1">
      <alignment vertical="center" wrapText="1"/>
    </xf>
    <xf numFmtId="165" fontId="17" fillId="4" borderId="7" xfId="0" applyNumberFormat="1" applyFont="1" applyFill="1" applyBorder="1" applyAlignment="1">
      <alignment horizontal="center" vertical="center" wrapText="1"/>
    </xf>
    <xf numFmtId="0" fontId="25" fillId="9" borderId="7" xfId="0" applyFont="1" applyFill="1" applyBorder="1" applyAlignment="1">
      <alignment vertical="center" wrapText="1"/>
    </xf>
    <xf numFmtId="0" fontId="25" fillId="9" borderId="7" xfId="0" applyFont="1" applyFill="1" applyBorder="1" applyAlignment="1">
      <alignment horizontal="center" vertical="center" wrapText="1"/>
    </xf>
    <xf numFmtId="49" fontId="25" fillId="9" borderId="7" xfId="0" applyNumberFormat="1" applyFont="1" applyFill="1" applyBorder="1" applyAlignment="1">
      <alignment horizontal="center" vertical="center" wrapText="1"/>
    </xf>
    <xf numFmtId="167" fontId="25" fillId="9" borderId="20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49" fontId="11" fillId="0" borderId="7" xfId="4" applyNumberFormat="1" applyFont="1" applyBorder="1" applyAlignment="1">
      <alignment horizontal="center" vertical="center"/>
    </xf>
    <xf numFmtId="0" fontId="28" fillId="0" borderId="7" xfId="4" applyFont="1" applyBorder="1" applyAlignment="1">
      <alignment vertical="center"/>
    </xf>
    <xf numFmtId="0" fontId="11" fillId="0" borderId="7" xfId="4" applyFont="1" applyBorder="1" applyAlignment="1">
      <alignment vertical="center"/>
    </xf>
    <xf numFmtId="0" fontId="11" fillId="0" borderId="0" xfId="0" applyFont="1" applyAlignment="1">
      <alignment vertical="center" wrapText="1"/>
    </xf>
    <xf numFmtId="167" fontId="11" fillId="0" borderId="0" xfId="0" applyNumberFormat="1" applyFont="1" applyAlignment="1">
      <alignment horizontal="right" vertical="center"/>
    </xf>
    <xf numFmtId="0" fontId="11" fillId="2" borderId="7" xfId="4" applyFont="1" applyFill="1" applyBorder="1" applyAlignment="1">
      <alignment vertical="center"/>
    </xf>
    <xf numFmtId="49" fontId="11" fillId="2" borderId="7" xfId="4" applyNumberFormat="1" applyFont="1" applyFill="1" applyBorder="1" applyAlignment="1">
      <alignment horizontal="center" vertical="center"/>
    </xf>
    <xf numFmtId="167" fontId="11" fillId="2" borderId="7" xfId="0" applyNumberFormat="1" applyFont="1" applyFill="1" applyBorder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11" fillId="0" borderId="0" xfId="4" applyFont="1" applyAlignment="1">
      <alignment vertical="center"/>
    </xf>
    <xf numFmtId="49" fontId="11" fillId="0" borderId="0" xfId="4" applyNumberFormat="1" applyFont="1" applyAlignment="1">
      <alignment horizontal="center" vertical="center"/>
    </xf>
    <xf numFmtId="0" fontId="29" fillId="10" borderId="0" xfId="4" applyFont="1" applyFill="1" applyAlignment="1">
      <alignment vertical="center" wrapText="1"/>
    </xf>
    <xf numFmtId="0" fontId="29" fillId="10" borderId="0" xfId="4" applyFont="1" applyFill="1" applyAlignment="1">
      <alignment vertical="center"/>
    </xf>
    <xf numFmtId="49" fontId="29" fillId="10" borderId="0" xfId="4" applyNumberFormat="1" applyFont="1" applyFill="1" applyAlignment="1">
      <alignment horizontal="center" vertical="center"/>
    </xf>
    <xf numFmtId="167" fontId="29" fillId="10" borderId="0" xfId="4" applyNumberFormat="1" applyFont="1" applyFill="1" applyAlignment="1">
      <alignment horizontal="right" vertical="center"/>
    </xf>
    <xf numFmtId="0" fontId="0" fillId="0" borderId="25" xfId="0" applyBorder="1"/>
    <xf numFmtId="0" fontId="18" fillId="0" borderId="26" xfId="0" applyFont="1" applyBorder="1" applyAlignment="1">
      <alignment vertical="center"/>
    </xf>
    <xf numFmtId="0" fontId="29" fillId="10" borderId="26" xfId="4" applyFont="1" applyFill="1" applyBorder="1" applyAlignment="1">
      <alignment vertical="center" wrapText="1"/>
    </xf>
    <xf numFmtId="0" fontId="29" fillId="10" borderId="25" xfId="4" applyFont="1" applyFill="1" applyBorder="1" applyAlignment="1">
      <alignment vertical="center"/>
    </xf>
    <xf numFmtId="49" fontId="29" fillId="10" borderId="25" xfId="4" applyNumberFormat="1" applyFont="1" applyFill="1" applyBorder="1" applyAlignment="1">
      <alignment horizontal="center" vertical="center"/>
    </xf>
    <xf numFmtId="167" fontId="29" fillId="10" borderId="27" xfId="4" applyNumberFormat="1" applyFont="1" applyFill="1" applyBorder="1" applyAlignment="1">
      <alignment horizontal="right" vertical="center"/>
    </xf>
    <xf numFmtId="165" fontId="17" fillId="4" borderId="27" xfId="0" applyNumberFormat="1" applyFont="1" applyFill="1" applyBorder="1" applyAlignment="1">
      <alignment horizontal="center" vertical="center" wrapText="1"/>
    </xf>
    <xf numFmtId="0" fontId="29" fillId="6" borderId="0" xfId="4" applyFont="1" applyFill="1"/>
    <xf numFmtId="165" fontId="0" fillId="0" borderId="0" xfId="0" applyNumberFormat="1"/>
    <xf numFmtId="165" fontId="29" fillId="6" borderId="0" xfId="4" applyNumberFormat="1" applyFont="1" applyFill="1"/>
    <xf numFmtId="0" fontId="13" fillId="2" borderId="7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28" fillId="2" borderId="7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49" fontId="18" fillId="0" borderId="0" xfId="1" applyNumberFormat="1" applyFont="1" applyAlignment="1">
      <alignment horizontal="center" vertical="center"/>
    </xf>
    <xf numFmtId="165" fontId="23" fillId="0" borderId="0" xfId="0" applyNumberFormat="1" applyFont="1" applyAlignment="1">
      <alignment horizontal="right" vertical="center"/>
    </xf>
    <xf numFmtId="49" fontId="13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/>
    <xf numFmtId="0" fontId="13" fillId="0" borderId="7" xfId="0" applyFont="1" applyFill="1" applyBorder="1" applyAlignment="1">
      <alignment vertical="center"/>
    </xf>
    <xf numFmtId="0" fontId="11" fillId="0" borderId="7" xfId="4" applyFont="1" applyFill="1" applyBorder="1" applyAlignment="1">
      <alignment vertical="center"/>
    </xf>
    <xf numFmtId="49" fontId="11" fillId="0" borderId="7" xfId="4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vertical="center" wrapText="1"/>
    </xf>
    <xf numFmtId="0" fontId="28" fillId="0" borderId="7" xfId="4" applyFont="1" applyFill="1" applyBorder="1" applyAlignment="1">
      <alignment vertical="center"/>
    </xf>
    <xf numFmtId="167" fontId="11" fillId="0" borderId="7" xfId="0" applyNumberFormat="1" applyFont="1" applyFill="1" applyBorder="1" applyAlignment="1">
      <alignment horizontal="right" vertical="center"/>
    </xf>
    <xf numFmtId="0" fontId="11" fillId="0" borderId="7" xfId="0" applyFont="1" applyFill="1" applyBorder="1" applyAlignment="1">
      <alignment vertical="top" wrapText="1"/>
    </xf>
    <xf numFmtId="165" fontId="13" fillId="0" borderId="7" xfId="5" applyNumberFormat="1" applyFont="1" applyFill="1" applyBorder="1" applyAlignment="1">
      <alignment horizontal="right" vertical="top"/>
    </xf>
    <xf numFmtId="49" fontId="13" fillId="0" borderId="7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vertical="center"/>
    </xf>
    <xf numFmtId="0" fontId="23" fillId="0" borderId="0" xfId="0" applyFont="1" applyFill="1" applyAlignment="1">
      <alignment horizontal="left" vertical="center"/>
    </xf>
    <xf numFmtId="0" fontId="23" fillId="0" borderId="0" xfId="0" applyFont="1" applyFill="1" applyAlignment="1">
      <alignment vertical="center" wrapText="1"/>
    </xf>
    <xf numFmtId="49" fontId="13" fillId="0" borderId="22" xfId="0" applyNumberFormat="1" applyFont="1" applyFill="1" applyBorder="1" applyAlignment="1">
      <alignment horizontal="center" vertical="center"/>
    </xf>
    <xf numFmtId="49" fontId="13" fillId="0" borderId="20" xfId="0" applyNumberFormat="1" applyFont="1" applyFill="1" applyBorder="1" applyAlignment="1">
      <alignment horizontal="center" vertical="center"/>
    </xf>
    <xf numFmtId="165" fontId="13" fillId="0" borderId="19" xfId="5" applyNumberFormat="1" applyFont="1" applyFill="1" applyBorder="1" applyAlignment="1">
      <alignment horizontal="right" vertical="center"/>
    </xf>
    <xf numFmtId="0" fontId="13" fillId="0" borderId="7" xfId="0" applyFont="1" applyFill="1" applyBorder="1" applyAlignment="1">
      <alignment horizontal="left" vertical="center"/>
    </xf>
    <xf numFmtId="0" fontId="23" fillId="0" borderId="0" xfId="0" applyFont="1" applyFill="1" applyAlignment="1">
      <alignment vertical="center"/>
    </xf>
    <xf numFmtId="165" fontId="13" fillId="0" borderId="7" xfId="5" applyNumberFormat="1" applyFont="1" applyFill="1" applyBorder="1" applyAlignment="1">
      <alignment horizontal="right" vertical="center"/>
    </xf>
    <xf numFmtId="0" fontId="13" fillId="0" borderId="7" xfId="0" applyFont="1" applyFill="1" applyBorder="1"/>
    <xf numFmtId="49" fontId="13" fillId="0" borderId="0" xfId="0" applyNumberFormat="1" applyFont="1" applyFill="1"/>
    <xf numFmtId="0" fontId="13" fillId="0" borderId="7" xfId="0" applyFont="1" applyFill="1" applyBorder="1" applyAlignment="1">
      <alignment horizontal="center" vertical="center"/>
    </xf>
    <xf numFmtId="0" fontId="18" fillId="0" borderId="0" xfId="0" applyFont="1" applyFill="1" applyAlignment="1">
      <alignment vertical="center"/>
    </xf>
    <xf numFmtId="49" fontId="23" fillId="0" borderId="22" xfId="0" applyNumberFormat="1" applyFont="1" applyFill="1" applyBorder="1" applyAlignment="1">
      <alignment horizontal="center" vertical="center"/>
    </xf>
    <xf numFmtId="49" fontId="13" fillId="0" borderId="7" xfId="0" applyNumberFormat="1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vertical="center"/>
    </xf>
    <xf numFmtId="49" fontId="13" fillId="0" borderId="5" xfId="0" applyNumberFormat="1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vertical="center"/>
    </xf>
    <xf numFmtId="0" fontId="13" fillId="0" borderId="20" xfId="0" applyFont="1" applyFill="1" applyBorder="1" applyAlignment="1">
      <alignment vertical="center"/>
    </xf>
    <xf numFmtId="49" fontId="13" fillId="0" borderId="25" xfId="0" applyNumberFormat="1" applyFont="1" applyFill="1" applyBorder="1" applyAlignment="1">
      <alignment horizontal="center" vertical="center"/>
    </xf>
    <xf numFmtId="165" fontId="13" fillId="0" borderId="23" xfId="5" applyNumberFormat="1" applyFont="1" applyFill="1" applyBorder="1" applyAlignment="1">
      <alignment horizontal="right" vertical="center"/>
    </xf>
    <xf numFmtId="49" fontId="23" fillId="0" borderId="22" xfId="0" applyNumberFormat="1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49" fontId="13" fillId="0" borderId="21" xfId="0" applyNumberFormat="1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/>
    </xf>
    <xf numFmtId="0" fontId="13" fillId="0" borderId="7" xfId="4" applyFont="1" applyFill="1" applyBorder="1" applyAlignment="1">
      <alignment vertical="center"/>
    </xf>
    <xf numFmtId="0" fontId="18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left" vertical="center"/>
    </xf>
    <xf numFmtId="49" fontId="11" fillId="0" borderId="0" xfId="0" applyNumberFormat="1" applyFont="1" applyFill="1" applyAlignment="1">
      <alignment horizontal="center" vertical="center"/>
    </xf>
    <xf numFmtId="167" fontId="11" fillId="0" borderId="0" xfId="0" applyNumberFormat="1" applyFont="1" applyFill="1" applyAlignment="1">
      <alignment horizontal="right" vertical="center"/>
    </xf>
    <xf numFmtId="49" fontId="11" fillId="0" borderId="7" xfId="0" applyNumberFormat="1" applyFont="1" applyFill="1" applyBorder="1" applyAlignment="1">
      <alignment horizontal="center" vertical="center"/>
    </xf>
    <xf numFmtId="0" fontId="11" fillId="0" borderId="0" xfId="4" applyFont="1" applyFill="1" applyAlignment="1">
      <alignment vertical="center"/>
    </xf>
    <xf numFmtId="49" fontId="11" fillId="0" borderId="0" xfId="4" applyNumberFormat="1" applyFont="1" applyFill="1" applyAlignment="1">
      <alignment horizontal="center" vertical="center"/>
    </xf>
    <xf numFmtId="0" fontId="0" fillId="0" borderId="0" xfId="0" applyFill="1"/>
    <xf numFmtId="0" fontId="28" fillId="0" borderId="7" xfId="0" applyFont="1" applyFill="1" applyBorder="1" applyAlignment="1">
      <alignment vertical="center"/>
    </xf>
    <xf numFmtId="0" fontId="0" fillId="0" borderId="0" xfId="0" applyFill="1" applyAlignment="1">
      <alignment wrapText="1"/>
    </xf>
    <xf numFmtId="0" fontId="18" fillId="0" borderId="22" xfId="0" applyFont="1" applyFill="1" applyBorder="1" applyAlignment="1">
      <alignment vertical="center" wrapText="1"/>
    </xf>
    <xf numFmtId="0" fontId="30" fillId="0" borderId="7" xfId="4" applyFont="1" applyFill="1" applyBorder="1" applyAlignment="1">
      <alignment vertical="center"/>
    </xf>
    <xf numFmtId="0" fontId="23" fillId="0" borderId="22" xfId="0" applyFont="1" applyFill="1" applyBorder="1" applyAlignment="1">
      <alignment vertical="center"/>
    </xf>
    <xf numFmtId="0" fontId="13" fillId="0" borderId="0" xfId="0" applyFont="1" applyFill="1" applyBorder="1"/>
    <xf numFmtId="49" fontId="13" fillId="0" borderId="0" xfId="0" applyNumberFormat="1" applyFont="1" applyFill="1" applyBorder="1" applyAlignment="1">
      <alignment horizontal="center" vertical="center"/>
    </xf>
    <xf numFmtId="0" fontId="11" fillId="0" borderId="3" xfId="0" applyFont="1" applyBorder="1"/>
    <xf numFmtId="167" fontId="13" fillId="0" borderId="0" xfId="0" applyNumberFormat="1" applyFont="1" applyAlignment="1">
      <alignment horizontal="center" vertical="center"/>
    </xf>
    <xf numFmtId="0" fontId="34" fillId="11" borderId="7" xfId="0" applyFont="1" applyFill="1" applyBorder="1" applyAlignment="1">
      <alignment vertical="center" wrapText="1"/>
    </xf>
    <xf numFmtId="0" fontId="34" fillId="11" borderId="7" xfId="0" applyFont="1" applyFill="1" applyBorder="1" applyAlignment="1">
      <alignment vertical="center"/>
    </xf>
    <xf numFmtId="49" fontId="34" fillId="11" borderId="7" xfId="0" applyNumberFormat="1" applyFont="1" applyFill="1" applyBorder="1" applyAlignment="1">
      <alignment horizontal="center" vertical="center"/>
    </xf>
    <xf numFmtId="167" fontId="34" fillId="11" borderId="7" xfId="0" applyNumberFormat="1" applyFont="1" applyFill="1" applyBorder="1" applyAlignment="1">
      <alignment vertical="center"/>
    </xf>
    <xf numFmtId="0" fontId="35" fillId="0" borderId="0" xfId="0" applyFont="1" applyAlignment="1">
      <alignment horizontal="left" vertical="center" wrapText="1"/>
    </xf>
    <xf numFmtId="0" fontId="35" fillId="0" borderId="0" xfId="0" applyFont="1" applyAlignment="1">
      <alignment vertical="center"/>
    </xf>
    <xf numFmtId="49" fontId="13" fillId="0" borderId="0" xfId="6" applyNumberFormat="1" applyFont="1" applyFill="1" applyAlignment="1">
      <alignment horizontal="center" vertical="center"/>
    </xf>
    <xf numFmtId="167" fontId="11" fillId="12" borderId="7" xfId="0" applyNumberFormat="1" applyFont="1" applyFill="1" applyBorder="1" applyAlignment="1">
      <alignment horizontal="right" vertical="center"/>
    </xf>
    <xf numFmtId="165" fontId="13" fillId="12" borderId="7" xfId="0" applyNumberFormat="1" applyFont="1" applyFill="1" applyBorder="1" applyAlignment="1">
      <alignment horizontal="right" vertical="center"/>
    </xf>
    <xf numFmtId="0" fontId="34" fillId="11" borderId="21" xfId="0" applyFont="1" applyFill="1" applyBorder="1" applyAlignment="1">
      <alignment vertical="center"/>
    </xf>
    <xf numFmtId="49" fontId="13" fillId="11" borderId="5" xfId="0" applyNumberFormat="1" applyFont="1" applyFill="1" applyBorder="1" applyAlignment="1">
      <alignment horizontal="center" vertical="center"/>
    </xf>
    <xf numFmtId="167" fontId="13" fillId="11" borderId="5" xfId="0" applyNumberFormat="1" applyFont="1" applyFill="1" applyBorder="1" applyAlignment="1">
      <alignment horizontal="center" vertical="center"/>
    </xf>
    <xf numFmtId="0" fontId="11" fillId="0" borderId="3" xfId="0" applyFont="1" applyFill="1" applyBorder="1"/>
    <xf numFmtId="0" fontId="11" fillId="0" borderId="10" xfId="0" applyFont="1" applyFill="1" applyBorder="1"/>
    <xf numFmtId="0" fontId="11" fillId="0" borderId="13" xfId="0" applyFont="1" applyFill="1" applyBorder="1"/>
    <xf numFmtId="0" fontId="6" fillId="0" borderId="0" xfId="0" applyFont="1" applyAlignment="1">
      <alignment wrapText="1"/>
    </xf>
    <xf numFmtId="165" fontId="13" fillId="0" borderId="0" xfId="0" applyNumberFormat="1" applyFont="1" applyFill="1" applyAlignment="1">
      <alignment horizontal="right" vertical="center"/>
    </xf>
    <xf numFmtId="0" fontId="35" fillId="0" borderId="0" xfId="0" applyFont="1" applyFill="1" applyAlignment="1">
      <alignment horizontal="left" vertical="center" wrapText="1"/>
    </xf>
    <xf numFmtId="0" fontId="35" fillId="0" borderId="0" xfId="0" applyFont="1" applyFill="1" applyAlignment="1">
      <alignment vertical="center" wrapText="1"/>
    </xf>
    <xf numFmtId="0" fontId="35" fillId="0" borderId="0" xfId="0" applyFont="1" applyFill="1" applyAlignment="1">
      <alignment vertical="center"/>
    </xf>
    <xf numFmtId="167" fontId="13" fillId="0" borderId="0" xfId="0" applyNumberFormat="1" applyFont="1" applyFill="1" applyAlignment="1">
      <alignment horizontal="center" vertical="center"/>
    </xf>
    <xf numFmtId="0" fontId="11" fillId="0" borderId="7" xfId="0" applyFont="1" applyFill="1" applyBorder="1" applyAlignment="1">
      <alignment vertical="center" wrapText="1"/>
    </xf>
    <xf numFmtId="167" fontId="13" fillId="0" borderId="0" xfId="5" applyNumberFormat="1" applyFont="1" applyFill="1" applyAlignment="1">
      <alignment vertical="center"/>
    </xf>
    <xf numFmtId="0" fontId="13" fillId="0" borderId="0" xfId="5" applyFont="1" applyFill="1" applyAlignment="1">
      <alignment vertical="center"/>
    </xf>
    <xf numFmtId="0" fontId="36" fillId="0" borderId="7" xfId="0" applyFont="1" applyFill="1" applyBorder="1" applyAlignment="1" applyProtection="1">
      <alignment horizontal="left" vertical="center" wrapText="1"/>
      <protection locked="0"/>
    </xf>
    <xf numFmtId="0" fontId="36" fillId="0" borderId="7" xfId="0" applyFont="1" applyFill="1" applyBorder="1" applyAlignment="1" applyProtection="1">
      <alignment vertical="center"/>
      <protection locked="0"/>
    </xf>
    <xf numFmtId="167" fontId="13" fillId="0" borderId="0" xfId="5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left" vertical="center"/>
    </xf>
    <xf numFmtId="0" fontId="23" fillId="0" borderId="7" xfId="0" applyFont="1" applyFill="1" applyBorder="1" applyAlignment="1">
      <alignment vertical="center"/>
    </xf>
    <xf numFmtId="0" fontId="11" fillId="0" borderId="0" xfId="0" applyFont="1" applyFill="1"/>
    <xf numFmtId="165" fontId="13" fillId="0" borderId="0" xfId="5" applyNumberFormat="1" applyFont="1" applyFill="1" applyBorder="1" applyAlignment="1">
      <alignment horizontal="right" vertical="top"/>
    </xf>
    <xf numFmtId="0" fontId="13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49" fontId="11" fillId="0" borderId="0" xfId="5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right" vertical="center"/>
    </xf>
    <xf numFmtId="0" fontId="34" fillId="11" borderId="0" xfId="0" applyFont="1" applyFill="1" applyAlignment="1">
      <alignment vertical="center" wrapText="1"/>
    </xf>
    <xf numFmtId="0" fontId="34" fillId="11" borderId="0" xfId="0" applyFont="1" applyFill="1" applyAlignment="1">
      <alignment vertical="center"/>
    </xf>
    <xf numFmtId="49" fontId="34" fillId="11" borderId="0" xfId="0" applyNumberFormat="1" applyFont="1" applyFill="1" applyAlignment="1">
      <alignment horizontal="center" vertical="center"/>
    </xf>
    <xf numFmtId="167" fontId="34" fillId="11" borderId="0" xfId="0" applyNumberFormat="1" applyFont="1" applyFill="1" applyAlignment="1">
      <alignment vertical="center"/>
    </xf>
    <xf numFmtId="167" fontId="13" fillId="0" borderId="0" xfId="0" applyNumberFormat="1" applyFont="1" applyAlignment="1">
      <alignment vertical="center"/>
    </xf>
    <xf numFmtId="0" fontId="35" fillId="0" borderId="0" xfId="0" applyFont="1" applyAlignment="1">
      <alignment horizontal="left"/>
    </xf>
    <xf numFmtId="0" fontId="7" fillId="0" borderId="0" xfId="5"/>
    <xf numFmtId="167" fontId="13" fillId="0" borderId="21" xfId="0" applyNumberFormat="1" applyFont="1" applyFill="1" applyBorder="1" applyAlignment="1">
      <alignment horizontal="center" vertical="center"/>
    </xf>
    <xf numFmtId="167" fontId="35" fillId="0" borderId="0" xfId="0" applyNumberFormat="1" applyFont="1" applyFill="1" applyAlignment="1">
      <alignment horizontal="left" vertical="center"/>
    </xf>
    <xf numFmtId="167" fontId="13" fillId="0" borderId="0" xfId="0" applyNumberFormat="1" applyFont="1" applyFill="1" applyAlignment="1">
      <alignment vertical="center"/>
    </xf>
    <xf numFmtId="167" fontId="36" fillId="0" borderId="0" xfId="0" applyNumberFormat="1" applyFont="1" applyFill="1" applyAlignment="1" applyProtection="1">
      <alignment horizontal="left" vertical="center"/>
      <protection locked="0"/>
    </xf>
    <xf numFmtId="165" fontId="13" fillId="0" borderId="30" xfId="5" applyNumberFormat="1" applyFont="1" applyFill="1" applyBorder="1" applyAlignment="1">
      <alignment horizontal="right" vertical="top"/>
    </xf>
    <xf numFmtId="167" fontId="13" fillId="0" borderId="0" xfId="5" applyNumberFormat="1" applyFont="1" applyFill="1" applyAlignment="1">
      <alignment horizontal="center" vertical="center" wrapText="1"/>
    </xf>
    <xf numFmtId="167" fontId="19" fillId="0" borderId="0" xfId="0" applyNumberFormat="1" applyFont="1" applyFill="1" applyAlignment="1">
      <alignment horizontal="left" vertical="center"/>
    </xf>
    <xf numFmtId="0" fontId="23" fillId="0" borderId="0" xfId="0" applyFont="1" applyFill="1" applyAlignment="1">
      <alignment horizontal="left"/>
    </xf>
    <xf numFmtId="0" fontId="2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 wrapText="1"/>
    </xf>
    <xf numFmtId="0" fontId="34" fillId="11" borderId="24" xfId="0" applyFont="1" applyFill="1" applyBorder="1" applyAlignment="1">
      <alignment vertical="center" wrapText="1"/>
    </xf>
    <xf numFmtId="165" fontId="11" fillId="12" borderId="7" xfId="0" applyNumberFormat="1" applyFont="1" applyFill="1" applyBorder="1" applyAlignment="1">
      <alignment horizontal="right" vertical="center"/>
    </xf>
    <xf numFmtId="167" fontId="13" fillId="0" borderId="0" xfId="0" applyNumberFormat="1" applyFont="1" applyFill="1" applyBorder="1" applyAlignment="1">
      <alignment horizontal="right" vertical="center"/>
    </xf>
    <xf numFmtId="0" fontId="34" fillId="11" borderId="0" xfId="0" applyFont="1" applyFill="1"/>
    <xf numFmtId="49" fontId="34" fillId="11" borderId="0" xfId="0" applyNumberFormat="1" applyFont="1" applyFill="1"/>
    <xf numFmtId="167" fontId="34" fillId="11" borderId="0" xfId="0" applyNumberFormat="1" applyFont="1" applyFill="1"/>
    <xf numFmtId="0" fontId="35" fillId="0" borderId="0" xfId="0" applyFont="1"/>
    <xf numFmtId="0" fontId="34" fillId="11" borderId="24" xfId="0" applyFont="1" applyFill="1" applyBorder="1"/>
    <xf numFmtId="0" fontId="34" fillId="11" borderId="21" xfId="0" applyFont="1" applyFill="1" applyBorder="1"/>
    <xf numFmtId="0" fontId="28" fillId="12" borderId="35" xfId="0" applyFont="1" applyFill="1" applyBorder="1" applyAlignment="1">
      <alignment horizontal="left" vertical="center"/>
    </xf>
    <xf numFmtId="49" fontId="11" fillId="12" borderId="35" xfId="4" applyNumberFormat="1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vertical="center" wrapText="1"/>
    </xf>
    <xf numFmtId="0" fontId="13" fillId="0" borderId="35" xfId="4" applyFont="1" applyFill="1" applyBorder="1" applyAlignment="1">
      <alignment vertical="center"/>
    </xf>
    <xf numFmtId="49" fontId="11" fillId="0" borderId="35" xfId="4" applyNumberFormat="1" applyFont="1" applyFill="1" applyBorder="1" applyAlignment="1">
      <alignment horizontal="center" vertical="center"/>
    </xf>
    <xf numFmtId="167" fontId="11" fillId="0" borderId="35" xfId="0" applyNumberFormat="1" applyFont="1" applyFill="1" applyBorder="1" applyAlignment="1">
      <alignment horizontal="right" vertical="center"/>
    </xf>
    <xf numFmtId="0" fontId="11" fillId="0" borderId="35" xfId="4" applyFont="1" applyFill="1" applyBorder="1" applyAlignment="1">
      <alignment vertical="center"/>
    </xf>
    <xf numFmtId="0" fontId="34" fillId="11" borderId="35" xfId="0" applyFont="1" applyFill="1" applyBorder="1" applyAlignment="1">
      <alignment vertical="center" wrapText="1"/>
    </xf>
    <xf numFmtId="49" fontId="13" fillId="0" borderId="35" xfId="0" applyNumberFormat="1" applyFont="1" applyFill="1" applyBorder="1" applyAlignment="1">
      <alignment horizontal="center" vertical="center"/>
    </xf>
    <xf numFmtId="165" fontId="13" fillId="0" borderId="0" xfId="5" applyNumberFormat="1" applyFont="1" applyFill="1" applyAlignment="1">
      <alignment horizontal="right" vertical="top"/>
    </xf>
    <xf numFmtId="0" fontId="11" fillId="0" borderId="3" xfId="0" applyFont="1" applyFill="1" applyBorder="1" applyAlignment="1">
      <alignment wrapText="1"/>
    </xf>
    <xf numFmtId="0" fontId="11" fillId="0" borderId="10" xfId="0" applyFont="1" applyFill="1" applyBorder="1" applyAlignment="1">
      <alignment wrapText="1"/>
    </xf>
    <xf numFmtId="0" fontId="11" fillId="0" borderId="36" xfId="0" applyFont="1" applyFill="1" applyBorder="1"/>
    <xf numFmtId="0" fontId="24" fillId="0" borderId="35" xfId="0" applyFont="1" applyFill="1" applyBorder="1" applyAlignment="1">
      <alignment vertical="center" wrapText="1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wrapText="1"/>
    </xf>
    <xf numFmtId="0" fontId="36" fillId="0" borderId="35" xfId="0" applyFont="1" applyFill="1" applyBorder="1" applyAlignment="1">
      <alignment horizontal="left" vertical="center" wrapText="1"/>
    </xf>
    <xf numFmtId="49" fontId="11" fillId="0" borderId="35" xfId="5" applyNumberFormat="1" applyFont="1" applyFill="1" applyBorder="1" applyAlignment="1">
      <alignment horizontal="center" vertical="center"/>
    </xf>
    <xf numFmtId="0" fontId="11" fillId="0" borderId="35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/>
    </xf>
    <xf numFmtId="0" fontId="11" fillId="0" borderId="35" xfId="4" applyFont="1" applyFill="1" applyBorder="1" applyAlignment="1">
      <alignment vertical="center" wrapText="1"/>
    </xf>
    <xf numFmtId="0" fontId="30" fillId="0" borderId="35" xfId="4" applyFont="1" applyFill="1" applyBorder="1" applyAlignment="1">
      <alignment vertical="center"/>
    </xf>
    <xf numFmtId="0" fontId="28" fillId="0" borderId="35" xfId="4" applyFont="1" applyFill="1" applyBorder="1" applyAlignment="1">
      <alignment vertical="center"/>
    </xf>
    <xf numFmtId="0" fontId="24" fillId="0" borderId="35" xfId="0" applyFont="1" applyFill="1" applyBorder="1" applyAlignment="1">
      <alignment vertical="center"/>
    </xf>
    <xf numFmtId="0" fontId="28" fillId="0" borderId="35" xfId="0" applyFont="1" applyFill="1" applyBorder="1" applyAlignment="1">
      <alignment horizontal="left" vertical="center"/>
    </xf>
    <xf numFmtId="0" fontId="11" fillId="0" borderId="35" xfId="5" applyFont="1" applyFill="1" applyBorder="1" applyAlignment="1">
      <alignment vertical="center"/>
    </xf>
    <xf numFmtId="0" fontId="20" fillId="13" borderId="29" xfId="0" applyFont="1" applyFill="1" applyBorder="1" applyAlignment="1">
      <alignment vertical="center" wrapText="1"/>
    </xf>
    <xf numFmtId="0" fontId="20" fillId="13" borderId="30" xfId="5" applyFont="1" applyFill="1" applyBorder="1" applyAlignment="1">
      <alignment horizontal="center" vertical="top" wrapText="1"/>
    </xf>
    <xf numFmtId="49" fontId="20" fillId="13" borderId="30" xfId="5" applyNumberFormat="1" applyFont="1" applyFill="1" applyBorder="1" applyAlignment="1">
      <alignment horizontal="center" vertical="top"/>
    </xf>
    <xf numFmtId="0" fontId="20" fillId="0" borderId="29" xfId="0" applyFont="1" applyFill="1" applyBorder="1" applyAlignment="1">
      <alignment vertical="top" wrapText="1"/>
    </xf>
    <xf numFmtId="0" fontId="13" fillId="0" borderId="21" xfId="0" applyFont="1" applyFill="1" applyBorder="1" applyAlignment="1">
      <alignment vertical="center" wrapText="1"/>
    </xf>
    <xf numFmtId="0" fontId="13" fillId="0" borderId="21" xfId="0" applyFont="1" applyFill="1" applyBorder="1" applyAlignment="1">
      <alignment vertical="center"/>
    </xf>
    <xf numFmtId="49" fontId="35" fillId="0" borderId="0" xfId="0" applyNumberFormat="1" applyFont="1" applyFill="1" applyAlignment="1">
      <alignment horizontal="center" vertical="center"/>
    </xf>
    <xf numFmtId="0" fontId="11" fillId="0" borderId="7" xfId="0" applyFont="1" applyFill="1" applyBorder="1" applyAlignment="1" applyProtection="1">
      <alignment vertical="center"/>
      <protection locked="0"/>
    </xf>
    <xf numFmtId="0" fontId="11" fillId="0" borderId="0" xfId="0" applyFont="1" applyFill="1" applyAlignment="1" applyProtection="1">
      <alignment vertical="center"/>
      <protection locked="0"/>
    </xf>
    <xf numFmtId="0" fontId="36" fillId="0" borderId="0" xfId="0" applyFont="1" applyFill="1" applyAlignment="1" applyProtection="1">
      <alignment horizontal="left" vertical="center" wrapText="1"/>
      <protection locked="0"/>
    </xf>
    <xf numFmtId="0" fontId="36" fillId="0" borderId="0" xfId="0" applyFont="1" applyFill="1" applyAlignment="1" applyProtection="1">
      <alignment vertical="center"/>
      <protection locked="0"/>
    </xf>
    <xf numFmtId="49" fontId="36" fillId="0" borderId="0" xfId="0" applyNumberFormat="1" applyFont="1" applyFill="1" applyAlignment="1" applyProtection="1">
      <alignment horizontal="center" vertical="center"/>
      <protection locked="0"/>
    </xf>
    <xf numFmtId="0" fontId="35" fillId="0" borderId="0" xfId="0" applyFont="1" applyFill="1" applyAlignment="1">
      <alignment horizontal="left"/>
    </xf>
    <xf numFmtId="0" fontId="39" fillId="0" borderId="0" xfId="0" applyFont="1" applyFill="1" applyAlignment="1">
      <alignment vertical="center"/>
    </xf>
    <xf numFmtId="49" fontId="0" fillId="0" borderId="0" xfId="0" applyNumberFormat="1" applyFill="1" applyAlignment="1" applyProtection="1">
      <alignment horizontal="center" vertical="center"/>
      <protection locked="0"/>
    </xf>
    <xf numFmtId="49" fontId="13" fillId="0" borderId="0" xfId="5" applyNumberFormat="1" applyFont="1" applyFill="1" applyAlignment="1">
      <alignment horizontal="center" vertical="center"/>
    </xf>
    <xf numFmtId="49" fontId="19" fillId="0" borderId="0" xfId="0" applyNumberFormat="1" applyFont="1" applyFill="1" applyAlignment="1">
      <alignment horizontal="center" vertical="center"/>
    </xf>
    <xf numFmtId="0" fontId="13" fillId="0" borderId="0" xfId="0" applyFont="1" applyFill="1" applyAlignment="1" applyProtection="1">
      <alignment vertical="center"/>
      <protection locked="0"/>
    </xf>
    <xf numFmtId="0" fontId="36" fillId="0" borderId="7" xfId="0" applyFont="1" applyFill="1" applyBorder="1" applyAlignment="1">
      <alignment horizontal="left" vertical="center" wrapText="1"/>
    </xf>
    <xf numFmtId="0" fontId="36" fillId="0" borderId="7" xfId="0" applyFont="1" applyFill="1" applyBorder="1" applyAlignment="1">
      <alignment vertical="center"/>
    </xf>
    <xf numFmtId="0" fontId="35" fillId="0" borderId="0" xfId="0" applyFont="1" applyFill="1" applyAlignment="1" applyProtection="1">
      <alignment horizontal="left" vertical="center" wrapText="1"/>
      <protection locked="0"/>
    </xf>
    <xf numFmtId="0" fontId="13" fillId="0" borderId="0" xfId="0" applyFont="1" applyFill="1" applyAlignment="1" applyProtection="1">
      <alignment horizontal="left" vertical="center" wrapText="1"/>
      <protection locked="0"/>
    </xf>
    <xf numFmtId="49" fontId="13" fillId="0" borderId="31" xfId="0" applyNumberFormat="1" applyFont="1" applyFill="1" applyBorder="1" applyAlignment="1">
      <alignment horizontal="center" vertical="center"/>
    </xf>
    <xf numFmtId="0" fontId="24" fillId="0" borderId="0" xfId="0" applyFont="1" applyFill="1" applyAlignment="1">
      <alignment horizontal="left" vertical="center"/>
    </xf>
    <xf numFmtId="49" fontId="13" fillId="0" borderId="7" xfId="0" applyNumberFormat="1" applyFont="1" applyFill="1" applyBorder="1" applyAlignment="1">
      <alignment horizontal="center" vertical="top" wrapText="1"/>
    </xf>
    <xf numFmtId="0" fontId="13" fillId="0" borderId="7" xfId="5" applyFont="1" applyFill="1" applyBorder="1" applyAlignment="1">
      <alignment vertical="center"/>
    </xf>
    <xf numFmtId="0" fontId="36" fillId="0" borderId="0" xfId="0" applyFont="1" applyFill="1" applyAlignment="1">
      <alignment horizontal="left" vertical="center" wrapText="1"/>
    </xf>
    <xf numFmtId="0" fontId="36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vertical="center"/>
    </xf>
    <xf numFmtId="0" fontId="35" fillId="0" borderId="0" xfId="0" applyFont="1" applyFill="1"/>
    <xf numFmtId="167" fontId="35" fillId="0" borderId="0" xfId="0" applyNumberFormat="1" applyFont="1" applyFill="1" applyAlignment="1">
      <alignment horizontal="left"/>
    </xf>
    <xf numFmtId="49" fontId="35" fillId="0" borderId="0" xfId="0" applyNumberFormat="1" applyFont="1" applyFill="1" applyAlignment="1">
      <alignment horizontal="left"/>
    </xf>
    <xf numFmtId="167" fontId="13" fillId="0" borderId="0" xfId="0" applyNumberFormat="1" applyFont="1" applyFill="1"/>
    <xf numFmtId="0" fontId="35" fillId="0" borderId="0" xfId="0" applyFont="1" applyFill="1" applyAlignment="1">
      <alignment horizontal="left" wrapText="1"/>
    </xf>
    <xf numFmtId="0" fontId="36" fillId="0" borderId="0" xfId="0" applyFont="1" applyFill="1" applyAlignment="1" applyProtection="1">
      <alignment horizontal="left"/>
      <protection locked="0"/>
    </xf>
    <xf numFmtId="0" fontId="36" fillId="0" borderId="0" xfId="0" applyFont="1" applyFill="1" applyProtection="1">
      <protection locked="0"/>
    </xf>
    <xf numFmtId="49" fontId="36" fillId="0" borderId="0" xfId="0" applyNumberFormat="1" applyFont="1" applyFill="1" applyAlignment="1" applyProtection="1">
      <alignment horizontal="left"/>
      <protection locked="0"/>
    </xf>
    <xf numFmtId="167" fontId="36" fillId="0" borderId="0" xfId="0" applyNumberFormat="1" applyFont="1" applyFill="1" applyAlignment="1" applyProtection="1">
      <alignment horizontal="left"/>
      <protection locked="0"/>
    </xf>
    <xf numFmtId="0" fontId="36" fillId="0" borderId="0" xfId="0" applyFont="1" applyFill="1" applyAlignment="1">
      <alignment horizontal="left"/>
    </xf>
    <xf numFmtId="0" fontId="36" fillId="0" borderId="7" xfId="0" applyFont="1" applyFill="1" applyBorder="1" applyAlignment="1" applyProtection="1">
      <alignment horizontal="left"/>
      <protection locked="0"/>
    </xf>
    <xf numFmtId="0" fontId="35" fillId="0" borderId="0" xfId="0" applyFont="1" applyFill="1" applyAlignment="1">
      <alignment vertical="top" wrapText="1"/>
    </xf>
    <xf numFmtId="0" fontId="13" fillId="0" borderId="0" xfId="0" applyFont="1" applyFill="1" applyAlignment="1">
      <alignment horizontal="center" vertical="center"/>
    </xf>
    <xf numFmtId="166" fontId="13" fillId="0" borderId="0" xfId="0" applyNumberFormat="1" applyFont="1" applyFill="1" applyAlignment="1">
      <alignment horizontal="center" vertical="center"/>
    </xf>
    <xf numFmtId="0" fontId="19" fillId="0" borderId="0" xfId="0" applyFont="1" applyFill="1"/>
    <xf numFmtId="167" fontId="13" fillId="0" borderId="0" xfId="5" applyNumberFormat="1" applyFont="1" applyFill="1" applyAlignment="1">
      <alignment vertical="top"/>
    </xf>
    <xf numFmtId="0" fontId="13" fillId="0" borderId="7" xfId="0" applyFont="1" applyFill="1" applyBorder="1" applyAlignment="1" applyProtection="1">
      <alignment horizontal="left"/>
      <protection locked="0"/>
    </xf>
    <xf numFmtId="0" fontId="13" fillId="0" borderId="7" xfId="0" applyFont="1" applyFill="1" applyBorder="1" applyProtection="1">
      <protection locked="0"/>
    </xf>
    <xf numFmtId="0" fontId="20" fillId="0" borderId="30" xfId="5" applyFont="1" applyFill="1" applyBorder="1" applyAlignment="1">
      <alignment horizontal="center" vertical="top" wrapText="1"/>
    </xf>
    <xf numFmtId="49" fontId="20" fillId="0" borderId="30" xfId="5" applyNumberFormat="1" applyFont="1" applyFill="1" applyBorder="1" applyAlignment="1">
      <alignment horizontal="center" vertical="top"/>
    </xf>
    <xf numFmtId="0" fontId="23" fillId="0" borderId="0" xfId="0" applyFont="1" applyFill="1"/>
    <xf numFmtId="0" fontId="13" fillId="0" borderId="7" xfId="0" applyFont="1" applyFill="1" applyBorder="1" applyAlignment="1">
      <alignment vertical="top"/>
    </xf>
    <xf numFmtId="0" fontId="24" fillId="0" borderId="7" xfId="0" applyFont="1" applyFill="1" applyBorder="1" applyAlignment="1">
      <alignment horizontal="left" vertical="center"/>
    </xf>
    <xf numFmtId="0" fontId="24" fillId="0" borderId="7" xfId="0" applyFont="1" applyFill="1" applyBorder="1"/>
    <xf numFmtId="0" fontId="13" fillId="0" borderId="0" xfId="0" applyFont="1" applyFill="1" applyAlignment="1">
      <alignment horizontal="center"/>
    </xf>
    <xf numFmtId="0" fontId="13" fillId="0" borderId="35" xfId="0" applyFont="1" applyFill="1" applyBorder="1" applyAlignment="1">
      <alignment horizontal="left" vertical="center"/>
    </xf>
    <xf numFmtId="0" fontId="13" fillId="0" borderId="35" xfId="0" applyFont="1" applyFill="1" applyBorder="1"/>
    <xf numFmtId="49" fontId="23" fillId="0" borderId="34" xfId="0" applyNumberFormat="1" applyFont="1" applyFill="1" applyBorder="1" applyAlignment="1">
      <alignment horizontal="center"/>
    </xf>
    <xf numFmtId="0" fontId="13" fillId="0" borderId="7" xfId="0" applyFont="1" applyFill="1" applyBorder="1" applyAlignment="1">
      <alignment horizontal="left"/>
    </xf>
    <xf numFmtId="0" fontId="13" fillId="0" borderId="0" xfId="5" applyFont="1" applyFill="1"/>
    <xf numFmtId="0" fontId="11" fillId="0" borderId="0" xfId="5" applyFont="1" applyFill="1" applyAlignment="1">
      <alignment vertical="center"/>
    </xf>
    <xf numFmtId="0" fontId="11" fillId="0" borderId="7" xfId="0" applyFont="1" applyFill="1" applyBorder="1"/>
    <xf numFmtId="49" fontId="13" fillId="0" borderId="5" xfId="0" applyNumberFormat="1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/>
    </xf>
    <xf numFmtId="0" fontId="13" fillId="0" borderId="31" xfId="0" applyFont="1" applyFill="1" applyBorder="1"/>
    <xf numFmtId="0" fontId="13" fillId="0" borderId="29" xfId="0" applyFont="1" applyFill="1" applyBorder="1" applyAlignment="1">
      <alignment vertical="center" wrapText="1"/>
    </xf>
    <xf numFmtId="0" fontId="13" fillId="0" borderId="29" xfId="0" applyFont="1" applyFill="1" applyBorder="1"/>
    <xf numFmtId="49" fontId="13" fillId="0" borderId="29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 applyProtection="1">
      <alignment horizontal="left" vertical="center"/>
      <protection locked="0"/>
    </xf>
    <xf numFmtId="0" fontId="13" fillId="0" borderId="5" xfId="0" applyFont="1" applyFill="1" applyBorder="1"/>
    <xf numFmtId="0" fontId="35" fillId="0" borderId="21" xfId="0" applyFont="1" applyFill="1" applyBorder="1" applyAlignment="1">
      <alignment vertical="center"/>
    </xf>
    <xf numFmtId="0" fontId="20" fillId="0" borderId="7" xfId="5" applyFont="1" applyFill="1" applyBorder="1" applyAlignment="1">
      <alignment vertical="top" wrapText="1"/>
    </xf>
    <xf numFmtId="0" fontId="11" fillId="0" borderId="35" xfId="0" applyFont="1" applyFill="1" applyBorder="1" applyAlignment="1">
      <alignment horizontal="left" vertical="center"/>
    </xf>
    <xf numFmtId="9" fontId="17" fillId="4" borderId="16" xfId="10" applyFont="1" applyFill="1" applyBorder="1" applyAlignment="1">
      <alignment horizontal="center" vertical="center" wrapText="1"/>
    </xf>
    <xf numFmtId="165" fontId="13" fillId="0" borderId="37" xfId="5" applyNumberFormat="1" applyFont="1" applyFill="1" applyBorder="1" applyAlignment="1">
      <alignment horizontal="right" vertical="top"/>
    </xf>
    <xf numFmtId="0" fontId="13" fillId="0" borderId="10" xfId="0" applyFont="1" applyFill="1" applyBorder="1"/>
    <xf numFmtId="0" fontId="13" fillId="0" borderId="13" xfId="0" applyFont="1" applyFill="1" applyBorder="1"/>
    <xf numFmtId="0" fontId="36" fillId="0" borderId="7" xfId="0" applyFont="1" applyFill="1" applyBorder="1" applyAlignment="1">
      <alignment horizontal="left" vertical="center"/>
    </xf>
    <xf numFmtId="165" fontId="13" fillId="0" borderId="37" xfId="5" applyNumberFormat="1" applyFont="1" applyFill="1" applyBorder="1" applyAlignment="1">
      <alignment horizontal="right" vertical="center"/>
    </xf>
    <xf numFmtId="0" fontId="11" fillId="0" borderId="37" xfId="0" applyFont="1" applyFill="1" applyBorder="1" applyAlignment="1">
      <alignment vertical="top" wrapText="1"/>
    </xf>
    <xf numFmtId="0" fontId="13" fillId="0" borderId="37" xfId="0" applyFont="1" applyFill="1" applyBorder="1" applyAlignment="1">
      <alignment vertical="center"/>
    </xf>
    <xf numFmtId="0" fontId="13" fillId="0" borderId="37" xfId="0" applyFont="1" applyFill="1" applyBorder="1" applyAlignment="1">
      <alignment vertical="center" wrapText="1"/>
    </xf>
    <xf numFmtId="49" fontId="13" fillId="0" borderId="37" xfId="0" applyNumberFormat="1" applyFont="1" applyFill="1" applyBorder="1" applyAlignment="1">
      <alignment horizontal="center" vertical="center"/>
    </xf>
    <xf numFmtId="165" fontId="19" fillId="0" borderId="37" xfId="5" applyNumberFormat="1" applyFont="1" applyFill="1" applyBorder="1" applyAlignment="1">
      <alignment horizontal="right" vertical="top"/>
    </xf>
    <xf numFmtId="165" fontId="13" fillId="0" borderId="44" xfId="5" applyNumberFormat="1" applyFont="1" applyFill="1" applyBorder="1" applyAlignment="1">
      <alignment horizontal="right" vertical="top"/>
    </xf>
    <xf numFmtId="0" fontId="24" fillId="0" borderId="0" xfId="0" applyFont="1" applyFill="1" applyBorder="1" applyAlignment="1">
      <alignment vertical="center" wrapText="1"/>
    </xf>
    <xf numFmtId="49" fontId="11" fillId="0" borderId="0" xfId="4" applyNumberFormat="1" applyFont="1" applyFill="1" applyBorder="1" applyAlignment="1">
      <alignment horizontal="center" vertical="center"/>
    </xf>
    <xf numFmtId="167" fontId="11" fillId="0" borderId="0" xfId="0" applyNumberFormat="1" applyFont="1" applyFill="1" applyBorder="1" applyAlignment="1">
      <alignment horizontal="right" vertical="center"/>
    </xf>
    <xf numFmtId="0" fontId="4" fillId="0" borderId="0" xfId="0" applyFont="1"/>
    <xf numFmtId="167" fontId="11" fillId="0" borderId="45" xfId="0" applyNumberFormat="1" applyFont="1" applyFill="1" applyBorder="1" applyAlignment="1">
      <alignment horizontal="right" vertical="center"/>
    </xf>
    <xf numFmtId="0" fontId="11" fillId="0" borderId="0" xfId="4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0" fontId="11" fillId="0" borderId="44" xfId="0" applyFont="1" applyFill="1" applyBorder="1" applyAlignment="1">
      <alignment vertical="top" wrapText="1"/>
    </xf>
    <xf numFmtId="0" fontId="24" fillId="0" borderId="44" xfId="0" applyFont="1" applyFill="1" applyBorder="1" applyAlignment="1">
      <alignment vertical="center" wrapText="1"/>
    </xf>
    <xf numFmtId="0" fontId="11" fillId="0" borderId="44" xfId="4" applyFont="1" applyFill="1" applyBorder="1" applyAlignment="1">
      <alignment vertical="center"/>
    </xf>
    <xf numFmtId="49" fontId="11" fillId="0" borderId="44" xfId="4" applyNumberFormat="1" applyFont="1" applyFill="1" applyBorder="1" applyAlignment="1">
      <alignment horizontal="center" vertical="center"/>
    </xf>
    <xf numFmtId="167" fontId="11" fillId="0" borderId="44" xfId="0" applyNumberFormat="1" applyFont="1" applyFill="1" applyBorder="1" applyAlignment="1">
      <alignment horizontal="right" vertical="center"/>
    </xf>
    <xf numFmtId="49" fontId="34" fillId="11" borderId="0" xfId="0" applyNumberFormat="1" applyFont="1" applyFill="1" applyAlignment="1">
      <alignment horizontal="center"/>
    </xf>
    <xf numFmtId="167" fontId="13" fillId="0" borderId="0" xfId="0" applyNumberFormat="1" applyFont="1"/>
    <xf numFmtId="168" fontId="13" fillId="0" borderId="0" xfId="0" applyNumberFormat="1" applyFont="1"/>
    <xf numFmtId="1" fontId="13" fillId="0" borderId="0" xfId="0" applyNumberFormat="1" applyFont="1"/>
    <xf numFmtId="165" fontId="13" fillId="0" borderId="47" xfId="5" applyNumberFormat="1" applyFont="1" applyFill="1" applyBorder="1" applyAlignment="1">
      <alignment horizontal="right" vertical="top"/>
    </xf>
    <xf numFmtId="0" fontId="0" fillId="0" borderId="0" xfId="0" applyFill="1" applyBorder="1"/>
    <xf numFmtId="0" fontId="13" fillId="0" borderId="0" xfId="0" applyFont="1" applyFill="1" applyAlignment="1">
      <alignment horizontal="center" vertical="top"/>
    </xf>
    <xf numFmtId="167" fontId="13" fillId="0" borderId="0" xfId="0" applyNumberFormat="1" applyFont="1" applyFill="1" applyAlignment="1">
      <alignment horizontal="right" vertical="center"/>
    </xf>
    <xf numFmtId="0" fontId="0" fillId="0" borderId="47" xfId="0" applyBorder="1"/>
    <xf numFmtId="0" fontId="0" fillId="12" borderId="47" xfId="0" applyFill="1" applyBorder="1"/>
    <xf numFmtId="169" fontId="0" fillId="0" borderId="47" xfId="0" applyNumberFormat="1" applyBorder="1"/>
    <xf numFmtId="0" fontId="3" fillId="15" borderId="0" xfId="11" applyFill="1"/>
    <xf numFmtId="0" fontId="3" fillId="0" borderId="0" xfId="11"/>
    <xf numFmtId="170" fontId="3" fillId="0" borderId="0" xfId="11" applyNumberFormat="1"/>
    <xf numFmtId="169" fontId="3" fillId="0" borderId="0" xfId="11" applyNumberFormat="1"/>
    <xf numFmtId="0" fontId="3" fillId="14" borderId="47" xfId="11" applyFill="1" applyBorder="1"/>
    <xf numFmtId="169" fontId="3" fillId="14" borderId="47" xfId="11" applyNumberFormat="1" applyFill="1" applyBorder="1"/>
    <xf numFmtId="0" fontId="3" fillId="16" borderId="47" xfId="11" applyFill="1" applyBorder="1"/>
    <xf numFmtId="169" fontId="3" fillId="16" borderId="47" xfId="11" applyNumberFormat="1" applyFill="1" applyBorder="1"/>
    <xf numFmtId="0" fontId="3" fillId="0" borderId="47" xfId="11" applyBorder="1"/>
    <xf numFmtId="9" fontId="0" fillId="0" borderId="0" xfId="12" applyFont="1"/>
    <xf numFmtId="171" fontId="3" fillId="0" borderId="47" xfId="11" applyNumberFormat="1" applyBorder="1"/>
    <xf numFmtId="0" fontId="11" fillId="0" borderId="47" xfId="4" applyFont="1" applyFill="1" applyBorder="1" applyAlignment="1">
      <alignment vertical="center"/>
    </xf>
    <xf numFmtId="49" fontId="11" fillId="0" borderId="47" xfId="4" applyNumberFormat="1" applyFont="1" applyFill="1" applyBorder="1" applyAlignment="1">
      <alignment horizontal="center" vertical="center"/>
    </xf>
    <xf numFmtId="167" fontId="11" fillId="0" borderId="47" xfId="0" applyNumberFormat="1" applyFont="1" applyFill="1" applyBorder="1" applyAlignment="1">
      <alignment horizontal="right" vertical="center"/>
    </xf>
    <xf numFmtId="0" fontId="2" fillId="0" borderId="47" xfId="11" applyFont="1" applyBorder="1"/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28" xfId="0" applyFont="1" applyBorder="1" applyAlignment="1">
      <alignment vertical="center"/>
    </xf>
    <xf numFmtId="165" fontId="13" fillId="0" borderId="0" xfId="0" applyNumberFormat="1" applyFont="1" applyAlignment="1">
      <alignment vertical="center"/>
    </xf>
    <xf numFmtId="0" fontId="3" fillId="0" borderId="0" xfId="11" applyFill="1"/>
    <xf numFmtId="0" fontId="1" fillId="14" borderId="47" xfId="11" applyFont="1" applyFill="1" applyBorder="1"/>
    <xf numFmtId="0" fontId="13" fillId="0" borderId="44" xfId="5" applyFont="1" applyFill="1" applyBorder="1" applyAlignment="1">
      <alignment vertical="center"/>
    </xf>
    <xf numFmtId="0" fontId="13" fillId="0" borderId="44" xfId="0" applyFont="1" applyFill="1" applyBorder="1" applyAlignment="1">
      <alignment vertical="center"/>
    </xf>
    <xf numFmtId="0" fontId="32" fillId="0" borderId="0" xfId="0" applyFont="1" applyFill="1" applyAlignment="1">
      <alignment vertical="center"/>
    </xf>
    <xf numFmtId="167" fontId="0" fillId="0" borderId="0" xfId="0" applyNumberFormat="1"/>
    <xf numFmtId="0" fontId="11" fillId="0" borderId="36" xfId="0" applyFont="1" applyFill="1" applyBorder="1" applyAlignment="1">
      <alignment wrapText="1"/>
    </xf>
    <xf numFmtId="0" fontId="11" fillId="0" borderId="48" xfId="0" applyFont="1" applyFill="1" applyBorder="1"/>
    <xf numFmtId="0" fontId="11" fillId="0" borderId="29" xfId="0" applyFont="1" applyFill="1" applyBorder="1" applyAlignment="1">
      <alignment vertical="top" wrapText="1"/>
    </xf>
    <xf numFmtId="0" fontId="11" fillId="0" borderId="35" xfId="0" applyFont="1" applyFill="1" applyBorder="1" applyAlignment="1">
      <alignment vertical="top" wrapText="1"/>
    </xf>
    <xf numFmtId="0" fontId="20" fillId="0" borderId="7" xfId="5" applyFont="1" applyFill="1" applyBorder="1" applyAlignment="1">
      <alignment horizontal="center" vertical="top" wrapText="1"/>
    </xf>
    <xf numFmtId="49" fontId="20" fillId="0" borderId="7" xfId="5" applyNumberFormat="1" applyFont="1" applyFill="1" applyBorder="1" applyAlignment="1">
      <alignment horizontal="center" vertical="top"/>
    </xf>
    <xf numFmtId="0" fontId="20" fillId="0" borderId="32" xfId="5" applyFont="1" applyFill="1" applyBorder="1" applyAlignment="1">
      <alignment horizontal="center" vertical="top" wrapText="1"/>
    </xf>
    <xf numFmtId="165" fontId="20" fillId="0" borderId="30" xfId="5" applyNumberFormat="1" applyFont="1" applyFill="1" applyBorder="1" applyAlignment="1">
      <alignment horizontal="right" vertical="top"/>
    </xf>
    <xf numFmtId="0" fontId="20" fillId="0" borderId="35" xfId="5" applyFont="1" applyFill="1" applyBorder="1" applyAlignment="1">
      <alignment horizontal="center" vertical="top" wrapText="1"/>
    </xf>
    <xf numFmtId="49" fontId="20" fillId="0" borderId="32" xfId="5" applyNumberFormat="1" applyFont="1" applyFill="1" applyBorder="1" applyAlignment="1">
      <alignment horizontal="center" vertical="top"/>
    </xf>
    <xf numFmtId="0" fontId="13" fillId="0" borderId="44" xfId="0" applyFont="1" applyFill="1" applyBorder="1" applyAlignment="1">
      <alignment vertical="center" wrapText="1"/>
    </xf>
    <xf numFmtId="49" fontId="13" fillId="0" borderId="44" xfId="0" applyNumberFormat="1" applyFont="1" applyFill="1" applyBorder="1" applyAlignment="1">
      <alignment horizontal="center" vertical="center"/>
    </xf>
    <xf numFmtId="0" fontId="13" fillId="0" borderId="49" xfId="0" applyFont="1" applyFill="1" applyBorder="1" applyAlignment="1">
      <alignment vertical="center" wrapText="1"/>
    </xf>
    <xf numFmtId="0" fontId="36" fillId="0" borderId="44" xfId="0" applyFont="1" applyFill="1" applyBorder="1" applyAlignment="1" applyProtection="1">
      <alignment horizontal="left" vertical="center" wrapText="1"/>
      <protection locked="0"/>
    </xf>
    <xf numFmtId="165" fontId="13" fillId="0" borderId="46" xfId="5" applyNumberFormat="1" applyFont="1" applyFill="1" applyBorder="1" applyAlignment="1">
      <alignment horizontal="right" vertical="top"/>
    </xf>
    <xf numFmtId="0" fontId="13" fillId="0" borderId="46" xfId="0" applyFont="1" applyFill="1" applyBorder="1" applyAlignment="1">
      <alignment vertical="center"/>
    </xf>
    <xf numFmtId="49" fontId="13" fillId="0" borderId="46" xfId="0" applyNumberFormat="1" applyFont="1" applyFill="1" applyBorder="1" applyAlignment="1">
      <alignment horizontal="center" vertical="center"/>
    </xf>
    <xf numFmtId="0" fontId="36" fillId="0" borderId="35" xfId="0" applyFont="1" applyFill="1" applyBorder="1" applyAlignment="1" applyProtection="1">
      <alignment horizontal="left" vertical="center"/>
      <protection locked="0"/>
    </xf>
    <xf numFmtId="0" fontId="36" fillId="0" borderId="35" xfId="0" applyFont="1" applyFill="1" applyBorder="1" applyAlignment="1" applyProtection="1">
      <alignment vertical="center"/>
      <protection locked="0"/>
    </xf>
    <xf numFmtId="0" fontId="13" fillId="0" borderId="47" xfId="0" applyFont="1" applyFill="1" applyBorder="1" applyAlignment="1">
      <alignment vertical="center" wrapText="1"/>
    </xf>
    <xf numFmtId="0" fontId="13" fillId="0" borderId="47" xfId="0" applyFont="1" applyFill="1" applyBorder="1" applyAlignment="1">
      <alignment vertical="center"/>
    </xf>
    <xf numFmtId="49" fontId="13" fillId="0" borderId="47" xfId="0" applyNumberFormat="1" applyFont="1" applyFill="1" applyBorder="1" applyAlignment="1">
      <alignment horizontal="center" vertical="center"/>
    </xf>
    <xf numFmtId="0" fontId="13" fillId="0" borderId="46" xfId="0" applyFont="1" applyFill="1" applyBorder="1" applyAlignment="1">
      <alignment vertical="center" wrapText="1"/>
    </xf>
    <xf numFmtId="0" fontId="36" fillId="0" borderId="7" xfId="0" applyFont="1" applyFill="1" applyBorder="1" applyProtection="1">
      <protection locked="0"/>
    </xf>
    <xf numFmtId="167" fontId="13" fillId="0" borderId="44" xfId="0" applyNumberFormat="1" applyFont="1" applyFill="1" applyBorder="1" applyAlignment="1">
      <alignment horizontal="right" vertical="center"/>
    </xf>
    <xf numFmtId="0" fontId="13" fillId="0" borderId="44" xfId="0" applyFont="1" applyFill="1" applyBorder="1" applyAlignment="1" applyProtection="1">
      <alignment horizontal="left"/>
      <protection locked="0"/>
    </xf>
    <xf numFmtId="0" fontId="13" fillId="0" borderId="44" xfId="0" applyFont="1" applyFill="1" applyBorder="1"/>
    <xf numFmtId="0" fontId="13" fillId="0" borderId="44" xfId="0" applyFont="1" applyFill="1" applyBorder="1" applyAlignment="1" applyProtection="1">
      <alignment horizontal="left" vertical="center"/>
      <protection locked="0"/>
    </xf>
    <xf numFmtId="0" fontId="13" fillId="0" borderId="0" xfId="0" applyFont="1" applyFill="1" applyAlignment="1" applyProtection="1">
      <alignment horizontal="left"/>
      <protection locked="0"/>
    </xf>
    <xf numFmtId="165" fontId="13" fillId="0" borderId="44" xfId="5" applyNumberFormat="1" applyFont="1" applyFill="1" applyBorder="1" applyAlignment="1">
      <alignment horizontal="right" vertical="center"/>
    </xf>
    <xf numFmtId="165" fontId="13" fillId="0" borderId="30" xfId="5" applyNumberFormat="1" applyFont="1" applyFill="1" applyBorder="1" applyAlignment="1">
      <alignment horizontal="right" vertical="center"/>
    </xf>
    <xf numFmtId="167" fontId="13" fillId="0" borderId="44" xfId="0" applyNumberFormat="1" applyFont="1" applyFill="1" applyBorder="1" applyAlignment="1">
      <alignment vertical="center"/>
    </xf>
    <xf numFmtId="0" fontId="35" fillId="0" borderId="0" xfId="0" applyFont="1" applyFill="1" applyAlignment="1">
      <alignment horizontal="center"/>
    </xf>
    <xf numFmtId="167" fontId="35" fillId="0" borderId="0" xfId="0" applyNumberFormat="1" applyFont="1" applyFill="1"/>
    <xf numFmtId="0" fontId="13" fillId="0" borderId="44" xfId="0" applyFont="1" applyFill="1" applyBorder="1" applyAlignment="1">
      <alignment horizontal="center"/>
    </xf>
    <xf numFmtId="49" fontId="35" fillId="0" borderId="0" xfId="0" applyNumberFormat="1" applyFont="1" applyFill="1" applyAlignment="1">
      <alignment horizontal="center"/>
    </xf>
    <xf numFmtId="0" fontId="36" fillId="0" borderId="0" xfId="0" applyFont="1" applyFill="1" applyBorder="1" applyAlignment="1">
      <alignment horizontal="left" vertical="center" wrapText="1"/>
    </xf>
    <xf numFmtId="0" fontId="36" fillId="0" borderId="0" xfId="0" applyFont="1" applyFill="1" applyBorder="1" applyAlignment="1">
      <alignment vertical="center"/>
    </xf>
    <xf numFmtId="0" fontId="36" fillId="0" borderId="0" xfId="0" applyFont="1" applyFill="1" applyBorder="1" applyAlignment="1">
      <alignment horizontal="left" vertical="center"/>
    </xf>
    <xf numFmtId="165" fontId="13" fillId="0" borderId="0" xfId="5" applyNumberFormat="1" applyFont="1" applyFill="1" applyBorder="1" applyAlignment="1">
      <alignment horizontal="right" vertical="center"/>
    </xf>
    <xf numFmtId="165" fontId="19" fillId="13" borderId="30" xfId="5" applyNumberFormat="1" applyFont="1" applyFill="1" applyBorder="1" applyAlignment="1">
      <alignment horizontal="right" vertical="top"/>
    </xf>
    <xf numFmtId="0" fontId="24" fillId="0" borderId="45" xfId="0" applyFont="1" applyFill="1" applyBorder="1" applyAlignment="1">
      <alignment vertical="center" wrapText="1"/>
    </xf>
    <xf numFmtId="0" fontId="13" fillId="0" borderId="45" xfId="4" applyFont="1" applyFill="1" applyBorder="1" applyAlignment="1">
      <alignment vertical="center"/>
    </xf>
    <xf numFmtId="49" fontId="11" fillId="0" borderId="45" xfId="4" applyNumberFormat="1" applyFont="1" applyFill="1" applyBorder="1" applyAlignment="1">
      <alignment horizontal="center" vertical="center"/>
    </xf>
    <xf numFmtId="0" fontId="28" fillId="0" borderId="49" xfId="4" applyFont="1" applyFill="1" applyBorder="1" applyAlignment="1">
      <alignment vertical="center"/>
    </xf>
    <xf numFmtId="49" fontId="11" fillId="0" borderId="49" xfId="4" applyNumberFormat="1" applyFont="1" applyFill="1" applyBorder="1" applyAlignment="1">
      <alignment horizontal="center" vertical="center"/>
    </xf>
    <xf numFmtId="167" fontId="11" fillId="0" borderId="49" xfId="0" applyNumberFormat="1" applyFont="1" applyFill="1" applyBorder="1" applyAlignment="1">
      <alignment horizontal="right" vertical="center"/>
    </xf>
    <xf numFmtId="0" fontId="11" fillId="0" borderId="0" xfId="0" applyFont="1" applyFill="1" applyAlignment="1">
      <alignment vertical="center" wrapText="1"/>
    </xf>
    <xf numFmtId="0" fontId="13" fillId="0" borderId="7" xfId="4" applyFont="1" applyFill="1" applyBorder="1" applyAlignment="1">
      <alignment horizontal="left" vertical="top"/>
    </xf>
    <xf numFmtId="0" fontId="28" fillId="0" borderId="0" xfId="4" applyFont="1" applyFill="1" applyBorder="1" applyAlignment="1">
      <alignment vertical="center"/>
    </xf>
    <xf numFmtId="0" fontId="13" fillId="0" borderId="45" xfId="0" applyFont="1" applyFill="1" applyBorder="1" applyAlignment="1">
      <alignment vertical="center" wrapText="1"/>
    </xf>
    <xf numFmtId="0" fontId="28" fillId="0" borderId="44" xfId="4" applyFont="1" applyFill="1" applyBorder="1" applyAlignment="1">
      <alignment vertical="center"/>
    </xf>
    <xf numFmtId="0" fontId="36" fillId="0" borderId="44" xfId="0" applyFont="1" applyFill="1" applyBorder="1" applyAlignment="1">
      <alignment vertical="center"/>
    </xf>
    <xf numFmtId="0" fontId="24" fillId="0" borderId="46" xfId="0" applyFont="1" applyFill="1" applyBorder="1" applyAlignment="1">
      <alignment vertical="center" wrapText="1"/>
    </xf>
    <xf numFmtId="0" fontId="11" fillId="0" borderId="46" xfId="4" applyFont="1" applyFill="1" applyBorder="1" applyAlignment="1">
      <alignment vertical="center"/>
    </xf>
    <xf numFmtId="49" fontId="11" fillId="0" borderId="46" xfId="4" applyNumberFormat="1" applyFont="1" applyFill="1" applyBorder="1" applyAlignment="1">
      <alignment horizontal="center" vertical="center"/>
    </xf>
    <xf numFmtId="167" fontId="11" fillId="0" borderId="46" xfId="0" applyNumberFormat="1" applyFont="1" applyFill="1" applyBorder="1" applyAlignment="1">
      <alignment horizontal="right" vertical="center"/>
    </xf>
    <xf numFmtId="0" fontId="11" fillId="0" borderId="44" xfId="0" applyFont="1" applyFill="1" applyBorder="1" applyAlignment="1">
      <alignment vertical="center" wrapText="1"/>
    </xf>
    <xf numFmtId="0" fontId="11" fillId="2" borderId="49" xfId="4" applyFont="1" applyFill="1" applyBorder="1" applyAlignment="1">
      <alignment vertical="center"/>
    </xf>
    <xf numFmtId="0" fontId="24" fillId="12" borderId="45" xfId="0" applyFont="1" applyFill="1" applyBorder="1" applyAlignment="1">
      <alignment vertical="center"/>
    </xf>
    <xf numFmtId="165" fontId="19" fillId="18" borderId="51" xfId="0" applyNumberFormat="1" applyFont="1" applyFill="1" applyBorder="1" applyAlignment="1">
      <alignment horizontal="center" vertical="center" wrapText="1"/>
    </xf>
    <xf numFmtId="165" fontId="19" fillId="18" borderId="52" xfId="0" applyNumberFormat="1" applyFont="1" applyFill="1" applyBorder="1" applyAlignment="1">
      <alignment horizontal="center" vertical="center" wrapText="1"/>
    </xf>
    <xf numFmtId="172" fontId="13" fillId="0" borderId="54" xfId="10" applyNumberFormat="1" applyFont="1" applyBorder="1" applyAlignment="1">
      <alignment horizontal="center" vertical="center" wrapText="1"/>
    </xf>
    <xf numFmtId="172" fontId="13" fillId="0" borderId="55" xfId="10" applyNumberFormat="1" applyFont="1" applyBorder="1" applyAlignment="1">
      <alignment horizontal="center" vertical="center" wrapText="1"/>
    </xf>
    <xf numFmtId="172" fontId="13" fillId="0" borderId="12" xfId="10" applyNumberFormat="1" applyFont="1" applyBorder="1" applyAlignment="1">
      <alignment horizontal="center" vertical="center" wrapText="1"/>
    </xf>
    <xf numFmtId="172" fontId="13" fillId="0" borderId="13" xfId="10" applyNumberFormat="1" applyFont="1" applyBorder="1" applyAlignment="1">
      <alignment horizontal="center" vertical="center" wrapText="1"/>
    </xf>
    <xf numFmtId="165" fontId="19" fillId="18" borderId="50" xfId="0" applyNumberFormat="1" applyFont="1" applyFill="1" applyBorder="1" applyAlignment="1">
      <alignment horizontal="center" vertical="center" wrapText="1"/>
    </xf>
    <xf numFmtId="172" fontId="13" fillId="0" borderId="53" xfId="10" applyNumberFormat="1" applyFont="1" applyBorder="1" applyAlignment="1">
      <alignment horizontal="center" vertical="center" wrapText="1"/>
    </xf>
    <xf numFmtId="172" fontId="13" fillId="0" borderId="11" xfId="10" applyNumberFormat="1" applyFont="1" applyBorder="1" applyAlignment="1">
      <alignment horizontal="center" vertical="center" wrapText="1"/>
    </xf>
    <xf numFmtId="167" fontId="34" fillId="11" borderId="0" xfId="0" applyNumberFormat="1" applyFont="1" applyFill="1" applyBorder="1" applyAlignment="1">
      <alignment vertical="center"/>
    </xf>
    <xf numFmtId="167" fontId="13" fillId="11" borderId="0" xfId="0" applyNumberFormat="1" applyFont="1" applyFill="1" applyBorder="1" applyAlignment="1">
      <alignment horizontal="center" vertical="center"/>
    </xf>
    <xf numFmtId="49" fontId="18" fillId="5" borderId="28" xfId="5" applyNumberFormat="1" applyFont="1" applyFill="1" applyBorder="1" applyAlignment="1">
      <alignment horizontal="center" vertical="center" wrapText="1"/>
    </xf>
    <xf numFmtId="49" fontId="19" fillId="0" borderId="56" xfId="5" applyNumberFormat="1" applyFont="1" applyBorder="1" applyAlignment="1">
      <alignment horizontal="center" vertical="top"/>
    </xf>
    <xf numFmtId="165" fontId="19" fillId="0" borderId="56" xfId="5" applyNumberFormat="1" applyFont="1" applyBorder="1" applyAlignment="1">
      <alignment horizontal="right" vertical="top"/>
    </xf>
    <xf numFmtId="165" fontId="22" fillId="10" borderId="0" xfId="0" applyNumberFormat="1" applyFont="1" applyFill="1" applyAlignment="1">
      <alignment horizontal="right"/>
    </xf>
    <xf numFmtId="0" fontId="34" fillId="11" borderId="0" xfId="0" applyFont="1" applyFill="1" applyBorder="1" applyAlignment="1">
      <alignment vertical="center" wrapText="1"/>
    </xf>
    <xf numFmtId="0" fontId="34" fillId="11" borderId="0" xfId="0" applyFont="1" applyFill="1" applyBorder="1" applyAlignment="1">
      <alignment vertical="center"/>
    </xf>
    <xf numFmtId="49" fontId="34" fillId="11" borderId="0" xfId="0" applyNumberFormat="1" applyFont="1" applyFill="1" applyBorder="1" applyAlignment="1">
      <alignment horizontal="center" vertical="center"/>
    </xf>
    <xf numFmtId="49" fontId="13" fillId="11" borderId="0" xfId="0" applyNumberFormat="1" applyFont="1" applyFill="1" applyBorder="1" applyAlignment="1">
      <alignment horizontal="center" vertical="center"/>
    </xf>
    <xf numFmtId="0" fontId="34" fillId="11" borderId="0" xfId="0" applyFont="1" applyFill="1" applyBorder="1"/>
    <xf numFmtId="167" fontId="34" fillId="11" borderId="0" xfId="0" applyNumberFormat="1" applyFont="1" applyFill="1" applyBorder="1"/>
    <xf numFmtId="0" fontId="21" fillId="6" borderId="0" xfId="0" applyFont="1" applyFill="1" applyBorder="1"/>
    <xf numFmtId="49" fontId="21" fillId="6" borderId="0" xfId="0" applyNumberFormat="1" applyFont="1" applyFill="1" applyBorder="1" applyAlignment="1">
      <alignment horizontal="center"/>
    </xf>
    <xf numFmtId="165" fontId="22" fillId="6" borderId="0" xfId="0" applyNumberFormat="1" applyFont="1" applyFill="1" applyBorder="1" applyAlignment="1">
      <alignment horizontal="right"/>
    </xf>
    <xf numFmtId="165" fontId="22" fillId="10" borderId="0" xfId="0" applyNumberFormat="1" applyFont="1" applyFill="1" applyBorder="1" applyAlignment="1">
      <alignment horizontal="right"/>
    </xf>
    <xf numFmtId="9" fontId="17" fillId="4" borderId="15" xfId="10" applyFont="1" applyFill="1" applyBorder="1" applyAlignment="1">
      <alignment horizontal="center" vertical="center" wrapText="1"/>
    </xf>
    <xf numFmtId="49" fontId="18" fillId="5" borderId="57" xfId="5" applyNumberFormat="1" applyFont="1" applyFill="1" applyBorder="1" applyAlignment="1">
      <alignment horizontal="center" vertical="center" wrapText="1"/>
    </xf>
    <xf numFmtId="49" fontId="18" fillId="5" borderId="17" xfId="5" applyNumberFormat="1" applyFont="1" applyFill="1" applyBorder="1" applyAlignment="1">
      <alignment horizontal="center" vertical="center" wrapText="1"/>
    </xf>
    <xf numFmtId="165" fontId="17" fillId="4" borderId="15" xfId="0" applyNumberFormat="1" applyFont="1" applyFill="1" applyBorder="1" applyAlignment="1">
      <alignment horizontal="right"/>
    </xf>
    <xf numFmtId="168" fontId="11" fillId="0" borderId="0" xfId="0" applyNumberFormat="1" applyFont="1" applyAlignment="1">
      <alignment vertical="top"/>
    </xf>
    <xf numFmtId="168" fontId="13" fillId="0" borderId="0" xfId="0" applyNumberFormat="1" applyFont="1" applyAlignment="1">
      <alignment horizontal="center" vertical="top"/>
    </xf>
    <xf numFmtId="0" fontId="18" fillId="0" borderId="0" xfId="0" applyFont="1" applyFill="1" applyBorder="1" applyAlignment="1">
      <alignment vertical="center"/>
    </xf>
    <xf numFmtId="0" fontId="13" fillId="0" borderId="0" xfId="0" applyFont="1" applyBorder="1"/>
    <xf numFmtId="0" fontId="13" fillId="0" borderId="54" xfId="0" applyFont="1" applyFill="1" applyBorder="1" applyAlignment="1">
      <alignment vertical="center"/>
    </xf>
    <xf numFmtId="49" fontId="13" fillId="0" borderId="54" xfId="0" applyNumberFormat="1" applyFont="1" applyFill="1" applyBorder="1" applyAlignment="1">
      <alignment horizontal="center" vertical="center"/>
    </xf>
    <xf numFmtId="165" fontId="13" fillId="0" borderId="54" xfId="5" applyNumberFormat="1" applyFont="1" applyFill="1" applyBorder="1" applyAlignment="1">
      <alignment horizontal="right" vertical="center"/>
    </xf>
    <xf numFmtId="49" fontId="18" fillId="5" borderId="31" xfId="5" applyNumberFormat="1" applyFont="1" applyFill="1" applyBorder="1" applyAlignment="1">
      <alignment horizontal="center" vertical="center" wrapText="1"/>
    </xf>
    <xf numFmtId="168" fontId="11" fillId="0" borderId="0" xfId="0" applyNumberFormat="1" applyFont="1"/>
    <xf numFmtId="0" fontId="12" fillId="17" borderId="54" xfId="0" applyFont="1" applyFill="1" applyBorder="1" applyAlignment="1">
      <alignment vertical="center"/>
    </xf>
    <xf numFmtId="49" fontId="12" fillId="17" borderId="54" xfId="0" applyNumberFormat="1" applyFont="1" applyFill="1" applyBorder="1" applyAlignment="1">
      <alignment horizontal="center" vertical="center"/>
    </xf>
    <xf numFmtId="165" fontId="12" fillId="17" borderId="54" xfId="0" applyNumberFormat="1" applyFont="1" applyFill="1" applyBorder="1" applyAlignment="1">
      <alignment horizontal="right" vertical="center"/>
    </xf>
    <xf numFmtId="49" fontId="11" fillId="0" borderId="54" xfId="4" applyNumberFormat="1" applyFont="1" applyBorder="1" applyAlignment="1">
      <alignment horizontal="center" vertical="center"/>
    </xf>
    <xf numFmtId="167" fontId="11" fillId="0" borderId="54" xfId="0" applyNumberFormat="1" applyFont="1" applyBorder="1" applyAlignment="1">
      <alignment horizontal="right" vertical="center"/>
    </xf>
    <xf numFmtId="0" fontId="10" fillId="0" borderId="54" xfId="0" applyFont="1" applyBorder="1" applyAlignment="1">
      <alignment horizontal="left" vertical="center"/>
    </xf>
    <xf numFmtId="0" fontId="10" fillId="0" borderId="54" xfId="0" applyFont="1" applyBorder="1" applyAlignment="1">
      <alignment vertical="center"/>
    </xf>
    <xf numFmtId="0" fontId="11" fillId="2" borderId="54" xfId="0" applyFont="1" applyFill="1" applyBorder="1"/>
    <xf numFmtId="0" fontId="11" fillId="0" borderId="54" xfId="0" applyFont="1" applyBorder="1"/>
    <xf numFmtId="165" fontId="12" fillId="3" borderId="54" xfId="0" applyNumberFormat="1" applyFont="1" applyFill="1" applyBorder="1" applyAlignment="1">
      <alignment horizontal="left" vertical="center"/>
    </xf>
    <xf numFmtId="0" fontId="11" fillId="0" borderId="38" xfId="0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/>
    </xf>
    <xf numFmtId="0" fontId="11" fillId="0" borderId="4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/>
    </xf>
    <xf numFmtId="0" fontId="41" fillId="8" borderId="14" xfId="0" applyFont="1" applyFill="1" applyBorder="1" applyAlignment="1">
      <alignment horizontal="center" vertical="center"/>
    </xf>
    <xf numFmtId="0" fontId="41" fillId="8" borderId="16" xfId="0" applyFont="1" applyFill="1" applyBorder="1" applyAlignment="1">
      <alignment horizontal="center" vertical="center"/>
    </xf>
    <xf numFmtId="0" fontId="27" fillId="8" borderId="7" xfId="0" applyFont="1" applyFill="1" applyBorder="1" applyAlignment="1">
      <alignment horizontal="center" vertical="center"/>
    </xf>
    <xf numFmtId="0" fontId="27" fillId="8" borderId="26" xfId="0" applyFont="1" applyFill="1" applyBorder="1" applyAlignment="1">
      <alignment horizontal="center" vertical="center"/>
    </xf>
    <xf numFmtId="0" fontId="41" fillId="8" borderId="54" xfId="0" applyFont="1" applyFill="1" applyBorder="1" applyAlignment="1">
      <alignment horizontal="center" vertical="center"/>
    </xf>
    <xf numFmtId="0" fontId="27" fillId="8" borderId="25" xfId="0" applyFont="1" applyFill="1" applyBorder="1" applyAlignment="1">
      <alignment horizontal="center" vertical="center"/>
    </xf>
  </cellXfs>
  <cellStyles count="13">
    <cellStyle name="Monétaire" xfId="1" builtinId="4"/>
    <cellStyle name="Monétaire 2" xfId="8" xr:uid="{00000000-0005-0000-0000-000002000000}"/>
    <cellStyle name="Normal" xfId="0" builtinId="0"/>
    <cellStyle name="Normal 2" xfId="7" xr:uid="{00000000-0005-0000-0000-000004000000}"/>
    <cellStyle name="Normal 3" xfId="11" xr:uid="{00000000-0005-0000-0000-000005000000}"/>
    <cellStyle name="Normal 3 2" xfId="2" xr:uid="{00000000-0005-0000-0000-000006000000}"/>
    <cellStyle name="Normal 4" xfId="3" xr:uid="{00000000-0005-0000-0000-000007000000}"/>
    <cellStyle name="Normal_Matinfo 2 Lot3macV_3" xfId="4" xr:uid="{00000000-0005-0000-0000-000008000000}"/>
    <cellStyle name="Normal_Matinfo 2 Lot3macV_3 2" xfId="5" xr:uid="{00000000-0005-0000-0000-000009000000}"/>
    <cellStyle name="Percent 2" xfId="12" xr:uid="{00000000-0005-0000-0000-00000A000000}"/>
    <cellStyle name="Pourcentage" xfId="10" builtinId="5"/>
    <cellStyle name="Pourcentage 2" xfId="9" xr:uid="{00000000-0005-0000-0000-00000C000000}"/>
    <cellStyle name="Texte explicatif" xfId="6" builtinId="53"/>
  </cellStyles>
  <dxfs count="435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GPU</a:t>
            </a:r>
            <a:r>
              <a:rPr lang="en-US" b="1" baseline="0">
                <a:solidFill>
                  <a:schemeClr val="tx1"/>
                </a:solidFill>
              </a:rPr>
              <a:t> comparison - SPECviewperf 2020 </a:t>
            </a:r>
            <a:r>
              <a:rPr lang="en-US" b="0" baseline="0">
                <a:solidFill>
                  <a:schemeClr val="tx1"/>
                </a:solidFill>
              </a:rPr>
              <a:t>Results</a:t>
            </a:r>
            <a:endParaRPr lang="en-US" b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243661300033623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9-4C09-8625-A2C8C1E46027}"/>
              </c:ext>
            </c:extLst>
          </c:dPt>
          <c:dPt>
            <c:idx val="1"/>
            <c:invertIfNegative val="0"/>
            <c:bubble3D val="0"/>
            <c:spPr>
              <a:solidFill>
                <a:srgbClr val="00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39-4C09-8625-A2C8C1E46027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39-4C09-8625-A2C8C1E4602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39-4C09-8625-A2C8C1E4602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639-4C09-8625-A2C8C1E4602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6639-4C09-8625-A2C8C1E4602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639-4C09-8625-A2C8C1E4602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639-4C09-8625-A2C8C1E4602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639-4C09-8625-A2C8C1E4602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639-4C09-8625-A2C8C1E46027}"/>
              </c:ext>
            </c:extLst>
          </c:dPt>
          <c:dLbls>
            <c:dLbl>
              <c:idx val="4"/>
              <c:layout>
                <c:manualLayout>
                  <c:x val="0"/>
                  <c:y val="8.25593395252834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639-4C09-8625-A2C8C1E46027}"/>
                </c:ext>
              </c:extLst>
            </c:dLbl>
            <c:dLbl>
              <c:idx val="8"/>
              <c:layout>
                <c:manualLayout>
                  <c:x val="0"/>
                  <c:y val="1.2383900928792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639-4C09-8625-A2C8C1E460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[1]Sheet1!$I$2:$J$24</c15:sqref>
                  </c15:fullRef>
                </c:ext>
              </c:extLst>
              <c:f>([1]Sheet1!$I$7:$J$7,[1]Sheet1!$I$9:$J$12,[1]Sheet1!$I$19:$J$23)</c:f>
              <c:multiLvlStrCache>
                <c:ptCount val="10"/>
                <c:lvl>
                  <c:pt idx="0">
                    <c:v>RTX A2000</c:v>
                  </c:pt>
                  <c:pt idx="1">
                    <c:v>RTX A1000</c:v>
                  </c:pt>
                  <c:pt idx="2">
                    <c:v>RTX A3000</c:v>
                  </c:pt>
                  <c:pt idx="3">
                    <c:v>RTX A4500</c:v>
                  </c:pt>
                  <c:pt idx="4">
                    <c:v>RTX A5500</c:v>
                  </c:pt>
                  <c:pt idx="5">
                    <c:v>RTX A1000 6GB</c:v>
                  </c:pt>
                  <c:pt idx="6">
                    <c:v>RTX 2000 ADA</c:v>
                  </c:pt>
                  <c:pt idx="7">
                    <c:v>RTX 3500 ADA</c:v>
                  </c:pt>
                  <c:pt idx="8">
                    <c:v>RTX 4500 ADA</c:v>
                  </c:pt>
                  <c:pt idx="9">
                    <c:v>RTX 5500 ADA</c:v>
                  </c:pt>
                </c:lvl>
                <c:lvl>
                  <c:pt idx="1">
                    <c:v>Precision 7770</c:v>
                  </c:pt>
                  <c:pt idx="5">
                    <c:v>Precision 7780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[1]Sheet1!$K$2:$K$24</c15:sqref>
                  </c15:fullRef>
                </c:ext>
              </c:extLst>
              <c:f>([1]Sheet1!$K$7,[1]Sheet1!$K$9:$K$12,[1]Sheet1!$K$19:$K$23)</c:f>
              <c:numCache>
                <c:formatCode>General</c:formatCode>
                <c:ptCount val="10"/>
                <c:pt idx="0">
                  <c:v>95.055999999999997</c:v>
                </c:pt>
                <c:pt idx="1">
                  <c:v>90.073999999999998</c:v>
                </c:pt>
                <c:pt idx="2">
                  <c:v>139.447</c:v>
                </c:pt>
                <c:pt idx="3">
                  <c:v>169.01900000000001</c:v>
                </c:pt>
                <c:pt idx="4">
                  <c:v>172.994</c:v>
                </c:pt>
                <c:pt idx="5">
                  <c:v>95</c:v>
                </c:pt>
                <c:pt idx="6">
                  <c:v>146</c:v>
                </c:pt>
                <c:pt idx="7">
                  <c:v>199</c:v>
                </c:pt>
                <c:pt idx="8">
                  <c:v>224</c:v>
                </c:pt>
                <c:pt idx="9">
                  <c:v>246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[1]Sheet1!$K$13</c15:sqref>
                  <c15:spPr xmlns:c15="http://schemas.microsoft.com/office/drawing/2012/chart">
                    <a:solidFill>
                      <a:schemeClr val="accent6">
                        <a:lumMod val="60000"/>
                        <a:lumOff val="4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[1]Sheet1!$K$14</c15:sqref>
                  <c15:spPr xmlns:c15="http://schemas.microsoft.com/office/drawing/2012/chart">
                    <a:solidFill>
                      <a:schemeClr val="accent6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[1]Sheet1!$K$15</c15:sqref>
                  <c15:spPr xmlns:c15="http://schemas.microsoft.com/office/drawing/2012/chart">
                    <a:solidFill>
                      <a:schemeClr val="accent5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[1]Sheet1!$K$16</c15:sqref>
                  <c15:spPr xmlns:c15="http://schemas.microsoft.com/office/drawing/2012/chart"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[1]Sheet1!$K$17</c15:sqref>
                  <c15:spPr xmlns:c15="http://schemas.microsoft.com/office/drawing/2012/chart">
                    <a:solidFill>
                      <a:schemeClr val="accent4">
                        <a:lumMod val="40000"/>
                        <a:lumOff val="60000"/>
                      </a:schemeClr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4"/>
                    <c:layout>
                      <c:manualLayout>
                        <c:x val="0"/>
                        <c:y val="1.238390092879253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D-2CE1-472E-AB96-2669A9D5EBD3}"/>
                      </c:ext>
                    </c:extLst>
                  </c15:dLbl>
                </c15:categoryFilterException>
                <c15:categoryFilterException>
                  <c15:sqref>[1]Sheet1!$K$18</c15:sqref>
                  <c15:spPr xmlns:c15="http://schemas.microsoft.com/office/drawing/2012/chart">
                    <a:solidFill>
                      <a:srgbClr val="00B0F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</c15:categoryFilterException>
                <c15:categoryFilterException>
                  <c15:sqref>[1]Sheet1!$K$24</c15:sqref>
                  <c15:spPr xmlns:c15="http://schemas.microsoft.com/office/drawing/2012/chart">
                    <a:solidFill>
                      <a:srgbClr val="00B0F0"/>
                    </a:solidFill>
                    <a:ln>
                      <a:noFill/>
                    </a:ln>
                    <a:effectLst/>
                  </c15:spPr>
                  <c15:invertIfNegative val="0"/>
                  <c15:bubble3D val="0"/>
                  <c15:dLbl>
                    <c:idx val="9"/>
                    <c:layout>
                      <c:manualLayout>
                        <c:x val="0"/>
                        <c:y val="2.47678018575850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1-2CE1-472E-AB96-2669A9D5EBD3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4-6639-4C09-8625-A2C8C1E46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694723535"/>
        <c:axId val="1694723951"/>
      </c:barChart>
      <c:catAx>
        <c:axId val="169472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4723951"/>
        <c:crosses val="autoZero"/>
        <c:auto val="1"/>
        <c:lblAlgn val="ctr"/>
        <c:lblOffset val="100"/>
        <c:noMultiLvlLbl val="0"/>
      </c:catAx>
      <c:valAx>
        <c:axId val="169472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Frames</a:t>
                </a:r>
                <a:r>
                  <a:rPr lang="en-US" b="1" baseline="0">
                    <a:solidFill>
                      <a:schemeClr val="tx1"/>
                    </a:solidFill>
                  </a:rPr>
                  <a:t> per Second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1.3404009017242429E-2"/>
              <c:y val="0.26830446194225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472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11906</xdr:colOff>
      <xdr:row>0</xdr:row>
      <xdr:rowOff>0</xdr:rowOff>
    </xdr:from>
    <xdr:ext cx="3389312" cy="893602"/>
    <xdr:pic>
      <xdr:nvPicPr>
        <xdr:cNvPr id="2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2B624670-96CD-43D7-BEFD-F5699B4AE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69094" y="0"/>
          <a:ext cx="3389312" cy="893602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11906</xdr:colOff>
      <xdr:row>0</xdr:row>
      <xdr:rowOff>0</xdr:rowOff>
    </xdr:from>
    <xdr:ext cx="3389312" cy="893602"/>
    <xdr:pic>
      <xdr:nvPicPr>
        <xdr:cNvPr id="2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9439CE26-B507-41A4-8B2E-089AEF21C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364331" y="0"/>
          <a:ext cx="3389312" cy="893602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6804</xdr:colOff>
      <xdr:row>0</xdr:row>
      <xdr:rowOff>5785</xdr:rowOff>
    </xdr:from>
    <xdr:ext cx="3397880" cy="897411"/>
    <xdr:pic>
      <xdr:nvPicPr>
        <xdr:cNvPr id="2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833FBE93-79E8-4CBC-A7D4-829D48303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90210" y="5785"/>
          <a:ext cx="3397880" cy="89741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6804</xdr:colOff>
      <xdr:row>0</xdr:row>
      <xdr:rowOff>5785</xdr:rowOff>
    </xdr:from>
    <xdr:ext cx="3397880" cy="897411"/>
    <xdr:pic>
      <xdr:nvPicPr>
        <xdr:cNvPr id="2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DB8E34B9-42CB-409F-A614-B0D6EFA48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87829" y="5785"/>
          <a:ext cx="3397880" cy="89741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11907</xdr:colOff>
      <xdr:row>0</xdr:row>
      <xdr:rowOff>0</xdr:rowOff>
    </xdr:from>
    <xdr:ext cx="3389312" cy="897411"/>
    <xdr:pic>
      <xdr:nvPicPr>
        <xdr:cNvPr id="2" name="Image 1" descr="C:\Users\nma\AppData\Local\Microsoft\Windows\INetCache\Content.Outlook\K4E67URS\matinfo-logo.png">
          <a:extLst>
            <a:ext uri="{FF2B5EF4-FFF2-40B4-BE49-F238E27FC236}">
              <a16:creationId xmlns:a16="http://schemas.microsoft.com/office/drawing/2014/main" id="{0511321E-3540-4C93-812B-68CEF9C24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95313" y="0"/>
          <a:ext cx="3389312" cy="897411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52</xdr:row>
      <xdr:rowOff>66675</xdr:rowOff>
    </xdr:from>
    <xdr:to>
      <xdr:col>16</xdr:col>
      <xdr:colOff>390524</xdr:colOff>
      <xdr:row>77</xdr:row>
      <xdr:rowOff>30340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29BCB4-97E9-4076-8F6B-4CF5D2DE4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9591675"/>
          <a:ext cx="12830175" cy="4719815"/>
        </a:xfrm>
        <a:prstGeom prst="rect">
          <a:avLst/>
        </a:prstGeom>
      </xdr:spPr>
    </xdr:pic>
    <xdr:clientData/>
  </xdr:twoCellAnchor>
  <xdr:twoCellAnchor>
    <xdr:from>
      <xdr:col>4</xdr:col>
      <xdr:colOff>257175</xdr:colOff>
      <xdr:row>34</xdr:row>
      <xdr:rowOff>28575</xdr:rowOff>
    </xdr:from>
    <xdr:to>
      <xdr:col>16</xdr:col>
      <xdr:colOff>476250</xdr:colOff>
      <xdr:row>49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83C9F3-4FFE-4BFF-B531-D081C896A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l-my.sharepoint.com/personal/r_berthelot_dell_com/Documents/Products%20&amp;%20Demos/Precision/Mobile%20WS/2023%20Mobile%20WS/SPEC%20VIEW%20PERF%20MOBILE%20W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U scaling"/>
      <sheetName val="Graphic scaling"/>
      <sheetName val="Typical Load"/>
      <sheetName val="DVT2 audit"/>
      <sheetName val="Storage Scaling"/>
      <sheetName val="Predecessor vs. CNB  MLK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I2" t="str">
            <v>Precision 5570</v>
          </cell>
          <cell r="J2" t="str">
            <v>RTX A1000</v>
          </cell>
          <cell r="K2">
            <v>68.356999999999999</v>
          </cell>
        </row>
        <row r="3">
          <cell r="I3"/>
          <cell r="J3" t="str">
            <v>RTX A2000</v>
          </cell>
          <cell r="K3">
            <v>79.528000000000006</v>
          </cell>
        </row>
        <row r="4">
          <cell r="I4" t="str">
            <v>Precision 5770</v>
          </cell>
          <cell r="J4" t="str">
            <v>RTX A2000</v>
          </cell>
          <cell r="K4">
            <v>87.334999999999994</v>
          </cell>
        </row>
        <row r="5">
          <cell r="I5"/>
          <cell r="J5" t="str">
            <v>RTX A3000</v>
          </cell>
          <cell r="K5">
            <v>107.00700000000001</v>
          </cell>
        </row>
        <row r="6">
          <cell r="I6" t="str">
            <v>Precision 7670</v>
          </cell>
          <cell r="J6" t="str">
            <v>RTX A1000</v>
          </cell>
          <cell r="K6">
            <v>84.069000000000003</v>
          </cell>
        </row>
        <row r="7">
          <cell r="I7"/>
          <cell r="J7" t="str">
            <v>RTX A2000</v>
          </cell>
          <cell r="K7">
            <v>95.055999999999997</v>
          </cell>
        </row>
        <row r="8">
          <cell r="I8"/>
          <cell r="J8" t="str">
            <v>RTX A5500</v>
          </cell>
          <cell r="K8">
            <v>169.21899999999999</v>
          </cell>
        </row>
        <row r="9">
          <cell r="I9" t="str">
            <v>Precision 7770</v>
          </cell>
          <cell r="J9" t="str">
            <v>RTX A1000</v>
          </cell>
          <cell r="K9">
            <v>90.073999999999998</v>
          </cell>
        </row>
        <row r="10">
          <cell r="I10"/>
          <cell r="J10" t="str">
            <v>RTX A3000</v>
          </cell>
          <cell r="K10">
            <v>139.447</v>
          </cell>
        </row>
        <row r="11">
          <cell r="I11"/>
          <cell r="J11" t="str">
            <v>RTX A4500</v>
          </cell>
          <cell r="K11">
            <v>169.01900000000001</v>
          </cell>
        </row>
        <row r="12">
          <cell r="I12"/>
          <cell r="J12" t="str">
            <v>RTX A5500</v>
          </cell>
          <cell r="K12">
            <v>172.994</v>
          </cell>
        </row>
        <row r="13">
          <cell r="I13" t="str">
            <v>Precision 7680</v>
          </cell>
          <cell r="J13" t="str">
            <v>RTX A1000 6GB</v>
          </cell>
          <cell r="K13">
            <v>88</v>
          </cell>
        </row>
        <row r="14">
          <cell r="I14"/>
          <cell r="J14" t="str">
            <v>RTX 2000 ADA</v>
          </cell>
          <cell r="K14">
            <v>129</v>
          </cell>
        </row>
        <row r="15">
          <cell r="I15"/>
          <cell r="J15" t="str">
            <v>RTX 3500 ADA</v>
          </cell>
          <cell r="K15">
            <v>173</v>
          </cell>
        </row>
        <row r="16">
          <cell r="I16"/>
          <cell r="J16" t="str">
            <v>RTX 4500 ADA</v>
          </cell>
          <cell r="K16">
            <v>193</v>
          </cell>
        </row>
        <row r="17">
          <cell r="I17"/>
          <cell r="J17" t="str">
            <v>RTX 5500 ADA</v>
          </cell>
          <cell r="K17">
            <v>223</v>
          </cell>
        </row>
        <row r="18">
          <cell r="I18"/>
          <cell r="J18" t="str">
            <v>Geforce RTX 4090</v>
          </cell>
          <cell r="K18">
            <v>107</v>
          </cell>
        </row>
        <row r="19">
          <cell r="I19" t="str">
            <v>Precision 7780</v>
          </cell>
          <cell r="J19" t="str">
            <v>RTX A1000 6GB</v>
          </cell>
          <cell r="K19">
            <v>95</v>
          </cell>
        </row>
        <row r="20">
          <cell r="I20"/>
          <cell r="J20" t="str">
            <v>RTX 2000 ADA</v>
          </cell>
          <cell r="K20">
            <v>146</v>
          </cell>
        </row>
        <row r="21">
          <cell r="I21"/>
          <cell r="J21" t="str">
            <v>RTX 3500 ADA</v>
          </cell>
          <cell r="K21">
            <v>199</v>
          </cell>
        </row>
        <row r="22">
          <cell r="I22"/>
          <cell r="J22" t="str">
            <v>RTX 4500 ADA</v>
          </cell>
          <cell r="K22">
            <v>224</v>
          </cell>
        </row>
        <row r="23">
          <cell r="I23"/>
          <cell r="J23" t="str">
            <v>RTX 5500 ADA</v>
          </cell>
          <cell r="K23">
            <v>246</v>
          </cell>
        </row>
        <row r="24">
          <cell r="I24"/>
          <cell r="J24" t="str">
            <v>Geforce RTX 4090</v>
          </cell>
          <cell r="K24">
            <v>129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zoomScale="90" zoomScaleNormal="90" workbookViewId="0">
      <pane ySplit="1" topLeftCell="A2" activePane="bottomLeft" state="frozen"/>
      <selection pane="bottomLeft" activeCell="B55" sqref="B55"/>
    </sheetView>
  </sheetViews>
  <sheetFormatPr baseColWidth="10" defaultColWidth="8.7265625" defaultRowHeight="14.5" x14ac:dyDescent="0.35"/>
  <cols>
    <col min="1" max="2" width="17" style="30" bestFit="1" customWidth="1"/>
    <col min="3" max="3" width="16.81640625" customWidth="1"/>
    <col min="4" max="4" width="151.453125" customWidth="1"/>
    <col min="6" max="6" width="24.81640625" customWidth="1"/>
    <col min="7" max="7" width="39.7265625" bestFit="1" customWidth="1"/>
    <col min="8" max="8" width="12.453125" customWidth="1"/>
    <col min="9" max="9" width="13.81640625" bestFit="1" customWidth="1"/>
    <col min="10" max="10" width="20.1796875" bestFit="1" customWidth="1"/>
    <col min="11" max="11" width="10.1796875" bestFit="1" customWidth="1"/>
  </cols>
  <sheetData>
    <row r="1" spans="1:9" s="37" customFormat="1" ht="44" thickBot="1" x14ac:dyDescent="0.4">
      <c r="A1" s="364" t="s">
        <v>1586</v>
      </c>
      <c r="B1" s="364" t="s">
        <v>1587</v>
      </c>
      <c r="C1" s="365" t="s">
        <v>0</v>
      </c>
      <c r="D1" s="366" t="s">
        <v>1</v>
      </c>
      <c r="F1" s="477" t="s">
        <v>2</v>
      </c>
      <c r="G1" s="478" t="s">
        <v>1933</v>
      </c>
      <c r="H1" s="30"/>
      <c r="I1" s="30"/>
    </row>
    <row r="2" spans="1:9" x14ac:dyDescent="0.35">
      <c r="A2" s="498">
        <v>20210728</v>
      </c>
      <c r="B2" s="498">
        <v>20210901</v>
      </c>
      <c r="C2" s="493" t="s">
        <v>3</v>
      </c>
      <c r="D2" s="3" t="s">
        <v>4</v>
      </c>
      <c r="F2" s="479" t="s">
        <v>5</v>
      </c>
      <c r="G2" s="480" t="s">
        <v>6</v>
      </c>
      <c r="H2" s="30"/>
      <c r="I2" s="30"/>
    </row>
    <row r="3" spans="1:9" x14ac:dyDescent="0.35">
      <c r="A3" s="498"/>
      <c r="B3" s="498"/>
      <c r="C3" s="493"/>
      <c r="D3" s="3" t="s">
        <v>7</v>
      </c>
      <c r="F3" s="481" t="s">
        <v>5</v>
      </c>
      <c r="G3" s="480" t="s">
        <v>8</v>
      </c>
      <c r="H3" s="30"/>
      <c r="I3" s="30"/>
    </row>
    <row r="4" spans="1:9" x14ac:dyDescent="0.35">
      <c r="A4" s="498"/>
      <c r="B4" s="498"/>
      <c r="C4" s="493"/>
      <c r="D4" s="3" t="s">
        <v>9</v>
      </c>
      <c r="F4" s="472" t="s">
        <v>5</v>
      </c>
      <c r="G4" s="480" t="s">
        <v>1916</v>
      </c>
      <c r="H4" s="30"/>
      <c r="I4" s="30"/>
    </row>
    <row r="5" spans="1:9" x14ac:dyDescent="0.35">
      <c r="A5" s="498"/>
      <c r="B5" s="498"/>
      <c r="C5" s="493"/>
      <c r="D5" s="3" t="s">
        <v>10</v>
      </c>
    </row>
    <row r="6" spans="1:9" ht="15" thickBot="1" x14ac:dyDescent="0.4">
      <c r="A6" s="499"/>
      <c r="B6" s="499"/>
      <c r="C6" s="494"/>
      <c r="D6" s="4" t="s">
        <v>11</v>
      </c>
    </row>
    <row r="7" spans="1:9" x14ac:dyDescent="0.35">
      <c r="A7" s="500">
        <v>20211018</v>
      </c>
      <c r="B7" s="500">
        <v>20211116</v>
      </c>
      <c r="C7" s="501" t="s">
        <v>12</v>
      </c>
      <c r="D7" s="2" t="s">
        <v>13</v>
      </c>
    </row>
    <row r="8" spans="1:9" x14ac:dyDescent="0.35">
      <c r="A8" s="498"/>
      <c r="B8" s="498"/>
      <c r="C8" s="493"/>
      <c r="D8" s="3" t="s">
        <v>14</v>
      </c>
    </row>
    <row r="9" spans="1:9" x14ac:dyDescent="0.35">
      <c r="A9" s="498"/>
      <c r="B9" s="498"/>
      <c r="C9" s="493"/>
      <c r="D9" s="3" t="s">
        <v>10</v>
      </c>
    </row>
    <row r="10" spans="1:9" x14ac:dyDescent="0.35">
      <c r="A10" s="498"/>
      <c r="B10" s="498"/>
      <c r="C10" s="493"/>
      <c r="D10" s="3" t="s">
        <v>11</v>
      </c>
    </row>
    <row r="11" spans="1:9" ht="15" thickBot="1" x14ac:dyDescent="0.4">
      <c r="A11" s="499"/>
      <c r="B11" s="499"/>
      <c r="C11" s="494"/>
      <c r="D11" s="4" t="s">
        <v>15</v>
      </c>
    </row>
    <row r="12" spans="1:9" x14ac:dyDescent="0.35">
      <c r="A12" s="485">
        <v>20220222</v>
      </c>
      <c r="B12" s="485">
        <v>20220323</v>
      </c>
      <c r="C12" s="492" t="s">
        <v>16</v>
      </c>
      <c r="D12" s="148" t="s">
        <v>1310</v>
      </c>
    </row>
    <row r="13" spans="1:9" x14ac:dyDescent="0.35">
      <c r="A13" s="486"/>
      <c r="B13" s="486"/>
      <c r="C13" s="493"/>
      <c r="D13" s="3" t="s">
        <v>17</v>
      </c>
    </row>
    <row r="14" spans="1:9" ht="26.5" x14ac:dyDescent="0.35">
      <c r="A14" s="486"/>
      <c r="B14" s="486"/>
      <c r="C14" s="493"/>
      <c r="D14" s="5" t="s">
        <v>1309</v>
      </c>
    </row>
    <row r="15" spans="1:9" x14ac:dyDescent="0.35">
      <c r="A15" s="486"/>
      <c r="B15" s="486"/>
      <c r="C15" s="493"/>
      <c r="D15" s="3" t="s">
        <v>18</v>
      </c>
    </row>
    <row r="16" spans="1:9" x14ac:dyDescent="0.35">
      <c r="A16" s="486"/>
      <c r="B16" s="486"/>
      <c r="C16" s="493"/>
      <c r="D16" s="3" t="s">
        <v>19</v>
      </c>
    </row>
    <row r="17" spans="1:4" x14ac:dyDescent="0.35">
      <c r="A17" s="486"/>
      <c r="B17" s="486"/>
      <c r="C17" s="493"/>
      <c r="D17" s="3" t="s">
        <v>20</v>
      </c>
    </row>
    <row r="18" spans="1:4" x14ac:dyDescent="0.35">
      <c r="A18" s="486"/>
      <c r="B18" s="486"/>
      <c r="C18" s="493"/>
      <c r="D18" s="5" t="s">
        <v>21</v>
      </c>
    </row>
    <row r="19" spans="1:4" x14ac:dyDescent="0.35">
      <c r="A19" s="486"/>
      <c r="B19" s="486"/>
      <c r="C19" s="493"/>
      <c r="D19" s="3" t="s">
        <v>10</v>
      </c>
    </row>
    <row r="20" spans="1:4" s="30" customFormat="1" x14ac:dyDescent="0.35">
      <c r="A20" s="486"/>
      <c r="B20" s="486"/>
      <c r="C20" s="493"/>
      <c r="D20" s="3" t="s">
        <v>11</v>
      </c>
    </row>
    <row r="21" spans="1:4" s="30" customFormat="1" ht="15" thickBot="1" x14ac:dyDescent="0.4">
      <c r="A21" s="487"/>
      <c r="B21" s="487"/>
      <c r="C21" s="494"/>
      <c r="D21" s="4" t="s">
        <v>1311</v>
      </c>
    </row>
    <row r="22" spans="1:4" x14ac:dyDescent="0.35">
      <c r="A22" s="485">
        <v>20220426</v>
      </c>
      <c r="B22" s="485">
        <v>20220519</v>
      </c>
      <c r="C22" s="492" t="s">
        <v>1319</v>
      </c>
      <c r="D22" s="162" t="s">
        <v>1325</v>
      </c>
    </row>
    <row r="23" spans="1:4" x14ac:dyDescent="0.35">
      <c r="A23" s="486"/>
      <c r="B23" s="486"/>
      <c r="C23" s="493"/>
      <c r="D23" s="163" t="s">
        <v>1326</v>
      </c>
    </row>
    <row r="24" spans="1:4" x14ac:dyDescent="0.35">
      <c r="A24" s="486"/>
      <c r="B24" s="486"/>
      <c r="C24" s="493"/>
      <c r="D24" s="163" t="s">
        <v>1327</v>
      </c>
    </row>
    <row r="25" spans="1:4" x14ac:dyDescent="0.35">
      <c r="A25" s="486"/>
      <c r="B25" s="486"/>
      <c r="C25" s="493"/>
      <c r="D25" s="163" t="s">
        <v>1321</v>
      </c>
    </row>
    <row r="26" spans="1:4" ht="15" thickBot="1" x14ac:dyDescent="0.4">
      <c r="A26" s="487"/>
      <c r="B26" s="487"/>
      <c r="C26" s="494"/>
      <c r="D26" s="164" t="s">
        <v>1322</v>
      </c>
    </row>
    <row r="27" spans="1:4" ht="26.5" x14ac:dyDescent="0.35">
      <c r="A27" s="485">
        <v>20221014</v>
      </c>
      <c r="B27" s="485">
        <v>20221104</v>
      </c>
      <c r="C27" s="488" t="s">
        <v>1336</v>
      </c>
      <c r="D27" s="221" t="s">
        <v>1542</v>
      </c>
    </row>
    <row r="28" spans="1:4" s="30" customFormat="1" ht="42" customHeight="1" x14ac:dyDescent="0.35">
      <c r="A28" s="486"/>
      <c r="B28" s="486"/>
      <c r="C28" s="489"/>
      <c r="D28" s="222" t="s">
        <v>1543</v>
      </c>
    </row>
    <row r="29" spans="1:4" s="30" customFormat="1" x14ac:dyDescent="0.35">
      <c r="A29" s="486"/>
      <c r="B29" s="486"/>
      <c r="C29" s="489"/>
      <c r="D29" s="163" t="s">
        <v>1332</v>
      </c>
    </row>
    <row r="30" spans="1:4" x14ac:dyDescent="0.35">
      <c r="A30" s="486"/>
      <c r="B30" s="486"/>
      <c r="C30" s="489"/>
      <c r="D30" s="163" t="s">
        <v>1333</v>
      </c>
    </row>
    <row r="31" spans="1:4" x14ac:dyDescent="0.35">
      <c r="A31" s="486"/>
      <c r="B31" s="486"/>
      <c r="C31" s="489"/>
      <c r="D31" s="163" t="s">
        <v>1334</v>
      </c>
    </row>
    <row r="32" spans="1:4" s="30" customFormat="1" x14ac:dyDescent="0.35">
      <c r="A32" s="486"/>
      <c r="B32" s="486"/>
      <c r="C32" s="489"/>
      <c r="D32" s="163" t="s">
        <v>1506</v>
      </c>
    </row>
    <row r="33" spans="1:11" s="30" customFormat="1" x14ac:dyDescent="0.35">
      <c r="A33" s="486"/>
      <c r="B33" s="486"/>
      <c r="C33" s="490"/>
      <c r="D33" s="163" t="s">
        <v>1335</v>
      </c>
    </row>
    <row r="34" spans="1:11" s="30" customFormat="1" x14ac:dyDescent="0.35">
      <c r="A34" s="486"/>
      <c r="B34" s="486"/>
      <c r="C34" s="490"/>
      <c r="D34" s="223" t="s">
        <v>1503</v>
      </c>
    </row>
    <row r="35" spans="1:11" s="30" customFormat="1" x14ac:dyDescent="0.35">
      <c r="A35" s="486"/>
      <c r="B35" s="486"/>
      <c r="C35" s="490"/>
      <c r="D35" s="223" t="s">
        <v>1530</v>
      </c>
    </row>
    <row r="36" spans="1:11" s="30" customFormat="1" x14ac:dyDescent="0.35">
      <c r="A36" s="486"/>
      <c r="B36" s="486"/>
      <c r="C36" s="490"/>
      <c r="D36" s="223" t="s">
        <v>1531</v>
      </c>
    </row>
    <row r="37" spans="1:11" x14ac:dyDescent="0.35">
      <c r="A37" s="486"/>
      <c r="B37" s="486"/>
      <c r="C37" s="489"/>
      <c r="D37" s="163" t="s">
        <v>1321</v>
      </c>
    </row>
    <row r="38" spans="1:11" ht="15" thickBot="1" x14ac:dyDescent="0.4">
      <c r="A38" s="487"/>
      <c r="B38" s="487"/>
      <c r="C38" s="491"/>
      <c r="D38" s="164" t="s">
        <v>1322</v>
      </c>
    </row>
    <row r="39" spans="1:11" ht="26.5" x14ac:dyDescent="0.35">
      <c r="A39" s="495">
        <v>20230330</v>
      </c>
      <c r="B39" s="495">
        <v>20230419</v>
      </c>
      <c r="C39" s="482" t="s">
        <v>1552</v>
      </c>
      <c r="D39" s="221" t="s">
        <v>1588</v>
      </c>
    </row>
    <row r="40" spans="1:11" x14ac:dyDescent="0.35">
      <c r="A40" s="496"/>
      <c r="B40" s="496"/>
      <c r="C40" s="483"/>
      <c r="D40" s="316" t="s">
        <v>1573</v>
      </c>
    </row>
    <row r="41" spans="1:11" ht="15" thickBot="1" x14ac:dyDescent="0.4">
      <c r="A41" s="497"/>
      <c r="B41" s="497"/>
      <c r="C41" s="484"/>
      <c r="D41" s="317" t="s">
        <v>1569</v>
      </c>
    </row>
    <row r="42" spans="1:11" s="30" customFormat="1" ht="26.5" x14ac:dyDescent="0.35">
      <c r="A42" s="485">
        <v>20230605</v>
      </c>
      <c r="B42" s="485">
        <v>20230712</v>
      </c>
      <c r="C42" s="488" t="s">
        <v>1589</v>
      </c>
      <c r="D42" s="221" t="s">
        <v>1842</v>
      </c>
      <c r="F42" s="347" t="s">
        <v>1777</v>
      </c>
      <c r="G42" s="347" t="s">
        <v>1778</v>
      </c>
      <c r="H42" s="347" t="s">
        <v>1779</v>
      </c>
      <c r="I42" s="347" t="s">
        <v>1780</v>
      </c>
      <c r="J42" s="347" t="s">
        <v>1781</v>
      </c>
      <c r="K42" s="347" t="s">
        <v>1782</v>
      </c>
    </row>
    <row r="43" spans="1:11" s="30" customFormat="1" x14ac:dyDescent="0.35">
      <c r="A43" s="486"/>
      <c r="B43" s="486"/>
      <c r="C43" s="490"/>
      <c r="D43" s="374" t="s">
        <v>1785</v>
      </c>
      <c r="F43" s="346" t="s">
        <v>1783</v>
      </c>
      <c r="G43" s="348">
        <v>500</v>
      </c>
      <c r="H43" s="348">
        <f>G43*1.05</f>
        <v>525</v>
      </c>
      <c r="I43" s="348">
        <f>H43*1.1</f>
        <v>577.5</v>
      </c>
      <c r="J43" s="348">
        <f>I43*0.95</f>
        <v>548.625</v>
      </c>
      <c r="K43" s="348">
        <f>J43/1.1</f>
        <v>498.74999999999994</v>
      </c>
    </row>
    <row r="44" spans="1:11" s="30" customFormat="1" x14ac:dyDescent="0.35">
      <c r="A44" s="486"/>
      <c r="B44" s="486"/>
      <c r="C44" s="490"/>
      <c r="D44" s="223" t="s">
        <v>1590</v>
      </c>
      <c r="F44" s="346" t="s">
        <v>1784</v>
      </c>
      <c r="G44" s="348">
        <v>500</v>
      </c>
      <c r="H44" s="348">
        <f>G44*1.05</f>
        <v>525</v>
      </c>
      <c r="I44" s="348"/>
      <c r="J44" s="348">
        <f>H44*0.95</f>
        <v>498.75</v>
      </c>
      <c r="K44" s="348"/>
    </row>
    <row r="45" spans="1:11" s="30" customFormat="1" x14ac:dyDescent="0.35">
      <c r="A45" s="486"/>
      <c r="B45" s="486"/>
      <c r="C45" s="490"/>
      <c r="D45" s="375" t="s">
        <v>1786</v>
      </c>
    </row>
    <row r="46" spans="1:11" s="30" customFormat="1" x14ac:dyDescent="0.35">
      <c r="A46" s="486"/>
      <c r="B46" s="486"/>
      <c r="C46" s="490"/>
      <c r="D46" s="223" t="s">
        <v>1787</v>
      </c>
    </row>
    <row r="47" spans="1:11" s="30" customFormat="1" x14ac:dyDescent="0.35">
      <c r="A47" s="486"/>
      <c r="B47" s="486"/>
      <c r="C47" s="490"/>
      <c r="D47" s="223" t="s">
        <v>1591</v>
      </c>
    </row>
    <row r="48" spans="1:11" s="30" customFormat="1" x14ac:dyDescent="0.35">
      <c r="A48" s="486"/>
      <c r="B48" s="486"/>
      <c r="C48" s="490"/>
      <c r="D48" s="223" t="s">
        <v>1592</v>
      </c>
    </row>
    <row r="49" spans="1:4" s="30" customFormat="1" x14ac:dyDescent="0.35">
      <c r="A49" s="486"/>
      <c r="B49" s="486"/>
      <c r="C49" s="490"/>
      <c r="D49" s="223" t="s">
        <v>1593</v>
      </c>
    </row>
    <row r="50" spans="1:4" s="30" customFormat="1" x14ac:dyDescent="0.35">
      <c r="A50" s="486"/>
      <c r="B50" s="486"/>
      <c r="C50" s="490"/>
      <c r="D50" s="223" t="s">
        <v>1594</v>
      </c>
    </row>
    <row r="51" spans="1:4" s="30" customFormat="1" x14ac:dyDescent="0.35">
      <c r="A51" s="486"/>
      <c r="B51" s="486"/>
      <c r="C51" s="490"/>
      <c r="D51" s="223" t="s">
        <v>1321</v>
      </c>
    </row>
    <row r="52" spans="1:4" s="30" customFormat="1" x14ac:dyDescent="0.35">
      <c r="A52" s="486"/>
      <c r="B52" s="486"/>
      <c r="C52" s="490"/>
      <c r="D52" s="223" t="s">
        <v>1322</v>
      </c>
    </row>
    <row r="53" spans="1:4" s="30" customFormat="1" ht="15" thickBot="1" x14ac:dyDescent="0.4">
      <c r="A53" s="487"/>
      <c r="B53" s="487"/>
      <c r="C53" s="491"/>
      <c r="D53" s="164" t="s">
        <v>1914</v>
      </c>
    </row>
  </sheetData>
  <mergeCells count="21">
    <mergeCell ref="A42:A53"/>
    <mergeCell ref="B42:B53"/>
    <mergeCell ref="C42:C53"/>
    <mergeCell ref="A39:A41"/>
    <mergeCell ref="A2:A6"/>
    <mergeCell ref="A7:A11"/>
    <mergeCell ref="A12:A21"/>
    <mergeCell ref="A22:A26"/>
    <mergeCell ref="A27:A38"/>
    <mergeCell ref="B2:B6"/>
    <mergeCell ref="C2:C6"/>
    <mergeCell ref="B7:B11"/>
    <mergeCell ref="C7:C11"/>
    <mergeCell ref="B12:B21"/>
    <mergeCell ref="C12:C21"/>
    <mergeCell ref="B39:B41"/>
    <mergeCell ref="C39:C41"/>
    <mergeCell ref="B27:B38"/>
    <mergeCell ref="C27:C38"/>
    <mergeCell ref="B22:B26"/>
    <mergeCell ref="C22:C26"/>
  </mergeCells>
  <phoneticPr fontId="38" type="noConversion"/>
  <pageMargins left="0.7" right="0.7" top="0.75" bottom="0.75" header="0.3" footer="0.3"/>
  <pageSetup paperSize="9" orientation="portrait" r:id="rId1"/>
  <headerFooter>
    <oddFooter>&amp;L&amp;1#&amp;"Calibri"&amp;7&amp;K7F7F7FInternal Use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"/>
  <sheetViews>
    <sheetView zoomScale="80" zoomScaleNormal="80" workbookViewId="0">
      <selection activeCell="E6" sqref="E6"/>
    </sheetView>
  </sheetViews>
  <sheetFormatPr baseColWidth="10" defaultColWidth="19" defaultRowHeight="13" x14ac:dyDescent="0.3"/>
  <cols>
    <col min="1" max="1" width="5.26953125" style="6" customWidth="1"/>
    <col min="2" max="2" width="186.26953125" style="7" customWidth="1"/>
    <col min="3" max="3" width="26.81640625" style="8" customWidth="1"/>
    <col min="4" max="4" width="19" style="9"/>
    <col min="5" max="5" width="11.453125" style="10" bestFit="1" customWidth="1"/>
    <col min="6" max="6" width="8.453125" style="6" customWidth="1"/>
    <col min="7" max="16384" width="19" style="6"/>
  </cols>
  <sheetData>
    <row r="1" spans="1:6" s="97" customFormat="1" ht="78.75" customHeight="1" x14ac:dyDescent="0.3">
      <c r="B1" s="96"/>
      <c r="C1" s="95"/>
      <c r="D1" s="94"/>
      <c r="E1" s="166"/>
    </row>
    <row r="2" spans="1:6" ht="21" x14ac:dyDescent="0.3">
      <c r="B2" s="504" t="s">
        <v>22</v>
      </c>
      <c r="C2" s="504"/>
      <c r="D2" s="504"/>
      <c r="E2" s="11"/>
    </row>
    <row r="3" spans="1:6" s="12" customFormat="1" ht="13.5" thickBot="1" x14ac:dyDescent="0.4">
      <c r="B3" s="7"/>
      <c r="C3" s="7"/>
      <c r="D3" s="9"/>
      <c r="E3" s="10"/>
    </row>
    <row r="4" spans="1:6" s="13" customFormat="1" ht="21.5" thickBot="1" x14ac:dyDescent="0.4">
      <c r="B4" s="505" t="s">
        <v>23</v>
      </c>
      <c r="C4" s="506"/>
      <c r="D4" s="506"/>
      <c r="E4" s="314"/>
    </row>
    <row r="5" spans="1:6" s="12" customFormat="1" ht="26.5" thickBot="1" x14ac:dyDescent="0.4">
      <c r="B5" s="14" t="s">
        <v>24</v>
      </c>
      <c r="C5" s="15" t="s">
        <v>25</v>
      </c>
      <c r="D5" s="16" t="s">
        <v>26</v>
      </c>
      <c r="E5" s="16" t="s">
        <v>1307</v>
      </c>
    </row>
    <row r="6" spans="1:6" s="12" customFormat="1" ht="135" customHeight="1" x14ac:dyDescent="0.35">
      <c r="B6" s="312" t="s">
        <v>1906</v>
      </c>
      <c r="C6" s="380" t="s">
        <v>1337</v>
      </c>
      <c r="D6" s="289" t="s">
        <v>28</v>
      </c>
      <c r="E6" s="381">
        <v>480</v>
      </c>
    </row>
    <row r="7" spans="1:6" s="12" customFormat="1" ht="134.25" customHeight="1" x14ac:dyDescent="0.35">
      <c r="B7" s="312" t="s">
        <v>1907</v>
      </c>
      <c r="C7" s="378" t="s">
        <v>1338</v>
      </c>
      <c r="D7" s="379" t="s">
        <v>29</v>
      </c>
      <c r="E7" s="381">
        <v>456</v>
      </c>
    </row>
    <row r="8" spans="1:6" s="12" customFormat="1" ht="146.25" customHeight="1" x14ac:dyDescent="0.35">
      <c r="B8" s="240" t="s">
        <v>1908</v>
      </c>
      <c r="C8" s="382" t="s">
        <v>1339</v>
      </c>
      <c r="D8" s="383" t="s">
        <v>30</v>
      </c>
      <c r="E8" s="381">
        <v>422</v>
      </c>
    </row>
    <row r="9" spans="1:6" ht="161.25" customHeight="1" x14ac:dyDescent="0.3">
      <c r="A9" s="12"/>
      <c r="B9" s="320" t="s">
        <v>1909</v>
      </c>
      <c r="C9" s="378" t="s">
        <v>1553</v>
      </c>
      <c r="D9" s="379" t="s">
        <v>31</v>
      </c>
      <c r="E9" s="381">
        <v>690</v>
      </c>
      <c r="F9" s="12"/>
    </row>
    <row r="10" spans="1:6" s="17" customFormat="1" ht="161.25" customHeight="1" x14ac:dyDescent="0.35">
      <c r="B10" s="377" t="s">
        <v>1747</v>
      </c>
      <c r="C10" s="382" t="s">
        <v>1721</v>
      </c>
      <c r="D10" s="379" t="s">
        <v>1507</v>
      </c>
      <c r="E10" s="381">
        <v>1399</v>
      </c>
    </row>
    <row r="11" spans="1:6" s="17" customFormat="1" ht="174" customHeight="1" x14ac:dyDescent="0.35">
      <c r="B11" s="104" t="s">
        <v>1776</v>
      </c>
      <c r="C11" s="378" t="s">
        <v>1737</v>
      </c>
      <c r="D11" s="379" t="s">
        <v>32</v>
      </c>
      <c r="E11" s="381">
        <v>1235</v>
      </c>
    </row>
    <row r="12" spans="1:6" s="344" customFormat="1" ht="13.5" collapsed="1" thickBot="1" x14ac:dyDescent="0.4">
      <c r="B12" s="96"/>
      <c r="C12" s="95"/>
      <c r="D12" s="94"/>
      <c r="E12" s="166"/>
    </row>
    <row r="13" spans="1:6" s="12" customFormat="1" ht="21.5" thickBot="1" x14ac:dyDescent="0.55000000000000004">
      <c r="B13" s="502" t="s">
        <v>33</v>
      </c>
      <c r="C13" s="503"/>
      <c r="D13" s="503"/>
      <c r="E13" s="19"/>
    </row>
    <row r="14" spans="1:6" s="12" customFormat="1" ht="26.5" thickBot="1" x14ac:dyDescent="0.4">
      <c r="B14" s="14" t="s">
        <v>24</v>
      </c>
      <c r="C14" s="15" t="s">
        <v>25</v>
      </c>
      <c r="D14" s="16" t="s">
        <v>26</v>
      </c>
      <c r="E14" s="16" t="s">
        <v>27</v>
      </c>
    </row>
    <row r="16" spans="1:6" collapsed="1" x14ac:dyDescent="0.3">
      <c r="B16" s="185" t="s">
        <v>1340</v>
      </c>
      <c r="C16" s="186"/>
      <c r="D16" s="187"/>
      <c r="E16" s="188"/>
    </row>
    <row r="17" spans="2:5" x14ac:dyDescent="0.3">
      <c r="B17" s="154" t="s">
        <v>34</v>
      </c>
      <c r="C17" s="155"/>
      <c r="E17" s="149"/>
    </row>
    <row r="18" spans="2:5" x14ac:dyDescent="0.3">
      <c r="B18" s="384" t="s">
        <v>1630</v>
      </c>
      <c r="C18" s="98"/>
      <c r="D18" s="106" t="s">
        <v>35</v>
      </c>
      <c r="E18" s="325">
        <v>47</v>
      </c>
    </row>
    <row r="19" spans="2:5" x14ac:dyDescent="0.3">
      <c r="B19" s="384" t="s">
        <v>1631</v>
      </c>
      <c r="C19" s="98"/>
      <c r="D19" s="106" t="s">
        <v>36</v>
      </c>
      <c r="E19" s="325">
        <v>149</v>
      </c>
    </row>
    <row r="20" spans="2:5" x14ac:dyDescent="0.3">
      <c r="B20" s="384" t="s">
        <v>1632</v>
      </c>
      <c r="C20" s="98"/>
      <c r="D20" s="106" t="s">
        <v>37</v>
      </c>
      <c r="E20" s="325">
        <v>318</v>
      </c>
    </row>
    <row r="21" spans="2:5" x14ac:dyDescent="0.3">
      <c r="B21" s="241"/>
      <c r="C21" s="242"/>
      <c r="D21" s="130"/>
      <c r="E21" s="192"/>
    </row>
    <row r="22" spans="2:5" x14ac:dyDescent="0.3">
      <c r="B22" s="167" t="s">
        <v>39</v>
      </c>
      <c r="C22" s="169"/>
      <c r="D22" s="243"/>
      <c r="E22" s="193"/>
    </row>
    <row r="23" spans="2:5" x14ac:dyDescent="0.3">
      <c r="B23" s="101" t="s">
        <v>1328</v>
      </c>
      <c r="C23" s="244"/>
      <c r="D23" s="106" t="s">
        <v>40</v>
      </c>
      <c r="E23" s="315">
        <v>117</v>
      </c>
    </row>
    <row r="24" spans="2:5" x14ac:dyDescent="0.3">
      <c r="B24" s="101" t="s">
        <v>1329</v>
      </c>
      <c r="C24" s="244"/>
      <c r="D24" s="106" t="s">
        <v>38</v>
      </c>
      <c r="E24" s="196">
        <v>140</v>
      </c>
    </row>
    <row r="25" spans="2:5" x14ac:dyDescent="0.3">
      <c r="B25" s="101" t="s">
        <v>1331</v>
      </c>
      <c r="C25" s="244"/>
      <c r="D25" s="106" t="s">
        <v>41</v>
      </c>
      <c r="E25" s="196">
        <v>397</v>
      </c>
    </row>
    <row r="26" spans="2:5" x14ac:dyDescent="0.3">
      <c r="B26" s="96"/>
      <c r="C26" s="245"/>
      <c r="D26" s="94"/>
      <c r="E26" s="170"/>
    </row>
    <row r="27" spans="2:5" x14ac:dyDescent="0.3">
      <c r="B27" s="167" t="s">
        <v>42</v>
      </c>
      <c r="C27" s="169"/>
      <c r="D27" s="243"/>
      <c r="E27" s="193"/>
    </row>
    <row r="28" spans="2:5" x14ac:dyDescent="0.3">
      <c r="B28" s="101" t="s">
        <v>92</v>
      </c>
      <c r="C28" s="98"/>
      <c r="D28" s="106" t="s">
        <v>44</v>
      </c>
      <c r="E28" s="325">
        <v>56</v>
      </c>
    </row>
    <row r="29" spans="2:5" x14ac:dyDescent="0.3">
      <c r="B29" s="101" t="s">
        <v>45</v>
      </c>
      <c r="C29" s="98"/>
      <c r="D29" s="106" t="s">
        <v>46</v>
      </c>
      <c r="E29" s="196">
        <v>128</v>
      </c>
    </row>
    <row r="30" spans="2:5" x14ac:dyDescent="0.3">
      <c r="B30" s="101" t="s">
        <v>47</v>
      </c>
      <c r="C30" s="98"/>
      <c r="D30" s="106" t="s">
        <v>48</v>
      </c>
      <c r="E30" s="196">
        <v>365</v>
      </c>
    </row>
    <row r="31" spans="2:5" x14ac:dyDescent="0.3">
      <c r="B31" s="96"/>
      <c r="C31" s="95"/>
      <c r="D31" s="94"/>
      <c r="E31" s="194"/>
    </row>
    <row r="32" spans="2:5" x14ac:dyDescent="0.3">
      <c r="B32" s="167" t="s">
        <v>49</v>
      </c>
      <c r="C32" s="169"/>
      <c r="D32" s="243"/>
      <c r="E32" s="193"/>
    </row>
    <row r="33" spans="2:5" x14ac:dyDescent="0.3">
      <c r="B33" s="101" t="s">
        <v>1343</v>
      </c>
      <c r="C33" s="98"/>
      <c r="D33" s="106" t="s">
        <v>50</v>
      </c>
      <c r="E33" s="325">
        <v>73</v>
      </c>
    </row>
    <row r="34" spans="2:5" x14ac:dyDescent="0.3">
      <c r="B34" s="101" t="s">
        <v>92</v>
      </c>
      <c r="C34" s="98"/>
      <c r="D34" s="106" t="s">
        <v>51</v>
      </c>
      <c r="E34" s="196">
        <v>129</v>
      </c>
    </row>
    <row r="35" spans="2:5" x14ac:dyDescent="0.3">
      <c r="B35" s="101" t="s">
        <v>45</v>
      </c>
      <c r="C35" s="98"/>
      <c r="D35" s="106" t="s">
        <v>52</v>
      </c>
      <c r="E35" s="196">
        <v>200</v>
      </c>
    </row>
    <row r="36" spans="2:5" x14ac:dyDescent="0.3">
      <c r="B36" s="101" t="s">
        <v>47</v>
      </c>
      <c r="C36" s="98"/>
      <c r="D36" s="106" t="s">
        <v>53</v>
      </c>
      <c r="E36" s="196">
        <v>438</v>
      </c>
    </row>
    <row r="37" spans="2:5" s="12" customFormat="1" x14ac:dyDescent="0.35">
      <c r="B37" s="96"/>
      <c r="C37" s="95"/>
      <c r="D37" s="94"/>
      <c r="E37" s="194"/>
    </row>
    <row r="38" spans="2:5" s="12" customFormat="1" x14ac:dyDescent="0.3">
      <c r="B38" s="249" t="s">
        <v>54</v>
      </c>
      <c r="C38" s="169"/>
      <c r="D38" s="243"/>
      <c r="E38" s="193"/>
    </row>
    <row r="39" spans="2:5" x14ac:dyDescent="0.3">
      <c r="B39" s="101" t="s">
        <v>1345</v>
      </c>
      <c r="C39" s="98"/>
      <c r="D39" s="106" t="s">
        <v>55</v>
      </c>
      <c r="E39" s="315">
        <v>125</v>
      </c>
    </row>
    <row r="40" spans="2:5" x14ac:dyDescent="0.3">
      <c r="B40" s="101" t="s">
        <v>340</v>
      </c>
      <c r="C40" s="98"/>
      <c r="D40" s="106" t="s">
        <v>127</v>
      </c>
      <c r="E40" s="196">
        <v>186</v>
      </c>
    </row>
    <row r="41" spans="2:5" x14ac:dyDescent="0.3">
      <c r="B41" s="96"/>
      <c r="C41" s="95"/>
      <c r="D41" s="94"/>
      <c r="E41" s="170"/>
    </row>
    <row r="42" spans="2:5" s="191" customFormat="1" ht="14.5" x14ac:dyDescent="0.25">
      <c r="B42" s="167" t="s">
        <v>56</v>
      </c>
      <c r="C42" s="250"/>
      <c r="D42" s="251"/>
      <c r="E42" s="197"/>
    </row>
    <row r="43" spans="2:5" s="191" customFormat="1" x14ac:dyDescent="0.25">
      <c r="B43" s="174" t="s">
        <v>1346</v>
      </c>
      <c r="C43" s="98"/>
      <c r="D43" s="106" t="s">
        <v>57</v>
      </c>
      <c r="E43" s="315">
        <v>8</v>
      </c>
    </row>
    <row r="44" spans="2:5" s="191" customFormat="1" x14ac:dyDescent="0.25">
      <c r="B44" s="174" t="s">
        <v>1348</v>
      </c>
      <c r="C44" s="98"/>
      <c r="D44" s="106" t="s">
        <v>58</v>
      </c>
      <c r="E44" s="196">
        <v>8</v>
      </c>
    </row>
    <row r="45" spans="2:5" s="191" customFormat="1" x14ac:dyDescent="0.25">
      <c r="B45" s="174" t="s">
        <v>1349</v>
      </c>
      <c r="C45" s="98"/>
      <c r="D45" s="106" t="s">
        <v>59</v>
      </c>
      <c r="E45" s="196">
        <v>8</v>
      </c>
    </row>
    <row r="46" spans="2:5" s="191" customFormat="1" x14ac:dyDescent="0.25">
      <c r="B46" s="246"/>
      <c r="C46" s="173"/>
      <c r="D46" s="252"/>
      <c r="E46" s="170"/>
    </row>
    <row r="47" spans="2:5" x14ac:dyDescent="0.3">
      <c r="B47" s="167" t="s">
        <v>60</v>
      </c>
      <c r="C47" s="169"/>
      <c r="D47" s="253"/>
      <c r="E47" s="198"/>
    </row>
    <row r="48" spans="2:5" x14ac:dyDescent="0.3">
      <c r="B48" s="101" t="s">
        <v>1350</v>
      </c>
      <c r="C48" s="98"/>
      <c r="D48" s="106" t="s">
        <v>61</v>
      </c>
      <c r="E48" s="315">
        <v>39</v>
      </c>
    </row>
    <row r="49" spans="2:5" x14ac:dyDescent="0.3">
      <c r="B49" s="246"/>
      <c r="C49" s="254"/>
      <c r="D49" s="94"/>
      <c r="E49" s="170"/>
    </row>
    <row r="50" spans="2:5" s="30" customFormat="1" ht="14.5" x14ac:dyDescent="0.35">
      <c r="B50" s="167" t="s">
        <v>62</v>
      </c>
      <c r="C50" s="169"/>
      <c r="D50" s="156"/>
      <c r="E50" s="170"/>
    </row>
    <row r="51" spans="2:5" s="30" customFormat="1" ht="14.5" x14ac:dyDescent="0.35">
      <c r="B51" s="174" t="s">
        <v>63</v>
      </c>
      <c r="C51" s="175"/>
      <c r="D51" s="106" t="s">
        <v>64</v>
      </c>
      <c r="E51" s="315">
        <v>7</v>
      </c>
    </row>
    <row r="52" spans="2:5" s="30" customFormat="1" ht="14.5" x14ac:dyDescent="0.35">
      <c r="B52" s="174" t="s">
        <v>65</v>
      </c>
      <c r="C52" s="175"/>
      <c r="D52" s="106" t="s">
        <v>66</v>
      </c>
      <c r="E52" s="196">
        <v>15</v>
      </c>
    </row>
    <row r="53" spans="2:5" s="12" customFormat="1" x14ac:dyDescent="0.35">
      <c r="B53" s="96"/>
      <c r="C53" s="95"/>
      <c r="D53" s="94"/>
      <c r="E53" s="194"/>
    </row>
    <row r="54" spans="2:5" x14ac:dyDescent="0.3">
      <c r="B54" s="167" t="s">
        <v>67</v>
      </c>
      <c r="C54" s="169"/>
      <c r="D54" s="243"/>
      <c r="E54" s="193"/>
    </row>
    <row r="55" spans="2:5" x14ac:dyDescent="0.3">
      <c r="B55" s="255" t="s">
        <v>68</v>
      </c>
      <c r="C55" s="256"/>
      <c r="D55" s="106" t="s">
        <v>69</v>
      </c>
      <c r="E55" s="315">
        <v>0</v>
      </c>
    </row>
    <row r="56" spans="2:5" x14ac:dyDescent="0.3">
      <c r="B56" s="410"/>
      <c r="C56" s="411"/>
      <c r="D56" s="147"/>
      <c r="E56" s="180"/>
    </row>
    <row r="57" spans="2:5" s="97" customFormat="1" x14ac:dyDescent="0.3">
      <c r="B57" s="96"/>
      <c r="C57" s="95"/>
      <c r="D57" s="94"/>
      <c r="E57" s="170"/>
    </row>
    <row r="58" spans="2:5" collapsed="1" x14ac:dyDescent="0.3">
      <c r="B58" s="185" t="s">
        <v>1352</v>
      </c>
      <c r="C58" s="186"/>
      <c r="D58" s="187"/>
      <c r="E58" s="188"/>
    </row>
    <row r="59" spans="2:5" x14ac:dyDescent="0.3">
      <c r="B59" s="154" t="s">
        <v>90</v>
      </c>
      <c r="C59" s="155"/>
      <c r="E59" s="149"/>
    </row>
    <row r="60" spans="2:5" x14ac:dyDescent="0.3">
      <c r="B60" s="384" t="s">
        <v>1630</v>
      </c>
      <c r="C60" s="98"/>
      <c r="D60" s="106" t="s">
        <v>35</v>
      </c>
      <c r="E60" s="325">
        <v>47</v>
      </c>
    </row>
    <row r="61" spans="2:5" x14ac:dyDescent="0.3">
      <c r="B61" s="384" t="s">
        <v>1631</v>
      </c>
      <c r="C61" s="98"/>
      <c r="D61" s="106" t="s">
        <v>36</v>
      </c>
      <c r="E61" s="325">
        <v>149</v>
      </c>
    </row>
    <row r="62" spans="2:5" x14ac:dyDescent="0.3">
      <c r="B62" s="384" t="s">
        <v>1632</v>
      </c>
      <c r="C62" s="98"/>
      <c r="D62" s="106" t="s">
        <v>37</v>
      </c>
      <c r="E62" s="325">
        <v>318</v>
      </c>
    </row>
    <row r="63" spans="2:5" x14ac:dyDescent="0.3">
      <c r="B63" s="241"/>
      <c r="C63" s="242"/>
      <c r="D63" s="130"/>
      <c r="E63" s="192"/>
    </row>
    <row r="64" spans="2:5" x14ac:dyDescent="0.3">
      <c r="B64" s="167" t="s">
        <v>39</v>
      </c>
      <c r="C64" s="168"/>
      <c r="D64" s="110"/>
      <c r="E64" s="170"/>
    </row>
    <row r="65" spans="2:6" x14ac:dyDescent="0.3">
      <c r="B65" s="101" t="s">
        <v>1328</v>
      </c>
      <c r="C65" s="244"/>
      <c r="D65" s="106" t="s">
        <v>40</v>
      </c>
      <c r="E65" s="315">
        <v>117</v>
      </c>
    </row>
    <row r="66" spans="2:6" x14ac:dyDescent="0.3">
      <c r="B66" s="101" t="s">
        <v>1329</v>
      </c>
      <c r="C66" s="244"/>
      <c r="D66" s="106" t="s">
        <v>38</v>
      </c>
      <c r="E66" s="315">
        <v>140</v>
      </c>
      <c r="F66" s="18"/>
    </row>
    <row r="67" spans="2:6" x14ac:dyDescent="0.3">
      <c r="B67" s="101" t="s">
        <v>1353</v>
      </c>
      <c r="C67" s="244"/>
      <c r="D67" s="106" t="s">
        <v>41</v>
      </c>
      <c r="E67" s="315">
        <v>397</v>
      </c>
    </row>
    <row r="68" spans="2:6" x14ac:dyDescent="0.3">
      <c r="B68" s="96"/>
      <c r="C68" s="245"/>
      <c r="D68" s="94"/>
      <c r="E68" s="170"/>
    </row>
    <row r="69" spans="2:6" x14ac:dyDescent="0.3">
      <c r="B69" s="167" t="s">
        <v>42</v>
      </c>
      <c r="C69" s="169"/>
      <c r="D69" s="243"/>
      <c r="E69" s="193"/>
    </row>
    <row r="70" spans="2:6" x14ac:dyDescent="0.3">
      <c r="B70" s="101" t="s">
        <v>92</v>
      </c>
      <c r="C70" s="98"/>
      <c r="D70" s="106" t="s">
        <v>44</v>
      </c>
      <c r="E70" s="315">
        <v>56</v>
      </c>
    </row>
    <row r="71" spans="2:6" x14ac:dyDescent="0.3">
      <c r="B71" s="101" t="s">
        <v>45</v>
      </c>
      <c r="C71" s="98"/>
      <c r="D71" s="106" t="s">
        <v>46</v>
      </c>
      <c r="E71" s="315">
        <v>128</v>
      </c>
    </row>
    <row r="72" spans="2:6" x14ac:dyDescent="0.3">
      <c r="B72" s="101" t="s">
        <v>47</v>
      </c>
      <c r="C72" s="98"/>
      <c r="D72" s="106" t="s">
        <v>48</v>
      </c>
      <c r="E72" s="315">
        <v>365</v>
      </c>
    </row>
    <row r="73" spans="2:6" x14ac:dyDescent="0.3">
      <c r="B73" s="96"/>
      <c r="C73" s="95"/>
      <c r="D73" s="94"/>
      <c r="E73" s="194"/>
    </row>
    <row r="74" spans="2:6" x14ac:dyDescent="0.3">
      <c r="B74" s="167" t="s">
        <v>49</v>
      </c>
      <c r="C74" s="169"/>
      <c r="D74" s="243"/>
      <c r="E74" s="193"/>
    </row>
    <row r="75" spans="2:6" x14ac:dyDescent="0.3">
      <c r="B75" s="101" t="s">
        <v>1343</v>
      </c>
      <c r="C75" s="98"/>
      <c r="D75" s="106" t="s">
        <v>50</v>
      </c>
      <c r="E75" s="315">
        <v>73</v>
      </c>
    </row>
    <row r="76" spans="2:6" x14ac:dyDescent="0.3">
      <c r="B76" s="101" t="s">
        <v>43</v>
      </c>
      <c r="C76" s="98"/>
      <c r="D76" s="106" t="s">
        <v>51</v>
      </c>
      <c r="E76" s="315">
        <v>129</v>
      </c>
    </row>
    <row r="77" spans="2:6" x14ac:dyDescent="0.3">
      <c r="B77" s="101" t="s">
        <v>45</v>
      </c>
      <c r="C77" s="98"/>
      <c r="D77" s="106" t="s">
        <v>52</v>
      </c>
      <c r="E77" s="315">
        <v>200</v>
      </c>
    </row>
    <row r="78" spans="2:6" x14ac:dyDescent="0.3">
      <c r="B78" s="101" t="s">
        <v>47</v>
      </c>
      <c r="C78" s="98"/>
      <c r="D78" s="106" t="s">
        <v>53</v>
      </c>
      <c r="E78" s="315">
        <v>438</v>
      </c>
    </row>
    <row r="79" spans="2:6" x14ac:dyDescent="0.3">
      <c r="B79" s="101" t="s">
        <v>93</v>
      </c>
      <c r="C79" s="98"/>
      <c r="D79" s="106" t="s">
        <v>94</v>
      </c>
      <c r="E79" s="315">
        <v>56</v>
      </c>
    </row>
    <row r="80" spans="2:6" x14ac:dyDescent="0.3">
      <c r="B80" s="101" t="s">
        <v>1354</v>
      </c>
      <c r="C80" s="98"/>
      <c r="D80" s="106" t="s">
        <v>95</v>
      </c>
      <c r="E80" s="315">
        <v>67</v>
      </c>
    </row>
    <row r="81" spans="2:5" x14ac:dyDescent="0.3">
      <c r="B81" s="101" t="s">
        <v>1355</v>
      </c>
      <c r="C81" s="98"/>
      <c r="D81" s="106" t="s">
        <v>97</v>
      </c>
      <c r="E81" s="315">
        <v>80</v>
      </c>
    </row>
    <row r="82" spans="2:5" s="12" customFormat="1" x14ac:dyDescent="0.35">
      <c r="B82" s="96"/>
      <c r="C82" s="95"/>
      <c r="D82" s="94"/>
      <c r="E82" s="194"/>
    </row>
    <row r="83" spans="2:5" s="12" customFormat="1" x14ac:dyDescent="0.3">
      <c r="B83" s="249" t="s">
        <v>54</v>
      </c>
      <c r="C83" s="169"/>
      <c r="D83" s="243"/>
      <c r="E83" s="193"/>
    </row>
    <row r="84" spans="2:5" x14ac:dyDescent="0.3">
      <c r="B84" s="101" t="s">
        <v>1345</v>
      </c>
      <c r="C84" s="98"/>
      <c r="D84" s="106" t="s">
        <v>55</v>
      </c>
      <c r="E84" s="315">
        <v>125</v>
      </c>
    </row>
    <row r="85" spans="2:5" x14ac:dyDescent="0.3">
      <c r="B85" s="101" t="s">
        <v>340</v>
      </c>
      <c r="C85" s="98"/>
      <c r="D85" s="106" t="s">
        <v>127</v>
      </c>
      <c r="E85" s="315">
        <v>186</v>
      </c>
    </row>
    <row r="86" spans="2:5" x14ac:dyDescent="0.3">
      <c r="B86" s="101" t="s">
        <v>1356</v>
      </c>
      <c r="C86" s="98"/>
      <c r="D86" s="106" t="s">
        <v>128</v>
      </c>
      <c r="E86" s="315">
        <v>438</v>
      </c>
    </row>
    <row r="87" spans="2:5" s="12" customFormat="1" x14ac:dyDescent="0.35">
      <c r="B87" s="96"/>
      <c r="C87" s="95"/>
      <c r="D87" s="94"/>
      <c r="E87" s="194"/>
    </row>
    <row r="88" spans="2:5" s="30" customFormat="1" ht="14.5" x14ac:dyDescent="0.35">
      <c r="B88" s="167" t="s">
        <v>98</v>
      </c>
      <c r="C88" s="95"/>
      <c r="D88" s="94"/>
      <c r="E88" s="170"/>
    </row>
    <row r="89" spans="2:5" s="30" customFormat="1" ht="14.5" x14ac:dyDescent="0.35">
      <c r="B89" s="101" t="s">
        <v>99</v>
      </c>
      <c r="C89" s="98"/>
      <c r="D89" s="106" t="s">
        <v>100</v>
      </c>
      <c r="E89" s="315">
        <v>6</v>
      </c>
    </row>
    <row r="90" spans="2:5" s="30" customFormat="1" ht="14.5" x14ac:dyDescent="0.35">
      <c r="B90" s="384" t="s">
        <v>1633</v>
      </c>
      <c r="C90" s="371"/>
      <c r="D90" s="385" t="s">
        <v>101</v>
      </c>
      <c r="E90" s="315">
        <v>12</v>
      </c>
    </row>
    <row r="91" spans="2:5" s="12" customFormat="1" x14ac:dyDescent="0.35">
      <c r="B91" s="96"/>
      <c r="C91" s="95"/>
      <c r="D91" s="94"/>
      <c r="E91" s="194"/>
    </row>
    <row r="92" spans="2:5" s="191" customFormat="1" ht="14.5" x14ac:dyDescent="0.25">
      <c r="B92" s="167" t="s">
        <v>102</v>
      </c>
      <c r="C92" s="250"/>
      <c r="D92" s="251"/>
      <c r="E92" s="197"/>
    </row>
    <row r="93" spans="2:5" s="191" customFormat="1" x14ac:dyDescent="0.25">
      <c r="B93" s="174" t="s">
        <v>1346</v>
      </c>
      <c r="C93" s="98"/>
      <c r="D93" s="106" t="s">
        <v>57</v>
      </c>
      <c r="E93" s="315">
        <v>8</v>
      </c>
    </row>
    <row r="94" spans="2:5" s="191" customFormat="1" x14ac:dyDescent="0.25">
      <c r="B94" s="174" t="s">
        <v>1348</v>
      </c>
      <c r="C94" s="98"/>
      <c r="D94" s="106" t="s">
        <v>58</v>
      </c>
      <c r="E94" s="315">
        <v>8</v>
      </c>
    </row>
    <row r="95" spans="2:5" s="191" customFormat="1" x14ac:dyDescent="0.25">
      <c r="B95" s="174" t="s">
        <v>1349</v>
      </c>
      <c r="C95" s="98"/>
      <c r="D95" s="106" t="s">
        <v>59</v>
      </c>
      <c r="E95" s="315">
        <v>8</v>
      </c>
    </row>
    <row r="96" spans="2:5" s="191" customFormat="1" x14ac:dyDescent="0.25">
      <c r="B96" s="174" t="s">
        <v>1357</v>
      </c>
      <c r="C96" s="98"/>
      <c r="D96" s="106" t="s">
        <v>106</v>
      </c>
      <c r="E96" s="315">
        <v>14</v>
      </c>
    </row>
    <row r="97" spans="2:5" s="191" customFormat="1" x14ac:dyDescent="0.25">
      <c r="B97" s="96"/>
      <c r="C97" s="95"/>
      <c r="D97" s="94"/>
      <c r="E97" s="194"/>
    </row>
    <row r="98" spans="2:5" x14ac:dyDescent="0.3">
      <c r="B98" s="257" t="s">
        <v>103</v>
      </c>
      <c r="C98" s="169"/>
      <c r="D98" s="243"/>
      <c r="E98" s="193"/>
    </row>
    <row r="99" spans="2:5" x14ac:dyDescent="0.3">
      <c r="B99" s="101" t="s">
        <v>1358</v>
      </c>
      <c r="C99" s="98"/>
      <c r="D99" s="106" t="s">
        <v>105</v>
      </c>
      <c r="E99" s="315">
        <v>36</v>
      </c>
    </row>
    <row r="100" spans="2:5" x14ac:dyDescent="0.3">
      <c r="B100" s="101" t="s">
        <v>1359</v>
      </c>
      <c r="C100" s="98"/>
      <c r="D100" s="106" t="s">
        <v>61</v>
      </c>
      <c r="E100" s="315">
        <v>39</v>
      </c>
    </row>
    <row r="101" spans="2:5" x14ac:dyDescent="0.3">
      <c r="B101" s="101" t="s">
        <v>107</v>
      </c>
      <c r="C101" s="98"/>
      <c r="D101" s="106" t="s">
        <v>108</v>
      </c>
      <c r="E101" s="315">
        <v>15</v>
      </c>
    </row>
    <row r="102" spans="2:5" x14ac:dyDescent="0.3">
      <c r="B102" s="258" t="s">
        <v>109</v>
      </c>
      <c r="C102" s="95"/>
      <c r="D102" s="94"/>
      <c r="E102" s="194"/>
    </row>
    <row r="103" spans="2:5" s="30" customFormat="1" ht="14.5" x14ac:dyDescent="0.35">
      <c r="B103" s="167" t="s">
        <v>62</v>
      </c>
      <c r="C103" s="169"/>
      <c r="D103" s="156"/>
      <c r="E103" s="170"/>
    </row>
    <row r="104" spans="2:5" s="30" customFormat="1" ht="14.5" x14ac:dyDescent="0.35">
      <c r="B104" s="174" t="s">
        <v>63</v>
      </c>
      <c r="C104" s="175"/>
      <c r="D104" s="106" t="s">
        <v>64</v>
      </c>
      <c r="E104" s="315">
        <v>7</v>
      </c>
    </row>
    <row r="105" spans="2:5" s="30" customFormat="1" ht="14.5" x14ac:dyDescent="0.35">
      <c r="B105" s="174" t="s">
        <v>65</v>
      </c>
      <c r="C105" s="175"/>
      <c r="D105" s="106" t="s">
        <v>66</v>
      </c>
      <c r="E105" s="315">
        <v>15</v>
      </c>
    </row>
    <row r="106" spans="2:5" s="12" customFormat="1" x14ac:dyDescent="0.35">
      <c r="B106" s="246"/>
      <c r="C106" s="247"/>
      <c r="D106" s="248"/>
      <c r="E106" s="195"/>
    </row>
    <row r="107" spans="2:5" x14ac:dyDescent="0.3">
      <c r="B107" s="167" t="s">
        <v>67</v>
      </c>
      <c r="C107" s="169"/>
      <c r="D107" s="243"/>
      <c r="E107" s="193"/>
    </row>
    <row r="108" spans="2:5" x14ac:dyDescent="0.3">
      <c r="B108" s="255" t="s">
        <v>68</v>
      </c>
      <c r="C108" s="256"/>
      <c r="D108" s="106" t="s">
        <v>69</v>
      </c>
      <c r="E108" s="315">
        <v>0</v>
      </c>
    </row>
    <row r="109" spans="2:5" s="12" customFormat="1" x14ac:dyDescent="0.35">
      <c r="B109" s="7"/>
      <c r="C109" s="8"/>
      <c r="D109" s="9"/>
      <c r="E109" s="189"/>
    </row>
    <row r="110" spans="2:5" s="97" customFormat="1" x14ac:dyDescent="0.3">
      <c r="B110" s="96"/>
      <c r="C110" s="95"/>
      <c r="D110" s="94"/>
      <c r="E110" s="170"/>
    </row>
    <row r="111" spans="2:5" collapsed="1" x14ac:dyDescent="0.3">
      <c r="B111" s="185" t="s">
        <v>1525</v>
      </c>
      <c r="C111" s="186"/>
      <c r="D111" s="187"/>
      <c r="E111" s="188"/>
    </row>
    <row r="112" spans="2:5" x14ac:dyDescent="0.3">
      <c r="B112" s="154" t="s">
        <v>34</v>
      </c>
      <c r="C112" s="9"/>
      <c r="E112" s="149"/>
    </row>
    <row r="113" spans="2:6" x14ac:dyDescent="0.3">
      <c r="B113" s="384" t="s">
        <v>1630</v>
      </c>
      <c r="C113" s="98"/>
      <c r="D113" s="106" t="s">
        <v>35</v>
      </c>
      <c r="E113" s="319">
        <v>47</v>
      </c>
    </row>
    <row r="114" spans="2:6" x14ac:dyDescent="0.3">
      <c r="B114" s="384" t="s">
        <v>1631</v>
      </c>
      <c r="C114" s="98"/>
      <c r="D114" s="106" t="s">
        <v>36</v>
      </c>
      <c r="E114" s="319">
        <v>149</v>
      </c>
    </row>
    <row r="115" spans="2:6" x14ac:dyDescent="0.3">
      <c r="B115" s="384" t="s">
        <v>1634</v>
      </c>
      <c r="C115" s="98"/>
      <c r="D115" s="106" t="s">
        <v>115</v>
      </c>
      <c r="E115" s="319">
        <v>222</v>
      </c>
    </row>
    <row r="116" spans="2:6" x14ac:dyDescent="0.3">
      <c r="B116" s="384" t="s">
        <v>1632</v>
      </c>
      <c r="C116" s="98"/>
      <c r="D116" s="106" t="s">
        <v>37</v>
      </c>
      <c r="E116" s="319">
        <v>318</v>
      </c>
    </row>
    <row r="117" spans="2:6" x14ac:dyDescent="0.3">
      <c r="B117" s="384" t="s">
        <v>1635</v>
      </c>
      <c r="C117" s="98"/>
      <c r="D117" s="106" t="s">
        <v>116</v>
      </c>
      <c r="E117" s="319">
        <v>386</v>
      </c>
    </row>
    <row r="118" spans="2:6" x14ac:dyDescent="0.3">
      <c r="B118" s="167"/>
      <c r="C118" s="169"/>
      <c r="D118" s="94"/>
      <c r="E118" s="193"/>
    </row>
    <row r="119" spans="2:6" x14ac:dyDescent="0.3">
      <c r="B119" s="167" t="s">
        <v>39</v>
      </c>
      <c r="C119" s="169"/>
      <c r="D119" s="243"/>
      <c r="E119" s="193"/>
    </row>
    <row r="120" spans="2:6" x14ac:dyDescent="0.3">
      <c r="B120" s="101" t="s">
        <v>1362</v>
      </c>
      <c r="C120" s="244"/>
      <c r="D120" s="106" t="s">
        <v>117</v>
      </c>
      <c r="E120" s="315">
        <v>124</v>
      </c>
    </row>
    <row r="121" spans="2:6" x14ac:dyDescent="0.3">
      <c r="B121" s="101" t="s">
        <v>1363</v>
      </c>
      <c r="C121" s="244"/>
      <c r="D121" s="106" t="s">
        <v>118</v>
      </c>
      <c r="E121" s="315">
        <v>404</v>
      </c>
    </row>
    <row r="122" spans="2:6" x14ac:dyDescent="0.3">
      <c r="B122" s="101" t="s">
        <v>1364</v>
      </c>
      <c r="C122" s="244"/>
      <c r="D122" s="106" t="s">
        <v>119</v>
      </c>
      <c r="E122" s="315">
        <v>358</v>
      </c>
    </row>
    <row r="123" spans="2:6" s="30" customFormat="1" ht="14.5" x14ac:dyDescent="0.35">
      <c r="B123" s="101" t="s">
        <v>1365</v>
      </c>
      <c r="C123" s="244"/>
      <c r="D123" s="106" t="s">
        <v>120</v>
      </c>
      <c r="E123" s="315">
        <v>918</v>
      </c>
    </row>
    <row r="124" spans="2:6" s="30" customFormat="1" ht="14.5" x14ac:dyDescent="0.35">
      <c r="B124" s="167" t="s">
        <v>1341</v>
      </c>
      <c r="C124" s="168"/>
      <c r="D124" s="110"/>
      <c r="E124" s="170"/>
    </row>
    <row r="125" spans="2:6" x14ac:dyDescent="0.3">
      <c r="B125" s="101" t="s">
        <v>1366</v>
      </c>
      <c r="C125" s="244"/>
      <c r="D125" s="259" t="s">
        <v>1367</v>
      </c>
      <c r="E125" s="315">
        <v>34</v>
      </c>
    </row>
    <row r="126" spans="2:6" x14ac:dyDescent="0.3">
      <c r="B126" s="101" t="s">
        <v>1368</v>
      </c>
      <c r="C126" s="244"/>
      <c r="D126" s="259" t="s">
        <v>91</v>
      </c>
      <c r="E126" s="315">
        <v>178</v>
      </c>
      <c r="F126" s="18"/>
    </row>
    <row r="127" spans="2:6" x14ac:dyDescent="0.3">
      <c r="B127" s="101" t="s">
        <v>1369</v>
      </c>
      <c r="C127" s="244"/>
      <c r="D127" s="259" t="s">
        <v>1370</v>
      </c>
      <c r="E127" s="315">
        <v>466</v>
      </c>
    </row>
    <row r="128" spans="2:6" x14ac:dyDescent="0.3">
      <c r="B128" s="101" t="s">
        <v>1371</v>
      </c>
      <c r="C128" s="244"/>
      <c r="D128" s="106" t="s">
        <v>121</v>
      </c>
      <c r="E128" s="315">
        <v>554</v>
      </c>
    </row>
    <row r="129" spans="2:5" x14ac:dyDescent="0.3">
      <c r="B129" s="101" t="s">
        <v>1372</v>
      </c>
      <c r="C129" s="244"/>
      <c r="D129" s="259" t="s">
        <v>122</v>
      </c>
      <c r="E129" s="315">
        <v>1218</v>
      </c>
    </row>
    <row r="130" spans="2:5" x14ac:dyDescent="0.3">
      <c r="B130" s="96"/>
      <c r="C130" s="95"/>
      <c r="D130" s="94"/>
      <c r="E130" s="194"/>
    </row>
    <row r="131" spans="2:5" x14ac:dyDescent="0.3">
      <c r="B131" s="167" t="s">
        <v>42</v>
      </c>
      <c r="C131" s="169"/>
      <c r="D131" s="243"/>
      <c r="E131" s="193"/>
    </row>
    <row r="132" spans="2:5" x14ac:dyDescent="0.3">
      <c r="B132" s="101" t="s">
        <v>43</v>
      </c>
      <c r="C132" s="98"/>
      <c r="D132" s="106" t="s">
        <v>44</v>
      </c>
      <c r="E132" s="315">
        <v>56</v>
      </c>
    </row>
    <row r="133" spans="2:5" x14ac:dyDescent="0.3">
      <c r="B133" s="101" t="s">
        <v>45</v>
      </c>
      <c r="C133" s="98"/>
      <c r="D133" s="106" t="s">
        <v>46</v>
      </c>
      <c r="E133" s="315">
        <v>128</v>
      </c>
    </row>
    <row r="134" spans="2:5" x14ac:dyDescent="0.3">
      <c r="B134" s="101" t="s">
        <v>47</v>
      </c>
      <c r="C134" s="98"/>
      <c r="D134" s="106" t="s">
        <v>48</v>
      </c>
      <c r="E134" s="315">
        <v>365</v>
      </c>
    </row>
    <row r="135" spans="2:5" x14ac:dyDescent="0.3">
      <c r="B135" s="96"/>
      <c r="C135" s="95"/>
      <c r="D135" s="94"/>
      <c r="E135" s="194"/>
    </row>
    <row r="136" spans="2:5" x14ac:dyDescent="0.3">
      <c r="B136" s="167" t="s">
        <v>123</v>
      </c>
      <c r="C136" s="169"/>
      <c r="D136" s="243"/>
      <c r="E136" s="193"/>
    </row>
    <row r="137" spans="2:5" x14ac:dyDescent="0.3">
      <c r="B137" s="101" t="s">
        <v>1343</v>
      </c>
      <c r="C137" s="98"/>
      <c r="D137" s="106" t="s">
        <v>50</v>
      </c>
      <c r="E137" s="315">
        <v>73</v>
      </c>
    </row>
    <row r="138" spans="2:5" x14ac:dyDescent="0.3">
      <c r="B138" s="101" t="s">
        <v>43</v>
      </c>
      <c r="C138" s="98"/>
      <c r="D138" s="106" t="s">
        <v>51</v>
      </c>
      <c r="E138" s="315">
        <v>129</v>
      </c>
    </row>
    <row r="139" spans="2:5" x14ac:dyDescent="0.3">
      <c r="B139" s="101" t="s">
        <v>45</v>
      </c>
      <c r="C139" s="98"/>
      <c r="D139" s="106" t="s">
        <v>52</v>
      </c>
      <c r="E139" s="315">
        <v>200</v>
      </c>
    </row>
    <row r="140" spans="2:5" x14ac:dyDescent="0.3">
      <c r="B140" s="101" t="s">
        <v>47</v>
      </c>
      <c r="C140" s="98"/>
      <c r="D140" s="106" t="s">
        <v>53</v>
      </c>
      <c r="E140" s="315">
        <v>438</v>
      </c>
    </row>
    <row r="141" spans="2:5" x14ac:dyDescent="0.3">
      <c r="B141" s="101" t="s">
        <v>1342</v>
      </c>
      <c r="C141" s="98"/>
      <c r="D141" s="106" t="s">
        <v>1344</v>
      </c>
      <c r="E141" s="315">
        <v>841</v>
      </c>
    </row>
    <row r="142" spans="2:5" x14ac:dyDescent="0.3">
      <c r="B142" s="101" t="s">
        <v>93</v>
      </c>
      <c r="C142" s="98"/>
      <c r="D142" s="106" t="s">
        <v>94</v>
      </c>
      <c r="E142" s="315">
        <v>56</v>
      </c>
    </row>
    <row r="143" spans="2:5" x14ac:dyDescent="0.3">
      <c r="B143" s="101" t="s">
        <v>1354</v>
      </c>
      <c r="C143" s="98"/>
      <c r="D143" s="106" t="s">
        <v>95</v>
      </c>
      <c r="E143" s="315">
        <v>67</v>
      </c>
    </row>
    <row r="144" spans="2:5" x14ac:dyDescent="0.3">
      <c r="B144" s="101" t="s">
        <v>1355</v>
      </c>
      <c r="C144" s="98"/>
      <c r="D144" s="106" t="s">
        <v>97</v>
      </c>
      <c r="E144" s="315">
        <v>80</v>
      </c>
    </row>
    <row r="145" spans="2:6" s="12" customFormat="1" x14ac:dyDescent="0.35">
      <c r="B145" s="96"/>
      <c r="C145" s="95"/>
      <c r="D145" s="94"/>
      <c r="E145" s="194"/>
    </row>
    <row r="146" spans="2:6" s="12" customFormat="1" x14ac:dyDescent="0.35">
      <c r="B146" s="167" t="s">
        <v>124</v>
      </c>
      <c r="C146" s="169"/>
      <c r="D146" s="243"/>
      <c r="E146" s="193"/>
    </row>
    <row r="147" spans="2:6" x14ac:dyDescent="0.3">
      <c r="B147" s="101" t="s">
        <v>1844</v>
      </c>
      <c r="C147" s="98"/>
      <c r="D147" s="106" t="s">
        <v>125</v>
      </c>
      <c r="E147" s="319">
        <v>53</v>
      </c>
    </row>
    <row r="148" spans="2:6" s="12" customFormat="1" x14ac:dyDescent="0.35">
      <c r="B148" s="96"/>
      <c r="C148" s="95"/>
      <c r="D148" s="94"/>
      <c r="E148" s="194"/>
    </row>
    <row r="149" spans="2:6" s="12" customFormat="1" x14ac:dyDescent="0.35">
      <c r="B149" s="167" t="s">
        <v>1373</v>
      </c>
      <c r="C149" s="169"/>
      <c r="D149" s="243"/>
      <c r="E149" s="193"/>
    </row>
    <row r="150" spans="2:6" x14ac:dyDescent="0.3">
      <c r="B150" s="101" t="s">
        <v>1374</v>
      </c>
      <c r="C150" s="98"/>
      <c r="D150" s="106" t="s">
        <v>1375</v>
      </c>
      <c r="E150" s="319">
        <v>35</v>
      </c>
    </row>
    <row r="151" spans="2:6" x14ac:dyDescent="0.3">
      <c r="B151" s="101" t="s">
        <v>1376</v>
      </c>
      <c r="C151" s="98"/>
      <c r="D151" s="106" t="s">
        <v>1377</v>
      </c>
      <c r="E151" s="319">
        <v>62</v>
      </c>
    </row>
    <row r="152" spans="2:6" x14ac:dyDescent="0.3">
      <c r="B152" s="96"/>
      <c r="C152" s="95"/>
      <c r="D152" s="94"/>
      <c r="E152" s="170"/>
    </row>
    <row r="153" spans="2:6" s="12" customFormat="1" x14ac:dyDescent="0.3">
      <c r="B153" s="249" t="s">
        <v>54</v>
      </c>
      <c r="C153" s="169"/>
      <c r="D153" s="243"/>
      <c r="E153" s="193"/>
    </row>
    <row r="154" spans="2:6" x14ac:dyDescent="0.3">
      <c r="B154" s="119" t="s">
        <v>126</v>
      </c>
      <c r="C154" s="260"/>
      <c r="D154" s="135"/>
      <c r="E154" s="136"/>
    </row>
    <row r="155" spans="2:6" x14ac:dyDescent="0.3">
      <c r="B155" s="101" t="s">
        <v>1345</v>
      </c>
      <c r="C155" s="98"/>
      <c r="D155" s="106" t="s">
        <v>55</v>
      </c>
      <c r="E155" s="315">
        <v>125</v>
      </c>
    </row>
    <row r="156" spans="2:6" x14ac:dyDescent="0.3">
      <c r="B156" s="98" t="s">
        <v>340</v>
      </c>
      <c r="C156" s="98"/>
      <c r="D156" s="106" t="s">
        <v>127</v>
      </c>
      <c r="E156" s="315">
        <v>186</v>
      </c>
    </row>
    <row r="157" spans="2:6" x14ac:dyDescent="0.3">
      <c r="B157" s="98" t="s">
        <v>1324</v>
      </c>
      <c r="C157" s="98"/>
      <c r="D157" s="106" t="s">
        <v>128</v>
      </c>
      <c r="E157" s="315">
        <v>438</v>
      </c>
      <c r="F157" s="18"/>
    </row>
    <row r="158" spans="2:6" x14ac:dyDescent="0.3">
      <c r="B158" s="171" t="s">
        <v>1378</v>
      </c>
      <c r="C158" s="98"/>
      <c r="D158" s="106" t="s">
        <v>129</v>
      </c>
      <c r="E158" s="315">
        <v>679</v>
      </c>
      <c r="F158" s="18"/>
    </row>
    <row r="159" spans="2:6" x14ac:dyDescent="0.3">
      <c r="B159" s="101" t="s">
        <v>1298</v>
      </c>
      <c r="C159" s="98"/>
      <c r="D159" s="106" t="s">
        <v>130</v>
      </c>
      <c r="E159" s="315">
        <v>1253</v>
      </c>
      <c r="F159" s="18"/>
    </row>
    <row r="160" spans="2:6" x14ac:dyDescent="0.3">
      <c r="B160" s="101" t="s">
        <v>1379</v>
      </c>
      <c r="C160" s="98"/>
      <c r="D160" s="106" t="s">
        <v>131</v>
      </c>
      <c r="E160" s="315">
        <v>1396</v>
      </c>
      <c r="F160" s="18"/>
    </row>
    <row r="161" spans="2:6" x14ac:dyDescent="0.3">
      <c r="B161" s="386" t="s">
        <v>1884</v>
      </c>
      <c r="C161" s="98"/>
      <c r="D161" s="106" t="s">
        <v>134</v>
      </c>
      <c r="E161" s="315">
        <v>2683</v>
      </c>
      <c r="F161" s="18"/>
    </row>
    <row r="162" spans="2:6" x14ac:dyDescent="0.3">
      <c r="B162" s="119" t="s">
        <v>132</v>
      </c>
      <c r="C162" s="260"/>
      <c r="D162" s="135"/>
      <c r="E162" s="136"/>
      <c r="F162" s="18"/>
    </row>
    <row r="163" spans="2:6" x14ac:dyDescent="0.3">
      <c r="B163" s="101" t="s">
        <v>1380</v>
      </c>
      <c r="C163" s="98"/>
      <c r="D163" s="106" t="s">
        <v>133</v>
      </c>
      <c r="E163" s="315">
        <v>418</v>
      </c>
      <c r="F163" s="18"/>
    </row>
    <row r="164" spans="2:6" x14ac:dyDescent="0.3">
      <c r="B164" s="101" t="s">
        <v>1381</v>
      </c>
      <c r="C164" s="101"/>
      <c r="D164" s="106" t="s">
        <v>1892</v>
      </c>
      <c r="E164" s="315">
        <v>553</v>
      </c>
      <c r="F164" s="18"/>
    </row>
    <row r="165" spans="2:6" x14ac:dyDescent="0.3">
      <c r="B165" s="101" t="s">
        <v>1382</v>
      </c>
      <c r="C165" s="101"/>
      <c r="D165" s="106" t="s">
        <v>135</v>
      </c>
      <c r="E165" s="315">
        <v>724</v>
      </c>
      <c r="F165" s="18"/>
    </row>
    <row r="166" spans="2:6" s="12" customFormat="1" x14ac:dyDescent="0.35">
      <c r="B166" s="96"/>
      <c r="C166" s="95"/>
      <c r="D166" s="94"/>
      <c r="E166" s="194"/>
    </row>
    <row r="167" spans="2:6" s="12" customFormat="1" x14ac:dyDescent="0.35">
      <c r="B167" s="167" t="s">
        <v>136</v>
      </c>
      <c r="C167" s="169"/>
      <c r="D167" s="243"/>
      <c r="E167" s="193"/>
    </row>
    <row r="168" spans="2:6" s="30" customFormat="1" ht="14.5" x14ac:dyDescent="0.35">
      <c r="B168" s="101" t="s">
        <v>1383</v>
      </c>
      <c r="C168" s="98"/>
      <c r="D168" s="106" t="s">
        <v>101</v>
      </c>
      <c r="E168" s="315">
        <v>12</v>
      </c>
    </row>
    <row r="169" spans="2:6" s="12" customFormat="1" x14ac:dyDescent="0.35">
      <c r="B169" s="246"/>
      <c r="C169" s="247"/>
      <c r="D169" s="248"/>
      <c r="E169" s="248"/>
    </row>
    <row r="170" spans="2:6" s="12" customFormat="1" x14ac:dyDescent="0.35">
      <c r="B170" s="167" t="s">
        <v>102</v>
      </c>
      <c r="C170" s="169"/>
      <c r="D170" s="243"/>
      <c r="E170" s="243"/>
    </row>
    <row r="171" spans="2:6" s="191" customFormat="1" x14ac:dyDescent="0.25">
      <c r="B171" s="174" t="s">
        <v>1384</v>
      </c>
      <c r="C171" s="262"/>
      <c r="D171" s="106" t="s">
        <v>57</v>
      </c>
      <c r="E171" s="315">
        <v>8</v>
      </c>
    </row>
    <row r="172" spans="2:6" s="191" customFormat="1" x14ac:dyDescent="0.25">
      <c r="B172" s="174" t="s">
        <v>1385</v>
      </c>
      <c r="C172" s="262"/>
      <c r="D172" s="106" t="s">
        <v>58</v>
      </c>
      <c r="E172" s="315">
        <v>8</v>
      </c>
    </row>
    <row r="173" spans="2:6" s="191" customFormat="1" x14ac:dyDescent="0.25">
      <c r="B173" s="174" t="s">
        <v>1349</v>
      </c>
      <c r="C173" s="98"/>
      <c r="D173" s="106" t="s">
        <v>59</v>
      </c>
      <c r="E173" s="315">
        <v>8</v>
      </c>
    </row>
    <row r="174" spans="2:6" s="191" customFormat="1" x14ac:dyDescent="0.25">
      <c r="B174" s="174" t="s">
        <v>1386</v>
      </c>
      <c r="C174" s="262"/>
      <c r="D174" s="106" t="s">
        <v>106</v>
      </c>
      <c r="E174" s="315">
        <v>14</v>
      </c>
    </row>
    <row r="175" spans="2:6" x14ac:dyDescent="0.3">
      <c r="B175" s="263"/>
      <c r="C175" s="264"/>
      <c r="D175" s="94"/>
      <c r="E175" s="94"/>
    </row>
    <row r="176" spans="2:6" s="12" customFormat="1" x14ac:dyDescent="0.35">
      <c r="B176" s="167" t="s">
        <v>1387</v>
      </c>
      <c r="C176" s="169"/>
      <c r="D176" s="243"/>
      <c r="E176" s="243"/>
    </row>
    <row r="177" spans="1:6" s="191" customFormat="1" x14ac:dyDescent="0.25">
      <c r="B177" s="174" t="s">
        <v>1358</v>
      </c>
      <c r="C177" s="98"/>
      <c r="D177" s="106" t="s">
        <v>105</v>
      </c>
      <c r="E177" s="315">
        <v>36</v>
      </c>
    </row>
    <row r="178" spans="1:6" x14ac:dyDescent="0.3">
      <c r="B178" s="101" t="s">
        <v>1359</v>
      </c>
      <c r="C178" s="98"/>
      <c r="D178" s="106" t="s">
        <v>61</v>
      </c>
      <c r="E178" s="315">
        <v>39</v>
      </c>
    </row>
    <row r="179" spans="1:6" s="191" customFormat="1" x14ac:dyDescent="0.25">
      <c r="B179" s="174" t="s">
        <v>137</v>
      </c>
      <c r="C179" s="98"/>
      <c r="D179" s="106" t="s">
        <v>138</v>
      </c>
      <c r="E179" s="315">
        <v>14</v>
      </c>
    </row>
    <row r="180" spans="1:6" s="191" customFormat="1" x14ac:dyDescent="0.25">
      <c r="B180" s="387" t="s">
        <v>1636</v>
      </c>
      <c r="C180" s="370"/>
      <c r="D180" s="385" t="s">
        <v>1773</v>
      </c>
      <c r="E180" s="196">
        <v>70</v>
      </c>
    </row>
    <row r="181" spans="1:6" x14ac:dyDescent="0.3">
      <c r="B181" s="263"/>
      <c r="C181" s="264"/>
      <c r="D181" s="94"/>
      <c r="E181" s="94"/>
    </row>
    <row r="182" spans="1:6" s="30" customFormat="1" ht="14.5" x14ac:dyDescent="0.35">
      <c r="B182" s="167" t="s">
        <v>62</v>
      </c>
      <c r="C182" s="169"/>
      <c r="D182" s="156"/>
      <c r="E182" s="156"/>
    </row>
    <row r="183" spans="1:6" s="30" customFormat="1" ht="14.5" x14ac:dyDescent="0.35">
      <c r="B183" s="174" t="s">
        <v>63</v>
      </c>
      <c r="C183" s="175"/>
      <c r="D183" s="106" t="s">
        <v>64</v>
      </c>
      <c r="E183" s="315">
        <v>7</v>
      </c>
    </row>
    <row r="184" spans="1:6" s="30" customFormat="1" ht="14.5" x14ac:dyDescent="0.35">
      <c r="B184" s="174" t="s">
        <v>65</v>
      </c>
      <c r="C184" s="175"/>
      <c r="D184" s="106" t="s">
        <v>66</v>
      </c>
      <c r="E184" s="315">
        <v>15</v>
      </c>
    </row>
    <row r="185" spans="1:6" s="30" customFormat="1" ht="14.5" collapsed="1" x14ac:dyDescent="0.35">
      <c r="B185" s="265"/>
      <c r="C185" s="266"/>
      <c r="D185" s="267"/>
      <c r="E185" s="267"/>
    </row>
    <row r="186" spans="1:6" x14ac:dyDescent="0.3">
      <c r="B186" s="167" t="s">
        <v>67</v>
      </c>
      <c r="C186" s="169"/>
      <c r="D186" s="243"/>
      <c r="E186" s="243"/>
    </row>
    <row r="187" spans="1:6" x14ac:dyDescent="0.3">
      <c r="B187" s="255" t="s">
        <v>68</v>
      </c>
      <c r="C187" s="256"/>
      <c r="D187" s="106" t="s">
        <v>69</v>
      </c>
      <c r="E187" s="315">
        <v>0</v>
      </c>
    </row>
    <row r="188" spans="1:6" x14ac:dyDescent="0.3">
      <c r="B188" s="410"/>
      <c r="C188" s="411"/>
      <c r="D188" s="147"/>
      <c r="E188" s="180"/>
    </row>
    <row r="189" spans="1:6" s="97" customFormat="1" x14ac:dyDescent="0.3">
      <c r="B189" s="263"/>
      <c r="C189" s="264"/>
      <c r="D189" s="94"/>
      <c r="E189" s="345"/>
    </row>
    <row r="190" spans="1:6" s="30" customFormat="1" ht="14.5" x14ac:dyDescent="0.35">
      <c r="A190" s="6"/>
      <c r="B190" s="150" t="s">
        <v>1571</v>
      </c>
      <c r="C190" s="151"/>
      <c r="D190" s="152"/>
      <c r="E190" s="153"/>
      <c r="F190" s="6"/>
    </row>
    <row r="191" spans="1:6" s="30" customFormat="1" ht="14.5" x14ac:dyDescent="0.35">
      <c r="A191" s="6"/>
      <c r="B191" s="154" t="s">
        <v>142</v>
      </c>
      <c r="C191" s="155"/>
      <c r="D191" s="9"/>
      <c r="E191" s="149"/>
      <c r="F191" s="6"/>
    </row>
    <row r="192" spans="1:6" s="30" customFormat="1" ht="14.5" x14ac:dyDescent="0.35">
      <c r="A192" s="6"/>
      <c r="B192" s="98" t="s">
        <v>1746</v>
      </c>
      <c r="C192" s="98"/>
      <c r="D192" s="106" t="s">
        <v>1774</v>
      </c>
      <c r="E192" s="388">
        <v>106</v>
      </c>
      <c r="F192" s="6"/>
    </row>
    <row r="193" spans="1:6" s="30" customFormat="1" ht="14.5" x14ac:dyDescent="0.35">
      <c r="A193" s="6"/>
      <c r="B193" s="98" t="s">
        <v>1554</v>
      </c>
      <c r="C193" s="98"/>
      <c r="D193" s="106" t="s">
        <v>1574</v>
      </c>
      <c r="E193" s="105">
        <v>138</v>
      </c>
      <c r="F193" s="6"/>
    </row>
    <row r="194" spans="1:6" s="30" customFormat="1" ht="14.5" x14ac:dyDescent="0.35">
      <c r="A194" s="6"/>
      <c r="B194" s="98" t="s">
        <v>1570</v>
      </c>
      <c r="C194" s="98"/>
      <c r="D194" s="106" t="s">
        <v>1575</v>
      </c>
      <c r="E194" s="105">
        <v>244</v>
      </c>
      <c r="F194" s="18"/>
    </row>
    <row r="195" spans="1:6" s="30" customFormat="1" ht="14.5" x14ac:dyDescent="0.35">
      <c r="A195" s="6"/>
      <c r="B195" s="98" t="s">
        <v>1581</v>
      </c>
      <c r="C195" s="98"/>
      <c r="D195" s="106" t="s">
        <v>1576</v>
      </c>
      <c r="E195" s="105">
        <v>180</v>
      </c>
      <c r="F195" s="18"/>
    </row>
    <row r="196" spans="1:6" s="30" customFormat="1" ht="14.5" x14ac:dyDescent="0.35">
      <c r="A196" s="6"/>
      <c r="B196" s="98" t="s">
        <v>1582</v>
      </c>
      <c r="C196" s="98"/>
      <c r="D196" s="106" t="s">
        <v>1577</v>
      </c>
      <c r="E196" s="105">
        <v>286</v>
      </c>
      <c r="F196" s="18"/>
    </row>
    <row r="197" spans="1:6" s="30" customFormat="1" ht="14.5" x14ac:dyDescent="0.35">
      <c r="A197" s="18"/>
      <c r="B197" s="98" t="s">
        <v>1583</v>
      </c>
      <c r="C197" s="321"/>
      <c r="D197" s="106" t="s">
        <v>1578</v>
      </c>
      <c r="E197" s="105">
        <v>461</v>
      </c>
      <c r="F197" s="18"/>
    </row>
    <row r="198" spans="1:6" s="30" customFormat="1" ht="14.5" x14ac:dyDescent="0.35">
      <c r="A198" s="6"/>
      <c r="B198" s="98" t="s">
        <v>1555</v>
      </c>
      <c r="C198" s="98"/>
      <c r="D198" s="106" t="s">
        <v>1579</v>
      </c>
      <c r="E198" s="105">
        <v>656</v>
      </c>
      <c r="F198" s="18"/>
    </row>
    <row r="199" spans="1:6" s="30" customFormat="1" ht="14.5" x14ac:dyDescent="0.35">
      <c r="A199" s="6"/>
      <c r="B199" s="96"/>
      <c r="C199" s="95"/>
      <c r="D199" s="94"/>
      <c r="E199" s="94"/>
      <c r="F199" s="6"/>
    </row>
    <row r="200" spans="1:6" s="30" customFormat="1" ht="14.5" x14ac:dyDescent="0.35">
      <c r="A200" s="6"/>
      <c r="B200" s="167" t="s">
        <v>39</v>
      </c>
      <c r="C200" s="168"/>
      <c r="D200" s="94"/>
      <c r="E200" s="94"/>
      <c r="F200" s="6"/>
    </row>
    <row r="201" spans="1:6" s="30" customFormat="1" ht="14.5" x14ac:dyDescent="0.35">
      <c r="A201" s="6"/>
      <c r="B201" s="101" t="s">
        <v>1328</v>
      </c>
      <c r="C201" s="98"/>
      <c r="D201" s="106" t="s">
        <v>145</v>
      </c>
      <c r="E201" s="105">
        <v>117</v>
      </c>
      <c r="F201" s="6"/>
    </row>
    <row r="202" spans="1:6" s="30" customFormat="1" ht="14.5" x14ac:dyDescent="0.35">
      <c r="A202" s="6"/>
      <c r="B202" s="101" t="s">
        <v>1331</v>
      </c>
      <c r="C202" s="98"/>
      <c r="D202" s="106" t="s">
        <v>147</v>
      </c>
      <c r="E202" s="105">
        <v>397</v>
      </c>
      <c r="F202" s="6"/>
    </row>
    <row r="203" spans="1:6" s="30" customFormat="1" ht="14.5" x14ac:dyDescent="0.35">
      <c r="A203" s="6"/>
      <c r="B203" s="96"/>
      <c r="C203" s="95"/>
      <c r="D203" s="94"/>
      <c r="E203" s="95"/>
      <c r="F203" s="6"/>
    </row>
    <row r="204" spans="1:6" s="30" customFormat="1" ht="14.5" x14ac:dyDescent="0.35">
      <c r="A204" s="6"/>
      <c r="B204" s="167" t="s">
        <v>42</v>
      </c>
      <c r="C204" s="169"/>
      <c r="D204" s="94"/>
      <c r="E204" s="169"/>
      <c r="F204" s="6"/>
    </row>
    <row r="205" spans="1:6" s="30" customFormat="1" ht="14.5" x14ac:dyDescent="0.35">
      <c r="A205" s="6"/>
      <c r="B205" s="101" t="s">
        <v>151</v>
      </c>
      <c r="C205" s="98"/>
      <c r="D205" s="106" t="s">
        <v>152</v>
      </c>
      <c r="E205" s="105">
        <v>72</v>
      </c>
      <c r="F205" s="6"/>
    </row>
    <row r="206" spans="1:6" s="30" customFormat="1" ht="14.5" x14ac:dyDescent="0.35">
      <c r="A206" s="6"/>
      <c r="B206" s="101" t="s">
        <v>153</v>
      </c>
      <c r="C206" s="98"/>
      <c r="D206" s="106" t="s">
        <v>154</v>
      </c>
      <c r="E206" s="105">
        <v>310</v>
      </c>
      <c r="F206" s="6"/>
    </row>
    <row r="207" spans="1:6" s="30" customFormat="1" ht="14.5" x14ac:dyDescent="0.35">
      <c r="A207" s="6"/>
      <c r="B207" s="96"/>
      <c r="C207" s="95"/>
      <c r="D207" s="94"/>
      <c r="E207" s="95"/>
      <c r="F207" s="6"/>
    </row>
    <row r="208" spans="1:6" s="30" customFormat="1" ht="14.5" x14ac:dyDescent="0.35">
      <c r="A208" s="6"/>
      <c r="B208" s="167" t="s">
        <v>155</v>
      </c>
      <c r="C208" s="169"/>
      <c r="D208" s="94"/>
      <c r="E208" s="169"/>
      <c r="F208" s="6"/>
    </row>
    <row r="209" spans="1:6" s="30" customFormat="1" ht="14.5" x14ac:dyDescent="0.35">
      <c r="A209" s="6"/>
      <c r="B209" s="322" t="s">
        <v>156</v>
      </c>
      <c r="C209" s="321"/>
      <c r="D209" s="323" t="s">
        <v>157</v>
      </c>
      <c r="E209" s="105">
        <v>129</v>
      </c>
      <c r="F209" s="6"/>
    </row>
    <row r="210" spans="1:6" s="30" customFormat="1" ht="14.5" x14ac:dyDescent="0.35">
      <c r="A210" s="6"/>
      <c r="B210" s="322" t="s">
        <v>158</v>
      </c>
      <c r="C210" s="321"/>
      <c r="D210" s="323" t="s">
        <v>159</v>
      </c>
      <c r="E210" s="105">
        <v>200</v>
      </c>
      <c r="F210" s="6"/>
    </row>
    <row r="211" spans="1:6" s="30" customFormat="1" ht="14.5" x14ac:dyDescent="0.35">
      <c r="A211" s="6"/>
      <c r="B211" s="96"/>
      <c r="C211" s="95"/>
      <c r="D211" s="94"/>
      <c r="E211" s="95"/>
      <c r="F211" s="6"/>
    </row>
    <row r="212" spans="1:6" s="30" customFormat="1" ht="14.5" x14ac:dyDescent="0.35">
      <c r="A212" s="6"/>
      <c r="B212" s="167" t="s">
        <v>160</v>
      </c>
      <c r="C212" s="169"/>
      <c r="D212" s="94"/>
      <c r="E212" s="170"/>
      <c r="F212" s="6"/>
    </row>
    <row r="213" spans="1:6" s="30" customFormat="1" ht="14.5" x14ac:dyDescent="0.35">
      <c r="A213" s="6"/>
      <c r="B213" s="101" t="s">
        <v>1561</v>
      </c>
      <c r="C213" s="98" t="s">
        <v>1560</v>
      </c>
      <c r="D213" s="106" t="s">
        <v>161</v>
      </c>
      <c r="E213" s="115">
        <v>15</v>
      </c>
      <c r="F213" s="6"/>
    </row>
    <row r="214" spans="1:6" s="30" customFormat="1" ht="14.5" x14ac:dyDescent="0.35">
      <c r="A214" s="6"/>
      <c r="B214" s="101" t="s">
        <v>1567</v>
      </c>
      <c r="C214" s="98" t="s">
        <v>1568</v>
      </c>
      <c r="D214" s="106" t="s">
        <v>148</v>
      </c>
      <c r="E214" s="115">
        <v>31</v>
      </c>
      <c r="F214" s="6"/>
    </row>
    <row r="215" spans="1:6" s="30" customFormat="1" ht="14.5" x14ac:dyDescent="0.35">
      <c r="A215" s="6"/>
      <c r="B215" s="171" t="s">
        <v>1566</v>
      </c>
      <c r="C215" s="107" t="s">
        <v>1565</v>
      </c>
      <c r="D215" s="137" t="s">
        <v>162</v>
      </c>
      <c r="E215" s="115">
        <v>79</v>
      </c>
      <c r="F215" s="6"/>
    </row>
    <row r="216" spans="1:6" s="30" customFormat="1" ht="14.5" x14ac:dyDescent="0.35">
      <c r="A216" s="6"/>
      <c r="B216" s="171" t="s">
        <v>1562</v>
      </c>
      <c r="C216" s="107" t="s">
        <v>1557</v>
      </c>
      <c r="D216" s="137" t="s">
        <v>149</v>
      </c>
      <c r="E216" s="115">
        <v>73</v>
      </c>
      <c r="F216" s="6"/>
    </row>
    <row r="217" spans="1:6" s="30" customFormat="1" ht="14.5" x14ac:dyDescent="0.35">
      <c r="A217" s="6"/>
      <c r="B217" s="101" t="s">
        <v>1563</v>
      </c>
      <c r="C217" s="98" t="s">
        <v>1558</v>
      </c>
      <c r="D217" s="106" t="s">
        <v>163</v>
      </c>
      <c r="E217" s="115">
        <v>46</v>
      </c>
      <c r="F217" s="6"/>
    </row>
    <row r="218" spans="1:6" s="30" customFormat="1" ht="14.5" x14ac:dyDescent="0.35">
      <c r="A218" s="6"/>
      <c r="B218" s="101" t="s">
        <v>1564</v>
      </c>
      <c r="C218" s="98" t="s">
        <v>1559</v>
      </c>
      <c r="D218" s="106" t="s">
        <v>150</v>
      </c>
      <c r="E218" s="115">
        <v>77</v>
      </c>
      <c r="F218" s="6"/>
    </row>
    <row r="219" spans="1:6" s="30" customFormat="1" ht="14.5" x14ac:dyDescent="0.35">
      <c r="A219" s="6"/>
      <c r="B219" s="96"/>
      <c r="C219" s="95"/>
      <c r="D219" s="94"/>
      <c r="E219" s="170"/>
      <c r="F219" s="6"/>
    </row>
    <row r="220" spans="1:6" x14ac:dyDescent="0.3">
      <c r="B220" s="168" t="s">
        <v>164</v>
      </c>
      <c r="C220" s="95"/>
      <c r="D220" s="94"/>
      <c r="E220" s="172"/>
    </row>
    <row r="221" spans="1:6" x14ac:dyDescent="0.3">
      <c r="B221" s="98" t="s">
        <v>165</v>
      </c>
      <c r="C221" s="98"/>
      <c r="D221" s="106" t="s">
        <v>166</v>
      </c>
      <c r="E221" s="105">
        <v>0</v>
      </c>
    </row>
    <row r="222" spans="1:6" s="30" customFormat="1" ht="14.5" x14ac:dyDescent="0.35">
      <c r="A222" s="6"/>
      <c r="B222" s="96"/>
      <c r="C222" s="95"/>
      <c r="D222" s="94"/>
      <c r="E222" s="94"/>
      <c r="F222" s="6"/>
    </row>
    <row r="223" spans="1:6" s="30" customFormat="1" ht="14.5" x14ac:dyDescent="0.35">
      <c r="A223" s="6"/>
      <c r="B223" s="168" t="s">
        <v>167</v>
      </c>
      <c r="C223" s="169"/>
      <c r="D223" s="94"/>
      <c r="E223" s="94"/>
      <c r="F223" s="6"/>
    </row>
    <row r="224" spans="1:6" s="30" customFormat="1" ht="14.5" x14ac:dyDescent="0.35">
      <c r="A224" s="6"/>
      <c r="B224" s="101" t="s">
        <v>1556</v>
      </c>
      <c r="C224" s="98"/>
      <c r="D224" s="106" t="s">
        <v>168</v>
      </c>
      <c r="E224" s="105">
        <v>19</v>
      </c>
      <c r="F224" s="6"/>
    </row>
    <row r="225" spans="1:6" s="30" customFormat="1" ht="14.5" x14ac:dyDescent="0.35">
      <c r="A225" s="6"/>
      <c r="B225" s="96"/>
      <c r="C225" s="95"/>
      <c r="D225" s="94"/>
      <c r="E225" s="95"/>
      <c r="F225" s="6"/>
    </row>
    <row r="226" spans="1:6" x14ac:dyDescent="0.3">
      <c r="B226" s="167" t="s">
        <v>1864</v>
      </c>
      <c r="C226" s="95"/>
      <c r="D226" s="94"/>
      <c r="E226" s="169"/>
    </row>
    <row r="227" spans="1:6" x14ac:dyDescent="0.3">
      <c r="B227" s="101" t="s">
        <v>1869</v>
      </c>
      <c r="C227" s="98"/>
      <c r="D227" s="106" t="s">
        <v>169</v>
      </c>
      <c r="E227" s="115">
        <v>19</v>
      </c>
    </row>
    <row r="228" spans="1:6" s="30" customFormat="1" ht="14.5" x14ac:dyDescent="0.35">
      <c r="A228" s="6"/>
      <c r="B228" s="101" t="s">
        <v>1870</v>
      </c>
      <c r="C228" s="98"/>
      <c r="D228" s="106" t="s">
        <v>170</v>
      </c>
      <c r="E228" s="115">
        <v>31</v>
      </c>
      <c r="F228" s="6"/>
    </row>
    <row r="229" spans="1:6" s="30" customFormat="1" ht="14.5" x14ac:dyDescent="0.35">
      <c r="A229" s="6"/>
      <c r="B229" s="101" t="s">
        <v>1872</v>
      </c>
      <c r="C229" s="98"/>
      <c r="D229" s="106" t="s">
        <v>171</v>
      </c>
      <c r="E229" s="115">
        <v>50</v>
      </c>
      <c r="F229" s="18"/>
    </row>
    <row r="230" spans="1:6" s="30" customFormat="1" ht="14.5" x14ac:dyDescent="0.35">
      <c r="A230" s="6"/>
      <c r="B230" s="96"/>
      <c r="C230" s="173"/>
      <c r="D230" s="94"/>
      <c r="E230" s="95"/>
      <c r="F230" s="6"/>
    </row>
    <row r="231" spans="1:6" s="30" customFormat="1" ht="14.5" x14ac:dyDescent="0.35">
      <c r="A231" s="6"/>
      <c r="B231" s="168" t="s">
        <v>1330</v>
      </c>
      <c r="C231" s="169"/>
      <c r="D231" s="94"/>
      <c r="E231" s="169"/>
      <c r="F231" s="6"/>
    </row>
    <row r="232" spans="1:6" s="30" customFormat="1" ht="14.5" x14ac:dyDescent="0.35">
      <c r="A232" s="6"/>
      <c r="B232" s="101" t="s">
        <v>1879</v>
      </c>
      <c r="C232" s="101"/>
      <c r="D232" s="106" t="s">
        <v>1580</v>
      </c>
      <c r="E232" s="105">
        <v>88</v>
      </c>
      <c r="F232" s="6"/>
    </row>
    <row r="233" spans="1:6" s="30" customFormat="1" ht="14.5" x14ac:dyDescent="0.35">
      <c r="A233" s="6"/>
      <c r="B233" s="107" t="s">
        <v>1878</v>
      </c>
      <c r="C233" s="101"/>
      <c r="D233" s="106" t="s">
        <v>197</v>
      </c>
      <c r="E233" s="105">
        <v>116</v>
      </c>
      <c r="F233" s="6"/>
    </row>
    <row r="234" spans="1:6" s="30" customFormat="1" ht="14.5" x14ac:dyDescent="0.35">
      <c r="A234" s="6"/>
      <c r="B234" s="96"/>
      <c r="C234" s="95"/>
      <c r="D234" s="94"/>
      <c r="E234" s="95"/>
      <c r="F234" s="6"/>
    </row>
    <row r="235" spans="1:6" s="30" customFormat="1" ht="14.5" x14ac:dyDescent="0.35">
      <c r="A235" s="6"/>
      <c r="B235" s="167" t="s">
        <v>62</v>
      </c>
      <c r="C235" s="169"/>
      <c r="D235" s="156"/>
      <c r="E235" s="169"/>
      <c r="F235" s="6"/>
    </row>
    <row r="236" spans="1:6" s="30" customFormat="1" ht="14.5" x14ac:dyDescent="0.35">
      <c r="A236" s="6"/>
      <c r="B236" s="174" t="s">
        <v>65</v>
      </c>
      <c r="C236" s="175"/>
      <c r="D236" s="106" t="s">
        <v>66</v>
      </c>
      <c r="E236" s="105">
        <v>15</v>
      </c>
      <c r="F236" s="6"/>
    </row>
    <row r="237" spans="1:6" s="140" customFormat="1" ht="14.5" x14ac:dyDescent="0.35">
      <c r="A237" s="97"/>
      <c r="B237" s="96"/>
      <c r="C237" s="173"/>
      <c r="D237" s="94"/>
      <c r="E237" s="176"/>
      <c r="F237" s="97"/>
    </row>
    <row r="238" spans="1:6" s="97" customFormat="1" x14ac:dyDescent="0.3">
      <c r="B238" s="96"/>
      <c r="C238" s="95"/>
      <c r="D238" s="94"/>
      <c r="E238" s="170"/>
    </row>
    <row r="239" spans="1:6" s="30" customFormat="1" ht="14.5" x14ac:dyDescent="0.35">
      <c r="A239" s="6"/>
      <c r="B239" s="218" t="s">
        <v>1637</v>
      </c>
      <c r="C239" s="159"/>
      <c r="D239" s="160"/>
      <c r="E239" s="161"/>
      <c r="F239" s="6"/>
    </row>
    <row r="240" spans="1:6" s="30" customFormat="1" ht="14.5" x14ac:dyDescent="0.35">
      <c r="A240" s="6"/>
      <c r="B240" s="154" t="s">
        <v>1505</v>
      </c>
      <c r="C240" s="155"/>
      <c r="D240" s="9"/>
      <c r="E240" s="9"/>
      <c r="F240" s="6"/>
    </row>
    <row r="241" spans="1:6" s="30" customFormat="1" ht="14.5" x14ac:dyDescent="0.35">
      <c r="A241" s="6"/>
      <c r="B241" s="230" t="s">
        <v>1722</v>
      </c>
      <c r="C241" s="389"/>
      <c r="D241" s="390" t="s">
        <v>143</v>
      </c>
      <c r="E241" s="388">
        <v>166</v>
      </c>
      <c r="F241" s="6"/>
    </row>
    <row r="242" spans="1:6" s="30" customFormat="1" ht="14.5" x14ac:dyDescent="0.35">
      <c r="A242" s="6"/>
      <c r="B242" s="230" t="s">
        <v>1723</v>
      </c>
      <c r="C242" s="389"/>
      <c r="D242" s="390" t="s">
        <v>1859</v>
      </c>
      <c r="E242" s="388">
        <v>341</v>
      </c>
      <c r="F242" s="6"/>
    </row>
    <row r="243" spans="1:6" s="30" customFormat="1" ht="14.5" x14ac:dyDescent="0.35">
      <c r="A243" s="6"/>
      <c r="B243" s="230" t="s">
        <v>1728</v>
      </c>
      <c r="C243" s="389"/>
      <c r="D243" s="390" t="s">
        <v>1860</v>
      </c>
      <c r="E243" s="388">
        <v>607</v>
      </c>
    </row>
    <row r="244" spans="1:6" s="30" customFormat="1" ht="14.5" x14ac:dyDescent="0.35">
      <c r="A244" s="6"/>
      <c r="B244" s="230" t="s">
        <v>1727</v>
      </c>
      <c r="C244" s="389"/>
      <c r="D244" s="390" t="s">
        <v>1861</v>
      </c>
      <c r="E244" s="388">
        <v>620</v>
      </c>
    </row>
    <row r="245" spans="1:6" s="30" customFormat="1" ht="14.5" x14ac:dyDescent="0.35">
      <c r="A245" s="6"/>
      <c r="B245" s="230" t="s">
        <v>1724</v>
      </c>
      <c r="C245" s="389"/>
      <c r="D245" s="390" t="s">
        <v>1862</v>
      </c>
      <c r="E245" s="388">
        <v>361</v>
      </c>
    </row>
    <row r="246" spans="1:6" s="30" customFormat="1" ht="14.5" x14ac:dyDescent="0.35">
      <c r="A246" s="6"/>
      <c r="B246" s="230" t="s">
        <v>1725</v>
      </c>
      <c r="C246" s="389"/>
      <c r="D246" s="390" t="s">
        <v>144</v>
      </c>
      <c r="E246" s="388">
        <v>815</v>
      </c>
    </row>
    <row r="247" spans="1:6" s="30" customFormat="1" ht="14.5" x14ac:dyDescent="0.35">
      <c r="A247" s="6"/>
      <c r="B247" s="230" t="s">
        <v>1726</v>
      </c>
      <c r="C247" s="389"/>
      <c r="D247" s="390" t="s">
        <v>146</v>
      </c>
      <c r="E247" s="388">
        <v>1081</v>
      </c>
    </row>
    <row r="248" spans="1:6" s="30" customFormat="1" ht="14.5" x14ac:dyDescent="0.35">
      <c r="A248" s="6"/>
      <c r="B248" s="95"/>
      <c r="C248" s="95"/>
      <c r="D248" s="94"/>
      <c r="E248" s="94"/>
    </row>
    <row r="249" spans="1:6" s="30" customFormat="1" ht="14.5" x14ac:dyDescent="0.35">
      <c r="A249" s="6"/>
      <c r="B249" s="177" t="s">
        <v>42</v>
      </c>
      <c r="C249" s="169"/>
      <c r="D249" s="169"/>
      <c r="E249" s="169"/>
    </row>
    <row r="250" spans="1:6" s="30" customFormat="1" ht="14.5" x14ac:dyDescent="0.35">
      <c r="A250" s="6"/>
      <c r="B250" s="389" t="s">
        <v>151</v>
      </c>
      <c r="C250" s="389"/>
      <c r="D250" s="390" t="s">
        <v>152</v>
      </c>
      <c r="E250" s="388">
        <v>72</v>
      </c>
    </row>
    <row r="251" spans="1:6" s="30" customFormat="1" ht="14.5" x14ac:dyDescent="0.35">
      <c r="A251" s="6"/>
      <c r="B251" s="389" t="s">
        <v>153</v>
      </c>
      <c r="C251" s="389"/>
      <c r="D251" s="390" t="s">
        <v>154</v>
      </c>
      <c r="E251" s="388">
        <v>310</v>
      </c>
    </row>
    <row r="252" spans="1:6" s="30" customFormat="1" ht="14.5" x14ac:dyDescent="0.35">
      <c r="A252" s="6"/>
      <c r="B252" s="95"/>
      <c r="C252" s="95"/>
      <c r="D252" s="95"/>
      <c r="E252" s="95"/>
    </row>
    <row r="253" spans="1:6" s="30" customFormat="1" ht="14.5" x14ac:dyDescent="0.35">
      <c r="A253" s="6"/>
      <c r="B253" s="177" t="s">
        <v>160</v>
      </c>
      <c r="C253" s="169"/>
      <c r="D253" s="169"/>
      <c r="E253" s="169"/>
    </row>
    <row r="254" spans="1:6" s="30" customFormat="1" ht="14.5" x14ac:dyDescent="0.35">
      <c r="A254" s="6"/>
      <c r="B254" s="213" t="s">
        <v>1867</v>
      </c>
      <c r="C254" s="230"/>
      <c r="D254" s="219" t="s">
        <v>1512</v>
      </c>
      <c r="E254" s="388">
        <v>169</v>
      </c>
    </row>
    <row r="255" spans="1:6" s="30" customFormat="1" ht="14.5" x14ac:dyDescent="0.35">
      <c r="A255" s="6"/>
      <c r="B255" s="95"/>
      <c r="C255" s="95"/>
      <c r="D255" s="95"/>
      <c r="E255" s="95"/>
    </row>
    <row r="256" spans="1:6" s="30" customFormat="1" ht="14.5" x14ac:dyDescent="0.35">
      <c r="A256" s="6"/>
      <c r="B256" s="169" t="s">
        <v>164</v>
      </c>
      <c r="C256" s="169"/>
      <c r="D256" s="169"/>
      <c r="E256" s="169"/>
    </row>
    <row r="257" spans="1:6" s="30" customFormat="1" ht="14.5" x14ac:dyDescent="0.35">
      <c r="A257" s="6"/>
      <c r="B257" s="230" t="s">
        <v>165</v>
      </c>
      <c r="C257" s="230"/>
      <c r="D257" s="219" t="s">
        <v>166</v>
      </c>
      <c r="E257" s="388">
        <v>0</v>
      </c>
    </row>
    <row r="258" spans="1:6" s="30" customFormat="1" ht="14.5" x14ac:dyDescent="0.35">
      <c r="A258" s="6"/>
      <c r="B258" s="95"/>
      <c r="C258" s="95"/>
      <c r="D258" s="95"/>
      <c r="E258" s="95"/>
    </row>
    <row r="259" spans="1:6" s="30" customFormat="1" ht="14.5" x14ac:dyDescent="0.35">
      <c r="A259" s="6"/>
      <c r="B259" s="167" t="s">
        <v>1865</v>
      </c>
      <c r="C259" s="95"/>
      <c r="D259" s="94"/>
      <c r="E259" s="169"/>
    </row>
    <row r="260" spans="1:6" s="30" customFormat="1" ht="14.5" x14ac:dyDescent="0.35">
      <c r="A260" s="6"/>
      <c r="B260" s="101" t="s">
        <v>1873</v>
      </c>
      <c r="C260" s="98"/>
      <c r="D260" s="106" t="s">
        <v>194</v>
      </c>
      <c r="E260" s="105">
        <v>37</v>
      </c>
    </row>
    <row r="261" spans="1:6" s="30" customFormat="1" ht="14.5" x14ac:dyDescent="0.35">
      <c r="A261" s="6"/>
      <c r="B261" s="95"/>
      <c r="C261" s="95"/>
      <c r="D261" s="95"/>
      <c r="E261" s="95"/>
      <c r="F261" s="6"/>
    </row>
    <row r="262" spans="1:6" s="30" customFormat="1" ht="14.5" x14ac:dyDescent="0.35">
      <c r="A262" s="6"/>
      <c r="B262" s="177" t="s">
        <v>62</v>
      </c>
      <c r="C262" s="169"/>
      <c r="D262" s="169"/>
      <c r="E262" s="169"/>
      <c r="F262" s="6"/>
    </row>
    <row r="263" spans="1:6" s="30" customFormat="1" ht="14.5" x14ac:dyDescent="0.35">
      <c r="A263" s="6"/>
      <c r="B263" s="391" t="s">
        <v>65</v>
      </c>
      <c r="C263" s="392"/>
      <c r="D263" s="219" t="s">
        <v>66</v>
      </c>
      <c r="E263" s="315">
        <v>15</v>
      </c>
      <c r="F263" s="6"/>
    </row>
    <row r="264" spans="1:6" s="30" customFormat="1" ht="14.5" x14ac:dyDescent="0.35">
      <c r="A264" s="6"/>
      <c r="B264" s="8"/>
      <c r="C264" s="8"/>
      <c r="D264" s="8"/>
      <c r="E264" s="8"/>
      <c r="F264" s="6"/>
    </row>
    <row r="265" spans="1:6" s="97" customFormat="1" x14ac:dyDescent="0.3">
      <c r="B265" s="181"/>
      <c r="C265" s="181"/>
      <c r="D265" s="183"/>
      <c r="E265" s="184"/>
    </row>
    <row r="266" spans="1:6" x14ac:dyDescent="0.3">
      <c r="B266" s="202" t="s">
        <v>1739</v>
      </c>
      <c r="C266" s="159"/>
      <c r="D266" s="160"/>
      <c r="E266" s="161"/>
    </row>
    <row r="267" spans="1:6" x14ac:dyDescent="0.3">
      <c r="B267" s="154" t="s">
        <v>34</v>
      </c>
      <c r="C267" s="155"/>
      <c r="E267" s="149"/>
    </row>
    <row r="268" spans="1:6" x14ac:dyDescent="0.3">
      <c r="B268" s="101" t="s">
        <v>1775</v>
      </c>
      <c r="C268" s="98"/>
      <c r="D268" s="106" t="s">
        <v>180</v>
      </c>
      <c r="E268" s="315">
        <v>194</v>
      </c>
    </row>
    <row r="269" spans="1:6" x14ac:dyDescent="0.3">
      <c r="B269" s="167"/>
      <c r="C269" s="169"/>
      <c r="D269" s="94"/>
      <c r="E269" s="170"/>
    </row>
    <row r="270" spans="1:6" x14ac:dyDescent="0.3">
      <c r="B270" s="167" t="s">
        <v>39</v>
      </c>
      <c r="C270" s="168"/>
      <c r="D270" s="94"/>
      <c r="E270" s="170"/>
    </row>
    <row r="271" spans="1:6" x14ac:dyDescent="0.3">
      <c r="B271" s="101" t="s">
        <v>1765</v>
      </c>
      <c r="C271" s="98"/>
      <c r="D271" s="106" t="s">
        <v>182</v>
      </c>
      <c r="E271" s="315">
        <v>117</v>
      </c>
    </row>
    <row r="272" spans="1:6" x14ac:dyDescent="0.3">
      <c r="B272" s="101" t="s">
        <v>1766</v>
      </c>
      <c r="C272" s="98"/>
      <c r="D272" s="106" t="s">
        <v>183</v>
      </c>
      <c r="E272" s="315">
        <v>397</v>
      </c>
    </row>
    <row r="273" spans="2:6" x14ac:dyDescent="0.3">
      <c r="B273" s="167" t="s">
        <v>1341</v>
      </c>
      <c r="C273" s="168"/>
      <c r="D273" s="94"/>
      <c r="E273" s="170"/>
    </row>
    <row r="274" spans="2:6" x14ac:dyDescent="0.3">
      <c r="B274" s="393" t="s">
        <v>1772</v>
      </c>
      <c r="C274" s="394"/>
      <c r="D274" s="395" t="s">
        <v>184</v>
      </c>
      <c r="E274" s="342">
        <v>215</v>
      </c>
      <c r="F274" s="180"/>
    </row>
    <row r="275" spans="2:6" x14ac:dyDescent="0.3">
      <c r="B275" s="393" t="s">
        <v>1771</v>
      </c>
      <c r="C275" s="394"/>
      <c r="D275" s="395" t="s">
        <v>1792</v>
      </c>
      <c r="E275" s="342">
        <v>547</v>
      </c>
      <c r="F275" s="180"/>
    </row>
    <row r="276" spans="2:6" x14ac:dyDescent="0.3">
      <c r="B276" s="167" t="s">
        <v>1391</v>
      </c>
      <c r="C276" s="168"/>
      <c r="D276" s="94"/>
      <c r="E276" s="170"/>
    </row>
    <row r="277" spans="2:6" x14ac:dyDescent="0.3">
      <c r="B277" s="101" t="s">
        <v>1392</v>
      </c>
      <c r="C277" s="98"/>
      <c r="D277" s="106" t="s">
        <v>181</v>
      </c>
      <c r="E277" s="315">
        <v>34</v>
      </c>
    </row>
    <row r="278" spans="2:6" x14ac:dyDescent="0.3">
      <c r="B278" s="101" t="s">
        <v>1731</v>
      </c>
      <c r="C278" s="98"/>
      <c r="D278" s="106" t="s">
        <v>1297</v>
      </c>
      <c r="E278" s="315">
        <v>220</v>
      </c>
    </row>
    <row r="279" spans="2:6" x14ac:dyDescent="0.3">
      <c r="B279" s="101" t="s">
        <v>1732</v>
      </c>
      <c r="C279" s="98"/>
      <c r="D279" s="106" t="s">
        <v>1393</v>
      </c>
      <c r="E279" s="315">
        <v>443</v>
      </c>
    </row>
    <row r="280" spans="2:6" x14ac:dyDescent="0.3">
      <c r="B280" s="101" t="s">
        <v>1733</v>
      </c>
      <c r="C280" s="98"/>
      <c r="D280" s="106" t="s">
        <v>1394</v>
      </c>
      <c r="E280" s="315">
        <v>993</v>
      </c>
    </row>
    <row r="281" spans="2:6" x14ac:dyDescent="0.3">
      <c r="B281" s="96"/>
      <c r="C281" s="95"/>
      <c r="D281" s="94"/>
      <c r="E281" s="170"/>
    </row>
    <row r="282" spans="2:6" x14ac:dyDescent="0.3">
      <c r="B282" s="167" t="s">
        <v>42</v>
      </c>
      <c r="C282" s="169"/>
      <c r="D282" s="94"/>
      <c r="E282" s="170"/>
    </row>
    <row r="283" spans="2:6" x14ac:dyDescent="0.3">
      <c r="B283" s="101" t="s">
        <v>1395</v>
      </c>
      <c r="C283" s="98"/>
      <c r="D283" s="106" t="s">
        <v>152</v>
      </c>
      <c r="E283" s="315">
        <v>72</v>
      </c>
    </row>
    <row r="284" spans="2:6" x14ac:dyDescent="0.3">
      <c r="B284" s="101" t="s">
        <v>1396</v>
      </c>
      <c r="C284" s="98"/>
      <c r="D284" s="106" t="s">
        <v>154</v>
      </c>
      <c r="E284" s="315">
        <v>310</v>
      </c>
    </row>
    <row r="285" spans="2:6" x14ac:dyDescent="0.3">
      <c r="B285" s="98" t="s">
        <v>1397</v>
      </c>
      <c r="C285" s="98"/>
      <c r="D285" s="106" t="s">
        <v>1398</v>
      </c>
      <c r="E285" s="315">
        <v>713</v>
      </c>
    </row>
    <row r="286" spans="2:6" x14ac:dyDescent="0.3">
      <c r="B286" s="268"/>
      <c r="C286" s="95"/>
      <c r="D286" s="94"/>
      <c r="E286" s="170"/>
    </row>
    <row r="287" spans="2:6" x14ac:dyDescent="0.3">
      <c r="B287" s="167" t="s">
        <v>155</v>
      </c>
      <c r="C287" s="270"/>
      <c r="D287" s="94"/>
      <c r="E287" s="170"/>
    </row>
    <row r="288" spans="2:6" x14ac:dyDescent="0.3">
      <c r="B288" s="101" t="s">
        <v>1399</v>
      </c>
      <c r="C288" s="116"/>
      <c r="D288" s="106" t="s">
        <v>157</v>
      </c>
      <c r="E288" s="315">
        <v>129</v>
      </c>
    </row>
    <row r="289" spans="1:6" x14ac:dyDescent="0.3">
      <c r="B289" s="101" t="s">
        <v>1400</v>
      </c>
      <c r="C289" s="116"/>
      <c r="D289" s="106" t="s">
        <v>159</v>
      </c>
      <c r="E289" s="315">
        <v>200</v>
      </c>
    </row>
    <row r="290" spans="1:6" x14ac:dyDescent="0.3">
      <c r="B290" s="101" t="s">
        <v>1401</v>
      </c>
      <c r="C290" s="116"/>
      <c r="D290" s="106" t="s">
        <v>179</v>
      </c>
      <c r="E290" s="315">
        <v>438</v>
      </c>
    </row>
    <row r="291" spans="1:6" x14ac:dyDescent="0.3">
      <c r="B291" s="98" t="s">
        <v>1397</v>
      </c>
      <c r="C291" s="98"/>
      <c r="D291" s="106" t="s">
        <v>1402</v>
      </c>
      <c r="E291" s="315">
        <v>841</v>
      </c>
    </row>
    <row r="292" spans="1:6" x14ac:dyDescent="0.3">
      <c r="B292" s="96"/>
      <c r="C292" s="95"/>
      <c r="D292" s="94"/>
      <c r="E292" s="170"/>
    </row>
    <row r="293" spans="1:6" x14ac:dyDescent="0.3">
      <c r="B293" s="167" t="s">
        <v>185</v>
      </c>
      <c r="C293" s="269"/>
      <c r="D293" s="94"/>
      <c r="E293" s="170"/>
      <c r="F293" s="332"/>
    </row>
    <row r="294" spans="1:6" x14ac:dyDescent="0.3">
      <c r="A294" s="332"/>
      <c r="B294" s="396" t="s">
        <v>1848</v>
      </c>
      <c r="C294" s="389"/>
      <c r="D294" s="106" t="s">
        <v>1793</v>
      </c>
      <c r="E294" s="315">
        <v>266</v>
      </c>
      <c r="F294" s="332"/>
    </row>
    <row r="295" spans="1:6" x14ac:dyDescent="0.3">
      <c r="A295" s="332"/>
      <c r="B295" s="396" t="s">
        <v>1849</v>
      </c>
      <c r="C295" s="389"/>
      <c r="D295" s="390" t="s">
        <v>186</v>
      </c>
      <c r="E295" s="315">
        <v>576</v>
      </c>
      <c r="F295" s="332"/>
    </row>
    <row r="296" spans="1:6" x14ac:dyDescent="0.3">
      <c r="A296" s="332"/>
      <c r="B296" s="396" t="s">
        <v>1850</v>
      </c>
      <c r="C296" s="389"/>
      <c r="D296" s="390" t="s">
        <v>187</v>
      </c>
      <c r="E296" s="315">
        <v>1375</v>
      </c>
      <c r="F296" s="332"/>
    </row>
    <row r="297" spans="1:6" x14ac:dyDescent="0.3">
      <c r="B297" s="396" t="s">
        <v>1851</v>
      </c>
      <c r="C297" s="389"/>
      <c r="D297" s="390" t="s">
        <v>188</v>
      </c>
      <c r="E297" s="315">
        <v>884</v>
      </c>
      <c r="F297" s="18"/>
    </row>
    <row r="298" spans="1:6" x14ac:dyDescent="0.3">
      <c r="B298" s="96"/>
      <c r="C298" s="95"/>
      <c r="D298" s="94"/>
      <c r="E298" s="170"/>
    </row>
    <row r="299" spans="1:6" x14ac:dyDescent="0.3">
      <c r="B299" s="167" t="s">
        <v>1738</v>
      </c>
      <c r="C299" s="169"/>
      <c r="D299" s="94"/>
      <c r="E299" s="170"/>
      <c r="F299" s="18"/>
    </row>
    <row r="300" spans="1:6" x14ac:dyDescent="0.3">
      <c r="B300" s="101" t="s">
        <v>1741</v>
      </c>
      <c r="C300" s="98"/>
      <c r="D300" s="106" t="s">
        <v>190</v>
      </c>
      <c r="E300" s="319">
        <v>27</v>
      </c>
      <c r="F300" s="18"/>
    </row>
    <row r="301" spans="1:6" x14ac:dyDescent="0.3">
      <c r="B301" s="101" t="s">
        <v>1742</v>
      </c>
      <c r="C301" s="98"/>
      <c r="D301" s="106" t="s">
        <v>1403</v>
      </c>
      <c r="E301" s="319">
        <v>53</v>
      </c>
      <c r="F301" s="18"/>
    </row>
    <row r="302" spans="1:6" x14ac:dyDescent="0.3">
      <c r="B302" s="101" t="s">
        <v>1743</v>
      </c>
      <c r="C302" s="98"/>
      <c r="D302" s="106" t="s">
        <v>191</v>
      </c>
      <c r="E302" s="319">
        <v>310</v>
      </c>
      <c r="F302" s="18"/>
    </row>
    <row r="303" spans="1:6" x14ac:dyDescent="0.3">
      <c r="B303" s="96"/>
      <c r="C303" s="95"/>
      <c r="D303" s="94"/>
      <c r="E303" s="170"/>
      <c r="F303" s="18"/>
    </row>
    <row r="304" spans="1:6" x14ac:dyDescent="0.3">
      <c r="B304" s="168" t="s">
        <v>164</v>
      </c>
      <c r="C304" s="95"/>
      <c r="D304" s="94"/>
      <c r="E304" s="172"/>
    </row>
    <row r="305" spans="1:6" x14ac:dyDescent="0.3">
      <c r="B305" s="101" t="s">
        <v>192</v>
      </c>
      <c r="C305" s="98"/>
      <c r="D305" s="106" t="s">
        <v>166</v>
      </c>
      <c r="E305" s="315">
        <v>0</v>
      </c>
    </row>
    <row r="306" spans="1:6" x14ac:dyDescent="0.3">
      <c r="B306" s="96"/>
      <c r="C306" s="95"/>
      <c r="D306" s="94"/>
      <c r="E306" s="170"/>
    </row>
    <row r="307" spans="1:6" x14ac:dyDescent="0.3">
      <c r="B307" s="167" t="s">
        <v>1864</v>
      </c>
      <c r="C307" s="95"/>
      <c r="D307" s="94"/>
      <c r="E307" s="172"/>
    </row>
    <row r="308" spans="1:6" x14ac:dyDescent="0.3">
      <c r="B308" s="101" t="s">
        <v>1881</v>
      </c>
      <c r="C308" s="98"/>
      <c r="D308" s="106" t="s">
        <v>193</v>
      </c>
      <c r="E308" s="319">
        <v>19</v>
      </c>
    </row>
    <row r="309" spans="1:6" x14ac:dyDescent="0.3">
      <c r="B309" s="101" t="s">
        <v>1874</v>
      </c>
      <c r="C309" s="98"/>
      <c r="D309" s="106" t="s">
        <v>194</v>
      </c>
      <c r="E309" s="319">
        <v>37</v>
      </c>
    </row>
    <row r="310" spans="1:6" x14ac:dyDescent="0.3">
      <c r="B310" s="101" t="s">
        <v>1875</v>
      </c>
      <c r="C310" s="98"/>
      <c r="D310" s="106" t="s">
        <v>195</v>
      </c>
      <c r="E310" s="319">
        <v>85</v>
      </c>
    </row>
    <row r="311" spans="1:6" s="30" customFormat="1" ht="14.5" x14ac:dyDescent="0.35">
      <c r="A311" s="6"/>
      <c r="B311" s="182"/>
      <c r="C311" s="182"/>
      <c r="D311" s="147"/>
      <c r="E311" s="181"/>
      <c r="F311" s="6"/>
    </row>
    <row r="312" spans="1:6" s="30" customFormat="1" ht="14.5" x14ac:dyDescent="0.35">
      <c r="A312" s="6"/>
      <c r="B312" s="114" t="s">
        <v>196</v>
      </c>
      <c r="C312" s="114"/>
      <c r="D312" s="94"/>
      <c r="E312" s="114"/>
      <c r="F312" s="6"/>
    </row>
    <row r="313" spans="1:6" s="30" customFormat="1" ht="14.5" x14ac:dyDescent="0.35">
      <c r="A313" s="6"/>
      <c r="B313" s="107" t="s">
        <v>1740</v>
      </c>
      <c r="C313" s="98"/>
      <c r="D313" s="106" t="s">
        <v>197</v>
      </c>
      <c r="E313" s="315">
        <v>117</v>
      </c>
      <c r="F313" s="6"/>
    </row>
    <row r="314" spans="1:6" x14ac:dyDescent="0.3">
      <c r="B314" s="168"/>
      <c r="C314" s="169"/>
      <c r="D314" s="94"/>
      <c r="E314" s="95"/>
    </row>
    <row r="315" spans="1:6" x14ac:dyDescent="0.3">
      <c r="B315" s="167" t="s">
        <v>62</v>
      </c>
      <c r="C315" s="169"/>
      <c r="D315" s="156"/>
      <c r="E315" s="169"/>
    </row>
    <row r="316" spans="1:6" x14ac:dyDescent="0.3">
      <c r="B316" s="174" t="s">
        <v>65</v>
      </c>
      <c r="C316" s="397"/>
      <c r="D316" s="106" t="s">
        <v>66</v>
      </c>
      <c r="E316" s="315">
        <v>15</v>
      </c>
    </row>
    <row r="317" spans="1:6" x14ac:dyDescent="0.3">
      <c r="E317" s="149"/>
    </row>
    <row r="318" spans="1:6" s="97" customFormat="1" ht="13.5" thickBot="1" x14ac:dyDescent="0.35">
      <c r="B318" s="167"/>
      <c r="C318" s="95"/>
      <c r="D318" s="94"/>
      <c r="E318" s="345"/>
    </row>
    <row r="319" spans="1:6" ht="21.5" thickBot="1" x14ac:dyDescent="0.55000000000000004">
      <c r="B319" s="502" t="s">
        <v>201</v>
      </c>
      <c r="C319" s="503"/>
      <c r="D319" s="503"/>
      <c r="E319" s="19"/>
    </row>
    <row r="320" spans="1:6" ht="26.5" thickBot="1" x14ac:dyDescent="0.35">
      <c r="B320" s="14" t="s">
        <v>24</v>
      </c>
      <c r="C320" s="15" t="s">
        <v>25</v>
      </c>
      <c r="D320" s="16" t="s">
        <v>26</v>
      </c>
      <c r="E320" s="16"/>
    </row>
    <row r="321" spans="2:5" ht="143" x14ac:dyDescent="0.3">
      <c r="B321" s="237" t="s">
        <v>1549</v>
      </c>
      <c r="C321" s="238" t="s">
        <v>1339</v>
      </c>
      <c r="D321" s="239" t="s">
        <v>202</v>
      </c>
      <c r="E321" s="414">
        <v>753</v>
      </c>
    </row>
    <row r="322" spans="2:5" ht="143" x14ac:dyDescent="0.3">
      <c r="B322" s="240" t="s">
        <v>1910</v>
      </c>
      <c r="C322" s="288" t="s">
        <v>1339</v>
      </c>
      <c r="D322" s="289" t="s">
        <v>203</v>
      </c>
      <c r="E322" s="381">
        <v>949</v>
      </c>
    </row>
    <row r="323" spans="2:5" ht="169" x14ac:dyDescent="0.3">
      <c r="B323" s="376" t="s">
        <v>1911</v>
      </c>
      <c r="C323" s="288" t="s">
        <v>1729</v>
      </c>
      <c r="D323" s="289" t="s">
        <v>204</v>
      </c>
      <c r="E323" s="381">
        <v>1103</v>
      </c>
    </row>
    <row r="324" spans="2:5" ht="13.5" thickBot="1" x14ac:dyDescent="0.35">
      <c r="B324" s="6"/>
      <c r="C324" s="6"/>
    </row>
    <row r="325" spans="2:5" ht="21.5" thickBot="1" x14ac:dyDescent="0.55000000000000004">
      <c r="B325" s="502" t="s">
        <v>205</v>
      </c>
      <c r="C325" s="503"/>
      <c r="D325" s="503"/>
      <c r="E325" s="19"/>
    </row>
    <row r="326" spans="2:5" ht="26.5" thickBot="1" x14ac:dyDescent="0.35">
      <c r="B326" s="14" t="s">
        <v>24</v>
      </c>
      <c r="C326" s="15" t="s">
        <v>25</v>
      </c>
      <c r="D326" s="16" t="s">
        <v>26</v>
      </c>
      <c r="E326" s="16"/>
    </row>
    <row r="327" spans="2:5" s="97" customFormat="1" x14ac:dyDescent="0.3">
      <c r="B327" s="200"/>
      <c r="C327" s="181"/>
      <c r="D327" s="147"/>
      <c r="E327" s="147"/>
    </row>
    <row r="328" spans="2:5" collapsed="1" x14ac:dyDescent="0.3">
      <c r="B328" s="205" t="s">
        <v>1418</v>
      </c>
      <c r="C328" s="205"/>
      <c r="D328" s="206"/>
      <c r="E328" s="207"/>
    </row>
    <row r="329" spans="2:5" x14ac:dyDescent="0.3">
      <c r="B329" s="190" t="s">
        <v>34</v>
      </c>
      <c r="C329" s="208"/>
      <c r="E329" s="149"/>
    </row>
    <row r="330" spans="2:5" x14ac:dyDescent="0.3">
      <c r="B330" s="384" t="s">
        <v>1638</v>
      </c>
      <c r="C330" s="98"/>
      <c r="D330" s="106" t="s">
        <v>219</v>
      </c>
      <c r="E330" s="315">
        <v>73</v>
      </c>
    </row>
    <row r="331" spans="2:5" x14ac:dyDescent="0.3">
      <c r="B331" s="384" t="s">
        <v>1632</v>
      </c>
      <c r="C331" s="98"/>
      <c r="D331" s="106" t="s">
        <v>220</v>
      </c>
      <c r="E331" s="315">
        <v>169</v>
      </c>
    </row>
    <row r="332" spans="2:5" x14ac:dyDescent="0.3">
      <c r="B332" s="384" t="s">
        <v>1639</v>
      </c>
      <c r="C332" s="98"/>
      <c r="D332" s="106" t="s">
        <v>221</v>
      </c>
      <c r="E332" s="315">
        <v>237</v>
      </c>
    </row>
    <row r="333" spans="2:5" x14ac:dyDescent="0.3">
      <c r="B333" s="249"/>
      <c r="C333" s="270"/>
      <c r="D333" s="94"/>
      <c r="E333" s="271"/>
    </row>
    <row r="334" spans="2:5" x14ac:dyDescent="0.3">
      <c r="B334" s="249" t="s">
        <v>39</v>
      </c>
      <c r="C334" s="270"/>
      <c r="D334" s="272"/>
      <c r="E334" s="271"/>
    </row>
    <row r="335" spans="2:5" x14ac:dyDescent="0.3">
      <c r="B335" s="101" t="s">
        <v>1508</v>
      </c>
      <c r="C335" s="244"/>
      <c r="D335" s="106" t="s">
        <v>222</v>
      </c>
      <c r="E335" s="315">
        <v>234</v>
      </c>
    </row>
    <row r="336" spans="2:5" x14ac:dyDescent="0.3">
      <c r="B336" s="101" t="s">
        <v>1363</v>
      </c>
      <c r="C336" s="244"/>
      <c r="D336" s="106" t="s">
        <v>223</v>
      </c>
      <c r="E336" s="315">
        <v>280</v>
      </c>
    </row>
    <row r="337" spans="2:5" s="30" customFormat="1" ht="12.75" customHeight="1" x14ac:dyDescent="0.35">
      <c r="B337" s="101" t="s">
        <v>1912</v>
      </c>
      <c r="C337" s="244"/>
      <c r="D337" s="106" t="s">
        <v>224</v>
      </c>
      <c r="E337" s="315">
        <v>794</v>
      </c>
    </row>
    <row r="338" spans="2:5" x14ac:dyDescent="0.3">
      <c r="B338" s="97"/>
      <c r="C338" s="97"/>
      <c r="D338" s="117"/>
      <c r="E338" s="273"/>
    </row>
    <row r="339" spans="2:5" x14ac:dyDescent="0.3">
      <c r="B339" s="167" t="s">
        <v>42</v>
      </c>
      <c r="C339" s="270"/>
      <c r="D339" s="272"/>
      <c r="E339" s="271"/>
    </row>
    <row r="340" spans="2:5" x14ac:dyDescent="0.3">
      <c r="B340" s="116" t="s">
        <v>45</v>
      </c>
      <c r="C340" s="98"/>
      <c r="D340" s="106" t="s">
        <v>206</v>
      </c>
      <c r="E340" s="315">
        <v>72</v>
      </c>
    </row>
    <row r="341" spans="2:5" x14ac:dyDescent="0.3">
      <c r="B341" s="116" t="s">
        <v>47</v>
      </c>
      <c r="C341" s="98"/>
      <c r="D341" s="106" t="s">
        <v>207</v>
      </c>
      <c r="E341" s="315">
        <v>310</v>
      </c>
    </row>
    <row r="342" spans="2:5" x14ac:dyDescent="0.3">
      <c r="B342" s="97"/>
      <c r="C342" s="97"/>
      <c r="D342" s="94"/>
      <c r="E342" s="273"/>
    </row>
    <row r="343" spans="2:5" x14ac:dyDescent="0.3">
      <c r="B343" s="274" t="s">
        <v>123</v>
      </c>
      <c r="C343" s="270"/>
      <c r="D343" s="272"/>
      <c r="E343" s="271"/>
    </row>
    <row r="344" spans="2:5" x14ac:dyDescent="0.3">
      <c r="B344" s="101" t="s">
        <v>1343</v>
      </c>
      <c r="C344" s="98"/>
      <c r="D344" s="106" t="s">
        <v>208</v>
      </c>
      <c r="E344" s="315">
        <v>73</v>
      </c>
    </row>
    <row r="345" spans="2:5" x14ac:dyDescent="0.3">
      <c r="B345" s="101" t="s">
        <v>43</v>
      </c>
      <c r="C345" s="98"/>
      <c r="D345" s="106" t="s">
        <v>209</v>
      </c>
      <c r="E345" s="315">
        <v>129</v>
      </c>
    </row>
    <row r="346" spans="2:5" x14ac:dyDescent="0.3">
      <c r="B346" s="101" t="s">
        <v>45</v>
      </c>
      <c r="C346" s="98"/>
      <c r="D346" s="106" t="s">
        <v>210</v>
      </c>
      <c r="E346" s="315">
        <v>200</v>
      </c>
    </row>
    <row r="347" spans="2:5" x14ac:dyDescent="0.3">
      <c r="B347" s="101" t="s">
        <v>47</v>
      </c>
      <c r="C347" s="98"/>
      <c r="D347" s="106" t="s">
        <v>211</v>
      </c>
      <c r="E347" s="315">
        <v>438</v>
      </c>
    </row>
    <row r="348" spans="2:5" x14ac:dyDescent="0.3">
      <c r="B348" s="101" t="s">
        <v>93</v>
      </c>
      <c r="C348" s="98"/>
      <c r="D348" s="106" t="s">
        <v>212</v>
      </c>
      <c r="E348" s="315">
        <v>56</v>
      </c>
    </row>
    <row r="349" spans="2:5" x14ac:dyDescent="0.3">
      <c r="B349" s="101" t="s">
        <v>1354</v>
      </c>
      <c r="C349" s="98"/>
      <c r="D349" s="106" t="s">
        <v>213</v>
      </c>
      <c r="E349" s="315">
        <v>67</v>
      </c>
    </row>
    <row r="350" spans="2:5" s="8" customFormat="1" x14ac:dyDescent="0.35">
      <c r="B350" s="101" t="s">
        <v>1355</v>
      </c>
      <c r="C350" s="98"/>
      <c r="D350" s="106" t="s">
        <v>214</v>
      </c>
      <c r="E350" s="315">
        <v>80</v>
      </c>
    </row>
    <row r="351" spans="2:5" s="12" customFormat="1" x14ac:dyDescent="0.3">
      <c r="B351" s="97"/>
      <c r="C351" s="97"/>
      <c r="D351" s="94"/>
      <c r="E351" s="273"/>
    </row>
    <row r="352" spans="2:5" s="12" customFormat="1" x14ac:dyDescent="0.35">
      <c r="B352" s="167" t="s">
        <v>1419</v>
      </c>
      <c r="C352" s="169"/>
      <c r="D352" s="243"/>
      <c r="E352" s="193"/>
    </row>
    <row r="353" spans="2:5" x14ac:dyDescent="0.3">
      <c r="B353" s="101" t="s">
        <v>1420</v>
      </c>
      <c r="C353" s="98"/>
      <c r="D353" s="106" t="s">
        <v>1421</v>
      </c>
      <c r="E353" s="319">
        <v>27</v>
      </c>
    </row>
    <row r="354" spans="2:5" x14ac:dyDescent="0.3">
      <c r="B354" s="97"/>
      <c r="C354" s="97"/>
      <c r="D354" s="94"/>
      <c r="E354" s="170"/>
    </row>
    <row r="355" spans="2:5" x14ac:dyDescent="0.3">
      <c r="B355" s="249" t="s">
        <v>54</v>
      </c>
      <c r="C355" s="97"/>
      <c r="D355" s="94"/>
      <c r="E355" s="170"/>
    </row>
    <row r="356" spans="2:5" x14ac:dyDescent="0.3">
      <c r="B356" s="213" t="s">
        <v>1298</v>
      </c>
      <c r="C356" s="230"/>
      <c r="D356" s="219" t="s">
        <v>1510</v>
      </c>
      <c r="E356" s="319">
        <v>835</v>
      </c>
    </row>
    <row r="357" spans="2:5" x14ac:dyDescent="0.3">
      <c r="B357" s="213" t="s">
        <v>1509</v>
      </c>
      <c r="C357" s="230"/>
      <c r="D357" s="219" t="s">
        <v>1511</v>
      </c>
      <c r="E357" s="319">
        <v>2263</v>
      </c>
    </row>
    <row r="358" spans="2:5" x14ac:dyDescent="0.3">
      <c r="B358" s="101" t="s">
        <v>1422</v>
      </c>
      <c r="C358" s="101"/>
      <c r="D358" s="121" t="s">
        <v>225</v>
      </c>
      <c r="E358" s="319">
        <v>133</v>
      </c>
    </row>
    <row r="359" spans="2:5" x14ac:dyDescent="0.3">
      <c r="B359" s="101" t="s">
        <v>1423</v>
      </c>
      <c r="C359" s="101"/>
      <c r="D359" s="121" t="s">
        <v>226</v>
      </c>
      <c r="E359" s="319">
        <v>306</v>
      </c>
    </row>
    <row r="360" spans="2:5" s="12" customFormat="1" x14ac:dyDescent="0.3">
      <c r="B360" s="97"/>
      <c r="C360" s="97"/>
      <c r="D360" s="94"/>
      <c r="E360" s="194"/>
    </row>
    <row r="361" spans="2:5" s="12" customFormat="1" x14ac:dyDescent="0.3">
      <c r="B361" s="249" t="s">
        <v>136</v>
      </c>
      <c r="C361" s="270"/>
      <c r="D361" s="272"/>
      <c r="E361" s="193"/>
    </row>
    <row r="362" spans="2:5" s="30" customFormat="1" ht="14.5" x14ac:dyDescent="0.35">
      <c r="B362" s="116" t="s">
        <v>1383</v>
      </c>
      <c r="C362" s="98"/>
      <c r="D362" s="261" t="s">
        <v>215</v>
      </c>
      <c r="E362" s="319">
        <v>12</v>
      </c>
    </row>
    <row r="363" spans="2:5" s="12" customFormat="1" x14ac:dyDescent="0.3">
      <c r="B363" s="275"/>
      <c r="C363" s="276"/>
      <c r="D363" s="277"/>
      <c r="E363" s="278"/>
    </row>
    <row r="364" spans="2:5" s="12" customFormat="1" x14ac:dyDescent="0.3">
      <c r="B364" s="249" t="s">
        <v>102</v>
      </c>
      <c r="C364" s="270"/>
      <c r="D364" s="272"/>
      <c r="E364" s="271"/>
    </row>
    <row r="365" spans="2:5" s="191" customFormat="1" x14ac:dyDescent="0.25">
      <c r="B365" s="174" t="s">
        <v>1384</v>
      </c>
      <c r="C365" s="262"/>
      <c r="D365" s="261" t="s">
        <v>216</v>
      </c>
      <c r="E365" s="315">
        <v>8</v>
      </c>
    </row>
    <row r="366" spans="2:5" s="191" customFormat="1" x14ac:dyDescent="0.25">
      <c r="B366" s="174" t="s">
        <v>1385</v>
      </c>
      <c r="C366" s="370"/>
      <c r="D366" s="261" t="s">
        <v>217</v>
      </c>
      <c r="E366" s="315">
        <v>8</v>
      </c>
    </row>
    <row r="367" spans="2:5" s="191" customFormat="1" x14ac:dyDescent="0.25">
      <c r="B367" s="174" t="s">
        <v>1349</v>
      </c>
      <c r="C367" s="371"/>
      <c r="D367" s="106" t="s">
        <v>59</v>
      </c>
      <c r="E367" s="315">
        <v>8</v>
      </c>
    </row>
    <row r="368" spans="2:5" s="191" customFormat="1" x14ac:dyDescent="0.25">
      <c r="B368" s="174" t="s">
        <v>1386</v>
      </c>
      <c r="C368" s="370"/>
      <c r="D368" s="261" t="s">
        <v>218</v>
      </c>
      <c r="E368" s="315">
        <v>14</v>
      </c>
    </row>
    <row r="369" spans="2:5" x14ac:dyDescent="0.3">
      <c r="B369" s="279"/>
      <c r="C369" s="264"/>
      <c r="D369" s="94"/>
      <c r="E369" s="94"/>
    </row>
    <row r="370" spans="2:5" s="12" customFormat="1" x14ac:dyDescent="0.3">
      <c r="B370" s="249" t="s">
        <v>1387</v>
      </c>
      <c r="C370" s="169"/>
      <c r="D370" s="272"/>
      <c r="E370" s="243"/>
    </row>
    <row r="371" spans="2:5" s="191" customFormat="1" x14ac:dyDescent="0.25">
      <c r="B371" s="174" t="s">
        <v>1358</v>
      </c>
      <c r="C371" s="370"/>
      <c r="D371" s="106" t="s">
        <v>105</v>
      </c>
      <c r="E371" s="315">
        <v>36</v>
      </c>
    </row>
    <row r="372" spans="2:5" x14ac:dyDescent="0.3">
      <c r="B372" s="101" t="s">
        <v>1359</v>
      </c>
      <c r="C372" s="371"/>
      <c r="D372" s="106" t="s">
        <v>61</v>
      </c>
      <c r="E372" s="315">
        <v>39</v>
      </c>
    </row>
    <row r="373" spans="2:5" s="191" customFormat="1" x14ac:dyDescent="0.3">
      <c r="B373" s="280" t="s">
        <v>137</v>
      </c>
      <c r="C373" s="370"/>
      <c r="D373" s="106" t="s">
        <v>138</v>
      </c>
      <c r="E373" s="315">
        <v>14</v>
      </c>
    </row>
    <row r="374" spans="2:5" s="191" customFormat="1" x14ac:dyDescent="0.25">
      <c r="B374" s="387" t="s">
        <v>1636</v>
      </c>
      <c r="C374" s="370"/>
      <c r="D374" s="385" t="s">
        <v>1773</v>
      </c>
      <c r="E374" s="196">
        <v>70</v>
      </c>
    </row>
    <row r="375" spans="2:5" x14ac:dyDescent="0.3">
      <c r="B375" s="279"/>
      <c r="C375" s="264"/>
      <c r="D375" s="94"/>
      <c r="E375" s="94"/>
    </row>
    <row r="376" spans="2:5" s="30" customFormat="1" ht="14.5" x14ac:dyDescent="0.35">
      <c r="B376" s="249" t="s">
        <v>62</v>
      </c>
      <c r="C376" s="169"/>
      <c r="D376" s="156"/>
      <c r="E376" s="156"/>
    </row>
    <row r="377" spans="2:5" s="30" customFormat="1" ht="14.5" x14ac:dyDescent="0.35">
      <c r="B377" s="280" t="s">
        <v>63</v>
      </c>
      <c r="C377" s="175"/>
      <c r="D377" s="106" t="s">
        <v>64</v>
      </c>
      <c r="E377" s="315">
        <v>7</v>
      </c>
    </row>
    <row r="378" spans="2:5" s="30" customFormat="1" ht="14.5" x14ac:dyDescent="0.35">
      <c r="B378" s="280" t="s">
        <v>65</v>
      </c>
      <c r="C378" s="175"/>
      <c r="D378" s="106" t="s">
        <v>66</v>
      </c>
      <c r="E378" s="315">
        <v>15</v>
      </c>
    </row>
    <row r="379" spans="2:5" s="30" customFormat="1" ht="14.5" collapsed="1" x14ac:dyDescent="0.35">
      <c r="B379" s="97"/>
      <c r="C379" s="266"/>
      <c r="D379" s="117"/>
      <c r="E379" s="267"/>
    </row>
    <row r="380" spans="2:5" x14ac:dyDescent="0.3">
      <c r="B380" s="249" t="s">
        <v>67</v>
      </c>
      <c r="C380" s="169"/>
      <c r="D380" s="272"/>
      <c r="E380" s="243"/>
    </row>
    <row r="381" spans="2:5" s="8" customFormat="1" x14ac:dyDescent="0.35">
      <c r="B381" s="318" t="s">
        <v>68</v>
      </c>
      <c r="C381" s="256"/>
      <c r="D381" s="106" t="s">
        <v>69</v>
      </c>
      <c r="E381" s="319">
        <v>0</v>
      </c>
    </row>
    <row r="382" spans="2:5" s="8" customFormat="1" x14ac:dyDescent="0.35">
      <c r="B382" s="412"/>
      <c r="C382" s="411"/>
      <c r="D382" s="147"/>
      <c r="E382" s="413"/>
    </row>
    <row r="383" spans="2:5" s="97" customFormat="1" x14ac:dyDescent="0.3">
      <c r="B383" s="279"/>
      <c r="C383" s="264"/>
      <c r="D383" s="94"/>
      <c r="E383" s="345"/>
    </row>
    <row r="384" spans="2:5" collapsed="1" x14ac:dyDescent="0.3">
      <c r="B384" s="209" t="s">
        <v>1730</v>
      </c>
      <c r="C384" s="210"/>
      <c r="D384" s="160"/>
      <c r="E384" s="161"/>
    </row>
    <row r="385" spans="2:5" x14ac:dyDescent="0.3">
      <c r="B385" s="190" t="s">
        <v>34</v>
      </c>
      <c r="C385" s="208"/>
      <c r="D385" s="47"/>
      <c r="E385" s="149"/>
    </row>
    <row r="386" spans="2:5" x14ac:dyDescent="0.3">
      <c r="B386" s="101" t="s">
        <v>1775</v>
      </c>
      <c r="C386" s="98"/>
      <c r="D386" s="106" t="s">
        <v>227</v>
      </c>
      <c r="E386" s="315">
        <v>194</v>
      </c>
    </row>
    <row r="387" spans="2:5" x14ac:dyDescent="0.3">
      <c r="B387" s="249"/>
      <c r="C387" s="270"/>
      <c r="D387" s="117"/>
      <c r="E387" s="117"/>
    </row>
    <row r="388" spans="2:5" x14ac:dyDescent="0.3">
      <c r="B388" s="249" t="s">
        <v>39</v>
      </c>
      <c r="C388" s="281"/>
      <c r="D388" s="94"/>
      <c r="E388" s="94"/>
    </row>
    <row r="389" spans="2:5" x14ac:dyDescent="0.3">
      <c r="B389" s="101" t="s">
        <v>1389</v>
      </c>
      <c r="C389" s="116"/>
      <c r="D389" s="106" t="s">
        <v>182</v>
      </c>
      <c r="E389" s="315">
        <v>117</v>
      </c>
    </row>
    <row r="390" spans="2:5" x14ac:dyDescent="0.3">
      <c r="B390" s="101" t="s">
        <v>1390</v>
      </c>
      <c r="C390" s="116"/>
      <c r="D390" s="106" t="s">
        <v>183</v>
      </c>
      <c r="E390" s="315">
        <v>397</v>
      </c>
    </row>
    <row r="391" spans="2:5" x14ac:dyDescent="0.3">
      <c r="B391" s="167" t="s">
        <v>1391</v>
      </c>
      <c r="C391" s="168"/>
      <c r="D391" s="94"/>
      <c r="E391" s="170"/>
    </row>
    <row r="392" spans="2:5" x14ac:dyDescent="0.3">
      <c r="B392" s="101" t="s">
        <v>1392</v>
      </c>
      <c r="C392" s="98"/>
      <c r="D392" s="106" t="s">
        <v>181</v>
      </c>
      <c r="E392" s="315">
        <v>34</v>
      </c>
    </row>
    <row r="393" spans="2:5" x14ac:dyDescent="0.3">
      <c r="B393" s="101" t="s">
        <v>1731</v>
      </c>
      <c r="C393" s="98"/>
      <c r="D393" s="106" t="s">
        <v>1297</v>
      </c>
      <c r="E393" s="315">
        <v>220</v>
      </c>
    </row>
    <row r="394" spans="2:5" x14ac:dyDescent="0.3">
      <c r="B394" s="101" t="s">
        <v>1732</v>
      </c>
      <c r="C394" s="98"/>
      <c r="D394" s="106" t="s">
        <v>1393</v>
      </c>
      <c r="E394" s="315">
        <v>443</v>
      </c>
    </row>
    <row r="395" spans="2:5" x14ac:dyDescent="0.3">
      <c r="B395" s="101" t="s">
        <v>1733</v>
      </c>
      <c r="C395" s="98"/>
      <c r="D395" s="106" t="s">
        <v>1394</v>
      </c>
      <c r="E395" s="315">
        <v>993</v>
      </c>
    </row>
    <row r="396" spans="2:5" x14ac:dyDescent="0.3">
      <c r="B396" s="97"/>
      <c r="C396" s="97"/>
      <c r="D396" s="94"/>
      <c r="E396" s="220"/>
    </row>
    <row r="397" spans="2:5" x14ac:dyDescent="0.3">
      <c r="B397" s="167" t="s">
        <v>42</v>
      </c>
      <c r="C397" s="270"/>
      <c r="D397" s="94"/>
      <c r="E397" s="94"/>
    </row>
    <row r="398" spans="2:5" x14ac:dyDescent="0.3">
      <c r="B398" s="98" t="s">
        <v>1424</v>
      </c>
      <c r="C398" s="98"/>
      <c r="D398" s="106" t="s">
        <v>230</v>
      </c>
      <c r="E398" s="315">
        <v>72</v>
      </c>
    </row>
    <row r="399" spans="2:5" x14ac:dyDescent="0.3">
      <c r="B399" s="98" t="s">
        <v>1425</v>
      </c>
      <c r="C399" s="98"/>
      <c r="D399" s="106" t="s">
        <v>231</v>
      </c>
      <c r="E399" s="315">
        <v>310</v>
      </c>
    </row>
    <row r="400" spans="2:5" x14ac:dyDescent="0.3">
      <c r="B400" s="98" t="s">
        <v>1397</v>
      </c>
      <c r="C400" s="98"/>
      <c r="D400" s="106" t="s">
        <v>1398</v>
      </c>
      <c r="E400" s="315">
        <v>713</v>
      </c>
    </row>
    <row r="401" spans="1:6" x14ac:dyDescent="0.3">
      <c r="B401" s="282"/>
      <c r="C401" s="95"/>
      <c r="D401" s="117"/>
      <c r="E401" s="117"/>
    </row>
    <row r="402" spans="1:6" x14ac:dyDescent="0.3">
      <c r="B402" s="274" t="s">
        <v>155</v>
      </c>
      <c r="C402" s="270"/>
      <c r="D402" s="94"/>
      <c r="E402" s="94"/>
    </row>
    <row r="403" spans="1:6" x14ac:dyDescent="0.3">
      <c r="B403" s="116" t="s">
        <v>1399</v>
      </c>
      <c r="C403" s="116"/>
      <c r="D403" s="106" t="s">
        <v>232</v>
      </c>
      <c r="E403" s="315">
        <v>129</v>
      </c>
    </row>
    <row r="404" spans="1:6" x14ac:dyDescent="0.3">
      <c r="B404" s="98" t="s">
        <v>1395</v>
      </c>
      <c r="C404" s="116"/>
      <c r="D404" s="106" t="s">
        <v>233</v>
      </c>
      <c r="E404" s="315">
        <v>200</v>
      </c>
    </row>
    <row r="405" spans="1:6" x14ac:dyDescent="0.3">
      <c r="B405" s="98" t="s">
        <v>1396</v>
      </c>
      <c r="C405" s="116"/>
      <c r="D405" s="106" t="s">
        <v>234</v>
      </c>
      <c r="E405" s="315">
        <v>438</v>
      </c>
    </row>
    <row r="406" spans="1:6" x14ac:dyDescent="0.3">
      <c r="B406" s="98" t="s">
        <v>1397</v>
      </c>
      <c r="C406" s="98"/>
      <c r="D406" s="106" t="s">
        <v>1402</v>
      </c>
      <c r="E406" s="315">
        <v>841</v>
      </c>
    </row>
    <row r="407" spans="1:6" x14ac:dyDescent="0.3">
      <c r="B407" s="97"/>
      <c r="C407" s="97"/>
      <c r="D407" s="283"/>
      <c r="E407" s="117"/>
    </row>
    <row r="408" spans="1:6" x14ac:dyDescent="0.3">
      <c r="A408" s="332"/>
      <c r="B408" s="249" t="s">
        <v>1893</v>
      </c>
      <c r="C408" s="284"/>
      <c r="D408" s="94"/>
      <c r="E408" s="94"/>
      <c r="F408" s="332"/>
    </row>
    <row r="409" spans="1:6" x14ac:dyDescent="0.3">
      <c r="A409" s="332"/>
      <c r="B409" s="101" t="s">
        <v>1770</v>
      </c>
      <c r="C409" s="98"/>
      <c r="D409" s="106" t="s">
        <v>1789</v>
      </c>
      <c r="E409" s="319">
        <v>175</v>
      </c>
      <c r="F409" s="332"/>
    </row>
    <row r="410" spans="1:6" x14ac:dyDescent="0.3">
      <c r="A410" s="13"/>
      <c r="B410" s="101" t="s">
        <v>1734</v>
      </c>
      <c r="C410" s="98"/>
      <c r="D410" s="106" t="s">
        <v>1790</v>
      </c>
      <c r="E410" s="319">
        <v>441</v>
      </c>
      <c r="F410" s="13"/>
    </row>
    <row r="411" spans="1:6" x14ac:dyDescent="0.3">
      <c r="A411" s="13"/>
      <c r="B411" s="101" t="s">
        <v>1735</v>
      </c>
      <c r="C411" s="98"/>
      <c r="D411" s="106" t="s">
        <v>228</v>
      </c>
      <c r="E411" s="319">
        <v>751</v>
      </c>
      <c r="F411" s="13"/>
    </row>
    <row r="412" spans="1:6" x14ac:dyDescent="0.3">
      <c r="A412" s="13"/>
      <c r="B412" s="101" t="s">
        <v>1736</v>
      </c>
      <c r="C412" s="98"/>
      <c r="D412" s="106" t="s">
        <v>229</v>
      </c>
      <c r="E412" s="319">
        <v>1550</v>
      </c>
      <c r="F412" s="13"/>
    </row>
    <row r="413" spans="1:6" x14ac:dyDescent="0.3">
      <c r="B413" s="101" t="s">
        <v>1769</v>
      </c>
      <c r="C413" s="98"/>
      <c r="D413" s="106" t="s">
        <v>1791</v>
      </c>
      <c r="E413" s="319">
        <v>1059</v>
      </c>
    </row>
    <row r="414" spans="1:6" x14ac:dyDescent="0.3">
      <c r="B414" s="97"/>
      <c r="C414" s="97"/>
      <c r="D414" s="117"/>
      <c r="E414" s="170"/>
    </row>
    <row r="415" spans="1:6" x14ac:dyDescent="0.3">
      <c r="A415" s="18"/>
      <c r="B415" s="249" t="s">
        <v>189</v>
      </c>
      <c r="C415" s="270"/>
      <c r="D415" s="94"/>
      <c r="E415" s="170"/>
    </row>
    <row r="416" spans="1:6" x14ac:dyDescent="0.3">
      <c r="B416" s="101" t="s">
        <v>1744</v>
      </c>
      <c r="C416" s="98"/>
      <c r="D416" s="106" t="s">
        <v>235</v>
      </c>
      <c r="E416" s="319">
        <v>27</v>
      </c>
    </row>
    <row r="417" spans="2:5" x14ac:dyDescent="0.3">
      <c r="B417" s="98" t="s">
        <v>1894</v>
      </c>
      <c r="C417" s="98"/>
      <c r="D417" s="106" t="s">
        <v>1426</v>
      </c>
      <c r="E417" s="319">
        <v>53</v>
      </c>
    </row>
    <row r="418" spans="2:5" x14ac:dyDescent="0.3">
      <c r="B418" s="101" t="s">
        <v>1745</v>
      </c>
      <c r="C418" s="98"/>
      <c r="D418" s="106" t="s">
        <v>236</v>
      </c>
      <c r="E418" s="319">
        <v>222</v>
      </c>
    </row>
    <row r="419" spans="2:5" x14ac:dyDescent="0.3">
      <c r="B419" s="97"/>
      <c r="C419" s="97"/>
      <c r="D419" s="117"/>
      <c r="E419" s="170"/>
    </row>
    <row r="420" spans="2:5" x14ac:dyDescent="0.3">
      <c r="B420" s="270" t="s">
        <v>164</v>
      </c>
      <c r="C420" s="97"/>
      <c r="D420" s="94"/>
      <c r="E420" s="285"/>
    </row>
    <row r="421" spans="2:5" x14ac:dyDescent="0.3">
      <c r="B421" s="101" t="s">
        <v>192</v>
      </c>
      <c r="C421" s="116"/>
      <c r="D421" s="106" t="s">
        <v>237</v>
      </c>
      <c r="E421" s="315">
        <v>0</v>
      </c>
    </row>
    <row r="422" spans="2:5" x14ac:dyDescent="0.3">
      <c r="B422" s="97"/>
      <c r="C422" s="97"/>
      <c r="D422" s="94"/>
      <c r="E422" s="117"/>
    </row>
    <row r="423" spans="2:5" x14ac:dyDescent="0.3">
      <c r="B423" s="270" t="s">
        <v>1913</v>
      </c>
      <c r="C423" s="270"/>
      <c r="D423" s="117"/>
      <c r="E423" s="94"/>
    </row>
    <row r="424" spans="2:5" x14ac:dyDescent="0.3">
      <c r="B424" s="286" t="s">
        <v>1767</v>
      </c>
      <c r="C424" s="287"/>
      <c r="D424" s="106" t="s">
        <v>1427</v>
      </c>
      <c r="E424" s="315">
        <v>27</v>
      </c>
    </row>
    <row r="425" spans="2:5" x14ac:dyDescent="0.3">
      <c r="B425" s="97"/>
      <c r="C425" s="97"/>
      <c r="D425" s="117"/>
      <c r="E425" s="117"/>
    </row>
    <row r="426" spans="2:5" x14ac:dyDescent="0.3">
      <c r="B426" s="249" t="s">
        <v>1865</v>
      </c>
      <c r="C426" s="97"/>
      <c r="D426" s="94"/>
      <c r="E426" s="94"/>
    </row>
    <row r="427" spans="2:5" x14ac:dyDescent="0.3">
      <c r="B427" s="101" t="s">
        <v>1880</v>
      </c>
      <c r="C427" s="116"/>
      <c r="D427" s="106" t="s">
        <v>238</v>
      </c>
      <c r="E427" s="315">
        <v>19</v>
      </c>
    </row>
    <row r="428" spans="2:5" x14ac:dyDescent="0.3">
      <c r="B428" s="101" t="s">
        <v>1876</v>
      </c>
      <c r="C428" s="116"/>
      <c r="D428" s="106" t="s">
        <v>239</v>
      </c>
      <c r="E428" s="315">
        <v>37</v>
      </c>
    </row>
    <row r="429" spans="2:5" x14ac:dyDescent="0.3">
      <c r="B429" s="101" t="s">
        <v>1877</v>
      </c>
      <c r="C429" s="98"/>
      <c r="D429" s="106" t="s">
        <v>240</v>
      </c>
      <c r="E429" s="319">
        <v>85</v>
      </c>
    </row>
    <row r="430" spans="2:5" s="30" customFormat="1" ht="14.5" x14ac:dyDescent="0.35">
      <c r="B430" s="182"/>
      <c r="C430" s="182"/>
      <c r="D430" s="147"/>
      <c r="E430" s="181"/>
    </row>
    <row r="431" spans="2:5" s="30" customFormat="1" ht="14.5" x14ac:dyDescent="0.35">
      <c r="B431" s="114" t="s">
        <v>196</v>
      </c>
      <c r="C431" s="114"/>
      <c r="D431" s="94"/>
      <c r="E431" s="114"/>
    </row>
    <row r="432" spans="2:5" s="30" customFormat="1" ht="14.5" x14ac:dyDescent="0.35">
      <c r="B432" s="107" t="s">
        <v>1740</v>
      </c>
      <c r="C432" s="98"/>
      <c r="D432" s="106" t="s">
        <v>197</v>
      </c>
      <c r="E432" s="315">
        <v>116</v>
      </c>
    </row>
    <row r="433" spans="2:5" x14ac:dyDescent="0.3">
      <c r="B433" s="270"/>
      <c r="C433" s="270"/>
      <c r="D433" s="117"/>
      <c r="E433" s="117"/>
    </row>
    <row r="434" spans="2:5" x14ac:dyDescent="0.3">
      <c r="B434" s="249" t="s">
        <v>62</v>
      </c>
      <c r="C434" s="270"/>
      <c r="D434" s="156"/>
      <c r="E434" s="94"/>
    </row>
    <row r="435" spans="2:5" x14ac:dyDescent="0.3">
      <c r="B435" s="280" t="s">
        <v>65</v>
      </c>
      <c r="C435" s="397"/>
      <c r="D435" s="106" t="s">
        <v>66</v>
      </c>
      <c r="E435" s="315">
        <v>15</v>
      </c>
    </row>
    <row r="436" spans="2:5" x14ac:dyDescent="0.3">
      <c r="B436" s="6"/>
      <c r="C436" s="6"/>
      <c r="E436" s="149"/>
    </row>
    <row r="437" spans="2:5" s="97" customFormat="1" ht="13.5" thickBot="1" x14ac:dyDescent="0.35">
      <c r="B437" s="108"/>
      <c r="C437" s="95"/>
      <c r="D437" s="94"/>
      <c r="E437" s="117"/>
    </row>
    <row r="438" spans="2:5" ht="21.5" thickBot="1" x14ac:dyDescent="0.55000000000000004">
      <c r="B438" s="502" t="s">
        <v>241</v>
      </c>
      <c r="C438" s="503"/>
      <c r="D438" s="503"/>
      <c r="E438" s="19"/>
    </row>
    <row r="439" spans="2:5" ht="26.5" thickBot="1" x14ac:dyDescent="0.35">
      <c r="B439" s="14" t="s">
        <v>24</v>
      </c>
      <c r="C439" s="15" t="s">
        <v>25</v>
      </c>
      <c r="D439" s="16" t="s">
        <v>26</v>
      </c>
      <c r="E439" s="16"/>
    </row>
    <row r="440" spans="2:5" ht="130" x14ac:dyDescent="0.3">
      <c r="B440" s="240" t="s">
        <v>1845</v>
      </c>
      <c r="C440" s="288" t="s">
        <v>242</v>
      </c>
      <c r="D440" s="289" t="s">
        <v>243</v>
      </c>
      <c r="E440" s="324">
        <v>666</v>
      </c>
    </row>
    <row r="441" spans="2:5" ht="130" x14ac:dyDescent="0.3">
      <c r="B441" s="104" t="s">
        <v>1846</v>
      </c>
      <c r="C441" s="288" t="s">
        <v>244</v>
      </c>
      <c r="D441" s="289" t="s">
        <v>245</v>
      </c>
      <c r="E441" s="324">
        <v>1662</v>
      </c>
    </row>
    <row r="442" spans="2:5" ht="130" x14ac:dyDescent="0.3">
      <c r="B442" s="333" t="s">
        <v>1824</v>
      </c>
      <c r="C442" s="288" t="s">
        <v>1656</v>
      </c>
      <c r="D442" s="289" t="s">
        <v>1655</v>
      </c>
      <c r="E442" s="381">
        <v>2150</v>
      </c>
    </row>
    <row r="443" spans="2:5" ht="143" x14ac:dyDescent="0.3">
      <c r="B443" s="104" t="s">
        <v>1428</v>
      </c>
      <c r="C443" s="288" t="s">
        <v>246</v>
      </c>
      <c r="D443" s="289" t="s">
        <v>247</v>
      </c>
      <c r="E443" s="324">
        <v>2863</v>
      </c>
    </row>
    <row r="444" spans="2:5" s="97" customFormat="1" ht="13.5" thickBot="1" x14ac:dyDescent="0.35">
      <c r="D444" s="94"/>
      <c r="E444" s="166"/>
    </row>
    <row r="445" spans="2:5" ht="21.5" thickBot="1" x14ac:dyDescent="0.55000000000000004">
      <c r="B445" s="502" t="s">
        <v>248</v>
      </c>
      <c r="C445" s="503"/>
      <c r="D445" s="503"/>
      <c r="E445" s="19"/>
    </row>
    <row r="446" spans="2:5" ht="26.5" thickBot="1" x14ac:dyDescent="0.35">
      <c r="B446" s="14" t="s">
        <v>24</v>
      </c>
      <c r="C446" s="15" t="s">
        <v>25</v>
      </c>
      <c r="D446" s="16" t="s">
        <v>26</v>
      </c>
      <c r="E446" s="16"/>
    </row>
    <row r="447" spans="2:5" x14ac:dyDescent="0.3">
      <c r="B447" s="44" t="s">
        <v>249</v>
      </c>
      <c r="C447" s="44"/>
      <c r="D447" s="48"/>
      <c r="E447" s="45"/>
    </row>
    <row r="448" spans="2:5" x14ac:dyDescent="0.3">
      <c r="B448" s="49" t="s">
        <v>34</v>
      </c>
      <c r="C448" s="46"/>
      <c r="D448" s="46"/>
      <c r="E448" s="46"/>
    </row>
    <row r="449" spans="2:6" x14ac:dyDescent="0.3">
      <c r="B449" s="98" t="s">
        <v>250</v>
      </c>
      <c r="C449" s="116"/>
      <c r="D449" s="106" t="s">
        <v>251</v>
      </c>
      <c r="E449" s="315">
        <v>133</v>
      </c>
    </row>
    <row r="450" spans="2:6" x14ac:dyDescent="0.3">
      <c r="B450" s="98" t="s">
        <v>252</v>
      </c>
      <c r="C450" s="116"/>
      <c r="D450" s="106" t="s">
        <v>253</v>
      </c>
      <c r="E450" s="315">
        <v>267</v>
      </c>
    </row>
    <row r="451" spans="2:6" x14ac:dyDescent="0.3">
      <c r="B451" s="98" t="s">
        <v>254</v>
      </c>
      <c r="C451" s="116"/>
      <c r="D451" s="106" t="s">
        <v>255</v>
      </c>
      <c r="E451" s="315">
        <v>378</v>
      </c>
    </row>
    <row r="452" spans="2:6" x14ac:dyDescent="0.3">
      <c r="B452" s="98" t="s">
        <v>256</v>
      </c>
      <c r="C452" s="116"/>
      <c r="D452" s="106" t="s">
        <v>257</v>
      </c>
      <c r="E452" s="315">
        <v>488</v>
      </c>
    </row>
    <row r="453" spans="2:6" x14ac:dyDescent="0.3">
      <c r="B453" s="98" t="s">
        <v>258</v>
      </c>
      <c r="C453" s="116"/>
      <c r="D453" s="106" t="s">
        <v>259</v>
      </c>
      <c r="E453" s="315">
        <v>666</v>
      </c>
    </row>
    <row r="454" spans="2:6" x14ac:dyDescent="0.3">
      <c r="B454" s="98" t="s">
        <v>260</v>
      </c>
      <c r="C454" s="116"/>
      <c r="D454" s="106" t="s">
        <v>261</v>
      </c>
      <c r="E454" s="315">
        <v>854</v>
      </c>
    </row>
    <row r="455" spans="2:6" x14ac:dyDescent="0.3">
      <c r="B455" s="98" t="s">
        <v>262</v>
      </c>
      <c r="C455" s="116"/>
      <c r="D455" s="123" t="s">
        <v>263</v>
      </c>
      <c r="E455" s="315">
        <v>1100</v>
      </c>
    </row>
    <row r="456" spans="2:6" x14ac:dyDescent="0.3">
      <c r="B456" s="134"/>
      <c r="C456" s="97"/>
      <c r="D456" s="130"/>
      <c r="E456" s="130"/>
    </row>
    <row r="457" spans="2:6" x14ac:dyDescent="0.3">
      <c r="B457" s="114" t="s">
        <v>39</v>
      </c>
      <c r="C457" s="290"/>
      <c r="D457" s="128"/>
      <c r="E457" s="128"/>
    </row>
    <row r="458" spans="2:6" x14ac:dyDescent="0.3">
      <c r="B458" s="98" t="s">
        <v>264</v>
      </c>
      <c r="C458" s="116"/>
      <c r="D458" s="111" t="s">
        <v>265</v>
      </c>
      <c r="E458" s="315">
        <v>232</v>
      </c>
    </row>
    <row r="459" spans="2:6" x14ac:dyDescent="0.3">
      <c r="B459" s="116" t="s">
        <v>1825</v>
      </c>
      <c r="C459" s="116"/>
      <c r="D459" s="106" t="s">
        <v>266</v>
      </c>
      <c r="E459" s="315">
        <v>656</v>
      </c>
    </row>
    <row r="460" spans="2:6" x14ac:dyDescent="0.3">
      <c r="B460" s="98" t="s">
        <v>1826</v>
      </c>
      <c r="C460" s="116"/>
      <c r="D460" s="106" t="s">
        <v>267</v>
      </c>
      <c r="E460" s="315">
        <v>832</v>
      </c>
    </row>
    <row r="461" spans="2:6" x14ac:dyDescent="0.3">
      <c r="B461" s="98" t="s">
        <v>1660</v>
      </c>
      <c r="C461" s="291"/>
      <c r="D461" s="106" t="s">
        <v>268</v>
      </c>
      <c r="E461" s="315">
        <v>1544</v>
      </c>
      <c r="F461" s="18"/>
    </row>
    <row r="462" spans="2:6" x14ac:dyDescent="0.3">
      <c r="B462" s="98" t="s">
        <v>1662</v>
      </c>
      <c r="C462" s="116"/>
      <c r="D462" s="106" t="s">
        <v>269</v>
      </c>
      <c r="E462" s="315">
        <v>1896</v>
      </c>
    </row>
    <row r="463" spans="2:6" x14ac:dyDescent="0.3">
      <c r="B463" s="98" t="s">
        <v>1429</v>
      </c>
      <c r="C463" s="116"/>
      <c r="D463" s="123" t="s">
        <v>270</v>
      </c>
      <c r="E463" s="315">
        <v>3320</v>
      </c>
    </row>
    <row r="464" spans="2:6" x14ac:dyDescent="0.3">
      <c r="B464" s="95"/>
      <c r="C464" s="95"/>
      <c r="D464" s="130"/>
      <c r="E464" s="130"/>
    </row>
    <row r="465" spans="2:5" x14ac:dyDescent="0.3">
      <c r="B465" s="108" t="s">
        <v>1154</v>
      </c>
      <c r="C465" s="119"/>
      <c r="D465" s="94"/>
      <c r="E465" s="94"/>
    </row>
    <row r="466" spans="2:5" x14ac:dyDescent="0.3">
      <c r="B466" s="119" t="s">
        <v>1640</v>
      </c>
      <c r="C466" s="119"/>
      <c r="D466" s="110"/>
      <c r="E466" s="110"/>
    </row>
    <row r="467" spans="2:5" x14ac:dyDescent="0.3">
      <c r="B467" s="213" t="s">
        <v>45</v>
      </c>
      <c r="C467" s="230"/>
      <c r="D467" s="219" t="s">
        <v>273</v>
      </c>
      <c r="E467" s="315">
        <v>72</v>
      </c>
    </row>
    <row r="468" spans="2:5" x14ac:dyDescent="0.3">
      <c r="B468" s="98" t="s">
        <v>47</v>
      </c>
      <c r="C468" s="116"/>
      <c r="D468" s="219" t="s">
        <v>275</v>
      </c>
      <c r="E468" s="315">
        <v>310</v>
      </c>
    </row>
    <row r="469" spans="2:5" x14ac:dyDescent="0.3">
      <c r="B469" s="384" t="s">
        <v>1342</v>
      </c>
      <c r="C469" s="371"/>
      <c r="D469" s="385" t="s">
        <v>1863</v>
      </c>
      <c r="E469" s="398">
        <v>713</v>
      </c>
    </row>
    <row r="470" spans="2:5" x14ac:dyDescent="0.3">
      <c r="B470" s="181"/>
      <c r="C470" s="146"/>
      <c r="D470" s="147"/>
      <c r="E470" s="180"/>
    </row>
    <row r="471" spans="2:5" x14ac:dyDescent="0.3">
      <c r="B471" s="119" t="s">
        <v>1641</v>
      </c>
      <c r="C471" s="146"/>
      <c r="D471" s="147"/>
      <c r="E471" s="180"/>
    </row>
    <row r="472" spans="2:5" x14ac:dyDescent="0.3">
      <c r="B472" s="213" t="s">
        <v>92</v>
      </c>
      <c r="C472" s="230"/>
      <c r="D472" s="219" t="s">
        <v>51</v>
      </c>
      <c r="E472" s="315">
        <v>129</v>
      </c>
    </row>
    <row r="473" spans="2:5" x14ac:dyDescent="0.3">
      <c r="B473" s="213" t="s">
        <v>45</v>
      </c>
      <c r="C473" s="230"/>
      <c r="D473" s="219" t="s">
        <v>52</v>
      </c>
      <c r="E473" s="315">
        <v>200</v>
      </c>
    </row>
    <row r="474" spans="2:5" x14ac:dyDescent="0.3">
      <c r="B474" s="213" t="s">
        <v>47</v>
      </c>
      <c r="C474" s="230"/>
      <c r="D474" s="219" t="s">
        <v>53</v>
      </c>
      <c r="E474" s="315">
        <v>438</v>
      </c>
    </row>
    <row r="475" spans="2:5" x14ac:dyDescent="0.3">
      <c r="B475" s="213" t="s">
        <v>1342</v>
      </c>
      <c r="C475" s="230"/>
      <c r="D475" s="219" t="s">
        <v>1344</v>
      </c>
      <c r="E475" s="315">
        <v>841</v>
      </c>
    </row>
    <row r="476" spans="2:5" x14ac:dyDescent="0.3">
      <c r="B476" s="201"/>
      <c r="C476" s="181"/>
      <c r="D476" s="181"/>
      <c r="E476" s="181"/>
    </row>
    <row r="477" spans="2:5" x14ac:dyDescent="0.3">
      <c r="B477" s="119" t="s">
        <v>1532</v>
      </c>
      <c r="C477" s="97"/>
      <c r="D477" s="97"/>
      <c r="E477" s="97"/>
    </row>
    <row r="478" spans="2:5" x14ac:dyDescent="0.3">
      <c r="B478" s="98" t="s">
        <v>1535</v>
      </c>
      <c r="C478" s="116"/>
      <c r="D478" s="106" t="s">
        <v>313</v>
      </c>
      <c r="E478" s="315">
        <v>112</v>
      </c>
    </row>
    <row r="479" spans="2:5" x14ac:dyDescent="0.3">
      <c r="B479" s="98" t="s">
        <v>1536</v>
      </c>
      <c r="C479" s="116"/>
      <c r="D479" s="106" t="s">
        <v>315</v>
      </c>
      <c r="E479" s="315">
        <v>112</v>
      </c>
    </row>
    <row r="480" spans="2:5" x14ac:dyDescent="0.3">
      <c r="B480" s="181"/>
      <c r="C480" s="146"/>
      <c r="D480" s="146"/>
      <c r="E480" s="146"/>
    </row>
    <row r="481" spans="2:5" x14ac:dyDescent="0.3">
      <c r="B481" s="119" t="s">
        <v>1527</v>
      </c>
      <c r="C481" s="95"/>
      <c r="D481" s="95"/>
      <c r="E481" s="95"/>
    </row>
    <row r="482" spans="2:5" x14ac:dyDescent="0.3">
      <c r="B482" s="98" t="s">
        <v>318</v>
      </c>
      <c r="C482" s="116"/>
      <c r="D482" s="106" t="s">
        <v>319</v>
      </c>
      <c r="E482" s="315">
        <v>56</v>
      </c>
    </row>
    <row r="483" spans="2:5" x14ac:dyDescent="0.3">
      <c r="B483" s="98" t="s">
        <v>320</v>
      </c>
      <c r="C483" s="116"/>
      <c r="D483" s="106" t="s">
        <v>321</v>
      </c>
      <c r="E483" s="315">
        <v>67</v>
      </c>
    </row>
    <row r="484" spans="2:5" x14ac:dyDescent="0.3">
      <c r="B484" s="98" t="s">
        <v>96</v>
      </c>
      <c r="C484" s="98"/>
      <c r="D484" s="106" t="s">
        <v>322</v>
      </c>
      <c r="E484" s="315">
        <v>144</v>
      </c>
    </row>
    <row r="485" spans="2:5" x14ac:dyDescent="0.3">
      <c r="B485" s="98" t="s">
        <v>323</v>
      </c>
      <c r="C485" s="116"/>
      <c r="D485" s="106" t="s">
        <v>324</v>
      </c>
      <c r="E485" s="315">
        <v>222</v>
      </c>
    </row>
    <row r="486" spans="2:5" x14ac:dyDescent="0.3">
      <c r="B486" s="98" t="s">
        <v>325</v>
      </c>
      <c r="C486" s="116"/>
      <c r="D486" s="106" t="s">
        <v>326</v>
      </c>
      <c r="E486" s="315">
        <v>339</v>
      </c>
    </row>
    <row r="487" spans="2:5" x14ac:dyDescent="0.3">
      <c r="B487" s="95"/>
      <c r="C487" s="97"/>
      <c r="D487" s="130"/>
      <c r="E487" s="130"/>
    </row>
    <row r="488" spans="2:5" x14ac:dyDescent="0.3">
      <c r="B488" s="108" t="s">
        <v>54</v>
      </c>
      <c r="C488" s="97"/>
      <c r="D488" s="94"/>
      <c r="E488" s="220"/>
    </row>
    <row r="489" spans="2:5" x14ac:dyDescent="0.3">
      <c r="B489" s="119" t="s">
        <v>334</v>
      </c>
      <c r="C489" s="97"/>
      <c r="D489" s="94"/>
      <c r="E489" s="220"/>
    </row>
    <row r="490" spans="2:5" x14ac:dyDescent="0.3">
      <c r="B490" s="98" t="s">
        <v>337</v>
      </c>
      <c r="C490" s="98"/>
      <c r="D490" s="219" t="s">
        <v>335</v>
      </c>
      <c r="E490" s="315">
        <v>438</v>
      </c>
    </row>
    <row r="491" spans="2:5" x14ac:dyDescent="0.3">
      <c r="B491" s="98" t="s">
        <v>338</v>
      </c>
      <c r="C491" s="98"/>
      <c r="D491" s="219" t="s">
        <v>336</v>
      </c>
      <c r="E491" s="315">
        <v>2028</v>
      </c>
    </row>
    <row r="492" spans="2:5" x14ac:dyDescent="0.3">
      <c r="B492" s="119" t="s">
        <v>339</v>
      </c>
      <c r="C492" s="95"/>
      <c r="D492" s="120"/>
      <c r="E492" s="120"/>
    </row>
    <row r="493" spans="2:5" x14ac:dyDescent="0.3">
      <c r="B493" s="101" t="s">
        <v>1345</v>
      </c>
      <c r="C493" s="98"/>
      <c r="D493" s="118" t="s">
        <v>55</v>
      </c>
      <c r="E493" s="315">
        <v>125</v>
      </c>
    </row>
    <row r="494" spans="2:5" s="8" customFormat="1" x14ac:dyDescent="0.35">
      <c r="B494" s="98" t="s">
        <v>340</v>
      </c>
      <c r="C494" s="98"/>
      <c r="D494" s="106" t="s">
        <v>127</v>
      </c>
      <c r="E494" s="315">
        <v>186</v>
      </c>
    </row>
    <row r="495" spans="2:5" s="8" customFormat="1" x14ac:dyDescent="0.35">
      <c r="B495" s="98" t="s">
        <v>1323</v>
      </c>
      <c r="C495" s="98"/>
      <c r="D495" s="106" t="s">
        <v>128</v>
      </c>
      <c r="E495" s="315">
        <v>438</v>
      </c>
    </row>
    <row r="496" spans="2:5" x14ac:dyDescent="0.3">
      <c r="B496" s="101" t="s">
        <v>1501</v>
      </c>
      <c r="C496" s="98"/>
      <c r="D496" s="106" t="s">
        <v>129</v>
      </c>
      <c r="E496" s="315">
        <v>679</v>
      </c>
    </row>
    <row r="497" spans="2:5" s="8" customFormat="1" x14ac:dyDescent="0.35">
      <c r="B497" s="101" t="s">
        <v>1298</v>
      </c>
      <c r="C497" s="98"/>
      <c r="D497" s="106" t="s">
        <v>130</v>
      </c>
      <c r="E497" s="315">
        <v>1253</v>
      </c>
    </row>
    <row r="498" spans="2:5" x14ac:dyDescent="0.3">
      <c r="B498" s="98" t="s">
        <v>342</v>
      </c>
      <c r="C498" s="116"/>
      <c r="D498" s="129" t="s">
        <v>341</v>
      </c>
      <c r="E498" s="315">
        <v>1396</v>
      </c>
    </row>
    <row r="499" spans="2:5" x14ac:dyDescent="0.3">
      <c r="B499" s="101" t="s">
        <v>1430</v>
      </c>
      <c r="C499" s="98"/>
      <c r="D499" s="106" t="s">
        <v>134</v>
      </c>
      <c r="E499" s="315">
        <v>2683</v>
      </c>
    </row>
    <row r="500" spans="2:5" x14ac:dyDescent="0.3">
      <c r="B500" s="98" t="s">
        <v>344</v>
      </c>
      <c r="C500" s="98"/>
      <c r="D500" s="106" t="s">
        <v>343</v>
      </c>
      <c r="E500" s="315">
        <v>3073</v>
      </c>
    </row>
    <row r="501" spans="2:5" x14ac:dyDescent="0.3">
      <c r="B501" s="98" t="s">
        <v>347</v>
      </c>
      <c r="C501" s="98"/>
      <c r="D501" s="118" t="s">
        <v>346</v>
      </c>
      <c r="E501" s="315">
        <v>6348</v>
      </c>
    </row>
    <row r="502" spans="2:5" x14ac:dyDescent="0.3">
      <c r="B502" s="119" t="s">
        <v>132</v>
      </c>
      <c r="C502" s="95"/>
      <c r="D502" s="120"/>
      <c r="E502" s="120"/>
    </row>
    <row r="503" spans="2:5" x14ac:dyDescent="0.3">
      <c r="B503" s="371" t="s">
        <v>1642</v>
      </c>
      <c r="C503" s="98"/>
      <c r="D503" s="106" t="s">
        <v>348</v>
      </c>
      <c r="E503" s="315">
        <v>724</v>
      </c>
    </row>
    <row r="504" spans="2:5" x14ac:dyDescent="0.3">
      <c r="B504" s="119" t="s">
        <v>350</v>
      </c>
      <c r="C504" s="95"/>
      <c r="D504" s="120"/>
      <c r="E504" s="120"/>
    </row>
    <row r="505" spans="2:5" s="8" customFormat="1" x14ac:dyDescent="0.35">
      <c r="B505" s="371" t="s">
        <v>1643</v>
      </c>
      <c r="C505" s="98"/>
      <c r="D505" s="106" t="s">
        <v>351</v>
      </c>
      <c r="E505" s="315">
        <v>2655</v>
      </c>
    </row>
    <row r="506" spans="2:5" s="8" customFormat="1" x14ac:dyDescent="0.35">
      <c r="B506" s="371" t="s">
        <v>1644</v>
      </c>
      <c r="C506" s="98"/>
      <c r="D506" s="106" t="s">
        <v>352</v>
      </c>
      <c r="E506" s="315">
        <v>2861</v>
      </c>
    </row>
    <row r="507" spans="2:5" x14ac:dyDescent="0.3">
      <c r="B507" s="98" t="s">
        <v>353</v>
      </c>
      <c r="C507" s="98"/>
      <c r="D507" s="106" t="s">
        <v>354</v>
      </c>
      <c r="E507" s="315">
        <v>2939</v>
      </c>
    </row>
    <row r="508" spans="2:5" x14ac:dyDescent="0.3">
      <c r="B508" s="98" t="s">
        <v>355</v>
      </c>
      <c r="C508" s="98"/>
      <c r="D508" s="106" t="s">
        <v>356</v>
      </c>
      <c r="E508" s="315">
        <v>3145</v>
      </c>
    </row>
    <row r="509" spans="2:5" x14ac:dyDescent="0.3">
      <c r="B509" s="95"/>
      <c r="C509" s="97"/>
      <c r="D509" s="130"/>
      <c r="E509" s="130"/>
    </row>
    <row r="510" spans="2:5" x14ac:dyDescent="0.3">
      <c r="B510" s="114" t="s">
        <v>98</v>
      </c>
      <c r="C510" s="97"/>
      <c r="D510" s="128"/>
      <c r="E510" s="128"/>
    </row>
    <row r="511" spans="2:5" x14ac:dyDescent="0.3">
      <c r="B511" s="98" t="s">
        <v>357</v>
      </c>
      <c r="C511" s="116"/>
      <c r="D511" s="129" t="s">
        <v>358</v>
      </c>
      <c r="E511" s="315">
        <v>12</v>
      </c>
    </row>
    <row r="512" spans="2:5" x14ac:dyDescent="0.3">
      <c r="B512" s="98" t="s">
        <v>1537</v>
      </c>
      <c r="C512" s="116"/>
      <c r="D512" s="129" t="s">
        <v>360</v>
      </c>
      <c r="E512" s="315">
        <v>23</v>
      </c>
    </row>
    <row r="513" spans="2:5" x14ac:dyDescent="0.3">
      <c r="B513" s="95"/>
      <c r="C513" s="97"/>
      <c r="D513" s="130"/>
      <c r="E513" s="130"/>
    </row>
    <row r="514" spans="2:5" x14ac:dyDescent="0.3">
      <c r="B514" s="114" t="s">
        <v>361</v>
      </c>
      <c r="C514" s="97"/>
      <c r="D514" s="128"/>
      <c r="E514" s="128"/>
    </row>
    <row r="515" spans="2:5" x14ac:dyDescent="0.3">
      <c r="B515" s="98" t="s">
        <v>104</v>
      </c>
      <c r="C515" s="116"/>
      <c r="D515" s="129" t="s">
        <v>362</v>
      </c>
      <c r="E515" s="315">
        <v>34</v>
      </c>
    </row>
    <row r="516" spans="2:5" x14ac:dyDescent="0.3">
      <c r="B516" s="116" t="s">
        <v>1431</v>
      </c>
      <c r="C516" s="116"/>
      <c r="D516" s="129" t="s">
        <v>363</v>
      </c>
      <c r="E516" s="315">
        <v>212</v>
      </c>
    </row>
    <row r="517" spans="2:5" x14ac:dyDescent="0.3">
      <c r="B517" s="113" t="s">
        <v>1714</v>
      </c>
      <c r="C517" s="298"/>
      <c r="D517" s="129" t="s">
        <v>364</v>
      </c>
      <c r="E517" s="315">
        <v>39</v>
      </c>
    </row>
    <row r="518" spans="2:5" x14ac:dyDescent="0.3">
      <c r="B518" s="98" t="s">
        <v>137</v>
      </c>
      <c r="C518" s="116"/>
      <c r="D518" s="129" t="s">
        <v>365</v>
      </c>
      <c r="E518" s="315">
        <v>27</v>
      </c>
    </row>
    <row r="519" spans="2:5" x14ac:dyDescent="0.3">
      <c r="B519" s="95"/>
      <c r="C519" s="97"/>
      <c r="D519" s="130"/>
      <c r="E519" s="130"/>
    </row>
    <row r="520" spans="2:5" x14ac:dyDescent="0.3">
      <c r="B520" s="108" t="s">
        <v>62</v>
      </c>
      <c r="C520" s="290"/>
      <c r="D520" s="128"/>
      <c r="E520" s="128"/>
    </row>
    <row r="521" spans="2:5" x14ac:dyDescent="0.3">
      <c r="B521" s="292" t="s">
        <v>65</v>
      </c>
      <c r="C521" s="293"/>
      <c r="D521" s="106" t="s">
        <v>66</v>
      </c>
      <c r="E521" s="315">
        <v>15</v>
      </c>
    </row>
    <row r="522" spans="2:5" x14ac:dyDescent="0.3">
      <c r="B522" s="95"/>
      <c r="C522" s="97"/>
      <c r="D522" s="130"/>
      <c r="E522" s="130"/>
    </row>
    <row r="523" spans="2:5" x14ac:dyDescent="0.3">
      <c r="B523" s="114" t="s">
        <v>67</v>
      </c>
      <c r="C523" s="97"/>
      <c r="D523" s="128"/>
      <c r="E523" s="128"/>
    </row>
    <row r="524" spans="2:5" x14ac:dyDescent="0.3">
      <c r="B524" s="98" t="s">
        <v>68</v>
      </c>
      <c r="C524" s="116"/>
      <c r="D524" s="129" t="s">
        <v>366</v>
      </c>
      <c r="E524" s="315">
        <v>0</v>
      </c>
    </row>
    <row r="525" spans="2:5" x14ac:dyDescent="0.3">
      <c r="B525" s="95"/>
      <c r="C525" s="97"/>
      <c r="D525" s="130"/>
      <c r="E525" s="130"/>
    </row>
    <row r="526" spans="2:5" x14ac:dyDescent="0.3">
      <c r="B526" s="108" t="s">
        <v>367</v>
      </c>
      <c r="C526" s="97"/>
      <c r="D526" s="128"/>
      <c r="E526" s="128"/>
    </row>
    <row r="527" spans="2:5" x14ac:dyDescent="0.3">
      <c r="B527" s="292" t="s">
        <v>368</v>
      </c>
      <c r="C527" s="116"/>
      <c r="D527" s="129" t="s">
        <v>369</v>
      </c>
      <c r="E527" s="315">
        <v>50</v>
      </c>
    </row>
    <row r="528" spans="2:5" x14ac:dyDescent="0.3">
      <c r="B528" s="8"/>
      <c r="C528" s="6"/>
      <c r="D528" s="23"/>
      <c r="E528" s="23"/>
    </row>
    <row r="529" spans="2:5" x14ac:dyDescent="0.3">
      <c r="B529" s="20"/>
      <c r="E529" s="9"/>
    </row>
    <row r="530" spans="2:5" x14ac:dyDescent="0.3">
      <c r="B530" s="44" t="s">
        <v>374</v>
      </c>
      <c r="C530" s="44"/>
      <c r="D530" s="51"/>
      <c r="E530" s="51"/>
    </row>
    <row r="531" spans="2:5" ht="14.5" x14ac:dyDescent="0.3">
      <c r="B531" s="24" t="s">
        <v>34</v>
      </c>
      <c r="C531" s="37"/>
      <c r="D531" s="23"/>
      <c r="E531" s="23"/>
    </row>
    <row r="532" spans="2:5" ht="14.5" x14ac:dyDescent="0.3">
      <c r="B532" s="39" t="s">
        <v>375</v>
      </c>
      <c r="C532" s="37"/>
      <c r="D532" s="50"/>
      <c r="E532" s="50"/>
    </row>
    <row r="533" spans="2:5" x14ac:dyDescent="0.3">
      <c r="B533" s="98" t="s">
        <v>376</v>
      </c>
      <c r="C533" s="101"/>
      <c r="D533" s="121" t="s">
        <v>377</v>
      </c>
      <c r="E533" s="315">
        <v>79</v>
      </c>
    </row>
    <row r="534" spans="2:5" x14ac:dyDescent="0.3">
      <c r="B534" s="98" t="s">
        <v>378</v>
      </c>
      <c r="C534" s="101"/>
      <c r="D534" s="121" t="s">
        <v>379</v>
      </c>
      <c r="E534" s="315">
        <v>499</v>
      </c>
    </row>
    <row r="535" spans="2:5" x14ac:dyDescent="0.3">
      <c r="B535" s="98" t="s">
        <v>380</v>
      </c>
      <c r="C535" s="101"/>
      <c r="D535" s="121" t="s">
        <v>381</v>
      </c>
      <c r="E535" s="315">
        <v>800</v>
      </c>
    </row>
    <row r="536" spans="2:5" x14ac:dyDescent="0.3">
      <c r="B536" s="119" t="s">
        <v>382</v>
      </c>
      <c r="C536" s="119"/>
      <c r="D536" s="126"/>
      <c r="E536" s="126"/>
    </row>
    <row r="537" spans="2:5" x14ac:dyDescent="0.3">
      <c r="B537" s="98" t="s">
        <v>383</v>
      </c>
      <c r="C537" s="101"/>
      <c r="D537" s="121" t="s">
        <v>384</v>
      </c>
      <c r="E537" s="315">
        <v>1366</v>
      </c>
    </row>
    <row r="538" spans="2:5" x14ac:dyDescent="0.3">
      <c r="B538" s="98" t="s">
        <v>385</v>
      </c>
      <c r="C538" s="101"/>
      <c r="D538" s="121" t="s">
        <v>386</v>
      </c>
      <c r="E538" s="315">
        <v>1999</v>
      </c>
    </row>
    <row r="539" spans="2:5" x14ac:dyDescent="0.3">
      <c r="B539" s="98" t="s">
        <v>387</v>
      </c>
      <c r="C539" s="101"/>
      <c r="D539" s="121" t="s">
        <v>388</v>
      </c>
      <c r="E539" s="315">
        <v>1609</v>
      </c>
    </row>
    <row r="540" spans="2:5" x14ac:dyDescent="0.3">
      <c r="B540" s="98" t="s">
        <v>389</v>
      </c>
      <c r="C540" s="101"/>
      <c r="D540" s="121" t="s">
        <v>390</v>
      </c>
      <c r="E540" s="315">
        <v>2776</v>
      </c>
    </row>
    <row r="541" spans="2:5" x14ac:dyDescent="0.3">
      <c r="B541" s="98" t="s">
        <v>391</v>
      </c>
      <c r="C541" s="101"/>
      <c r="D541" s="121" t="s">
        <v>392</v>
      </c>
      <c r="E541" s="315">
        <v>3331</v>
      </c>
    </row>
    <row r="542" spans="2:5" x14ac:dyDescent="0.3">
      <c r="B542" s="98" t="s">
        <v>393</v>
      </c>
      <c r="C542" s="101"/>
      <c r="D542" s="121" t="s">
        <v>394</v>
      </c>
      <c r="E542" s="315">
        <v>5442</v>
      </c>
    </row>
    <row r="543" spans="2:5" x14ac:dyDescent="0.3">
      <c r="B543" s="98" t="s">
        <v>395</v>
      </c>
      <c r="C543" s="101"/>
      <c r="D543" s="121" t="s">
        <v>396</v>
      </c>
      <c r="E543" s="315">
        <v>4275</v>
      </c>
    </row>
    <row r="544" spans="2:5" x14ac:dyDescent="0.3">
      <c r="B544" s="98" t="s">
        <v>397</v>
      </c>
      <c r="C544" s="101"/>
      <c r="D544" s="121" t="s">
        <v>398</v>
      </c>
      <c r="E544" s="315">
        <v>6440</v>
      </c>
    </row>
    <row r="545" spans="2:5" x14ac:dyDescent="0.3">
      <c r="B545" s="98" t="s">
        <v>399</v>
      </c>
      <c r="C545" s="101"/>
      <c r="D545" s="121" t="s">
        <v>400</v>
      </c>
      <c r="E545" s="315">
        <v>6774</v>
      </c>
    </row>
    <row r="546" spans="2:5" x14ac:dyDescent="0.3">
      <c r="B546" s="119" t="s">
        <v>401</v>
      </c>
      <c r="C546" s="119"/>
      <c r="D546" s="126"/>
      <c r="E546" s="126"/>
    </row>
    <row r="547" spans="2:5" x14ac:dyDescent="0.3">
      <c r="B547" s="98" t="s">
        <v>402</v>
      </c>
      <c r="C547" s="101"/>
      <c r="D547" s="121" t="s">
        <v>403</v>
      </c>
      <c r="E547" s="315">
        <v>4553</v>
      </c>
    </row>
    <row r="548" spans="2:5" x14ac:dyDescent="0.3">
      <c r="B548" s="98" t="s">
        <v>404</v>
      </c>
      <c r="C548" s="101"/>
      <c r="D548" s="121" t="s">
        <v>405</v>
      </c>
      <c r="E548" s="315">
        <v>7440</v>
      </c>
    </row>
    <row r="549" spans="2:5" x14ac:dyDescent="0.3">
      <c r="B549" s="98" t="s">
        <v>406</v>
      </c>
      <c r="C549" s="101"/>
      <c r="D549" s="121" t="s">
        <v>407</v>
      </c>
      <c r="E549" s="315">
        <v>10993</v>
      </c>
    </row>
    <row r="550" spans="2:5" x14ac:dyDescent="0.3">
      <c r="B550" s="98" t="s">
        <v>408</v>
      </c>
      <c r="C550" s="101"/>
      <c r="D550" s="121" t="s">
        <v>409</v>
      </c>
      <c r="E550" s="315">
        <v>14325</v>
      </c>
    </row>
    <row r="551" spans="2:5" x14ac:dyDescent="0.3">
      <c r="B551" s="98" t="s">
        <v>410</v>
      </c>
      <c r="C551" s="101"/>
      <c r="D551" s="121" t="s">
        <v>411</v>
      </c>
      <c r="E551" s="315">
        <v>18322</v>
      </c>
    </row>
    <row r="552" spans="2:5" x14ac:dyDescent="0.3">
      <c r="B552" s="98" t="s">
        <v>412</v>
      </c>
      <c r="C552" s="101"/>
      <c r="D552" s="121" t="s">
        <v>413</v>
      </c>
      <c r="E552" s="315">
        <v>16656</v>
      </c>
    </row>
    <row r="553" spans="2:5" x14ac:dyDescent="0.3">
      <c r="B553" s="98" t="s">
        <v>414</v>
      </c>
      <c r="C553" s="101"/>
      <c r="D553" s="121" t="s">
        <v>415</v>
      </c>
      <c r="E553" s="315">
        <v>20431</v>
      </c>
    </row>
    <row r="554" spans="2:5" x14ac:dyDescent="0.3">
      <c r="B554" s="95"/>
      <c r="C554" s="97"/>
      <c r="D554" s="130"/>
      <c r="E554" s="130"/>
    </row>
    <row r="555" spans="2:5" x14ac:dyDescent="0.3">
      <c r="B555" s="108" t="s">
        <v>39</v>
      </c>
      <c r="C555" s="95"/>
      <c r="D555" s="128"/>
      <c r="E555" s="128"/>
    </row>
    <row r="556" spans="2:5" x14ac:dyDescent="0.3">
      <c r="B556" s="113" t="s">
        <v>416</v>
      </c>
      <c r="C556" s="116"/>
      <c r="D556" s="121" t="s">
        <v>417</v>
      </c>
      <c r="E556" s="315">
        <v>424</v>
      </c>
    </row>
    <row r="557" spans="2:5" x14ac:dyDescent="0.3">
      <c r="B557" s="113" t="s">
        <v>418</v>
      </c>
      <c r="C557" s="116"/>
      <c r="D557" s="121" t="s">
        <v>419</v>
      </c>
      <c r="E557" s="315">
        <v>464</v>
      </c>
    </row>
    <row r="558" spans="2:5" x14ac:dyDescent="0.3">
      <c r="B558" s="113" t="s">
        <v>420</v>
      </c>
      <c r="C558" s="116"/>
      <c r="D558" s="121" t="s">
        <v>421</v>
      </c>
      <c r="E558" s="315">
        <v>928</v>
      </c>
    </row>
    <row r="559" spans="2:5" x14ac:dyDescent="0.3">
      <c r="B559" s="113" t="s">
        <v>1660</v>
      </c>
      <c r="C559" s="116"/>
      <c r="D559" s="121" t="s">
        <v>423</v>
      </c>
      <c r="E559" s="315">
        <v>1312</v>
      </c>
    </row>
    <row r="560" spans="2:5" x14ac:dyDescent="0.3">
      <c r="B560" s="113" t="s">
        <v>1827</v>
      </c>
      <c r="C560" s="116"/>
      <c r="D560" s="121" t="s">
        <v>425</v>
      </c>
      <c r="E560" s="315">
        <v>2728</v>
      </c>
    </row>
    <row r="561" spans="2:5" x14ac:dyDescent="0.3">
      <c r="B561" s="113" t="s">
        <v>1664</v>
      </c>
      <c r="C561" s="116"/>
      <c r="D561" s="121" t="s">
        <v>427</v>
      </c>
      <c r="E561" s="315">
        <v>3088</v>
      </c>
    </row>
    <row r="562" spans="2:5" x14ac:dyDescent="0.3">
      <c r="B562" s="113" t="s">
        <v>428</v>
      </c>
      <c r="C562" s="116"/>
      <c r="D562" s="121" t="s">
        <v>429</v>
      </c>
      <c r="E562" s="315">
        <v>4864</v>
      </c>
    </row>
    <row r="563" spans="2:5" s="36" customFormat="1" x14ac:dyDescent="0.35">
      <c r="B563" s="113" t="s">
        <v>430</v>
      </c>
      <c r="C563" s="98"/>
      <c r="D563" s="121" t="s">
        <v>431</v>
      </c>
      <c r="E563" s="315">
        <v>14808</v>
      </c>
    </row>
    <row r="564" spans="2:5" s="36" customFormat="1" x14ac:dyDescent="0.35">
      <c r="B564" s="113" t="s">
        <v>432</v>
      </c>
      <c r="C564" s="98"/>
      <c r="D564" s="121" t="s">
        <v>433</v>
      </c>
      <c r="E564" s="315">
        <v>22444</v>
      </c>
    </row>
    <row r="565" spans="2:5" s="8" customFormat="1" x14ac:dyDescent="0.35">
      <c r="B565" s="113" t="s">
        <v>434</v>
      </c>
      <c r="C565" s="98"/>
      <c r="D565" s="121" t="s">
        <v>435</v>
      </c>
      <c r="E565" s="315">
        <v>30080</v>
      </c>
    </row>
    <row r="566" spans="2:5" s="8" customFormat="1" x14ac:dyDescent="0.35">
      <c r="B566" s="113" t="s">
        <v>436</v>
      </c>
      <c r="C566" s="98"/>
      <c r="D566" s="121" t="s">
        <v>437</v>
      </c>
      <c r="E566" s="315">
        <v>45352</v>
      </c>
    </row>
    <row r="567" spans="2:5" x14ac:dyDescent="0.3">
      <c r="B567" s="134"/>
      <c r="C567" s="97"/>
      <c r="D567" s="294"/>
      <c r="E567" s="294"/>
    </row>
    <row r="568" spans="2:5" x14ac:dyDescent="0.3">
      <c r="B568" s="108" t="s">
        <v>1154</v>
      </c>
      <c r="C568" s="97"/>
      <c r="D568" s="294"/>
      <c r="E568" s="294"/>
    </row>
    <row r="569" spans="2:5" x14ac:dyDescent="0.3">
      <c r="B569" s="119" t="s">
        <v>1526</v>
      </c>
      <c r="C569" s="119"/>
      <c r="D569" s="94"/>
      <c r="E569" s="94"/>
    </row>
    <row r="570" spans="2:5" x14ac:dyDescent="0.3">
      <c r="B570" s="213" t="s">
        <v>47</v>
      </c>
      <c r="C570" s="230"/>
      <c r="D570" s="219" t="s">
        <v>438</v>
      </c>
      <c r="E570" s="315">
        <v>239</v>
      </c>
    </row>
    <row r="571" spans="2:5" x14ac:dyDescent="0.3">
      <c r="B571" s="213" t="s">
        <v>1342</v>
      </c>
      <c r="C571" s="230"/>
      <c r="D571" s="219" t="s">
        <v>439</v>
      </c>
      <c r="E571" s="315">
        <v>641</v>
      </c>
    </row>
    <row r="572" spans="2:5" x14ac:dyDescent="0.3">
      <c r="B572" s="201"/>
      <c r="C572" s="181"/>
      <c r="D572" s="147"/>
      <c r="E572" s="204"/>
    </row>
    <row r="573" spans="2:5" x14ac:dyDescent="0.3">
      <c r="B573" s="119" t="s">
        <v>1528</v>
      </c>
      <c r="C573" s="146"/>
      <c r="D573" s="147"/>
      <c r="E573" s="180"/>
    </row>
    <row r="574" spans="2:5" x14ac:dyDescent="0.3">
      <c r="B574" s="213" t="s">
        <v>45</v>
      </c>
      <c r="C574" s="230"/>
      <c r="D574" s="219" t="s">
        <v>52</v>
      </c>
      <c r="E574" s="315">
        <v>200</v>
      </c>
    </row>
    <row r="575" spans="2:5" x14ac:dyDescent="0.3">
      <c r="B575" s="213" t="s">
        <v>47</v>
      </c>
      <c r="C575" s="230"/>
      <c r="D575" s="219" t="s">
        <v>53</v>
      </c>
      <c r="E575" s="315">
        <v>438</v>
      </c>
    </row>
    <row r="576" spans="2:5" x14ac:dyDescent="0.3">
      <c r="B576" s="213" t="s">
        <v>1342</v>
      </c>
      <c r="C576" s="230"/>
      <c r="D576" s="219" t="s">
        <v>1344</v>
      </c>
      <c r="E576" s="315">
        <v>841</v>
      </c>
    </row>
    <row r="577" spans="2:5" x14ac:dyDescent="0.3">
      <c r="B577" s="201"/>
      <c r="C577" s="181"/>
      <c r="D577" s="147"/>
      <c r="E577" s="204"/>
    </row>
    <row r="578" spans="2:5" x14ac:dyDescent="0.3">
      <c r="B578" s="119" t="s">
        <v>1529</v>
      </c>
      <c r="C578" s="95"/>
      <c r="D578" s="128"/>
      <c r="E578" s="128"/>
    </row>
    <row r="579" spans="2:5" x14ac:dyDescent="0.3">
      <c r="B579" s="213" t="s">
        <v>45</v>
      </c>
      <c r="C579" s="230"/>
      <c r="D579" s="219" t="s">
        <v>52</v>
      </c>
      <c r="E579" s="315">
        <v>200</v>
      </c>
    </row>
    <row r="580" spans="2:5" x14ac:dyDescent="0.3">
      <c r="B580" s="213" t="s">
        <v>47</v>
      </c>
      <c r="C580" s="230"/>
      <c r="D580" s="219" t="s">
        <v>53</v>
      </c>
      <c r="E580" s="315">
        <v>438</v>
      </c>
    </row>
    <row r="581" spans="2:5" x14ac:dyDescent="0.3">
      <c r="B581" s="213" t="s">
        <v>1342</v>
      </c>
      <c r="C581" s="230"/>
      <c r="D581" s="219" t="s">
        <v>1344</v>
      </c>
      <c r="E581" s="315">
        <v>841</v>
      </c>
    </row>
    <row r="582" spans="2:5" x14ac:dyDescent="0.3">
      <c r="B582" s="295" t="s">
        <v>318</v>
      </c>
      <c r="C582" s="296"/>
      <c r="D582" s="219" t="s">
        <v>319</v>
      </c>
      <c r="E582" s="315">
        <v>56</v>
      </c>
    </row>
    <row r="583" spans="2:5" x14ac:dyDescent="0.3">
      <c r="B583" s="295" t="s">
        <v>320</v>
      </c>
      <c r="C583" s="296"/>
      <c r="D583" s="219" t="s">
        <v>321</v>
      </c>
      <c r="E583" s="315">
        <v>67</v>
      </c>
    </row>
    <row r="584" spans="2:5" x14ac:dyDescent="0.3">
      <c r="B584" s="295" t="s">
        <v>96</v>
      </c>
      <c r="C584" s="296"/>
      <c r="D584" s="219" t="s">
        <v>322</v>
      </c>
      <c r="E584" s="315">
        <v>144</v>
      </c>
    </row>
    <row r="585" spans="2:5" x14ac:dyDescent="0.3">
      <c r="B585" s="295" t="s">
        <v>323</v>
      </c>
      <c r="C585" s="296"/>
      <c r="D585" s="219" t="s">
        <v>324</v>
      </c>
      <c r="E585" s="315">
        <v>222</v>
      </c>
    </row>
    <row r="586" spans="2:5" x14ac:dyDescent="0.3">
      <c r="B586" s="295" t="s">
        <v>325</v>
      </c>
      <c r="C586" s="296"/>
      <c r="D586" s="219" t="s">
        <v>326</v>
      </c>
      <c r="E586" s="315">
        <v>339</v>
      </c>
    </row>
    <row r="587" spans="2:5" x14ac:dyDescent="0.3">
      <c r="B587" s="201"/>
      <c r="C587" s="181"/>
      <c r="D587" s="147"/>
      <c r="E587" s="204"/>
    </row>
    <row r="588" spans="2:5" x14ac:dyDescent="0.3">
      <c r="B588" s="119" t="s">
        <v>1532</v>
      </c>
      <c r="C588" s="97"/>
      <c r="D588" s="128"/>
      <c r="E588" s="128"/>
    </row>
    <row r="589" spans="2:5" x14ac:dyDescent="0.3">
      <c r="B589" s="98" t="s">
        <v>1533</v>
      </c>
      <c r="C589" s="116"/>
      <c r="D589" s="106" t="s">
        <v>313</v>
      </c>
      <c r="E589" s="315">
        <v>112</v>
      </c>
    </row>
    <row r="590" spans="2:5" x14ac:dyDescent="0.3">
      <c r="B590" s="98" t="s">
        <v>1534</v>
      </c>
      <c r="C590" s="116"/>
      <c r="D590" s="106" t="s">
        <v>315</v>
      </c>
      <c r="E590" s="315">
        <v>112</v>
      </c>
    </row>
    <row r="591" spans="2:5" x14ac:dyDescent="0.3">
      <c r="B591" s="201"/>
      <c r="C591" s="181"/>
      <c r="D591" s="147"/>
      <c r="E591" s="204"/>
    </row>
    <row r="592" spans="2:5" s="97" customFormat="1" x14ac:dyDescent="0.3">
      <c r="B592" s="119" t="s">
        <v>1541</v>
      </c>
      <c r="C592" s="95"/>
      <c r="D592" s="297"/>
      <c r="E592" s="297"/>
    </row>
    <row r="593" spans="2:5" s="97" customFormat="1" x14ac:dyDescent="0.3">
      <c r="B593" s="295" t="s">
        <v>1538</v>
      </c>
      <c r="C593" s="296"/>
      <c r="D593" s="219" t="s">
        <v>327</v>
      </c>
      <c r="E593" s="315">
        <v>53</v>
      </c>
    </row>
    <row r="594" spans="2:5" x14ac:dyDescent="0.3">
      <c r="B594" s="201"/>
      <c r="C594" s="181"/>
      <c r="D594" s="147"/>
      <c r="E594" s="204"/>
    </row>
    <row r="595" spans="2:5" s="97" customFormat="1" x14ac:dyDescent="0.3">
      <c r="B595" s="119" t="s">
        <v>1539</v>
      </c>
      <c r="D595" s="147"/>
      <c r="E595" s="147"/>
    </row>
    <row r="596" spans="2:5" s="97" customFormat="1" x14ac:dyDescent="0.3">
      <c r="B596" s="295" t="s">
        <v>318</v>
      </c>
      <c r="C596" s="296"/>
      <c r="D596" s="219" t="s">
        <v>319</v>
      </c>
      <c r="E596" s="315">
        <v>56</v>
      </c>
    </row>
    <row r="597" spans="2:5" s="97" customFormat="1" x14ac:dyDescent="0.3">
      <c r="B597" s="295" t="s">
        <v>320</v>
      </c>
      <c r="C597" s="296"/>
      <c r="D597" s="219" t="s">
        <v>321</v>
      </c>
      <c r="E597" s="315">
        <v>67</v>
      </c>
    </row>
    <row r="598" spans="2:5" s="97" customFormat="1" x14ac:dyDescent="0.3">
      <c r="B598" s="295" t="s">
        <v>96</v>
      </c>
      <c r="C598" s="296"/>
      <c r="D598" s="219" t="s">
        <v>322</v>
      </c>
      <c r="E598" s="315">
        <v>144</v>
      </c>
    </row>
    <row r="599" spans="2:5" s="97" customFormat="1" x14ac:dyDescent="0.3">
      <c r="B599" s="295" t="s">
        <v>323</v>
      </c>
      <c r="C599" s="296"/>
      <c r="D599" s="219" t="s">
        <v>324</v>
      </c>
      <c r="E599" s="315">
        <v>222</v>
      </c>
    </row>
    <row r="600" spans="2:5" s="97" customFormat="1" x14ac:dyDescent="0.3">
      <c r="B600" s="295" t="s">
        <v>325</v>
      </c>
      <c r="C600" s="296"/>
      <c r="D600" s="219" t="s">
        <v>326</v>
      </c>
      <c r="E600" s="315">
        <v>339</v>
      </c>
    </row>
    <row r="601" spans="2:5" x14ac:dyDescent="0.3">
      <c r="B601" s="95"/>
      <c r="C601" s="95"/>
      <c r="D601" s="95"/>
      <c r="E601" s="95"/>
    </row>
    <row r="602" spans="2:5" x14ac:dyDescent="0.3">
      <c r="B602" s="108" t="s">
        <v>54</v>
      </c>
      <c r="C602" s="95"/>
      <c r="D602" s="94"/>
      <c r="E602" s="94"/>
    </row>
    <row r="603" spans="2:5" x14ac:dyDescent="0.3">
      <c r="B603" s="119" t="s">
        <v>334</v>
      </c>
      <c r="C603" s="97"/>
      <c r="D603" s="94"/>
      <c r="E603" s="94"/>
    </row>
    <row r="604" spans="2:5" x14ac:dyDescent="0.3">
      <c r="B604" s="98" t="s">
        <v>337</v>
      </c>
      <c r="C604" s="98"/>
      <c r="D604" s="106" t="s">
        <v>443</v>
      </c>
      <c r="E604" s="319">
        <v>438</v>
      </c>
    </row>
    <row r="605" spans="2:5" x14ac:dyDescent="0.3">
      <c r="B605" s="98" t="s">
        <v>338</v>
      </c>
      <c r="C605" s="98"/>
      <c r="D605" s="106" t="s">
        <v>444</v>
      </c>
      <c r="E605" s="319">
        <v>2028</v>
      </c>
    </row>
    <row r="606" spans="2:5" x14ac:dyDescent="0.3">
      <c r="B606" s="119" t="s">
        <v>339</v>
      </c>
      <c r="C606" s="95"/>
      <c r="D606" s="94"/>
      <c r="E606" s="112"/>
    </row>
    <row r="607" spans="2:5" s="8" customFormat="1" x14ac:dyDescent="0.35">
      <c r="B607" s="98" t="s">
        <v>340</v>
      </c>
      <c r="C607" s="98"/>
      <c r="D607" s="106" t="s">
        <v>445</v>
      </c>
      <c r="E607" s="319">
        <v>186</v>
      </c>
    </row>
    <row r="608" spans="2:5" s="8" customFormat="1" x14ac:dyDescent="0.35">
      <c r="B608" s="98" t="s">
        <v>1324</v>
      </c>
      <c r="C608" s="98"/>
      <c r="D608" s="106" t="s">
        <v>446</v>
      </c>
      <c r="E608" s="319">
        <v>438</v>
      </c>
    </row>
    <row r="609" spans="2:6" x14ac:dyDescent="0.3">
      <c r="B609" s="101" t="s">
        <v>1501</v>
      </c>
      <c r="C609" s="98"/>
      <c r="D609" s="106" t="s">
        <v>447</v>
      </c>
      <c r="E609" s="319">
        <v>679</v>
      </c>
    </row>
    <row r="610" spans="2:6" s="8" customFormat="1" x14ac:dyDescent="0.35">
      <c r="B610" s="101" t="s">
        <v>1432</v>
      </c>
      <c r="C610" s="98"/>
      <c r="D610" s="106" t="s">
        <v>448</v>
      </c>
      <c r="E610" s="319">
        <v>1253</v>
      </c>
    </row>
    <row r="611" spans="2:6" x14ac:dyDescent="0.3">
      <c r="B611" s="98" t="s">
        <v>1433</v>
      </c>
      <c r="C611" s="98"/>
      <c r="D611" s="118" t="s">
        <v>449</v>
      </c>
      <c r="E611" s="319">
        <v>1396</v>
      </c>
    </row>
    <row r="612" spans="2:6" x14ac:dyDescent="0.3">
      <c r="B612" s="101" t="s">
        <v>1430</v>
      </c>
      <c r="C612" s="98"/>
      <c r="D612" s="106" t="s">
        <v>134</v>
      </c>
      <c r="E612" s="319">
        <v>2683</v>
      </c>
      <c r="F612" s="18"/>
    </row>
    <row r="613" spans="2:6" x14ac:dyDescent="0.3">
      <c r="B613" s="98" t="s">
        <v>344</v>
      </c>
      <c r="C613" s="98"/>
      <c r="D613" s="106" t="s">
        <v>450</v>
      </c>
      <c r="E613" s="319">
        <v>3073</v>
      </c>
    </row>
    <row r="614" spans="2:6" x14ac:dyDescent="0.3">
      <c r="B614" s="113" t="s">
        <v>345</v>
      </c>
      <c r="C614" s="122"/>
      <c r="D614" s="123" t="s">
        <v>451</v>
      </c>
      <c r="E614" s="319">
        <v>6348</v>
      </c>
    </row>
    <row r="615" spans="2:6" x14ac:dyDescent="0.3">
      <c r="B615" s="119" t="s">
        <v>132</v>
      </c>
      <c r="C615" s="124"/>
      <c r="D615" s="124"/>
      <c r="E615" s="124"/>
    </row>
    <row r="616" spans="2:6" x14ac:dyDescent="0.3">
      <c r="B616" s="371" t="s">
        <v>1642</v>
      </c>
      <c r="C616" s="125"/>
      <c r="D616" s="111" t="s">
        <v>452</v>
      </c>
      <c r="E616" s="319">
        <v>724</v>
      </c>
    </row>
    <row r="617" spans="2:6" x14ac:dyDescent="0.3">
      <c r="B617" s="119" t="s">
        <v>349</v>
      </c>
      <c r="C617" s="124"/>
      <c r="D617" s="126"/>
      <c r="E617" s="127"/>
    </row>
    <row r="618" spans="2:6" s="8" customFormat="1" x14ac:dyDescent="0.35">
      <c r="B618" s="371" t="s">
        <v>1645</v>
      </c>
      <c r="C618" s="125"/>
      <c r="D618" s="111" t="s">
        <v>453</v>
      </c>
      <c r="E618" s="319">
        <v>2655</v>
      </c>
      <c r="F618" s="367"/>
    </row>
    <row r="619" spans="2:6" s="8" customFormat="1" x14ac:dyDescent="0.35">
      <c r="B619" s="371" t="s">
        <v>1646</v>
      </c>
      <c r="C619" s="98"/>
      <c r="D619" s="111" t="s">
        <v>454</v>
      </c>
      <c r="E619" s="319">
        <v>2861</v>
      </c>
    </row>
    <row r="620" spans="2:6" s="8" customFormat="1" x14ac:dyDescent="0.35">
      <c r="B620" s="371" t="s">
        <v>1647</v>
      </c>
      <c r="C620" s="98"/>
      <c r="D620" s="111" t="s">
        <v>455</v>
      </c>
      <c r="E620" s="319">
        <v>3944</v>
      </c>
    </row>
    <row r="621" spans="2:6" x14ac:dyDescent="0.3">
      <c r="B621" s="98" t="s">
        <v>457</v>
      </c>
      <c r="C621" s="98"/>
      <c r="D621" s="118" t="s">
        <v>456</v>
      </c>
      <c r="E621" s="319">
        <v>2940</v>
      </c>
    </row>
    <row r="622" spans="2:6" x14ac:dyDescent="0.3">
      <c r="B622" s="98" t="s">
        <v>355</v>
      </c>
      <c r="C622" s="98"/>
      <c r="D622" s="106" t="s">
        <v>458</v>
      </c>
      <c r="E622" s="319">
        <v>3146</v>
      </c>
    </row>
    <row r="623" spans="2:6" x14ac:dyDescent="0.3">
      <c r="B623" s="113" t="s">
        <v>460</v>
      </c>
      <c r="C623" s="98"/>
      <c r="D623" s="118" t="s">
        <v>459</v>
      </c>
      <c r="E623" s="319">
        <v>6294</v>
      </c>
    </row>
    <row r="624" spans="2:6" x14ac:dyDescent="0.3">
      <c r="B624" s="113" t="s">
        <v>461</v>
      </c>
      <c r="C624" s="98"/>
      <c r="D624" s="106" t="s">
        <v>462</v>
      </c>
      <c r="E624" s="319">
        <v>6501</v>
      </c>
    </row>
    <row r="625" spans="2:5" s="97" customFormat="1" x14ac:dyDescent="0.3">
      <c r="B625" s="108"/>
      <c r="C625" s="199"/>
      <c r="D625" s="130"/>
      <c r="E625" s="130"/>
    </row>
    <row r="626" spans="2:5" x14ac:dyDescent="0.3">
      <c r="B626" s="108" t="s">
        <v>98</v>
      </c>
      <c r="C626" s="199"/>
      <c r="D626" s="128"/>
      <c r="E626" s="128"/>
    </row>
    <row r="627" spans="2:5" x14ac:dyDescent="0.3">
      <c r="B627" s="113" t="s">
        <v>357</v>
      </c>
      <c r="C627" s="298"/>
      <c r="D627" s="129" t="s">
        <v>358</v>
      </c>
      <c r="E627" s="315">
        <v>12</v>
      </c>
    </row>
    <row r="628" spans="2:5" x14ac:dyDescent="0.3">
      <c r="B628" s="113" t="s">
        <v>359</v>
      </c>
      <c r="C628" s="298"/>
      <c r="D628" s="129" t="s">
        <v>360</v>
      </c>
      <c r="E628" s="315">
        <v>23</v>
      </c>
    </row>
    <row r="629" spans="2:5" x14ac:dyDescent="0.3">
      <c r="B629" s="108"/>
      <c r="C629" s="199"/>
      <c r="D629" s="130"/>
      <c r="E629" s="130"/>
    </row>
    <row r="630" spans="2:5" x14ac:dyDescent="0.3">
      <c r="B630" s="108" t="s">
        <v>361</v>
      </c>
      <c r="C630" s="199"/>
      <c r="D630" s="128"/>
      <c r="E630" s="128"/>
    </row>
    <row r="631" spans="2:5" x14ac:dyDescent="0.3">
      <c r="B631" s="113" t="s">
        <v>104</v>
      </c>
      <c r="C631" s="298"/>
      <c r="D631" s="129" t="s">
        <v>362</v>
      </c>
      <c r="E631" s="315">
        <v>34</v>
      </c>
    </row>
    <row r="632" spans="2:5" x14ac:dyDescent="0.3">
      <c r="B632" s="116" t="s">
        <v>1431</v>
      </c>
      <c r="C632" s="286"/>
      <c r="D632" s="129" t="s">
        <v>363</v>
      </c>
      <c r="E632" s="315">
        <v>212</v>
      </c>
    </row>
    <row r="633" spans="2:5" x14ac:dyDescent="0.3">
      <c r="B633" s="113" t="s">
        <v>1714</v>
      </c>
      <c r="C633" s="298"/>
      <c r="D633" s="129" t="s">
        <v>364</v>
      </c>
      <c r="E633" s="315">
        <v>39</v>
      </c>
    </row>
    <row r="634" spans="2:5" x14ac:dyDescent="0.3">
      <c r="B634" s="113" t="s">
        <v>137</v>
      </c>
      <c r="C634" s="298"/>
      <c r="D634" s="129" t="s">
        <v>365</v>
      </c>
      <c r="E634" s="315">
        <v>27</v>
      </c>
    </row>
    <row r="635" spans="2:5" x14ac:dyDescent="0.3">
      <c r="B635" s="108"/>
      <c r="C635" s="199"/>
      <c r="D635" s="130"/>
      <c r="E635" s="130"/>
    </row>
    <row r="636" spans="2:5" x14ac:dyDescent="0.3">
      <c r="B636" s="108" t="s">
        <v>62</v>
      </c>
      <c r="C636" s="199"/>
      <c r="D636" s="128"/>
      <c r="E636" s="128"/>
    </row>
    <row r="637" spans="2:5" x14ac:dyDescent="0.3">
      <c r="B637" s="113" t="s">
        <v>65</v>
      </c>
      <c r="C637" s="298"/>
      <c r="D637" s="106" t="s">
        <v>66</v>
      </c>
      <c r="E637" s="315">
        <v>15</v>
      </c>
    </row>
    <row r="638" spans="2:5" x14ac:dyDescent="0.3">
      <c r="B638" s="108"/>
      <c r="C638" s="199"/>
      <c r="D638" s="130"/>
      <c r="E638" s="130"/>
    </row>
    <row r="639" spans="2:5" x14ac:dyDescent="0.3">
      <c r="B639" s="108" t="s">
        <v>67</v>
      </c>
      <c r="C639" s="199"/>
      <c r="D639" s="128"/>
      <c r="E639" s="128"/>
    </row>
    <row r="640" spans="2:5" x14ac:dyDescent="0.3">
      <c r="B640" s="113" t="s">
        <v>68</v>
      </c>
      <c r="C640" s="298"/>
      <c r="D640" s="129" t="s">
        <v>366</v>
      </c>
      <c r="E640" s="315">
        <v>0</v>
      </c>
    </row>
    <row r="641" spans="2:6" x14ac:dyDescent="0.3">
      <c r="B641" s="95"/>
      <c r="C641" s="299"/>
      <c r="D641" s="130"/>
      <c r="E641" s="130"/>
    </row>
    <row r="642" spans="2:6" x14ac:dyDescent="0.3">
      <c r="B642" s="108" t="s">
        <v>367</v>
      </c>
      <c r="C642" s="199"/>
      <c r="D642" s="128"/>
      <c r="E642" s="128"/>
    </row>
    <row r="643" spans="2:6" x14ac:dyDescent="0.3">
      <c r="B643" s="113" t="s">
        <v>463</v>
      </c>
      <c r="C643" s="298"/>
      <c r="D643" s="129" t="s">
        <v>369</v>
      </c>
      <c r="E643" s="315">
        <v>50</v>
      </c>
    </row>
    <row r="644" spans="2:6" x14ac:dyDescent="0.3">
      <c r="B644" s="95"/>
      <c r="C644" s="97"/>
      <c r="D644" s="130"/>
      <c r="E644" s="130"/>
    </row>
    <row r="645" spans="2:6" x14ac:dyDescent="0.3">
      <c r="B645" s="21"/>
    </row>
    <row r="646" spans="2:6" x14ac:dyDescent="0.3">
      <c r="B646" s="205" t="s">
        <v>1657</v>
      </c>
      <c r="C646" s="205"/>
      <c r="D646" s="338"/>
      <c r="E646" s="207"/>
    </row>
    <row r="647" spans="2:6" x14ac:dyDescent="0.3">
      <c r="B647" s="190" t="s">
        <v>39</v>
      </c>
      <c r="E647" s="189"/>
    </row>
    <row r="648" spans="2:6" x14ac:dyDescent="0.3">
      <c r="B648" s="399" t="s">
        <v>1658</v>
      </c>
      <c r="C648" s="400"/>
      <c r="D648" s="385" t="s">
        <v>1659</v>
      </c>
      <c r="E648" s="325">
        <v>532</v>
      </c>
      <c r="F648" s="341"/>
    </row>
    <row r="649" spans="2:6" x14ac:dyDescent="0.3">
      <c r="B649" s="401" t="s">
        <v>1660</v>
      </c>
      <c r="C649" s="400"/>
      <c r="D649" s="385" t="s">
        <v>1661</v>
      </c>
      <c r="E649" s="325">
        <v>1244</v>
      </c>
      <c r="F649" s="341"/>
    </row>
    <row r="650" spans="2:6" x14ac:dyDescent="0.3">
      <c r="B650" s="401" t="s">
        <v>1662</v>
      </c>
      <c r="C650" s="400"/>
      <c r="D650" s="385" t="s">
        <v>1663</v>
      </c>
      <c r="E650" s="325">
        <v>1596</v>
      </c>
      <c r="F650" s="341"/>
    </row>
    <row r="651" spans="2:6" x14ac:dyDescent="0.3">
      <c r="B651" s="401" t="s">
        <v>1664</v>
      </c>
      <c r="C651" s="400"/>
      <c r="D651" s="385" t="s">
        <v>1665</v>
      </c>
      <c r="E651" s="325">
        <v>3020</v>
      </c>
      <c r="F651" s="341"/>
    </row>
    <row r="652" spans="2:6" x14ac:dyDescent="0.3">
      <c r="B652" s="401" t="s">
        <v>1666</v>
      </c>
      <c r="C652" s="400"/>
      <c r="D652" s="385" t="s">
        <v>1667</v>
      </c>
      <c r="E652" s="325">
        <v>7104</v>
      </c>
      <c r="F652" s="341"/>
    </row>
    <row r="653" spans="2:6" x14ac:dyDescent="0.3">
      <c r="B653" s="401" t="s">
        <v>1668</v>
      </c>
      <c r="C653" s="371"/>
      <c r="D653" s="385" t="s">
        <v>1669</v>
      </c>
      <c r="E653" s="325">
        <v>14740</v>
      </c>
      <c r="F653" s="341"/>
    </row>
    <row r="654" spans="2:6" x14ac:dyDescent="0.3">
      <c r="B654" s="97"/>
      <c r="C654" s="95"/>
      <c r="D654" s="94"/>
      <c r="E654" s="130"/>
    </row>
    <row r="655" spans="2:6" x14ac:dyDescent="0.3">
      <c r="B655" s="249" t="s">
        <v>1154</v>
      </c>
      <c r="C655" s="97"/>
      <c r="D655" s="294"/>
      <c r="E655" s="273"/>
    </row>
    <row r="656" spans="2:6" x14ac:dyDescent="0.3">
      <c r="B656" s="119" t="s">
        <v>1670</v>
      </c>
      <c r="C656" s="372"/>
      <c r="D656" s="94"/>
      <c r="E656" s="194"/>
    </row>
    <row r="657" spans="2:6" x14ac:dyDescent="0.3">
      <c r="B657" s="384" t="s">
        <v>47</v>
      </c>
      <c r="C657" s="371"/>
      <c r="D657" s="385" t="s">
        <v>438</v>
      </c>
      <c r="E657" s="398">
        <v>239</v>
      </c>
      <c r="F657" s="340"/>
    </row>
    <row r="658" spans="2:6" x14ac:dyDescent="0.3">
      <c r="B658" s="384" t="s">
        <v>1342</v>
      </c>
      <c r="C658" s="371"/>
      <c r="D658" s="385" t="s">
        <v>439</v>
      </c>
      <c r="E658" s="398">
        <v>641</v>
      </c>
      <c r="F658" s="340"/>
    </row>
    <row r="659" spans="2:6" x14ac:dyDescent="0.3">
      <c r="B659" s="94"/>
      <c r="C659" s="94"/>
      <c r="D659" s="94"/>
      <c r="E659" s="94"/>
      <c r="F659" s="340"/>
    </row>
    <row r="660" spans="2:6" x14ac:dyDescent="0.3">
      <c r="B660" s="119" t="s">
        <v>1671</v>
      </c>
      <c r="C660" s="372"/>
      <c r="D660" s="94"/>
      <c r="E660" s="220"/>
      <c r="F660" s="340"/>
    </row>
    <row r="661" spans="2:6" x14ac:dyDescent="0.3">
      <c r="B661" s="384" t="s">
        <v>45</v>
      </c>
      <c r="C661" s="371"/>
      <c r="D661" s="385" t="s">
        <v>52</v>
      </c>
      <c r="E661" s="398">
        <v>200</v>
      </c>
      <c r="F661" s="339"/>
    </row>
    <row r="662" spans="2:6" x14ac:dyDescent="0.3">
      <c r="B662" s="384" t="s">
        <v>47</v>
      </c>
      <c r="C662" s="371"/>
      <c r="D662" s="385" t="s">
        <v>53</v>
      </c>
      <c r="E662" s="398">
        <v>438</v>
      </c>
      <c r="F662" s="339"/>
    </row>
    <row r="663" spans="2:6" x14ac:dyDescent="0.3">
      <c r="B663" s="384" t="s">
        <v>1342</v>
      </c>
      <c r="C663" s="371"/>
      <c r="D663" s="385" t="s">
        <v>1344</v>
      </c>
      <c r="E663" s="398">
        <v>841</v>
      </c>
      <c r="F663" s="339"/>
    </row>
    <row r="664" spans="2:6" x14ac:dyDescent="0.3">
      <c r="B664" s="402"/>
      <c r="C664" s="97"/>
      <c r="D664" s="294"/>
      <c r="E664" s="94"/>
      <c r="F664" s="339"/>
    </row>
    <row r="665" spans="2:6" s="97" customFormat="1" x14ac:dyDescent="0.3">
      <c r="B665" s="119" t="s">
        <v>1672</v>
      </c>
      <c r="C665" s="372"/>
      <c r="D665" s="94"/>
      <c r="E665" s="220"/>
      <c r="F665" s="273"/>
    </row>
    <row r="666" spans="2:6" x14ac:dyDescent="0.3">
      <c r="B666" s="399" t="s">
        <v>318</v>
      </c>
      <c r="C666" s="400"/>
      <c r="D666" s="385" t="s">
        <v>319</v>
      </c>
      <c r="E666" s="325">
        <v>56</v>
      </c>
      <c r="F666" s="339"/>
    </row>
    <row r="667" spans="2:6" x14ac:dyDescent="0.3">
      <c r="B667" s="399" t="s">
        <v>96</v>
      </c>
      <c r="C667" s="400"/>
      <c r="D667" s="385" t="s">
        <v>322</v>
      </c>
      <c r="E667" s="196">
        <v>144</v>
      </c>
      <c r="F667" s="339"/>
    </row>
    <row r="668" spans="2:6" x14ac:dyDescent="0.3">
      <c r="B668" s="399" t="s">
        <v>323</v>
      </c>
      <c r="C668" s="400"/>
      <c r="D668" s="385" t="s">
        <v>324</v>
      </c>
      <c r="E668" s="196">
        <v>222</v>
      </c>
      <c r="F668" s="339"/>
    </row>
    <row r="669" spans="2:6" x14ac:dyDescent="0.3">
      <c r="B669" s="402"/>
      <c r="C669" s="97"/>
      <c r="D669" s="294"/>
      <c r="E669" s="94"/>
      <c r="F669" s="339"/>
    </row>
    <row r="670" spans="2:6" x14ac:dyDescent="0.3">
      <c r="B670" s="119" t="s">
        <v>1673</v>
      </c>
      <c r="C670" s="372"/>
      <c r="D670" s="94"/>
      <c r="E670" s="220"/>
      <c r="F670" s="339"/>
    </row>
    <row r="671" spans="2:6" x14ac:dyDescent="0.3">
      <c r="B671" s="399" t="s">
        <v>318</v>
      </c>
      <c r="C671" s="400"/>
      <c r="D671" s="385" t="s">
        <v>319</v>
      </c>
      <c r="E671" s="325">
        <v>56</v>
      </c>
      <c r="F671" s="339"/>
    </row>
    <row r="672" spans="2:6" x14ac:dyDescent="0.3">
      <c r="B672" s="399" t="s">
        <v>96</v>
      </c>
      <c r="C672" s="400"/>
      <c r="D672" s="385" t="s">
        <v>322</v>
      </c>
      <c r="E672" s="196">
        <v>144</v>
      </c>
      <c r="F672" s="339"/>
    </row>
    <row r="673" spans="2:6" x14ac:dyDescent="0.3">
      <c r="B673" s="399" t="s">
        <v>323</v>
      </c>
      <c r="C673" s="400"/>
      <c r="D673" s="385" t="s">
        <v>324</v>
      </c>
      <c r="E673" s="196">
        <v>222</v>
      </c>
      <c r="F673" s="339"/>
    </row>
    <row r="674" spans="2:6" x14ac:dyDescent="0.3">
      <c r="B674" s="402"/>
      <c r="C674" s="97"/>
      <c r="D674" s="294"/>
      <c r="E674" s="94"/>
      <c r="F674" s="339"/>
    </row>
    <row r="675" spans="2:6" x14ac:dyDescent="0.3">
      <c r="B675" s="119" t="s">
        <v>1674</v>
      </c>
      <c r="C675" s="372"/>
      <c r="D675" s="94"/>
      <c r="E675" s="220"/>
      <c r="F675" s="339"/>
    </row>
    <row r="676" spans="2:6" x14ac:dyDescent="0.3">
      <c r="B676" s="384" t="s">
        <v>1675</v>
      </c>
      <c r="C676" s="371"/>
      <c r="D676" s="385" t="s">
        <v>1676</v>
      </c>
      <c r="E676" s="398">
        <v>10</v>
      </c>
      <c r="F676" s="339"/>
    </row>
    <row r="677" spans="2:6" x14ac:dyDescent="0.3">
      <c r="B677" s="384" t="s">
        <v>1677</v>
      </c>
      <c r="C677" s="371"/>
      <c r="D677" s="385" t="s">
        <v>1678</v>
      </c>
      <c r="E677" s="398">
        <v>20</v>
      </c>
      <c r="F677" s="339"/>
    </row>
    <row r="678" spans="2:6" x14ac:dyDescent="0.3">
      <c r="B678" s="402"/>
      <c r="C678" s="97"/>
      <c r="D678" s="294"/>
      <c r="E678" s="94"/>
      <c r="F678" s="339"/>
    </row>
    <row r="679" spans="2:6" x14ac:dyDescent="0.3">
      <c r="B679" s="119" t="s">
        <v>1679</v>
      </c>
      <c r="C679" s="372"/>
      <c r="D679" s="94"/>
      <c r="E679" s="194"/>
      <c r="F679" s="339"/>
    </row>
    <row r="680" spans="2:6" x14ac:dyDescent="0.3">
      <c r="B680" s="399" t="s">
        <v>318</v>
      </c>
      <c r="C680" s="400"/>
      <c r="D680" s="385" t="s">
        <v>319</v>
      </c>
      <c r="E680" s="325">
        <v>56</v>
      </c>
      <c r="F680" s="339"/>
    </row>
    <row r="681" spans="2:6" x14ac:dyDescent="0.3">
      <c r="B681" s="399" t="s">
        <v>96</v>
      </c>
      <c r="C681" s="400"/>
      <c r="D681" s="385" t="s">
        <v>322</v>
      </c>
      <c r="E681" s="196">
        <v>144</v>
      </c>
      <c r="F681" s="339"/>
    </row>
    <row r="682" spans="2:6" x14ac:dyDescent="0.3">
      <c r="B682" s="399" t="s">
        <v>323</v>
      </c>
      <c r="C682" s="400"/>
      <c r="D682" s="385" t="s">
        <v>324</v>
      </c>
      <c r="E682" s="196">
        <v>222</v>
      </c>
      <c r="F682" s="339"/>
    </row>
    <row r="683" spans="2:6" x14ac:dyDescent="0.3">
      <c r="B683" s="94"/>
      <c r="C683" s="94"/>
      <c r="D683" s="94"/>
      <c r="E683" s="94"/>
      <c r="F683" s="339"/>
    </row>
    <row r="684" spans="2:6" x14ac:dyDescent="0.3">
      <c r="B684" s="119" t="s">
        <v>1680</v>
      </c>
      <c r="C684" s="372"/>
      <c r="D684" s="94"/>
      <c r="E684" s="220"/>
      <c r="F684" s="339"/>
    </row>
    <row r="685" spans="2:6" x14ac:dyDescent="0.3">
      <c r="B685" s="399" t="s">
        <v>318</v>
      </c>
      <c r="C685" s="400"/>
      <c r="D685" s="385" t="s">
        <v>319</v>
      </c>
      <c r="E685" s="325">
        <v>56</v>
      </c>
      <c r="F685" s="339"/>
    </row>
    <row r="686" spans="2:6" x14ac:dyDescent="0.3">
      <c r="B686" s="399" t="s">
        <v>96</v>
      </c>
      <c r="C686" s="400"/>
      <c r="D686" s="385" t="s">
        <v>322</v>
      </c>
      <c r="E686" s="196">
        <v>144</v>
      </c>
      <c r="F686" s="339"/>
    </row>
    <row r="687" spans="2:6" x14ac:dyDescent="0.3">
      <c r="B687" s="399" t="s">
        <v>323</v>
      </c>
      <c r="C687" s="400"/>
      <c r="D687" s="385" t="s">
        <v>324</v>
      </c>
      <c r="E687" s="196">
        <v>222</v>
      </c>
      <c r="F687" s="339"/>
    </row>
    <row r="688" spans="2:6" x14ac:dyDescent="0.3">
      <c r="B688" s="97"/>
      <c r="C688" s="95"/>
      <c r="D688" s="94"/>
      <c r="E688" s="194"/>
      <c r="F688" s="339"/>
    </row>
    <row r="689" spans="2:6" x14ac:dyDescent="0.3">
      <c r="B689" s="119" t="s">
        <v>1681</v>
      </c>
      <c r="C689" s="372"/>
      <c r="D689" s="94"/>
      <c r="E689" s="194"/>
      <c r="F689" s="339"/>
    </row>
    <row r="690" spans="2:6" x14ac:dyDescent="0.3">
      <c r="B690" s="384" t="s">
        <v>1682</v>
      </c>
      <c r="C690" s="371"/>
      <c r="D690" s="385" t="s">
        <v>1683</v>
      </c>
      <c r="E690" s="398">
        <v>475</v>
      </c>
      <c r="F690" s="339"/>
    </row>
    <row r="691" spans="2:6" x14ac:dyDescent="0.3">
      <c r="B691" s="384" t="s">
        <v>1684</v>
      </c>
      <c r="C691" s="371"/>
      <c r="D691" s="385" t="s">
        <v>1685</v>
      </c>
      <c r="E691" s="398">
        <v>951</v>
      </c>
      <c r="F691" s="339"/>
    </row>
    <row r="692" spans="2:6" x14ac:dyDescent="0.3">
      <c r="B692" s="384" t="s">
        <v>1686</v>
      </c>
      <c r="C692" s="371"/>
      <c r="D692" s="385" t="s">
        <v>1687</v>
      </c>
      <c r="E692" s="398">
        <v>1757</v>
      </c>
      <c r="F692" s="339"/>
    </row>
    <row r="693" spans="2:6" x14ac:dyDescent="0.3">
      <c r="B693" s="384" t="s">
        <v>1688</v>
      </c>
      <c r="C693" s="371"/>
      <c r="D693" s="385" t="s">
        <v>1689</v>
      </c>
      <c r="E693" s="398">
        <v>885</v>
      </c>
      <c r="F693" s="339"/>
    </row>
    <row r="694" spans="2:6" x14ac:dyDescent="0.3">
      <c r="B694" s="384" t="s">
        <v>1690</v>
      </c>
      <c r="C694" s="371"/>
      <c r="D694" s="385" t="s">
        <v>1691</v>
      </c>
      <c r="E694" s="398">
        <v>1837</v>
      </c>
      <c r="F694" s="339"/>
    </row>
    <row r="695" spans="2:6" x14ac:dyDescent="0.3">
      <c r="B695" s="384" t="s">
        <v>1692</v>
      </c>
      <c r="C695" s="371"/>
      <c r="D695" s="385" t="s">
        <v>1693</v>
      </c>
      <c r="E695" s="398">
        <v>3449</v>
      </c>
      <c r="F695" s="339"/>
    </row>
    <row r="696" spans="2:6" x14ac:dyDescent="0.3">
      <c r="B696" s="402"/>
      <c r="C696" s="97"/>
      <c r="D696" s="294"/>
      <c r="E696" s="94"/>
      <c r="F696" s="339"/>
    </row>
    <row r="697" spans="2:6" x14ac:dyDescent="0.3">
      <c r="B697" s="249" t="s">
        <v>54</v>
      </c>
      <c r="C697" s="97"/>
      <c r="D697" s="94"/>
      <c r="E697" s="194"/>
      <c r="F697" s="339"/>
    </row>
    <row r="698" spans="2:6" x14ac:dyDescent="0.3">
      <c r="B698" s="119" t="s">
        <v>334</v>
      </c>
      <c r="C698" s="97"/>
      <c r="D698" s="94"/>
      <c r="E698" s="194"/>
      <c r="F698" s="339"/>
    </row>
    <row r="699" spans="2:6" x14ac:dyDescent="0.3">
      <c r="B699" s="371" t="s">
        <v>337</v>
      </c>
      <c r="C699" s="371"/>
      <c r="D699" s="385" t="s">
        <v>335</v>
      </c>
      <c r="E699" s="403">
        <v>438</v>
      </c>
      <c r="F699" s="339"/>
    </row>
    <row r="700" spans="2:6" x14ac:dyDescent="0.3">
      <c r="B700" s="371" t="s">
        <v>338</v>
      </c>
      <c r="C700" s="371"/>
      <c r="D700" s="308" t="s">
        <v>336</v>
      </c>
      <c r="E700" s="404">
        <v>2028</v>
      </c>
      <c r="F700" s="339"/>
    </row>
    <row r="701" spans="2:6" x14ac:dyDescent="0.3">
      <c r="B701" s="119" t="s">
        <v>339</v>
      </c>
      <c r="C701" s="97"/>
      <c r="D701" s="94"/>
      <c r="E701" s="194"/>
      <c r="F701" s="339"/>
    </row>
    <row r="702" spans="2:6" x14ac:dyDescent="0.3">
      <c r="B702" s="371" t="s">
        <v>340</v>
      </c>
      <c r="C702" s="371"/>
      <c r="D702" s="385" t="s">
        <v>127</v>
      </c>
      <c r="E702" s="405">
        <v>186</v>
      </c>
      <c r="F702" s="339"/>
    </row>
    <row r="703" spans="2:6" x14ac:dyDescent="0.3">
      <c r="B703" s="371" t="s">
        <v>1323</v>
      </c>
      <c r="C703" s="371"/>
      <c r="D703" s="385" t="s">
        <v>128</v>
      </c>
      <c r="E703" s="405">
        <v>438</v>
      </c>
      <c r="F703" s="339"/>
    </row>
    <row r="704" spans="2:6" x14ac:dyDescent="0.3">
      <c r="B704" s="384" t="s">
        <v>1694</v>
      </c>
      <c r="C704" s="371"/>
      <c r="D704" s="385" t="s">
        <v>129</v>
      </c>
      <c r="E704" s="405">
        <v>679</v>
      </c>
      <c r="F704" s="339"/>
    </row>
    <row r="705" spans="2:6" x14ac:dyDescent="0.3">
      <c r="B705" s="384" t="s">
        <v>1695</v>
      </c>
      <c r="C705" s="371"/>
      <c r="D705" s="385" t="s">
        <v>130</v>
      </c>
      <c r="E705" s="405">
        <v>1253</v>
      </c>
      <c r="F705" s="339"/>
    </row>
    <row r="706" spans="2:6" x14ac:dyDescent="0.3">
      <c r="B706" s="384" t="s">
        <v>1883</v>
      </c>
      <c r="C706" s="371"/>
      <c r="D706" s="385" t="s">
        <v>134</v>
      </c>
      <c r="E706" s="404">
        <v>2683</v>
      </c>
      <c r="F706" s="339"/>
    </row>
    <row r="707" spans="2:6" x14ac:dyDescent="0.3">
      <c r="B707" s="371" t="s">
        <v>344</v>
      </c>
      <c r="C707" s="400"/>
      <c r="D707" s="385" t="s">
        <v>343</v>
      </c>
      <c r="E707" s="405">
        <v>3073</v>
      </c>
      <c r="F707" s="339"/>
    </row>
    <row r="708" spans="2:6" x14ac:dyDescent="0.3">
      <c r="B708" s="119" t="s">
        <v>132</v>
      </c>
      <c r="C708" s="97"/>
      <c r="D708" s="94"/>
      <c r="E708" s="194"/>
      <c r="F708" s="339"/>
    </row>
    <row r="709" spans="2:6" x14ac:dyDescent="0.3">
      <c r="B709" s="371" t="s">
        <v>1696</v>
      </c>
      <c r="C709" s="400"/>
      <c r="D709" s="385" t="s">
        <v>348</v>
      </c>
      <c r="E709" s="405">
        <v>724</v>
      </c>
      <c r="F709" s="339"/>
    </row>
    <row r="710" spans="2:6" x14ac:dyDescent="0.3">
      <c r="B710" s="119" t="s">
        <v>1697</v>
      </c>
      <c r="C710" s="97"/>
      <c r="D710" s="94"/>
      <c r="E710" s="194"/>
      <c r="F710" s="339"/>
    </row>
    <row r="711" spans="2:6" x14ac:dyDescent="0.3">
      <c r="B711" s="384" t="s">
        <v>1698</v>
      </c>
      <c r="C711" s="371"/>
      <c r="D711" s="385" t="s">
        <v>351</v>
      </c>
      <c r="E711" s="405">
        <v>2655</v>
      </c>
      <c r="F711" s="339"/>
    </row>
    <row r="712" spans="2:6" x14ac:dyDescent="0.3">
      <c r="B712" s="384" t="s">
        <v>1699</v>
      </c>
      <c r="C712" s="371"/>
      <c r="D712" s="385" t="s">
        <v>352</v>
      </c>
      <c r="E712" s="405">
        <v>2861</v>
      </c>
      <c r="F712" s="339"/>
    </row>
    <row r="713" spans="2:6" x14ac:dyDescent="0.3">
      <c r="B713" s="384" t="s">
        <v>1700</v>
      </c>
      <c r="C713" s="400"/>
      <c r="D713" s="385" t="s">
        <v>1701</v>
      </c>
      <c r="E713" s="405">
        <v>5515</v>
      </c>
      <c r="F713" s="339"/>
    </row>
    <row r="714" spans="2:6" x14ac:dyDescent="0.3">
      <c r="B714" s="384" t="s">
        <v>1702</v>
      </c>
      <c r="C714" s="371"/>
      <c r="D714" s="385" t="s">
        <v>1703</v>
      </c>
      <c r="E714" s="405">
        <v>5721</v>
      </c>
      <c r="F714" s="339"/>
    </row>
    <row r="715" spans="2:6" x14ac:dyDescent="0.3">
      <c r="B715" s="401" t="s">
        <v>1704</v>
      </c>
      <c r="C715" s="371"/>
      <c r="D715" s="118" t="s">
        <v>459</v>
      </c>
      <c r="E715" s="404">
        <v>6294</v>
      </c>
      <c r="F715" s="339"/>
    </row>
    <row r="716" spans="2:6" x14ac:dyDescent="0.3">
      <c r="B716" s="401" t="s">
        <v>1705</v>
      </c>
      <c r="C716" s="371"/>
      <c r="D716" s="106" t="s">
        <v>462</v>
      </c>
      <c r="E716" s="404">
        <v>6501</v>
      </c>
      <c r="F716" s="339"/>
    </row>
    <row r="717" spans="2:6" x14ac:dyDescent="0.3">
      <c r="B717" s="249"/>
      <c r="C717" s="249"/>
      <c r="D717" s="406"/>
      <c r="E717" s="407"/>
      <c r="F717" s="339"/>
    </row>
    <row r="718" spans="2:6" x14ac:dyDescent="0.3">
      <c r="B718" s="270" t="s">
        <v>509</v>
      </c>
      <c r="C718" s="97"/>
      <c r="D718" s="94"/>
      <c r="E718" s="194"/>
      <c r="F718" s="339"/>
    </row>
    <row r="719" spans="2:6" x14ac:dyDescent="0.3">
      <c r="B719" s="400" t="s">
        <v>1847</v>
      </c>
      <c r="C719" s="400"/>
      <c r="D719" s="408" t="s">
        <v>1710</v>
      </c>
      <c r="E719" s="325">
        <v>35</v>
      </c>
      <c r="F719" s="339"/>
    </row>
    <row r="720" spans="2:6" x14ac:dyDescent="0.3">
      <c r="B720" s="97"/>
      <c r="C720" s="97"/>
      <c r="D720" s="94"/>
      <c r="E720" s="94"/>
      <c r="F720" s="339"/>
    </row>
    <row r="721" spans="2:6" x14ac:dyDescent="0.3">
      <c r="B721" s="270" t="s">
        <v>1706</v>
      </c>
      <c r="C721" s="97"/>
      <c r="D721" s="94"/>
      <c r="E721" s="194"/>
      <c r="F721" s="339"/>
    </row>
    <row r="722" spans="2:6" x14ac:dyDescent="0.3">
      <c r="B722" s="400" t="s">
        <v>357</v>
      </c>
      <c r="C722" s="400"/>
      <c r="D722" s="408" t="s">
        <v>1707</v>
      </c>
      <c r="E722" s="325">
        <v>25</v>
      </c>
      <c r="F722" s="339"/>
    </row>
    <row r="723" spans="2:6" x14ac:dyDescent="0.3">
      <c r="B723" s="97"/>
      <c r="C723" s="97"/>
      <c r="D723" s="94"/>
      <c r="E723" s="94"/>
      <c r="F723" s="339"/>
    </row>
    <row r="724" spans="2:6" x14ac:dyDescent="0.3">
      <c r="B724" s="270" t="s">
        <v>1708</v>
      </c>
      <c r="C724" s="97"/>
      <c r="D724" s="94"/>
      <c r="E724" s="409"/>
      <c r="F724" s="339"/>
    </row>
    <row r="725" spans="2:6" x14ac:dyDescent="0.3">
      <c r="B725" s="400" t="s">
        <v>1709</v>
      </c>
      <c r="C725" s="400"/>
      <c r="D725" s="408" t="s">
        <v>1710</v>
      </c>
      <c r="E725" s="325">
        <v>34</v>
      </c>
      <c r="F725" s="339"/>
    </row>
    <row r="726" spans="2:6" x14ac:dyDescent="0.3">
      <c r="B726" s="400" t="s">
        <v>1711</v>
      </c>
      <c r="C726" s="400"/>
      <c r="D726" s="408" t="s">
        <v>1712</v>
      </c>
      <c r="E726" s="325">
        <v>227</v>
      </c>
      <c r="F726" s="339"/>
    </row>
    <row r="727" spans="2:6" x14ac:dyDescent="0.3">
      <c r="B727" s="97"/>
      <c r="C727" s="97"/>
      <c r="D727" s="94"/>
      <c r="E727" s="94"/>
      <c r="F727" s="339"/>
    </row>
    <row r="728" spans="2:6" x14ac:dyDescent="0.3">
      <c r="B728" s="270" t="s">
        <v>1713</v>
      </c>
      <c r="C728" s="97"/>
      <c r="D728" s="94"/>
      <c r="E728" s="409"/>
      <c r="F728" s="339"/>
    </row>
    <row r="729" spans="2:6" x14ac:dyDescent="0.3">
      <c r="B729" s="400" t="s">
        <v>1714</v>
      </c>
      <c r="C729" s="400"/>
      <c r="D729" s="408" t="s">
        <v>364</v>
      </c>
      <c r="E729" s="325">
        <v>39</v>
      </c>
      <c r="F729" s="339"/>
    </row>
    <row r="730" spans="2:6" x14ac:dyDescent="0.3">
      <c r="B730" s="97"/>
      <c r="C730" s="97"/>
      <c r="D730" s="94"/>
      <c r="E730" s="94"/>
      <c r="F730" s="339"/>
    </row>
    <row r="731" spans="2:6" x14ac:dyDescent="0.3">
      <c r="B731" s="270" t="s">
        <v>1715</v>
      </c>
      <c r="C731" s="97"/>
      <c r="D731" s="94"/>
      <c r="E731" s="409"/>
      <c r="F731" s="339"/>
    </row>
    <row r="732" spans="2:6" x14ac:dyDescent="0.3">
      <c r="B732" s="400" t="s">
        <v>1716</v>
      </c>
      <c r="C732" s="400"/>
      <c r="D732" s="408" t="s">
        <v>1717</v>
      </c>
      <c r="E732" s="325">
        <v>70</v>
      </c>
      <c r="F732" s="339"/>
    </row>
    <row r="733" spans="2:6" x14ac:dyDescent="0.3">
      <c r="B733" s="97"/>
      <c r="C733" s="97"/>
      <c r="D733" s="94"/>
      <c r="E733" s="194"/>
      <c r="F733" s="339"/>
    </row>
    <row r="734" spans="2:6" x14ac:dyDescent="0.3">
      <c r="B734" s="270" t="s">
        <v>1718</v>
      </c>
      <c r="C734" s="97"/>
      <c r="D734" s="94"/>
      <c r="E734" s="409"/>
      <c r="F734" s="339"/>
    </row>
    <row r="735" spans="2:6" x14ac:dyDescent="0.3">
      <c r="B735" s="400" t="s">
        <v>137</v>
      </c>
      <c r="C735" s="400"/>
      <c r="D735" s="408" t="s">
        <v>365</v>
      </c>
      <c r="E735" s="325">
        <v>27</v>
      </c>
      <c r="F735" s="339"/>
    </row>
    <row r="736" spans="2:6" x14ac:dyDescent="0.3">
      <c r="B736" s="97"/>
      <c r="C736" s="97"/>
      <c r="D736" s="94"/>
      <c r="E736" s="94"/>
      <c r="F736" s="339"/>
    </row>
    <row r="737" spans="2:6" x14ac:dyDescent="0.3">
      <c r="B737" s="270" t="s">
        <v>67</v>
      </c>
      <c r="C737" s="97"/>
      <c r="D737" s="94"/>
      <c r="E737" s="194"/>
      <c r="F737" s="339"/>
    </row>
    <row r="738" spans="2:6" x14ac:dyDescent="0.3">
      <c r="B738" s="400" t="s">
        <v>68</v>
      </c>
      <c r="C738" s="400"/>
      <c r="D738" s="408" t="s">
        <v>366</v>
      </c>
      <c r="E738" s="405">
        <v>0</v>
      </c>
      <c r="F738" s="339"/>
    </row>
    <row r="739" spans="2:6" s="97" customFormat="1" x14ac:dyDescent="0.3">
      <c r="B739" s="96"/>
      <c r="C739" s="95"/>
      <c r="D739" s="94"/>
      <c r="E739" s="166"/>
    </row>
    <row r="741" spans="2:6" x14ac:dyDescent="0.3">
      <c r="B741" s="44" t="s">
        <v>465</v>
      </c>
      <c r="C741" s="44"/>
      <c r="D741" s="51"/>
      <c r="E741" s="51"/>
    </row>
    <row r="742" spans="2:6" x14ac:dyDescent="0.3">
      <c r="B742" s="28" t="s">
        <v>34</v>
      </c>
      <c r="E742" s="9"/>
    </row>
    <row r="743" spans="2:6" x14ac:dyDescent="0.3">
      <c r="B743" s="113" t="s">
        <v>466</v>
      </c>
      <c r="C743" s="98"/>
      <c r="D743" s="106" t="s">
        <v>467</v>
      </c>
      <c r="E743" s="315">
        <v>632</v>
      </c>
    </row>
    <row r="744" spans="2:6" x14ac:dyDescent="0.3">
      <c r="B744" s="98" t="s">
        <v>387</v>
      </c>
      <c r="C744" s="101"/>
      <c r="D744" s="106" t="s">
        <v>468</v>
      </c>
      <c r="E744" s="315">
        <v>244</v>
      </c>
    </row>
    <row r="745" spans="2:6" x14ac:dyDescent="0.3">
      <c r="B745" s="98" t="s">
        <v>389</v>
      </c>
      <c r="C745" s="101"/>
      <c r="D745" s="106" t="s">
        <v>469</v>
      </c>
      <c r="E745" s="315">
        <v>1410</v>
      </c>
    </row>
    <row r="746" spans="2:6" x14ac:dyDescent="0.3">
      <c r="B746" s="98" t="s">
        <v>391</v>
      </c>
      <c r="C746" s="101"/>
      <c r="D746" s="106" t="s">
        <v>470</v>
      </c>
      <c r="E746" s="315">
        <v>1965</v>
      </c>
    </row>
    <row r="747" spans="2:6" x14ac:dyDescent="0.3">
      <c r="B747" s="98" t="s">
        <v>393</v>
      </c>
      <c r="C747" s="101"/>
      <c r="D747" s="106" t="s">
        <v>471</v>
      </c>
      <c r="E747" s="315">
        <v>4076</v>
      </c>
    </row>
    <row r="748" spans="2:6" x14ac:dyDescent="0.3">
      <c r="B748" s="98" t="s">
        <v>395</v>
      </c>
      <c r="C748" s="101"/>
      <c r="D748" s="106" t="s">
        <v>472</v>
      </c>
      <c r="E748" s="315">
        <v>2910</v>
      </c>
    </row>
    <row r="749" spans="2:6" x14ac:dyDescent="0.3">
      <c r="B749" s="98" t="s">
        <v>397</v>
      </c>
      <c r="C749" s="101"/>
      <c r="D749" s="106" t="s">
        <v>473</v>
      </c>
      <c r="E749" s="315">
        <v>5074</v>
      </c>
    </row>
    <row r="750" spans="2:6" x14ac:dyDescent="0.3">
      <c r="B750" s="98" t="s">
        <v>399</v>
      </c>
      <c r="C750" s="101"/>
      <c r="D750" s="106" t="s">
        <v>474</v>
      </c>
      <c r="E750" s="315">
        <v>5409</v>
      </c>
    </row>
    <row r="751" spans="2:6" x14ac:dyDescent="0.3">
      <c r="B751" s="98" t="s">
        <v>402</v>
      </c>
      <c r="C751" s="101"/>
      <c r="D751" s="106" t="s">
        <v>475</v>
      </c>
      <c r="E751" s="315">
        <v>3187</v>
      </c>
    </row>
    <row r="752" spans="2:6" x14ac:dyDescent="0.3">
      <c r="B752" s="98" t="s">
        <v>404</v>
      </c>
      <c r="C752" s="101"/>
      <c r="D752" s="106" t="s">
        <v>476</v>
      </c>
      <c r="E752" s="315">
        <v>6074</v>
      </c>
    </row>
    <row r="753" spans="2:5" x14ac:dyDescent="0.3">
      <c r="B753" s="98" t="s">
        <v>406</v>
      </c>
      <c r="C753" s="101"/>
      <c r="D753" s="106" t="s">
        <v>477</v>
      </c>
      <c r="E753" s="315">
        <v>9627</v>
      </c>
    </row>
    <row r="754" spans="2:5" x14ac:dyDescent="0.3">
      <c r="B754" s="98" t="s">
        <v>408</v>
      </c>
      <c r="C754" s="101"/>
      <c r="D754" s="106" t="s">
        <v>478</v>
      </c>
      <c r="E754" s="315">
        <v>12959</v>
      </c>
    </row>
    <row r="755" spans="2:5" x14ac:dyDescent="0.3">
      <c r="B755" s="98" t="s">
        <v>479</v>
      </c>
      <c r="C755" s="101"/>
      <c r="D755" s="106" t="s">
        <v>480</v>
      </c>
      <c r="E755" s="315">
        <v>16956</v>
      </c>
    </row>
    <row r="756" spans="2:5" x14ac:dyDescent="0.3">
      <c r="B756" s="98" t="s">
        <v>412</v>
      </c>
      <c r="C756" s="101"/>
      <c r="D756" s="106" t="s">
        <v>481</v>
      </c>
      <c r="E756" s="315">
        <v>15290</v>
      </c>
    </row>
    <row r="757" spans="2:5" x14ac:dyDescent="0.3">
      <c r="B757" s="98" t="s">
        <v>414</v>
      </c>
      <c r="C757" s="101"/>
      <c r="D757" s="106" t="s">
        <v>482</v>
      </c>
      <c r="E757" s="315">
        <v>19065</v>
      </c>
    </row>
    <row r="758" spans="2:5" x14ac:dyDescent="0.3">
      <c r="B758" s="95"/>
      <c r="C758" s="300"/>
      <c r="D758" s="130"/>
      <c r="E758" s="130"/>
    </row>
    <row r="759" spans="2:5" x14ac:dyDescent="0.3">
      <c r="B759" s="108" t="s">
        <v>39</v>
      </c>
      <c r="C759" s="95"/>
      <c r="D759" s="128"/>
      <c r="E759" s="128"/>
    </row>
    <row r="760" spans="2:5" x14ac:dyDescent="0.3">
      <c r="B760" s="301" t="s">
        <v>1434</v>
      </c>
      <c r="C760" s="101"/>
      <c r="D760" s="106" t="s">
        <v>483</v>
      </c>
      <c r="E760" s="315">
        <v>448</v>
      </c>
    </row>
    <row r="761" spans="2:5" x14ac:dyDescent="0.3">
      <c r="B761" s="107" t="s">
        <v>484</v>
      </c>
      <c r="C761" s="101"/>
      <c r="D761" s="121" t="s">
        <v>485</v>
      </c>
      <c r="E761" s="315">
        <v>952</v>
      </c>
    </row>
    <row r="762" spans="2:5" x14ac:dyDescent="0.3">
      <c r="B762" s="113" t="s">
        <v>422</v>
      </c>
      <c r="C762" s="101"/>
      <c r="D762" s="121" t="s">
        <v>486</v>
      </c>
      <c r="E762" s="315">
        <v>1336</v>
      </c>
    </row>
    <row r="763" spans="2:5" x14ac:dyDescent="0.3">
      <c r="B763" s="113" t="s">
        <v>424</v>
      </c>
      <c r="C763" s="101"/>
      <c r="D763" s="121" t="s">
        <v>487</v>
      </c>
      <c r="E763" s="315">
        <v>2752</v>
      </c>
    </row>
    <row r="764" spans="2:5" x14ac:dyDescent="0.3">
      <c r="B764" s="113" t="s">
        <v>426</v>
      </c>
      <c r="C764" s="101"/>
      <c r="D764" s="121" t="s">
        <v>488</v>
      </c>
      <c r="E764" s="315">
        <v>3112</v>
      </c>
    </row>
    <row r="765" spans="2:5" x14ac:dyDescent="0.3">
      <c r="B765" s="107" t="s">
        <v>489</v>
      </c>
      <c r="C765" s="101"/>
      <c r="D765" s="121" t="s">
        <v>490</v>
      </c>
      <c r="E765" s="315">
        <v>4888</v>
      </c>
    </row>
    <row r="766" spans="2:5" s="8" customFormat="1" x14ac:dyDescent="0.35">
      <c r="B766" s="107" t="s">
        <v>491</v>
      </c>
      <c r="C766" s="101"/>
      <c r="D766" s="121" t="s">
        <v>492</v>
      </c>
      <c r="E766" s="315">
        <v>14832</v>
      </c>
    </row>
    <row r="767" spans="2:5" s="8" customFormat="1" x14ac:dyDescent="0.35">
      <c r="B767" s="107" t="s">
        <v>493</v>
      </c>
      <c r="C767" s="101"/>
      <c r="D767" s="121" t="s">
        <v>494</v>
      </c>
      <c r="E767" s="315">
        <v>22468</v>
      </c>
    </row>
    <row r="768" spans="2:5" s="8" customFormat="1" x14ac:dyDescent="0.35">
      <c r="B768" s="107" t="s">
        <v>495</v>
      </c>
      <c r="C768" s="101"/>
      <c r="D768" s="121" t="s">
        <v>496</v>
      </c>
      <c r="E768" s="315">
        <v>30104</v>
      </c>
    </row>
    <row r="769" spans="2:5" s="8" customFormat="1" x14ac:dyDescent="0.35">
      <c r="B769" s="107" t="s">
        <v>497</v>
      </c>
      <c r="C769" s="101"/>
      <c r="D769" s="302" t="s">
        <v>498</v>
      </c>
      <c r="E769" s="315">
        <v>45376</v>
      </c>
    </row>
    <row r="770" spans="2:5" x14ac:dyDescent="0.3">
      <c r="B770" s="108"/>
      <c r="C770" s="95"/>
      <c r="D770" s="303"/>
      <c r="E770" s="303"/>
    </row>
    <row r="771" spans="2:5" x14ac:dyDescent="0.3">
      <c r="B771" s="108" t="s">
        <v>1788</v>
      </c>
      <c r="C771" s="199"/>
      <c r="D771" s="304"/>
      <c r="E771" s="304"/>
    </row>
    <row r="772" spans="2:5" x14ac:dyDescent="0.3">
      <c r="B772" s="119" t="s">
        <v>271</v>
      </c>
      <c r="C772" s="119"/>
      <c r="D772" s="110"/>
      <c r="E772" s="110"/>
    </row>
    <row r="773" spans="2:5" x14ac:dyDescent="0.3">
      <c r="B773" s="98" t="s">
        <v>272</v>
      </c>
      <c r="C773" s="116"/>
      <c r="D773" s="111" t="s">
        <v>273</v>
      </c>
      <c r="E773" s="315">
        <v>72</v>
      </c>
    </row>
    <row r="774" spans="2:5" x14ac:dyDescent="0.3">
      <c r="B774" s="98" t="s">
        <v>274</v>
      </c>
      <c r="C774" s="116"/>
      <c r="D774" s="106" t="s">
        <v>275</v>
      </c>
      <c r="E774" s="315">
        <v>310</v>
      </c>
    </row>
    <row r="775" spans="2:5" x14ac:dyDescent="0.3">
      <c r="B775" s="119" t="s">
        <v>276</v>
      </c>
      <c r="C775" s="119"/>
      <c r="D775" s="126"/>
      <c r="E775" s="126"/>
    </row>
    <row r="776" spans="2:5" x14ac:dyDescent="0.3">
      <c r="B776" s="98" t="s">
        <v>277</v>
      </c>
      <c r="C776" s="116"/>
      <c r="D776" s="106" t="s">
        <v>278</v>
      </c>
      <c r="E776" s="315">
        <v>129</v>
      </c>
    </row>
    <row r="777" spans="2:5" x14ac:dyDescent="0.3">
      <c r="B777" s="98" t="s">
        <v>279</v>
      </c>
      <c r="C777" s="116"/>
      <c r="D777" s="106" t="s">
        <v>280</v>
      </c>
      <c r="E777" s="315">
        <v>273</v>
      </c>
    </row>
    <row r="778" spans="2:5" x14ac:dyDescent="0.3">
      <c r="B778" s="98" t="s">
        <v>281</v>
      </c>
      <c r="C778" s="116"/>
      <c r="D778" s="106" t="s">
        <v>282</v>
      </c>
      <c r="E778" s="315">
        <v>750</v>
      </c>
    </row>
    <row r="779" spans="2:5" x14ac:dyDescent="0.3">
      <c r="B779" s="119" t="s">
        <v>283</v>
      </c>
      <c r="C779" s="119"/>
      <c r="D779" s="126"/>
      <c r="E779" s="126"/>
    </row>
    <row r="780" spans="2:5" x14ac:dyDescent="0.3">
      <c r="B780" s="98" t="s">
        <v>284</v>
      </c>
      <c r="C780" s="116"/>
      <c r="D780" s="106" t="s">
        <v>285</v>
      </c>
      <c r="E780" s="315">
        <v>6</v>
      </c>
    </row>
    <row r="781" spans="2:5" x14ac:dyDescent="0.3">
      <c r="B781" s="98" t="s">
        <v>286</v>
      </c>
      <c r="C781" s="116"/>
      <c r="D781" s="106" t="s">
        <v>287</v>
      </c>
      <c r="E781" s="315">
        <v>79</v>
      </c>
    </row>
    <row r="782" spans="2:5" x14ac:dyDescent="0.3">
      <c r="B782" s="98" t="s">
        <v>288</v>
      </c>
      <c r="C782" s="116"/>
      <c r="D782" s="106" t="s">
        <v>289</v>
      </c>
      <c r="E782" s="315">
        <v>317</v>
      </c>
    </row>
    <row r="783" spans="2:5" x14ac:dyDescent="0.3">
      <c r="B783" s="119" t="s">
        <v>290</v>
      </c>
      <c r="C783" s="119"/>
      <c r="D783" s="126"/>
      <c r="E783" s="126"/>
    </row>
    <row r="784" spans="2:5" x14ac:dyDescent="0.3">
      <c r="B784" s="98" t="s">
        <v>291</v>
      </c>
      <c r="C784" s="116"/>
      <c r="D784" s="106" t="s">
        <v>292</v>
      </c>
      <c r="E784" s="315">
        <v>133</v>
      </c>
    </row>
    <row r="785" spans="2:5" x14ac:dyDescent="0.3">
      <c r="B785" s="98" t="s">
        <v>293</v>
      </c>
      <c r="C785" s="116"/>
      <c r="D785" s="106" t="s">
        <v>294</v>
      </c>
      <c r="E785" s="315">
        <v>278</v>
      </c>
    </row>
    <row r="786" spans="2:5" x14ac:dyDescent="0.3">
      <c r="B786" s="98" t="s">
        <v>295</v>
      </c>
      <c r="C786" s="116"/>
      <c r="D786" s="106" t="s">
        <v>296</v>
      </c>
      <c r="E786" s="315">
        <v>755</v>
      </c>
    </row>
    <row r="787" spans="2:5" x14ac:dyDescent="0.3">
      <c r="B787" s="119" t="s">
        <v>297</v>
      </c>
      <c r="C787" s="119"/>
      <c r="D787" s="126"/>
      <c r="E787" s="126"/>
    </row>
    <row r="788" spans="2:5" x14ac:dyDescent="0.3">
      <c r="B788" s="98" t="s">
        <v>298</v>
      </c>
      <c r="C788" s="116"/>
      <c r="D788" s="106" t="s">
        <v>299</v>
      </c>
      <c r="E788" s="315">
        <v>261</v>
      </c>
    </row>
    <row r="789" spans="2:5" x14ac:dyDescent="0.3">
      <c r="B789" s="98" t="s">
        <v>300</v>
      </c>
      <c r="C789" s="116"/>
      <c r="D789" s="106" t="s">
        <v>301</v>
      </c>
      <c r="E789" s="315">
        <v>478</v>
      </c>
    </row>
    <row r="790" spans="2:5" x14ac:dyDescent="0.3">
      <c r="B790" s="98" t="s">
        <v>302</v>
      </c>
      <c r="C790" s="116"/>
      <c r="D790" s="106" t="s">
        <v>303</v>
      </c>
      <c r="E790" s="315">
        <v>1194</v>
      </c>
    </row>
    <row r="791" spans="2:5" x14ac:dyDescent="0.3">
      <c r="B791" s="119" t="s">
        <v>304</v>
      </c>
      <c r="C791" s="119"/>
      <c r="D791" s="126"/>
      <c r="E791" s="126"/>
    </row>
    <row r="792" spans="2:5" x14ac:dyDescent="0.3">
      <c r="B792" s="98" t="s">
        <v>305</v>
      </c>
      <c r="C792" s="116"/>
      <c r="D792" s="106" t="s">
        <v>306</v>
      </c>
      <c r="E792" s="315">
        <v>389</v>
      </c>
    </row>
    <row r="793" spans="2:5" x14ac:dyDescent="0.3">
      <c r="B793" s="98" t="s">
        <v>307</v>
      </c>
      <c r="C793" s="116"/>
      <c r="D793" s="106" t="s">
        <v>308</v>
      </c>
      <c r="E793" s="315">
        <v>677</v>
      </c>
    </row>
    <row r="794" spans="2:5" x14ac:dyDescent="0.3">
      <c r="B794" s="98" t="s">
        <v>309</v>
      </c>
      <c r="C794" s="116"/>
      <c r="D794" s="106" t="s">
        <v>310</v>
      </c>
      <c r="E794" s="315">
        <v>1633</v>
      </c>
    </row>
    <row r="795" spans="2:5" x14ac:dyDescent="0.3">
      <c r="B795" s="114"/>
      <c r="C795" s="97"/>
      <c r="D795" s="130"/>
      <c r="E795" s="130"/>
    </row>
    <row r="796" spans="2:5" x14ac:dyDescent="0.3">
      <c r="B796" s="108" t="s">
        <v>311</v>
      </c>
      <c r="C796" s="97"/>
      <c r="D796" s="128"/>
      <c r="E796" s="128"/>
    </row>
    <row r="797" spans="2:5" x14ac:dyDescent="0.3">
      <c r="B797" s="98" t="s">
        <v>312</v>
      </c>
      <c r="C797" s="116"/>
      <c r="D797" s="106" t="s">
        <v>313</v>
      </c>
      <c r="E797" s="315">
        <v>112</v>
      </c>
    </row>
    <row r="798" spans="2:5" x14ac:dyDescent="0.3">
      <c r="B798" s="98" t="s">
        <v>314</v>
      </c>
      <c r="C798" s="116"/>
      <c r="D798" s="106" t="s">
        <v>315</v>
      </c>
      <c r="E798" s="315">
        <v>112</v>
      </c>
    </row>
    <row r="799" spans="2:5" x14ac:dyDescent="0.3">
      <c r="B799" s="98" t="s">
        <v>316</v>
      </c>
      <c r="C799" s="116"/>
      <c r="D799" s="106" t="s">
        <v>317</v>
      </c>
      <c r="E799" s="315">
        <v>112</v>
      </c>
    </row>
    <row r="800" spans="2:5" x14ac:dyDescent="0.3">
      <c r="B800" s="114"/>
      <c r="C800" s="97"/>
      <c r="D800" s="130"/>
      <c r="E800" s="130"/>
    </row>
    <row r="801" spans="2:5" x14ac:dyDescent="0.3">
      <c r="B801" s="108" t="s">
        <v>440</v>
      </c>
      <c r="C801" s="95"/>
      <c r="D801" s="128"/>
      <c r="E801" s="128"/>
    </row>
    <row r="802" spans="2:5" x14ac:dyDescent="0.3">
      <c r="B802" s="113" t="s">
        <v>318</v>
      </c>
      <c r="C802" s="116"/>
      <c r="D802" s="106" t="s">
        <v>319</v>
      </c>
      <c r="E802" s="315">
        <v>56</v>
      </c>
    </row>
    <row r="803" spans="2:5" x14ac:dyDescent="0.3">
      <c r="B803" s="113" t="s">
        <v>320</v>
      </c>
      <c r="C803" s="116"/>
      <c r="D803" s="106" t="s">
        <v>321</v>
      </c>
      <c r="E803" s="315">
        <v>67</v>
      </c>
    </row>
    <row r="804" spans="2:5" x14ac:dyDescent="0.3">
      <c r="B804" s="113" t="s">
        <v>323</v>
      </c>
      <c r="C804" s="116"/>
      <c r="D804" s="106" t="s">
        <v>324</v>
      </c>
      <c r="E804" s="315">
        <v>222</v>
      </c>
    </row>
    <row r="805" spans="2:5" x14ac:dyDescent="0.3">
      <c r="B805" s="114"/>
      <c r="C805" s="97"/>
      <c r="D805" s="130"/>
      <c r="E805" s="130"/>
    </row>
    <row r="806" spans="2:5" x14ac:dyDescent="0.3">
      <c r="B806" s="108" t="s">
        <v>499</v>
      </c>
      <c r="C806" s="97"/>
      <c r="D806" s="128"/>
      <c r="E806" s="128"/>
    </row>
    <row r="807" spans="2:5" x14ac:dyDescent="0.3">
      <c r="B807" s="113" t="s">
        <v>501</v>
      </c>
      <c r="C807" s="116"/>
      <c r="D807" s="129" t="s">
        <v>500</v>
      </c>
      <c r="E807" s="315">
        <v>76</v>
      </c>
    </row>
    <row r="808" spans="2:5" x14ac:dyDescent="0.3">
      <c r="B808" s="113" t="s">
        <v>503</v>
      </c>
      <c r="C808" s="116"/>
      <c r="D808" s="129" t="s">
        <v>502</v>
      </c>
      <c r="E808" s="315">
        <v>353</v>
      </c>
    </row>
    <row r="809" spans="2:5" x14ac:dyDescent="0.3">
      <c r="B809" s="95"/>
      <c r="C809" s="97"/>
      <c r="D809" s="130"/>
      <c r="E809" s="130"/>
    </row>
    <row r="810" spans="2:5" x14ac:dyDescent="0.3">
      <c r="B810" s="108" t="s">
        <v>504</v>
      </c>
      <c r="C810" s="97"/>
      <c r="D810" s="128"/>
      <c r="E810" s="128"/>
    </row>
    <row r="811" spans="2:5" x14ac:dyDescent="0.3">
      <c r="B811" s="113" t="s">
        <v>328</v>
      </c>
      <c r="C811" s="116"/>
      <c r="D811" s="129" t="s">
        <v>329</v>
      </c>
      <c r="E811" s="315">
        <v>6</v>
      </c>
    </row>
    <row r="812" spans="2:5" x14ac:dyDescent="0.3">
      <c r="B812" s="113" t="s">
        <v>330</v>
      </c>
      <c r="C812" s="116"/>
      <c r="D812" s="129" t="s">
        <v>331</v>
      </c>
      <c r="E812" s="315">
        <v>6</v>
      </c>
    </row>
    <row r="813" spans="2:5" x14ac:dyDescent="0.3">
      <c r="B813" s="113" t="s">
        <v>441</v>
      </c>
      <c r="C813" s="116"/>
      <c r="D813" s="129" t="s">
        <v>332</v>
      </c>
      <c r="E813" s="315">
        <v>6</v>
      </c>
    </row>
    <row r="814" spans="2:5" x14ac:dyDescent="0.3">
      <c r="B814" s="113" t="s">
        <v>442</v>
      </c>
      <c r="C814" s="116"/>
      <c r="D814" s="131" t="s">
        <v>333</v>
      </c>
      <c r="E814" s="315">
        <v>6</v>
      </c>
    </row>
    <row r="815" spans="2:5" x14ac:dyDescent="0.3">
      <c r="B815" s="114"/>
      <c r="C815" s="97"/>
      <c r="D815" s="130"/>
      <c r="E815" s="130"/>
    </row>
    <row r="816" spans="2:5" x14ac:dyDescent="0.3">
      <c r="B816" s="108" t="s">
        <v>54</v>
      </c>
      <c r="C816" s="146"/>
      <c r="D816" s="147"/>
      <c r="E816" s="147"/>
    </row>
    <row r="817" spans="2:5" x14ac:dyDescent="0.3">
      <c r="B817" s="119" t="s">
        <v>339</v>
      </c>
      <c r="C817" s="145"/>
      <c r="D817" s="145"/>
      <c r="E817" s="145"/>
    </row>
    <row r="818" spans="2:5" x14ac:dyDescent="0.3">
      <c r="B818" s="98" t="s">
        <v>340</v>
      </c>
      <c r="C818" s="178"/>
      <c r="D818" s="129" t="s">
        <v>445</v>
      </c>
      <c r="E818" s="315">
        <v>186</v>
      </c>
    </row>
    <row r="819" spans="2:5" s="8" customFormat="1" x14ac:dyDescent="0.35">
      <c r="B819" s="98" t="s">
        <v>1324</v>
      </c>
      <c r="C819" s="98"/>
      <c r="D819" s="106" t="s">
        <v>446</v>
      </c>
      <c r="E819" s="315">
        <v>438</v>
      </c>
    </row>
    <row r="820" spans="2:5" x14ac:dyDescent="0.3">
      <c r="B820" s="101" t="s">
        <v>1502</v>
      </c>
      <c r="C820" s="305"/>
      <c r="D820" s="259" t="s">
        <v>447</v>
      </c>
      <c r="E820" s="315">
        <v>679</v>
      </c>
    </row>
    <row r="821" spans="2:5" x14ac:dyDescent="0.3">
      <c r="B821" s="306" t="s">
        <v>1432</v>
      </c>
      <c r="C821" s="307"/>
      <c r="D821" s="308" t="s">
        <v>448</v>
      </c>
      <c r="E821" s="315">
        <v>1253</v>
      </c>
    </row>
    <row r="822" spans="2:5" x14ac:dyDescent="0.3">
      <c r="B822" s="98" t="s">
        <v>342</v>
      </c>
      <c r="C822" s="116"/>
      <c r="D822" s="129" t="s">
        <v>449</v>
      </c>
      <c r="E822" s="315">
        <v>1396</v>
      </c>
    </row>
    <row r="823" spans="2:5" x14ac:dyDescent="0.3">
      <c r="B823" s="101" t="s">
        <v>1430</v>
      </c>
      <c r="C823" s="98"/>
      <c r="D823" s="106" t="s">
        <v>134</v>
      </c>
      <c r="E823" s="315">
        <v>2683</v>
      </c>
    </row>
    <row r="824" spans="2:5" x14ac:dyDescent="0.3">
      <c r="B824" s="98" t="s">
        <v>344</v>
      </c>
      <c r="C824" s="116"/>
      <c r="D824" s="106" t="s">
        <v>450</v>
      </c>
      <c r="E824" s="315">
        <v>3073</v>
      </c>
    </row>
    <row r="825" spans="2:5" x14ac:dyDescent="0.3">
      <c r="B825" s="309" t="s">
        <v>345</v>
      </c>
      <c r="C825" s="116"/>
      <c r="D825" s="106" t="s">
        <v>451</v>
      </c>
      <c r="E825" s="315">
        <v>6348</v>
      </c>
    </row>
    <row r="826" spans="2:5" x14ac:dyDescent="0.3">
      <c r="B826" s="119" t="s">
        <v>349</v>
      </c>
      <c r="C826" s="310"/>
      <c r="D826" s="123"/>
      <c r="E826" s="311"/>
    </row>
    <row r="827" spans="2:5" x14ac:dyDescent="0.3">
      <c r="B827" s="101" t="s">
        <v>1435</v>
      </c>
      <c r="C827" s="98"/>
      <c r="D827" s="106" t="s">
        <v>453</v>
      </c>
      <c r="E827" s="315">
        <v>2396</v>
      </c>
    </row>
    <row r="828" spans="2:5" x14ac:dyDescent="0.3">
      <c r="B828" s="98" t="s">
        <v>457</v>
      </c>
      <c r="C828" s="98"/>
      <c r="D828" s="118" t="s">
        <v>456</v>
      </c>
      <c r="E828" s="315">
        <v>2940</v>
      </c>
    </row>
    <row r="829" spans="2:5" x14ac:dyDescent="0.3">
      <c r="B829" s="113" t="s">
        <v>460</v>
      </c>
      <c r="C829" s="98"/>
      <c r="D829" s="118" t="s">
        <v>459</v>
      </c>
      <c r="E829" s="315">
        <v>6294</v>
      </c>
    </row>
    <row r="830" spans="2:5" x14ac:dyDescent="0.3">
      <c r="B830" s="114"/>
      <c r="C830" s="97"/>
      <c r="D830" s="130"/>
      <c r="E830" s="130"/>
    </row>
    <row r="831" spans="2:5" x14ac:dyDescent="0.3">
      <c r="B831" s="108" t="s">
        <v>98</v>
      </c>
      <c r="C831" s="290"/>
      <c r="D831" s="128"/>
      <c r="E831" s="128"/>
    </row>
    <row r="832" spans="2:5" x14ac:dyDescent="0.3">
      <c r="B832" s="98" t="s">
        <v>505</v>
      </c>
      <c r="C832" s="116"/>
      <c r="D832" s="129" t="s">
        <v>506</v>
      </c>
      <c r="E832" s="315">
        <v>27</v>
      </c>
    </row>
    <row r="833" spans="2:5" x14ac:dyDescent="0.3">
      <c r="B833" s="114"/>
      <c r="C833" s="97"/>
      <c r="D833" s="130"/>
      <c r="E833" s="130"/>
    </row>
    <row r="834" spans="2:5" x14ac:dyDescent="0.3">
      <c r="B834" s="108" t="s">
        <v>361</v>
      </c>
      <c r="C834" s="290"/>
      <c r="D834" s="128"/>
      <c r="E834" s="128"/>
    </row>
    <row r="835" spans="2:5" x14ac:dyDescent="0.3">
      <c r="B835" s="116" t="s">
        <v>1431</v>
      </c>
      <c r="C835" s="116"/>
      <c r="D835" s="129" t="s">
        <v>507</v>
      </c>
      <c r="E835" s="315">
        <v>55</v>
      </c>
    </row>
    <row r="836" spans="2:5" x14ac:dyDescent="0.3">
      <c r="B836" s="98" t="s">
        <v>1436</v>
      </c>
      <c r="C836" s="116"/>
      <c r="D836" s="129" t="s">
        <v>508</v>
      </c>
      <c r="E836" s="315">
        <v>55</v>
      </c>
    </row>
    <row r="837" spans="2:5" x14ac:dyDescent="0.3">
      <c r="B837" s="98" t="s">
        <v>107</v>
      </c>
      <c r="C837" s="116"/>
      <c r="D837" s="129" t="s">
        <v>365</v>
      </c>
      <c r="E837" s="315">
        <v>27</v>
      </c>
    </row>
    <row r="838" spans="2:5" x14ac:dyDescent="0.3">
      <c r="B838" s="114"/>
      <c r="C838" s="97"/>
      <c r="D838" s="130"/>
      <c r="E838" s="130"/>
    </row>
    <row r="839" spans="2:5" x14ac:dyDescent="0.3">
      <c r="B839" s="114" t="s">
        <v>509</v>
      </c>
      <c r="C839" s="290"/>
      <c r="D839" s="128"/>
      <c r="E839" s="128"/>
    </row>
    <row r="840" spans="2:5" x14ac:dyDescent="0.3">
      <c r="B840" s="98" t="s">
        <v>510</v>
      </c>
      <c r="C840" s="116"/>
      <c r="D840" s="129" t="s">
        <v>511</v>
      </c>
      <c r="E840" s="315">
        <v>36</v>
      </c>
    </row>
    <row r="841" spans="2:5" x14ac:dyDescent="0.3">
      <c r="B841" s="98" t="s">
        <v>512</v>
      </c>
      <c r="C841" s="116"/>
      <c r="D841" s="129" t="s">
        <v>513</v>
      </c>
      <c r="E841" s="315">
        <v>89</v>
      </c>
    </row>
    <row r="842" spans="2:5" x14ac:dyDescent="0.3">
      <c r="B842" s="98" t="s">
        <v>514</v>
      </c>
      <c r="C842" s="116"/>
      <c r="D842" s="129" t="s">
        <v>515</v>
      </c>
      <c r="E842" s="315">
        <v>160</v>
      </c>
    </row>
    <row r="843" spans="2:5" x14ac:dyDescent="0.3">
      <c r="B843" s="98" t="s">
        <v>1308</v>
      </c>
      <c r="C843" s="116"/>
      <c r="D843" s="129" t="s">
        <v>516</v>
      </c>
      <c r="E843" s="315">
        <v>160</v>
      </c>
    </row>
    <row r="844" spans="2:5" x14ac:dyDescent="0.3">
      <c r="B844" s="114"/>
      <c r="C844" s="97"/>
      <c r="D844" s="130"/>
      <c r="E844" s="130"/>
    </row>
    <row r="845" spans="2:5" x14ac:dyDescent="0.3">
      <c r="B845" s="114" t="s">
        <v>517</v>
      </c>
      <c r="C845" s="290"/>
      <c r="D845" s="128"/>
      <c r="E845" s="128"/>
    </row>
    <row r="846" spans="2:5" x14ac:dyDescent="0.3">
      <c r="B846" s="98" t="s">
        <v>518</v>
      </c>
      <c r="C846" s="116"/>
      <c r="D846" s="129" t="s">
        <v>519</v>
      </c>
      <c r="E846" s="315">
        <v>27</v>
      </c>
    </row>
    <row r="847" spans="2:5" x14ac:dyDescent="0.3">
      <c r="B847" s="114"/>
      <c r="C847" s="97"/>
      <c r="D847" s="130"/>
      <c r="E847" s="130"/>
    </row>
    <row r="848" spans="2:5" x14ac:dyDescent="0.3">
      <c r="B848" s="108" t="s">
        <v>67</v>
      </c>
      <c r="C848" s="290"/>
      <c r="D848" s="128"/>
      <c r="E848" s="128"/>
    </row>
    <row r="849" spans="2:5" x14ac:dyDescent="0.3">
      <c r="B849" s="98" t="s">
        <v>68</v>
      </c>
      <c r="C849" s="116"/>
      <c r="D849" s="129" t="s">
        <v>366</v>
      </c>
      <c r="E849" s="315">
        <v>0</v>
      </c>
    </row>
    <row r="850" spans="2:5" x14ac:dyDescent="0.3">
      <c r="B850" s="114"/>
      <c r="C850" s="97"/>
      <c r="D850" s="130"/>
      <c r="E850" s="130"/>
    </row>
    <row r="851" spans="2:5" x14ac:dyDescent="0.3">
      <c r="B851" s="114" t="s">
        <v>367</v>
      </c>
      <c r="C851" s="290"/>
      <c r="D851" s="128"/>
      <c r="E851" s="128"/>
    </row>
    <row r="852" spans="2:5" x14ac:dyDescent="0.3">
      <c r="B852" s="98" t="s">
        <v>520</v>
      </c>
      <c r="C852" s="116"/>
      <c r="D852" s="129" t="s">
        <v>521</v>
      </c>
      <c r="E852" s="315">
        <v>56</v>
      </c>
    </row>
    <row r="853" spans="2:5" x14ac:dyDescent="0.3">
      <c r="B853" s="98" t="s">
        <v>522</v>
      </c>
      <c r="C853" s="116"/>
      <c r="D853" s="129" t="s">
        <v>523</v>
      </c>
      <c r="E853" s="315">
        <v>83</v>
      </c>
    </row>
    <row r="854" spans="2:5" x14ac:dyDescent="0.3">
      <c r="B854" s="114"/>
      <c r="C854" s="97"/>
      <c r="D854" s="130"/>
      <c r="E854" s="130"/>
    </row>
    <row r="855" spans="2:5" x14ac:dyDescent="0.3">
      <c r="B855" s="114" t="s">
        <v>524</v>
      </c>
      <c r="C855" s="290"/>
      <c r="D855" s="128"/>
      <c r="E855" s="128"/>
    </row>
    <row r="856" spans="2:5" x14ac:dyDescent="0.3">
      <c r="B856" s="98" t="s">
        <v>525</v>
      </c>
      <c r="C856" s="116"/>
      <c r="D856" s="129" t="s">
        <v>526</v>
      </c>
      <c r="E856" s="315">
        <v>36</v>
      </c>
    </row>
    <row r="857" spans="2:5" x14ac:dyDescent="0.3">
      <c r="B857" s="98" t="s">
        <v>527</v>
      </c>
      <c r="C857" s="116"/>
      <c r="D857" s="129" t="s">
        <v>528</v>
      </c>
      <c r="E857" s="315">
        <v>56</v>
      </c>
    </row>
    <row r="858" spans="2:5" x14ac:dyDescent="0.3">
      <c r="B858" s="98" t="s">
        <v>529</v>
      </c>
      <c r="C858" s="116"/>
      <c r="D858" s="129" t="s">
        <v>530</v>
      </c>
      <c r="E858" s="315">
        <v>70</v>
      </c>
    </row>
    <row r="859" spans="2:5" x14ac:dyDescent="0.3">
      <c r="B859" s="21"/>
      <c r="C859" s="6"/>
      <c r="D859" s="18"/>
      <c r="E859" s="18"/>
    </row>
    <row r="860" spans="2:5" x14ac:dyDescent="0.3">
      <c r="B860" s="21"/>
    </row>
    <row r="861" spans="2:5" x14ac:dyDescent="0.3">
      <c r="B861" s="21"/>
    </row>
    <row r="862" spans="2:5" x14ac:dyDescent="0.3">
      <c r="B862" s="21"/>
    </row>
    <row r="863" spans="2:5" x14ac:dyDescent="0.3">
      <c r="B863" s="21"/>
    </row>
    <row r="864" spans="2:5" x14ac:dyDescent="0.3">
      <c r="B864" s="21"/>
    </row>
    <row r="865" spans="2:2" x14ac:dyDescent="0.3">
      <c r="B865" s="21"/>
    </row>
    <row r="866" spans="2:2" x14ac:dyDescent="0.3">
      <c r="B866" s="21"/>
    </row>
    <row r="867" spans="2:2" x14ac:dyDescent="0.3">
      <c r="B867" s="21"/>
    </row>
    <row r="868" spans="2:2" x14ac:dyDescent="0.3">
      <c r="B868" s="21"/>
    </row>
    <row r="869" spans="2:2" x14ac:dyDescent="0.3">
      <c r="B869" s="21"/>
    </row>
    <row r="870" spans="2:2" x14ac:dyDescent="0.3">
      <c r="B870" s="21"/>
    </row>
    <row r="871" spans="2:2" x14ac:dyDescent="0.3">
      <c r="B871" s="21"/>
    </row>
    <row r="872" spans="2:2" x14ac:dyDescent="0.3">
      <c r="B872" s="21"/>
    </row>
    <row r="873" spans="2:2" x14ac:dyDescent="0.3">
      <c r="B873" s="21"/>
    </row>
    <row r="874" spans="2:2" x14ac:dyDescent="0.3">
      <c r="B874" s="21"/>
    </row>
    <row r="875" spans="2:2" x14ac:dyDescent="0.3">
      <c r="B875" s="21"/>
    </row>
    <row r="876" spans="2:2" x14ac:dyDescent="0.3">
      <c r="B876" s="20"/>
    </row>
  </sheetData>
  <sheetProtection algorithmName="SHA-512" hashValue="BqWqFVdWvJNE85/K4TMpnkQzIBAUcdzixEe9mHO7plQ87h68K6vLsh+Xq9Lcy7MVyu1wLVEVJrm6e21Ahxk0pQ==" saltValue="s1VPeV2yh/nrhvGN2ShJzw==" spinCount="100000" sheet="1" sort="0" autoFilter="0" pivotTables="0"/>
  <dataConsolidate/>
  <mergeCells count="7">
    <mergeCell ref="B438:D438"/>
    <mergeCell ref="B445:D445"/>
    <mergeCell ref="B2:D2"/>
    <mergeCell ref="B4:D4"/>
    <mergeCell ref="B13:D13"/>
    <mergeCell ref="B319:D319"/>
    <mergeCell ref="B325:D325"/>
  </mergeCells>
  <phoneticPr fontId="37" type="noConversion"/>
  <conditionalFormatting sqref="E741:E759 E770:E1048576">
    <cfRule type="cellIs" dxfId="434" priority="2110" operator="greaterThan">
      <formula>#REF!</formula>
    </cfRule>
    <cfRule type="cellIs" dxfId="433" priority="2111" operator="greaterThan">
      <formula>#REF!</formula>
    </cfRule>
    <cfRule type="cellIs" priority="2112" operator="equal">
      <formula>#REF!</formula>
    </cfRule>
  </conditionalFormatting>
  <conditionalFormatting sqref="E15:E59 E63:E160 E162:E191 E193:E242 E259 E298:E408 F274:F275 E261:E293 E443:E516 E6:E13 E410:E441">
    <cfRule type="cellIs" dxfId="432" priority="295" operator="greaterThan">
      <formula>#REF!</formula>
    </cfRule>
    <cfRule type="cellIs" dxfId="431" priority="296" operator="greaterThan">
      <formula>#REF!</formula>
    </cfRule>
    <cfRule type="cellIs" priority="297" operator="equal">
      <formula>#REF!</formula>
    </cfRule>
  </conditionalFormatting>
  <conditionalFormatting sqref="E1:E4 E248:E250 E252:E257 E518:E644">
    <cfRule type="cellIs" dxfId="430" priority="291" operator="greaterThan">
      <formula>#REF!</formula>
    </cfRule>
    <cfRule type="cellIs" dxfId="429" priority="292" operator="greaterThan">
      <formula>#REF!</formula>
    </cfRule>
    <cfRule type="cellIs" priority="293" operator="equal">
      <formula>#REF!</formula>
    </cfRule>
  </conditionalFormatting>
  <conditionalFormatting sqref="E18:E20">
    <cfRule type="cellIs" dxfId="428" priority="294" operator="greaterThan">
      <formula>#REF!</formula>
    </cfRule>
  </conditionalFormatting>
  <conditionalFormatting sqref="E245">
    <cfRule type="cellIs" dxfId="427" priority="277" operator="greaterThan">
      <formula>#REF!</formula>
    </cfRule>
    <cfRule type="cellIs" dxfId="426" priority="278" operator="greaterThan">
      <formula>#REF!</formula>
    </cfRule>
    <cfRule type="cellIs" priority="279" operator="equal">
      <formula>#REF!</formula>
    </cfRule>
  </conditionalFormatting>
  <conditionalFormatting sqref="E645 E739:E740">
    <cfRule type="cellIs" dxfId="425" priority="270" operator="greaterThan">
      <formula>#REF!</formula>
    </cfRule>
    <cfRule type="cellIs" dxfId="424" priority="271" operator="greaterThan">
      <formula>#REF!</formula>
    </cfRule>
    <cfRule type="cellIs" priority="272" operator="equal">
      <formula>#REF!</formula>
    </cfRule>
  </conditionalFormatting>
  <conditionalFormatting sqref="E246:E247">
    <cfRule type="cellIs" dxfId="423" priority="250" operator="greaterThan">
      <formula>#REF!</formula>
    </cfRule>
    <cfRule type="cellIs" dxfId="422" priority="251" operator="greaterThan">
      <formula>#REF!</formula>
    </cfRule>
    <cfRule type="cellIs" priority="252" operator="equal">
      <formula>#REF!</formula>
    </cfRule>
  </conditionalFormatting>
  <conditionalFormatting sqref="E244">
    <cfRule type="cellIs" dxfId="421" priority="244" operator="greaterThan">
      <formula>#REF!</formula>
    </cfRule>
    <cfRule type="cellIs" dxfId="420" priority="245" operator="greaterThan">
      <formula>#REF!</formula>
    </cfRule>
    <cfRule type="cellIs" priority="246" operator="equal">
      <formula>#REF!</formula>
    </cfRule>
  </conditionalFormatting>
  <conditionalFormatting sqref="E243">
    <cfRule type="cellIs" dxfId="419" priority="238" operator="greaterThan">
      <formula>#REF!</formula>
    </cfRule>
    <cfRule type="cellIs" dxfId="418" priority="239" operator="greaterThan">
      <formula>#REF!</formula>
    </cfRule>
    <cfRule type="cellIs" priority="240" operator="equal">
      <formula>#REF!</formula>
    </cfRule>
  </conditionalFormatting>
  <conditionalFormatting sqref="E409">
    <cfRule type="cellIs" dxfId="417" priority="235" operator="greaterThan">
      <formula>#REF!</formula>
    </cfRule>
    <cfRule type="cellIs" dxfId="416" priority="236" operator="greaterThan">
      <formula>#REF!</formula>
    </cfRule>
    <cfRule type="cellIs" priority="237" operator="equal">
      <formula>#REF!</formula>
    </cfRule>
  </conditionalFormatting>
  <conditionalFormatting sqref="E192">
    <cfRule type="cellIs" dxfId="415" priority="202" operator="greaterThan">
      <formula>#REF!</formula>
    </cfRule>
    <cfRule type="cellIs" dxfId="414" priority="203" operator="greaterThan">
      <formula>#REF!</formula>
    </cfRule>
    <cfRule type="cellIs" priority="204" operator="equal">
      <formula>#REF!</formula>
    </cfRule>
  </conditionalFormatting>
  <conditionalFormatting sqref="E60:E62">
    <cfRule type="cellIs" dxfId="413" priority="113" operator="greaterThan">
      <formula>#REF!</formula>
    </cfRule>
    <cfRule type="cellIs" dxfId="412" priority="114" operator="greaterThan">
      <formula>#REF!</formula>
    </cfRule>
    <cfRule type="cellIs" priority="115" operator="equal">
      <formula>#REF!</formula>
    </cfRule>
  </conditionalFormatting>
  <conditionalFormatting sqref="E60:E62">
    <cfRule type="cellIs" dxfId="411" priority="116" operator="greaterThan">
      <formula>#REF!</formula>
    </cfRule>
  </conditionalFormatting>
  <conditionalFormatting sqref="E251">
    <cfRule type="cellIs" dxfId="410" priority="83" operator="greaterThan">
      <formula>#REF!</formula>
    </cfRule>
    <cfRule type="cellIs" dxfId="409" priority="84" operator="greaterThan">
      <formula>#REF!</formula>
    </cfRule>
    <cfRule type="cellIs" priority="85" operator="equal">
      <formula>#REF!</formula>
    </cfRule>
  </conditionalFormatting>
  <conditionalFormatting sqref="E260">
    <cfRule type="cellIs" dxfId="408" priority="80" operator="greaterThan">
      <formula>#REF!</formula>
    </cfRule>
    <cfRule type="cellIs" dxfId="407" priority="81" operator="greaterThan">
      <formula>#REF!</formula>
    </cfRule>
    <cfRule type="cellIs" priority="82" operator="equal">
      <formula>#REF!</formula>
    </cfRule>
  </conditionalFormatting>
  <conditionalFormatting sqref="E161">
    <cfRule type="cellIs" dxfId="406" priority="50" operator="greaterThan">
      <formula>#REF!</formula>
    </cfRule>
    <cfRule type="cellIs" dxfId="405" priority="51" operator="greaterThan">
      <formula>#REF!</formula>
    </cfRule>
    <cfRule type="cellIs" priority="52" operator="equal">
      <formula>#REF!</formula>
    </cfRule>
  </conditionalFormatting>
  <conditionalFormatting sqref="E294:E297">
    <cfRule type="cellIs" dxfId="404" priority="23" operator="greaterThan">
      <formula>#REF!</formula>
    </cfRule>
    <cfRule type="cellIs" dxfId="403" priority="24" operator="greaterThan">
      <formula>#REF!</formula>
    </cfRule>
    <cfRule type="cellIs" priority="25" operator="equal">
      <formula>#REF!</formula>
    </cfRule>
  </conditionalFormatting>
  <conditionalFormatting sqref="E760:E769">
    <cfRule type="cellIs" dxfId="402" priority="19" operator="greaterThan">
      <formula>#REF!</formula>
    </cfRule>
    <cfRule type="cellIs" dxfId="401" priority="20" operator="greaterThan">
      <formula>#REF!</formula>
    </cfRule>
    <cfRule type="cellIs" priority="21" operator="equal">
      <formula>#REF!</formula>
    </cfRule>
  </conditionalFormatting>
  <conditionalFormatting sqref="E517">
    <cfRule type="cellIs" dxfId="400" priority="6" operator="greaterThan">
      <formula>#REF!</formula>
    </cfRule>
    <cfRule type="cellIs" dxfId="399" priority="7" operator="greaterThan">
      <formula>#REF!</formula>
    </cfRule>
    <cfRule type="cellIs" priority="8" operator="equal">
      <formula>#REF!</formula>
    </cfRule>
  </conditionalFormatting>
  <conditionalFormatting sqref="E258">
    <cfRule type="cellIs" dxfId="398" priority="2" operator="greaterThan">
      <formula>#REF!</formula>
    </cfRule>
    <cfRule type="cellIs" dxfId="397" priority="3" operator="greaterThan">
      <formula>#REF!</formula>
    </cfRule>
    <cfRule type="cellIs" priority="4" operator="equal">
      <formula>#REF!</formula>
    </cfRule>
  </conditionalFormatting>
  <pageMargins left="0.7" right="0.7" top="0.75" bottom="0.75" header="0.3" footer="0.3"/>
  <pageSetup paperSize="9" orientation="portrait" r:id="rId1"/>
  <headerFooter>
    <oddFooter>&amp;L&amp;1#&amp;"Calibri"&amp;7&amp;K7F7F7FInternal Use -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48C8-81AD-4442-BE84-09119EA4D710}">
  <sheetPr>
    <tabColor rgb="FF00B050"/>
  </sheetPr>
  <dimension ref="A1:N876"/>
  <sheetViews>
    <sheetView zoomScale="80" zoomScaleNormal="80" workbookViewId="0">
      <selection activeCell="B9" sqref="B9"/>
    </sheetView>
  </sheetViews>
  <sheetFormatPr baseColWidth="10" defaultColWidth="19" defaultRowHeight="13" x14ac:dyDescent="0.3"/>
  <cols>
    <col min="1" max="1" width="5.26953125" style="6" customWidth="1"/>
    <col min="2" max="2" width="139.54296875" style="7" customWidth="1"/>
    <col min="3" max="3" width="26.81640625" style="8" customWidth="1"/>
    <col min="4" max="4" width="19" style="9"/>
    <col min="5" max="5" width="11.453125" style="10" bestFit="1" customWidth="1"/>
    <col min="6" max="6" width="22" style="6" customWidth="1"/>
    <col min="7" max="7" width="18.81640625" style="6" customWidth="1"/>
    <col min="8" max="8" width="8.453125" style="6" customWidth="1"/>
    <col min="9" max="16384" width="19" style="6"/>
  </cols>
  <sheetData>
    <row r="1" spans="1:14" s="97" customFormat="1" ht="78.75" customHeight="1" thickBot="1" x14ac:dyDescent="0.35">
      <c r="B1" s="96"/>
      <c r="C1" s="95"/>
      <c r="D1" s="94"/>
      <c r="E1" s="166"/>
    </row>
    <row r="2" spans="1:14" ht="21" x14ac:dyDescent="0.3">
      <c r="B2" s="504" t="s">
        <v>22</v>
      </c>
      <c r="C2" s="504"/>
      <c r="D2" s="504"/>
      <c r="E2" s="11"/>
      <c r="I2" s="440" t="s">
        <v>1921</v>
      </c>
      <c r="J2" s="434" t="s">
        <v>1922</v>
      </c>
      <c r="K2" s="434" t="s">
        <v>1923</v>
      </c>
      <c r="L2" s="435" t="s">
        <v>1924</v>
      </c>
    </row>
    <row r="3" spans="1:14" s="12" customFormat="1" ht="13.5" thickBot="1" x14ac:dyDescent="0.4">
      <c r="B3" s="7"/>
      <c r="C3" s="7"/>
      <c r="D3" s="9"/>
      <c r="E3" s="10"/>
      <c r="I3" s="441">
        <v>0.22422</v>
      </c>
      <c r="J3" s="436">
        <v>0.11817999999999999</v>
      </c>
      <c r="K3" s="436">
        <v>8.5800000000000001E-2</v>
      </c>
      <c r="L3" s="437">
        <v>7.0749999999999993E-2</v>
      </c>
    </row>
    <row r="4" spans="1:14" s="13" customFormat="1" ht="26.5" thickBot="1" x14ac:dyDescent="0.4">
      <c r="B4" s="505" t="s">
        <v>23</v>
      </c>
      <c r="C4" s="506"/>
      <c r="D4" s="506"/>
      <c r="E4" s="459"/>
      <c r="F4" s="507" t="s">
        <v>1925</v>
      </c>
      <c r="G4" s="508"/>
      <c r="I4" s="442" t="s">
        <v>1917</v>
      </c>
      <c r="J4" s="438" t="s">
        <v>1918</v>
      </c>
      <c r="K4" s="438" t="s">
        <v>1919</v>
      </c>
      <c r="L4" s="439" t="s">
        <v>1920</v>
      </c>
    </row>
    <row r="5" spans="1:14" s="12" customFormat="1" ht="26.5" thickBot="1" x14ac:dyDescent="0.4">
      <c r="B5" s="14" t="s">
        <v>24</v>
      </c>
      <c r="C5" s="15" t="s">
        <v>25</v>
      </c>
      <c r="D5" s="16" t="s">
        <v>26</v>
      </c>
      <c r="E5" s="460" t="s">
        <v>1307</v>
      </c>
      <c r="F5" s="461" t="s">
        <v>26</v>
      </c>
      <c r="G5" s="445" t="s">
        <v>1307</v>
      </c>
    </row>
    <row r="6" spans="1:14" s="12" customFormat="1" ht="135" customHeight="1" x14ac:dyDescent="0.35">
      <c r="B6" s="312" t="s">
        <v>1906</v>
      </c>
      <c r="C6" s="380" t="s">
        <v>1337</v>
      </c>
      <c r="D6" s="289" t="s">
        <v>28</v>
      </c>
      <c r="E6" s="381">
        <v>480</v>
      </c>
      <c r="F6" s="446" t="s">
        <v>1926</v>
      </c>
      <c r="G6" s="447">
        <v>38.770000000000003</v>
      </c>
      <c r="I6" s="463">
        <f>($E6+$G6)*I$3</f>
        <v>116.3186094</v>
      </c>
      <c r="J6" s="463">
        <f t="shared" ref="J6:L11" si="0">($E6+$G6)*J$3</f>
        <v>61.308238599999996</v>
      </c>
      <c r="K6" s="463">
        <f t="shared" si="0"/>
        <v>44.510466000000001</v>
      </c>
      <c r="L6" s="463">
        <f t="shared" si="0"/>
        <v>36.702977499999996</v>
      </c>
      <c r="N6" s="464"/>
    </row>
    <row r="7" spans="1:14" s="12" customFormat="1" ht="134.25" customHeight="1" x14ac:dyDescent="0.35">
      <c r="B7" s="312" t="s">
        <v>1907</v>
      </c>
      <c r="C7" s="378" t="s">
        <v>1338</v>
      </c>
      <c r="D7" s="379" t="s">
        <v>29</v>
      </c>
      <c r="E7" s="381">
        <v>456</v>
      </c>
      <c r="F7" s="446" t="s">
        <v>1926</v>
      </c>
      <c r="G7" s="447">
        <v>38.770000000000003</v>
      </c>
      <c r="I7" s="463">
        <f t="shared" ref="I7:I11" si="1">($E7+$G7)*I$3</f>
        <v>110.9373294</v>
      </c>
      <c r="J7" s="463">
        <f t="shared" si="0"/>
        <v>58.471918599999995</v>
      </c>
      <c r="K7" s="463">
        <f t="shared" si="0"/>
        <v>42.451265999999997</v>
      </c>
      <c r="L7" s="463">
        <f t="shared" si="0"/>
        <v>35.004977499999995</v>
      </c>
    </row>
    <row r="8" spans="1:14" s="12" customFormat="1" ht="146.25" customHeight="1" x14ac:dyDescent="0.35">
      <c r="B8" s="240" t="s">
        <v>1908</v>
      </c>
      <c r="C8" s="382" t="s">
        <v>1339</v>
      </c>
      <c r="D8" s="383" t="s">
        <v>30</v>
      </c>
      <c r="E8" s="381">
        <v>422</v>
      </c>
      <c r="F8" s="446" t="s">
        <v>1926</v>
      </c>
      <c r="G8" s="447">
        <v>38.770000000000003</v>
      </c>
      <c r="I8" s="463">
        <f t="shared" si="1"/>
        <v>103.3138494</v>
      </c>
      <c r="J8" s="463">
        <f t="shared" si="0"/>
        <v>54.453798599999992</v>
      </c>
      <c r="K8" s="463">
        <f t="shared" si="0"/>
        <v>39.534065999999996</v>
      </c>
      <c r="L8" s="463">
        <f t="shared" si="0"/>
        <v>32.599477499999999</v>
      </c>
    </row>
    <row r="9" spans="1:14" ht="161.25" customHeight="1" x14ac:dyDescent="0.3">
      <c r="A9" s="12"/>
      <c r="B9" s="320" t="s">
        <v>1909</v>
      </c>
      <c r="C9" s="378" t="s">
        <v>1553</v>
      </c>
      <c r="D9" s="379" t="s">
        <v>31</v>
      </c>
      <c r="E9" s="381">
        <v>690</v>
      </c>
      <c r="F9" s="446" t="s">
        <v>1926</v>
      </c>
      <c r="G9" s="447">
        <v>38.770000000000003</v>
      </c>
      <c r="H9" s="12"/>
      <c r="I9" s="463">
        <f t="shared" si="1"/>
        <v>163.4048094</v>
      </c>
      <c r="J9" s="463">
        <f t="shared" si="0"/>
        <v>86.126038599999987</v>
      </c>
      <c r="K9" s="463">
        <f t="shared" si="0"/>
        <v>62.528466000000002</v>
      </c>
      <c r="L9" s="463">
        <f t="shared" si="0"/>
        <v>51.56047749999999</v>
      </c>
    </row>
    <row r="10" spans="1:14" s="17" customFormat="1" ht="161.25" customHeight="1" x14ac:dyDescent="0.35">
      <c r="B10" s="377" t="s">
        <v>1747</v>
      </c>
      <c r="C10" s="382" t="s">
        <v>1721</v>
      </c>
      <c r="D10" s="379" t="s">
        <v>1507</v>
      </c>
      <c r="E10" s="381">
        <v>1399</v>
      </c>
      <c r="F10" s="446" t="s">
        <v>1926</v>
      </c>
      <c r="G10" s="447">
        <v>38.770000000000003</v>
      </c>
      <c r="I10" s="463">
        <f t="shared" si="1"/>
        <v>322.37678940000001</v>
      </c>
      <c r="J10" s="463">
        <f t="shared" si="0"/>
        <v>169.9156586</v>
      </c>
      <c r="K10" s="463">
        <f t="shared" si="0"/>
        <v>123.36066599999999</v>
      </c>
      <c r="L10" s="463">
        <f t="shared" si="0"/>
        <v>101.72222749999999</v>
      </c>
    </row>
    <row r="11" spans="1:14" s="17" customFormat="1" ht="174" customHeight="1" x14ac:dyDescent="0.35">
      <c r="B11" s="104" t="s">
        <v>1776</v>
      </c>
      <c r="C11" s="378" t="s">
        <v>1737</v>
      </c>
      <c r="D11" s="379" t="s">
        <v>32</v>
      </c>
      <c r="E11" s="381">
        <v>1235</v>
      </c>
      <c r="F11" s="446" t="s">
        <v>1926</v>
      </c>
      <c r="G11" s="447">
        <v>38.770000000000003</v>
      </c>
      <c r="I11" s="463">
        <f t="shared" si="1"/>
        <v>285.60470939999999</v>
      </c>
      <c r="J11" s="463">
        <f t="shared" si="0"/>
        <v>150.53413859999998</v>
      </c>
      <c r="K11" s="463">
        <f t="shared" si="0"/>
        <v>109.289466</v>
      </c>
      <c r="L11" s="463">
        <f t="shared" si="0"/>
        <v>90.119227499999994</v>
      </c>
    </row>
    <row r="12" spans="1:14" s="344" customFormat="1" ht="13.5" collapsed="1" thickBot="1" x14ac:dyDescent="0.4">
      <c r="B12" s="96"/>
      <c r="C12" s="95"/>
      <c r="D12" s="94"/>
      <c r="E12" s="166"/>
      <c r="F12" s="12"/>
      <c r="G12" s="12"/>
    </row>
    <row r="13" spans="1:14" s="12" customFormat="1" ht="21.5" thickBot="1" x14ac:dyDescent="0.55000000000000004">
      <c r="B13" s="502" t="s">
        <v>33</v>
      </c>
      <c r="C13" s="503"/>
      <c r="D13" s="503"/>
      <c r="E13" s="19"/>
    </row>
    <row r="14" spans="1:14" s="12" customFormat="1" ht="26.5" thickBot="1" x14ac:dyDescent="0.4">
      <c r="B14" s="14" t="s">
        <v>24</v>
      </c>
      <c r="C14" s="15" t="s">
        <v>25</v>
      </c>
      <c r="D14" s="16" t="s">
        <v>26</v>
      </c>
      <c r="E14" s="16" t="s">
        <v>27</v>
      </c>
    </row>
    <row r="16" spans="1:14" collapsed="1" x14ac:dyDescent="0.3">
      <c r="B16" s="185" t="s">
        <v>1340</v>
      </c>
      <c r="C16" s="186"/>
      <c r="D16" s="187"/>
      <c r="E16" s="188"/>
      <c r="F16" s="188"/>
      <c r="G16" s="188"/>
    </row>
    <row r="17" spans="2:12" x14ac:dyDescent="0.3">
      <c r="B17" s="154" t="s">
        <v>34</v>
      </c>
      <c r="C17" s="155"/>
      <c r="E17" s="149"/>
    </row>
    <row r="18" spans="2:12" x14ac:dyDescent="0.3">
      <c r="B18" s="384" t="s">
        <v>1630</v>
      </c>
      <c r="C18" s="98"/>
      <c r="D18" s="106" t="s">
        <v>35</v>
      </c>
      <c r="E18" s="325">
        <v>47</v>
      </c>
      <c r="I18" s="463">
        <f>($E18+$G18)*I$3</f>
        <v>10.53834</v>
      </c>
      <c r="J18" s="463">
        <f t="shared" ref="J18:L20" si="2">($E18+$G18)*J$3</f>
        <v>5.5544599999999997</v>
      </c>
      <c r="K18" s="463">
        <f t="shared" si="2"/>
        <v>4.0326000000000004</v>
      </c>
      <c r="L18" s="463">
        <f t="shared" si="2"/>
        <v>3.3252499999999996</v>
      </c>
    </row>
    <row r="19" spans="2:12" x14ac:dyDescent="0.3">
      <c r="B19" s="384" t="s">
        <v>1631</v>
      </c>
      <c r="C19" s="98"/>
      <c r="D19" s="106" t="s">
        <v>36</v>
      </c>
      <c r="E19" s="325">
        <v>149</v>
      </c>
      <c r="I19" s="463">
        <f t="shared" ref="I19:I20" si="3">($E19+$G19)*I$3</f>
        <v>33.40878</v>
      </c>
      <c r="J19" s="463">
        <f t="shared" si="2"/>
        <v>17.608819999999998</v>
      </c>
      <c r="K19" s="463">
        <f t="shared" si="2"/>
        <v>12.7842</v>
      </c>
      <c r="L19" s="463">
        <f t="shared" si="2"/>
        <v>10.541749999999999</v>
      </c>
    </row>
    <row r="20" spans="2:12" x14ac:dyDescent="0.3">
      <c r="B20" s="384" t="s">
        <v>1632</v>
      </c>
      <c r="C20" s="98"/>
      <c r="D20" s="106" t="s">
        <v>37</v>
      </c>
      <c r="E20" s="325">
        <v>318</v>
      </c>
      <c r="I20" s="463">
        <f t="shared" si="3"/>
        <v>71.301959999999994</v>
      </c>
      <c r="J20" s="463">
        <f t="shared" si="2"/>
        <v>37.581240000000001</v>
      </c>
      <c r="K20" s="463">
        <f t="shared" si="2"/>
        <v>27.284400000000002</v>
      </c>
      <c r="L20" s="463">
        <f t="shared" si="2"/>
        <v>22.498499999999996</v>
      </c>
    </row>
    <row r="21" spans="2:12" x14ac:dyDescent="0.3">
      <c r="B21" s="241"/>
      <c r="C21" s="242"/>
      <c r="D21" s="130"/>
      <c r="E21" s="192"/>
    </row>
    <row r="22" spans="2:12" x14ac:dyDescent="0.3">
      <c r="B22" s="167" t="s">
        <v>39</v>
      </c>
      <c r="C22" s="169"/>
      <c r="D22" s="243"/>
      <c r="E22" s="193"/>
    </row>
    <row r="23" spans="2:12" x14ac:dyDescent="0.3">
      <c r="B23" s="101" t="s">
        <v>1328</v>
      </c>
      <c r="C23" s="244"/>
      <c r="D23" s="106" t="s">
        <v>40</v>
      </c>
      <c r="E23" s="315">
        <v>117</v>
      </c>
      <c r="I23" s="463">
        <f>($E23+$G23)*I$3</f>
        <v>26.233740000000001</v>
      </c>
      <c r="J23" s="463">
        <f t="shared" ref="J23:L25" si="4">($E23+$G23)*J$3</f>
        <v>13.827059999999999</v>
      </c>
      <c r="K23" s="463">
        <f t="shared" si="4"/>
        <v>10.038600000000001</v>
      </c>
      <c r="L23" s="463">
        <f t="shared" si="4"/>
        <v>8.2777499999999993</v>
      </c>
    </row>
    <row r="24" spans="2:12" x14ac:dyDescent="0.3">
      <c r="B24" s="101" t="s">
        <v>1329</v>
      </c>
      <c r="C24" s="244"/>
      <c r="D24" s="106" t="s">
        <v>38</v>
      </c>
      <c r="E24" s="196">
        <v>140</v>
      </c>
      <c r="I24" s="463">
        <f t="shared" ref="I24:I25" si="5">($E24+$G24)*I$3</f>
        <v>31.390799999999999</v>
      </c>
      <c r="J24" s="463">
        <f t="shared" si="4"/>
        <v>16.545199999999998</v>
      </c>
      <c r="K24" s="463">
        <f t="shared" si="4"/>
        <v>12.012</v>
      </c>
      <c r="L24" s="463">
        <f t="shared" si="4"/>
        <v>9.9049999999999994</v>
      </c>
    </row>
    <row r="25" spans="2:12" x14ac:dyDescent="0.3">
      <c r="B25" s="101" t="s">
        <v>1331</v>
      </c>
      <c r="C25" s="244"/>
      <c r="D25" s="106" t="s">
        <v>41</v>
      </c>
      <c r="E25" s="196">
        <v>397</v>
      </c>
      <c r="I25" s="463">
        <f t="shared" si="5"/>
        <v>89.015339999999995</v>
      </c>
      <c r="J25" s="463">
        <f t="shared" si="4"/>
        <v>46.917459999999998</v>
      </c>
      <c r="K25" s="463">
        <f t="shared" si="4"/>
        <v>34.062600000000003</v>
      </c>
      <c r="L25" s="463">
        <f t="shared" si="4"/>
        <v>28.087749999999996</v>
      </c>
    </row>
    <row r="26" spans="2:12" x14ac:dyDescent="0.3">
      <c r="B26" s="96"/>
      <c r="C26" s="245"/>
      <c r="D26" s="94"/>
      <c r="E26" s="170"/>
    </row>
    <row r="27" spans="2:12" x14ac:dyDescent="0.3">
      <c r="B27" s="167" t="s">
        <v>42</v>
      </c>
      <c r="C27" s="169"/>
      <c r="D27" s="243"/>
      <c r="E27" s="193"/>
    </row>
    <row r="28" spans="2:12" x14ac:dyDescent="0.3">
      <c r="B28" s="101" t="s">
        <v>92</v>
      </c>
      <c r="C28" s="98"/>
      <c r="D28" s="106" t="s">
        <v>44</v>
      </c>
      <c r="E28" s="325">
        <v>56</v>
      </c>
      <c r="I28" s="463">
        <f>($E28+$G28)*I$3</f>
        <v>12.556319999999999</v>
      </c>
      <c r="J28" s="463">
        <f t="shared" ref="J28:L30" si="6">($E28+$G28)*J$3</f>
        <v>6.61808</v>
      </c>
      <c r="K28" s="463">
        <f t="shared" si="6"/>
        <v>4.8048000000000002</v>
      </c>
      <c r="L28" s="463">
        <f t="shared" si="6"/>
        <v>3.9619999999999997</v>
      </c>
    </row>
    <row r="29" spans="2:12" x14ac:dyDescent="0.3">
      <c r="B29" s="101" t="s">
        <v>45</v>
      </c>
      <c r="C29" s="98"/>
      <c r="D29" s="106" t="s">
        <v>46</v>
      </c>
      <c r="E29" s="196">
        <v>128</v>
      </c>
      <c r="I29" s="463">
        <f t="shared" ref="I29:I30" si="7">($E29+$G29)*I$3</f>
        <v>28.70016</v>
      </c>
      <c r="J29" s="463">
        <f t="shared" si="6"/>
        <v>15.127039999999999</v>
      </c>
      <c r="K29" s="463">
        <f t="shared" si="6"/>
        <v>10.9824</v>
      </c>
      <c r="L29" s="463">
        <f t="shared" si="6"/>
        <v>9.0559999999999992</v>
      </c>
    </row>
    <row r="30" spans="2:12" x14ac:dyDescent="0.3">
      <c r="B30" s="101" t="s">
        <v>47</v>
      </c>
      <c r="C30" s="98"/>
      <c r="D30" s="106" t="s">
        <v>48</v>
      </c>
      <c r="E30" s="196">
        <v>365</v>
      </c>
      <c r="I30" s="463">
        <f t="shared" si="7"/>
        <v>81.840299999999999</v>
      </c>
      <c r="J30" s="463">
        <f t="shared" si="6"/>
        <v>43.1357</v>
      </c>
      <c r="K30" s="463">
        <f t="shared" si="6"/>
        <v>31.317</v>
      </c>
      <c r="L30" s="463">
        <f t="shared" si="6"/>
        <v>25.823749999999997</v>
      </c>
    </row>
    <row r="31" spans="2:12" x14ac:dyDescent="0.3">
      <c r="B31" s="96"/>
      <c r="C31" s="95"/>
      <c r="D31" s="94"/>
      <c r="E31" s="194"/>
    </row>
    <row r="32" spans="2:12" x14ac:dyDescent="0.3">
      <c r="B32" s="167" t="s">
        <v>49</v>
      </c>
      <c r="C32" s="169"/>
      <c r="D32" s="243"/>
      <c r="E32" s="193"/>
    </row>
    <row r="33" spans="2:12" x14ac:dyDescent="0.3">
      <c r="B33" s="101" t="s">
        <v>1343</v>
      </c>
      <c r="C33" s="98"/>
      <c r="D33" s="106" t="s">
        <v>50</v>
      </c>
      <c r="E33" s="325">
        <v>73</v>
      </c>
      <c r="I33" s="463">
        <f>($E33+$G33)*I$3</f>
        <v>16.36806</v>
      </c>
      <c r="J33" s="463">
        <f t="shared" ref="J33:L36" si="8">($E33+$G33)*J$3</f>
        <v>8.6271399999999989</v>
      </c>
      <c r="K33" s="463">
        <f t="shared" si="8"/>
        <v>6.2633999999999999</v>
      </c>
      <c r="L33" s="463">
        <f t="shared" si="8"/>
        <v>5.1647499999999997</v>
      </c>
    </row>
    <row r="34" spans="2:12" x14ac:dyDescent="0.3">
      <c r="B34" s="101" t="s">
        <v>92</v>
      </c>
      <c r="C34" s="98"/>
      <c r="D34" s="106" t="s">
        <v>51</v>
      </c>
      <c r="E34" s="196">
        <v>129</v>
      </c>
      <c r="I34" s="463">
        <f t="shared" ref="I34:I36" si="9">($E34+$G34)*I$3</f>
        <v>28.924379999999999</v>
      </c>
      <c r="J34" s="463">
        <f t="shared" si="8"/>
        <v>15.24522</v>
      </c>
      <c r="K34" s="463">
        <f t="shared" si="8"/>
        <v>11.068200000000001</v>
      </c>
      <c r="L34" s="463">
        <f t="shared" si="8"/>
        <v>9.1267499999999995</v>
      </c>
    </row>
    <row r="35" spans="2:12" x14ac:dyDescent="0.3">
      <c r="B35" s="101" t="s">
        <v>45</v>
      </c>
      <c r="C35" s="98"/>
      <c r="D35" s="106" t="s">
        <v>52</v>
      </c>
      <c r="E35" s="196">
        <v>200</v>
      </c>
      <c r="I35" s="463">
        <f t="shared" si="9"/>
        <v>44.844000000000001</v>
      </c>
      <c r="J35" s="463">
        <f t="shared" si="8"/>
        <v>23.635999999999999</v>
      </c>
      <c r="K35" s="463">
        <f t="shared" si="8"/>
        <v>17.16</v>
      </c>
      <c r="L35" s="463">
        <f t="shared" si="8"/>
        <v>14.149999999999999</v>
      </c>
    </row>
    <row r="36" spans="2:12" x14ac:dyDescent="0.3">
      <c r="B36" s="101" t="s">
        <v>47</v>
      </c>
      <c r="C36" s="98"/>
      <c r="D36" s="106" t="s">
        <v>53</v>
      </c>
      <c r="E36" s="196">
        <v>438</v>
      </c>
      <c r="I36" s="463">
        <f t="shared" si="9"/>
        <v>98.208359999999999</v>
      </c>
      <c r="J36" s="463">
        <f t="shared" si="8"/>
        <v>51.762839999999997</v>
      </c>
      <c r="K36" s="463">
        <f t="shared" si="8"/>
        <v>37.580399999999997</v>
      </c>
      <c r="L36" s="463">
        <f t="shared" si="8"/>
        <v>30.988499999999998</v>
      </c>
    </row>
    <row r="37" spans="2:12" s="12" customFormat="1" x14ac:dyDescent="0.35">
      <c r="B37" s="96"/>
      <c r="C37" s="95"/>
      <c r="D37" s="94"/>
      <c r="E37" s="194"/>
    </row>
    <row r="38" spans="2:12" s="12" customFormat="1" x14ac:dyDescent="0.3">
      <c r="B38" s="249" t="s">
        <v>54</v>
      </c>
      <c r="C38" s="169"/>
      <c r="D38" s="243"/>
      <c r="E38" s="193"/>
    </row>
    <row r="39" spans="2:12" x14ac:dyDescent="0.3">
      <c r="B39" s="101" t="s">
        <v>1345</v>
      </c>
      <c r="C39" s="98"/>
      <c r="D39" s="106" t="s">
        <v>55</v>
      </c>
      <c r="E39" s="315">
        <v>125</v>
      </c>
      <c r="I39" s="463">
        <f>($E39+$G39)*I$3</f>
        <v>28.0275</v>
      </c>
      <c r="J39" s="463">
        <f t="shared" ref="J39:L40" si="10">($E39+$G39)*J$3</f>
        <v>14.772499999999999</v>
      </c>
      <c r="K39" s="463">
        <f t="shared" si="10"/>
        <v>10.725</v>
      </c>
      <c r="L39" s="463">
        <f t="shared" si="10"/>
        <v>8.84375</v>
      </c>
    </row>
    <row r="40" spans="2:12" x14ac:dyDescent="0.3">
      <c r="B40" s="101" t="s">
        <v>340</v>
      </c>
      <c r="C40" s="98"/>
      <c r="D40" s="106" t="s">
        <v>127</v>
      </c>
      <c r="E40" s="196">
        <v>186</v>
      </c>
      <c r="I40" s="463">
        <f t="shared" ref="I40" si="11">($E40+$G40)*I$3</f>
        <v>41.704920000000001</v>
      </c>
      <c r="J40" s="463">
        <f t="shared" si="10"/>
        <v>21.981479999999998</v>
      </c>
      <c r="K40" s="463">
        <f t="shared" si="10"/>
        <v>15.9588</v>
      </c>
      <c r="L40" s="463">
        <f t="shared" si="10"/>
        <v>13.1595</v>
      </c>
    </row>
    <row r="41" spans="2:12" x14ac:dyDescent="0.3">
      <c r="B41" s="96"/>
      <c r="C41" s="95"/>
      <c r="D41" s="94"/>
      <c r="E41" s="170"/>
    </row>
    <row r="42" spans="2:12" s="191" customFormat="1" ht="14.5" x14ac:dyDescent="0.25">
      <c r="B42" s="167" t="s">
        <v>56</v>
      </c>
      <c r="C42" s="250"/>
      <c r="D42" s="251"/>
      <c r="E42" s="197"/>
    </row>
    <row r="43" spans="2:12" s="191" customFormat="1" x14ac:dyDescent="0.25">
      <c r="B43" s="174" t="s">
        <v>1346</v>
      </c>
      <c r="C43" s="98"/>
      <c r="D43" s="106" t="s">
        <v>57</v>
      </c>
      <c r="E43" s="315">
        <v>8</v>
      </c>
      <c r="I43" s="463">
        <f>($E43+$G43)*I$3</f>
        <v>1.79376</v>
      </c>
      <c r="J43" s="463">
        <f t="shared" ref="J43:L45" si="12">($E43+$G43)*J$3</f>
        <v>0.94543999999999995</v>
      </c>
      <c r="K43" s="463">
        <f t="shared" si="12"/>
        <v>0.68640000000000001</v>
      </c>
      <c r="L43" s="463">
        <f t="shared" si="12"/>
        <v>0.56599999999999995</v>
      </c>
    </row>
    <row r="44" spans="2:12" s="191" customFormat="1" x14ac:dyDescent="0.25">
      <c r="B44" s="174" t="s">
        <v>1348</v>
      </c>
      <c r="C44" s="98"/>
      <c r="D44" s="106" t="s">
        <v>58</v>
      </c>
      <c r="E44" s="196">
        <v>8</v>
      </c>
      <c r="I44" s="463">
        <f t="shared" ref="I44:I45" si="13">($E44+$G44)*I$3</f>
        <v>1.79376</v>
      </c>
      <c r="J44" s="463">
        <f t="shared" si="12"/>
        <v>0.94543999999999995</v>
      </c>
      <c r="K44" s="463">
        <f t="shared" si="12"/>
        <v>0.68640000000000001</v>
      </c>
      <c r="L44" s="463">
        <f t="shared" si="12"/>
        <v>0.56599999999999995</v>
      </c>
    </row>
    <row r="45" spans="2:12" s="191" customFormat="1" x14ac:dyDescent="0.25">
      <c r="B45" s="174" t="s">
        <v>1349</v>
      </c>
      <c r="C45" s="98"/>
      <c r="D45" s="106" t="s">
        <v>59</v>
      </c>
      <c r="E45" s="196">
        <v>8</v>
      </c>
      <c r="I45" s="463">
        <f t="shared" si="13"/>
        <v>1.79376</v>
      </c>
      <c r="J45" s="463">
        <f t="shared" si="12"/>
        <v>0.94543999999999995</v>
      </c>
      <c r="K45" s="463">
        <f t="shared" si="12"/>
        <v>0.68640000000000001</v>
      </c>
      <c r="L45" s="463">
        <f t="shared" si="12"/>
        <v>0.56599999999999995</v>
      </c>
    </row>
    <row r="46" spans="2:12" s="191" customFormat="1" x14ac:dyDescent="0.25">
      <c r="B46" s="246"/>
      <c r="C46" s="173"/>
      <c r="D46" s="252"/>
      <c r="E46" s="170"/>
    </row>
    <row r="47" spans="2:12" x14ac:dyDescent="0.3">
      <c r="B47" s="167" t="s">
        <v>60</v>
      </c>
      <c r="C47" s="169"/>
      <c r="D47" s="253"/>
      <c r="E47" s="198"/>
    </row>
    <row r="48" spans="2:12" x14ac:dyDescent="0.3">
      <c r="B48" s="101" t="s">
        <v>1350</v>
      </c>
      <c r="C48" s="98"/>
      <c r="D48" s="106" t="s">
        <v>61</v>
      </c>
      <c r="E48" s="315">
        <v>39</v>
      </c>
      <c r="I48" s="463">
        <f t="shared" ref="I48:L48" si="14">($E48+$G48)*I$3</f>
        <v>8.7445800000000009</v>
      </c>
      <c r="J48" s="463">
        <f t="shared" si="14"/>
        <v>4.6090200000000001</v>
      </c>
      <c r="K48" s="463">
        <f t="shared" si="14"/>
        <v>3.3462000000000001</v>
      </c>
      <c r="L48" s="463">
        <f t="shared" si="14"/>
        <v>2.7592499999999998</v>
      </c>
    </row>
    <row r="49" spans="2:12" x14ac:dyDescent="0.3">
      <c r="B49" s="246"/>
      <c r="C49" s="254"/>
      <c r="D49" s="94"/>
      <c r="E49" s="170"/>
    </row>
    <row r="50" spans="2:12" s="30" customFormat="1" ht="14.5" x14ac:dyDescent="0.35">
      <c r="B50" s="167" t="s">
        <v>62</v>
      </c>
      <c r="C50" s="169"/>
      <c r="D50" s="156"/>
      <c r="E50" s="170"/>
    </row>
    <row r="51" spans="2:12" s="30" customFormat="1" ht="14.5" x14ac:dyDescent="0.35">
      <c r="B51" s="174" t="s">
        <v>63</v>
      </c>
      <c r="C51" s="175"/>
      <c r="D51" s="106" t="s">
        <v>64</v>
      </c>
      <c r="E51" s="315">
        <v>7</v>
      </c>
      <c r="I51" s="463">
        <f t="shared" ref="I51:L52" si="15">($E51+$G51)*I$3</f>
        <v>1.5695399999999999</v>
      </c>
      <c r="J51" s="463">
        <f t="shared" si="15"/>
        <v>0.82726</v>
      </c>
      <c r="K51" s="463">
        <f t="shared" si="15"/>
        <v>0.60060000000000002</v>
      </c>
      <c r="L51" s="463">
        <f t="shared" si="15"/>
        <v>0.49524999999999997</v>
      </c>
    </row>
    <row r="52" spans="2:12" s="30" customFormat="1" ht="14.5" x14ac:dyDescent="0.35">
      <c r="B52" s="174" t="s">
        <v>65</v>
      </c>
      <c r="C52" s="175"/>
      <c r="D52" s="106" t="s">
        <v>66</v>
      </c>
      <c r="E52" s="196">
        <v>15</v>
      </c>
      <c r="I52" s="463">
        <f t="shared" si="15"/>
        <v>3.3633000000000002</v>
      </c>
      <c r="J52" s="463">
        <f t="shared" si="15"/>
        <v>1.7726999999999999</v>
      </c>
      <c r="K52" s="463">
        <f t="shared" si="15"/>
        <v>1.2869999999999999</v>
      </c>
      <c r="L52" s="463">
        <f t="shared" si="15"/>
        <v>1.0612499999999998</v>
      </c>
    </row>
    <row r="53" spans="2:12" s="12" customFormat="1" x14ac:dyDescent="0.35">
      <c r="B53" s="96"/>
      <c r="C53" s="95"/>
      <c r="D53" s="94"/>
      <c r="E53" s="194"/>
    </row>
    <row r="54" spans="2:12" x14ac:dyDescent="0.3">
      <c r="B54" s="167" t="s">
        <v>67</v>
      </c>
      <c r="C54" s="169"/>
      <c r="D54" s="243"/>
      <c r="E54" s="193"/>
    </row>
    <row r="55" spans="2:12" x14ac:dyDescent="0.3">
      <c r="B55" s="255" t="s">
        <v>68</v>
      </c>
      <c r="C55" s="256"/>
      <c r="D55" s="106" t="s">
        <v>69</v>
      </c>
      <c r="E55" s="315">
        <v>0</v>
      </c>
      <c r="I55" s="463">
        <f t="shared" ref="I55:L55" si="16">($E55+$G55)*I$3</f>
        <v>0</v>
      </c>
      <c r="J55" s="463">
        <f t="shared" si="16"/>
        <v>0</v>
      </c>
      <c r="K55" s="463">
        <f t="shared" si="16"/>
        <v>0</v>
      </c>
      <c r="L55" s="463">
        <f t="shared" si="16"/>
        <v>0</v>
      </c>
    </row>
    <row r="56" spans="2:12" x14ac:dyDescent="0.3">
      <c r="B56" s="410"/>
      <c r="C56" s="411"/>
      <c r="D56" s="147"/>
      <c r="E56" s="180"/>
    </row>
    <row r="57" spans="2:12" s="97" customFormat="1" x14ac:dyDescent="0.3">
      <c r="B57" s="96"/>
      <c r="C57" s="95"/>
      <c r="D57" s="94"/>
      <c r="E57" s="170"/>
    </row>
    <row r="58" spans="2:12" collapsed="1" x14ac:dyDescent="0.3">
      <c r="B58" s="185" t="s">
        <v>1352</v>
      </c>
      <c r="C58" s="186"/>
      <c r="D58" s="187"/>
      <c r="E58" s="188"/>
      <c r="F58" s="188"/>
      <c r="G58" s="188"/>
    </row>
    <row r="59" spans="2:12" x14ac:dyDescent="0.3">
      <c r="B59" s="154" t="s">
        <v>90</v>
      </c>
      <c r="C59" s="155"/>
      <c r="E59" s="149"/>
    </row>
    <row r="60" spans="2:12" x14ac:dyDescent="0.3">
      <c r="B60" s="384" t="s">
        <v>1630</v>
      </c>
      <c r="C60" s="98"/>
      <c r="D60" s="106" t="s">
        <v>35</v>
      </c>
      <c r="E60" s="325">
        <v>47</v>
      </c>
      <c r="I60" s="463">
        <f t="shared" ref="I60:L62" si="17">($E60+$G60)*I$3</f>
        <v>10.53834</v>
      </c>
      <c r="J60" s="463">
        <f t="shared" si="17"/>
        <v>5.5544599999999997</v>
      </c>
      <c r="K60" s="463">
        <f t="shared" si="17"/>
        <v>4.0326000000000004</v>
      </c>
      <c r="L60" s="463">
        <f t="shared" si="17"/>
        <v>3.3252499999999996</v>
      </c>
    </row>
    <row r="61" spans="2:12" x14ac:dyDescent="0.3">
      <c r="B61" s="384" t="s">
        <v>1631</v>
      </c>
      <c r="C61" s="98"/>
      <c r="D61" s="106" t="s">
        <v>36</v>
      </c>
      <c r="E61" s="325">
        <v>149</v>
      </c>
      <c r="I61" s="463">
        <f t="shared" si="17"/>
        <v>33.40878</v>
      </c>
      <c r="J61" s="463">
        <f t="shared" si="17"/>
        <v>17.608819999999998</v>
      </c>
      <c r="K61" s="463">
        <f t="shared" si="17"/>
        <v>12.7842</v>
      </c>
      <c r="L61" s="463">
        <f t="shared" si="17"/>
        <v>10.541749999999999</v>
      </c>
    </row>
    <row r="62" spans="2:12" x14ac:dyDescent="0.3">
      <c r="B62" s="384" t="s">
        <v>1632</v>
      </c>
      <c r="C62" s="98"/>
      <c r="D62" s="106" t="s">
        <v>37</v>
      </c>
      <c r="E62" s="325">
        <v>318</v>
      </c>
      <c r="I62" s="463">
        <f t="shared" si="17"/>
        <v>71.301959999999994</v>
      </c>
      <c r="J62" s="463">
        <f t="shared" si="17"/>
        <v>37.581240000000001</v>
      </c>
      <c r="K62" s="463">
        <f t="shared" si="17"/>
        <v>27.284400000000002</v>
      </c>
      <c r="L62" s="463">
        <f t="shared" si="17"/>
        <v>22.498499999999996</v>
      </c>
    </row>
    <row r="63" spans="2:12" x14ac:dyDescent="0.3">
      <c r="B63" s="241"/>
      <c r="C63" s="242"/>
      <c r="D63" s="130"/>
      <c r="E63" s="192"/>
    </row>
    <row r="64" spans="2:12" x14ac:dyDescent="0.3">
      <c r="B64" s="167" t="s">
        <v>39</v>
      </c>
      <c r="C64" s="168"/>
      <c r="D64" s="110"/>
      <c r="E64" s="170"/>
    </row>
    <row r="65" spans="2:12" x14ac:dyDescent="0.3">
      <c r="B65" s="101" t="s">
        <v>1328</v>
      </c>
      <c r="C65" s="244"/>
      <c r="D65" s="106" t="s">
        <v>40</v>
      </c>
      <c r="E65" s="315">
        <v>117</v>
      </c>
      <c r="I65" s="463">
        <f t="shared" ref="I65:L67" si="18">($E65+$G65)*I$3</f>
        <v>26.233740000000001</v>
      </c>
      <c r="J65" s="463">
        <f t="shared" si="18"/>
        <v>13.827059999999999</v>
      </c>
      <c r="K65" s="463">
        <f t="shared" si="18"/>
        <v>10.038600000000001</v>
      </c>
      <c r="L65" s="463">
        <f t="shared" si="18"/>
        <v>8.2777499999999993</v>
      </c>
    </row>
    <row r="66" spans="2:12" x14ac:dyDescent="0.3">
      <c r="B66" s="101" t="s">
        <v>1329</v>
      </c>
      <c r="C66" s="244"/>
      <c r="D66" s="106" t="s">
        <v>38</v>
      </c>
      <c r="E66" s="315">
        <v>140</v>
      </c>
      <c r="F66" s="18"/>
      <c r="G66" s="18"/>
      <c r="H66" s="18"/>
      <c r="I66" s="463">
        <f t="shared" si="18"/>
        <v>31.390799999999999</v>
      </c>
      <c r="J66" s="463">
        <f t="shared" si="18"/>
        <v>16.545199999999998</v>
      </c>
      <c r="K66" s="463">
        <f t="shared" si="18"/>
        <v>12.012</v>
      </c>
      <c r="L66" s="463">
        <f t="shared" si="18"/>
        <v>9.9049999999999994</v>
      </c>
    </row>
    <row r="67" spans="2:12" x14ac:dyDescent="0.3">
      <c r="B67" s="101" t="s">
        <v>1353</v>
      </c>
      <c r="C67" s="244"/>
      <c r="D67" s="106" t="s">
        <v>41</v>
      </c>
      <c r="E67" s="315">
        <v>397</v>
      </c>
      <c r="I67" s="463">
        <f t="shared" si="18"/>
        <v>89.015339999999995</v>
      </c>
      <c r="J67" s="463">
        <f t="shared" si="18"/>
        <v>46.917459999999998</v>
      </c>
      <c r="K67" s="463">
        <f t="shared" si="18"/>
        <v>34.062600000000003</v>
      </c>
      <c r="L67" s="463">
        <f t="shared" si="18"/>
        <v>28.087749999999996</v>
      </c>
    </row>
    <row r="68" spans="2:12" x14ac:dyDescent="0.3">
      <c r="B68" s="96"/>
      <c r="C68" s="245"/>
      <c r="D68" s="94"/>
      <c r="E68" s="170"/>
    </row>
    <row r="69" spans="2:12" x14ac:dyDescent="0.3">
      <c r="B69" s="167" t="s">
        <v>42</v>
      </c>
      <c r="C69" s="169"/>
      <c r="D69" s="243"/>
      <c r="E69" s="193"/>
    </row>
    <row r="70" spans="2:12" x14ac:dyDescent="0.3">
      <c r="B70" s="101" t="s">
        <v>92</v>
      </c>
      <c r="C70" s="98"/>
      <c r="D70" s="106" t="s">
        <v>44</v>
      </c>
      <c r="E70" s="315">
        <v>56</v>
      </c>
      <c r="I70" s="463">
        <f t="shared" ref="I70:L72" si="19">($E70+$G70)*I$3</f>
        <v>12.556319999999999</v>
      </c>
      <c r="J70" s="463">
        <f t="shared" si="19"/>
        <v>6.61808</v>
      </c>
      <c r="K70" s="463">
        <f t="shared" si="19"/>
        <v>4.8048000000000002</v>
      </c>
      <c r="L70" s="463">
        <f t="shared" si="19"/>
        <v>3.9619999999999997</v>
      </c>
    </row>
    <row r="71" spans="2:12" x14ac:dyDescent="0.3">
      <c r="B71" s="101" t="s">
        <v>45</v>
      </c>
      <c r="C71" s="98"/>
      <c r="D71" s="106" t="s">
        <v>46</v>
      </c>
      <c r="E71" s="315">
        <v>128</v>
      </c>
      <c r="I71" s="463">
        <f t="shared" si="19"/>
        <v>28.70016</v>
      </c>
      <c r="J71" s="463">
        <f t="shared" si="19"/>
        <v>15.127039999999999</v>
      </c>
      <c r="K71" s="463">
        <f t="shared" si="19"/>
        <v>10.9824</v>
      </c>
      <c r="L71" s="463">
        <f t="shared" si="19"/>
        <v>9.0559999999999992</v>
      </c>
    </row>
    <row r="72" spans="2:12" x14ac:dyDescent="0.3">
      <c r="B72" s="101" t="s">
        <v>47</v>
      </c>
      <c r="C72" s="98"/>
      <c r="D72" s="106" t="s">
        <v>48</v>
      </c>
      <c r="E72" s="315">
        <v>365</v>
      </c>
      <c r="I72" s="463">
        <f t="shared" si="19"/>
        <v>81.840299999999999</v>
      </c>
      <c r="J72" s="463">
        <f t="shared" si="19"/>
        <v>43.1357</v>
      </c>
      <c r="K72" s="463">
        <f t="shared" si="19"/>
        <v>31.317</v>
      </c>
      <c r="L72" s="463">
        <f t="shared" si="19"/>
        <v>25.823749999999997</v>
      </c>
    </row>
    <row r="73" spans="2:12" x14ac:dyDescent="0.3">
      <c r="B73" s="96"/>
      <c r="C73" s="95"/>
      <c r="D73" s="94"/>
      <c r="E73" s="194"/>
    </row>
    <row r="74" spans="2:12" x14ac:dyDescent="0.3">
      <c r="B74" s="167" t="s">
        <v>49</v>
      </c>
      <c r="C74" s="169"/>
      <c r="D74" s="243"/>
      <c r="E74" s="193"/>
    </row>
    <row r="75" spans="2:12" x14ac:dyDescent="0.3">
      <c r="B75" s="101" t="s">
        <v>1343</v>
      </c>
      <c r="C75" s="98"/>
      <c r="D75" s="106" t="s">
        <v>50</v>
      </c>
      <c r="E75" s="315">
        <v>73</v>
      </c>
      <c r="I75" s="463">
        <f t="shared" ref="I75:L81" si="20">($E75+$G75)*I$3</f>
        <v>16.36806</v>
      </c>
      <c r="J75" s="463">
        <f t="shared" si="20"/>
        <v>8.6271399999999989</v>
      </c>
      <c r="K75" s="463">
        <f t="shared" si="20"/>
        <v>6.2633999999999999</v>
      </c>
      <c r="L75" s="463">
        <f t="shared" si="20"/>
        <v>5.1647499999999997</v>
      </c>
    </row>
    <row r="76" spans="2:12" x14ac:dyDescent="0.3">
      <c r="B76" s="101" t="s">
        <v>43</v>
      </c>
      <c r="C76" s="98"/>
      <c r="D76" s="106" t="s">
        <v>51</v>
      </c>
      <c r="E76" s="315">
        <v>129</v>
      </c>
      <c r="I76" s="463">
        <f t="shared" si="20"/>
        <v>28.924379999999999</v>
      </c>
      <c r="J76" s="463">
        <f t="shared" si="20"/>
        <v>15.24522</v>
      </c>
      <c r="K76" s="463">
        <f t="shared" si="20"/>
        <v>11.068200000000001</v>
      </c>
      <c r="L76" s="463">
        <f t="shared" si="20"/>
        <v>9.1267499999999995</v>
      </c>
    </row>
    <row r="77" spans="2:12" x14ac:dyDescent="0.3">
      <c r="B77" s="101" t="s">
        <v>45</v>
      </c>
      <c r="C77" s="98"/>
      <c r="D77" s="106" t="s">
        <v>52</v>
      </c>
      <c r="E77" s="315">
        <v>200</v>
      </c>
      <c r="I77" s="463">
        <f t="shared" si="20"/>
        <v>44.844000000000001</v>
      </c>
      <c r="J77" s="463">
        <f t="shared" si="20"/>
        <v>23.635999999999999</v>
      </c>
      <c r="K77" s="463">
        <f t="shared" si="20"/>
        <v>17.16</v>
      </c>
      <c r="L77" s="463">
        <f t="shared" si="20"/>
        <v>14.149999999999999</v>
      </c>
    </row>
    <row r="78" spans="2:12" x14ac:dyDescent="0.3">
      <c r="B78" s="101" t="s">
        <v>47</v>
      </c>
      <c r="C78" s="98"/>
      <c r="D78" s="106" t="s">
        <v>53</v>
      </c>
      <c r="E78" s="315">
        <v>438</v>
      </c>
      <c r="I78" s="463">
        <f t="shared" si="20"/>
        <v>98.208359999999999</v>
      </c>
      <c r="J78" s="463">
        <f t="shared" si="20"/>
        <v>51.762839999999997</v>
      </c>
      <c r="K78" s="463">
        <f t="shared" si="20"/>
        <v>37.580399999999997</v>
      </c>
      <c r="L78" s="463">
        <f t="shared" si="20"/>
        <v>30.988499999999998</v>
      </c>
    </row>
    <row r="79" spans="2:12" x14ac:dyDescent="0.3">
      <c r="B79" s="101" t="s">
        <v>93</v>
      </c>
      <c r="C79" s="98"/>
      <c r="D79" s="106" t="s">
        <v>94</v>
      </c>
      <c r="E79" s="315">
        <v>56</v>
      </c>
      <c r="I79" s="463">
        <f t="shared" si="20"/>
        <v>12.556319999999999</v>
      </c>
      <c r="J79" s="463">
        <f t="shared" si="20"/>
        <v>6.61808</v>
      </c>
      <c r="K79" s="463">
        <f t="shared" si="20"/>
        <v>4.8048000000000002</v>
      </c>
      <c r="L79" s="463">
        <f t="shared" si="20"/>
        <v>3.9619999999999997</v>
      </c>
    </row>
    <row r="80" spans="2:12" x14ac:dyDescent="0.3">
      <c r="B80" s="101" t="s">
        <v>1354</v>
      </c>
      <c r="C80" s="98"/>
      <c r="D80" s="106" t="s">
        <v>95</v>
      </c>
      <c r="E80" s="315">
        <v>67</v>
      </c>
      <c r="I80" s="463">
        <f t="shared" si="20"/>
        <v>15.022740000000001</v>
      </c>
      <c r="J80" s="463">
        <f t="shared" si="20"/>
        <v>7.9180599999999997</v>
      </c>
      <c r="K80" s="463">
        <f t="shared" si="20"/>
        <v>5.7485999999999997</v>
      </c>
      <c r="L80" s="463">
        <f t="shared" si="20"/>
        <v>4.7402499999999996</v>
      </c>
    </row>
    <row r="81" spans="2:12" x14ac:dyDescent="0.3">
      <c r="B81" s="101" t="s">
        <v>1355</v>
      </c>
      <c r="C81" s="98"/>
      <c r="D81" s="106" t="s">
        <v>97</v>
      </c>
      <c r="E81" s="315">
        <v>80</v>
      </c>
      <c r="I81" s="463">
        <f t="shared" si="20"/>
        <v>17.9376</v>
      </c>
      <c r="J81" s="463">
        <f t="shared" si="20"/>
        <v>9.4543999999999997</v>
      </c>
      <c r="K81" s="463">
        <f t="shared" si="20"/>
        <v>6.8639999999999999</v>
      </c>
      <c r="L81" s="463">
        <f t="shared" si="20"/>
        <v>5.6599999999999993</v>
      </c>
    </row>
    <row r="82" spans="2:12" s="12" customFormat="1" x14ac:dyDescent="0.35">
      <c r="B82" s="96"/>
      <c r="C82" s="95"/>
      <c r="D82" s="94"/>
      <c r="E82" s="194"/>
    </row>
    <row r="83" spans="2:12" s="12" customFormat="1" x14ac:dyDescent="0.3">
      <c r="B83" s="249" t="s">
        <v>54</v>
      </c>
      <c r="C83" s="169"/>
      <c r="D83" s="243"/>
      <c r="E83" s="193"/>
    </row>
    <row r="84" spans="2:12" x14ac:dyDescent="0.3">
      <c r="B84" s="101" t="s">
        <v>1345</v>
      </c>
      <c r="C84" s="98"/>
      <c r="D84" s="106" t="s">
        <v>55</v>
      </c>
      <c r="E84" s="315">
        <v>125</v>
      </c>
      <c r="I84" s="463">
        <f t="shared" ref="I84:L86" si="21">($E84+$G84)*I$3</f>
        <v>28.0275</v>
      </c>
      <c r="J84" s="463">
        <f t="shared" si="21"/>
        <v>14.772499999999999</v>
      </c>
      <c r="K84" s="463">
        <f t="shared" si="21"/>
        <v>10.725</v>
      </c>
      <c r="L84" s="463">
        <f t="shared" si="21"/>
        <v>8.84375</v>
      </c>
    </row>
    <row r="85" spans="2:12" x14ac:dyDescent="0.3">
      <c r="B85" s="101" t="s">
        <v>340</v>
      </c>
      <c r="C85" s="98"/>
      <c r="D85" s="106" t="s">
        <v>127</v>
      </c>
      <c r="E85" s="315">
        <v>186</v>
      </c>
      <c r="I85" s="463">
        <f t="shared" si="21"/>
        <v>41.704920000000001</v>
      </c>
      <c r="J85" s="463">
        <f t="shared" si="21"/>
        <v>21.981479999999998</v>
      </c>
      <c r="K85" s="463">
        <f t="shared" si="21"/>
        <v>15.9588</v>
      </c>
      <c r="L85" s="463">
        <f t="shared" si="21"/>
        <v>13.1595</v>
      </c>
    </row>
    <row r="86" spans="2:12" x14ac:dyDescent="0.3">
      <c r="B86" s="101" t="s">
        <v>1356</v>
      </c>
      <c r="C86" s="98"/>
      <c r="D86" s="106" t="s">
        <v>128</v>
      </c>
      <c r="E86" s="315">
        <v>438</v>
      </c>
      <c r="I86" s="463">
        <f t="shared" si="21"/>
        <v>98.208359999999999</v>
      </c>
      <c r="J86" s="463">
        <f t="shared" si="21"/>
        <v>51.762839999999997</v>
      </c>
      <c r="K86" s="463">
        <f t="shared" si="21"/>
        <v>37.580399999999997</v>
      </c>
      <c r="L86" s="463">
        <f t="shared" si="21"/>
        <v>30.988499999999998</v>
      </c>
    </row>
    <row r="87" spans="2:12" s="12" customFormat="1" x14ac:dyDescent="0.35">
      <c r="B87" s="96"/>
      <c r="C87" s="95"/>
      <c r="D87" s="94"/>
      <c r="E87" s="194"/>
    </row>
    <row r="88" spans="2:12" s="30" customFormat="1" ht="14.5" x14ac:dyDescent="0.35">
      <c r="B88" s="167" t="s">
        <v>98</v>
      </c>
      <c r="C88" s="95"/>
      <c r="D88" s="94"/>
      <c r="E88" s="170"/>
    </row>
    <row r="89" spans="2:12" s="30" customFormat="1" ht="14.5" x14ac:dyDescent="0.35">
      <c r="B89" s="101" t="s">
        <v>99</v>
      </c>
      <c r="C89" s="98"/>
      <c r="D89" s="106" t="s">
        <v>100</v>
      </c>
      <c r="E89" s="315">
        <v>6</v>
      </c>
      <c r="I89" s="463">
        <f t="shared" ref="I89:L90" si="22">($E89+$G89)*I$3</f>
        <v>1.3453200000000001</v>
      </c>
      <c r="J89" s="463">
        <f t="shared" si="22"/>
        <v>0.70907999999999993</v>
      </c>
      <c r="K89" s="463">
        <f t="shared" si="22"/>
        <v>0.51480000000000004</v>
      </c>
      <c r="L89" s="463">
        <f t="shared" si="22"/>
        <v>0.42449999999999999</v>
      </c>
    </row>
    <row r="90" spans="2:12" s="30" customFormat="1" ht="14.5" x14ac:dyDescent="0.35">
      <c r="B90" s="384" t="s">
        <v>1633</v>
      </c>
      <c r="C90" s="371"/>
      <c r="D90" s="385" t="s">
        <v>101</v>
      </c>
      <c r="E90" s="315">
        <v>12</v>
      </c>
      <c r="I90" s="463">
        <f t="shared" si="22"/>
        <v>2.6906400000000001</v>
      </c>
      <c r="J90" s="463">
        <f t="shared" si="22"/>
        <v>1.4181599999999999</v>
      </c>
      <c r="K90" s="463">
        <f t="shared" si="22"/>
        <v>1.0296000000000001</v>
      </c>
      <c r="L90" s="463">
        <f t="shared" si="22"/>
        <v>0.84899999999999998</v>
      </c>
    </row>
    <row r="91" spans="2:12" s="12" customFormat="1" x14ac:dyDescent="0.35">
      <c r="B91" s="96"/>
      <c r="C91" s="95"/>
      <c r="D91" s="94"/>
      <c r="E91" s="194"/>
    </row>
    <row r="92" spans="2:12" s="191" customFormat="1" ht="14.5" x14ac:dyDescent="0.25">
      <c r="B92" s="167" t="s">
        <v>102</v>
      </c>
      <c r="C92" s="250"/>
      <c r="D92" s="251"/>
      <c r="E92" s="197"/>
    </row>
    <row r="93" spans="2:12" s="191" customFormat="1" x14ac:dyDescent="0.25">
      <c r="B93" s="174" t="s">
        <v>1346</v>
      </c>
      <c r="C93" s="98"/>
      <c r="D93" s="106" t="s">
        <v>57</v>
      </c>
      <c r="E93" s="315">
        <v>8</v>
      </c>
      <c r="I93" s="463">
        <f t="shared" ref="I93:L96" si="23">($E93+$G93)*I$3</f>
        <v>1.79376</v>
      </c>
      <c r="J93" s="463">
        <f t="shared" si="23"/>
        <v>0.94543999999999995</v>
      </c>
      <c r="K93" s="463">
        <f t="shared" si="23"/>
        <v>0.68640000000000001</v>
      </c>
      <c r="L93" s="463">
        <f t="shared" si="23"/>
        <v>0.56599999999999995</v>
      </c>
    </row>
    <row r="94" spans="2:12" s="191" customFormat="1" x14ac:dyDescent="0.25">
      <c r="B94" s="174" t="s">
        <v>1348</v>
      </c>
      <c r="C94" s="98"/>
      <c r="D94" s="106" t="s">
        <v>58</v>
      </c>
      <c r="E94" s="315">
        <v>8</v>
      </c>
      <c r="I94" s="463">
        <f t="shared" si="23"/>
        <v>1.79376</v>
      </c>
      <c r="J94" s="463">
        <f t="shared" si="23"/>
        <v>0.94543999999999995</v>
      </c>
      <c r="K94" s="463">
        <f t="shared" si="23"/>
        <v>0.68640000000000001</v>
      </c>
      <c r="L94" s="463">
        <f t="shared" si="23"/>
        <v>0.56599999999999995</v>
      </c>
    </row>
    <row r="95" spans="2:12" s="191" customFormat="1" x14ac:dyDescent="0.25">
      <c r="B95" s="174" t="s">
        <v>1349</v>
      </c>
      <c r="C95" s="98"/>
      <c r="D95" s="106" t="s">
        <v>59</v>
      </c>
      <c r="E95" s="315">
        <v>8</v>
      </c>
      <c r="I95" s="463">
        <f t="shared" si="23"/>
        <v>1.79376</v>
      </c>
      <c r="J95" s="463">
        <f t="shared" si="23"/>
        <v>0.94543999999999995</v>
      </c>
      <c r="K95" s="463">
        <f t="shared" si="23"/>
        <v>0.68640000000000001</v>
      </c>
      <c r="L95" s="463">
        <f t="shared" si="23"/>
        <v>0.56599999999999995</v>
      </c>
    </row>
    <row r="96" spans="2:12" s="191" customFormat="1" x14ac:dyDescent="0.25">
      <c r="B96" s="174" t="s">
        <v>1357</v>
      </c>
      <c r="C96" s="98"/>
      <c r="D96" s="106" t="s">
        <v>106</v>
      </c>
      <c r="E96" s="315">
        <v>14</v>
      </c>
      <c r="I96" s="463">
        <f t="shared" si="23"/>
        <v>3.1390799999999999</v>
      </c>
      <c r="J96" s="463">
        <f t="shared" si="23"/>
        <v>1.65452</v>
      </c>
      <c r="K96" s="463">
        <f t="shared" si="23"/>
        <v>1.2012</v>
      </c>
      <c r="L96" s="463">
        <f t="shared" si="23"/>
        <v>0.99049999999999994</v>
      </c>
    </row>
    <row r="97" spans="2:12" s="191" customFormat="1" x14ac:dyDescent="0.25">
      <c r="B97" s="96"/>
      <c r="C97" s="95"/>
      <c r="D97" s="94"/>
      <c r="E97" s="194"/>
    </row>
    <row r="98" spans="2:12" x14ac:dyDescent="0.3">
      <c r="B98" s="257" t="s">
        <v>103</v>
      </c>
      <c r="C98" s="169"/>
      <c r="D98" s="243"/>
      <c r="E98" s="193"/>
    </row>
    <row r="99" spans="2:12" x14ac:dyDescent="0.3">
      <c r="B99" s="101" t="s">
        <v>1358</v>
      </c>
      <c r="C99" s="98"/>
      <c r="D99" s="106" t="s">
        <v>105</v>
      </c>
      <c r="E99" s="315">
        <v>36</v>
      </c>
      <c r="I99" s="463">
        <f t="shared" ref="I99:L101" si="24">($E99+$G99)*I$3</f>
        <v>8.0719200000000004</v>
      </c>
      <c r="J99" s="463">
        <f t="shared" si="24"/>
        <v>4.25448</v>
      </c>
      <c r="K99" s="463">
        <f t="shared" si="24"/>
        <v>3.0888</v>
      </c>
      <c r="L99" s="463">
        <f t="shared" si="24"/>
        <v>2.5469999999999997</v>
      </c>
    </row>
    <row r="100" spans="2:12" x14ac:dyDescent="0.3">
      <c r="B100" s="101" t="s">
        <v>1359</v>
      </c>
      <c r="C100" s="98"/>
      <c r="D100" s="106" t="s">
        <v>61</v>
      </c>
      <c r="E100" s="315">
        <v>39</v>
      </c>
      <c r="I100" s="463">
        <f t="shared" si="24"/>
        <v>8.7445800000000009</v>
      </c>
      <c r="J100" s="463">
        <f t="shared" si="24"/>
        <v>4.6090200000000001</v>
      </c>
      <c r="K100" s="463">
        <f t="shared" si="24"/>
        <v>3.3462000000000001</v>
      </c>
      <c r="L100" s="463">
        <f t="shared" si="24"/>
        <v>2.7592499999999998</v>
      </c>
    </row>
    <row r="101" spans="2:12" x14ac:dyDescent="0.3">
      <c r="B101" s="101" t="s">
        <v>107</v>
      </c>
      <c r="C101" s="98"/>
      <c r="D101" s="106" t="s">
        <v>108</v>
      </c>
      <c r="E101" s="315">
        <v>15</v>
      </c>
      <c r="I101" s="463">
        <f t="shared" si="24"/>
        <v>3.3633000000000002</v>
      </c>
      <c r="J101" s="463">
        <f t="shared" si="24"/>
        <v>1.7726999999999999</v>
      </c>
      <c r="K101" s="463">
        <f t="shared" si="24"/>
        <v>1.2869999999999999</v>
      </c>
      <c r="L101" s="463">
        <f t="shared" si="24"/>
        <v>1.0612499999999998</v>
      </c>
    </row>
    <row r="102" spans="2:12" x14ac:dyDescent="0.3">
      <c r="B102" s="258" t="s">
        <v>109</v>
      </c>
      <c r="C102" s="95"/>
      <c r="D102" s="94"/>
      <c r="E102" s="194"/>
    </row>
    <row r="103" spans="2:12" s="30" customFormat="1" ht="14.5" x14ac:dyDescent="0.35">
      <c r="B103" s="167" t="s">
        <v>62</v>
      </c>
      <c r="C103" s="169"/>
      <c r="D103" s="156"/>
      <c r="E103" s="170"/>
    </row>
    <row r="104" spans="2:12" s="30" customFormat="1" ht="14.5" x14ac:dyDescent="0.35">
      <c r="B104" s="174" t="s">
        <v>63</v>
      </c>
      <c r="C104" s="175"/>
      <c r="D104" s="106" t="s">
        <v>64</v>
      </c>
      <c r="E104" s="315">
        <v>7</v>
      </c>
      <c r="I104" s="463">
        <f t="shared" ref="I104:L105" si="25">($E104+$G104)*I$3</f>
        <v>1.5695399999999999</v>
      </c>
      <c r="J104" s="463">
        <f t="shared" si="25"/>
        <v>0.82726</v>
      </c>
      <c r="K104" s="463">
        <f t="shared" si="25"/>
        <v>0.60060000000000002</v>
      </c>
      <c r="L104" s="463">
        <f t="shared" si="25"/>
        <v>0.49524999999999997</v>
      </c>
    </row>
    <row r="105" spans="2:12" s="30" customFormat="1" ht="14.5" x14ac:dyDescent="0.35">
      <c r="B105" s="174" t="s">
        <v>65</v>
      </c>
      <c r="C105" s="175"/>
      <c r="D105" s="106" t="s">
        <v>66</v>
      </c>
      <c r="E105" s="315">
        <v>15</v>
      </c>
      <c r="I105" s="463">
        <f t="shared" si="25"/>
        <v>3.3633000000000002</v>
      </c>
      <c r="J105" s="463">
        <f t="shared" si="25"/>
        <v>1.7726999999999999</v>
      </c>
      <c r="K105" s="463">
        <f t="shared" si="25"/>
        <v>1.2869999999999999</v>
      </c>
      <c r="L105" s="463">
        <f t="shared" si="25"/>
        <v>1.0612499999999998</v>
      </c>
    </row>
    <row r="106" spans="2:12" s="12" customFormat="1" x14ac:dyDescent="0.35">
      <c r="B106" s="246"/>
      <c r="C106" s="247"/>
      <c r="D106" s="248"/>
      <c r="E106" s="195"/>
    </row>
    <row r="107" spans="2:12" x14ac:dyDescent="0.3">
      <c r="B107" s="167" t="s">
        <v>67</v>
      </c>
      <c r="C107" s="169"/>
      <c r="D107" s="243"/>
      <c r="E107" s="193"/>
    </row>
    <row r="108" spans="2:12" x14ac:dyDescent="0.3">
      <c r="B108" s="255" t="s">
        <v>68</v>
      </c>
      <c r="C108" s="256"/>
      <c r="D108" s="106" t="s">
        <v>69</v>
      </c>
      <c r="E108" s="315">
        <v>0</v>
      </c>
      <c r="I108" s="463">
        <f t="shared" ref="I108:L108" si="26">($E108+$G108)*I$3</f>
        <v>0</v>
      </c>
      <c r="J108" s="463">
        <f t="shared" si="26"/>
        <v>0</v>
      </c>
      <c r="K108" s="463">
        <f t="shared" si="26"/>
        <v>0</v>
      </c>
      <c r="L108" s="463">
        <f t="shared" si="26"/>
        <v>0</v>
      </c>
    </row>
    <row r="109" spans="2:12" s="12" customFormat="1" x14ac:dyDescent="0.35">
      <c r="B109" s="7"/>
      <c r="C109" s="8"/>
      <c r="D109" s="9"/>
      <c r="E109" s="189"/>
    </row>
    <row r="110" spans="2:12" s="97" customFormat="1" x14ac:dyDescent="0.3">
      <c r="B110" s="96"/>
      <c r="C110" s="95"/>
      <c r="D110" s="94"/>
      <c r="E110" s="170"/>
    </row>
    <row r="111" spans="2:12" collapsed="1" x14ac:dyDescent="0.3">
      <c r="B111" s="185" t="s">
        <v>1525</v>
      </c>
      <c r="C111" s="186"/>
      <c r="D111" s="187"/>
      <c r="E111" s="188"/>
      <c r="F111" s="188"/>
      <c r="G111" s="188"/>
    </row>
    <row r="112" spans="2:12" x14ac:dyDescent="0.3">
      <c r="B112" s="154" t="s">
        <v>34</v>
      </c>
      <c r="C112" s="9"/>
      <c r="E112" s="149"/>
    </row>
    <row r="113" spans="2:12" x14ac:dyDescent="0.3">
      <c r="B113" s="384" t="s">
        <v>1630</v>
      </c>
      <c r="C113" s="98"/>
      <c r="D113" s="106" t="s">
        <v>35</v>
      </c>
      <c r="E113" s="319">
        <v>47</v>
      </c>
      <c r="I113" s="463">
        <f t="shared" ref="I113:L117" si="27">($E113+$G113)*I$3</f>
        <v>10.53834</v>
      </c>
      <c r="J113" s="463">
        <f t="shared" si="27"/>
        <v>5.5544599999999997</v>
      </c>
      <c r="K113" s="463">
        <f t="shared" si="27"/>
        <v>4.0326000000000004</v>
      </c>
      <c r="L113" s="463">
        <f t="shared" si="27"/>
        <v>3.3252499999999996</v>
      </c>
    </row>
    <row r="114" spans="2:12" x14ac:dyDescent="0.3">
      <c r="B114" s="384" t="s">
        <v>1631</v>
      </c>
      <c r="C114" s="98"/>
      <c r="D114" s="106" t="s">
        <v>36</v>
      </c>
      <c r="E114" s="319">
        <v>149</v>
      </c>
      <c r="I114" s="463">
        <f t="shared" si="27"/>
        <v>33.40878</v>
      </c>
      <c r="J114" s="463">
        <f t="shared" si="27"/>
        <v>17.608819999999998</v>
      </c>
      <c r="K114" s="463">
        <f t="shared" si="27"/>
        <v>12.7842</v>
      </c>
      <c r="L114" s="463">
        <f t="shared" si="27"/>
        <v>10.541749999999999</v>
      </c>
    </row>
    <row r="115" spans="2:12" x14ac:dyDescent="0.3">
      <c r="B115" s="384" t="s">
        <v>1634</v>
      </c>
      <c r="C115" s="98"/>
      <c r="D115" s="106" t="s">
        <v>115</v>
      </c>
      <c r="E115" s="319">
        <v>222</v>
      </c>
      <c r="I115" s="463">
        <f t="shared" si="27"/>
        <v>49.77684</v>
      </c>
      <c r="J115" s="463">
        <f t="shared" si="27"/>
        <v>26.235959999999999</v>
      </c>
      <c r="K115" s="463">
        <f t="shared" si="27"/>
        <v>19.047599999999999</v>
      </c>
      <c r="L115" s="463">
        <f t="shared" si="27"/>
        <v>15.706499999999998</v>
      </c>
    </row>
    <row r="116" spans="2:12" x14ac:dyDescent="0.3">
      <c r="B116" s="384" t="s">
        <v>1632</v>
      </c>
      <c r="C116" s="98"/>
      <c r="D116" s="106" t="s">
        <v>37</v>
      </c>
      <c r="E116" s="319">
        <v>318</v>
      </c>
      <c r="I116" s="463">
        <f t="shared" si="27"/>
        <v>71.301959999999994</v>
      </c>
      <c r="J116" s="463">
        <f t="shared" si="27"/>
        <v>37.581240000000001</v>
      </c>
      <c r="K116" s="463">
        <f t="shared" si="27"/>
        <v>27.284400000000002</v>
      </c>
      <c r="L116" s="463">
        <f t="shared" si="27"/>
        <v>22.498499999999996</v>
      </c>
    </row>
    <row r="117" spans="2:12" x14ac:dyDescent="0.3">
      <c r="B117" s="384" t="s">
        <v>1635</v>
      </c>
      <c r="C117" s="98"/>
      <c r="D117" s="106" t="s">
        <v>116</v>
      </c>
      <c r="E117" s="319">
        <v>386</v>
      </c>
      <c r="I117" s="463">
        <f t="shared" si="27"/>
        <v>86.548919999999995</v>
      </c>
      <c r="J117" s="463">
        <f t="shared" si="27"/>
        <v>45.61748</v>
      </c>
      <c r="K117" s="463">
        <f t="shared" si="27"/>
        <v>33.1188</v>
      </c>
      <c r="L117" s="463">
        <f t="shared" si="27"/>
        <v>27.309499999999996</v>
      </c>
    </row>
    <row r="118" spans="2:12" x14ac:dyDescent="0.3">
      <c r="B118" s="167"/>
      <c r="C118" s="169"/>
      <c r="D118" s="94"/>
      <c r="E118" s="193"/>
    </row>
    <row r="119" spans="2:12" x14ac:dyDescent="0.3">
      <c r="B119" s="167" t="s">
        <v>39</v>
      </c>
      <c r="C119" s="169"/>
      <c r="D119" s="243"/>
      <c r="E119" s="193"/>
    </row>
    <row r="120" spans="2:12" x14ac:dyDescent="0.3">
      <c r="B120" s="101" t="s">
        <v>1362</v>
      </c>
      <c r="C120" s="244"/>
      <c r="D120" s="106" t="s">
        <v>117</v>
      </c>
      <c r="E120" s="315">
        <v>124</v>
      </c>
      <c r="I120" s="463">
        <f t="shared" ref="I120:L123" si="28">($E120+$G120)*I$3</f>
        <v>27.803280000000001</v>
      </c>
      <c r="J120" s="463">
        <f t="shared" si="28"/>
        <v>14.654319999999998</v>
      </c>
      <c r="K120" s="463">
        <f t="shared" si="28"/>
        <v>10.639200000000001</v>
      </c>
      <c r="L120" s="463">
        <f t="shared" si="28"/>
        <v>8.7729999999999997</v>
      </c>
    </row>
    <row r="121" spans="2:12" x14ac:dyDescent="0.3">
      <c r="B121" s="101" t="s">
        <v>1363</v>
      </c>
      <c r="C121" s="244"/>
      <c r="D121" s="106" t="s">
        <v>118</v>
      </c>
      <c r="E121" s="315">
        <v>404</v>
      </c>
      <c r="I121" s="463">
        <f t="shared" si="28"/>
        <v>90.584879999999998</v>
      </c>
      <c r="J121" s="463">
        <f t="shared" si="28"/>
        <v>47.744719999999994</v>
      </c>
      <c r="K121" s="463">
        <f t="shared" si="28"/>
        <v>34.663200000000003</v>
      </c>
      <c r="L121" s="463">
        <f t="shared" si="28"/>
        <v>28.582999999999998</v>
      </c>
    </row>
    <row r="122" spans="2:12" x14ac:dyDescent="0.3">
      <c r="B122" s="101" t="s">
        <v>1364</v>
      </c>
      <c r="C122" s="244"/>
      <c r="D122" s="106" t="s">
        <v>119</v>
      </c>
      <c r="E122" s="315">
        <v>358</v>
      </c>
      <c r="I122" s="463">
        <f t="shared" si="28"/>
        <v>80.270759999999996</v>
      </c>
      <c r="J122" s="463">
        <f t="shared" si="28"/>
        <v>42.308439999999997</v>
      </c>
      <c r="K122" s="463">
        <f t="shared" si="28"/>
        <v>30.7164</v>
      </c>
      <c r="L122" s="463">
        <f t="shared" si="28"/>
        <v>25.328499999999998</v>
      </c>
    </row>
    <row r="123" spans="2:12" s="30" customFormat="1" ht="14.5" x14ac:dyDescent="0.35">
      <c r="B123" s="101" t="s">
        <v>1365</v>
      </c>
      <c r="C123" s="244"/>
      <c r="D123" s="106" t="s">
        <v>120</v>
      </c>
      <c r="E123" s="315">
        <v>918</v>
      </c>
      <c r="I123" s="463">
        <f t="shared" si="28"/>
        <v>205.83395999999999</v>
      </c>
      <c r="J123" s="463">
        <f t="shared" si="28"/>
        <v>108.48924</v>
      </c>
      <c r="K123" s="463">
        <f t="shared" si="28"/>
        <v>78.764399999999995</v>
      </c>
      <c r="L123" s="463">
        <f t="shared" si="28"/>
        <v>64.948499999999996</v>
      </c>
    </row>
    <row r="124" spans="2:12" s="30" customFormat="1" ht="14.5" x14ac:dyDescent="0.35">
      <c r="B124" s="167" t="s">
        <v>1341</v>
      </c>
      <c r="C124" s="168"/>
      <c r="D124" s="110"/>
      <c r="E124" s="170"/>
    </row>
    <row r="125" spans="2:12" x14ac:dyDescent="0.3">
      <c r="B125" s="101" t="s">
        <v>1366</v>
      </c>
      <c r="C125" s="244"/>
      <c r="D125" s="259" t="s">
        <v>1367</v>
      </c>
      <c r="E125" s="315">
        <v>34</v>
      </c>
      <c r="I125" s="463">
        <f t="shared" ref="I125:L129" si="29">($E125+$G125)*I$3</f>
        <v>7.6234799999999998</v>
      </c>
      <c r="J125" s="463">
        <f t="shared" si="29"/>
        <v>4.0181199999999997</v>
      </c>
      <c r="K125" s="463">
        <f t="shared" si="29"/>
        <v>2.9172000000000002</v>
      </c>
      <c r="L125" s="463">
        <f t="shared" si="29"/>
        <v>2.4055</v>
      </c>
    </row>
    <row r="126" spans="2:12" x14ac:dyDescent="0.3">
      <c r="B126" s="101" t="s">
        <v>1368</v>
      </c>
      <c r="C126" s="244"/>
      <c r="D126" s="259" t="s">
        <v>91</v>
      </c>
      <c r="E126" s="315">
        <v>178</v>
      </c>
      <c r="F126" s="18"/>
      <c r="G126" s="18"/>
      <c r="H126" s="18"/>
      <c r="I126" s="463">
        <f t="shared" si="29"/>
        <v>39.911160000000002</v>
      </c>
      <c r="J126" s="463">
        <f t="shared" si="29"/>
        <v>21.03604</v>
      </c>
      <c r="K126" s="463">
        <f t="shared" si="29"/>
        <v>15.272400000000001</v>
      </c>
      <c r="L126" s="463">
        <f t="shared" si="29"/>
        <v>12.593499999999999</v>
      </c>
    </row>
    <row r="127" spans="2:12" x14ac:dyDescent="0.3">
      <c r="B127" s="101" t="s">
        <v>1369</v>
      </c>
      <c r="C127" s="244"/>
      <c r="D127" s="259" t="s">
        <v>1370</v>
      </c>
      <c r="E127" s="315">
        <v>466</v>
      </c>
      <c r="I127" s="463">
        <f t="shared" si="29"/>
        <v>104.48652</v>
      </c>
      <c r="J127" s="463">
        <f t="shared" si="29"/>
        <v>55.07188</v>
      </c>
      <c r="K127" s="463">
        <f t="shared" si="29"/>
        <v>39.982799999999997</v>
      </c>
      <c r="L127" s="463">
        <f t="shared" si="29"/>
        <v>32.969499999999996</v>
      </c>
    </row>
    <row r="128" spans="2:12" x14ac:dyDescent="0.3">
      <c r="B128" s="101" t="s">
        <v>1371</v>
      </c>
      <c r="C128" s="244"/>
      <c r="D128" s="106" t="s">
        <v>121</v>
      </c>
      <c r="E128" s="315">
        <v>554</v>
      </c>
      <c r="I128" s="463">
        <f t="shared" si="29"/>
        <v>124.21788000000001</v>
      </c>
      <c r="J128" s="463">
        <f t="shared" si="29"/>
        <v>65.471719999999991</v>
      </c>
      <c r="K128" s="463">
        <f t="shared" si="29"/>
        <v>47.533200000000001</v>
      </c>
      <c r="L128" s="463">
        <f t="shared" si="29"/>
        <v>39.195499999999996</v>
      </c>
    </row>
    <row r="129" spans="2:12" x14ac:dyDescent="0.3">
      <c r="B129" s="101" t="s">
        <v>1372</v>
      </c>
      <c r="C129" s="244"/>
      <c r="D129" s="259" t="s">
        <v>122</v>
      </c>
      <c r="E129" s="315">
        <v>1218</v>
      </c>
      <c r="I129" s="463">
        <f t="shared" si="29"/>
        <v>273.09996000000001</v>
      </c>
      <c r="J129" s="463">
        <f t="shared" si="29"/>
        <v>143.94324</v>
      </c>
      <c r="K129" s="463">
        <f t="shared" si="29"/>
        <v>104.5044</v>
      </c>
      <c r="L129" s="463">
        <f t="shared" si="29"/>
        <v>86.17349999999999</v>
      </c>
    </row>
    <row r="130" spans="2:12" x14ac:dyDescent="0.3">
      <c r="B130" s="96"/>
      <c r="C130" s="95"/>
      <c r="D130" s="94"/>
      <c r="E130" s="194"/>
    </row>
    <row r="131" spans="2:12" x14ac:dyDescent="0.3">
      <c r="B131" s="167" t="s">
        <v>42</v>
      </c>
      <c r="C131" s="169"/>
      <c r="D131" s="243"/>
      <c r="E131" s="193"/>
    </row>
    <row r="132" spans="2:12" x14ac:dyDescent="0.3">
      <c r="B132" s="101" t="s">
        <v>43</v>
      </c>
      <c r="C132" s="98"/>
      <c r="D132" s="106" t="s">
        <v>44</v>
      </c>
      <c r="E132" s="315">
        <v>56</v>
      </c>
      <c r="I132" s="463">
        <f t="shared" ref="I132:L134" si="30">($E132+$G132)*I$3</f>
        <v>12.556319999999999</v>
      </c>
      <c r="J132" s="463">
        <f t="shared" si="30"/>
        <v>6.61808</v>
      </c>
      <c r="K132" s="463">
        <f t="shared" si="30"/>
        <v>4.8048000000000002</v>
      </c>
      <c r="L132" s="463">
        <f t="shared" si="30"/>
        <v>3.9619999999999997</v>
      </c>
    </row>
    <row r="133" spans="2:12" x14ac:dyDescent="0.3">
      <c r="B133" s="101" t="s">
        <v>45</v>
      </c>
      <c r="C133" s="98"/>
      <c r="D133" s="106" t="s">
        <v>46</v>
      </c>
      <c r="E133" s="315">
        <v>128</v>
      </c>
      <c r="I133" s="463">
        <f t="shared" si="30"/>
        <v>28.70016</v>
      </c>
      <c r="J133" s="463">
        <f t="shared" si="30"/>
        <v>15.127039999999999</v>
      </c>
      <c r="K133" s="463">
        <f t="shared" si="30"/>
        <v>10.9824</v>
      </c>
      <c r="L133" s="463">
        <f t="shared" si="30"/>
        <v>9.0559999999999992</v>
      </c>
    </row>
    <row r="134" spans="2:12" x14ac:dyDescent="0.3">
      <c r="B134" s="101" t="s">
        <v>47</v>
      </c>
      <c r="C134" s="98"/>
      <c r="D134" s="106" t="s">
        <v>48</v>
      </c>
      <c r="E134" s="315">
        <v>365</v>
      </c>
      <c r="I134" s="463">
        <f t="shared" si="30"/>
        <v>81.840299999999999</v>
      </c>
      <c r="J134" s="463">
        <f t="shared" si="30"/>
        <v>43.1357</v>
      </c>
      <c r="K134" s="463">
        <f t="shared" si="30"/>
        <v>31.317</v>
      </c>
      <c r="L134" s="463">
        <f t="shared" si="30"/>
        <v>25.823749999999997</v>
      </c>
    </row>
    <row r="135" spans="2:12" x14ac:dyDescent="0.3">
      <c r="B135" s="96"/>
      <c r="C135" s="95"/>
      <c r="D135" s="94"/>
      <c r="E135" s="194"/>
    </row>
    <row r="136" spans="2:12" x14ac:dyDescent="0.3">
      <c r="B136" s="167" t="s">
        <v>123</v>
      </c>
      <c r="C136" s="169"/>
      <c r="D136" s="243"/>
      <c r="E136" s="193"/>
    </row>
    <row r="137" spans="2:12" x14ac:dyDescent="0.3">
      <c r="B137" s="101" t="s">
        <v>1343</v>
      </c>
      <c r="C137" s="98"/>
      <c r="D137" s="106" t="s">
        <v>50</v>
      </c>
      <c r="E137" s="315">
        <v>73</v>
      </c>
      <c r="I137" s="463">
        <f t="shared" ref="I137:L144" si="31">($E137+$G137)*I$3</f>
        <v>16.36806</v>
      </c>
      <c r="J137" s="463">
        <f t="shared" si="31"/>
        <v>8.6271399999999989</v>
      </c>
      <c r="K137" s="463">
        <f t="shared" si="31"/>
        <v>6.2633999999999999</v>
      </c>
      <c r="L137" s="463">
        <f t="shared" si="31"/>
        <v>5.1647499999999997</v>
      </c>
    </row>
    <row r="138" spans="2:12" x14ac:dyDescent="0.3">
      <c r="B138" s="101" t="s">
        <v>43</v>
      </c>
      <c r="C138" s="98"/>
      <c r="D138" s="106" t="s">
        <v>51</v>
      </c>
      <c r="E138" s="315">
        <v>129</v>
      </c>
      <c r="I138" s="463">
        <f t="shared" si="31"/>
        <v>28.924379999999999</v>
      </c>
      <c r="J138" s="463">
        <f t="shared" si="31"/>
        <v>15.24522</v>
      </c>
      <c r="K138" s="463">
        <f t="shared" si="31"/>
        <v>11.068200000000001</v>
      </c>
      <c r="L138" s="463">
        <f t="shared" si="31"/>
        <v>9.1267499999999995</v>
      </c>
    </row>
    <row r="139" spans="2:12" x14ac:dyDescent="0.3">
      <c r="B139" s="101" t="s">
        <v>45</v>
      </c>
      <c r="C139" s="98"/>
      <c r="D139" s="106" t="s">
        <v>52</v>
      </c>
      <c r="E139" s="315">
        <v>200</v>
      </c>
      <c r="I139" s="463">
        <f t="shared" si="31"/>
        <v>44.844000000000001</v>
      </c>
      <c r="J139" s="463">
        <f t="shared" si="31"/>
        <v>23.635999999999999</v>
      </c>
      <c r="K139" s="463">
        <f t="shared" si="31"/>
        <v>17.16</v>
      </c>
      <c r="L139" s="463">
        <f t="shared" si="31"/>
        <v>14.149999999999999</v>
      </c>
    </row>
    <row r="140" spans="2:12" x14ac:dyDescent="0.3">
      <c r="B140" s="101" t="s">
        <v>47</v>
      </c>
      <c r="C140" s="98"/>
      <c r="D140" s="106" t="s">
        <v>53</v>
      </c>
      <c r="E140" s="315">
        <v>438</v>
      </c>
      <c r="I140" s="463">
        <f t="shared" si="31"/>
        <v>98.208359999999999</v>
      </c>
      <c r="J140" s="463">
        <f t="shared" si="31"/>
        <v>51.762839999999997</v>
      </c>
      <c r="K140" s="463">
        <f t="shared" si="31"/>
        <v>37.580399999999997</v>
      </c>
      <c r="L140" s="463">
        <f t="shared" si="31"/>
        <v>30.988499999999998</v>
      </c>
    </row>
    <row r="141" spans="2:12" x14ac:dyDescent="0.3">
      <c r="B141" s="101" t="s">
        <v>1342</v>
      </c>
      <c r="C141" s="98"/>
      <c r="D141" s="106" t="s">
        <v>1344</v>
      </c>
      <c r="E141" s="315">
        <v>841</v>
      </c>
      <c r="I141" s="463">
        <f t="shared" si="31"/>
        <v>188.56901999999999</v>
      </c>
      <c r="J141" s="463">
        <f t="shared" si="31"/>
        <v>99.389379999999989</v>
      </c>
      <c r="K141" s="463">
        <f t="shared" si="31"/>
        <v>72.157799999999995</v>
      </c>
      <c r="L141" s="463">
        <f t="shared" si="31"/>
        <v>59.500749999999996</v>
      </c>
    </row>
    <row r="142" spans="2:12" x14ac:dyDescent="0.3">
      <c r="B142" s="101" t="s">
        <v>93</v>
      </c>
      <c r="C142" s="98"/>
      <c r="D142" s="106" t="s">
        <v>94</v>
      </c>
      <c r="E142" s="315">
        <v>56</v>
      </c>
      <c r="I142" s="463">
        <f t="shared" si="31"/>
        <v>12.556319999999999</v>
      </c>
      <c r="J142" s="463">
        <f t="shared" si="31"/>
        <v>6.61808</v>
      </c>
      <c r="K142" s="463">
        <f t="shared" si="31"/>
        <v>4.8048000000000002</v>
      </c>
      <c r="L142" s="463">
        <f t="shared" si="31"/>
        <v>3.9619999999999997</v>
      </c>
    </row>
    <row r="143" spans="2:12" x14ac:dyDescent="0.3">
      <c r="B143" s="101" t="s">
        <v>1354</v>
      </c>
      <c r="C143" s="98"/>
      <c r="D143" s="106" t="s">
        <v>95</v>
      </c>
      <c r="E143" s="315">
        <v>67</v>
      </c>
      <c r="I143" s="463">
        <f t="shared" si="31"/>
        <v>15.022740000000001</v>
      </c>
      <c r="J143" s="463">
        <f t="shared" si="31"/>
        <v>7.9180599999999997</v>
      </c>
      <c r="K143" s="463">
        <f t="shared" si="31"/>
        <v>5.7485999999999997</v>
      </c>
      <c r="L143" s="463">
        <f t="shared" si="31"/>
        <v>4.7402499999999996</v>
      </c>
    </row>
    <row r="144" spans="2:12" x14ac:dyDescent="0.3">
      <c r="B144" s="101" t="s">
        <v>1355</v>
      </c>
      <c r="C144" s="98"/>
      <c r="D144" s="106" t="s">
        <v>97</v>
      </c>
      <c r="E144" s="315">
        <v>80</v>
      </c>
      <c r="I144" s="463">
        <f t="shared" si="31"/>
        <v>17.9376</v>
      </c>
      <c r="J144" s="463">
        <f t="shared" si="31"/>
        <v>9.4543999999999997</v>
      </c>
      <c r="K144" s="463">
        <f t="shared" si="31"/>
        <v>6.8639999999999999</v>
      </c>
      <c r="L144" s="463">
        <f t="shared" si="31"/>
        <v>5.6599999999999993</v>
      </c>
    </row>
    <row r="145" spans="2:12" s="12" customFormat="1" x14ac:dyDescent="0.35">
      <c r="B145" s="96"/>
      <c r="C145" s="95"/>
      <c r="D145" s="94"/>
      <c r="E145" s="194"/>
    </row>
    <row r="146" spans="2:12" s="12" customFormat="1" x14ac:dyDescent="0.35">
      <c r="B146" s="167" t="s">
        <v>124</v>
      </c>
      <c r="C146" s="169"/>
      <c r="D146" s="243"/>
      <c r="E146" s="193"/>
    </row>
    <row r="147" spans="2:12" x14ac:dyDescent="0.3">
      <c r="B147" s="101" t="s">
        <v>1844</v>
      </c>
      <c r="C147" s="98"/>
      <c r="D147" s="106" t="s">
        <v>125</v>
      </c>
      <c r="E147" s="319">
        <v>53</v>
      </c>
      <c r="I147" s="463">
        <f t="shared" ref="I147:L147" si="32">($E147+$G147)*I$3</f>
        <v>11.883660000000001</v>
      </c>
      <c r="J147" s="463">
        <f t="shared" si="32"/>
        <v>6.2635399999999999</v>
      </c>
      <c r="K147" s="463">
        <f t="shared" si="32"/>
        <v>4.5473999999999997</v>
      </c>
      <c r="L147" s="463">
        <f t="shared" si="32"/>
        <v>3.7497499999999997</v>
      </c>
    </row>
    <row r="148" spans="2:12" s="12" customFormat="1" x14ac:dyDescent="0.35">
      <c r="B148" s="96"/>
      <c r="C148" s="95"/>
      <c r="D148" s="94"/>
      <c r="E148" s="194"/>
    </row>
    <row r="149" spans="2:12" s="12" customFormat="1" x14ac:dyDescent="0.35">
      <c r="B149" s="167" t="s">
        <v>1373</v>
      </c>
      <c r="C149" s="169"/>
      <c r="D149" s="243"/>
      <c r="E149" s="193"/>
    </row>
    <row r="150" spans="2:12" x14ac:dyDescent="0.3">
      <c r="B150" s="101" t="s">
        <v>1374</v>
      </c>
      <c r="C150" s="98"/>
      <c r="D150" s="106" t="s">
        <v>1375</v>
      </c>
      <c r="E150" s="319">
        <v>35</v>
      </c>
      <c r="I150" s="463">
        <f t="shared" ref="I150:L151" si="33">($E150+$G150)*I$3</f>
        <v>7.8476999999999997</v>
      </c>
      <c r="J150" s="463">
        <f t="shared" si="33"/>
        <v>4.1362999999999994</v>
      </c>
      <c r="K150" s="463">
        <f t="shared" si="33"/>
        <v>3.0030000000000001</v>
      </c>
      <c r="L150" s="463">
        <f t="shared" si="33"/>
        <v>2.4762499999999998</v>
      </c>
    </row>
    <row r="151" spans="2:12" x14ac:dyDescent="0.3">
      <c r="B151" s="101" t="s">
        <v>1376</v>
      </c>
      <c r="C151" s="98"/>
      <c r="D151" s="106" t="s">
        <v>1377</v>
      </c>
      <c r="E151" s="319">
        <v>62</v>
      </c>
      <c r="I151" s="463">
        <f t="shared" si="33"/>
        <v>13.90164</v>
      </c>
      <c r="J151" s="463">
        <f t="shared" si="33"/>
        <v>7.3271599999999992</v>
      </c>
      <c r="K151" s="463">
        <f t="shared" si="33"/>
        <v>5.3196000000000003</v>
      </c>
      <c r="L151" s="463">
        <f t="shared" si="33"/>
        <v>4.3864999999999998</v>
      </c>
    </row>
    <row r="152" spans="2:12" x14ac:dyDescent="0.3">
      <c r="B152" s="96"/>
      <c r="C152" s="95"/>
      <c r="D152" s="94"/>
      <c r="E152" s="170"/>
    </row>
    <row r="153" spans="2:12" s="12" customFormat="1" x14ac:dyDescent="0.3">
      <c r="B153" s="249" t="s">
        <v>54</v>
      </c>
      <c r="C153" s="169"/>
      <c r="D153" s="243"/>
      <c r="E153" s="193"/>
    </row>
    <row r="154" spans="2:12" x14ac:dyDescent="0.3">
      <c r="B154" s="119" t="s">
        <v>126</v>
      </c>
      <c r="C154" s="260"/>
      <c r="D154" s="135"/>
      <c r="E154" s="136"/>
    </row>
    <row r="155" spans="2:12" x14ac:dyDescent="0.3">
      <c r="B155" s="101" t="s">
        <v>1345</v>
      </c>
      <c r="C155" s="98"/>
      <c r="D155" s="106" t="s">
        <v>55</v>
      </c>
      <c r="E155" s="315">
        <v>125</v>
      </c>
      <c r="I155" s="463">
        <f t="shared" ref="I155:L161" si="34">($E155+$G155)*I$3</f>
        <v>28.0275</v>
      </c>
      <c r="J155" s="463">
        <f t="shared" si="34"/>
        <v>14.772499999999999</v>
      </c>
      <c r="K155" s="463">
        <f t="shared" si="34"/>
        <v>10.725</v>
      </c>
      <c r="L155" s="463">
        <f t="shared" si="34"/>
        <v>8.84375</v>
      </c>
    </row>
    <row r="156" spans="2:12" x14ac:dyDescent="0.3">
      <c r="B156" s="98" t="s">
        <v>340</v>
      </c>
      <c r="C156" s="98"/>
      <c r="D156" s="106" t="s">
        <v>127</v>
      </c>
      <c r="E156" s="315">
        <v>186</v>
      </c>
      <c r="I156" s="463">
        <f t="shared" si="34"/>
        <v>41.704920000000001</v>
      </c>
      <c r="J156" s="463">
        <f t="shared" si="34"/>
        <v>21.981479999999998</v>
      </c>
      <c r="K156" s="463">
        <f t="shared" si="34"/>
        <v>15.9588</v>
      </c>
      <c r="L156" s="463">
        <f t="shared" si="34"/>
        <v>13.1595</v>
      </c>
    </row>
    <row r="157" spans="2:12" x14ac:dyDescent="0.3">
      <c r="B157" s="98" t="s">
        <v>1324</v>
      </c>
      <c r="C157" s="98"/>
      <c r="D157" s="106" t="s">
        <v>128</v>
      </c>
      <c r="E157" s="315">
        <v>438</v>
      </c>
      <c r="F157" s="18"/>
      <c r="G157" s="18"/>
      <c r="H157" s="18"/>
      <c r="I157" s="463">
        <f t="shared" si="34"/>
        <v>98.208359999999999</v>
      </c>
      <c r="J157" s="463">
        <f t="shared" si="34"/>
        <v>51.762839999999997</v>
      </c>
      <c r="K157" s="463">
        <f t="shared" si="34"/>
        <v>37.580399999999997</v>
      </c>
      <c r="L157" s="463">
        <f t="shared" si="34"/>
        <v>30.988499999999998</v>
      </c>
    </row>
    <row r="158" spans="2:12" x14ac:dyDescent="0.3">
      <c r="B158" s="171" t="s">
        <v>1378</v>
      </c>
      <c r="C158" s="98"/>
      <c r="D158" s="106" t="s">
        <v>129</v>
      </c>
      <c r="E158" s="315">
        <v>679</v>
      </c>
      <c r="F158" s="18"/>
      <c r="G158" s="18"/>
      <c r="H158" s="18"/>
      <c r="I158" s="463">
        <f t="shared" si="34"/>
        <v>152.24538000000001</v>
      </c>
      <c r="J158" s="463">
        <f t="shared" si="34"/>
        <v>80.244219999999999</v>
      </c>
      <c r="K158" s="463">
        <f t="shared" si="34"/>
        <v>58.258200000000002</v>
      </c>
      <c r="L158" s="463">
        <f t="shared" si="34"/>
        <v>48.039249999999996</v>
      </c>
    </row>
    <row r="159" spans="2:12" x14ac:dyDescent="0.3">
      <c r="B159" s="101" t="s">
        <v>1298</v>
      </c>
      <c r="C159" s="98"/>
      <c r="D159" s="106" t="s">
        <v>130</v>
      </c>
      <c r="E159" s="315">
        <v>1253</v>
      </c>
      <c r="F159" s="18"/>
      <c r="G159" s="18"/>
      <c r="H159" s="18"/>
      <c r="I159" s="463">
        <f t="shared" si="34"/>
        <v>280.94765999999998</v>
      </c>
      <c r="J159" s="463">
        <f t="shared" si="34"/>
        <v>148.07953999999998</v>
      </c>
      <c r="K159" s="463">
        <f t="shared" si="34"/>
        <v>107.5074</v>
      </c>
      <c r="L159" s="463">
        <f t="shared" si="34"/>
        <v>88.649749999999997</v>
      </c>
    </row>
    <row r="160" spans="2:12" x14ac:dyDescent="0.3">
      <c r="B160" s="101" t="s">
        <v>1379</v>
      </c>
      <c r="C160" s="98"/>
      <c r="D160" s="106" t="s">
        <v>131</v>
      </c>
      <c r="E160" s="315">
        <v>1396</v>
      </c>
      <c r="F160" s="18"/>
      <c r="G160" s="18"/>
      <c r="H160" s="18"/>
      <c r="I160" s="463">
        <f t="shared" si="34"/>
        <v>313.01112000000001</v>
      </c>
      <c r="J160" s="463">
        <f t="shared" si="34"/>
        <v>164.97927999999999</v>
      </c>
      <c r="K160" s="463">
        <f t="shared" si="34"/>
        <v>119.77680000000001</v>
      </c>
      <c r="L160" s="463">
        <f t="shared" si="34"/>
        <v>98.766999999999996</v>
      </c>
    </row>
    <row r="161" spans="2:12" x14ac:dyDescent="0.3">
      <c r="B161" s="386" t="s">
        <v>1884</v>
      </c>
      <c r="C161" s="98"/>
      <c r="D161" s="106" t="s">
        <v>134</v>
      </c>
      <c r="E161" s="315">
        <v>2683</v>
      </c>
      <c r="F161" s="18"/>
      <c r="G161" s="18"/>
      <c r="H161" s="18"/>
      <c r="I161" s="463">
        <f t="shared" si="34"/>
        <v>601.58226000000002</v>
      </c>
      <c r="J161" s="463">
        <f t="shared" si="34"/>
        <v>317.07693999999998</v>
      </c>
      <c r="K161" s="463">
        <f t="shared" si="34"/>
        <v>230.20140000000001</v>
      </c>
      <c r="L161" s="463">
        <f t="shared" si="34"/>
        <v>189.82224999999997</v>
      </c>
    </row>
    <row r="162" spans="2:12" x14ac:dyDescent="0.3">
      <c r="B162" s="119" t="s">
        <v>132</v>
      </c>
      <c r="C162" s="260"/>
      <c r="D162" s="135"/>
      <c r="E162" s="136"/>
      <c r="F162" s="18"/>
      <c r="G162" s="18"/>
      <c r="H162" s="18"/>
    </row>
    <row r="163" spans="2:12" x14ac:dyDescent="0.3">
      <c r="B163" s="101" t="s">
        <v>1380</v>
      </c>
      <c r="C163" s="98"/>
      <c r="D163" s="106" t="s">
        <v>133</v>
      </c>
      <c r="E163" s="315">
        <v>418</v>
      </c>
      <c r="F163" s="18"/>
      <c r="G163" s="18"/>
      <c r="H163" s="18"/>
      <c r="I163" s="463">
        <f t="shared" ref="I163:L165" si="35">($E163+$G163)*I$3</f>
        <v>93.723960000000005</v>
      </c>
      <c r="J163" s="463">
        <f t="shared" si="35"/>
        <v>49.399239999999999</v>
      </c>
      <c r="K163" s="463">
        <f t="shared" si="35"/>
        <v>35.864400000000003</v>
      </c>
      <c r="L163" s="463">
        <f t="shared" si="35"/>
        <v>29.573499999999996</v>
      </c>
    </row>
    <row r="164" spans="2:12" ht="26" x14ac:dyDescent="0.3">
      <c r="B164" s="101" t="s">
        <v>1381</v>
      </c>
      <c r="C164" s="101"/>
      <c r="D164" s="106" t="s">
        <v>1892</v>
      </c>
      <c r="E164" s="315">
        <v>553</v>
      </c>
      <c r="F164" s="18"/>
      <c r="G164" s="18"/>
      <c r="H164" s="18"/>
      <c r="I164" s="463">
        <f t="shared" si="35"/>
        <v>123.99366000000001</v>
      </c>
      <c r="J164" s="463">
        <f t="shared" si="35"/>
        <v>65.353539999999995</v>
      </c>
      <c r="K164" s="463">
        <f t="shared" si="35"/>
        <v>47.447400000000002</v>
      </c>
      <c r="L164" s="463">
        <f t="shared" si="35"/>
        <v>39.124749999999999</v>
      </c>
    </row>
    <row r="165" spans="2:12" ht="26" x14ac:dyDescent="0.3">
      <c r="B165" s="101" t="s">
        <v>1382</v>
      </c>
      <c r="C165" s="101"/>
      <c r="D165" s="106" t="s">
        <v>135</v>
      </c>
      <c r="E165" s="315">
        <v>724</v>
      </c>
      <c r="F165" s="18"/>
      <c r="G165" s="18"/>
      <c r="H165" s="18"/>
      <c r="I165" s="463">
        <f t="shared" si="35"/>
        <v>162.33528000000001</v>
      </c>
      <c r="J165" s="463">
        <f t="shared" si="35"/>
        <v>85.56232</v>
      </c>
      <c r="K165" s="463">
        <f t="shared" si="35"/>
        <v>62.119199999999999</v>
      </c>
      <c r="L165" s="463">
        <f t="shared" si="35"/>
        <v>51.222999999999992</v>
      </c>
    </row>
    <row r="166" spans="2:12" s="12" customFormat="1" x14ac:dyDescent="0.35">
      <c r="B166" s="96"/>
      <c r="C166" s="95"/>
      <c r="D166" s="94"/>
      <c r="E166" s="194"/>
    </row>
    <row r="167" spans="2:12" s="12" customFormat="1" x14ac:dyDescent="0.35">
      <c r="B167" s="167" t="s">
        <v>136</v>
      </c>
      <c r="C167" s="169"/>
      <c r="D167" s="243"/>
      <c r="E167" s="193"/>
    </row>
    <row r="168" spans="2:12" s="30" customFormat="1" ht="14.5" x14ac:dyDescent="0.35">
      <c r="B168" s="101" t="s">
        <v>1383</v>
      </c>
      <c r="C168" s="98"/>
      <c r="D168" s="106" t="s">
        <v>101</v>
      </c>
      <c r="E168" s="315">
        <v>12</v>
      </c>
      <c r="I168" s="463">
        <f t="shared" ref="I168:L168" si="36">($E168+$G168)*I$3</f>
        <v>2.6906400000000001</v>
      </c>
      <c r="J168" s="463">
        <f t="shared" si="36"/>
        <v>1.4181599999999999</v>
      </c>
      <c r="K168" s="463">
        <f t="shared" si="36"/>
        <v>1.0296000000000001</v>
      </c>
      <c r="L168" s="463">
        <f t="shared" si="36"/>
        <v>0.84899999999999998</v>
      </c>
    </row>
    <row r="169" spans="2:12" s="12" customFormat="1" x14ac:dyDescent="0.35">
      <c r="B169" s="246"/>
      <c r="C169" s="247"/>
      <c r="D169" s="248"/>
      <c r="E169" s="248"/>
    </row>
    <row r="170" spans="2:12" s="12" customFormat="1" x14ac:dyDescent="0.35">
      <c r="B170" s="167" t="s">
        <v>102</v>
      </c>
      <c r="C170" s="169"/>
      <c r="D170" s="243"/>
      <c r="E170" s="243"/>
    </row>
    <row r="171" spans="2:12" s="191" customFormat="1" x14ac:dyDescent="0.25">
      <c r="B171" s="174" t="s">
        <v>1384</v>
      </c>
      <c r="C171" s="262"/>
      <c r="D171" s="106" t="s">
        <v>57</v>
      </c>
      <c r="E171" s="315">
        <v>8</v>
      </c>
      <c r="I171" s="463">
        <f t="shared" ref="I171:L174" si="37">($E171+$G171)*I$3</f>
        <v>1.79376</v>
      </c>
      <c r="J171" s="463">
        <f t="shared" si="37"/>
        <v>0.94543999999999995</v>
      </c>
      <c r="K171" s="463">
        <f t="shared" si="37"/>
        <v>0.68640000000000001</v>
      </c>
      <c r="L171" s="463">
        <f t="shared" si="37"/>
        <v>0.56599999999999995</v>
      </c>
    </row>
    <row r="172" spans="2:12" s="191" customFormat="1" x14ac:dyDescent="0.25">
      <c r="B172" s="174" t="s">
        <v>1385</v>
      </c>
      <c r="C172" s="262"/>
      <c r="D172" s="106" t="s">
        <v>58</v>
      </c>
      <c r="E172" s="315">
        <v>8</v>
      </c>
      <c r="I172" s="463">
        <f t="shared" si="37"/>
        <v>1.79376</v>
      </c>
      <c r="J172" s="463">
        <f t="shared" si="37"/>
        <v>0.94543999999999995</v>
      </c>
      <c r="K172" s="463">
        <f t="shared" si="37"/>
        <v>0.68640000000000001</v>
      </c>
      <c r="L172" s="463">
        <f t="shared" si="37"/>
        <v>0.56599999999999995</v>
      </c>
    </row>
    <row r="173" spans="2:12" s="191" customFormat="1" x14ac:dyDescent="0.25">
      <c r="B173" s="174" t="s">
        <v>1349</v>
      </c>
      <c r="C173" s="98"/>
      <c r="D173" s="106" t="s">
        <v>59</v>
      </c>
      <c r="E173" s="315">
        <v>8</v>
      </c>
      <c r="I173" s="463">
        <f t="shared" si="37"/>
        <v>1.79376</v>
      </c>
      <c r="J173" s="463">
        <f t="shared" si="37"/>
        <v>0.94543999999999995</v>
      </c>
      <c r="K173" s="463">
        <f t="shared" si="37"/>
        <v>0.68640000000000001</v>
      </c>
      <c r="L173" s="463">
        <f t="shared" si="37"/>
        <v>0.56599999999999995</v>
      </c>
    </row>
    <row r="174" spans="2:12" s="191" customFormat="1" x14ac:dyDescent="0.25">
      <c r="B174" s="174" t="s">
        <v>1386</v>
      </c>
      <c r="C174" s="262"/>
      <c r="D174" s="106" t="s">
        <v>106</v>
      </c>
      <c r="E174" s="315">
        <v>14</v>
      </c>
      <c r="I174" s="463">
        <f t="shared" si="37"/>
        <v>3.1390799999999999</v>
      </c>
      <c r="J174" s="463">
        <f t="shared" si="37"/>
        <v>1.65452</v>
      </c>
      <c r="K174" s="463">
        <f t="shared" si="37"/>
        <v>1.2012</v>
      </c>
      <c r="L174" s="463">
        <f t="shared" si="37"/>
        <v>0.99049999999999994</v>
      </c>
    </row>
    <row r="175" spans="2:12" x14ac:dyDescent="0.3">
      <c r="B175" s="263"/>
      <c r="C175" s="264"/>
      <c r="D175" s="94"/>
      <c r="E175" s="94"/>
    </row>
    <row r="176" spans="2:12" s="12" customFormat="1" x14ac:dyDescent="0.35">
      <c r="B176" s="167" t="s">
        <v>1387</v>
      </c>
      <c r="C176" s="169"/>
      <c r="D176" s="243"/>
      <c r="E176" s="243"/>
    </row>
    <row r="177" spans="1:12" s="191" customFormat="1" x14ac:dyDescent="0.25">
      <c r="B177" s="174" t="s">
        <v>1358</v>
      </c>
      <c r="C177" s="98"/>
      <c r="D177" s="106" t="s">
        <v>105</v>
      </c>
      <c r="E177" s="315">
        <v>36</v>
      </c>
      <c r="I177" s="463">
        <f t="shared" ref="I177:L180" si="38">($E177+$G177)*I$3</f>
        <v>8.0719200000000004</v>
      </c>
      <c r="J177" s="463">
        <f t="shared" si="38"/>
        <v>4.25448</v>
      </c>
      <c r="K177" s="463">
        <f t="shared" si="38"/>
        <v>3.0888</v>
      </c>
      <c r="L177" s="463">
        <f t="shared" si="38"/>
        <v>2.5469999999999997</v>
      </c>
    </row>
    <row r="178" spans="1:12" x14ac:dyDescent="0.3">
      <c r="B178" s="101" t="s">
        <v>1359</v>
      </c>
      <c r="C178" s="98"/>
      <c r="D178" s="106" t="s">
        <v>61</v>
      </c>
      <c r="E178" s="315">
        <v>39</v>
      </c>
      <c r="I178" s="463">
        <f t="shared" si="38"/>
        <v>8.7445800000000009</v>
      </c>
      <c r="J178" s="463">
        <f t="shared" si="38"/>
        <v>4.6090200000000001</v>
      </c>
      <c r="K178" s="463">
        <f t="shared" si="38"/>
        <v>3.3462000000000001</v>
      </c>
      <c r="L178" s="463">
        <f t="shared" si="38"/>
        <v>2.7592499999999998</v>
      </c>
    </row>
    <row r="179" spans="1:12" s="191" customFormat="1" x14ac:dyDescent="0.25">
      <c r="B179" s="174" t="s">
        <v>137</v>
      </c>
      <c r="C179" s="98"/>
      <c r="D179" s="106" t="s">
        <v>138</v>
      </c>
      <c r="E179" s="315">
        <v>14</v>
      </c>
      <c r="I179" s="463">
        <f t="shared" si="38"/>
        <v>3.1390799999999999</v>
      </c>
      <c r="J179" s="463">
        <f t="shared" si="38"/>
        <v>1.65452</v>
      </c>
      <c r="K179" s="463">
        <f t="shared" si="38"/>
        <v>1.2012</v>
      </c>
      <c r="L179" s="463">
        <f t="shared" si="38"/>
        <v>0.99049999999999994</v>
      </c>
    </row>
    <row r="180" spans="1:12" s="191" customFormat="1" x14ac:dyDescent="0.25">
      <c r="B180" s="387" t="s">
        <v>1636</v>
      </c>
      <c r="C180" s="370"/>
      <c r="D180" s="385" t="s">
        <v>1773</v>
      </c>
      <c r="E180" s="196">
        <v>70</v>
      </c>
      <c r="I180" s="463">
        <f t="shared" si="38"/>
        <v>15.695399999999999</v>
      </c>
      <c r="J180" s="463">
        <f t="shared" si="38"/>
        <v>8.2725999999999988</v>
      </c>
      <c r="K180" s="463">
        <f t="shared" si="38"/>
        <v>6.0060000000000002</v>
      </c>
      <c r="L180" s="463">
        <f t="shared" si="38"/>
        <v>4.9524999999999997</v>
      </c>
    </row>
    <row r="181" spans="1:12" x14ac:dyDescent="0.3">
      <c r="B181" s="263"/>
      <c r="C181" s="264"/>
      <c r="D181" s="94"/>
      <c r="E181" s="94"/>
    </row>
    <row r="182" spans="1:12" s="30" customFormat="1" ht="14.5" x14ac:dyDescent="0.35">
      <c r="B182" s="167" t="s">
        <v>62</v>
      </c>
      <c r="C182" s="169"/>
      <c r="D182" s="156"/>
      <c r="E182" s="156"/>
    </row>
    <row r="183" spans="1:12" s="30" customFormat="1" ht="14.5" x14ac:dyDescent="0.35">
      <c r="B183" s="174" t="s">
        <v>63</v>
      </c>
      <c r="C183" s="175"/>
      <c r="D183" s="106" t="s">
        <v>64</v>
      </c>
      <c r="E183" s="315">
        <v>7</v>
      </c>
      <c r="I183" s="463">
        <f t="shared" ref="I183:L184" si="39">($E183+$G183)*I$3</f>
        <v>1.5695399999999999</v>
      </c>
      <c r="J183" s="463">
        <f t="shared" si="39"/>
        <v>0.82726</v>
      </c>
      <c r="K183" s="463">
        <f t="shared" si="39"/>
        <v>0.60060000000000002</v>
      </c>
      <c r="L183" s="463">
        <f t="shared" si="39"/>
        <v>0.49524999999999997</v>
      </c>
    </row>
    <row r="184" spans="1:12" s="30" customFormat="1" ht="14.5" x14ac:dyDescent="0.35">
      <c r="B184" s="174" t="s">
        <v>65</v>
      </c>
      <c r="C184" s="175"/>
      <c r="D184" s="106" t="s">
        <v>66</v>
      </c>
      <c r="E184" s="315">
        <v>15</v>
      </c>
      <c r="I184" s="463">
        <f t="shared" si="39"/>
        <v>3.3633000000000002</v>
      </c>
      <c r="J184" s="463">
        <f t="shared" si="39"/>
        <v>1.7726999999999999</v>
      </c>
      <c r="K184" s="463">
        <f t="shared" si="39"/>
        <v>1.2869999999999999</v>
      </c>
      <c r="L184" s="463">
        <f t="shared" si="39"/>
        <v>1.0612499999999998</v>
      </c>
    </row>
    <row r="185" spans="1:12" s="30" customFormat="1" ht="14.5" collapsed="1" x14ac:dyDescent="0.35">
      <c r="B185" s="265"/>
      <c r="C185" s="266"/>
      <c r="D185" s="267"/>
      <c r="E185" s="267"/>
    </row>
    <row r="186" spans="1:12" x14ac:dyDescent="0.3">
      <c r="B186" s="167" t="s">
        <v>67</v>
      </c>
      <c r="C186" s="169"/>
      <c r="D186" s="243"/>
      <c r="E186" s="243"/>
    </row>
    <row r="187" spans="1:12" x14ac:dyDescent="0.3">
      <c r="B187" s="255" t="s">
        <v>68</v>
      </c>
      <c r="C187" s="256"/>
      <c r="D187" s="106" t="s">
        <v>69</v>
      </c>
      <c r="E187" s="315">
        <v>0</v>
      </c>
      <c r="I187" s="463">
        <f t="shared" ref="I187:L187" si="40">($E187+$G187)*I$3</f>
        <v>0</v>
      </c>
      <c r="J187" s="463">
        <f t="shared" si="40"/>
        <v>0</v>
      </c>
      <c r="K187" s="463">
        <f t="shared" si="40"/>
        <v>0</v>
      </c>
      <c r="L187" s="463">
        <f t="shared" si="40"/>
        <v>0</v>
      </c>
    </row>
    <row r="188" spans="1:12" x14ac:dyDescent="0.3">
      <c r="B188" s="410"/>
      <c r="C188" s="411"/>
      <c r="D188" s="147"/>
      <c r="E188" s="180"/>
    </row>
    <row r="189" spans="1:12" s="97" customFormat="1" x14ac:dyDescent="0.3">
      <c r="B189" s="263"/>
      <c r="C189" s="264"/>
      <c r="D189" s="94"/>
      <c r="E189" s="345"/>
    </row>
    <row r="190" spans="1:12" s="30" customFormat="1" ht="14.5" x14ac:dyDescent="0.35">
      <c r="A190" s="6"/>
      <c r="B190" s="449" t="s">
        <v>1571</v>
      </c>
      <c r="C190" s="450"/>
      <c r="D190" s="451"/>
      <c r="E190" s="443"/>
      <c r="F190" s="443"/>
      <c r="G190" s="443"/>
      <c r="H190" s="6"/>
    </row>
    <row r="191" spans="1:12" s="30" customFormat="1" ht="14.5" x14ac:dyDescent="0.35">
      <c r="A191" s="6"/>
      <c r="B191" s="154" t="s">
        <v>142</v>
      </c>
      <c r="C191" s="155"/>
      <c r="D191" s="9"/>
      <c r="E191" s="149"/>
      <c r="F191" s="6"/>
      <c r="G191" s="6"/>
      <c r="H191" s="6"/>
    </row>
    <row r="192" spans="1:12" s="30" customFormat="1" ht="14.5" x14ac:dyDescent="0.35">
      <c r="A192" s="6"/>
      <c r="B192" s="98" t="s">
        <v>1746</v>
      </c>
      <c r="C192" s="98"/>
      <c r="D192" s="106" t="s">
        <v>1774</v>
      </c>
      <c r="E192" s="388">
        <v>106</v>
      </c>
      <c r="F192" s="6"/>
      <c r="G192" s="6"/>
      <c r="H192" s="6"/>
      <c r="I192" s="463">
        <f t="shared" ref="I192:L198" si="41">($E192+$G192)*I$3</f>
        <v>23.767320000000002</v>
      </c>
      <c r="J192" s="463">
        <f t="shared" si="41"/>
        <v>12.52708</v>
      </c>
      <c r="K192" s="463">
        <f t="shared" si="41"/>
        <v>9.0947999999999993</v>
      </c>
      <c r="L192" s="463">
        <f t="shared" si="41"/>
        <v>7.4994999999999994</v>
      </c>
    </row>
    <row r="193" spans="1:12" s="30" customFormat="1" ht="14.5" x14ac:dyDescent="0.35">
      <c r="A193" s="6"/>
      <c r="B193" s="98" t="s">
        <v>1554</v>
      </c>
      <c r="C193" s="98"/>
      <c r="D193" s="106" t="s">
        <v>1574</v>
      </c>
      <c r="E193" s="105">
        <v>138</v>
      </c>
      <c r="F193" s="6"/>
      <c r="G193" s="6"/>
      <c r="H193" s="6"/>
      <c r="I193" s="463">
        <f t="shared" si="41"/>
        <v>30.942360000000001</v>
      </c>
      <c r="J193" s="463">
        <f t="shared" si="41"/>
        <v>16.30884</v>
      </c>
      <c r="K193" s="463">
        <f t="shared" si="41"/>
        <v>11.840400000000001</v>
      </c>
      <c r="L193" s="463">
        <f t="shared" si="41"/>
        <v>9.7634999999999987</v>
      </c>
    </row>
    <row r="194" spans="1:12" s="30" customFormat="1" ht="14.5" x14ac:dyDescent="0.35">
      <c r="A194" s="6"/>
      <c r="B194" s="98" t="s">
        <v>1570</v>
      </c>
      <c r="C194" s="98"/>
      <c r="D194" s="106" t="s">
        <v>1575</v>
      </c>
      <c r="E194" s="105">
        <v>244</v>
      </c>
      <c r="F194" s="18"/>
      <c r="G194" s="18"/>
      <c r="H194" s="18"/>
      <c r="I194" s="463">
        <f t="shared" si="41"/>
        <v>54.709679999999999</v>
      </c>
      <c r="J194" s="463">
        <f t="shared" si="41"/>
        <v>28.835919999999998</v>
      </c>
      <c r="K194" s="463">
        <f t="shared" si="41"/>
        <v>20.935200000000002</v>
      </c>
      <c r="L194" s="463">
        <f t="shared" si="41"/>
        <v>17.262999999999998</v>
      </c>
    </row>
    <row r="195" spans="1:12" s="30" customFormat="1" ht="14.5" x14ac:dyDescent="0.35">
      <c r="A195" s="6"/>
      <c r="B195" s="98" t="s">
        <v>1581</v>
      </c>
      <c r="C195" s="98"/>
      <c r="D195" s="106" t="s">
        <v>1576</v>
      </c>
      <c r="E195" s="105">
        <v>180</v>
      </c>
      <c r="F195" s="18"/>
      <c r="G195" s="18"/>
      <c r="H195" s="18"/>
      <c r="I195" s="463">
        <f t="shared" si="41"/>
        <v>40.3596</v>
      </c>
      <c r="J195" s="463">
        <f t="shared" si="41"/>
        <v>21.272399999999998</v>
      </c>
      <c r="K195" s="463">
        <f t="shared" si="41"/>
        <v>15.444000000000001</v>
      </c>
      <c r="L195" s="463">
        <f t="shared" si="41"/>
        <v>12.734999999999999</v>
      </c>
    </row>
    <row r="196" spans="1:12" s="30" customFormat="1" ht="14.5" x14ac:dyDescent="0.35">
      <c r="A196" s="6"/>
      <c r="B196" s="98" t="s">
        <v>1582</v>
      </c>
      <c r="C196" s="98"/>
      <c r="D196" s="106" t="s">
        <v>1577</v>
      </c>
      <c r="E196" s="105">
        <v>286</v>
      </c>
      <c r="F196" s="18"/>
      <c r="G196" s="18"/>
      <c r="H196" s="18"/>
      <c r="I196" s="463">
        <f t="shared" si="41"/>
        <v>64.126919999999998</v>
      </c>
      <c r="J196" s="463">
        <f t="shared" si="41"/>
        <v>33.799479999999996</v>
      </c>
      <c r="K196" s="463">
        <f t="shared" si="41"/>
        <v>24.538800000000002</v>
      </c>
      <c r="L196" s="463">
        <f t="shared" si="41"/>
        <v>20.234499999999997</v>
      </c>
    </row>
    <row r="197" spans="1:12" s="30" customFormat="1" ht="14.5" x14ac:dyDescent="0.35">
      <c r="A197" s="18"/>
      <c r="B197" s="98" t="s">
        <v>1583</v>
      </c>
      <c r="C197" s="321"/>
      <c r="D197" s="106" t="s">
        <v>1578</v>
      </c>
      <c r="E197" s="105">
        <v>461</v>
      </c>
      <c r="F197" s="18"/>
      <c r="G197" s="18"/>
      <c r="H197" s="18"/>
      <c r="I197" s="463">
        <f t="shared" si="41"/>
        <v>103.36542</v>
      </c>
      <c r="J197" s="463">
        <f t="shared" si="41"/>
        <v>54.480979999999995</v>
      </c>
      <c r="K197" s="463">
        <f t="shared" si="41"/>
        <v>39.553800000000003</v>
      </c>
      <c r="L197" s="463">
        <f t="shared" si="41"/>
        <v>32.615749999999998</v>
      </c>
    </row>
    <row r="198" spans="1:12" s="30" customFormat="1" ht="14.5" x14ac:dyDescent="0.35">
      <c r="A198" s="6"/>
      <c r="B198" s="98" t="s">
        <v>1555</v>
      </c>
      <c r="C198" s="98"/>
      <c r="D198" s="106" t="s">
        <v>1579</v>
      </c>
      <c r="E198" s="105">
        <v>656</v>
      </c>
      <c r="F198" s="18"/>
      <c r="G198" s="18"/>
      <c r="H198" s="18"/>
      <c r="I198" s="463">
        <f t="shared" si="41"/>
        <v>147.08832000000001</v>
      </c>
      <c r="J198" s="463">
        <f t="shared" si="41"/>
        <v>77.526079999999993</v>
      </c>
      <c r="K198" s="463">
        <f t="shared" si="41"/>
        <v>56.284800000000004</v>
      </c>
      <c r="L198" s="463">
        <f t="shared" si="41"/>
        <v>46.411999999999999</v>
      </c>
    </row>
    <row r="199" spans="1:12" s="30" customFormat="1" ht="14.5" x14ac:dyDescent="0.35">
      <c r="A199" s="6"/>
      <c r="B199" s="96"/>
      <c r="C199" s="95"/>
      <c r="D199" s="94"/>
      <c r="E199" s="94"/>
      <c r="F199" s="6"/>
      <c r="G199" s="6"/>
      <c r="H199" s="6"/>
    </row>
    <row r="200" spans="1:12" s="30" customFormat="1" ht="14.5" x14ac:dyDescent="0.35">
      <c r="A200" s="6"/>
      <c r="B200" s="167" t="s">
        <v>39</v>
      </c>
      <c r="C200" s="168"/>
      <c r="D200" s="94"/>
      <c r="E200" s="94"/>
      <c r="F200" s="6"/>
      <c r="G200" s="6"/>
      <c r="H200" s="6"/>
    </row>
    <row r="201" spans="1:12" s="30" customFormat="1" ht="14.5" x14ac:dyDescent="0.35">
      <c r="A201" s="6"/>
      <c r="B201" s="101" t="s">
        <v>1328</v>
      </c>
      <c r="C201" s="98"/>
      <c r="D201" s="106" t="s">
        <v>145</v>
      </c>
      <c r="E201" s="105">
        <v>117</v>
      </c>
      <c r="F201" s="6"/>
      <c r="G201" s="6"/>
      <c r="H201" s="6"/>
      <c r="I201" s="463">
        <f t="shared" ref="I201:L202" si="42">($E201+$G201)*I$3</f>
        <v>26.233740000000001</v>
      </c>
      <c r="J201" s="463">
        <f t="shared" si="42"/>
        <v>13.827059999999999</v>
      </c>
      <c r="K201" s="463">
        <f t="shared" si="42"/>
        <v>10.038600000000001</v>
      </c>
      <c r="L201" s="463">
        <f t="shared" si="42"/>
        <v>8.2777499999999993</v>
      </c>
    </row>
    <row r="202" spans="1:12" s="30" customFormat="1" ht="14.5" x14ac:dyDescent="0.35">
      <c r="A202" s="6"/>
      <c r="B202" s="101" t="s">
        <v>1331</v>
      </c>
      <c r="C202" s="98"/>
      <c r="D202" s="106" t="s">
        <v>147</v>
      </c>
      <c r="E202" s="105">
        <v>397</v>
      </c>
      <c r="F202" s="6"/>
      <c r="G202" s="6"/>
      <c r="H202" s="6"/>
      <c r="I202" s="463">
        <f t="shared" si="42"/>
        <v>89.015339999999995</v>
      </c>
      <c r="J202" s="463">
        <f t="shared" si="42"/>
        <v>46.917459999999998</v>
      </c>
      <c r="K202" s="463">
        <f t="shared" si="42"/>
        <v>34.062600000000003</v>
      </c>
      <c r="L202" s="463">
        <f t="shared" si="42"/>
        <v>28.087749999999996</v>
      </c>
    </row>
    <row r="203" spans="1:12" s="30" customFormat="1" ht="14.5" x14ac:dyDescent="0.35">
      <c r="A203" s="6"/>
      <c r="B203" s="96"/>
      <c r="C203" s="95"/>
      <c r="D203" s="94"/>
      <c r="E203" s="95"/>
      <c r="F203" s="6"/>
      <c r="G203" s="6"/>
      <c r="H203" s="6"/>
    </row>
    <row r="204" spans="1:12" s="30" customFormat="1" ht="14.5" x14ac:dyDescent="0.35">
      <c r="A204" s="6"/>
      <c r="B204" s="167" t="s">
        <v>42</v>
      </c>
      <c r="C204" s="169"/>
      <c r="D204" s="94"/>
      <c r="E204" s="169"/>
      <c r="F204" s="6"/>
      <c r="G204" s="6"/>
      <c r="H204" s="6"/>
    </row>
    <row r="205" spans="1:12" s="30" customFormat="1" ht="14.5" x14ac:dyDescent="0.35">
      <c r="A205" s="6"/>
      <c r="B205" s="101" t="s">
        <v>151</v>
      </c>
      <c r="C205" s="98"/>
      <c r="D205" s="106" t="s">
        <v>152</v>
      </c>
      <c r="E205" s="105">
        <v>72</v>
      </c>
      <c r="F205" s="6"/>
      <c r="G205" s="6"/>
      <c r="H205" s="6"/>
      <c r="I205" s="463">
        <f t="shared" ref="I205:L206" si="43">($E205+$G205)*I$3</f>
        <v>16.143840000000001</v>
      </c>
      <c r="J205" s="463">
        <f t="shared" si="43"/>
        <v>8.5089600000000001</v>
      </c>
      <c r="K205" s="463">
        <f t="shared" si="43"/>
        <v>6.1776</v>
      </c>
      <c r="L205" s="463">
        <f t="shared" si="43"/>
        <v>5.0939999999999994</v>
      </c>
    </row>
    <row r="206" spans="1:12" s="30" customFormat="1" ht="14.5" x14ac:dyDescent="0.35">
      <c r="A206" s="6"/>
      <c r="B206" s="101" t="s">
        <v>153</v>
      </c>
      <c r="C206" s="98"/>
      <c r="D206" s="106" t="s">
        <v>154</v>
      </c>
      <c r="E206" s="105">
        <v>310</v>
      </c>
      <c r="F206" s="6"/>
      <c r="G206" s="6"/>
      <c r="H206" s="6"/>
      <c r="I206" s="463">
        <f t="shared" si="43"/>
        <v>69.508200000000002</v>
      </c>
      <c r="J206" s="463">
        <f t="shared" si="43"/>
        <v>36.635799999999996</v>
      </c>
      <c r="K206" s="463">
        <f t="shared" si="43"/>
        <v>26.597999999999999</v>
      </c>
      <c r="L206" s="463">
        <f t="shared" si="43"/>
        <v>21.932499999999997</v>
      </c>
    </row>
    <row r="207" spans="1:12" s="30" customFormat="1" ht="14.5" x14ac:dyDescent="0.35">
      <c r="A207" s="6"/>
      <c r="B207" s="96"/>
      <c r="C207" s="95"/>
      <c r="D207" s="94"/>
      <c r="E207" s="95"/>
      <c r="F207" s="6"/>
      <c r="G207" s="6"/>
      <c r="H207" s="6"/>
    </row>
    <row r="208" spans="1:12" s="30" customFormat="1" ht="14.5" x14ac:dyDescent="0.35">
      <c r="A208" s="6"/>
      <c r="B208" s="167" t="s">
        <v>155</v>
      </c>
      <c r="C208" s="169"/>
      <c r="D208" s="94"/>
      <c r="E208" s="169"/>
      <c r="F208" s="6"/>
      <c r="G208" s="6"/>
      <c r="H208" s="6"/>
    </row>
    <row r="209" spans="1:12" s="30" customFormat="1" ht="14.5" x14ac:dyDescent="0.35">
      <c r="A209" s="6"/>
      <c r="B209" s="322" t="s">
        <v>156</v>
      </c>
      <c r="C209" s="321"/>
      <c r="D209" s="323" t="s">
        <v>157</v>
      </c>
      <c r="E209" s="105">
        <v>129</v>
      </c>
      <c r="F209" s="6"/>
      <c r="G209" s="6"/>
      <c r="H209" s="6"/>
      <c r="I209" s="463">
        <f t="shared" ref="I209:L210" si="44">($E209+$G209)*I$3</f>
        <v>28.924379999999999</v>
      </c>
      <c r="J209" s="463">
        <f t="shared" si="44"/>
        <v>15.24522</v>
      </c>
      <c r="K209" s="463">
        <f t="shared" si="44"/>
        <v>11.068200000000001</v>
      </c>
      <c r="L209" s="463">
        <f t="shared" si="44"/>
        <v>9.1267499999999995</v>
      </c>
    </row>
    <row r="210" spans="1:12" s="30" customFormat="1" ht="14.5" x14ac:dyDescent="0.35">
      <c r="A210" s="6"/>
      <c r="B210" s="322" t="s">
        <v>158</v>
      </c>
      <c r="C210" s="321"/>
      <c r="D210" s="323" t="s">
        <v>159</v>
      </c>
      <c r="E210" s="105">
        <v>200</v>
      </c>
      <c r="F210" s="6"/>
      <c r="G210" s="6"/>
      <c r="H210" s="6"/>
      <c r="I210" s="463">
        <f t="shared" si="44"/>
        <v>44.844000000000001</v>
      </c>
      <c r="J210" s="463">
        <f t="shared" si="44"/>
        <v>23.635999999999999</v>
      </c>
      <c r="K210" s="463">
        <f t="shared" si="44"/>
        <v>17.16</v>
      </c>
      <c r="L210" s="463">
        <f t="shared" si="44"/>
        <v>14.149999999999999</v>
      </c>
    </row>
    <row r="211" spans="1:12" s="30" customFormat="1" ht="14.5" x14ac:dyDescent="0.35">
      <c r="A211" s="6"/>
      <c r="B211" s="96"/>
      <c r="C211" s="95"/>
      <c r="D211" s="94"/>
      <c r="E211" s="95"/>
      <c r="F211" s="6"/>
      <c r="G211" s="6"/>
      <c r="H211" s="6"/>
    </row>
    <row r="212" spans="1:12" s="30" customFormat="1" ht="14.5" x14ac:dyDescent="0.35">
      <c r="A212" s="6"/>
      <c r="B212" s="167" t="s">
        <v>160</v>
      </c>
      <c r="C212" s="169"/>
      <c r="D212" s="94"/>
      <c r="E212" s="170"/>
      <c r="F212" s="6"/>
      <c r="G212" s="6"/>
      <c r="H212" s="6"/>
    </row>
    <row r="213" spans="1:12" s="30" customFormat="1" ht="14.5" x14ac:dyDescent="0.35">
      <c r="A213" s="6"/>
      <c r="B213" s="101" t="s">
        <v>1561</v>
      </c>
      <c r="C213" s="98" t="s">
        <v>1560</v>
      </c>
      <c r="D213" s="106" t="s">
        <v>161</v>
      </c>
      <c r="E213" s="115">
        <v>15</v>
      </c>
      <c r="F213" s="6"/>
      <c r="G213" s="6"/>
      <c r="H213" s="6"/>
      <c r="I213" s="463">
        <f t="shared" ref="I213:L218" si="45">($E213+$G213)*I$3</f>
        <v>3.3633000000000002</v>
      </c>
      <c r="J213" s="463">
        <f t="shared" si="45"/>
        <v>1.7726999999999999</v>
      </c>
      <c r="K213" s="463">
        <f t="shared" si="45"/>
        <v>1.2869999999999999</v>
      </c>
      <c r="L213" s="463">
        <f t="shared" si="45"/>
        <v>1.0612499999999998</v>
      </c>
    </row>
    <row r="214" spans="1:12" s="30" customFormat="1" ht="14.5" x14ac:dyDescent="0.35">
      <c r="A214" s="6"/>
      <c r="B214" s="101" t="s">
        <v>1567</v>
      </c>
      <c r="C214" s="98" t="s">
        <v>1568</v>
      </c>
      <c r="D214" s="106" t="s">
        <v>148</v>
      </c>
      <c r="E214" s="115">
        <v>31</v>
      </c>
      <c r="F214" s="6"/>
      <c r="G214" s="6"/>
      <c r="H214" s="6"/>
      <c r="I214" s="463">
        <f t="shared" si="45"/>
        <v>6.9508200000000002</v>
      </c>
      <c r="J214" s="463">
        <f t="shared" si="45"/>
        <v>3.6635799999999996</v>
      </c>
      <c r="K214" s="463">
        <f t="shared" si="45"/>
        <v>2.6598000000000002</v>
      </c>
      <c r="L214" s="463">
        <f t="shared" si="45"/>
        <v>2.1932499999999999</v>
      </c>
    </row>
    <row r="215" spans="1:12" s="30" customFormat="1" ht="14.5" x14ac:dyDescent="0.35">
      <c r="A215" s="6"/>
      <c r="B215" s="171" t="s">
        <v>1566</v>
      </c>
      <c r="C215" s="107" t="s">
        <v>1565</v>
      </c>
      <c r="D215" s="137" t="s">
        <v>162</v>
      </c>
      <c r="E215" s="115">
        <v>79</v>
      </c>
      <c r="F215" s="6"/>
      <c r="G215" s="6"/>
      <c r="H215" s="6"/>
      <c r="I215" s="463">
        <f t="shared" si="45"/>
        <v>17.713380000000001</v>
      </c>
      <c r="J215" s="463">
        <f t="shared" si="45"/>
        <v>9.3362199999999991</v>
      </c>
      <c r="K215" s="463">
        <f t="shared" si="45"/>
        <v>6.7782</v>
      </c>
      <c r="L215" s="463">
        <f t="shared" si="45"/>
        <v>5.5892499999999998</v>
      </c>
    </row>
    <row r="216" spans="1:12" s="30" customFormat="1" ht="14.5" x14ac:dyDescent="0.35">
      <c r="A216" s="6"/>
      <c r="B216" s="171" t="s">
        <v>1562</v>
      </c>
      <c r="C216" s="107" t="s">
        <v>1557</v>
      </c>
      <c r="D216" s="137" t="s">
        <v>149</v>
      </c>
      <c r="E216" s="115">
        <v>73</v>
      </c>
      <c r="F216" s="6"/>
      <c r="G216" s="6"/>
      <c r="H216" s="6"/>
      <c r="I216" s="463">
        <f t="shared" si="45"/>
        <v>16.36806</v>
      </c>
      <c r="J216" s="463">
        <f t="shared" si="45"/>
        <v>8.6271399999999989</v>
      </c>
      <c r="K216" s="463">
        <f t="shared" si="45"/>
        <v>6.2633999999999999</v>
      </c>
      <c r="L216" s="463">
        <f t="shared" si="45"/>
        <v>5.1647499999999997</v>
      </c>
    </row>
    <row r="217" spans="1:12" s="30" customFormat="1" ht="14.5" x14ac:dyDescent="0.35">
      <c r="A217" s="6"/>
      <c r="B217" s="101" t="s">
        <v>1563</v>
      </c>
      <c r="C217" s="98" t="s">
        <v>1558</v>
      </c>
      <c r="D217" s="106" t="s">
        <v>163</v>
      </c>
      <c r="E217" s="115">
        <v>46</v>
      </c>
      <c r="F217" s="6"/>
      <c r="G217" s="6"/>
      <c r="H217" s="6"/>
      <c r="I217" s="463">
        <f t="shared" si="45"/>
        <v>10.314120000000001</v>
      </c>
      <c r="J217" s="463">
        <f t="shared" si="45"/>
        <v>5.43628</v>
      </c>
      <c r="K217" s="463">
        <f t="shared" si="45"/>
        <v>3.9468000000000001</v>
      </c>
      <c r="L217" s="463">
        <f t="shared" si="45"/>
        <v>3.2544999999999997</v>
      </c>
    </row>
    <row r="218" spans="1:12" s="30" customFormat="1" ht="14.5" x14ac:dyDescent="0.35">
      <c r="A218" s="6"/>
      <c r="B218" s="101" t="s">
        <v>1564</v>
      </c>
      <c r="C218" s="98" t="s">
        <v>1559</v>
      </c>
      <c r="D218" s="106" t="s">
        <v>150</v>
      </c>
      <c r="E218" s="115">
        <v>77</v>
      </c>
      <c r="F218" s="6"/>
      <c r="G218" s="6"/>
      <c r="H218" s="6"/>
      <c r="I218" s="463">
        <f t="shared" si="45"/>
        <v>17.264939999999999</v>
      </c>
      <c r="J218" s="463">
        <f t="shared" si="45"/>
        <v>9.0998599999999996</v>
      </c>
      <c r="K218" s="463">
        <f t="shared" si="45"/>
        <v>6.6066000000000003</v>
      </c>
      <c r="L218" s="463">
        <f t="shared" si="45"/>
        <v>5.4477499999999992</v>
      </c>
    </row>
    <row r="219" spans="1:12" s="30" customFormat="1" ht="14.5" x14ac:dyDescent="0.35">
      <c r="A219" s="6"/>
      <c r="B219" s="96"/>
      <c r="C219" s="95"/>
      <c r="D219" s="94"/>
      <c r="E219" s="170"/>
      <c r="F219" s="6"/>
      <c r="G219" s="6"/>
      <c r="H219" s="6"/>
    </row>
    <row r="220" spans="1:12" x14ac:dyDescent="0.3">
      <c r="B220" s="168" t="s">
        <v>164</v>
      </c>
      <c r="C220" s="95"/>
      <c r="D220" s="94"/>
      <c r="E220" s="172"/>
    </row>
    <row r="221" spans="1:12" x14ac:dyDescent="0.3">
      <c r="B221" s="98" t="s">
        <v>165</v>
      </c>
      <c r="C221" s="98"/>
      <c r="D221" s="106" t="s">
        <v>166</v>
      </c>
      <c r="E221" s="105">
        <v>0</v>
      </c>
      <c r="I221" s="463">
        <f t="shared" ref="I221:L221" si="46">($E221+$G221)*I$3</f>
        <v>0</v>
      </c>
      <c r="J221" s="463">
        <f t="shared" si="46"/>
        <v>0</v>
      </c>
      <c r="K221" s="463">
        <f t="shared" si="46"/>
        <v>0</v>
      </c>
      <c r="L221" s="463">
        <f t="shared" si="46"/>
        <v>0</v>
      </c>
    </row>
    <row r="222" spans="1:12" s="30" customFormat="1" ht="14.5" x14ac:dyDescent="0.35">
      <c r="A222" s="6"/>
      <c r="B222" s="96"/>
      <c r="C222" s="95"/>
      <c r="D222" s="94"/>
      <c r="E222" s="94"/>
      <c r="F222" s="6"/>
      <c r="G222" s="6"/>
      <c r="H222" s="6"/>
    </row>
    <row r="223" spans="1:12" s="30" customFormat="1" ht="14.5" x14ac:dyDescent="0.35">
      <c r="A223" s="6"/>
      <c r="B223" s="168" t="s">
        <v>167</v>
      </c>
      <c r="C223" s="169"/>
      <c r="D223" s="94"/>
      <c r="E223" s="94"/>
      <c r="F223" s="6"/>
      <c r="G223" s="6"/>
      <c r="H223" s="6"/>
    </row>
    <row r="224" spans="1:12" s="30" customFormat="1" ht="14.5" x14ac:dyDescent="0.35">
      <c r="A224" s="6"/>
      <c r="B224" s="101" t="s">
        <v>1556</v>
      </c>
      <c r="C224" s="98"/>
      <c r="D224" s="106" t="s">
        <v>168</v>
      </c>
      <c r="E224" s="105">
        <v>19</v>
      </c>
      <c r="F224" s="6"/>
      <c r="G224" s="6"/>
      <c r="H224" s="6"/>
      <c r="I224" s="463">
        <f t="shared" ref="I224:L224" si="47">($E224+$G224)*I$3</f>
        <v>4.2601800000000001</v>
      </c>
      <c r="J224" s="463">
        <f t="shared" si="47"/>
        <v>2.2454199999999997</v>
      </c>
      <c r="K224" s="463">
        <f t="shared" si="47"/>
        <v>1.6302000000000001</v>
      </c>
      <c r="L224" s="463">
        <f t="shared" si="47"/>
        <v>1.3442499999999999</v>
      </c>
    </row>
    <row r="225" spans="1:12" s="30" customFormat="1" ht="14.5" x14ac:dyDescent="0.35">
      <c r="A225" s="6"/>
      <c r="B225" s="96"/>
      <c r="C225" s="95"/>
      <c r="D225" s="94"/>
      <c r="E225" s="95"/>
      <c r="F225" s="6"/>
      <c r="G225" s="6"/>
      <c r="H225" s="6"/>
    </row>
    <row r="226" spans="1:12" x14ac:dyDescent="0.3">
      <c r="B226" s="167" t="s">
        <v>1864</v>
      </c>
      <c r="C226" s="95"/>
      <c r="D226" s="94"/>
      <c r="E226" s="169"/>
    </row>
    <row r="227" spans="1:12" x14ac:dyDescent="0.3">
      <c r="B227" s="101" t="s">
        <v>1869</v>
      </c>
      <c r="C227" s="98"/>
      <c r="D227" s="106" t="s">
        <v>169</v>
      </c>
      <c r="E227" s="115">
        <v>19</v>
      </c>
      <c r="I227" s="463">
        <f t="shared" ref="I227:L229" si="48">($E227+$G227)*I$3</f>
        <v>4.2601800000000001</v>
      </c>
      <c r="J227" s="463">
        <f t="shared" si="48"/>
        <v>2.2454199999999997</v>
      </c>
      <c r="K227" s="463">
        <f t="shared" si="48"/>
        <v>1.6302000000000001</v>
      </c>
      <c r="L227" s="463">
        <f t="shared" si="48"/>
        <v>1.3442499999999999</v>
      </c>
    </row>
    <row r="228" spans="1:12" s="30" customFormat="1" ht="14.5" x14ac:dyDescent="0.35">
      <c r="A228" s="6"/>
      <c r="B228" s="101" t="s">
        <v>1870</v>
      </c>
      <c r="C228" s="98"/>
      <c r="D228" s="106" t="s">
        <v>170</v>
      </c>
      <c r="E228" s="115">
        <v>31</v>
      </c>
      <c r="F228" s="6"/>
      <c r="G228" s="6"/>
      <c r="H228" s="6"/>
      <c r="I228" s="463">
        <f t="shared" si="48"/>
        <v>6.9508200000000002</v>
      </c>
      <c r="J228" s="463">
        <f t="shared" si="48"/>
        <v>3.6635799999999996</v>
      </c>
      <c r="K228" s="463">
        <f t="shared" si="48"/>
        <v>2.6598000000000002</v>
      </c>
      <c r="L228" s="463">
        <f t="shared" si="48"/>
        <v>2.1932499999999999</v>
      </c>
    </row>
    <row r="229" spans="1:12" s="30" customFormat="1" ht="14.5" x14ac:dyDescent="0.35">
      <c r="A229" s="6"/>
      <c r="B229" s="101" t="s">
        <v>1872</v>
      </c>
      <c r="C229" s="98"/>
      <c r="D229" s="106" t="s">
        <v>171</v>
      </c>
      <c r="E229" s="115">
        <v>50</v>
      </c>
      <c r="F229" s="18"/>
      <c r="G229" s="18"/>
      <c r="H229" s="18"/>
      <c r="I229" s="463">
        <f t="shared" si="48"/>
        <v>11.211</v>
      </c>
      <c r="J229" s="463">
        <f t="shared" si="48"/>
        <v>5.9089999999999998</v>
      </c>
      <c r="K229" s="463">
        <f t="shared" si="48"/>
        <v>4.29</v>
      </c>
      <c r="L229" s="463">
        <f t="shared" si="48"/>
        <v>3.5374999999999996</v>
      </c>
    </row>
    <row r="230" spans="1:12" s="30" customFormat="1" ht="14.5" x14ac:dyDescent="0.35">
      <c r="A230" s="6"/>
      <c r="B230" s="96"/>
      <c r="C230" s="173"/>
      <c r="D230" s="94"/>
      <c r="E230" s="95"/>
      <c r="F230" s="6"/>
      <c r="G230" s="6"/>
      <c r="H230" s="6"/>
    </row>
    <row r="231" spans="1:12" s="30" customFormat="1" ht="14.5" x14ac:dyDescent="0.35">
      <c r="A231" s="6"/>
      <c r="B231" s="168" t="s">
        <v>1330</v>
      </c>
      <c r="C231" s="169"/>
      <c r="D231" s="94"/>
      <c r="E231" s="169"/>
      <c r="F231" s="6"/>
      <c r="G231" s="6"/>
      <c r="H231" s="6"/>
    </row>
    <row r="232" spans="1:12" s="30" customFormat="1" ht="14.5" x14ac:dyDescent="0.35">
      <c r="A232" s="6"/>
      <c r="B232" s="101" t="s">
        <v>1879</v>
      </c>
      <c r="C232" s="101"/>
      <c r="D232" s="106" t="s">
        <v>1580</v>
      </c>
      <c r="E232" s="105">
        <v>88</v>
      </c>
      <c r="F232" s="6"/>
      <c r="G232" s="6"/>
      <c r="H232" s="6"/>
      <c r="I232" s="463">
        <f t="shared" ref="I232:L233" si="49">($E232+$G232)*I$3</f>
        <v>19.731359999999999</v>
      </c>
      <c r="J232" s="463">
        <f t="shared" si="49"/>
        <v>10.399839999999999</v>
      </c>
      <c r="K232" s="463">
        <f t="shared" si="49"/>
        <v>7.5503999999999998</v>
      </c>
      <c r="L232" s="463">
        <f t="shared" si="49"/>
        <v>6.2259999999999991</v>
      </c>
    </row>
    <row r="233" spans="1:12" s="30" customFormat="1" ht="14.5" x14ac:dyDescent="0.35">
      <c r="A233" s="6"/>
      <c r="B233" s="107" t="s">
        <v>1878</v>
      </c>
      <c r="C233" s="101"/>
      <c r="D233" s="106" t="s">
        <v>197</v>
      </c>
      <c r="E233" s="105">
        <v>116</v>
      </c>
      <c r="F233" s="6"/>
      <c r="G233" s="6"/>
      <c r="H233" s="6"/>
      <c r="I233" s="463">
        <f t="shared" si="49"/>
        <v>26.009520000000002</v>
      </c>
      <c r="J233" s="463">
        <f t="shared" si="49"/>
        <v>13.708879999999999</v>
      </c>
      <c r="K233" s="463">
        <f t="shared" si="49"/>
        <v>9.9527999999999999</v>
      </c>
      <c r="L233" s="463">
        <f t="shared" si="49"/>
        <v>8.206999999999999</v>
      </c>
    </row>
    <row r="234" spans="1:12" s="30" customFormat="1" ht="14.5" x14ac:dyDescent="0.35">
      <c r="A234" s="6"/>
      <c r="B234" s="96"/>
      <c r="C234" s="95"/>
      <c r="D234" s="94"/>
      <c r="E234" s="95"/>
      <c r="F234" s="6"/>
      <c r="G234" s="6"/>
      <c r="H234" s="6"/>
    </row>
    <row r="235" spans="1:12" s="30" customFormat="1" ht="14.5" x14ac:dyDescent="0.35">
      <c r="A235" s="6"/>
      <c r="B235" s="167" t="s">
        <v>62</v>
      </c>
      <c r="C235" s="169"/>
      <c r="D235" s="156"/>
      <c r="E235" s="169"/>
      <c r="F235" s="6"/>
      <c r="G235" s="6"/>
      <c r="H235" s="6"/>
    </row>
    <row r="236" spans="1:12" s="30" customFormat="1" ht="14.5" x14ac:dyDescent="0.35">
      <c r="A236" s="6"/>
      <c r="B236" s="174" t="s">
        <v>65</v>
      </c>
      <c r="C236" s="175"/>
      <c r="D236" s="106" t="s">
        <v>66</v>
      </c>
      <c r="E236" s="105">
        <v>15</v>
      </c>
      <c r="F236" s="6"/>
      <c r="G236" s="6"/>
      <c r="H236" s="6"/>
      <c r="I236" s="463">
        <f t="shared" ref="I236:L236" si="50">($E236+$G236)*I$3</f>
        <v>3.3633000000000002</v>
      </c>
      <c r="J236" s="463">
        <f t="shared" si="50"/>
        <v>1.7726999999999999</v>
      </c>
      <c r="K236" s="463">
        <f t="shared" si="50"/>
        <v>1.2869999999999999</v>
      </c>
      <c r="L236" s="463">
        <f t="shared" si="50"/>
        <v>1.0612499999999998</v>
      </c>
    </row>
    <row r="237" spans="1:12" s="140" customFormat="1" ht="14.5" x14ac:dyDescent="0.35">
      <c r="A237" s="97"/>
      <c r="B237" s="96"/>
      <c r="C237" s="173"/>
      <c r="D237" s="94"/>
      <c r="E237" s="176"/>
      <c r="F237" s="97"/>
      <c r="G237" s="97"/>
      <c r="H237" s="97"/>
    </row>
    <row r="238" spans="1:12" s="97" customFormat="1" x14ac:dyDescent="0.3">
      <c r="B238" s="96"/>
      <c r="C238" s="95"/>
      <c r="D238" s="94"/>
      <c r="E238" s="170"/>
    </row>
    <row r="239" spans="1:12" s="30" customFormat="1" ht="14.5" x14ac:dyDescent="0.35">
      <c r="A239" s="6"/>
      <c r="B239" s="449" t="s">
        <v>1637</v>
      </c>
      <c r="C239" s="450"/>
      <c r="D239" s="452"/>
      <c r="E239" s="444"/>
      <c r="F239" s="443"/>
      <c r="G239" s="443"/>
      <c r="H239" s="6"/>
    </row>
    <row r="240" spans="1:12" s="30" customFormat="1" ht="14.5" x14ac:dyDescent="0.35">
      <c r="A240" s="6"/>
      <c r="B240" s="154" t="s">
        <v>1505</v>
      </c>
      <c r="C240" s="155"/>
      <c r="D240" s="9"/>
      <c r="E240" s="9"/>
      <c r="F240" s="6"/>
      <c r="G240" s="6"/>
      <c r="H240" s="6"/>
    </row>
    <row r="241" spans="1:12" s="30" customFormat="1" ht="14.5" x14ac:dyDescent="0.35">
      <c r="A241" s="6"/>
      <c r="B241" s="230" t="s">
        <v>1722</v>
      </c>
      <c r="C241" s="389"/>
      <c r="D241" s="390" t="s">
        <v>143</v>
      </c>
      <c r="E241" s="388">
        <v>166</v>
      </c>
      <c r="F241" s="6"/>
      <c r="G241" s="6"/>
      <c r="H241" s="6"/>
      <c r="I241" s="463">
        <f t="shared" ref="I241:L247" si="51">($E241+$G241)*I$3</f>
        <v>37.22052</v>
      </c>
      <c r="J241" s="463">
        <f t="shared" si="51"/>
        <v>19.61788</v>
      </c>
      <c r="K241" s="463">
        <f t="shared" si="51"/>
        <v>14.242800000000001</v>
      </c>
      <c r="L241" s="463">
        <f t="shared" si="51"/>
        <v>11.744499999999999</v>
      </c>
    </row>
    <row r="242" spans="1:12" s="30" customFormat="1" ht="14.5" x14ac:dyDescent="0.35">
      <c r="A242" s="6"/>
      <c r="B242" s="230" t="s">
        <v>1723</v>
      </c>
      <c r="C242" s="389"/>
      <c r="D242" s="390" t="s">
        <v>1859</v>
      </c>
      <c r="E242" s="388">
        <v>341</v>
      </c>
      <c r="F242" s="6"/>
      <c r="G242" s="6"/>
      <c r="H242" s="6"/>
      <c r="I242" s="463">
        <f t="shared" si="51"/>
        <v>76.459019999999995</v>
      </c>
      <c r="J242" s="463">
        <f t="shared" si="51"/>
        <v>40.299379999999999</v>
      </c>
      <c r="K242" s="463">
        <f t="shared" si="51"/>
        <v>29.2578</v>
      </c>
      <c r="L242" s="463">
        <f t="shared" si="51"/>
        <v>24.125749999999996</v>
      </c>
    </row>
    <row r="243" spans="1:12" s="30" customFormat="1" ht="14.5" x14ac:dyDescent="0.35">
      <c r="A243" s="6"/>
      <c r="B243" s="230" t="s">
        <v>1728</v>
      </c>
      <c r="C243" s="389"/>
      <c r="D243" s="390" t="s">
        <v>1860</v>
      </c>
      <c r="E243" s="388">
        <v>607</v>
      </c>
      <c r="I243" s="463">
        <f t="shared" si="51"/>
        <v>136.10154</v>
      </c>
      <c r="J243" s="463">
        <f t="shared" si="51"/>
        <v>71.735259999999997</v>
      </c>
      <c r="K243" s="463">
        <f t="shared" si="51"/>
        <v>52.080600000000004</v>
      </c>
      <c r="L243" s="463">
        <f t="shared" si="51"/>
        <v>42.945249999999994</v>
      </c>
    </row>
    <row r="244" spans="1:12" s="30" customFormat="1" ht="14.5" x14ac:dyDescent="0.35">
      <c r="A244" s="6"/>
      <c r="B244" s="230" t="s">
        <v>1727</v>
      </c>
      <c r="C244" s="389"/>
      <c r="D244" s="390" t="s">
        <v>1861</v>
      </c>
      <c r="E244" s="388">
        <v>620</v>
      </c>
      <c r="I244" s="463">
        <f t="shared" si="51"/>
        <v>139.0164</v>
      </c>
      <c r="J244" s="463">
        <f t="shared" si="51"/>
        <v>73.271599999999992</v>
      </c>
      <c r="K244" s="463">
        <f t="shared" si="51"/>
        <v>53.195999999999998</v>
      </c>
      <c r="L244" s="463">
        <f t="shared" si="51"/>
        <v>43.864999999999995</v>
      </c>
    </row>
    <row r="245" spans="1:12" s="30" customFormat="1" ht="14.5" x14ac:dyDescent="0.35">
      <c r="A245" s="6"/>
      <c r="B245" s="230" t="s">
        <v>1724</v>
      </c>
      <c r="C245" s="389"/>
      <c r="D245" s="390" t="s">
        <v>1862</v>
      </c>
      <c r="E245" s="388">
        <v>361</v>
      </c>
      <c r="I245" s="463">
        <f t="shared" si="51"/>
        <v>80.943420000000003</v>
      </c>
      <c r="J245" s="463">
        <f t="shared" si="51"/>
        <v>42.662979999999997</v>
      </c>
      <c r="K245" s="463">
        <f t="shared" si="51"/>
        <v>30.973800000000001</v>
      </c>
      <c r="L245" s="463">
        <f t="shared" si="51"/>
        <v>25.540749999999999</v>
      </c>
    </row>
    <row r="246" spans="1:12" s="30" customFormat="1" ht="14.5" x14ac:dyDescent="0.35">
      <c r="A246" s="6"/>
      <c r="B246" s="230" t="s">
        <v>1725</v>
      </c>
      <c r="C246" s="389"/>
      <c r="D246" s="390" t="s">
        <v>144</v>
      </c>
      <c r="E246" s="388">
        <v>815</v>
      </c>
      <c r="I246" s="463">
        <f t="shared" si="51"/>
        <v>182.73930000000001</v>
      </c>
      <c r="J246" s="463">
        <f t="shared" si="51"/>
        <v>96.316699999999997</v>
      </c>
      <c r="K246" s="463">
        <f t="shared" si="51"/>
        <v>69.927000000000007</v>
      </c>
      <c r="L246" s="463">
        <f t="shared" si="51"/>
        <v>57.661249999999995</v>
      </c>
    </row>
    <row r="247" spans="1:12" s="30" customFormat="1" ht="14.5" x14ac:dyDescent="0.35">
      <c r="A247" s="6"/>
      <c r="B247" s="230" t="s">
        <v>1726</v>
      </c>
      <c r="C247" s="389"/>
      <c r="D247" s="390" t="s">
        <v>146</v>
      </c>
      <c r="E247" s="388">
        <v>1081</v>
      </c>
      <c r="I247" s="463">
        <f t="shared" si="51"/>
        <v>242.38182</v>
      </c>
      <c r="J247" s="463">
        <f t="shared" si="51"/>
        <v>127.75257999999999</v>
      </c>
      <c r="K247" s="463">
        <f t="shared" si="51"/>
        <v>92.749800000000008</v>
      </c>
      <c r="L247" s="463">
        <f t="shared" si="51"/>
        <v>76.480749999999986</v>
      </c>
    </row>
    <row r="248" spans="1:12" s="30" customFormat="1" ht="14.5" x14ac:dyDescent="0.35">
      <c r="A248" s="6"/>
      <c r="B248" s="95"/>
      <c r="C248" s="95"/>
      <c r="D248" s="94"/>
      <c r="E248" s="94"/>
    </row>
    <row r="249" spans="1:12" s="30" customFormat="1" ht="14.5" x14ac:dyDescent="0.35">
      <c r="A249" s="6"/>
      <c r="B249" s="177" t="s">
        <v>42</v>
      </c>
      <c r="C249" s="169"/>
      <c r="D249" s="169"/>
      <c r="E249" s="169"/>
    </row>
    <row r="250" spans="1:12" s="30" customFormat="1" ht="14.5" x14ac:dyDescent="0.35">
      <c r="A250" s="6"/>
      <c r="B250" s="389" t="s">
        <v>151</v>
      </c>
      <c r="C250" s="389"/>
      <c r="D250" s="390" t="s">
        <v>152</v>
      </c>
      <c r="E250" s="388">
        <v>72</v>
      </c>
      <c r="I250" s="463">
        <f t="shared" ref="I250:L251" si="52">($E250+$G250)*I$3</f>
        <v>16.143840000000001</v>
      </c>
      <c r="J250" s="463">
        <f t="shared" si="52"/>
        <v>8.5089600000000001</v>
      </c>
      <c r="K250" s="463">
        <f t="shared" si="52"/>
        <v>6.1776</v>
      </c>
      <c r="L250" s="463">
        <f t="shared" si="52"/>
        <v>5.0939999999999994</v>
      </c>
    </row>
    <row r="251" spans="1:12" s="30" customFormat="1" ht="14.5" x14ac:dyDescent="0.35">
      <c r="A251" s="6"/>
      <c r="B251" s="389" t="s">
        <v>153</v>
      </c>
      <c r="C251" s="389"/>
      <c r="D251" s="390" t="s">
        <v>154</v>
      </c>
      <c r="E251" s="388">
        <v>310</v>
      </c>
      <c r="I251" s="463">
        <f t="shared" si="52"/>
        <v>69.508200000000002</v>
      </c>
      <c r="J251" s="463">
        <f t="shared" si="52"/>
        <v>36.635799999999996</v>
      </c>
      <c r="K251" s="463">
        <f t="shared" si="52"/>
        <v>26.597999999999999</v>
      </c>
      <c r="L251" s="463">
        <f t="shared" si="52"/>
        <v>21.932499999999997</v>
      </c>
    </row>
    <row r="252" spans="1:12" s="30" customFormat="1" ht="14.5" x14ac:dyDescent="0.35">
      <c r="A252" s="6"/>
      <c r="B252" s="95"/>
      <c r="C252" s="95"/>
      <c r="D252" s="95"/>
      <c r="E252" s="95"/>
    </row>
    <row r="253" spans="1:12" s="30" customFormat="1" ht="14.5" x14ac:dyDescent="0.35">
      <c r="A253" s="6"/>
      <c r="B253" s="177" t="s">
        <v>160</v>
      </c>
      <c r="C253" s="169"/>
      <c r="D253" s="169"/>
      <c r="E253" s="169"/>
    </row>
    <row r="254" spans="1:12" s="30" customFormat="1" ht="14.5" x14ac:dyDescent="0.35">
      <c r="A254" s="6"/>
      <c r="B254" s="213" t="s">
        <v>1867</v>
      </c>
      <c r="C254" s="230"/>
      <c r="D254" s="219" t="s">
        <v>1512</v>
      </c>
      <c r="E254" s="388">
        <v>169</v>
      </c>
      <c r="I254" s="463">
        <f t="shared" ref="I254:L254" si="53">($E254+$G254)*I$3</f>
        <v>37.893180000000001</v>
      </c>
      <c r="J254" s="463">
        <f t="shared" si="53"/>
        <v>19.97242</v>
      </c>
      <c r="K254" s="463">
        <f t="shared" si="53"/>
        <v>14.5002</v>
      </c>
      <c r="L254" s="463">
        <f t="shared" si="53"/>
        <v>11.95675</v>
      </c>
    </row>
    <row r="255" spans="1:12" s="30" customFormat="1" ht="14.5" x14ac:dyDescent="0.35">
      <c r="A255" s="6"/>
      <c r="B255" s="95"/>
      <c r="C255" s="95"/>
      <c r="D255" s="95"/>
      <c r="E255" s="95"/>
    </row>
    <row r="256" spans="1:12" s="30" customFormat="1" ht="14.5" x14ac:dyDescent="0.35">
      <c r="A256" s="6"/>
      <c r="B256" s="169" t="s">
        <v>164</v>
      </c>
      <c r="C256" s="169"/>
      <c r="D256" s="169"/>
      <c r="E256" s="169"/>
    </row>
    <row r="257" spans="1:12" s="30" customFormat="1" ht="14.5" x14ac:dyDescent="0.35">
      <c r="A257" s="6"/>
      <c r="B257" s="230" t="s">
        <v>165</v>
      </c>
      <c r="C257" s="230"/>
      <c r="D257" s="219" t="s">
        <v>166</v>
      </c>
      <c r="E257" s="388">
        <v>0</v>
      </c>
      <c r="I257" s="463">
        <f t="shared" ref="I257:L257" si="54">($E257+$G257)*I$3</f>
        <v>0</v>
      </c>
      <c r="J257" s="463">
        <f t="shared" si="54"/>
        <v>0</v>
      </c>
      <c r="K257" s="463">
        <f t="shared" si="54"/>
        <v>0</v>
      </c>
      <c r="L257" s="463">
        <f t="shared" si="54"/>
        <v>0</v>
      </c>
    </row>
    <row r="258" spans="1:12" s="30" customFormat="1" ht="14.5" x14ac:dyDescent="0.35">
      <c r="A258" s="6"/>
      <c r="B258" s="95"/>
      <c r="C258" s="95"/>
      <c r="D258" s="95"/>
      <c r="E258" s="95"/>
    </row>
    <row r="259" spans="1:12" s="30" customFormat="1" ht="14.5" x14ac:dyDescent="0.35">
      <c r="A259" s="6"/>
      <c r="B259" s="167" t="s">
        <v>1865</v>
      </c>
      <c r="C259" s="95"/>
      <c r="D259" s="94"/>
      <c r="E259" s="169"/>
    </row>
    <row r="260" spans="1:12" s="30" customFormat="1" ht="14.5" x14ac:dyDescent="0.35">
      <c r="A260" s="6"/>
      <c r="B260" s="101" t="s">
        <v>1873</v>
      </c>
      <c r="C260" s="98"/>
      <c r="D260" s="106" t="s">
        <v>194</v>
      </c>
      <c r="E260" s="105">
        <v>37</v>
      </c>
      <c r="I260" s="463">
        <f t="shared" ref="I260:L260" si="55">($E260+$G260)*I$3</f>
        <v>8.2961399999999994</v>
      </c>
      <c r="J260" s="463">
        <f t="shared" si="55"/>
        <v>4.3726599999999998</v>
      </c>
      <c r="K260" s="463">
        <f t="shared" si="55"/>
        <v>3.1745999999999999</v>
      </c>
      <c r="L260" s="463">
        <f t="shared" si="55"/>
        <v>2.6177499999999996</v>
      </c>
    </row>
    <row r="261" spans="1:12" s="30" customFormat="1" ht="14.5" x14ac:dyDescent="0.35">
      <c r="A261" s="6"/>
      <c r="B261" s="95"/>
      <c r="C261" s="95"/>
      <c r="D261" s="95"/>
      <c r="E261" s="95"/>
      <c r="F261" s="6"/>
      <c r="G261" s="6"/>
      <c r="H261" s="6"/>
    </row>
    <row r="262" spans="1:12" s="30" customFormat="1" ht="14.5" x14ac:dyDescent="0.35">
      <c r="A262" s="6"/>
      <c r="B262" s="177" t="s">
        <v>62</v>
      </c>
      <c r="C262" s="169"/>
      <c r="D262" s="169"/>
      <c r="E262" s="169"/>
      <c r="F262" s="6"/>
      <c r="G262" s="6"/>
      <c r="H262" s="6"/>
    </row>
    <row r="263" spans="1:12" s="30" customFormat="1" ht="14.5" x14ac:dyDescent="0.35">
      <c r="A263" s="6"/>
      <c r="B263" s="391" t="s">
        <v>65</v>
      </c>
      <c r="C263" s="392"/>
      <c r="D263" s="219" t="s">
        <v>66</v>
      </c>
      <c r="E263" s="315">
        <v>15</v>
      </c>
      <c r="F263" s="6"/>
      <c r="G263" s="6"/>
      <c r="H263" s="6"/>
      <c r="I263" s="463">
        <f t="shared" ref="I263:L263" si="56">($E263+$G263)*I$3</f>
        <v>3.3633000000000002</v>
      </c>
      <c r="J263" s="463">
        <f t="shared" si="56"/>
        <v>1.7726999999999999</v>
      </c>
      <c r="K263" s="463">
        <f t="shared" si="56"/>
        <v>1.2869999999999999</v>
      </c>
      <c r="L263" s="463">
        <f t="shared" si="56"/>
        <v>1.0612499999999998</v>
      </c>
    </row>
    <row r="264" spans="1:12" s="30" customFormat="1" ht="14.5" x14ac:dyDescent="0.35">
      <c r="A264" s="6"/>
      <c r="B264" s="8"/>
      <c r="C264" s="8"/>
      <c r="D264" s="8"/>
      <c r="E264" s="8"/>
      <c r="F264" s="6"/>
      <c r="G264" s="6"/>
      <c r="H264" s="6"/>
    </row>
    <row r="265" spans="1:12" s="97" customFormat="1" x14ac:dyDescent="0.3">
      <c r="B265" s="181"/>
      <c r="C265" s="181"/>
      <c r="D265" s="183"/>
      <c r="E265" s="184"/>
    </row>
    <row r="266" spans="1:12" x14ac:dyDescent="0.3">
      <c r="B266" s="449" t="s">
        <v>1739</v>
      </c>
      <c r="C266" s="450"/>
      <c r="D266" s="452"/>
      <c r="E266" s="444"/>
      <c r="F266" s="443"/>
      <c r="G266" s="443"/>
    </row>
    <row r="267" spans="1:12" x14ac:dyDescent="0.3">
      <c r="B267" s="154" t="s">
        <v>34</v>
      </c>
      <c r="C267" s="155"/>
      <c r="E267" s="149"/>
    </row>
    <row r="268" spans="1:12" x14ac:dyDescent="0.3">
      <c r="B268" s="101" t="s">
        <v>1775</v>
      </c>
      <c r="C268" s="98"/>
      <c r="D268" s="106" t="s">
        <v>180</v>
      </c>
      <c r="E268" s="315">
        <v>194</v>
      </c>
      <c r="I268" s="463">
        <f t="shared" ref="I268:L268" si="57">($E268+$G268)*I$3</f>
        <v>43.49868</v>
      </c>
      <c r="J268" s="463">
        <f t="shared" si="57"/>
        <v>22.926919999999999</v>
      </c>
      <c r="K268" s="463">
        <f t="shared" si="57"/>
        <v>16.645199999999999</v>
      </c>
      <c r="L268" s="463">
        <f t="shared" si="57"/>
        <v>13.725499999999998</v>
      </c>
    </row>
    <row r="269" spans="1:12" x14ac:dyDescent="0.3">
      <c r="B269" s="167"/>
      <c r="C269" s="169"/>
      <c r="D269" s="94"/>
      <c r="E269" s="170"/>
    </row>
    <row r="270" spans="1:12" x14ac:dyDescent="0.3">
      <c r="B270" s="167" t="s">
        <v>39</v>
      </c>
      <c r="C270" s="168"/>
      <c r="D270" s="94"/>
      <c r="E270" s="170"/>
    </row>
    <row r="271" spans="1:12" x14ac:dyDescent="0.3">
      <c r="B271" s="101" t="s">
        <v>1765</v>
      </c>
      <c r="C271" s="98"/>
      <c r="D271" s="106" t="s">
        <v>182</v>
      </c>
      <c r="E271" s="315">
        <v>117</v>
      </c>
      <c r="I271" s="463">
        <f t="shared" ref="I271:L272" si="58">($E271+$G271)*I$3</f>
        <v>26.233740000000001</v>
      </c>
      <c r="J271" s="463">
        <f t="shared" si="58"/>
        <v>13.827059999999999</v>
      </c>
      <c r="K271" s="463">
        <f t="shared" si="58"/>
        <v>10.038600000000001</v>
      </c>
      <c r="L271" s="463">
        <f t="shared" si="58"/>
        <v>8.2777499999999993</v>
      </c>
    </row>
    <row r="272" spans="1:12" x14ac:dyDescent="0.3">
      <c r="B272" s="101" t="s">
        <v>1766</v>
      </c>
      <c r="C272" s="98"/>
      <c r="D272" s="106" t="s">
        <v>183</v>
      </c>
      <c r="E272" s="315">
        <v>397</v>
      </c>
      <c r="I272" s="463">
        <f t="shared" si="58"/>
        <v>89.015339999999995</v>
      </c>
      <c r="J272" s="463">
        <f t="shared" si="58"/>
        <v>46.917459999999998</v>
      </c>
      <c r="K272" s="463">
        <f t="shared" si="58"/>
        <v>34.062600000000003</v>
      </c>
      <c r="L272" s="463">
        <f t="shared" si="58"/>
        <v>28.087749999999996</v>
      </c>
    </row>
    <row r="273" spans="2:12" x14ac:dyDescent="0.3">
      <c r="B273" s="167" t="s">
        <v>1341</v>
      </c>
      <c r="C273" s="168"/>
      <c r="D273" s="94"/>
      <c r="E273" s="170"/>
    </row>
    <row r="274" spans="2:12" x14ac:dyDescent="0.3">
      <c r="B274" s="393" t="s">
        <v>1772</v>
      </c>
      <c r="C274" s="394"/>
      <c r="D274" s="395" t="s">
        <v>184</v>
      </c>
      <c r="E274" s="342">
        <v>215</v>
      </c>
      <c r="F274" s="180"/>
      <c r="G274" s="180"/>
      <c r="H274" s="180"/>
      <c r="I274" s="463">
        <f t="shared" ref="I274:L275" si="59">($E274+$G274)*I$3</f>
        <v>48.207300000000004</v>
      </c>
      <c r="J274" s="463">
        <f t="shared" si="59"/>
        <v>25.4087</v>
      </c>
      <c r="K274" s="463">
        <f t="shared" si="59"/>
        <v>18.446999999999999</v>
      </c>
      <c r="L274" s="463">
        <f t="shared" si="59"/>
        <v>15.211249999999998</v>
      </c>
    </row>
    <row r="275" spans="2:12" x14ac:dyDescent="0.3">
      <c r="B275" s="393" t="s">
        <v>1771</v>
      </c>
      <c r="C275" s="394"/>
      <c r="D275" s="395" t="s">
        <v>1792</v>
      </c>
      <c r="E275" s="342">
        <v>547</v>
      </c>
      <c r="F275" s="180"/>
      <c r="G275" s="180"/>
      <c r="H275" s="180"/>
      <c r="I275" s="463">
        <f t="shared" si="59"/>
        <v>122.64834</v>
      </c>
      <c r="J275" s="463">
        <f t="shared" si="59"/>
        <v>64.644459999999995</v>
      </c>
      <c r="K275" s="463">
        <f t="shared" si="59"/>
        <v>46.932600000000001</v>
      </c>
      <c r="L275" s="463">
        <f t="shared" si="59"/>
        <v>38.700249999999997</v>
      </c>
    </row>
    <row r="276" spans="2:12" x14ac:dyDescent="0.3">
      <c r="B276" s="167" t="s">
        <v>1391</v>
      </c>
      <c r="C276" s="168"/>
      <c r="D276" s="94"/>
      <c r="E276" s="170"/>
    </row>
    <row r="277" spans="2:12" x14ac:dyDescent="0.3">
      <c r="B277" s="101" t="s">
        <v>1392</v>
      </c>
      <c r="C277" s="98"/>
      <c r="D277" s="106" t="s">
        <v>181</v>
      </c>
      <c r="E277" s="315">
        <v>34</v>
      </c>
      <c r="I277" s="463">
        <f>($E277+$G277)*I$3</f>
        <v>7.6234799999999998</v>
      </c>
      <c r="J277" s="463">
        <f t="shared" ref="I277:L280" si="60">($E277+$G277)*J$3</f>
        <v>4.0181199999999997</v>
      </c>
      <c r="K277" s="463">
        <f t="shared" si="60"/>
        <v>2.9172000000000002</v>
      </c>
      <c r="L277" s="463">
        <f t="shared" si="60"/>
        <v>2.4055</v>
      </c>
    </row>
    <row r="278" spans="2:12" x14ac:dyDescent="0.3">
      <c r="B278" s="101" t="s">
        <v>1731</v>
      </c>
      <c r="C278" s="98"/>
      <c r="D278" s="106" t="s">
        <v>1297</v>
      </c>
      <c r="E278" s="315">
        <v>220</v>
      </c>
      <c r="I278" s="463">
        <f t="shared" si="60"/>
        <v>49.328400000000002</v>
      </c>
      <c r="J278" s="463">
        <f t="shared" si="60"/>
        <v>25.999599999999997</v>
      </c>
      <c r="K278" s="463">
        <f t="shared" si="60"/>
        <v>18.876000000000001</v>
      </c>
      <c r="L278" s="463">
        <f t="shared" si="60"/>
        <v>15.564999999999998</v>
      </c>
    </row>
    <row r="279" spans="2:12" x14ac:dyDescent="0.3">
      <c r="B279" s="101" t="s">
        <v>1732</v>
      </c>
      <c r="C279" s="98"/>
      <c r="D279" s="106" t="s">
        <v>1393</v>
      </c>
      <c r="E279" s="315">
        <v>443</v>
      </c>
      <c r="I279" s="463">
        <f t="shared" si="60"/>
        <v>99.329459999999997</v>
      </c>
      <c r="J279" s="463">
        <f t="shared" si="60"/>
        <v>52.353739999999995</v>
      </c>
      <c r="K279" s="463">
        <f t="shared" si="60"/>
        <v>38.009399999999999</v>
      </c>
      <c r="L279" s="463">
        <f t="shared" si="60"/>
        <v>31.342249999999996</v>
      </c>
    </row>
    <row r="280" spans="2:12" x14ac:dyDescent="0.3">
      <c r="B280" s="101" t="s">
        <v>1733</v>
      </c>
      <c r="C280" s="98"/>
      <c r="D280" s="106" t="s">
        <v>1394</v>
      </c>
      <c r="E280" s="315">
        <v>993</v>
      </c>
      <c r="I280" s="463">
        <f>($E280+$G280)*I$3</f>
        <v>222.65046000000001</v>
      </c>
      <c r="J280" s="463">
        <f t="shared" si="60"/>
        <v>117.35274</v>
      </c>
      <c r="K280" s="463">
        <f t="shared" si="60"/>
        <v>85.199399999999997</v>
      </c>
      <c r="L280" s="463">
        <f t="shared" si="60"/>
        <v>70.254749999999987</v>
      </c>
    </row>
    <row r="281" spans="2:12" x14ac:dyDescent="0.3">
      <c r="B281" s="96"/>
      <c r="C281" s="95"/>
      <c r="D281" s="94"/>
      <c r="E281" s="170"/>
    </row>
    <row r="282" spans="2:12" x14ac:dyDescent="0.3">
      <c r="B282" s="167" t="s">
        <v>42</v>
      </c>
      <c r="C282" s="169"/>
      <c r="D282" s="94"/>
      <c r="E282" s="170"/>
    </row>
    <row r="283" spans="2:12" x14ac:dyDescent="0.3">
      <c r="B283" s="101" t="s">
        <v>1395</v>
      </c>
      <c r="C283" s="98"/>
      <c r="D283" s="106" t="s">
        <v>152</v>
      </c>
      <c r="E283" s="315">
        <v>72</v>
      </c>
      <c r="I283" s="463">
        <f t="shared" ref="I283:L285" si="61">($E283+$G283)*I$3</f>
        <v>16.143840000000001</v>
      </c>
      <c r="J283" s="463">
        <f t="shared" si="61"/>
        <v>8.5089600000000001</v>
      </c>
      <c r="K283" s="463">
        <f t="shared" si="61"/>
        <v>6.1776</v>
      </c>
      <c r="L283" s="463">
        <f t="shared" si="61"/>
        <v>5.0939999999999994</v>
      </c>
    </row>
    <row r="284" spans="2:12" x14ac:dyDescent="0.3">
      <c r="B284" s="101" t="s">
        <v>1396</v>
      </c>
      <c r="C284" s="98"/>
      <c r="D284" s="106" t="s">
        <v>154</v>
      </c>
      <c r="E284" s="315">
        <v>310</v>
      </c>
      <c r="I284" s="463">
        <f t="shared" si="61"/>
        <v>69.508200000000002</v>
      </c>
      <c r="J284" s="463">
        <f t="shared" si="61"/>
        <v>36.635799999999996</v>
      </c>
      <c r="K284" s="463">
        <f t="shared" si="61"/>
        <v>26.597999999999999</v>
      </c>
      <c r="L284" s="463">
        <f t="shared" si="61"/>
        <v>21.932499999999997</v>
      </c>
    </row>
    <row r="285" spans="2:12" x14ac:dyDescent="0.3">
      <c r="B285" s="98" t="s">
        <v>1397</v>
      </c>
      <c r="C285" s="98"/>
      <c r="D285" s="106" t="s">
        <v>1398</v>
      </c>
      <c r="E285" s="315">
        <v>713</v>
      </c>
      <c r="I285" s="463">
        <f t="shared" si="61"/>
        <v>159.86886000000001</v>
      </c>
      <c r="J285" s="463">
        <f t="shared" si="61"/>
        <v>84.262339999999995</v>
      </c>
      <c r="K285" s="463">
        <f t="shared" si="61"/>
        <v>61.175400000000003</v>
      </c>
      <c r="L285" s="463">
        <f t="shared" si="61"/>
        <v>50.444749999999992</v>
      </c>
    </row>
    <row r="286" spans="2:12" x14ac:dyDescent="0.3">
      <c r="B286" s="268"/>
      <c r="C286" s="95"/>
      <c r="D286" s="94"/>
      <c r="E286" s="170"/>
    </row>
    <row r="287" spans="2:12" x14ac:dyDescent="0.3">
      <c r="B287" s="167" t="s">
        <v>155</v>
      </c>
      <c r="C287" s="270"/>
      <c r="D287" s="94"/>
      <c r="E287" s="170"/>
    </row>
    <row r="288" spans="2:12" x14ac:dyDescent="0.3">
      <c r="B288" s="101" t="s">
        <v>1399</v>
      </c>
      <c r="C288" s="116"/>
      <c r="D288" s="106" t="s">
        <v>157</v>
      </c>
      <c r="E288" s="315">
        <v>129</v>
      </c>
      <c r="I288" s="463">
        <f t="shared" ref="I288:L291" si="62">($E288+$G288)*I$3</f>
        <v>28.924379999999999</v>
      </c>
      <c r="J288" s="463">
        <f t="shared" si="62"/>
        <v>15.24522</v>
      </c>
      <c r="K288" s="463">
        <f t="shared" si="62"/>
        <v>11.068200000000001</v>
      </c>
      <c r="L288" s="463">
        <f t="shared" si="62"/>
        <v>9.1267499999999995</v>
      </c>
    </row>
    <row r="289" spans="1:12" x14ac:dyDescent="0.3">
      <c r="B289" s="101" t="s">
        <v>1400</v>
      </c>
      <c r="C289" s="116"/>
      <c r="D289" s="106" t="s">
        <v>159</v>
      </c>
      <c r="E289" s="315">
        <v>200</v>
      </c>
      <c r="I289" s="463">
        <f t="shared" si="62"/>
        <v>44.844000000000001</v>
      </c>
      <c r="J289" s="463">
        <f t="shared" si="62"/>
        <v>23.635999999999999</v>
      </c>
      <c r="K289" s="463">
        <f t="shared" si="62"/>
        <v>17.16</v>
      </c>
      <c r="L289" s="463">
        <f t="shared" si="62"/>
        <v>14.149999999999999</v>
      </c>
    </row>
    <row r="290" spans="1:12" x14ac:dyDescent="0.3">
      <c r="B290" s="101" t="s">
        <v>1401</v>
      </c>
      <c r="C290" s="116"/>
      <c r="D290" s="106" t="s">
        <v>179</v>
      </c>
      <c r="E290" s="315">
        <v>438</v>
      </c>
      <c r="I290" s="463">
        <f t="shared" si="62"/>
        <v>98.208359999999999</v>
      </c>
      <c r="J290" s="463">
        <f t="shared" si="62"/>
        <v>51.762839999999997</v>
      </c>
      <c r="K290" s="463">
        <f t="shared" si="62"/>
        <v>37.580399999999997</v>
      </c>
      <c r="L290" s="463">
        <f t="shared" si="62"/>
        <v>30.988499999999998</v>
      </c>
    </row>
    <row r="291" spans="1:12" x14ac:dyDescent="0.3">
      <c r="B291" s="98" t="s">
        <v>1397</v>
      </c>
      <c r="C291" s="98"/>
      <c r="D291" s="106" t="s">
        <v>1402</v>
      </c>
      <c r="E291" s="315">
        <v>841</v>
      </c>
      <c r="I291" s="463">
        <f t="shared" si="62"/>
        <v>188.56901999999999</v>
      </c>
      <c r="J291" s="463">
        <f t="shared" si="62"/>
        <v>99.389379999999989</v>
      </c>
      <c r="K291" s="463">
        <f t="shared" si="62"/>
        <v>72.157799999999995</v>
      </c>
      <c r="L291" s="463">
        <f t="shared" si="62"/>
        <v>59.500749999999996</v>
      </c>
    </row>
    <row r="292" spans="1:12" x14ac:dyDescent="0.3">
      <c r="B292" s="96"/>
      <c r="C292" s="95"/>
      <c r="D292" s="94"/>
      <c r="E292" s="170"/>
    </row>
    <row r="293" spans="1:12" x14ac:dyDescent="0.3">
      <c r="B293" s="167" t="s">
        <v>185</v>
      </c>
      <c r="C293" s="269"/>
      <c r="D293" s="94"/>
      <c r="E293" s="170"/>
      <c r="F293" s="332"/>
      <c r="G293" s="332"/>
      <c r="H293" s="332"/>
    </row>
    <row r="294" spans="1:12" x14ac:dyDescent="0.3">
      <c r="A294" s="332"/>
      <c r="B294" s="396" t="s">
        <v>1848</v>
      </c>
      <c r="C294" s="389"/>
      <c r="D294" s="106" t="s">
        <v>1793</v>
      </c>
      <c r="E294" s="315">
        <v>266</v>
      </c>
      <c r="F294" s="332"/>
      <c r="G294" s="332"/>
      <c r="H294" s="332"/>
      <c r="I294" s="463">
        <f t="shared" ref="I294:L297" si="63">($E294+$G294)*I$3</f>
        <v>59.642519999999998</v>
      </c>
      <c r="J294" s="463">
        <f t="shared" si="63"/>
        <v>31.435879999999997</v>
      </c>
      <c r="K294" s="463">
        <f t="shared" si="63"/>
        <v>22.822800000000001</v>
      </c>
      <c r="L294" s="463">
        <f t="shared" si="63"/>
        <v>18.819499999999998</v>
      </c>
    </row>
    <row r="295" spans="1:12" x14ac:dyDescent="0.3">
      <c r="A295" s="332"/>
      <c r="B295" s="396" t="s">
        <v>1849</v>
      </c>
      <c r="C295" s="389"/>
      <c r="D295" s="390" t="s">
        <v>186</v>
      </c>
      <c r="E295" s="315">
        <v>576</v>
      </c>
      <c r="F295" s="332"/>
      <c r="G295" s="332"/>
      <c r="H295" s="332"/>
      <c r="I295" s="463">
        <f t="shared" si="63"/>
        <v>129.15072000000001</v>
      </c>
      <c r="J295" s="463">
        <f t="shared" si="63"/>
        <v>68.071680000000001</v>
      </c>
      <c r="K295" s="463">
        <f t="shared" si="63"/>
        <v>49.4208</v>
      </c>
      <c r="L295" s="463">
        <f t="shared" si="63"/>
        <v>40.751999999999995</v>
      </c>
    </row>
    <row r="296" spans="1:12" x14ac:dyDescent="0.3">
      <c r="A296" s="332"/>
      <c r="B296" s="396" t="s">
        <v>1850</v>
      </c>
      <c r="C296" s="389"/>
      <c r="D296" s="390" t="s">
        <v>187</v>
      </c>
      <c r="E296" s="315">
        <v>1375</v>
      </c>
      <c r="F296" s="332"/>
      <c r="G296" s="332"/>
      <c r="H296" s="332"/>
      <c r="I296" s="463">
        <f t="shared" si="63"/>
        <v>308.30250000000001</v>
      </c>
      <c r="J296" s="463">
        <f t="shared" si="63"/>
        <v>162.4975</v>
      </c>
      <c r="K296" s="463">
        <f t="shared" si="63"/>
        <v>117.97500000000001</v>
      </c>
      <c r="L296" s="463">
        <f t="shared" si="63"/>
        <v>97.281249999999986</v>
      </c>
    </row>
    <row r="297" spans="1:12" x14ac:dyDescent="0.3">
      <c r="B297" s="396" t="s">
        <v>1851</v>
      </c>
      <c r="C297" s="389"/>
      <c r="D297" s="390" t="s">
        <v>188</v>
      </c>
      <c r="E297" s="315">
        <v>884</v>
      </c>
      <c r="F297" s="18"/>
      <c r="G297" s="18"/>
      <c r="H297" s="18"/>
      <c r="I297" s="463">
        <f t="shared" si="63"/>
        <v>198.21047999999999</v>
      </c>
      <c r="J297" s="463">
        <f t="shared" si="63"/>
        <v>104.47112</v>
      </c>
      <c r="K297" s="463">
        <f t="shared" si="63"/>
        <v>75.847200000000001</v>
      </c>
      <c r="L297" s="463">
        <f t="shared" si="63"/>
        <v>62.542999999999992</v>
      </c>
    </row>
    <row r="298" spans="1:12" x14ac:dyDescent="0.3">
      <c r="B298" s="96"/>
      <c r="C298" s="95"/>
      <c r="D298" s="94"/>
      <c r="E298" s="170"/>
    </row>
    <row r="299" spans="1:12" x14ac:dyDescent="0.3">
      <c r="B299" s="167" t="s">
        <v>1738</v>
      </c>
      <c r="C299" s="169"/>
      <c r="D299" s="94"/>
      <c r="E299" s="170"/>
      <c r="F299" s="18"/>
      <c r="G299" s="18"/>
      <c r="H299" s="18"/>
    </row>
    <row r="300" spans="1:12" x14ac:dyDescent="0.3">
      <c r="B300" s="101" t="s">
        <v>1741</v>
      </c>
      <c r="C300" s="98"/>
      <c r="D300" s="106" t="s">
        <v>190</v>
      </c>
      <c r="E300" s="319">
        <v>27</v>
      </c>
      <c r="F300" s="18"/>
      <c r="G300" s="18"/>
      <c r="H300" s="18"/>
      <c r="I300" s="463">
        <f t="shared" ref="I300:L302" si="64">($E300+$G300)*I$3</f>
        <v>6.0539399999999999</v>
      </c>
      <c r="J300" s="463">
        <f t="shared" si="64"/>
        <v>3.1908599999999998</v>
      </c>
      <c r="K300" s="463">
        <f t="shared" si="64"/>
        <v>2.3166000000000002</v>
      </c>
      <c r="L300" s="463">
        <f t="shared" si="64"/>
        <v>1.9102499999999998</v>
      </c>
    </row>
    <row r="301" spans="1:12" x14ac:dyDescent="0.3">
      <c r="B301" s="101" t="s">
        <v>1742</v>
      </c>
      <c r="C301" s="98"/>
      <c r="D301" s="106" t="s">
        <v>1403</v>
      </c>
      <c r="E301" s="319">
        <v>53</v>
      </c>
      <c r="F301" s="18"/>
      <c r="G301" s="18"/>
      <c r="H301" s="18"/>
      <c r="I301" s="463">
        <f t="shared" si="64"/>
        <v>11.883660000000001</v>
      </c>
      <c r="J301" s="463">
        <f t="shared" si="64"/>
        <v>6.2635399999999999</v>
      </c>
      <c r="K301" s="463">
        <f t="shared" si="64"/>
        <v>4.5473999999999997</v>
      </c>
      <c r="L301" s="463">
        <f t="shared" si="64"/>
        <v>3.7497499999999997</v>
      </c>
    </row>
    <row r="302" spans="1:12" x14ac:dyDescent="0.3">
      <c r="B302" s="101" t="s">
        <v>1743</v>
      </c>
      <c r="C302" s="98"/>
      <c r="D302" s="106" t="s">
        <v>191</v>
      </c>
      <c r="E302" s="319">
        <v>310</v>
      </c>
      <c r="F302" s="18"/>
      <c r="G302" s="18"/>
      <c r="H302" s="18"/>
      <c r="I302" s="463">
        <f t="shared" si="64"/>
        <v>69.508200000000002</v>
      </c>
      <c r="J302" s="463">
        <f t="shared" si="64"/>
        <v>36.635799999999996</v>
      </c>
      <c r="K302" s="463">
        <f t="shared" si="64"/>
        <v>26.597999999999999</v>
      </c>
      <c r="L302" s="463">
        <f t="shared" si="64"/>
        <v>21.932499999999997</v>
      </c>
    </row>
    <row r="303" spans="1:12" x14ac:dyDescent="0.3">
      <c r="B303" s="96"/>
      <c r="C303" s="95"/>
      <c r="D303" s="94"/>
      <c r="E303" s="170"/>
      <c r="F303" s="18"/>
      <c r="G303" s="18"/>
      <c r="H303" s="18"/>
    </row>
    <row r="304" spans="1:12" x14ac:dyDescent="0.3">
      <c r="B304" s="168" t="s">
        <v>164</v>
      </c>
      <c r="C304" s="95"/>
      <c r="D304" s="94"/>
      <c r="E304" s="172"/>
    </row>
    <row r="305" spans="1:12" x14ac:dyDescent="0.3">
      <c r="B305" s="101" t="s">
        <v>192</v>
      </c>
      <c r="C305" s="98"/>
      <c r="D305" s="106" t="s">
        <v>166</v>
      </c>
      <c r="E305" s="315">
        <v>0</v>
      </c>
      <c r="I305" s="463">
        <f>($E305+$G305)*I$3</f>
        <v>0</v>
      </c>
      <c r="J305" s="463">
        <f t="shared" ref="J305:L305" si="65">($E305+$G305)*J$3</f>
        <v>0</v>
      </c>
      <c r="K305" s="463">
        <f t="shared" si="65"/>
        <v>0</v>
      </c>
      <c r="L305" s="463">
        <f t="shared" si="65"/>
        <v>0</v>
      </c>
    </row>
    <row r="306" spans="1:12" x14ac:dyDescent="0.3">
      <c r="B306" s="96"/>
      <c r="C306" s="95"/>
      <c r="D306" s="94"/>
      <c r="E306" s="170"/>
    </row>
    <row r="307" spans="1:12" x14ac:dyDescent="0.3">
      <c r="B307" s="167" t="s">
        <v>1864</v>
      </c>
      <c r="C307" s="95"/>
      <c r="D307" s="94"/>
      <c r="E307" s="172"/>
    </row>
    <row r="308" spans="1:12" x14ac:dyDescent="0.3">
      <c r="B308" s="101" t="s">
        <v>1881</v>
      </c>
      <c r="C308" s="98"/>
      <c r="D308" s="106" t="s">
        <v>193</v>
      </c>
      <c r="E308" s="319">
        <v>19</v>
      </c>
      <c r="I308" s="463">
        <f t="shared" ref="I308:L310" si="66">($E308+$G308)*I$3</f>
        <v>4.2601800000000001</v>
      </c>
      <c r="J308" s="463">
        <f t="shared" si="66"/>
        <v>2.2454199999999997</v>
      </c>
      <c r="K308" s="463">
        <f t="shared" si="66"/>
        <v>1.6302000000000001</v>
      </c>
      <c r="L308" s="463">
        <f t="shared" si="66"/>
        <v>1.3442499999999999</v>
      </c>
    </row>
    <row r="309" spans="1:12" x14ac:dyDescent="0.3">
      <c r="B309" s="101" t="s">
        <v>1874</v>
      </c>
      <c r="C309" s="98"/>
      <c r="D309" s="106" t="s">
        <v>194</v>
      </c>
      <c r="E309" s="319">
        <v>37</v>
      </c>
      <c r="I309" s="463">
        <f t="shared" si="66"/>
        <v>8.2961399999999994</v>
      </c>
      <c r="J309" s="463">
        <f t="shared" si="66"/>
        <v>4.3726599999999998</v>
      </c>
      <c r="K309" s="463">
        <f t="shared" si="66"/>
        <v>3.1745999999999999</v>
      </c>
      <c r="L309" s="463">
        <f t="shared" si="66"/>
        <v>2.6177499999999996</v>
      </c>
    </row>
    <row r="310" spans="1:12" x14ac:dyDescent="0.3">
      <c r="B310" s="101" t="s">
        <v>1875</v>
      </c>
      <c r="C310" s="98"/>
      <c r="D310" s="106" t="s">
        <v>195</v>
      </c>
      <c r="E310" s="319">
        <v>85</v>
      </c>
      <c r="I310" s="463">
        <f t="shared" si="66"/>
        <v>19.058700000000002</v>
      </c>
      <c r="J310" s="463">
        <f t="shared" si="66"/>
        <v>10.045299999999999</v>
      </c>
      <c r="K310" s="463">
        <f t="shared" si="66"/>
        <v>7.2930000000000001</v>
      </c>
      <c r="L310" s="463">
        <f t="shared" si="66"/>
        <v>6.013749999999999</v>
      </c>
    </row>
    <row r="311" spans="1:12" s="30" customFormat="1" ht="14.5" x14ac:dyDescent="0.35">
      <c r="A311" s="6"/>
      <c r="B311" s="182"/>
      <c r="C311" s="182"/>
      <c r="D311" s="147"/>
      <c r="E311" s="181"/>
      <c r="F311" s="6"/>
      <c r="G311" s="6"/>
      <c r="H311" s="6"/>
    </row>
    <row r="312" spans="1:12" s="30" customFormat="1" ht="14.5" x14ac:dyDescent="0.35">
      <c r="A312" s="6"/>
      <c r="B312" s="114" t="s">
        <v>196</v>
      </c>
      <c r="C312" s="114"/>
      <c r="D312" s="94"/>
      <c r="E312" s="114"/>
      <c r="F312" s="6"/>
      <c r="G312" s="6"/>
      <c r="H312" s="6"/>
    </row>
    <row r="313" spans="1:12" s="30" customFormat="1" ht="14.5" x14ac:dyDescent="0.35">
      <c r="A313" s="6"/>
      <c r="B313" s="107" t="s">
        <v>1740</v>
      </c>
      <c r="C313" s="98"/>
      <c r="D313" s="106" t="s">
        <v>197</v>
      </c>
      <c r="E313" s="315">
        <v>117</v>
      </c>
      <c r="F313" s="6"/>
      <c r="G313" s="6"/>
      <c r="H313" s="6"/>
      <c r="I313" s="463">
        <f>($E313+$G313)*I$3</f>
        <v>26.233740000000001</v>
      </c>
      <c r="J313" s="463">
        <f t="shared" ref="J313:L313" si="67">($E313+$G313)*J$3</f>
        <v>13.827059999999999</v>
      </c>
      <c r="K313" s="463">
        <f t="shared" si="67"/>
        <v>10.038600000000001</v>
      </c>
      <c r="L313" s="463">
        <f t="shared" si="67"/>
        <v>8.2777499999999993</v>
      </c>
    </row>
    <row r="314" spans="1:12" x14ac:dyDescent="0.3">
      <c r="B314" s="168"/>
      <c r="C314" s="169"/>
      <c r="D314" s="94"/>
      <c r="E314" s="95"/>
    </row>
    <row r="315" spans="1:12" x14ac:dyDescent="0.3">
      <c r="B315" s="167" t="s">
        <v>62</v>
      </c>
      <c r="C315" s="169"/>
      <c r="D315" s="156"/>
      <c r="E315" s="169"/>
    </row>
    <row r="316" spans="1:12" x14ac:dyDescent="0.3">
      <c r="B316" s="174" t="s">
        <v>65</v>
      </c>
      <c r="C316" s="397"/>
      <c r="D316" s="106" t="s">
        <v>66</v>
      </c>
      <c r="E316" s="315">
        <v>15</v>
      </c>
      <c r="I316" s="463">
        <f>($E316+$G316)*I$3</f>
        <v>3.3633000000000002</v>
      </c>
      <c r="J316" s="463">
        <f t="shared" ref="J316:L316" si="68">($E316+$G316)*J$3</f>
        <v>1.7726999999999999</v>
      </c>
      <c r="K316" s="463">
        <f t="shared" si="68"/>
        <v>1.2869999999999999</v>
      </c>
      <c r="L316" s="463">
        <f t="shared" si="68"/>
        <v>1.0612499999999998</v>
      </c>
    </row>
    <row r="317" spans="1:12" x14ac:dyDescent="0.3">
      <c r="E317" s="149"/>
    </row>
    <row r="318" spans="1:12" s="97" customFormat="1" ht="13.5" thickBot="1" x14ac:dyDescent="0.35">
      <c r="B318" s="167"/>
      <c r="C318" s="95"/>
      <c r="D318" s="94"/>
      <c r="E318" s="345"/>
    </row>
    <row r="319" spans="1:12" ht="21.5" thickBot="1" x14ac:dyDescent="0.55000000000000004">
      <c r="B319" s="502" t="s">
        <v>201</v>
      </c>
      <c r="C319" s="503"/>
      <c r="D319" s="503"/>
      <c r="E319" s="462"/>
      <c r="F319" s="507" t="s">
        <v>1925</v>
      </c>
      <c r="G319" s="508"/>
    </row>
    <row r="320" spans="1:12" ht="26.5" thickBot="1" x14ac:dyDescent="0.35">
      <c r="B320" s="14" t="s">
        <v>24</v>
      </c>
      <c r="C320" s="15" t="s">
        <v>25</v>
      </c>
      <c r="D320" s="16" t="s">
        <v>26</v>
      </c>
      <c r="E320" s="460"/>
      <c r="F320" s="461" t="s">
        <v>26</v>
      </c>
      <c r="G320" s="445" t="s">
        <v>1307</v>
      </c>
    </row>
    <row r="321" spans="2:12" ht="147" customHeight="1" x14ac:dyDescent="0.3">
      <c r="B321" s="237" t="s">
        <v>1549</v>
      </c>
      <c r="C321" s="238" t="s">
        <v>1339</v>
      </c>
      <c r="D321" s="239" t="s">
        <v>202</v>
      </c>
      <c r="E321" s="414">
        <v>753</v>
      </c>
      <c r="F321" s="446" t="s">
        <v>1926</v>
      </c>
      <c r="G321" s="447">
        <v>38.770000000000003</v>
      </c>
      <c r="I321" s="463">
        <f t="shared" ref="I321:L323" si="69">($E321+$G321)*I$3</f>
        <v>177.53066939999999</v>
      </c>
      <c r="J321" s="463">
        <f t="shared" si="69"/>
        <v>93.571378599999989</v>
      </c>
      <c r="K321" s="463">
        <f t="shared" si="69"/>
        <v>67.933865999999995</v>
      </c>
      <c r="L321" s="463">
        <f t="shared" si="69"/>
        <v>56.017727499999992</v>
      </c>
    </row>
    <row r="322" spans="2:12" ht="150" customHeight="1" x14ac:dyDescent="0.3">
      <c r="B322" s="240" t="s">
        <v>1910</v>
      </c>
      <c r="C322" s="288" t="s">
        <v>1339</v>
      </c>
      <c r="D322" s="289" t="s">
        <v>203</v>
      </c>
      <c r="E322" s="381">
        <v>949</v>
      </c>
      <c r="F322" s="446" t="s">
        <v>1926</v>
      </c>
      <c r="G322" s="447">
        <v>38.770000000000003</v>
      </c>
      <c r="I322" s="463">
        <f t="shared" si="69"/>
        <v>221.47778940000001</v>
      </c>
      <c r="J322" s="463">
        <f t="shared" si="69"/>
        <v>116.73465859999999</v>
      </c>
      <c r="K322" s="463">
        <f t="shared" si="69"/>
        <v>84.750665999999995</v>
      </c>
      <c r="L322" s="463">
        <f t="shared" si="69"/>
        <v>69.884727499999997</v>
      </c>
    </row>
    <row r="323" spans="2:12" ht="174" customHeight="1" x14ac:dyDescent="0.3">
      <c r="B323" s="376" t="s">
        <v>1911</v>
      </c>
      <c r="C323" s="288" t="s">
        <v>1729</v>
      </c>
      <c r="D323" s="289" t="s">
        <v>204</v>
      </c>
      <c r="E323" s="381">
        <v>1103</v>
      </c>
      <c r="F323" s="446" t="s">
        <v>1926</v>
      </c>
      <c r="G323" s="447">
        <v>38.770000000000003</v>
      </c>
      <c r="I323" s="463">
        <f t="shared" si="69"/>
        <v>256.0076694</v>
      </c>
      <c r="J323" s="463">
        <f t="shared" si="69"/>
        <v>134.9343786</v>
      </c>
      <c r="K323" s="463">
        <f t="shared" si="69"/>
        <v>97.963865999999996</v>
      </c>
      <c r="L323" s="463">
        <f>($E323+$G323)*L$3</f>
        <v>80.780227499999995</v>
      </c>
    </row>
    <row r="324" spans="2:12" ht="13.5" thickBot="1" x14ac:dyDescent="0.35">
      <c r="B324" s="6"/>
      <c r="C324" s="6"/>
    </row>
    <row r="325" spans="2:12" ht="21.5" thickBot="1" x14ac:dyDescent="0.55000000000000004">
      <c r="B325" s="502" t="s">
        <v>205</v>
      </c>
      <c r="C325" s="503"/>
      <c r="D325" s="503"/>
      <c r="E325" s="19"/>
    </row>
    <row r="326" spans="2:12" ht="26.5" thickBot="1" x14ac:dyDescent="0.35">
      <c r="B326" s="14" t="s">
        <v>24</v>
      </c>
      <c r="C326" s="15" t="s">
        <v>25</v>
      </c>
      <c r="D326" s="16" t="s">
        <v>26</v>
      </c>
      <c r="E326" s="16"/>
    </row>
    <row r="327" spans="2:12" s="97" customFormat="1" x14ac:dyDescent="0.3">
      <c r="B327" s="200"/>
      <c r="C327" s="181"/>
      <c r="D327" s="147"/>
      <c r="E327" s="147"/>
    </row>
    <row r="328" spans="2:12" collapsed="1" x14ac:dyDescent="0.3">
      <c r="B328" s="205" t="s">
        <v>1418</v>
      </c>
      <c r="C328" s="205"/>
      <c r="D328" s="206"/>
      <c r="E328" s="207"/>
      <c r="F328" s="207"/>
      <c r="G328" s="207"/>
    </row>
    <row r="329" spans="2:12" x14ac:dyDescent="0.3">
      <c r="B329" s="190" t="s">
        <v>34</v>
      </c>
      <c r="C329" s="208"/>
      <c r="E329" s="149"/>
    </row>
    <row r="330" spans="2:12" x14ac:dyDescent="0.3">
      <c r="B330" s="384" t="s">
        <v>1638</v>
      </c>
      <c r="C330" s="98"/>
      <c r="D330" s="106" t="s">
        <v>219</v>
      </c>
      <c r="E330" s="315">
        <v>73</v>
      </c>
      <c r="I330" s="463">
        <f t="shared" ref="I330:L332" si="70">($E330+$G330)*I$3</f>
        <v>16.36806</v>
      </c>
      <c r="J330" s="463">
        <f t="shared" si="70"/>
        <v>8.6271399999999989</v>
      </c>
      <c r="K330" s="463">
        <f t="shared" si="70"/>
        <v>6.2633999999999999</v>
      </c>
      <c r="L330" s="463">
        <f t="shared" si="70"/>
        <v>5.1647499999999997</v>
      </c>
    </row>
    <row r="331" spans="2:12" x14ac:dyDescent="0.3">
      <c r="B331" s="384" t="s">
        <v>1632</v>
      </c>
      <c r="C331" s="98"/>
      <c r="D331" s="106" t="s">
        <v>220</v>
      </c>
      <c r="E331" s="315">
        <v>169</v>
      </c>
      <c r="I331" s="463">
        <f t="shared" si="70"/>
        <v>37.893180000000001</v>
      </c>
      <c r="J331" s="463">
        <f t="shared" si="70"/>
        <v>19.97242</v>
      </c>
      <c r="K331" s="463">
        <f t="shared" si="70"/>
        <v>14.5002</v>
      </c>
      <c r="L331" s="463">
        <f t="shared" si="70"/>
        <v>11.95675</v>
      </c>
    </row>
    <row r="332" spans="2:12" x14ac:dyDescent="0.3">
      <c r="B332" s="384" t="s">
        <v>1639</v>
      </c>
      <c r="C332" s="98"/>
      <c r="D332" s="106" t="s">
        <v>221</v>
      </c>
      <c r="E332" s="315">
        <v>237</v>
      </c>
      <c r="I332" s="463">
        <f t="shared" si="70"/>
        <v>53.140140000000002</v>
      </c>
      <c r="J332" s="463">
        <f t="shared" si="70"/>
        <v>28.008659999999999</v>
      </c>
      <c r="K332" s="463">
        <f t="shared" si="70"/>
        <v>20.334600000000002</v>
      </c>
      <c r="L332" s="463">
        <f t="shared" si="70"/>
        <v>16.767749999999999</v>
      </c>
    </row>
    <row r="333" spans="2:12" x14ac:dyDescent="0.3">
      <c r="B333" s="249"/>
      <c r="C333" s="270"/>
      <c r="D333" s="94"/>
      <c r="E333" s="271"/>
    </row>
    <row r="334" spans="2:12" x14ac:dyDescent="0.3">
      <c r="B334" s="249" t="s">
        <v>39</v>
      </c>
      <c r="C334" s="270"/>
      <c r="D334" s="272"/>
      <c r="E334" s="271"/>
    </row>
    <row r="335" spans="2:12" x14ac:dyDescent="0.3">
      <c r="B335" s="101" t="s">
        <v>1508</v>
      </c>
      <c r="C335" s="244"/>
      <c r="D335" s="106" t="s">
        <v>222</v>
      </c>
      <c r="E335" s="315">
        <v>234</v>
      </c>
      <c r="I335" s="463">
        <f t="shared" ref="I335:L337" si="71">($E335+$G335)*I$3</f>
        <v>52.467480000000002</v>
      </c>
      <c r="J335" s="463">
        <f t="shared" si="71"/>
        <v>27.654119999999999</v>
      </c>
      <c r="K335" s="463">
        <f t="shared" si="71"/>
        <v>20.077200000000001</v>
      </c>
      <c r="L335" s="463">
        <f t="shared" si="71"/>
        <v>16.555499999999999</v>
      </c>
    </row>
    <row r="336" spans="2:12" x14ac:dyDescent="0.3">
      <c r="B336" s="101" t="s">
        <v>1363</v>
      </c>
      <c r="C336" s="244"/>
      <c r="D336" s="106" t="s">
        <v>223</v>
      </c>
      <c r="E336" s="315">
        <v>280</v>
      </c>
      <c r="I336" s="463">
        <f t="shared" si="71"/>
        <v>62.781599999999997</v>
      </c>
      <c r="J336" s="463">
        <f t="shared" si="71"/>
        <v>33.090399999999995</v>
      </c>
      <c r="K336" s="463">
        <f t="shared" si="71"/>
        <v>24.024000000000001</v>
      </c>
      <c r="L336" s="463">
        <f t="shared" si="71"/>
        <v>19.809999999999999</v>
      </c>
    </row>
    <row r="337" spans="2:12" s="30" customFormat="1" ht="12.75" customHeight="1" x14ac:dyDescent="0.35">
      <c r="B337" s="101" t="s">
        <v>1912</v>
      </c>
      <c r="C337" s="244"/>
      <c r="D337" s="106" t="s">
        <v>224</v>
      </c>
      <c r="E337" s="315">
        <v>794</v>
      </c>
      <c r="I337" s="463">
        <f t="shared" si="71"/>
        <v>178.03067999999999</v>
      </c>
      <c r="J337" s="463">
        <f t="shared" si="71"/>
        <v>93.834919999999997</v>
      </c>
      <c r="K337" s="463">
        <f t="shared" si="71"/>
        <v>68.125200000000007</v>
      </c>
      <c r="L337" s="463">
        <f t="shared" si="71"/>
        <v>56.175499999999992</v>
      </c>
    </row>
    <row r="338" spans="2:12" x14ac:dyDescent="0.3">
      <c r="B338" s="97"/>
      <c r="C338" s="97"/>
      <c r="D338" s="117"/>
      <c r="E338" s="273"/>
    </row>
    <row r="339" spans="2:12" x14ac:dyDescent="0.3">
      <c r="B339" s="167" t="s">
        <v>42</v>
      </c>
      <c r="C339" s="270"/>
      <c r="D339" s="272"/>
      <c r="E339" s="271"/>
    </row>
    <row r="340" spans="2:12" x14ac:dyDescent="0.3">
      <c r="B340" s="116" t="s">
        <v>45</v>
      </c>
      <c r="C340" s="98"/>
      <c r="D340" s="106" t="s">
        <v>206</v>
      </c>
      <c r="E340" s="315">
        <v>72</v>
      </c>
      <c r="I340" s="463">
        <f t="shared" ref="I340:L341" si="72">($E340+$G340)*I$3</f>
        <v>16.143840000000001</v>
      </c>
      <c r="J340" s="463">
        <f t="shared" si="72"/>
        <v>8.5089600000000001</v>
      </c>
      <c r="K340" s="463">
        <f t="shared" si="72"/>
        <v>6.1776</v>
      </c>
      <c r="L340" s="463">
        <f t="shared" si="72"/>
        <v>5.0939999999999994</v>
      </c>
    </row>
    <row r="341" spans="2:12" x14ac:dyDescent="0.3">
      <c r="B341" s="116" t="s">
        <v>47</v>
      </c>
      <c r="C341" s="98"/>
      <c r="D341" s="106" t="s">
        <v>207</v>
      </c>
      <c r="E341" s="315">
        <v>310</v>
      </c>
      <c r="I341" s="463">
        <f t="shared" si="72"/>
        <v>69.508200000000002</v>
      </c>
      <c r="J341" s="463">
        <f t="shared" si="72"/>
        <v>36.635799999999996</v>
      </c>
      <c r="K341" s="463">
        <f t="shared" si="72"/>
        <v>26.597999999999999</v>
      </c>
      <c r="L341" s="463">
        <f t="shared" si="72"/>
        <v>21.932499999999997</v>
      </c>
    </row>
    <row r="342" spans="2:12" x14ac:dyDescent="0.3">
      <c r="B342" s="97"/>
      <c r="C342" s="97"/>
      <c r="D342" s="94"/>
      <c r="E342" s="273"/>
    </row>
    <row r="343" spans="2:12" x14ac:dyDescent="0.3">
      <c r="B343" s="274" t="s">
        <v>123</v>
      </c>
      <c r="C343" s="270"/>
      <c r="D343" s="272"/>
      <c r="E343" s="271"/>
    </row>
    <row r="344" spans="2:12" x14ac:dyDescent="0.3">
      <c r="B344" s="101" t="s">
        <v>1343</v>
      </c>
      <c r="C344" s="98"/>
      <c r="D344" s="106" t="s">
        <v>208</v>
      </c>
      <c r="E344" s="315">
        <v>73</v>
      </c>
      <c r="I344" s="463">
        <f t="shared" ref="I344:L350" si="73">($E344+$G344)*I$3</f>
        <v>16.36806</v>
      </c>
      <c r="J344" s="463">
        <f t="shared" si="73"/>
        <v>8.6271399999999989</v>
      </c>
      <c r="K344" s="463">
        <f t="shared" si="73"/>
        <v>6.2633999999999999</v>
      </c>
      <c r="L344" s="463">
        <f t="shared" si="73"/>
        <v>5.1647499999999997</v>
      </c>
    </row>
    <row r="345" spans="2:12" x14ac:dyDescent="0.3">
      <c r="B345" s="101" t="s">
        <v>43</v>
      </c>
      <c r="C345" s="98"/>
      <c r="D345" s="106" t="s">
        <v>209</v>
      </c>
      <c r="E345" s="315">
        <v>129</v>
      </c>
      <c r="I345" s="463">
        <f t="shared" si="73"/>
        <v>28.924379999999999</v>
      </c>
      <c r="J345" s="463">
        <f t="shared" si="73"/>
        <v>15.24522</v>
      </c>
      <c r="K345" s="463">
        <f t="shared" si="73"/>
        <v>11.068200000000001</v>
      </c>
      <c r="L345" s="463">
        <f t="shared" si="73"/>
        <v>9.1267499999999995</v>
      </c>
    </row>
    <row r="346" spans="2:12" x14ac:dyDescent="0.3">
      <c r="B346" s="101" t="s">
        <v>45</v>
      </c>
      <c r="C346" s="98"/>
      <c r="D346" s="106" t="s">
        <v>210</v>
      </c>
      <c r="E346" s="315">
        <v>200</v>
      </c>
      <c r="I346" s="463">
        <f t="shared" si="73"/>
        <v>44.844000000000001</v>
      </c>
      <c r="J346" s="463">
        <f t="shared" si="73"/>
        <v>23.635999999999999</v>
      </c>
      <c r="K346" s="463">
        <f t="shared" si="73"/>
        <v>17.16</v>
      </c>
      <c r="L346" s="463">
        <f t="shared" si="73"/>
        <v>14.149999999999999</v>
      </c>
    </row>
    <row r="347" spans="2:12" x14ac:dyDescent="0.3">
      <c r="B347" s="101" t="s">
        <v>47</v>
      </c>
      <c r="C347" s="98"/>
      <c r="D347" s="106" t="s">
        <v>211</v>
      </c>
      <c r="E347" s="315">
        <v>438</v>
      </c>
      <c r="I347" s="463">
        <f t="shared" si="73"/>
        <v>98.208359999999999</v>
      </c>
      <c r="J347" s="463">
        <f t="shared" si="73"/>
        <v>51.762839999999997</v>
      </c>
      <c r="K347" s="463">
        <f t="shared" si="73"/>
        <v>37.580399999999997</v>
      </c>
      <c r="L347" s="463">
        <f t="shared" si="73"/>
        <v>30.988499999999998</v>
      </c>
    </row>
    <row r="348" spans="2:12" x14ac:dyDescent="0.3">
      <c r="B348" s="101" t="s">
        <v>93</v>
      </c>
      <c r="C348" s="98"/>
      <c r="D348" s="106" t="s">
        <v>212</v>
      </c>
      <c r="E348" s="315">
        <v>56</v>
      </c>
      <c r="I348" s="463">
        <f t="shared" si="73"/>
        <v>12.556319999999999</v>
      </c>
      <c r="J348" s="463">
        <f t="shared" si="73"/>
        <v>6.61808</v>
      </c>
      <c r="K348" s="463">
        <f t="shared" si="73"/>
        <v>4.8048000000000002</v>
      </c>
      <c r="L348" s="463">
        <f t="shared" si="73"/>
        <v>3.9619999999999997</v>
      </c>
    </row>
    <row r="349" spans="2:12" x14ac:dyDescent="0.3">
      <c r="B349" s="101" t="s">
        <v>1354</v>
      </c>
      <c r="C349" s="98"/>
      <c r="D349" s="106" t="s">
        <v>213</v>
      </c>
      <c r="E349" s="315">
        <v>67</v>
      </c>
      <c r="I349" s="463">
        <f t="shared" si="73"/>
        <v>15.022740000000001</v>
      </c>
      <c r="J349" s="463">
        <f t="shared" si="73"/>
        <v>7.9180599999999997</v>
      </c>
      <c r="K349" s="463">
        <f t="shared" si="73"/>
        <v>5.7485999999999997</v>
      </c>
      <c r="L349" s="463">
        <f t="shared" si="73"/>
        <v>4.7402499999999996</v>
      </c>
    </row>
    <row r="350" spans="2:12" s="8" customFormat="1" x14ac:dyDescent="0.35">
      <c r="B350" s="101" t="s">
        <v>1355</v>
      </c>
      <c r="C350" s="98"/>
      <c r="D350" s="106" t="s">
        <v>214</v>
      </c>
      <c r="E350" s="315">
        <v>80</v>
      </c>
      <c r="I350" s="463">
        <f t="shared" si="73"/>
        <v>17.9376</v>
      </c>
      <c r="J350" s="463">
        <f t="shared" si="73"/>
        <v>9.4543999999999997</v>
      </c>
      <c r="K350" s="463">
        <f t="shared" si="73"/>
        <v>6.8639999999999999</v>
      </c>
      <c r="L350" s="463">
        <f t="shared" si="73"/>
        <v>5.6599999999999993</v>
      </c>
    </row>
    <row r="351" spans="2:12" s="12" customFormat="1" x14ac:dyDescent="0.3">
      <c r="B351" s="97"/>
      <c r="C351" s="97"/>
      <c r="D351" s="94"/>
      <c r="E351" s="273"/>
    </row>
    <row r="352" spans="2:12" s="12" customFormat="1" x14ac:dyDescent="0.35">
      <c r="B352" s="167" t="s">
        <v>1419</v>
      </c>
      <c r="C352" s="169"/>
      <c r="D352" s="243"/>
      <c r="E352" s="193"/>
    </row>
    <row r="353" spans="2:12" x14ac:dyDescent="0.3">
      <c r="B353" s="101" t="s">
        <v>1420</v>
      </c>
      <c r="C353" s="98"/>
      <c r="D353" s="106" t="s">
        <v>1421</v>
      </c>
      <c r="E353" s="319">
        <v>27</v>
      </c>
      <c r="I353" s="463">
        <f t="shared" ref="I353:K353" si="74">($E353+$G353)*I$3</f>
        <v>6.0539399999999999</v>
      </c>
      <c r="J353" s="463">
        <f t="shared" si="74"/>
        <v>3.1908599999999998</v>
      </c>
      <c r="K353" s="463">
        <f t="shared" si="74"/>
        <v>2.3166000000000002</v>
      </c>
      <c r="L353" s="463">
        <f>($E353+$G353)*L$3</f>
        <v>1.9102499999999998</v>
      </c>
    </row>
    <row r="354" spans="2:12" x14ac:dyDescent="0.3">
      <c r="B354" s="97"/>
      <c r="C354" s="97"/>
      <c r="D354" s="94"/>
      <c r="E354" s="170"/>
    </row>
    <row r="355" spans="2:12" x14ac:dyDescent="0.3">
      <c r="B355" s="249" t="s">
        <v>54</v>
      </c>
      <c r="C355" s="97"/>
      <c r="D355" s="94"/>
      <c r="E355" s="170"/>
    </row>
    <row r="356" spans="2:12" x14ac:dyDescent="0.3">
      <c r="B356" s="213" t="s">
        <v>1298</v>
      </c>
      <c r="C356" s="230"/>
      <c r="D356" s="219" t="s">
        <v>1510</v>
      </c>
      <c r="E356" s="319">
        <v>835</v>
      </c>
      <c r="I356" s="463">
        <f t="shared" ref="I356:L359" si="75">($E356+$G356)*I$3</f>
        <v>187.22370000000001</v>
      </c>
      <c r="J356" s="463">
        <f t="shared" si="75"/>
        <v>98.680299999999988</v>
      </c>
      <c r="K356" s="463">
        <f t="shared" si="75"/>
        <v>71.643000000000001</v>
      </c>
      <c r="L356" s="463">
        <f t="shared" si="75"/>
        <v>59.076249999999995</v>
      </c>
    </row>
    <row r="357" spans="2:12" x14ac:dyDescent="0.3">
      <c r="B357" s="213" t="s">
        <v>1509</v>
      </c>
      <c r="C357" s="230"/>
      <c r="D357" s="219" t="s">
        <v>1511</v>
      </c>
      <c r="E357" s="319">
        <v>2263</v>
      </c>
      <c r="I357" s="463">
        <f t="shared" si="75"/>
        <v>507.40985999999998</v>
      </c>
      <c r="J357" s="463">
        <f t="shared" si="75"/>
        <v>267.44133999999997</v>
      </c>
      <c r="K357" s="463">
        <f t="shared" si="75"/>
        <v>194.16540000000001</v>
      </c>
      <c r="L357" s="463">
        <f t="shared" si="75"/>
        <v>160.10724999999999</v>
      </c>
    </row>
    <row r="358" spans="2:12" x14ac:dyDescent="0.3">
      <c r="B358" s="101" t="s">
        <v>1422</v>
      </c>
      <c r="C358" s="101"/>
      <c r="D358" s="121" t="s">
        <v>225</v>
      </c>
      <c r="E358" s="319">
        <v>133</v>
      </c>
      <c r="I358" s="463">
        <f t="shared" si="75"/>
        <v>29.821259999999999</v>
      </c>
      <c r="J358" s="463">
        <f t="shared" si="75"/>
        <v>15.717939999999999</v>
      </c>
      <c r="K358" s="463">
        <f t="shared" si="75"/>
        <v>11.4114</v>
      </c>
      <c r="L358" s="463">
        <f t="shared" si="75"/>
        <v>9.4097499999999989</v>
      </c>
    </row>
    <row r="359" spans="2:12" ht="26" x14ac:dyDescent="0.3">
      <c r="B359" s="101" t="s">
        <v>1423</v>
      </c>
      <c r="C359" s="101"/>
      <c r="D359" s="121" t="s">
        <v>226</v>
      </c>
      <c r="E359" s="319">
        <v>306</v>
      </c>
      <c r="I359" s="463">
        <f t="shared" si="75"/>
        <v>68.611320000000006</v>
      </c>
      <c r="J359" s="463">
        <f t="shared" si="75"/>
        <v>36.163080000000001</v>
      </c>
      <c r="K359" s="463">
        <f t="shared" si="75"/>
        <v>26.254799999999999</v>
      </c>
      <c r="L359" s="463">
        <f t="shared" si="75"/>
        <v>21.6495</v>
      </c>
    </row>
    <row r="360" spans="2:12" s="12" customFormat="1" x14ac:dyDescent="0.3">
      <c r="B360" s="97"/>
      <c r="C360" s="97"/>
      <c r="D360" s="94"/>
      <c r="E360" s="194"/>
    </row>
    <row r="361" spans="2:12" s="12" customFormat="1" x14ac:dyDescent="0.3">
      <c r="B361" s="249" t="s">
        <v>136</v>
      </c>
      <c r="C361" s="270"/>
      <c r="D361" s="272"/>
      <c r="E361" s="193"/>
    </row>
    <row r="362" spans="2:12" s="30" customFormat="1" ht="14.5" x14ac:dyDescent="0.35">
      <c r="B362" s="116" t="s">
        <v>1383</v>
      </c>
      <c r="C362" s="98"/>
      <c r="D362" s="261" t="s">
        <v>215</v>
      </c>
      <c r="E362" s="319">
        <v>12</v>
      </c>
      <c r="I362" s="463">
        <f t="shared" ref="I362:K362" si="76">($E362+$G362)*I$3</f>
        <v>2.6906400000000001</v>
      </c>
      <c r="J362" s="463">
        <f t="shared" si="76"/>
        <v>1.4181599999999999</v>
      </c>
      <c r="K362" s="463">
        <f t="shared" si="76"/>
        <v>1.0296000000000001</v>
      </c>
      <c r="L362" s="463">
        <f>($E362+$G362)*L$3</f>
        <v>0.84899999999999998</v>
      </c>
    </row>
    <row r="363" spans="2:12" s="12" customFormat="1" x14ac:dyDescent="0.3">
      <c r="B363" s="275"/>
      <c r="C363" s="276"/>
      <c r="D363" s="277"/>
      <c r="E363" s="278"/>
    </row>
    <row r="364" spans="2:12" s="12" customFormat="1" x14ac:dyDescent="0.3">
      <c r="B364" s="249" t="s">
        <v>102</v>
      </c>
      <c r="C364" s="270"/>
      <c r="D364" s="272"/>
      <c r="E364" s="271"/>
    </row>
    <row r="365" spans="2:12" s="191" customFormat="1" x14ac:dyDescent="0.25">
      <c r="B365" s="174" t="s">
        <v>1384</v>
      </c>
      <c r="C365" s="262"/>
      <c r="D365" s="261" t="s">
        <v>216</v>
      </c>
      <c r="E365" s="315">
        <v>8</v>
      </c>
      <c r="I365" s="463">
        <f t="shared" ref="I365:L368" si="77">($E365+$G365)*I$3</f>
        <v>1.79376</v>
      </c>
      <c r="J365" s="463">
        <f t="shared" si="77"/>
        <v>0.94543999999999995</v>
      </c>
      <c r="K365" s="463">
        <f t="shared" si="77"/>
        <v>0.68640000000000001</v>
      </c>
      <c r="L365" s="463">
        <f t="shared" si="77"/>
        <v>0.56599999999999995</v>
      </c>
    </row>
    <row r="366" spans="2:12" s="191" customFormat="1" x14ac:dyDescent="0.25">
      <c r="B366" s="174" t="s">
        <v>1385</v>
      </c>
      <c r="C366" s="370"/>
      <c r="D366" s="261" t="s">
        <v>217</v>
      </c>
      <c r="E366" s="315">
        <v>8</v>
      </c>
      <c r="I366" s="463">
        <f t="shared" si="77"/>
        <v>1.79376</v>
      </c>
      <c r="J366" s="463">
        <f t="shared" si="77"/>
        <v>0.94543999999999995</v>
      </c>
      <c r="K366" s="463">
        <f t="shared" si="77"/>
        <v>0.68640000000000001</v>
      </c>
      <c r="L366" s="463">
        <f t="shared" si="77"/>
        <v>0.56599999999999995</v>
      </c>
    </row>
    <row r="367" spans="2:12" s="191" customFormat="1" x14ac:dyDescent="0.25">
      <c r="B367" s="174" t="s">
        <v>1349</v>
      </c>
      <c r="C367" s="371"/>
      <c r="D367" s="106" t="s">
        <v>59</v>
      </c>
      <c r="E367" s="315">
        <v>8</v>
      </c>
      <c r="I367" s="463">
        <f t="shared" si="77"/>
        <v>1.79376</v>
      </c>
      <c r="J367" s="463">
        <f t="shared" si="77"/>
        <v>0.94543999999999995</v>
      </c>
      <c r="K367" s="463">
        <f t="shared" si="77"/>
        <v>0.68640000000000001</v>
      </c>
      <c r="L367" s="463">
        <f t="shared" si="77"/>
        <v>0.56599999999999995</v>
      </c>
    </row>
    <row r="368" spans="2:12" s="191" customFormat="1" x14ac:dyDescent="0.25">
      <c r="B368" s="174" t="s">
        <v>1386</v>
      </c>
      <c r="C368" s="370"/>
      <c r="D368" s="261" t="s">
        <v>218</v>
      </c>
      <c r="E368" s="315">
        <v>14</v>
      </c>
      <c r="I368" s="463">
        <f t="shared" si="77"/>
        <v>3.1390799999999999</v>
      </c>
      <c r="J368" s="463">
        <f t="shared" si="77"/>
        <v>1.65452</v>
      </c>
      <c r="K368" s="463">
        <f t="shared" si="77"/>
        <v>1.2012</v>
      </c>
      <c r="L368" s="463">
        <f t="shared" si="77"/>
        <v>0.99049999999999994</v>
      </c>
    </row>
    <row r="369" spans="2:12" x14ac:dyDescent="0.3">
      <c r="B369" s="279"/>
      <c r="C369" s="264"/>
      <c r="D369" s="94"/>
      <c r="E369" s="94"/>
    </row>
    <row r="370" spans="2:12" s="12" customFormat="1" x14ac:dyDescent="0.3">
      <c r="B370" s="249" t="s">
        <v>1387</v>
      </c>
      <c r="C370" s="169"/>
      <c r="D370" s="272"/>
      <c r="E370" s="243"/>
    </row>
    <row r="371" spans="2:12" s="191" customFormat="1" x14ac:dyDescent="0.25">
      <c r="B371" s="174" t="s">
        <v>1358</v>
      </c>
      <c r="C371" s="370"/>
      <c r="D371" s="106" t="s">
        <v>105</v>
      </c>
      <c r="E371" s="315">
        <v>36</v>
      </c>
      <c r="I371" s="463">
        <f t="shared" ref="I371:L374" si="78">($E371+$G371)*I$3</f>
        <v>8.0719200000000004</v>
      </c>
      <c r="J371" s="463">
        <f t="shared" si="78"/>
        <v>4.25448</v>
      </c>
      <c r="K371" s="463">
        <f t="shared" si="78"/>
        <v>3.0888</v>
      </c>
      <c r="L371" s="463">
        <f t="shared" si="78"/>
        <v>2.5469999999999997</v>
      </c>
    </row>
    <row r="372" spans="2:12" x14ac:dyDescent="0.3">
      <c r="B372" s="101" t="s">
        <v>1359</v>
      </c>
      <c r="C372" s="371"/>
      <c r="D372" s="106" t="s">
        <v>61</v>
      </c>
      <c r="E372" s="315">
        <v>39</v>
      </c>
      <c r="I372" s="463">
        <f t="shared" si="78"/>
        <v>8.7445800000000009</v>
      </c>
      <c r="J372" s="463">
        <f t="shared" si="78"/>
        <v>4.6090200000000001</v>
      </c>
      <c r="K372" s="463">
        <f t="shared" si="78"/>
        <v>3.3462000000000001</v>
      </c>
      <c r="L372" s="463">
        <f t="shared" si="78"/>
        <v>2.7592499999999998</v>
      </c>
    </row>
    <row r="373" spans="2:12" s="191" customFormat="1" x14ac:dyDescent="0.3">
      <c r="B373" s="280" t="s">
        <v>137</v>
      </c>
      <c r="C373" s="370"/>
      <c r="D373" s="106" t="s">
        <v>138</v>
      </c>
      <c r="E373" s="315">
        <v>14</v>
      </c>
      <c r="I373" s="463">
        <f t="shared" si="78"/>
        <v>3.1390799999999999</v>
      </c>
      <c r="J373" s="463">
        <f t="shared" si="78"/>
        <v>1.65452</v>
      </c>
      <c r="K373" s="463">
        <f t="shared" si="78"/>
        <v>1.2012</v>
      </c>
      <c r="L373" s="463">
        <f t="shared" si="78"/>
        <v>0.99049999999999994</v>
      </c>
    </row>
    <row r="374" spans="2:12" s="191" customFormat="1" x14ac:dyDescent="0.25">
      <c r="B374" s="387" t="s">
        <v>1636</v>
      </c>
      <c r="C374" s="370"/>
      <c r="D374" s="385" t="s">
        <v>1773</v>
      </c>
      <c r="E374" s="196">
        <v>70</v>
      </c>
      <c r="I374" s="463">
        <f t="shared" si="78"/>
        <v>15.695399999999999</v>
      </c>
      <c r="J374" s="463">
        <f t="shared" si="78"/>
        <v>8.2725999999999988</v>
      </c>
      <c r="K374" s="463">
        <f t="shared" si="78"/>
        <v>6.0060000000000002</v>
      </c>
      <c r="L374" s="463">
        <f t="shared" si="78"/>
        <v>4.9524999999999997</v>
      </c>
    </row>
    <row r="375" spans="2:12" x14ac:dyDescent="0.3">
      <c r="B375" s="279"/>
      <c r="C375" s="264"/>
      <c r="D375" s="94"/>
      <c r="E375" s="94"/>
    </row>
    <row r="376" spans="2:12" s="30" customFormat="1" ht="14.5" x14ac:dyDescent="0.35">
      <c r="B376" s="249" t="s">
        <v>62</v>
      </c>
      <c r="C376" s="169"/>
      <c r="D376" s="156"/>
      <c r="E376" s="156"/>
    </row>
    <row r="377" spans="2:12" s="30" customFormat="1" ht="14.5" x14ac:dyDescent="0.35">
      <c r="B377" s="280" t="s">
        <v>63</v>
      </c>
      <c r="C377" s="175"/>
      <c r="D377" s="106" t="s">
        <v>64</v>
      </c>
      <c r="E377" s="315">
        <v>7</v>
      </c>
      <c r="I377" s="463">
        <f t="shared" ref="I377:L378" si="79">($E377+$G377)*I$3</f>
        <v>1.5695399999999999</v>
      </c>
      <c r="J377" s="463">
        <f t="shared" si="79"/>
        <v>0.82726</v>
      </c>
      <c r="K377" s="463">
        <f t="shared" si="79"/>
        <v>0.60060000000000002</v>
      </c>
      <c r="L377" s="463">
        <f t="shared" si="79"/>
        <v>0.49524999999999997</v>
      </c>
    </row>
    <row r="378" spans="2:12" s="30" customFormat="1" ht="14.5" x14ac:dyDescent="0.35">
      <c r="B378" s="280" t="s">
        <v>65</v>
      </c>
      <c r="C378" s="175"/>
      <c r="D378" s="106" t="s">
        <v>66</v>
      </c>
      <c r="E378" s="315">
        <v>15</v>
      </c>
      <c r="I378" s="463">
        <f t="shared" si="79"/>
        <v>3.3633000000000002</v>
      </c>
      <c r="J378" s="463">
        <f t="shared" si="79"/>
        <v>1.7726999999999999</v>
      </c>
      <c r="K378" s="463">
        <f t="shared" si="79"/>
        <v>1.2869999999999999</v>
      </c>
      <c r="L378" s="463">
        <f t="shared" si="79"/>
        <v>1.0612499999999998</v>
      </c>
    </row>
    <row r="379" spans="2:12" s="30" customFormat="1" ht="14.5" collapsed="1" x14ac:dyDescent="0.35">
      <c r="B379" s="97"/>
      <c r="C379" s="266"/>
      <c r="D379" s="117"/>
      <c r="E379" s="267"/>
    </row>
    <row r="380" spans="2:12" x14ac:dyDescent="0.3">
      <c r="B380" s="249" t="s">
        <v>67</v>
      </c>
      <c r="C380" s="169"/>
      <c r="D380" s="272"/>
      <c r="E380" s="243"/>
    </row>
    <row r="381" spans="2:12" s="8" customFormat="1" x14ac:dyDescent="0.35">
      <c r="B381" s="318" t="s">
        <v>68</v>
      </c>
      <c r="C381" s="256"/>
      <c r="D381" s="106" t="s">
        <v>69</v>
      </c>
      <c r="E381" s="319">
        <v>0</v>
      </c>
      <c r="I381" s="463">
        <f t="shared" ref="I381:K381" si="80">($E381+$G381)*I$3</f>
        <v>0</v>
      </c>
      <c r="J381" s="463">
        <f t="shared" si="80"/>
        <v>0</v>
      </c>
      <c r="K381" s="463">
        <f t="shared" si="80"/>
        <v>0</v>
      </c>
      <c r="L381" s="463">
        <f>($E381+$G381)*L$3</f>
        <v>0</v>
      </c>
    </row>
    <row r="382" spans="2:12" s="8" customFormat="1" x14ac:dyDescent="0.35">
      <c r="B382" s="412"/>
      <c r="C382" s="411"/>
      <c r="D382" s="147"/>
      <c r="E382" s="413"/>
    </row>
    <row r="383" spans="2:12" s="97" customFormat="1" x14ac:dyDescent="0.3">
      <c r="B383" s="279"/>
      <c r="C383" s="264"/>
      <c r="D383" s="94"/>
      <c r="E383" s="345"/>
    </row>
    <row r="384" spans="2:12" collapsed="1" x14ac:dyDescent="0.3">
      <c r="B384" s="453" t="s">
        <v>1730</v>
      </c>
      <c r="C384" s="453"/>
      <c r="D384" s="452"/>
      <c r="E384" s="454"/>
      <c r="F384" s="454"/>
      <c r="G384" s="454"/>
    </row>
    <row r="385" spans="2:12" x14ac:dyDescent="0.3">
      <c r="B385" s="190" t="s">
        <v>34</v>
      </c>
      <c r="C385" s="208"/>
      <c r="D385" s="47"/>
      <c r="E385" s="149"/>
    </row>
    <row r="386" spans="2:12" x14ac:dyDescent="0.3">
      <c r="B386" s="101" t="s">
        <v>1775</v>
      </c>
      <c r="C386" s="98"/>
      <c r="D386" s="106" t="s">
        <v>227</v>
      </c>
      <c r="E386" s="315">
        <v>194</v>
      </c>
      <c r="I386" s="463">
        <f t="shared" ref="I386:K386" si="81">($E386+$G386)*I$3</f>
        <v>43.49868</v>
      </c>
      <c r="J386" s="463">
        <f t="shared" si="81"/>
        <v>22.926919999999999</v>
      </c>
      <c r="K386" s="463">
        <f t="shared" si="81"/>
        <v>16.645199999999999</v>
      </c>
      <c r="L386" s="463">
        <f>($E386+$G386)*L$3</f>
        <v>13.725499999999998</v>
      </c>
    </row>
    <row r="387" spans="2:12" x14ac:dyDescent="0.3">
      <c r="B387" s="249"/>
      <c r="C387" s="270"/>
      <c r="D387" s="117"/>
      <c r="E387" s="117"/>
    </row>
    <row r="388" spans="2:12" x14ac:dyDescent="0.3">
      <c r="B388" s="249" t="s">
        <v>39</v>
      </c>
      <c r="C388" s="281"/>
      <c r="D388" s="94"/>
      <c r="E388" s="94"/>
    </row>
    <row r="389" spans="2:12" x14ac:dyDescent="0.3">
      <c r="B389" s="101" t="s">
        <v>1389</v>
      </c>
      <c r="C389" s="116"/>
      <c r="D389" s="106" t="s">
        <v>182</v>
      </c>
      <c r="E389" s="315">
        <v>117</v>
      </c>
      <c r="I389" s="463">
        <f t="shared" ref="I389:L390" si="82">($E389+$G389)*I$3</f>
        <v>26.233740000000001</v>
      </c>
      <c r="J389" s="463">
        <f t="shared" si="82"/>
        <v>13.827059999999999</v>
      </c>
      <c r="K389" s="463">
        <f t="shared" si="82"/>
        <v>10.038600000000001</v>
      </c>
      <c r="L389" s="463">
        <f t="shared" si="82"/>
        <v>8.2777499999999993</v>
      </c>
    </row>
    <row r="390" spans="2:12" x14ac:dyDescent="0.3">
      <c r="B390" s="101" t="s">
        <v>1390</v>
      </c>
      <c r="C390" s="116"/>
      <c r="D390" s="106" t="s">
        <v>183</v>
      </c>
      <c r="E390" s="315">
        <v>397</v>
      </c>
      <c r="I390" s="463">
        <f t="shared" si="82"/>
        <v>89.015339999999995</v>
      </c>
      <c r="J390" s="463">
        <f t="shared" si="82"/>
        <v>46.917459999999998</v>
      </c>
      <c r="K390" s="463">
        <f t="shared" si="82"/>
        <v>34.062600000000003</v>
      </c>
      <c r="L390" s="463">
        <f t="shared" si="82"/>
        <v>28.087749999999996</v>
      </c>
    </row>
    <row r="391" spans="2:12" x14ac:dyDescent="0.3">
      <c r="B391" s="167" t="s">
        <v>1391</v>
      </c>
      <c r="C391" s="168"/>
      <c r="D391" s="94"/>
      <c r="E391" s="170"/>
    </row>
    <row r="392" spans="2:12" x14ac:dyDescent="0.3">
      <c r="B392" s="101" t="s">
        <v>1392</v>
      </c>
      <c r="C392" s="98"/>
      <c r="D392" s="106" t="s">
        <v>181</v>
      </c>
      <c r="E392" s="315">
        <v>34</v>
      </c>
      <c r="I392" s="463">
        <f t="shared" ref="I392:L395" si="83">($E392+$G392)*I$3</f>
        <v>7.6234799999999998</v>
      </c>
      <c r="J392" s="463">
        <f t="shared" si="83"/>
        <v>4.0181199999999997</v>
      </c>
      <c r="K392" s="463">
        <f t="shared" si="83"/>
        <v>2.9172000000000002</v>
      </c>
      <c r="L392" s="463">
        <f t="shared" si="83"/>
        <v>2.4055</v>
      </c>
    </row>
    <row r="393" spans="2:12" x14ac:dyDescent="0.3">
      <c r="B393" s="101" t="s">
        <v>1731</v>
      </c>
      <c r="C393" s="98"/>
      <c r="D393" s="106" t="s">
        <v>1297</v>
      </c>
      <c r="E393" s="315">
        <v>220</v>
      </c>
      <c r="I393" s="463">
        <f t="shared" si="83"/>
        <v>49.328400000000002</v>
      </c>
      <c r="J393" s="463">
        <f t="shared" si="83"/>
        <v>25.999599999999997</v>
      </c>
      <c r="K393" s="463">
        <f t="shared" si="83"/>
        <v>18.876000000000001</v>
      </c>
      <c r="L393" s="463">
        <f t="shared" si="83"/>
        <v>15.564999999999998</v>
      </c>
    </row>
    <row r="394" spans="2:12" x14ac:dyDescent="0.3">
      <c r="B394" s="101" t="s">
        <v>1732</v>
      </c>
      <c r="C394" s="98"/>
      <c r="D394" s="106" t="s">
        <v>1393</v>
      </c>
      <c r="E394" s="315">
        <v>443</v>
      </c>
      <c r="I394" s="463">
        <f t="shared" si="83"/>
        <v>99.329459999999997</v>
      </c>
      <c r="J394" s="463">
        <f t="shared" si="83"/>
        <v>52.353739999999995</v>
      </c>
      <c r="K394" s="463">
        <f t="shared" si="83"/>
        <v>38.009399999999999</v>
      </c>
      <c r="L394" s="463">
        <f t="shared" si="83"/>
        <v>31.342249999999996</v>
      </c>
    </row>
    <row r="395" spans="2:12" x14ac:dyDescent="0.3">
      <c r="B395" s="101" t="s">
        <v>1733</v>
      </c>
      <c r="C395" s="98"/>
      <c r="D395" s="106" t="s">
        <v>1394</v>
      </c>
      <c r="E395" s="315">
        <v>993</v>
      </c>
      <c r="I395" s="463">
        <f t="shared" si="83"/>
        <v>222.65046000000001</v>
      </c>
      <c r="J395" s="463">
        <f t="shared" si="83"/>
        <v>117.35274</v>
      </c>
      <c r="K395" s="463">
        <f t="shared" si="83"/>
        <v>85.199399999999997</v>
      </c>
      <c r="L395" s="463">
        <f t="shared" si="83"/>
        <v>70.254749999999987</v>
      </c>
    </row>
    <row r="396" spans="2:12" x14ac:dyDescent="0.3">
      <c r="B396" s="97"/>
      <c r="C396" s="97"/>
      <c r="D396" s="94"/>
      <c r="E396" s="220"/>
    </row>
    <row r="397" spans="2:12" x14ac:dyDescent="0.3">
      <c r="B397" s="167" t="s">
        <v>42</v>
      </c>
      <c r="C397" s="270"/>
      <c r="D397" s="94"/>
      <c r="E397" s="94"/>
    </row>
    <row r="398" spans="2:12" x14ac:dyDescent="0.3">
      <c r="B398" s="98" t="s">
        <v>1424</v>
      </c>
      <c r="C398" s="98"/>
      <c r="D398" s="106" t="s">
        <v>230</v>
      </c>
      <c r="E398" s="315">
        <v>72</v>
      </c>
      <c r="I398" s="463">
        <f t="shared" ref="I398:L400" si="84">($E398+$G398)*I$3</f>
        <v>16.143840000000001</v>
      </c>
      <c r="J398" s="463">
        <f t="shared" si="84"/>
        <v>8.5089600000000001</v>
      </c>
      <c r="K398" s="463">
        <f t="shared" si="84"/>
        <v>6.1776</v>
      </c>
      <c r="L398" s="463">
        <f t="shared" si="84"/>
        <v>5.0939999999999994</v>
      </c>
    </row>
    <row r="399" spans="2:12" x14ac:dyDescent="0.3">
      <c r="B399" s="98" t="s">
        <v>1425</v>
      </c>
      <c r="C399" s="98"/>
      <c r="D399" s="106" t="s">
        <v>231</v>
      </c>
      <c r="E399" s="315">
        <v>310</v>
      </c>
      <c r="I399" s="463">
        <f t="shared" si="84"/>
        <v>69.508200000000002</v>
      </c>
      <c r="J399" s="463">
        <f t="shared" si="84"/>
        <v>36.635799999999996</v>
      </c>
      <c r="K399" s="463">
        <f t="shared" si="84"/>
        <v>26.597999999999999</v>
      </c>
      <c r="L399" s="463">
        <f t="shared" si="84"/>
        <v>21.932499999999997</v>
      </c>
    </row>
    <row r="400" spans="2:12" x14ac:dyDescent="0.3">
      <c r="B400" s="98" t="s">
        <v>1397</v>
      </c>
      <c r="C400" s="98"/>
      <c r="D400" s="106" t="s">
        <v>1398</v>
      </c>
      <c r="E400" s="315">
        <v>713</v>
      </c>
      <c r="I400" s="463">
        <f t="shared" si="84"/>
        <v>159.86886000000001</v>
      </c>
      <c r="J400" s="463">
        <f t="shared" si="84"/>
        <v>84.262339999999995</v>
      </c>
      <c r="K400" s="463">
        <f t="shared" si="84"/>
        <v>61.175400000000003</v>
      </c>
      <c r="L400" s="463">
        <f t="shared" si="84"/>
        <v>50.444749999999992</v>
      </c>
    </row>
    <row r="401" spans="1:12" x14ac:dyDescent="0.3">
      <c r="B401" s="282"/>
      <c r="C401" s="95"/>
      <c r="D401" s="117"/>
      <c r="E401" s="117"/>
    </row>
    <row r="402" spans="1:12" x14ac:dyDescent="0.3">
      <c r="B402" s="274" t="s">
        <v>155</v>
      </c>
      <c r="C402" s="270"/>
      <c r="D402" s="94"/>
      <c r="E402" s="94"/>
    </row>
    <row r="403" spans="1:12" x14ac:dyDescent="0.3">
      <c r="B403" s="116" t="s">
        <v>1399</v>
      </c>
      <c r="C403" s="116"/>
      <c r="D403" s="106" t="s">
        <v>232</v>
      </c>
      <c r="E403" s="315">
        <v>129</v>
      </c>
      <c r="I403" s="463">
        <f t="shared" ref="I403:L406" si="85">($E403+$G403)*I$3</f>
        <v>28.924379999999999</v>
      </c>
      <c r="J403" s="463">
        <f t="shared" si="85"/>
        <v>15.24522</v>
      </c>
      <c r="K403" s="463">
        <f t="shared" si="85"/>
        <v>11.068200000000001</v>
      </c>
      <c r="L403" s="463">
        <f t="shared" si="85"/>
        <v>9.1267499999999995</v>
      </c>
    </row>
    <row r="404" spans="1:12" x14ac:dyDescent="0.3">
      <c r="B404" s="98" t="s">
        <v>1395</v>
      </c>
      <c r="C404" s="116"/>
      <c r="D404" s="106" t="s">
        <v>233</v>
      </c>
      <c r="E404" s="315">
        <v>200</v>
      </c>
      <c r="I404" s="463">
        <f t="shared" si="85"/>
        <v>44.844000000000001</v>
      </c>
      <c r="J404" s="463">
        <f t="shared" si="85"/>
        <v>23.635999999999999</v>
      </c>
      <c r="K404" s="463">
        <f t="shared" si="85"/>
        <v>17.16</v>
      </c>
      <c r="L404" s="463">
        <f t="shared" si="85"/>
        <v>14.149999999999999</v>
      </c>
    </row>
    <row r="405" spans="1:12" x14ac:dyDescent="0.3">
      <c r="B405" s="98" t="s">
        <v>1396</v>
      </c>
      <c r="C405" s="116"/>
      <c r="D405" s="106" t="s">
        <v>234</v>
      </c>
      <c r="E405" s="315">
        <v>438</v>
      </c>
      <c r="I405" s="463">
        <f t="shared" si="85"/>
        <v>98.208359999999999</v>
      </c>
      <c r="J405" s="463">
        <f t="shared" si="85"/>
        <v>51.762839999999997</v>
      </c>
      <c r="K405" s="463">
        <f t="shared" si="85"/>
        <v>37.580399999999997</v>
      </c>
      <c r="L405" s="463">
        <f t="shared" si="85"/>
        <v>30.988499999999998</v>
      </c>
    </row>
    <row r="406" spans="1:12" x14ac:dyDescent="0.3">
      <c r="B406" s="98" t="s">
        <v>1397</v>
      </c>
      <c r="C406" s="98"/>
      <c r="D406" s="106" t="s">
        <v>1402</v>
      </c>
      <c r="E406" s="315">
        <v>841</v>
      </c>
      <c r="I406" s="463">
        <f t="shared" si="85"/>
        <v>188.56901999999999</v>
      </c>
      <c r="J406" s="463">
        <f t="shared" si="85"/>
        <v>99.389379999999989</v>
      </c>
      <c r="K406" s="463">
        <f t="shared" si="85"/>
        <v>72.157799999999995</v>
      </c>
      <c r="L406" s="463">
        <f t="shared" si="85"/>
        <v>59.500749999999996</v>
      </c>
    </row>
    <row r="407" spans="1:12" x14ac:dyDescent="0.3">
      <c r="B407" s="97"/>
      <c r="C407" s="97"/>
      <c r="D407" s="283"/>
      <c r="E407" s="117"/>
    </row>
    <row r="408" spans="1:12" x14ac:dyDescent="0.3">
      <c r="A408" s="332"/>
      <c r="B408" s="249" t="s">
        <v>1893</v>
      </c>
      <c r="C408" s="284"/>
      <c r="D408" s="94"/>
      <c r="E408" s="94"/>
      <c r="F408" s="332"/>
      <c r="G408" s="332"/>
      <c r="H408" s="332"/>
    </row>
    <row r="409" spans="1:12" x14ac:dyDescent="0.3">
      <c r="A409" s="332"/>
      <c r="B409" s="101" t="s">
        <v>1770</v>
      </c>
      <c r="C409" s="98"/>
      <c r="D409" s="106" t="s">
        <v>1789</v>
      </c>
      <c r="E409" s="319">
        <v>175</v>
      </c>
      <c r="F409" s="332"/>
      <c r="G409" s="332"/>
      <c r="H409" s="332"/>
      <c r="I409" s="463">
        <f t="shared" ref="I409:L413" si="86">($E409+$G409)*I$3</f>
        <v>39.238500000000002</v>
      </c>
      <c r="J409" s="463">
        <f t="shared" si="86"/>
        <v>20.6815</v>
      </c>
      <c r="K409" s="463">
        <f t="shared" si="86"/>
        <v>15.015000000000001</v>
      </c>
      <c r="L409" s="463">
        <f t="shared" si="86"/>
        <v>12.38125</v>
      </c>
    </row>
    <row r="410" spans="1:12" x14ac:dyDescent="0.3">
      <c r="A410" s="13"/>
      <c r="B410" s="101" t="s">
        <v>1734</v>
      </c>
      <c r="C410" s="98"/>
      <c r="D410" s="106" t="s">
        <v>1790</v>
      </c>
      <c r="E410" s="319">
        <v>441</v>
      </c>
      <c r="F410" s="13"/>
      <c r="G410" s="13"/>
      <c r="H410" s="13"/>
      <c r="I410" s="463">
        <f t="shared" si="86"/>
        <v>98.881020000000007</v>
      </c>
      <c r="J410" s="463">
        <f t="shared" si="86"/>
        <v>52.117379999999997</v>
      </c>
      <c r="K410" s="463">
        <f t="shared" si="86"/>
        <v>37.837800000000001</v>
      </c>
      <c r="L410" s="463">
        <f t="shared" si="86"/>
        <v>31.200749999999996</v>
      </c>
    </row>
    <row r="411" spans="1:12" x14ac:dyDescent="0.3">
      <c r="A411" s="13"/>
      <c r="B411" s="101" t="s">
        <v>1735</v>
      </c>
      <c r="C411" s="98"/>
      <c r="D411" s="106" t="s">
        <v>228</v>
      </c>
      <c r="E411" s="319">
        <v>751</v>
      </c>
      <c r="F411" s="13"/>
      <c r="G411" s="13"/>
      <c r="H411" s="13"/>
      <c r="I411" s="463">
        <f t="shared" si="86"/>
        <v>168.38921999999999</v>
      </c>
      <c r="J411" s="463">
        <f t="shared" si="86"/>
        <v>88.75318</v>
      </c>
      <c r="K411" s="463">
        <f t="shared" si="86"/>
        <v>64.4358</v>
      </c>
      <c r="L411" s="463">
        <f t="shared" si="86"/>
        <v>53.133249999999997</v>
      </c>
    </row>
    <row r="412" spans="1:12" x14ac:dyDescent="0.3">
      <c r="A412" s="13"/>
      <c r="B412" s="101" t="s">
        <v>1736</v>
      </c>
      <c r="C412" s="98"/>
      <c r="D412" s="106" t="s">
        <v>229</v>
      </c>
      <c r="E412" s="319">
        <v>1550</v>
      </c>
      <c r="F412" s="13"/>
      <c r="G412" s="13"/>
      <c r="H412" s="13"/>
      <c r="I412" s="463">
        <f t="shared" si="86"/>
        <v>347.541</v>
      </c>
      <c r="J412" s="463">
        <f t="shared" si="86"/>
        <v>183.179</v>
      </c>
      <c r="K412" s="463">
        <f t="shared" si="86"/>
        <v>132.99</v>
      </c>
      <c r="L412" s="463">
        <f t="shared" si="86"/>
        <v>109.66249999999999</v>
      </c>
    </row>
    <row r="413" spans="1:12" x14ac:dyDescent="0.3">
      <c r="B413" s="101" t="s">
        <v>1769</v>
      </c>
      <c r="C413" s="98"/>
      <c r="D413" s="106" t="s">
        <v>1791</v>
      </c>
      <c r="E413" s="319">
        <v>1059</v>
      </c>
      <c r="I413" s="463">
        <f t="shared" si="86"/>
        <v>237.44898000000001</v>
      </c>
      <c r="J413" s="463">
        <f t="shared" si="86"/>
        <v>125.15262</v>
      </c>
      <c r="K413" s="463">
        <f t="shared" si="86"/>
        <v>90.862200000000001</v>
      </c>
      <c r="L413" s="463">
        <f t="shared" si="86"/>
        <v>74.924249999999986</v>
      </c>
    </row>
    <row r="414" spans="1:12" x14ac:dyDescent="0.3">
      <c r="B414" s="97"/>
      <c r="C414" s="97"/>
      <c r="D414" s="117"/>
      <c r="E414" s="170"/>
    </row>
    <row r="415" spans="1:12" x14ac:dyDescent="0.3">
      <c r="A415" s="18"/>
      <c r="B415" s="249" t="s">
        <v>189</v>
      </c>
      <c r="C415" s="270"/>
      <c r="D415" s="94"/>
      <c r="E415" s="170"/>
    </row>
    <row r="416" spans="1:12" x14ac:dyDescent="0.3">
      <c r="B416" s="101" t="s">
        <v>1744</v>
      </c>
      <c r="C416" s="98"/>
      <c r="D416" s="106" t="s">
        <v>235</v>
      </c>
      <c r="E416" s="319">
        <v>27</v>
      </c>
      <c r="I416" s="463">
        <f t="shared" ref="I416:L418" si="87">($E416+$G416)*I$3</f>
        <v>6.0539399999999999</v>
      </c>
      <c r="J416" s="463">
        <f t="shared" si="87"/>
        <v>3.1908599999999998</v>
      </c>
      <c r="K416" s="463">
        <f t="shared" si="87"/>
        <v>2.3166000000000002</v>
      </c>
      <c r="L416" s="463">
        <f t="shared" si="87"/>
        <v>1.9102499999999998</v>
      </c>
    </row>
    <row r="417" spans="2:12" x14ac:dyDescent="0.3">
      <c r="B417" s="98" t="s">
        <v>1894</v>
      </c>
      <c r="C417" s="98"/>
      <c r="D417" s="106" t="s">
        <v>1426</v>
      </c>
      <c r="E417" s="319">
        <v>53</v>
      </c>
      <c r="I417" s="463">
        <f t="shared" si="87"/>
        <v>11.883660000000001</v>
      </c>
      <c r="J417" s="463">
        <f t="shared" si="87"/>
        <v>6.2635399999999999</v>
      </c>
      <c r="K417" s="463">
        <f t="shared" si="87"/>
        <v>4.5473999999999997</v>
      </c>
      <c r="L417" s="463">
        <f t="shared" si="87"/>
        <v>3.7497499999999997</v>
      </c>
    </row>
    <row r="418" spans="2:12" x14ac:dyDescent="0.3">
      <c r="B418" s="101" t="s">
        <v>1745</v>
      </c>
      <c r="C418" s="98"/>
      <c r="D418" s="106" t="s">
        <v>236</v>
      </c>
      <c r="E418" s="319">
        <v>222</v>
      </c>
      <c r="I418" s="463">
        <f t="shared" si="87"/>
        <v>49.77684</v>
      </c>
      <c r="J418" s="463">
        <f t="shared" si="87"/>
        <v>26.235959999999999</v>
      </c>
      <c r="K418" s="463">
        <f t="shared" si="87"/>
        <v>19.047599999999999</v>
      </c>
      <c r="L418" s="463">
        <f t="shared" si="87"/>
        <v>15.706499999999998</v>
      </c>
    </row>
    <row r="419" spans="2:12" x14ac:dyDescent="0.3">
      <c r="B419" s="97"/>
      <c r="C419" s="97"/>
      <c r="D419" s="117"/>
      <c r="E419" s="170"/>
    </row>
    <row r="420" spans="2:12" x14ac:dyDescent="0.3">
      <c r="B420" s="270" t="s">
        <v>164</v>
      </c>
      <c r="C420" s="97"/>
      <c r="D420" s="94"/>
      <c r="E420" s="285"/>
    </row>
    <row r="421" spans="2:12" x14ac:dyDescent="0.3">
      <c r="B421" s="101" t="s">
        <v>192</v>
      </c>
      <c r="C421" s="116"/>
      <c r="D421" s="106" t="s">
        <v>237</v>
      </c>
      <c r="E421" s="315">
        <v>0</v>
      </c>
      <c r="I421" s="463">
        <f t="shared" ref="I421:L421" si="88">($E421+$G421)*I$3</f>
        <v>0</v>
      </c>
      <c r="J421" s="463">
        <f t="shared" si="88"/>
        <v>0</v>
      </c>
      <c r="K421" s="463">
        <f t="shared" si="88"/>
        <v>0</v>
      </c>
      <c r="L421" s="463">
        <f t="shared" si="88"/>
        <v>0</v>
      </c>
    </row>
    <row r="422" spans="2:12" x14ac:dyDescent="0.3">
      <c r="B422" s="97"/>
      <c r="C422" s="97"/>
      <c r="D422" s="94"/>
      <c r="E422" s="117"/>
    </row>
    <row r="423" spans="2:12" x14ac:dyDescent="0.3">
      <c r="B423" s="270" t="s">
        <v>1913</v>
      </c>
      <c r="C423" s="270"/>
      <c r="D423" s="117"/>
      <c r="E423" s="94"/>
    </row>
    <row r="424" spans="2:12" x14ac:dyDescent="0.3">
      <c r="B424" s="286" t="s">
        <v>1767</v>
      </c>
      <c r="C424" s="287"/>
      <c r="D424" s="106" t="s">
        <v>1427</v>
      </c>
      <c r="E424" s="315">
        <v>27</v>
      </c>
      <c r="I424" s="463">
        <f t="shared" ref="I424:L424" si="89">($E424+$G424)*I$3</f>
        <v>6.0539399999999999</v>
      </c>
      <c r="J424" s="463">
        <f t="shared" si="89"/>
        <v>3.1908599999999998</v>
      </c>
      <c r="K424" s="463">
        <f t="shared" si="89"/>
        <v>2.3166000000000002</v>
      </c>
      <c r="L424" s="463">
        <f t="shared" si="89"/>
        <v>1.9102499999999998</v>
      </c>
    </row>
    <row r="425" spans="2:12" x14ac:dyDescent="0.3">
      <c r="B425" s="97"/>
      <c r="C425" s="97"/>
      <c r="D425" s="117"/>
      <c r="E425" s="117"/>
    </row>
    <row r="426" spans="2:12" x14ac:dyDescent="0.3">
      <c r="B426" s="249" t="s">
        <v>1865</v>
      </c>
      <c r="C426" s="97"/>
      <c r="D426" s="94"/>
      <c r="E426" s="94"/>
    </row>
    <row r="427" spans="2:12" x14ac:dyDescent="0.3">
      <c r="B427" s="101" t="s">
        <v>1880</v>
      </c>
      <c r="C427" s="116"/>
      <c r="D427" s="106" t="s">
        <v>238</v>
      </c>
      <c r="E427" s="315">
        <v>19</v>
      </c>
      <c r="I427" s="463">
        <f t="shared" ref="I427:L429" si="90">($E427+$G427)*I$3</f>
        <v>4.2601800000000001</v>
      </c>
      <c r="J427" s="463">
        <f t="shared" si="90"/>
        <v>2.2454199999999997</v>
      </c>
      <c r="K427" s="463">
        <f t="shared" si="90"/>
        <v>1.6302000000000001</v>
      </c>
      <c r="L427" s="463">
        <f t="shared" si="90"/>
        <v>1.3442499999999999</v>
      </c>
    </row>
    <row r="428" spans="2:12" x14ac:dyDescent="0.3">
      <c r="B428" s="101" t="s">
        <v>1876</v>
      </c>
      <c r="C428" s="116"/>
      <c r="D428" s="106" t="s">
        <v>239</v>
      </c>
      <c r="E428" s="315">
        <v>37</v>
      </c>
      <c r="I428" s="463">
        <f t="shared" si="90"/>
        <v>8.2961399999999994</v>
      </c>
      <c r="J428" s="463">
        <f t="shared" si="90"/>
        <v>4.3726599999999998</v>
      </c>
      <c r="K428" s="463">
        <f t="shared" si="90"/>
        <v>3.1745999999999999</v>
      </c>
      <c r="L428" s="463">
        <f t="shared" si="90"/>
        <v>2.6177499999999996</v>
      </c>
    </row>
    <row r="429" spans="2:12" x14ac:dyDescent="0.3">
      <c r="B429" s="101" t="s">
        <v>1877</v>
      </c>
      <c r="C429" s="98"/>
      <c r="D429" s="106" t="s">
        <v>240</v>
      </c>
      <c r="E429" s="319">
        <v>85</v>
      </c>
      <c r="I429" s="463">
        <f t="shared" si="90"/>
        <v>19.058700000000002</v>
      </c>
      <c r="J429" s="463">
        <f t="shared" si="90"/>
        <v>10.045299999999999</v>
      </c>
      <c r="K429" s="463">
        <f t="shared" si="90"/>
        <v>7.2930000000000001</v>
      </c>
      <c r="L429" s="463">
        <f t="shared" si="90"/>
        <v>6.013749999999999</v>
      </c>
    </row>
    <row r="430" spans="2:12" s="30" customFormat="1" ht="14.5" x14ac:dyDescent="0.35">
      <c r="B430" s="182"/>
      <c r="C430" s="182"/>
      <c r="D430" s="147"/>
      <c r="E430" s="181"/>
    </row>
    <row r="431" spans="2:12" s="30" customFormat="1" ht="14.5" x14ac:dyDescent="0.35">
      <c r="B431" s="114" t="s">
        <v>196</v>
      </c>
      <c r="C431" s="114"/>
      <c r="D431" s="94"/>
      <c r="E431" s="114"/>
    </row>
    <row r="432" spans="2:12" s="30" customFormat="1" ht="14.5" x14ac:dyDescent="0.35">
      <c r="B432" s="107" t="s">
        <v>1740</v>
      </c>
      <c r="C432" s="98"/>
      <c r="D432" s="106" t="s">
        <v>197</v>
      </c>
      <c r="E432" s="315">
        <v>116</v>
      </c>
      <c r="I432" s="463">
        <f t="shared" ref="I432:L432" si="91">($E432+$G432)*I$3</f>
        <v>26.009520000000002</v>
      </c>
      <c r="J432" s="463">
        <f t="shared" si="91"/>
        <v>13.708879999999999</v>
      </c>
      <c r="K432" s="463">
        <f t="shared" si="91"/>
        <v>9.9527999999999999</v>
      </c>
      <c r="L432" s="463">
        <f t="shared" si="91"/>
        <v>8.206999999999999</v>
      </c>
    </row>
    <row r="433" spans="2:12" x14ac:dyDescent="0.3">
      <c r="B433" s="270"/>
      <c r="C433" s="270"/>
      <c r="D433" s="117"/>
      <c r="E433" s="117"/>
    </row>
    <row r="434" spans="2:12" x14ac:dyDescent="0.3">
      <c r="B434" s="249" t="s">
        <v>62</v>
      </c>
      <c r="C434" s="270"/>
      <c r="D434" s="156"/>
      <c r="E434" s="94"/>
    </row>
    <row r="435" spans="2:12" x14ac:dyDescent="0.3">
      <c r="B435" s="280" t="s">
        <v>65</v>
      </c>
      <c r="C435" s="397"/>
      <c r="D435" s="106" t="s">
        <v>66</v>
      </c>
      <c r="E435" s="315">
        <v>15</v>
      </c>
      <c r="I435" s="463">
        <f t="shared" ref="I435:L435" si="92">($E435+$G435)*I$3</f>
        <v>3.3633000000000002</v>
      </c>
      <c r="J435" s="463">
        <f t="shared" si="92"/>
        <v>1.7726999999999999</v>
      </c>
      <c r="K435" s="463">
        <f t="shared" si="92"/>
        <v>1.2869999999999999</v>
      </c>
      <c r="L435" s="463">
        <f t="shared" si="92"/>
        <v>1.0612499999999998</v>
      </c>
    </row>
    <row r="436" spans="2:12" x14ac:dyDescent="0.3">
      <c r="B436" s="6"/>
      <c r="C436" s="6"/>
      <c r="E436" s="149"/>
    </row>
    <row r="437" spans="2:12" s="97" customFormat="1" ht="13.5" thickBot="1" x14ac:dyDescent="0.35">
      <c r="B437" s="108"/>
      <c r="C437" s="95"/>
      <c r="D437" s="94"/>
      <c r="E437" s="117"/>
    </row>
    <row r="438" spans="2:12" ht="21.5" thickBot="1" x14ac:dyDescent="0.55000000000000004">
      <c r="B438" s="502" t="s">
        <v>241</v>
      </c>
      <c r="C438" s="503"/>
      <c r="D438" s="503"/>
      <c r="E438" s="462"/>
      <c r="F438" s="507" t="s">
        <v>1925</v>
      </c>
      <c r="G438" s="508"/>
    </row>
    <row r="439" spans="2:12" ht="26.5" thickBot="1" x14ac:dyDescent="0.35">
      <c r="B439" s="14" t="s">
        <v>24</v>
      </c>
      <c r="C439" s="15" t="s">
        <v>25</v>
      </c>
      <c r="D439" s="16" t="s">
        <v>26</v>
      </c>
      <c r="E439" s="460"/>
      <c r="F439" s="461" t="s">
        <v>26</v>
      </c>
      <c r="G439" s="445" t="s">
        <v>27</v>
      </c>
    </row>
    <row r="440" spans="2:12" ht="134.25" customHeight="1" x14ac:dyDescent="0.3">
      <c r="B440" s="240" t="s">
        <v>1845</v>
      </c>
      <c r="C440" s="288" t="s">
        <v>242</v>
      </c>
      <c r="D440" s="289" t="s">
        <v>243</v>
      </c>
      <c r="E440" s="324">
        <v>666</v>
      </c>
      <c r="F440" s="446" t="s">
        <v>1926</v>
      </c>
      <c r="G440" s="447">
        <v>38.770000000000003</v>
      </c>
      <c r="I440" s="463">
        <f t="shared" ref="I440:L443" si="93">($E440+$G440)*I$3</f>
        <v>158.0235294</v>
      </c>
      <c r="J440" s="463">
        <f t="shared" si="93"/>
        <v>83.289718599999986</v>
      </c>
      <c r="K440" s="463">
        <f t="shared" si="93"/>
        <v>60.469265999999998</v>
      </c>
      <c r="L440" s="463">
        <f t="shared" si="93"/>
        <v>49.862477499999997</v>
      </c>
    </row>
    <row r="441" spans="2:12" ht="135" customHeight="1" x14ac:dyDescent="0.3">
      <c r="B441" s="104" t="s">
        <v>1846</v>
      </c>
      <c r="C441" s="288" t="s">
        <v>244</v>
      </c>
      <c r="D441" s="289" t="s">
        <v>245</v>
      </c>
      <c r="E441" s="324">
        <v>1662</v>
      </c>
      <c r="F441" s="446" t="s">
        <v>1926</v>
      </c>
      <c r="G441" s="447">
        <v>38.770000000000003</v>
      </c>
      <c r="I441" s="463">
        <f t="shared" si="93"/>
        <v>381.34664939999999</v>
      </c>
      <c r="J441" s="463">
        <f t="shared" si="93"/>
        <v>200.99699859999998</v>
      </c>
      <c r="K441" s="463">
        <f t="shared" si="93"/>
        <v>145.92606599999999</v>
      </c>
      <c r="L441" s="463">
        <f t="shared" si="93"/>
        <v>120.32947749999998</v>
      </c>
    </row>
    <row r="442" spans="2:12" ht="134.25" customHeight="1" x14ac:dyDescent="0.3">
      <c r="B442" s="333" t="s">
        <v>1824</v>
      </c>
      <c r="C442" s="288" t="s">
        <v>1656</v>
      </c>
      <c r="D442" s="289" t="s">
        <v>1655</v>
      </c>
      <c r="E442" s="381">
        <v>2150</v>
      </c>
      <c r="F442" s="446" t="s">
        <v>1926</v>
      </c>
      <c r="G442" s="447">
        <v>38.770000000000003</v>
      </c>
      <c r="I442" s="463">
        <f t="shared" si="93"/>
        <v>490.76600940000003</v>
      </c>
      <c r="J442" s="463">
        <f t="shared" si="93"/>
        <v>258.66883859999996</v>
      </c>
      <c r="K442" s="463">
        <f t="shared" si="93"/>
        <v>187.79646600000001</v>
      </c>
      <c r="L442" s="463">
        <f t="shared" si="93"/>
        <v>154.85547749999998</v>
      </c>
    </row>
    <row r="443" spans="2:12" ht="147" customHeight="1" x14ac:dyDescent="0.3">
      <c r="B443" s="104" t="s">
        <v>1428</v>
      </c>
      <c r="C443" s="288" t="s">
        <v>246</v>
      </c>
      <c r="D443" s="289" t="s">
        <v>247</v>
      </c>
      <c r="E443" s="324">
        <v>2863</v>
      </c>
      <c r="F443" s="446" t="s">
        <v>1926</v>
      </c>
      <c r="G443" s="447">
        <v>38.770000000000003</v>
      </c>
      <c r="I443" s="463">
        <f t="shared" si="93"/>
        <v>650.63486939999996</v>
      </c>
      <c r="J443" s="463">
        <f t="shared" si="93"/>
        <v>342.93117859999995</v>
      </c>
      <c r="K443" s="463">
        <f t="shared" si="93"/>
        <v>248.97186600000001</v>
      </c>
      <c r="L443" s="463">
        <f t="shared" si="93"/>
        <v>205.30022749999998</v>
      </c>
    </row>
    <row r="444" spans="2:12" s="97" customFormat="1" ht="13.5" thickBot="1" x14ac:dyDescent="0.35">
      <c r="D444" s="94"/>
      <c r="E444" s="166"/>
    </row>
    <row r="445" spans="2:12" ht="21.5" thickBot="1" x14ac:dyDescent="0.55000000000000004">
      <c r="B445" s="502" t="s">
        <v>248</v>
      </c>
      <c r="C445" s="503"/>
      <c r="D445" s="503"/>
      <c r="E445" s="19"/>
    </row>
    <row r="446" spans="2:12" ht="26.5" thickBot="1" x14ac:dyDescent="0.35">
      <c r="B446" s="14" t="s">
        <v>24</v>
      </c>
      <c r="C446" s="15" t="s">
        <v>25</v>
      </c>
      <c r="D446" s="16" t="s">
        <v>26</v>
      </c>
      <c r="E446" s="445"/>
    </row>
    <row r="447" spans="2:12" x14ac:dyDescent="0.3">
      <c r="B447" s="455" t="s">
        <v>249</v>
      </c>
      <c r="C447" s="455"/>
      <c r="D447" s="456"/>
      <c r="E447" s="457"/>
      <c r="F447" s="458"/>
      <c r="G447" s="458"/>
    </row>
    <row r="448" spans="2:12" x14ac:dyDescent="0.3">
      <c r="B448" s="49" t="s">
        <v>34</v>
      </c>
      <c r="C448" s="46"/>
      <c r="D448" s="46"/>
      <c r="E448" s="46"/>
    </row>
    <row r="449" spans="2:12" x14ac:dyDescent="0.3">
      <c r="B449" s="98" t="s">
        <v>250</v>
      </c>
      <c r="C449" s="116"/>
      <c r="D449" s="106" t="s">
        <v>251</v>
      </c>
      <c r="E449" s="315">
        <v>133</v>
      </c>
      <c r="I449" s="463">
        <f t="shared" ref="I449:L455" si="94">($E449+$G449)*I$3</f>
        <v>29.821259999999999</v>
      </c>
      <c r="J449" s="463">
        <f t="shared" si="94"/>
        <v>15.717939999999999</v>
      </c>
      <c r="K449" s="463">
        <f t="shared" si="94"/>
        <v>11.4114</v>
      </c>
      <c r="L449" s="463">
        <f t="shared" si="94"/>
        <v>9.4097499999999989</v>
      </c>
    </row>
    <row r="450" spans="2:12" x14ac:dyDescent="0.3">
      <c r="B450" s="98" t="s">
        <v>252</v>
      </c>
      <c r="C450" s="116"/>
      <c r="D450" s="106" t="s">
        <v>253</v>
      </c>
      <c r="E450" s="315">
        <v>267</v>
      </c>
      <c r="I450" s="463">
        <f t="shared" si="94"/>
        <v>59.86674</v>
      </c>
      <c r="J450" s="463">
        <f t="shared" si="94"/>
        <v>31.55406</v>
      </c>
      <c r="K450" s="463">
        <f t="shared" si="94"/>
        <v>22.9086</v>
      </c>
      <c r="L450" s="463">
        <f t="shared" si="94"/>
        <v>18.890249999999998</v>
      </c>
    </row>
    <row r="451" spans="2:12" x14ac:dyDescent="0.3">
      <c r="B451" s="98" t="s">
        <v>254</v>
      </c>
      <c r="C451" s="116"/>
      <c r="D451" s="106" t="s">
        <v>255</v>
      </c>
      <c r="E451" s="315">
        <v>378</v>
      </c>
      <c r="I451" s="463">
        <f t="shared" si="94"/>
        <v>84.755160000000004</v>
      </c>
      <c r="J451" s="463">
        <f t="shared" si="94"/>
        <v>44.672039999999996</v>
      </c>
      <c r="K451" s="463">
        <f t="shared" si="94"/>
        <v>32.432400000000001</v>
      </c>
      <c r="L451" s="463">
        <f t="shared" si="94"/>
        <v>26.743499999999997</v>
      </c>
    </row>
    <row r="452" spans="2:12" x14ac:dyDescent="0.3">
      <c r="B452" s="98" t="s">
        <v>256</v>
      </c>
      <c r="C452" s="116"/>
      <c r="D452" s="106" t="s">
        <v>257</v>
      </c>
      <c r="E452" s="315">
        <v>488</v>
      </c>
      <c r="I452" s="463">
        <f t="shared" si="94"/>
        <v>109.41936</v>
      </c>
      <c r="J452" s="463">
        <f t="shared" si="94"/>
        <v>57.671839999999996</v>
      </c>
      <c r="K452" s="463">
        <f t="shared" si="94"/>
        <v>41.870400000000004</v>
      </c>
      <c r="L452" s="463">
        <f t="shared" si="94"/>
        <v>34.525999999999996</v>
      </c>
    </row>
    <row r="453" spans="2:12" x14ac:dyDescent="0.3">
      <c r="B453" s="98" t="s">
        <v>258</v>
      </c>
      <c r="C453" s="116"/>
      <c r="D453" s="106" t="s">
        <v>259</v>
      </c>
      <c r="E453" s="315">
        <v>666</v>
      </c>
      <c r="I453" s="463">
        <f t="shared" si="94"/>
        <v>149.33052000000001</v>
      </c>
      <c r="J453" s="463">
        <f t="shared" si="94"/>
        <v>78.707879999999989</v>
      </c>
      <c r="K453" s="463">
        <f t="shared" si="94"/>
        <v>57.142800000000001</v>
      </c>
      <c r="L453" s="463">
        <f t="shared" si="94"/>
        <v>47.119499999999995</v>
      </c>
    </row>
    <row r="454" spans="2:12" x14ac:dyDescent="0.3">
      <c r="B454" s="98" t="s">
        <v>260</v>
      </c>
      <c r="C454" s="116"/>
      <c r="D454" s="106" t="s">
        <v>261</v>
      </c>
      <c r="E454" s="315">
        <v>854</v>
      </c>
      <c r="I454" s="463">
        <f t="shared" si="94"/>
        <v>191.48388</v>
      </c>
      <c r="J454" s="463">
        <f t="shared" si="94"/>
        <v>100.92572</v>
      </c>
      <c r="K454" s="463">
        <f t="shared" si="94"/>
        <v>73.273200000000003</v>
      </c>
      <c r="L454" s="463">
        <f t="shared" si="94"/>
        <v>60.420499999999997</v>
      </c>
    </row>
    <row r="455" spans="2:12" x14ac:dyDescent="0.3">
      <c r="B455" s="98" t="s">
        <v>262</v>
      </c>
      <c r="C455" s="116"/>
      <c r="D455" s="123" t="s">
        <v>263</v>
      </c>
      <c r="E455" s="315">
        <v>1100</v>
      </c>
      <c r="I455" s="463">
        <f t="shared" si="94"/>
        <v>246.642</v>
      </c>
      <c r="J455" s="463">
        <f t="shared" si="94"/>
        <v>129.99799999999999</v>
      </c>
      <c r="K455" s="463">
        <f t="shared" si="94"/>
        <v>94.38</v>
      </c>
      <c r="L455" s="463">
        <f t="shared" si="94"/>
        <v>77.824999999999989</v>
      </c>
    </row>
    <row r="456" spans="2:12" x14ac:dyDescent="0.3">
      <c r="B456" s="134"/>
      <c r="C456" s="97"/>
      <c r="D456" s="130"/>
      <c r="E456" s="130"/>
    </row>
    <row r="457" spans="2:12" x14ac:dyDescent="0.3">
      <c r="B457" s="114" t="s">
        <v>39</v>
      </c>
      <c r="C457" s="290"/>
      <c r="D457" s="128"/>
      <c r="E457" s="128"/>
    </row>
    <row r="458" spans="2:12" x14ac:dyDescent="0.3">
      <c r="B458" s="98" t="s">
        <v>264</v>
      </c>
      <c r="C458" s="116"/>
      <c r="D458" s="111" t="s">
        <v>265</v>
      </c>
      <c r="E458" s="315">
        <v>232</v>
      </c>
      <c r="I458" s="463">
        <f t="shared" ref="I458:L463" si="95">($E458+$G458)*I$3</f>
        <v>52.019040000000004</v>
      </c>
      <c r="J458" s="463">
        <f t="shared" si="95"/>
        <v>27.417759999999998</v>
      </c>
      <c r="K458" s="463">
        <f t="shared" si="95"/>
        <v>19.9056</v>
      </c>
      <c r="L458" s="463">
        <f t="shared" si="95"/>
        <v>16.413999999999998</v>
      </c>
    </row>
    <row r="459" spans="2:12" x14ac:dyDescent="0.3">
      <c r="B459" s="116" t="s">
        <v>1825</v>
      </c>
      <c r="C459" s="116"/>
      <c r="D459" s="106" t="s">
        <v>266</v>
      </c>
      <c r="E459" s="315">
        <v>656</v>
      </c>
      <c r="I459" s="463">
        <f t="shared" si="95"/>
        <v>147.08832000000001</v>
      </c>
      <c r="J459" s="463">
        <f t="shared" si="95"/>
        <v>77.526079999999993</v>
      </c>
      <c r="K459" s="463">
        <f t="shared" si="95"/>
        <v>56.284800000000004</v>
      </c>
      <c r="L459" s="463">
        <f t="shared" si="95"/>
        <v>46.411999999999999</v>
      </c>
    </row>
    <row r="460" spans="2:12" x14ac:dyDescent="0.3">
      <c r="B460" s="98" t="s">
        <v>1826</v>
      </c>
      <c r="C460" s="116"/>
      <c r="D460" s="106" t="s">
        <v>267</v>
      </c>
      <c r="E460" s="315">
        <v>832</v>
      </c>
      <c r="I460" s="463">
        <f t="shared" si="95"/>
        <v>186.55104</v>
      </c>
      <c r="J460" s="463">
        <f t="shared" si="95"/>
        <v>98.325759999999988</v>
      </c>
      <c r="K460" s="463">
        <f t="shared" si="95"/>
        <v>71.385599999999997</v>
      </c>
      <c r="L460" s="463">
        <f t="shared" si="95"/>
        <v>58.863999999999997</v>
      </c>
    </row>
    <row r="461" spans="2:12" x14ac:dyDescent="0.3">
      <c r="B461" s="98" t="s">
        <v>1660</v>
      </c>
      <c r="C461" s="291"/>
      <c r="D461" s="106" t="s">
        <v>268</v>
      </c>
      <c r="E461" s="315">
        <v>1544</v>
      </c>
      <c r="F461" s="18"/>
      <c r="G461" s="18"/>
      <c r="H461" s="18"/>
      <c r="I461" s="463">
        <f t="shared" si="95"/>
        <v>346.19567999999998</v>
      </c>
      <c r="J461" s="463">
        <f t="shared" si="95"/>
        <v>182.46992</v>
      </c>
      <c r="K461" s="463">
        <f t="shared" si="95"/>
        <v>132.4752</v>
      </c>
      <c r="L461" s="463">
        <f t="shared" si="95"/>
        <v>109.23799999999999</v>
      </c>
    </row>
    <row r="462" spans="2:12" x14ac:dyDescent="0.3">
      <c r="B462" s="98" t="s">
        <v>1662</v>
      </c>
      <c r="C462" s="116"/>
      <c r="D462" s="106" t="s">
        <v>269</v>
      </c>
      <c r="E462" s="315">
        <v>1896</v>
      </c>
      <c r="I462" s="463">
        <f t="shared" si="95"/>
        <v>425.12112000000002</v>
      </c>
      <c r="J462" s="463">
        <f t="shared" si="95"/>
        <v>224.06927999999999</v>
      </c>
      <c r="K462" s="463">
        <f t="shared" si="95"/>
        <v>162.67680000000001</v>
      </c>
      <c r="L462" s="463">
        <f t="shared" si="95"/>
        <v>134.142</v>
      </c>
    </row>
    <row r="463" spans="2:12" x14ac:dyDescent="0.3">
      <c r="B463" s="98" t="s">
        <v>1429</v>
      </c>
      <c r="C463" s="116"/>
      <c r="D463" s="123" t="s">
        <v>270</v>
      </c>
      <c r="E463" s="315">
        <v>3320</v>
      </c>
      <c r="I463" s="463">
        <f t="shared" si="95"/>
        <v>744.41039999999998</v>
      </c>
      <c r="J463" s="463">
        <f t="shared" si="95"/>
        <v>392.35759999999999</v>
      </c>
      <c r="K463" s="463">
        <f t="shared" si="95"/>
        <v>284.85599999999999</v>
      </c>
      <c r="L463" s="463">
        <f t="shared" si="95"/>
        <v>234.89</v>
      </c>
    </row>
    <row r="464" spans="2:12" x14ac:dyDescent="0.3">
      <c r="B464" s="95"/>
      <c r="C464" s="95"/>
      <c r="D464" s="130"/>
      <c r="E464" s="130"/>
    </row>
    <row r="465" spans="2:12" x14ac:dyDescent="0.3">
      <c r="B465" s="108" t="s">
        <v>1154</v>
      </c>
      <c r="C465" s="119"/>
      <c r="D465" s="94"/>
      <c r="E465" s="94"/>
    </row>
    <row r="466" spans="2:12" x14ac:dyDescent="0.3">
      <c r="B466" s="119" t="s">
        <v>1640</v>
      </c>
      <c r="C466" s="119"/>
      <c r="D466" s="110"/>
      <c r="E466" s="110"/>
    </row>
    <row r="467" spans="2:12" x14ac:dyDescent="0.3">
      <c r="B467" s="213" t="s">
        <v>45</v>
      </c>
      <c r="C467" s="230"/>
      <c r="D467" s="219" t="s">
        <v>273</v>
      </c>
      <c r="E467" s="315">
        <v>72</v>
      </c>
      <c r="I467" s="463">
        <f t="shared" ref="I467:L469" si="96">($E467+$G467)*I$3</f>
        <v>16.143840000000001</v>
      </c>
      <c r="J467" s="463">
        <f t="shared" si="96"/>
        <v>8.5089600000000001</v>
      </c>
      <c r="K467" s="463">
        <f t="shared" si="96"/>
        <v>6.1776</v>
      </c>
      <c r="L467" s="463">
        <f t="shared" si="96"/>
        <v>5.0939999999999994</v>
      </c>
    </row>
    <row r="468" spans="2:12" x14ac:dyDescent="0.3">
      <c r="B468" s="98" t="s">
        <v>47</v>
      </c>
      <c r="C468" s="116"/>
      <c r="D468" s="219" t="s">
        <v>275</v>
      </c>
      <c r="E468" s="315">
        <v>310</v>
      </c>
      <c r="I468" s="463">
        <f t="shared" si="96"/>
        <v>69.508200000000002</v>
      </c>
      <c r="J468" s="463">
        <f t="shared" si="96"/>
        <v>36.635799999999996</v>
      </c>
      <c r="K468" s="463">
        <f t="shared" si="96"/>
        <v>26.597999999999999</v>
      </c>
      <c r="L468" s="463">
        <f t="shared" si="96"/>
        <v>21.932499999999997</v>
      </c>
    </row>
    <row r="469" spans="2:12" x14ac:dyDescent="0.3">
      <c r="B469" s="384" t="s">
        <v>1342</v>
      </c>
      <c r="C469" s="371"/>
      <c r="D469" s="385" t="s">
        <v>1863</v>
      </c>
      <c r="E469" s="398">
        <v>713</v>
      </c>
      <c r="I469" s="463">
        <f t="shared" si="96"/>
        <v>159.86886000000001</v>
      </c>
      <c r="J469" s="463">
        <f t="shared" si="96"/>
        <v>84.262339999999995</v>
      </c>
      <c r="K469" s="463">
        <f t="shared" si="96"/>
        <v>61.175400000000003</v>
      </c>
      <c r="L469" s="463">
        <f t="shared" si="96"/>
        <v>50.444749999999992</v>
      </c>
    </row>
    <row r="470" spans="2:12" x14ac:dyDescent="0.3">
      <c r="B470" s="181"/>
      <c r="C470" s="146"/>
      <c r="D470" s="147"/>
      <c r="E470" s="180"/>
    </row>
    <row r="471" spans="2:12" x14ac:dyDescent="0.3">
      <c r="B471" s="119" t="s">
        <v>1641</v>
      </c>
      <c r="C471" s="146"/>
      <c r="D471" s="147"/>
      <c r="E471" s="180"/>
    </row>
    <row r="472" spans="2:12" x14ac:dyDescent="0.3">
      <c r="B472" s="213" t="s">
        <v>92</v>
      </c>
      <c r="C472" s="230"/>
      <c r="D472" s="219" t="s">
        <v>51</v>
      </c>
      <c r="E472" s="315">
        <v>129</v>
      </c>
      <c r="I472" s="463">
        <f t="shared" ref="I472:L475" si="97">($E472+$G472)*I$3</f>
        <v>28.924379999999999</v>
      </c>
      <c r="J472" s="463">
        <f t="shared" si="97"/>
        <v>15.24522</v>
      </c>
      <c r="K472" s="463">
        <f t="shared" si="97"/>
        <v>11.068200000000001</v>
      </c>
      <c r="L472" s="463">
        <f t="shared" si="97"/>
        <v>9.1267499999999995</v>
      </c>
    </row>
    <row r="473" spans="2:12" x14ac:dyDescent="0.3">
      <c r="B473" s="213" t="s">
        <v>45</v>
      </c>
      <c r="C473" s="230"/>
      <c r="D473" s="219" t="s">
        <v>52</v>
      </c>
      <c r="E473" s="315">
        <v>200</v>
      </c>
      <c r="I473" s="463">
        <f t="shared" si="97"/>
        <v>44.844000000000001</v>
      </c>
      <c r="J473" s="463">
        <f t="shared" si="97"/>
        <v>23.635999999999999</v>
      </c>
      <c r="K473" s="463">
        <f t="shared" si="97"/>
        <v>17.16</v>
      </c>
      <c r="L473" s="463">
        <f t="shared" si="97"/>
        <v>14.149999999999999</v>
      </c>
    </row>
    <row r="474" spans="2:12" x14ac:dyDescent="0.3">
      <c r="B474" s="213" t="s">
        <v>47</v>
      </c>
      <c r="C474" s="230"/>
      <c r="D474" s="219" t="s">
        <v>53</v>
      </c>
      <c r="E474" s="315">
        <v>438</v>
      </c>
      <c r="I474" s="463">
        <f t="shared" si="97"/>
        <v>98.208359999999999</v>
      </c>
      <c r="J474" s="463">
        <f t="shared" si="97"/>
        <v>51.762839999999997</v>
      </c>
      <c r="K474" s="463">
        <f t="shared" si="97"/>
        <v>37.580399999999997</v>
      </c>
      <c r="L474" s="463">
        <f t="shared" si="97"/>
        <v>30.988499999999998</v>
      </c>
    </row>
    <row r="475" spans="2:12" x14ac:dyDescent="0.3">
      <c r="B475" s="213" t="s">
        <v>1342</v>
      </c>
      <c r="C475" s="230"/>
      <c r="D475" s="219" t="s">
        <v>1344</v>
      </c>
      <c r="E475" s="315">
        <v>841</v>
      </c>
      <c r="I475" s="463">
        <f t="shared" si="97"/>
        <v>188.56901999999999</v>
      </c>
      <c r="J475" s="463">
        <f t="shared" si="97"/>
        <v>99.389379999999989</v>
      </c>
      <c r="K475" s="463">
        <f t="shared" si="97"/>
        <v>72.157799999999995</v>
      </c>
      <c r="L475" s="463">
        <f t="shared" si="97"/>
        <v>59.500749999999996</v>
      </c>
    </row>
    <row r="476" spans="2:12" x14ac:dyDescent="0.3">
      <c r="B476" s="201"/>
      <c r="C476" s="181"/>
      <c r="D476" s="181"/>
      <c r="E476" s="181"/>
    </row>
    <row r="477" spans="2:12" x14ac:dyDescent="0.3">
      <c r="B477" s="119" t="s">
        <v>1532</v>
      </c>
      <c r="C477" s="97"/>
      <c r="D477" s="97"/>
      <c r="E477" s="97"/>
    </row>
    <row r="478" spans="2:12" x14ac:dyDescent="0.3">
      <c r="B478" s="98" t="s">
        <v>1535</v>
      </c>
      <c r="C478" s="116"/>
      <c r="D478" s="106" t="s">
        <v>313</v>
      </c>
      <c r="E478" s="315">
        <v>112</v>
      </c>
      <c r="I478" s="463">
        <f t="shared" ref="I478:L479" si="98">($E478+$G478)*I$3</f>
        <v>25.112639999999999</v>
      </c>
      <c r="J478" s="463">
        <f t="shared" si="98"/>
        <v>13.23616</v>
      </c>
      <c r="K478" s="463">
        <f t="shared" si="98"/>
        <v>9.6096000000000004</v>
      </c>
      <c r="L478" s="463">
        <f t="shared" si="98"/>
        <v>7.9239999999999995</v>
      </c>
    </row>
    <row r="479" spans="2:12" x14ac:dyDescent="0.3">
      <c r="B479" s="98" t="s">
        <v>1536</v>
      </c>
      <c r="C479" s="116"/>
      <c r="D479" s="106" t="s">
        <v>315</v>
      </c>
      <c r="E479" s="315">
        <v>112</v>
      </c>
      <c r="I479" s="463">
        <f t="shared" si="98"/>
        <v>25.112639999999999</v>
      </c>
      <c r="J479" s="463">
        <f t="shared" si="98"/>
        <v>13.23616</v>
      </c>
      <c r="K479" s="463">
        <f t="shared" si="98"/>
        <v>9.6096000000000004</v>
      </c>
      <c r="L479" s="463">
        <f t="shared" si="98"/>
        <v>7.9239999999999995</v>
      </c>
    </row>
    <row r="480" spans="2:12" x14ac:dyDescent="0.3">
      <c r="B480" s="181"/>
      <c r="C480" s="146"/>
      <c r="D480" s="146"/>
      <c r="E480" s="146"/>
    </row>
    <row r="481" spans="2:12" x14ac:dyDescent="0.3">
      <c r="B481" s="119" t="s">
        <v>1527</v>
      </c>
      <c r="C481" s="95"/>
      <c r="D481" s="95"/>
      <c r="E481" s="95"/>
    </row>
    <row r="482" spans="2:12" x14ac:dyDescent="0.3">
      <c r="B482" s="98" t="s">
        <v>318</v>
      </c>
      <c r="C482" s="116"/>
      <c r="D482" s="106" t="s">
        <v>319</v>
      </c>
      <c r="E482" s="315">
        <v>56</v>
      </c>
      <c r="I482" s="463">
        <f t="shared" ref="I482:L486" si="99">($E482+$G482)*I$3</f>
        <v>12.556319999999999</v>
      </c>
      <c r="J482" s="463">
        <f t="shared" si="99"/>
        <v>6.61808</v>
      </c>
      <c r="K482" s="463">
        <f t="shared" si="99"/>
        <v>4.8048000000000002</v>
      </c>
      <c r="L482" s="463">
        <f t="shared" si="99"/>
        <v>3.9619999999999997</v>
      </c>
    </row>
    <row r="483" spans="2:12" x14ac:dyDescent="0.3">
      <c r="B483" s="98" t="s">
        <v>320</v>
      </c>
      <c r="C483" s="116"/>
      <c r="D483" s="106" t="s">
        <v>321</v>
      </c>
      <c r="E483" s="315">
        <v>67</v>
      </c>
      <c r="I483" s="463">
        <f t="shared" si="99"/>
        <v>15.022740000000001</v>
      </c>
      <c r="J483" s="463">
        <f t="shared" si="99"/>
        <v>7.9180599999999997</v>
      </c>
      <c r="K483" s="463">
        <f t="shared" si="99"/>
        <v>5.7485999999999997</v>
      </c>
      <c r="L483" s="463">
        <f t="shared" si="99"/>
        <v>4.7402499999999996</v>
      </c>
    </row>
    <row r="484" spans="2:12" x14ac:dyDescent="0.3">
      <c r="B484" s="98" t="s">
        <v>96</v>
      </c>
      <c r="C484" s="98"/>
      <c r="D484" s="106" t="s">
        <v>322</v>
      </c>
      <c r="E484" s="315">
        <v>144</v>
      </c>
      <c r="I484" s="463">
        <f t="shared" si="99"/>
        <v>32.287680000000002</v>
      </c>
      <c r="J484" s="463">
        <f t="shared" si="99"/>
        <v>17.01792</v>
      </c>
      <c r="K484" s="463">
        <f t="shared" si="99"/>
        <v>12.3552</v>
      </c>
      <c r="L484" s="463">
        <f t="shared" si="99"/>
        <v>10.187999999999999</v>
      </c>
    </row>
    <row r="485" spans="2:12" x14ac:dyDescent="0.3">
      <c r="B485" s="98" t="s">
        <v>323</v>
      </c>
      <c r="C485" s="116"/>
      <c r="D485" s="106" t="s">
        <v>324</v>
      </c>
      <c r="E485" s="315">
        <v>222</v>
      </c>
      <c r="I485" s="463">
        <f t="shared" si="99"/>
        <v>49.77684</v>
      </c>
      <c r="J485" s="463">
        <f t="shared" si="99"/>
        <v>26.235959999999999</v>
      </c>
      <c r="K485" s="463">
        <f t="shared" si="99"/>
        <v>19.047599999999999</v>
      </c>
      <c r="L485" s="463">
        <f t="shared" si="99"/>
        <v>15.706499999999998</v>
      </c>
    </row>
    <row r="486" spans="2:12" x14ac:dyDescent="0.3">
      <c r="B486" s="98" t="s">
        <v>325</v>
      </c>
      <c r="C486" s="116"/>
      <c r="D486" s="106" t="s">
        <v>326</v>
      </c>
      <c r="E486" s="315">
        <v>339</v>
      </c>
      <c r="I486" s="463">
        <f t="shared" si="99"/>
        <v>76.010580000000004</v>
      </c>
      <c r="J486" s="463">
        <f t="shared" si="99"/>
        <v>40.063019999999995</v>
      </c>
      <c r="K486" s="463">
        <f t="shared" si="99"/>
        <v>29.086200000000002</v>
      </c>
      <c r="L486" s="463">
        <f t="shared" si="99"/>
        <v>23.984249999999999</v>
      </c>
    </row>
    <row r="487" spans="2:12" x14ac:dyDescent="0.3">
      <c r="B487" s="95"/>
      <c r="C487" s="97"/>
      <c r="D487" s="130"/>
      <c r="E487" s="130"/>
    </row>
    <row r="488" spans="2:12" x14ac:dyDescent="0.3">
      <c r="B488" s="108" t="s">
        <v>54</v>
      </c>
      <c r="C488" s="97"/>
      <c r="D488" s="94"/>
      <c r="E488" s="220"/>
    </row>
    <row r="489" spans="2:12" x14ac:dyDescent="0.3">
      <c r="B489" s="119" t="s">
        <v>334</v>
      </c>
      <c r="C489" s="97"/>
      <c r="D489" s="94"/>
      <c r="E489" s="220"/>
    </row>
    <row r="490" spans="2:12" x14ac:dyDescent="0.3">
      <c r="B490" s="98" t="s">
        <v>337</v>
      </c>
      <c r="C490" s="98"/>
      <c r="D490" s="219" t="s">
        <v>335</v>
      </c>
      <c r="E490" s="315">
        <v>438</v>
      </c>
      <c r="I490" s="463">
        <f t="shared" ref="I490:L491" si="100">($E490+$G490)*I$3</f>
        <v>98.208359999999999</v>
      </c>
      <c r="J490" s="463">
        <f t="shared" si="100"/>
        <v>51.762839999999997</v>
      </c>
      <c r="K490" s="463">
        <f t="shared" si="100"/>
        <v>37.580399999999997</v>
      </c>
      <c r="L490" s="463">
        <f t="shared" si="100"/>
        <v>30.988499999999998</v>
      </c>
    </row>
    <row r="491" spans="2:12" x14ac:dyDescent="0.3">
      <c r="B491" s="98" t="s">
        <v>338</v>
      </c>
      <c r="C491" s="98"/>
      <c r="D491" s="219" t="s">
        <v>336</v>
      </c>
      <c r="E491" s="315">
        <v>2028</v>
      </c>
      <c r="I491" s="463">
        <f t="shared" si="100"/>
        <v>454.71816000000001</v>
      </c>
      <c r="J491" s="463">
        <f t="shared" si="100"/>
        <v>239.66904</v>
      </c>
      <c r="K491" s="463">
        <f t="shared" si="100"/>
        <v>174.00239999999999</v>
      </c>
      <c r="L491" s="463">
        <f t="shared" si="100"/>
        <v>143.48099999999999</v>
      </c>
    </row>
    <row r="492" spans="2:12" x14ac:dyDescent="0.3">
      <c r="B492" s="119" t="s">
        <v>339</v>
      </c>
      <c r="C492" s="95"/>
      <c r="D492" s="120"/>
      <c r="E492" s="120"/>
    </row>
    <row r="493" spans="2:12" x14ac:dyDescent="0.3">
      <c r="B493" s="101" t="s">
        <v>1345</v>
      </c>
      <c r="C493" s="98"/>
      <c r="D493" s="118" t="s">
        <v>55</v>
      </c>
      <c r="E493" s="315">
        <v>125</v>
      </c>
      <c r="I493" s="463">
        <f t="shared" ref="I493:L501" si="101">($E493+$G493)*I$3</f>
        <v>28.0275</v>
      </c>
      <c r="J493" s="463">
        <f t="shared" si="101"/>
        <v>14.772499999999999</v>
      </c>
      <c r="K493" s="463">
        <f t="shared" si="101"/>
        <v>10.725</v>
      </c>
      <c r="L493" s="463">
        <f t="shared" si="101"/>
        <v>8.84375</v>
      </c>
    </row>
    <row r="494" spans="2:12" s="8" customFormat="1" x14ac:dyDescent="0.35">
      <c r="B494" s="98" t="s">
        <v>340</v>
      </c>
      <c r="C494" s="98"/>
      <c r="D494" s="106" t="s">
        <v>127</v>
      </c>
      <c r="E494" s="315">
        <v>186</v>
      </c>
      <c r="I494" s="463">
        <f t="shared" si="101"/>
        <v>41.704920000000001</v>
      </c>
      <c r="J494" s="463">
        <f t="shared" si="101"/>
        <v>21.981479999999998</v>
      </c>
      <c r="K494" s="463">
        <f t="shared" si="101"/>
        <v>15.9588</v>
      </c>
      <c r="L494" s="463">
        <f t="shared" si="101"/>
        <v>13.1595</v>
      </c>
    </row>
    <row r="495" spans="2:12" s="8" customFormat="1" x14ac:dyDescent="0.35">
      <c r="B495" s="98" t="s">
        <v>1323</v>
      </c>
      <c r="C495" s="98"/>
      <c r="D495" s="106" t="s">
        <v>128</v>
      </c>
      <c r="E495" s="315">
        <v>438</v>
      </c>
      <c r="I495" s="463">
        <f t="shared" si="101"/>
        <v>98.208359999999999</v>
      </c>
      <c r="J495" s="463">
        <f t="shared" si="101"/>
        <v>51.762839999999997</v>
      </c>
      <c r="K495" s="463">
        <f t="shared" si="101"/>
        <v>37.580399999999997</v>
      </c>
      <c r="L495" s="463">
        <f t="shared" si="101"/>
        <v>30.988499999999998</v>
      </c>
    </row>
    <row r="496" spans="2:12" x14ac:dyDescent="0.3">
      <c r="B496" s="101" t="s">
        <v>1501</v>
      </c>
      <c r="C496" s="98"/>
      <c r="D496" s="106" t="s">
        <v>129</v>
      </c>
      <c r="E496" s="315">
        <v>679</v>
      </c>
      <c r="I496" s="463">
        <f t="shared" si="101"/>
        <v>152.24538000000001</v>
      </c>
      <c r="J496" s="463">
        <f t="shared" si="101"/>
        <v>80.244219999999999</v>
      </c>
      <c r="K496" s="463">
        <f t="shared" si="101"/>
        <v>58.258200000000002</v>
      </c>
      <c r="L496" s="463">
        <f t="shared" si="101"/>
        <v>48.039249999999996</v>
      </c>
    </row>
    <row r="497" spans="2:12" s="8" customFormat="1" x14ac:dyDescent="0.35">
      <c r="B497" s="101" t="s">
        <v>1298</v>
      </c>
      <c r="C497" s="98"/>
      <c r="D497" s="106" t="s">
        <v>130</v>
      </c>
      <c r="E497" s="315">
        <v>1253</v>
      </c>
      <c r="I497" s="463">
        <f t="shared" si="101"/>
        <v>280.94765999999998</v>
      </c>
      <c r="J497" s="463">
        <f t="shared" si="101"/>
        <v>148.07953999999998</v>
      </c>
      <c r="K497" s="463">
        <f t="shared" si="101"/>
        <v>107.5074</v>
      </c>
      <c r="L497" s="463">
        <f t="shared" si="101"/>
        <v>88.649749999999997</v>
      </c>
    </row>
    <row r="498" spans="2:12" x14ac:dyDescent="0.3">
      <c r="B498" s="98" t="s">
        <v>342</v>
      </c>
      <c r="C498" s="116"/>
      <c r="D498" s="129" t="s">
        <v>341</v>
      </c>
      <c r="E498" s="315">
        <v>1396</v>
      </c>
      <c r="I498" s="463">
        <f t="shared" si="101"/>
        <v>313.01112000000001</v>
      </c>
      <c r="J498" s="463">
        <f t="shared" si="101"/>
        <v>164.97927999999999</v>
      </c>
      <c r="K498" s="463">
        <f t="shared" si="101"/>
        <v>119.77680000000001</v>
      </c>
      <c r="L498" s="463">
        <f t="shared" si="101"/>
        <v>98.766999999999996</v>
      </c>
    </row>
    <row r="499" spans="2:12" x14ac:dyDescent="0.3">
      <c r="B499" s="101" t="s">
        <v>1430</v>
      </c>
      <c r="C499" s="98"/>
      <c r="D499" s="106" t="s">
        <v>134</v>
      </c>
      <c r="E499" s="315">
        <v>2683</v>
      </c>
      <c r="I499" s="463">
        <f t="shared" si="101"/>
        <v>601.58226000000002</v>
      </c>
      <c r="J499" s="463">
        <f t="shared" si="101"/>
        <v>317.07693999999998</v>
      </c>
      <c r="K499" s="463">
        <f t="shared" si="101"/>
        <v>230.20140000000001</v>
      </c>
      <c r="L499" s="463">
        <f t="shared" si="101"/>
        <v>189.82224999999997</v>
      </c>
    </row>
    <row r="500" spans="2:12" x14ac:dyDescent="0.3">
      <c r="B500" s="98" t="s">
        <v>344</v>
      </c>
      <c r="C500" s="98"/>
      <c r="D500" s="106" t="s">
        <v>343</v>
      </c>
      <c r="E500" s="315">
        <v>3073</v>
      </c>
      <c r="I500" s="463">
        <f t="shared" si="101"/>
        <v>689.02805999999998</v>
      </c>
      <c r="J500" s="463">
        <f t="shared" si="101"/>
        <v>363.16713999999996</v>
      </c>
      <c r="K500" s="463">
        <f t="shared" si="101"/>
        <v>263.66340000000002</v>
      </c>
      <c r="L500" s="463">
        <f t="shared" si="101"/>
        <v>217.41474999999997</v>
      </c>
    </row>
    <row r="501" spans="2:12" x14ac:dyDescent="0.3">
      <c r="B501" s="98" t="s">
        <v>347</v>
      </c>
      <c r="C501" s="98"/>
      <c r="D501" s="118" t="s">
        <v>346</v>
      </c>
      <c r="E501" s="315">
        <v>6348</v>
      </c>
      <c r="I501" s="463">
        <f t="shared" si="101"/>
        <v>1423.3485599999999</v>
      </c>
      <c r="J501" s="463">
        <f t="shared" si="101"/>
        <v>750.20663999999999</v>
      </c>
      <c r="K501" s="463">
        <f t="shared" si="101"/>
        <v>544.65840000000003</v>
      </c>
      <c r="L501" s="463">
        <f t="shared" si="101"/>
        <v>449.12099999999998</v>
      </c>
    </row>
    <row r="502" spans="2:12" x14ac:dyDescent="0.3">
      <c r="B502" s="119" t="s">
        <v>132</v>
      </c>
      <c r="C502" s="95"/>
      <c r="D502" s="120"/>
      <c r="E502" s="120"/>
    </row>
    <row r="503" spans="2:12" x14ac:dyDescent="0.3">
      <c r="B503" s="371" t="s">
        <v>1642</v>
      </c>
      <c r="C503" s="98"/>
      <c r="D503" s="106" t="s">
        <v>348</v>
      </c>
      <c r="E503" s="315">
        <v>724</v>
      </c>
      <c r="I503" s="463">
        <f t="shared" ref="I503:L503" si="102">($E503+$G503)*I$3</f>
        <v>162.33528000000001</v>
      </c>
      <c r="J503" s="463">
        <f t="shared" si="102"/>
        <v>85.56232</v>
      </c>
      <c r="K503" s="463">
        <f t="shared" si="102"/>
        <v>62.119199999999999</v>
      </c>
      <c r="L503" s="463">
        <f t="shared" si="102"/>
        <v>51.222999999999992</v>
      </c>
    </row>
    <row r="504" spans="2:12" x14ac:dyDescent="0.3">
      <c r="B504" s="119" t="s">
        <v>350</v>
      </c>
      <c r="C504" s="95"/>
      <c r="D504" s="120"/>
      <c r="E504" s="120"/>
    </row>
    <row r="505" spans="2:12" s="8" customFormat="1" x14ac:dyDescent="0.35">
      <c r="B505" s="371" t="s">
        <v>1643</v>
      </c>
      <c r="C505" s="98"/>
      <c r="D505" s="106" t="s">
        <v>351</v>
      </c>
      <c r="E505" s="315">
        <v>2655</v>
      </c>
      <c r="I505" s="463">
        <f t="shared" ref="I505:L508" si="103">($E505+$G505)*I$3</f>
        <v>595.30410000000006</v>
      </c>
      <c r="J505" s="463">
        <f t="shared" si="103"/>
        <v>313.7679</v>
      </c>
      <c r="K505" s="463">
        <f t="shared" si="103"/>
        <v>227.79900000000001</v>
      </c>
      <c r="L505" s="463">
        <f t="shared" si="103"/>
        <v>187.84124999999997</v>
      </c>
    </row>
    <row r="506" spans="2:12" s="8" customFormat="1" x14ac:dyDescent="0.35">
      <c r="B506" s="371" t="s">
        <v>1644</v>
      </c>
      <c r="C506" s="98"/>
      <c r="D506" s="106" t="s">
        <v>352</v>
      </c>
      <c r="E506" s="315">
        <v>2861</v>
      </c>
      <c r="I506" s="463">
        <f t="shared" si="103"/>
        <v>641.49342000000001</v>
      </c>
      <c r="J506" s="463">
        <f t="shared" si="103"/>
        <v>338.11297999999999</v>
      </c>
      <c r="K506" s="463">
        <f t="shared" si="103"/>
        <v>245.47380000000001</v>
      </c>
      <c r="L506" s="463">
        <f t="shared" si="103"/>
        <v>202.41574999999997</v>
      </c>
    </row>
    <row r="507" spans="2:12" x14ac:dyDescent="0.3">
      <c r="B507" s="98" t="s">
        <v>353</v>
      </c>
      <c r="C507" s="98"/>
      <c r="D507" s="106" t="s">
        <v>354</v>
      </c>
      <c r="E507" s="315">
        <v>2939</v>
      </c>
      <c r="I507" s="463">
        <f t="shared" si="103"/>
        <v>658.98257999999998</v>
      </c>
      <c r="J507" s="463">
        <f t="shared" si="103"/>
        <v>347.33101999999997</v>
      </c>
      <c r="K507" s="463">
        <f t="shared" si="103"/>
        <v>252.1662</v>
      </c>
      <c r="L507" s="463">
        <f t="shared" si="103"/>
        <v>207.93424999999999</v>
      </c>
    </row>
    <row r="508" spans="2:12" x14ac:dyDescent="0.3">
      <c r="B508" s="98" t="s">
        <v>355</v>
      </c>
      <c r="C508" s="98"/>
      <c r="D508" s="106" t="s">
        <v>356</v>
      </c>
      <c r="E508" s="315">
        <v>3145</v>
      </c>
      <c r="I508" s="463">
        <f t="shared" si="103"/>
        <v>705.17190000000005</v>
      </c>
      <c r="J508" s="463">
        <f t="shared" si="103"/>
        <v>371.67609999999996</v>
      </c>
      <c r="K508" s="463">
        <f t="shared" si="103"/>
        <v>269.84100000000001</v>
      </c>
      <c r="L508" s="463">
        <f t="shared" si="103"/>
        <v>222.50874999999999</v>
      </c>
    </row>
    <row r="509" spans="2:12" x14ac:dyDescent="0.3">
      <c r="B509" s="95"/>
      <c r="C509" s="97"/>
      <c r="D509" s="130"/>
      <c r="E509" s="130"/>
    </row>
    <row r="510" spans="2:12" x14ac:dyDescent="0.3">
      <c r="B510" s="114" t="s">
        <v>98</v>
      </c>
      <c r="C510" s="97"/>
      <c r="D510" s="128"/>
      <c r="E510" s="128"/>
    </row>
    <row r="511" spans="2:12" x14ac:dyDescent="0.3">
      <c r="B511" s="98" t="s">
        <v>357</v>
      </c>
      <c r="C511" s="116"/>
      <c r="D511" s="129" t="s">
        <v>358</v>
      </c>
      <c r="E511" s="315">
        <v>12</v>
      </c>
      <c r="I511" s="463">
        <f t="shared" ref="I511:L512" si="104">($E511+$G511)*I$3</f>
        <v>2.6906400000000001</v>
      </c>
      <c r="J511" s="463">
        <f t="shared" si="104"/>
        <v>1.4181599999999999</v>
      </c>
      <c r="K511" s="463">
        <f t="shared" si="104"/>
        <v>1.0296000000000001</v>
      </c>
      <c r="L511" s="463">
        <f t="shared" si="104"/>
        <v>0.84899999999999998</v>
      </c>
    </row>
    <row r="512" spans="2:12" x14ac:dyDescent="0.3">
      <c r="B512" s="98" t="s">
        <v>1537</v>
      </c>
      <c r="C512" s="116"/>
      <c r="D512" s="129" t="s">
        <v>360</v>
      </c>
      <c r="E512" s="315">
        <v>23</v>
      </c>
      <c r="I512" s="463">
        <f t="shared" si="104"/>
        <v>5.1570600000000004</v>
      </c>
      <c r="J512" s="463">
        <f t="shared" si="104"/>
        <v>2.71814</v>
      </c>
      <c r="K512" s="463">
        <f t="shared" si="104"/>
        <v>1.9734</v>
      </c>
      <c r="L512" s="463">
        <f t="shared" si="104"/>
        <v>1.6272499999999999</v>
      </c>
    </row>
    <row r="513" spans="2:12" x14ac:dyDescent="0.3">
      <c r="B513" s="95"/>
      <c r="C513" s="97"/>
      <c r="D513" s="130"/>
      <c r="E513" s="130"/>
    </row>
    <row r="514" spans="2:12" x14ac:dyDescent="0.3">
      <c r="B514" s="114" t="s">
        <v>361</v>
      </c>
      <c r="C514" s="97"/>
      <c r="D514" s="128"/>
      <c r="E514" s="128"/>
    </row>
    <row r="515" spans="2:12" x14ac:dyDescent="0.3">
      <c r="B515" s="98" t="s">
        <v>104</v>
      </c>
      <c r="C515" s="116"/>
      <c r="D515" s="129" t="s">
        <v>362</v>
      </c>
      <c r="E515" s="315">
        <v>34</v>
      </c>
      <c r="I515" s="463">
        <f t="shared" ref="I515:L518" si="105">($E515+$G515)*I$3</f>
        <v>7.6234799999999998</v>
      </c>
      <c r="J515" s="463">
        <f t="shared" si="105"/>
        <v>4.0181199999999997</v>
      </c>
      <c r="K515" s="463">
        <f t="shared" si="105"/>
        <v>2.9172000000000002</v>
      </c>
      <c r="L515" s="463">
        <f t="shared" si="105"/>
        <v>2.4055</v>
      </c>
    </row>
    <row r="516" spans="2:12" x14ac:dyDescent="0.3">
      <c r="B516" s="116" t="s">
        <v>1431</v>
      </c>
      <c r="C516" s="116"/>
      <c r="D516" s="129" t="s">
        <v>363</v>
      </c>
      <c r="E516" s="315">
        <v>212</v>
      </c>
      <c r="I516" s="463">
        <f t="shared" si="105"/>
        <v>47.534640000000003</v>
      </c>
      <c r="J516" s="463">
        <f t="shared" si="105"/>
        <v>25.05416</v>
      </c>
      <c r="K516" s="463">
        <f t="shared" si="105"/>
        <v>18.189599999999999</v>
      </c>
      <c r="L516" s="463">
        <f t="shared" si="105"/>
        <v>14.998999999999999</v>
      </c>
    </row>
    <row r="517" spans="2:12" x14ac:dyDescent="0.3">
      <c r="B517" s="113" t="s">
        <v>1714</v>
      </c>
      <c r="C517" s="298"/>
      <c r="D517" s="129" t="s">
        <v>364</v>
      </c>
      <c r="E517" s="315">
        <v>39</v>
      </c>
      <c r="I517" s="463">
        <f t="shared" si="105"/>
        <v>8.7445800000000009</v>
      </c>
      <c r="J517" s="463">
        <f t="shared" si="105"/>
        <v>4.6090200000000001</v>
      </c>
      <c r="K517" s="463">
        <f t="shared" si="105"/>
        <v>3.3462000000000001</v>
      </c>
      <c r="L517" s="463">
        <f t="shared" si="105"/>
        <v>2.7592499999999998</v>
      </c>
    </row>
    <row r="518" spans="2:12" x14ac:dyDescent="0.3">
      <c r="B518" s="98" t="s">
        <v>137</v>
      </c>
      <c r="C518" s="116"/>
      <c r="D518" s="129" t="s">
        <v>365</v>
      </c>
      <c r="E518" s="315">
        <v>27</v>
      </c>
      <c r="I518" s="463">
        <f t="shared" si="105"/>
        <v>6.0539399999999999</v>
      </c>
      <c r="J518" s="463">
        <f t="shared" si="105"/>
        <v>3.1908599999999998</v>
      </c>
      <c r="K518" s="463">
        <f t="shared" si="105"/>
        <v>2.3166000000000002</v>
      </c>
      <c r="L518" s="463">
        <f t="shared" si="105"/>
        <v>1.9102499999999998</v>
      </c>
    </row>
    <row r="519" spans="2:12" x14ac:dyDescent="0.3">
      <c r="B519" s="95"/>
      <c r="C519" s="97"/>
      <c r="D519" s="130"/>
      <c r="E519" s="130"/>
    </row>
    <row r="520" spans="2:12" x14ac:dyDescent="0.3">
      <c r="B520" s="108" t="s">
        <v>62</v>
      </c>
      <c r="C520" s="290"/>
      <c r="D520" s="128"/>
      <c r="E520" s="128"/>
    </row>
    <row r="521" spans="2:12" x14ac:dyDescent="0.3">
      <c r="B521" s="292" t="s">
        <v>65</v>
      </c>
      <c r="C521" s="293"/>
      <c r="D521" s="106" t="s">
        <v>66</v>
      </c>
      <c r="E521" s="315">
        <v>15</v>
      </c>
      <c r="I521" s="463">
        <f t="shared" ref="I521:L521" si="106">($E521+$G521)*I$3</f>
        <v>3.3633000000000002</v>
      </c>
      <c r="J521" s="463">
        <f t="shared" si="106"/>
        <v>1.7726999999999999</v>
      </c>
      <c r="K521" s="463">
        <f t="shared" si="106"/>
        <v>1.2869999999999999</v>
      </c>
      <c r="L521" s="463">
        <f t="shared" si="106"/>
        <v>1.0612499999999998</v>
      </c>
    </row>
    <row r="522" spans="2:12" x14ac:dyDescent="0.3">
      <c r="B522" s="95"/>
      <c r="C522" s="97"/>
      <c r="D522" s="130"/>
      <c r="E522" s="130"/>
    </row>
    <row r="523" spans="2:12" x14ac:dyDescent="0.3">
      <c r="B523" s="114" t="s">
        <v>67</v>
      </c>
      <c r="C523" s="97"/>
      <c r="D523" s="128"/>
      <c r="E523" s="128"/>
    </row>
    <row r="524" spans="2:12" x14ac:dyDescent="0.3">
      <c r="B524" s="98" t="s">
        <v>68</v>
      </c>
      <c r="C524" s="116"/>
      <c r="D524" s="129" t="s">
        <v>366</v>
      </c>
      <c r="E524" s="315">
        <v>0</v>
      </c>
      <c r="I524" s="463">
        <f t="shared" ref="I524:L524" si="107">($E524+$G524)*I$3</f>
        <v>0</v>
      </c>
      <c r="J524" s="463">
        <f t="shared" si="107"/>
        <v>0</v>
      </c>
      <c r="K524" s="463">
        <f t="shared" si="107"/>
        <v>0</v>
      </c>
      <c r="L524" s="463">
        <f t="shared" si="107"/>
        <v>0</v>
      </c>
    </row>
    <row r="525" spans="2:12" x14ac:dyDescent="0.3">
      <c r="B525" s="95"/>
      <c r="C525" s="97"/>
      <c r="D525" s="130"/>
      <c r="E525" s="130"/>
    </row>
    <row r="526" spans="2:12" x14ac:dyDescent="0.3">
      <c r="B526" s="108" t="s">
        <v>367</v>
      </c>
      <c r="C526" s="97"/>
      <c r="D526" s="128"/>
      <c r="E526" s="128"/>
    </row>
    <row r="527" spans="2:12" x14ac:dyDescent="0.3">
      <c r="B527" s="292" t="s">
        <v>368</v>
      </c>
      <c r="C527" s="116"/>
      <c r="D527" s="129" t="s">
        <v>369</v>
      </c>
      <c r="E527" s="315">
        <v>50</v>
      </c>
      <c r="I527" s="463">
        <f t="shared" ref="I527:L527" si="108">($E527+$G527)*I$3</f>
        <v>11.211</v>
      </c>
      <c r="J527" s="463">
        <f t="shared" si="108"/>
        <v>5.9089999999999998</v>
      </c>
      <c r="K527" s="463">
        <f t="shared" si="108"/>
        <v>4.29</v>
      </c>
      <c r="L527" s="463">
        <f t="shared" si="108"/>
        <v>3.5374999999999996</v>
      </c>
    </row>
    <row r="528" spans="2:12" x14ac:dyDescent="0.3">
      <c r="B528" s="8"/>
      <c r="C528" s="6"/>
      <c r="D528" s="23"/>
      <c r="E528" s="23"/>
    </row>
    <row r="529" spans="2:12" x14ac:dyDescent="0.3">
      <c r="B529" s="20"/>
      <c r="E529" s="9"/>
    </row>
    <row r="530" spans="2:12" x14ac:dyDescent="0.3">
      <c r="B530" s="44" t="s">
        <v>374</v>
      </c>
      <c r="C530" s="44"/>
      <c r="D530" s="51"/>
      <c r="E530" s="51"/>
      <c r="F530" s="448"/>
      <c r="G530" s="448"/>
    </row>
    <row r="531" spans="2:12" ht="14.5" x14ac:dyDescent="0.3">
      <c r="B531" s="24" t="s">
        <v>34</v>
      </c>
      <c r="C531" s="37"/>
      <c r="D531" s="23"/>
      <c r="E531" s="23"/>
    </row>
    <row r="532" spans="2:12" ht="14.5" x14ac:dyDescent="0.3">
      <c r="B532" s="39" t="s">
        <v>375</v>
      </c>
      <c r="C532" s="37"/>
      <c r="D532" s="50"/>
      <c r="E532" s="50"/>
    </row>
    <row r="533" spans="2:12" x14ac:dyDescent="0.3">
      <c r="B533" s="98" t="s">
        <v>376</v>
      </c>
      <c r="C533" s="101"/>
      <c r="D533" s="121" t="s">
        <v>377</v>
      </c>
      <c r="E533" s="315">
        <v>79</v>
      </c>
      <c r="I533" s="463">
        <f t="shared" ref="I533:L535" si="109">($E533+$G533)*I$3</f>
        <v>17.713380000000001</v>
      </c>
      <c r="J533" s="463">
        <f t="shared" si="109"/>
        <v>9.3362199999999991</v>
      </c>
      <c r="K533" s="463">
        <f t="shared" si="109"/>
        <v>6.7782</v>
      </c>
      <c r="L533" s="463">
        <f t="shared" si="109"/>
        <v>5.5892499999999998</v>
      </c>
    </row>
    <row r="534" spans="2:12" x14ac:dyDescent="0.3">
      <c r="B534" s="98" t="s">
        <v>378</v>
      </c>
      <c r="C534" s="101"/>
      <c r="D534" s="121" t="s">
        <v>379</v>
      </c>
      <c r="E534" s="315">
        <v>499</v>
      </c>
      <c r="I534" s="463">
        <f t="shared" si="109"/>
        <v>111.88578</v>
      </c>
      <c r="J534" s="463">
        <f t="shared" si="109"/>
        <v>58.971819999999994</v>
      </c>
      <c r="K534" s="463">
        <f t="shared" si="109"/>
        <v>42.8142</v>
      </c>
      <c r="L534" s="463">
        <f t="shared" si="109"/>
        <v>35.304249999999996</v>
      </c>
    </row>
    <row r="535" spans="2:12" x14ac:dyDescent="0.3">
      <c r="B535" s="98" t="s">
        <v>380</v>
      </c>
      <c r="C535" s="101"/>
      <c r="D535" s="121" t="s">
        <v>381</v>
      </c>
      <c r="E535" s="315">
        <v>800</v>
      </c>
      <c r="I535" s="463">
        <f t="shared" si="109"/>
        <v>179.376</v>
      </c>
      <c r="J535" s="463">
        <f t="shared" si="109"/>
        <v>94.543999999999997</v>
      </c>
      <c r="K535" s="463">
        <f t="shared" si="109"/>
        <v>68.64</v>
      </c>
      <c r="L535" s="463">
        <f t="shared" si="109"/>
        <v>56.599999999999994</v>
      </c>
    </row>
    <row r="536" spans="2:12" x14ac:dyDescent="0.3">
      <c r="B536" s="119" t="s">
        <v>382</v>
      </c>
      <c r="C536" s="119"/>
      <c r="D536" s="126"/>
      <c r="E536" s="126"/>
    </row>
    <row r="537" spans="2:12" x14ac:dyDescent="0.3">
      <c r="B537" s="98" t="s">
        <v>383</v>
      </c>
      <c r="C537" s="101"/>
      <c r="D537" s="121" t="s">
        <v>384</v>
      </c>
      <c r="E537" s="315">
        <v>1366</v>
      </c>
      <c r="I537" s="463">
        <f t="shared" ref="I537:L545" si="110">($E537+$G537)*I$3</f>
        <v>306.28451999999999</v>
      </c>
      <c r="J537" s="463">
        <f t="shared" si="110"/>
        <v>161.43387999999999</v>
      </c>
      <c r="K537" s="463">
        <f t="shared" si="110"/>
        <v>117.2028</v>
      </c>
      <c r="L537" s="463">
        <f t="shared" si="110"/>
        <v>96.644499999999994</v>
      </c>
    </row>
    <row r="538" spans="2:12" x14ac:dyDescent="0.3">
      <c r="B538" s="98" t="s">
        <v>385</v>
      </c>
      <c r="C538" s="101"/>
      <c r="D538" s="121" t="s">
        <v>386</v>
      </c>
      <c r="E538" s="315">
        <v>1999</v>
      </c>
      <c r="I538" s="463">
        <f t="shared" si="110"/>
        <v>448.21578</v>
      </c>
      <c r="J538" s="463">
        <f t="shared" si="110"/>
        <v>236.24181999999999</v>
      </c>
      <c r="K538" s="463">
        <f t="shared" si="110"/>
        <v>171.51420000000002</v>
      </c>
      <c r="L538" s="463">
        <f t="shared" si="110"/>
        <v>141.42925</v>
      </c>
    </row>
    <row r="539" spans="2:12" x14ac:dyDescent="0.3">
      <c r="B539" s="98" t="s">
        <v>387</v>
      </c>
      <c r="C539" s="101"/>
      <c r="D539" s="121" t="s">
        <v>388</v>
      </c>
      <c r="E539" s="315">
        <v>1609</v>
      </c>
      <c r="I539" s="463">
        <f t="shared" si="110"/>
        <v>360.76998000000003</v>
      </c>
      <c r="J539" s="463">
        <f t="shared" si="110"/>
        <v>190.15161999999998</v>
      </c>
      <c r="K539" s="463">
        <f t="shared" si="110"/>
        <v>138.0522</v>
      </c>
      <c r="L539" s="463">
        <f t="shared" si="110"/>
        <v>113.83674999999999</v>
      </c>
    </row>
    <row r="540" spans="2:12" x14ac:dyDescent="0.3">
      <c r="B540" s="98" t="s">
        <v>389</v>
      </c>
      <c r="C540" s="101"/>
      <c r="D540" s="121" t="s">
        <v>390</v>
      </c>
      <c r="E540" s="315">
        <v>2776</v>
      </c>
      <c r="I540" s="463">
        <f t="shared" si="110"/>
        <v>622.43471999999997</v>
      </c>
      <c r="J540" s="463">
        <f t="shared" si="110"/>
        <v>328.06768</v>
      </c>
      <c r="K540" s="463">
        <f t="shared" si="110"/>
        <v>238.1808</v>
      </c>
      <c r="L540" s="463">
        <f t="shared" si="110"/>
        <v>196.40199999999999</v>
      </c>
    </row>
    <row r="541" spans="2:12" x14ac:dyDescent="0.3">
      <c r="B541" s="98" t="s">
        <v>391</v>
      </c>
      <c r="C541" s="101"/>
      <c r="D541" s="121" t="s">
        <v>392</v>
      </c>
      <c r="E541" s="315">
        <v>3331</v>
      </c>
      <c r="I541" s="463">
        <f t="shared" si="110"/>
        <v>746.87681999999995</v>
      </c>
      <c r="J541" s="463">
        <f t="shared" si="110"/>
        <v>393.65758</v>
      </c>
      <c r="K541" s="463">
        <f t="shared" si="110"/>
        <v>285.7998</v>
      </c>
      <c r="L541" s="463">
        <f t="shared" si="110"/>
        <v>235.66824999999997</v>
      </c>
    </row>
    <row r="542" spans="2:12" x14ac:dyDescent="0.3">
      <c r="B542" s="98" t="s">
        <v>393</v>
      </c>
      <c r="C542" s="101"/>
      <c r="D542" s="121" t="s">
        <v>394</v>
      </c>
      <c r="E542" s="315">
        <v>5442</v>
      </c>
      <c r="I542" s="463">
        <f t="shared" si="110"/>
        <v>1220.20524</v>
      </c>
      <c r="J542" s="463">
        <f t="shared" si="110"/>
        <v>643.13555999999994</v>
      </c>
      <c r="K542" s="463">
        <f t="shared" si="110"/>
        <v>466.92360000000002</v>
      </c>
      <c r="L542" s="463">
        <f t="shared" si="110"/>
        <v>385.02149999999995</v>
      </c>
    </row>
    <row r="543" spans="2:12" x14ac:dyDescent="0.3">
      <c r="B543" s="98" t="s">
        <v>395</v>
      </c>
      <c r="C543" s="101"/>
      <c r="D543" s="121" t="s">
        <v>396</v>
      </c>
      <c r="E543" s="315">
        <v>4275</v>
      </c>
      <c r="I543" s="463">
        <f t="shared" si="110"/>
        <v>958.54050000000007</v>
      </c>
      <c r="J543" s="463">
        <f t="shared" si="110"/>
        <v>505.21949999999998</v>
      </c>
      <c r="K543" s="463">
        <f t="shared" si="110"/>
        <v>366.79500000000002</v>
      </c>
      <c r="L543" s="463">
        <f t="shared" si="110"/>
        <v>302.45624999999995</v>
      </c>
    </row>
    <row r="544" spans="2:12" x14ac:dyDescent="0.3">
      <c r="B544" s="98" t="s">
        <v>397</v>
      </c>
      <c r="C544" s="101"/>
      <c r="D544" s="121" t="s">
        <v>398</v>
      </c>
      <c r="E544" s="315">
        <v>6440</v>
      </c>
      <c r="I544" s="463">
        <f t="shared" si="110"/>
        <v>1443.9767999999999</v>
      </c>
      <c r="J544" s="463">
        <f t="shared" si="110"/>
        <v>761.0791999999999</v>
      </c>
      <c r="K544" s="463">
        <f t="shared" si="110"/>
        <v>552.55200000000002</v>
      </c>
      <c r="L544" s="463">
        <f t="shared" si="110"/>
        <v>455.62999999999994</v>
      </c>
    </row>
    <row r="545" spans="2:12" x14ac:dyDescent="0.3">
      <c r="B545" s="98" t="s">
        <v>399</v>
      </c>
      <c r="C545" s="101"/>
      <c r="D545" s="121" t="s">
        <v>400</v>
      </c>
      <c r="E545" s="315">
        <v>6774</v>
      </c>
      <c r="I545" s="463">
        <f t="shared" si="110"/>
        <v>1518.86628</v>
      </c>
      <c r="J545" s="463">
        <f t="shared" si="110"/>
        <v>800.55131999999992</v>
      </c>
      <c r="K545" s="463">
        <f t="shared" si="110"/>
        <v>581.20920000000001</v>
      </c>
      <c r="L545" s="463">
        <f t="shared" si="110"/>
        <v>479.26049999999998</v>
      </c>
    </row>
    <row r="546" spans="2:12" x14ac:dyDescent="0.3">
      <c r="B546" s="119" t="s">
        <v>401</v>
      </c>
      <c r="C546" s="119"/>
      <c r="D546" s="126"/>
      <c r="E546" s="126"/>
    </row>
    <row r="547" spans="2:12" x14ac:dyDescent="0.3">
      <c r="B547" s="98" t="s">
        <v>402</v>
      </c>
      <c r="C547" s="101"/>
      <c r="D547" s="121" t="s">
        <v>403</v>
      </c>
      <c r="E547" s="315">
        <v>4553</v>
      </c>
      <c r="I547" s="463">
        <f t="shared" ref="I547:L553" si="111">($E547+$G547)*I$3</f>
        <v>1020.87366</v>
      </c>
      <c r="J547" s="463">
        <f t="shared" si="111"/>
        <v>538.07353999999998</v>
      </c>
      <c r="K547" s="463">
        <f t="shared" si="111"/>
        <v>390.6474</v>
      </c>
      <c r="L547" s="463">
        <f t="shared" si="111"/>
        <v>322.12474999999995</v>
      </c>
    </row>
    <row r="548" spans="2:12" x14ac:dyDescent="0.3">
      <c r="B548" s="98" t="s">
        <v>404</v>
      </c>
      <c r="C548" s="101"/>
      <c r="D548" s="121" t="s">
        <v>405</v>
      </c>
      <c r="E548" s="315">
        <v>7440</v>
      </c>
      <c r="I548" s="463">
        <f t="shared" si="111"/>
        <v>1668.1967999999999</v>
      </c>
      <c r="J548" s="463">
        <f t="shared" si="111"/>
        <v>879.25919999999996</v>
      </c>
      <c r="K548" s="463">
        <f t="shared" si="111"/>
        <v>638.35199999999998</v>
      </c>
      <c r="L548" s="463">
        <f t="shared" si="111"/>
        <v>526.38</v>
      </c>
    </row>
    <row r="549" spans="2:12" x14ac:dyDescent="0.3">
      <c r="B549" s="98" t="s">
        <v>406</v>
      </c>
      <c r="C549" s="101"/>
      <c r="D549" s="121" t="s">
        <v>407</v>
      </c>
      <c r="E549" s="315">
        <v>10993</v>
      </c>
      <c r="I549" s="463">
        <f t="shared" si="111"/>
        <v>2464.8504600000001</v>
      </c>
      <c r="J549" s="463">
        <f t="shared" si="111"/>
        <v>1299.15274</v>
      </c>
      <c r="K549" s="463">
        <f t="shared" si="111"/>
        <v>943.19939999999997</v>
      </c>
      <c r="L549" s="463">
        <f t="shared" si="111"/>
        <v>777.75474999999994</v>
      </c>
    </row>
    <row r="550" spans="2:12" x14ac:dyDescent="0.3">
      <c r="B550" s="98" t="s">
        <v>408</v>
      </c>
      <c r="C550" s="101"/>
      <c r="D550" s="121" t="s">
        <v>409</v>
      </c>
      <c r="E550" s="315">
        <v>14325</v>
      </c>
      <c r="I550" s="463">
        <f t="shared" si="111"/>
        <v>3211.9515000000001</v>
      </c>
      <c r="J550" s="463">
        <f t="shared" si="111"/>
        <v>1692.9285</v>
      </c>
      <c r="K550" s="463">
        <f t="shared" si="111"/>
        <v>1229.085</v>
      </c>
      <c r="L550" s="463">
        <f t="shared" si="111"/>
        <v>1013.4937499999999</v>
      </c>
    </row>
    <row r="551" spans="2:12" x14ac:dyDescent="0.3">
      <c r="B551" s="98" t="s">
        <v>410</v>
      </c>
      <c r="C551" s="101"/>
      <c r="D551" s="121" t="s">
        <v>411</v>
      </c>
      <c r="E551" s="315">
        <v>18322</v>
      </c>
      <c r="I551" s="463">
        <f t="shared" si="111"/>
        <v>4108.1588400000001</v>
      </c>
      <c r="J551" s="463">
        <f t="shared" si="111"/>
        <v>2165.29396</v>
      </c>
      <c r="K551" s="463">
        <f t="shared" si="111"/>
        <v>1572.0276000000001</v>
      </c>
      <c r="L551" s="463">
        <f t="shared" si="111"/>
        <v>1296.2814999999998</v>
      </c>
    </row>
    <row r="552" spans="2:12" x14ac:dyDescent="0.3">
      <c r="B552" s="98" t="s">
        <v>412</v>
      </c>
      <c r="C552" s="101"/>
      <c r="D552" s="121" t="s">
        <v>413</v>
      </c>
      <c r="E552" s="315">
        <v>16656</v>
      </c>
      <c r="I552" s="463">
        <f t="shared" si="111"/>
        <v>3734.6083199999998</v>
      </c>
      <c r="J552" s="463">
        <f t="shared" si="111"/>
        <v>1968.40608</v>
      </c>
      <c r="K552" s="463">
        <f t="shared" si="111"/>
        <v>1429.0848000000001</v>
      </c>
      <c r="L552" s="463">
        <f t="shared" si="111"/>
        <v>1178.4119999999998</v>
      </c>
    </row>
    <row r="553" spans="2:12" x14ac:dyDescent="0.3">
      <c r="B553" s="98" t="s">
        <v>414</v>
      </c>
      <c r="C553" s="101"/>
      <c r="D553" s="121" t="s">
        <v>415</v>
      </c>
      <c r="E553" s="315">
        <v>20431</v>
      </c>
      <c r="I553" s="463">
        <f t="shared" si="111"/>
        <v>4581.0388199999998</v>
      </c>
      <c r="J553" s="463">
        <f t="shared" si="111"/>
        <v>2414.5355799999998</v>
      </c>
      <c r="K553" s="463">
        <f t="shared" si="111"/>
        <v>1752.9798000000001</v>
      </c>
      <c r="L553" s="463">
        <f t="shared" si="111"/>
        <v>1445.4932499999998</v>
      </c>
    </row>
    <row r="554" spans="2:12" x14ac:dyDescent="0.3">
      <c r="B554" s="95"/>
      <c r="C554" s="97"/>
      <c r="D554" s="130"/>
      <c r="E554" s="130"/>
    </row>
    <row r="555" spans="2:12" x14ac:dyDescent="0.3">
      <c r="B555" s="108" t="s">
        <v>39</v>
      </c>
      <c r="C555" s="95"/>
      <c r="D555" s="128"/>
      <c r="E555" s="128"/>
    </row>
    <row r="556" spans="2:12" x14ac:dyDescent="0.3">
      <c r="B556" s="113" t="s">
        <v>416</v>
      </c>
      <c r="C556" s="116"/>
      <c r="D556" s="121" t="s">
        <v>417</v>
      </c>
      <c r="E556" s="315">
        <v>424</v>
      </c>
      <c r="I556" s="463">
        <f t="shared" ref="I556:L566" si="112">($E556+$G556)*I$3</f>
        <v>95.069280000000006</v>
      </c>
      <c r="J556" s="463">
        <f t="shared" si="112"/>
        <v>50.108319999999999</v>
      </c>
      <c r="K556" s="463">
        <f t="shared" si="112"/>
        <v>36.379199999999997</v>
      </c>
      <c r="L556" s="463">
        <f t="shared" si="112"/>
        <v>29.997999999999998</v>
      </c>
    </row>
    <row r="557" spans="2:12" x14ac:dyDescent="0.3">
      <c r="B557" s="113" t="s">
        <v>418</v>
      </c>
      <c r="C557" s="116"/>
      <c r="D557" s="121" t="s">
        <v>419</v>
      </c>
      <c r="E557" s="315">
        <v>464</v>
      </c>
      <c r="I557" s="463">
        <f t="shared" si="112"/>
        <v>104.03808000000001</v>
      </c>
      <c r="J557" s="463">
        <f t="shared" si="112"/>
        <v>54.835519999999995</v>
      </c>
      <c r="K557" s="463">
        <f t="shared" si="112"/>
        <v>39.811199999999999</v>
      </c>
      <c r="L557" s="463">
        <f t="shared" si="112"/>
        <v>32.827999999999996</v>
      </c>
    </row>
    <row r="558" spans="2:12" x14ac:dyDescent="0.3">
      <c r="B558" s="113" t="s">
        <v>420</v>
      </c>
      <c r="C558" s="116"/>
      <c r="D558" s="121" t="s">
        <v>421</v>
      </c>
      <c r="E558" s="315">
        <v>928</v>
      </c>
      <c r="I558" s="463">
        <f t="shared" si="112"/>
        <v>208.07616000000002</v>
      </c>
      <c r="J558" s="463">
        <f t="shared" si="112"/>
        <v>109.67103999999999</v>
      </c>
      <c r="K558" s="463">
        <f t="shared" si="112"/>
        <v>79.622399999999999</v>
      </c>
      <c r="L558" s="463">
        <f t="shared" si="112"/>
        <v>65.655999999999992</v>
      </c>
    </row>
    <row r="559" spans="2:12" x14ac:dyDescent="0.3">
      <c r="B559" s="113" t="s">
        <v>1660</v>
      </c>
      <c r="C559" s="116"/>
      <c r="D559" s="121" t="s">
        <v>423</v>
      </c>
      <c r="E559" s="315">
        <v>1312</v>
      </c>
      <c r="I559" s="463">
        <f t="shared" si="112"/>
        <v>294.17664000000002</v>
      </c>
      <c r="J559" s="463">
        <f t="shared" si="112"/>
        <v>155.05215999999999</v>
      </c>
      <c r="K559" s="463">
        <f t="shared" si="112"/>
        <v>112.56960000000001</v>
      </c>
      <c r="L559" s="463">
        <f t="shared" si="112"/>
        <v>92.823999999999998</v>
      </c>
    </row>
    <row r="560" spans="2:12" x14ac:dyDescent="0.3">
      <c r="B560" s="113" t="s">
        <v>1827</v>
      </c>
      <c r="C560" s="116"/>
      <c r="D560" s="121" t="s">
        <v>425</v>
      </c>
      <c r="E560" s="315">
        <v>2728</v>
      </c>
      <c r="I560" s="463">
        <f t="shared" si="112"/>
        <v>611.67215999999996</v>
      </c>
      <c r="J560" s="463">
        <f t="shared" si="112"/>
        <v>322.39503999999999</v>
      </c>
      <c r="K560" s="463">
        <f t="shared" si="112"/>
        <v>234.0624</v>
      </c>
      <c r="L560" s="463">
        <f t="shared" si="112"/>
        <v>193.00599999999997</v>
      </c>
    </row>
    <row r="561" spans="2:12" x14ac:dyDescent="0.3">
      <c r="B561" s="113" t="s">
        <v>1664</v>
      </c>
      <c r="C561" s="116"/>
      <c r="D561" s="121" t="s">
        <v>427</v>
      </c>
      <c r="E561" s="315">
        <v>3088</v>
      </c>
      <c r="I561" s="463">
        <f t="shared" si="112"/>
        <v>692.39135999999996</v>
      </c>
      <c r="J561" s="463">
        <f t="shared" si="112"/>
        <v>364.93984</v>
      </c>
      <c r="K561" s="463">
        <f t="shared" si="112"/>
        <v>264.9504</v>
      </c>
      <c r="L561" s="463">
        <f t="shared" si="112"/>
        <v>218.47599999999997</v>
      </c>
    </row>
    <row r="562" spans="2:12" x14ac:dyDescent="0.3">
      <c r="B562" s="113" t="s">
        <v>428</v>
      </c>
      <c r="C562" s="116"/>
      <c r="D562" s="121" t="s">
        <v>429</v>
      </c>
      <c r="E562" s="315">
        <v>4864</v>
      </c>
      <c r="I562" s="463">
        <f t="shared" si="112"/>
        <v>1090.60608</v>
      </c>
      <c r="J562" s="463">
        <f t="shared" si="112"/>
        <v>574.82751999999994</v>
      </c>
      <c r="K562" s="463">
        <f t="shared" si="112"/>
        <v>417.33120000000002</v>
      </c>
      <c r="L562" s="463">
        <f t="shared" si="112"/>
        <v>344.12799999999999</v>
      </c>
    </row>
    <row r="563" spans="2:12" s="36" customFormat="1" x14ac:dyDescent="0.35">
      <c r="B563" s="113" t="s">
        <v>430</v>
      </c>
      <c r="C563" s="98"/>
      <c r="D563" s="121" t="s">
        <v>431</v>
      </c>
      <c r="E563" s="315">
        <v>14808</v>
      </c>
      <c r="I563" s="463">
        <f t="shared" si="112"/>
        <v>3320.2497600000002</v>
      </c>
      <c r="J563" s="463">
        <f t="shared" si="112"/>
        <v>1750.0094399999998</v>
      </c>
      <c r="K563" s="463">
        <f t="shared" si="112"/>
        <v>1270.5264</v>
      </c>
      <c r="L563" s="463">
        <f t="shared" si="112"/>
        <v>1047.6659999999999</v>
      </c>
    </row>
    <row r="564" spans="2:12" s="36" customFormat="1" x14ac:dyDescent="0.35">
      <c r="B564" s="113" t="s">
        <v>432</v>
      </c>
      <c r="C564" s="98"/>
      <c r="D564" s="121" t="s">
        <v>433</v>
      </c>
      <c r="E564" s="315">
        <v>22444</v>
      </c>
      <c r="I564" s="463">
        <f t="shared" si="112"/>
        <v>5032.3936800000001</v>
      </c>
      <c r="J564" s="463">
        <f t="shared" si="112"/>
        <v>2652.43192</v>
      </c>
      <c r="K564" s="463">
        <f t="shared" si="112"/>
        <v>1925.6952000000001</v>
      </c>
      <c r="L564" s="463">
        <f t="shared" si="112"/>
        <v>1587.9129999999998</v>
      </c>
    </row>
    <row r="565" spans="2:12" s="8" customFormat="1" x14ac:dyDescent="0.35">
      <c r="B565" s="113" t="s">
        <v>434</v>
      </c>
      <c r="C565" s="98"/>
      <c r="D565" s="121" t="s">
        <v>435</v>
      </c>
      <c r="E565" s="315">
        <v>30080</v>
      </c>
      <c r="I565" s="463">
        <f t="shared" si="112"/>
        <v>6744.5375999999997</v>
      </c>
      <c r="J565" s="463">
        <f t="shared" si="112"/>
        <v>3554.8543999999997</v>
      </c>
      <c r="K565" s="463">
        <f t="shared" si="112"/>
        <v>2580.864</v>
      </c>
      <c r="L565" s="463">
        <f t="shared" si="112"/>
        <v>2128.16</v>
      </c>
    </row>
    <row r="566" spans="2:12" s="8" customFormat="1" x14ac:dyDescent="0.35">
      <c r="B566" s="113" t="s">
        <v>436</v>
      </c>
      <c r="C566" s="98"/>
      <c r="D566" s="121" t="s">
        <v>437</v>
      </c>
      <c r="E566" s="315">
        <v>45352</v>
      </c>
      <c r="I566" s="463">
        <f t="shared" si="112"/>
        <v>10168.825440000001</v>
      </c>
      <c r="J566" s="463">
        <f t="shared" si="112"/>
        <v>5359.6993599999996</v>
      </c>
      <c r="K566" s="463">
        <f t="shared" si="112"/>
        <v>3891.2015999999999</v>
      </c>
      <c r="L566" s="463">
        <f t="shared" si="112"/>
        <v>3208.6539999999995</v>
      </c>
    </row>
    <row r="567" spans="2:12" x14ac:dyDescent="0.3">
      <c r="B567" s="134"/>
      <c r="C567" s="97"/>
      <c r="D567" s="294"/>
      <c r="E567" s="294"/>
    </row>
    <row r="568" spans="2:12" x14ac:dyDescent="0.3">
      <c r="B568" s="108" t="s">
        <v>1154</v>
      </c>
      <c r="C568" s="97"/>
      <c r="D568" s="294"/>
      <c r="E568" s="294"/>
    </row>
    <row r="569" spans="2:12" x14ac:dyDescent="0.3">
      <c r="B569" s="119" t="s">
        <v>1526</v>
      </c>
      <c r="C569" s="119"/>
      <c r="D569" s="94"/>
      <c r="E569" s="94"/>
    </row>
    <row r="570" spans="2:12" x14ac:dyDescent="0.3">
      <c r="B570" s="213" t="s">
        <v>47</v>
      </c>
      <c r="C570" s="230"/>
      <c r="D570" s="219" t="s">
        <v>438</v>
      </c>
      <c r="E570" s="315">
        <v>239</v>
      </c>
      <c r="I570" s="463">
        <f t="shared" ref="I570:L571" si="113">($E570+$G570)*I$3</f>
        <v>53.58858</v>
      </c>
      <c r="J570" s="463">
        <f t="shared" si="113"/>
        <v>28.245019999999997</v>
      </c>
      <c r="K570" s="463">
        <f t="shared" si="113"/>
        <v>20.5062</v>
      </c>
      <c r="L570" s="463">
        <f t="shared" si="113"/>
        <v>16.90925</v>
      </c>
    </row>
    <row r="571" spans="2:12" x14ac:dyDescent="0.3">
      <c r="B571" s="213" t="s">
        <v>1342</v>
      </c>
      <c r="C571" s="230"/>
      <c r="D571" s="219" t="s">
        <v>439</v>
      </c>
      <c r="E571" s="315">
        <v>641</v>
      </c>
      <c r="I571" s="463">
        <f t="shared" si="113"/>
        <v>143.72502</v>
      </c>
      <c r="J571" s="463">
        <f t="shared" si="113"/>
        <v>75.753379999999993</v>
      </c>
      <c r="K571" s="463">
        <f t="shared" si="113"/>
        <v>54.997799999999998</v>
      </c>
      <c r="L571" s="463">
        <f t="shared" si="113"/>
        <v>45.350749999999998</v>
      </c>
    </row>
    <row r="572" spans="2:12" x14ac:dyDescent="0.3">
      <c r="B572" s="201"/>
      <c r="C572" s="181"/>
      <c r="D572" s="147"/>
      <c r="E572" s="204"/>
    </row>
    <row r="573" spans="2:12" x14ac:dyDescent="0.3">
      <c r="B573" s="119" t="s">
        <v>1528</v>
      </c>
      <c r="C573" s="146"/>
      <c r="D573" s="147"/>
      <c r="E573" s="180"/>
    </row>
    <row r="574" spans="2:12" x14ac:dyDescent="0.3">
      <c r="B574" s="213" t="s">
        <v>45</v>
      </c>
      <c r="C574" s="230"/>
      <c r="D574" s="219" t="s">
        <v>52</v>
      </c>
      <c r="E574" s="315">
        <v>200</v>
      </c>
      <c r="I574" s="463">
        <f t="shared" ref="I574:L576" si="114">($E574+$G574)*I$3</f>
        <v>44.844000000000001</v>
      </c>
      <c r="J574" s="463">
        <f t="shared" si="114"/>
        <v>23.635999999999999</v>
      </c>
      <c r="K574" s="463">
        <f t="shared" si="114"/>
        <v>17.16</v>
      </c>
      <c r="L574" s="463">
        <f t="shared" si="114"/>
        <v>14.149999999999999</v>
      </c>
    </row>
    <row r="575" spans="2:12" x14ac:dyDescent="0.3">
      <c r="B575" s="213" t="s">
        <v>47</v>
      </c>
      <c r="C575" s="230"/>
      <c r="D575" s="219" t="s">
        <v>53</v>
      </c>
      <c r="E575" s="315">
        <v>438</v>
      </c>
      <c r="I575" s="463">
        <f t="shared" si="114"/>
        <v>98.208359999999999</v>
      </c>
      <c r="J575" s="463">
        <f t="shared" si="114"/>
        <v>51.762839999999997</v>
      </c>
      <c r="K575" s="463">
        <f t="shared" si="114"/>
        <v>37.580399999999997</v>
      </c>
      <c r="L575" s="463">
        <f t="shared" si="114"/>
        <v>30.988499999999998</v>
      </c>
    </row>
    <row r="576" spans="2:12" x14ac:dyDescent="0.3">
      <c r="B576" s="213" t="s">
        <v>1342</v>
      </c>
      <c r="C576" s="230"/>
      <c r="D576" s="219" t="s">
        <v>1344</v>
      </c>
      <c r="E576" s="315">
        <v>841</v>
      </c>
      <c r="I576" s="463">
        <f t="shared" si="114"/>
        <v>188.56901999999999</v>
      </c>
      <c r="J576" s="463">
        <f t="shared" si="114"/>
        <v>99.389379999999989</v>
      </c>
      <c r="K576" s="463">
        <f t="shared" si="114"/>
        <v>72.157799999999995</v>
      </c>
      <c r="L576" s="463">
        <f t="shared" si="114"/>
        <v>59.500749999999996</v>
      </c>
    </row>
    <row r="577" spans="2:12" x14ac:dyDescent="0.3">
      <c r="B577" s="201"/>
      <c r="C577" s="181"/>
      <c r="D577" s="147"/>
      <c r="E577" s="204"/>
    </row>
    <row r="578" spans="2:12" x14ac:dyDescent="0.3">
      <c r="B578" s="119" t="s">
        <v>1529</v>
      </c>
      <c r="C578" s="95"/>
      <c r="D578" s="128"/>
      <c r="E578" s="128"/>
    </row>
    <row r="579" spans="2:12" x14ac:dyDescent="0.3">
      <c r="B579" s="213" t="s">
        <v>45</v>
      </c>
      <c r="C579" s="230"/>
      <c r="D579" s="219" t="s">
        <v>52</v>
      </c>
      <c r="E579" s="315">
        <v>200</v>
      </c>
      <c r="I579" s="463">
        <f t="shared" ref="I579:L586" si="115">($E579+$G579)*I$3</f>
        <v>44.844000000000001</v>
      </c>
      <c r="J579" s="463">
        <f t="shared" si="115"/>
        <v>23.635999999999999</v>
      </c>
      <c r="K579" s="463">
        <f t="shared" si="115"/>
        <v>17.16</v>
      </c>
      <c r="L579" s="463">
        <f t="shared" si="115"/>
        <v>14.149999999999999</v>
      </c>
    </row>
    <row r="580" spans="2:12" x14ac:dyDescent="0.3">
      <c r="B580" s="213" t="s">
        <v>47</v>
      </c>
      <c r="C580" s="230"/>
      <c r="D580" s="219" t="s">
        <v>53</v>
      </c>
      <c r="E580" s="315">
        <v>438</v>
      </c>
      <c r="I580" s="463">
        <f t="shared" si="115"/>
        <v>98.208359999999999</v>
      </c>
      <c r="J580" s="463">
        <f t="shared" si="115"/>
        <v>51.762839999999997</v>
      </c>
      <c r="K580" s="463">
        <f t="shared" si="115"/>
        <v>37.580399999999997</v>
      </c>
      <c r="L580" s="463">
        <f t="shared" si="115"/>
        <v>30.988499999999998</v>
      </c>
    </row>
    <row r="581" spans="2:12" x14ac:dyDescent="0.3">
      <c r="B581" s="213" t="s">
        <v>1342</v>
      </c>
      <c r="C581" s="230"/>
      <c r="D581" s="219" t="s">
        <v>1344</v>
      </c>
      <c r="E581" s="315">
        <v>841</v>
      </c>
      <c r="I581" s="463">
        <f t="shared" si="115"/>
        <v>188.56901999999999</v>
      </c>
      <c r="J581" s="463">
        <f t="shared" si="115"/>
        <v>99.389379999999989</v>
      </c>
      <c r="K581" s="463">
        <f t="shared" si="115"/>
        <v>72.157799999999995</v>
      </c>
      <c r="L581" s="463">
        <f t="shared" si="115"/>
        <v>59.500749999999996</v>
      </c>
    </row>
    <row r="582" spans="2:12" x14ac:dyDescent="0.3">
      <c r="B582" s="295" t="s">
        <v>318</v>
      </c>
      <c r="C582" s="296"/>
      <c r="D582" s="219" t="s">
        <v>319</v>
      </c>
      <c r="E582" s="315">
        <v>56</v>
      </c>
      <c r="I582" s="463">
        <f t="shared" si="115"/>
        <v>12.556319999999999</v>
      </c>
      <c r="J582" s="463">
        <f t="shared" si="115"/>
        <v>6.61808</v>
      </c>
      <c r="K582" s="463">
        <f t="shared" si="115"/>
        <v>4.8048000000000002</v>
      </c>
      <c r="L582" s="463">
        <f t="shared" si="115"/>
        <v>3.9619999999999997</v>
      </c>
    </row>
    <row r="583" spans="2:12" x14ac:dyDescent="0.3">
      <c r="B583" s="295" t="s">
        <v>320</v>
      </c>
      <c r="C583" s="296"/>
      <c r="D583" s="219" t="s">
        <v>321</v>
      </c>
      <c r="E583" s="315">
        <v>67</v>
      </c>
      <c r="I583" s="463">
        <f t="shared" si="115"/>
        <v>15.022740000000001</v>
      </c>
      <c r="J583" s="463">
        <f t="shared" si="115"/>
        <v>7.9180599999999997</v>
      </c>
      <c r="K583" s="463">
        <f t="shared" si="115"/>
        <v>5.7485999999999997</v>
      </c>
      <c r="L583" s="463">
        <f t="shared" si="115"/>
        <v>4.7402499999999996</v>
      </c>
    </row>
    <row r="584" spans="2:12" x14ac:dyDescent="0.3">
      <c r="B584" s="295" t="s">
        <v>96</v>
      </c>
      <c r="C584" s="296"/>
      <c r="D584" s="219" t="s">
        <v>322</v>
      </c>
      <c r="E584" s="315">
        <v>144</v>
      </c>
      <c r="I584" s="463">
        <f t="shared" si="115"/>
        <v>32.287680000000002</v>
      </c>
      <c r="J584" s="463">
        <f t="shared" si="115"/>
        <v>17.01792</v>
      </c>
      <c r="K584" s="463">
        <f t="shared" si="115"/>
        <v>12.3552</v>
      </c>
      <c r="L584" s="463">
        <f t="shared" si="115"/>
        <v>10.187999999999999</v>
      </c>
    </row>
    <row r="585" spans="2:12" x14ac:dyDescent="0.3">
      <c r="B585" s="295" t="s">
        <v>323</v>
      </c>
      <c r="C585" s="296"/>
      <c r="D585" s="219" t="s">
        <v>324</v>
      </c>
      <c r="E585" s="315">
        <v>222</v>
      </c>
      <c r="I585" s="463">
        <f t="shared" si="115"/>
        <v>49.77684</v>
      </c>
      <c r="J585" s="463">
        <f t="shared" si="115"/>
        <v>26.235959999999999</v>
      </c>
      <c r="K585" s="463">
        <f t="shared" si="115"/>
        <v>19.047599999999999</v>
      </c>
      <c r="L585" s="463">
        <f t="shared" si="115"/>
        <v>15.706499999999998</v>
      </c>
    </row>
    <row r="586" spans="2:12" x14ac:dyDescent="0.3">
      <c r="B586" s="295" t="s">
        <v>325</v>
      </c>
      <c r="C586" s="296"/>
      <c r="D586" s="219" t="s">
        <v>326</v>
      </c>
      <c r="E586" s="315">
        <v>339</v>
      </c>
      <c r="I586" s="463">
        <f t="shared" si="115"/>
        <v>76.010580000000004</v>
      </c>
      <c r="J586" s="463">
        <f t="shared" si="115"/>
        <v>40.063019999999995</v>
      </c>
      <c r="K586" s="463">
        <f t="shared" si="115"/>
        <v>29.086200000000002</v>
      </c>
      <c r="L586" s="463">
        <f t="shared" si="115"/>
        <v>23.984249999999999</v>
      </c>
    </row>
    <row r="587" spans="2:12" x14ac:dyDescent="0.3">
      <c r="B587" s="201"/>
      <c r="C587" s="181"/>
      <c r="D587" s="147"/>
      <c r="E587" s="204"/>
    </row>
    <row r="588" spans="2:12" x14ac:dyDescent="0.3">
      <c r="B588" s="119" t="s">
        <v>1532</v>
      </c>
      <c r="C588" s="97"/>
      <c r="D588" s="128"/>
      <c r="E588" s="128"/>
    </row>
    <row r="589" spans="2:12" x14ac:dyDescent="0.3">
      <c r="B589" s="98" t="s">
        <v>1533</v>
      </c>
      <c r="C589" s="116"/>
      <c r="D589" s="106" t="s">
        <v>313</v>
      </c>
      <c r="E589" s="315">
        <v>112</v>
      </c>
      <c r="I589" s="463">
        <f t="shared" ref="I589:L590" si="116">($E589+$G589)*I$3</f>
        <v>25.112639999999999</v>
      </c>
      <c r="J589" s="463">
        <f t="shared" si="116"/>
        <v>13.23616</v>
      </c>
      <c r="K589" s="463">
        <f t="shared" si="116"/>
        <v>9.6096000000000004</v>
      </c>
      <c r="L589" s="463">
        <f t="shared" si="116"/>
        <v>7.9239999999999995</v>
      </c>
    </row>
    <row r="590" spans="2:12" x14ac:dyDescent="0.3">
      <c r="B590" s="98" t="s">
        <v>1534</v>
      </c>
      <c r="C590" s="116"/>
      <c r="D590" s="106" t="s">
        <v>315</v>
      </c>
      <c r="E590" s="315">
        <v>112</v>
      </c>
      <c r="I590" s="463">
        <f t="shared" si="116"/>
        <v>25.112639999999999</v>
      </c>
      <c r="J590" s="463">
        <f t="shared" si="116"/>
        <v>13.23616</v>
      </c>
      <c r="K590" s="463">
        <f t="shared" si="116"/>
        <v>9.6096000000000004</v>
      </c>
      <c r="L590" s="463">
        <f t="shared" si="116"/>
        <v>7.9239999999999995</v>
      </c>
    </row>
    <row r="591" spans="2:12" x14ac:dyDescent="0.3">
      <c r="B591" s="201"/>
      <c r="C591" s="181"/>
      <c r="D591" s="147"/>
      <c r="E591" s="204"/>
    </row>
    <row r="592" spans="2:12" s="97" customFormat="1" x14ac:dyDescent="0.3">
      <c r="B592" s="119" t="s">
        <v>1541</v>
      </c>
      <c r="C592" s="95"/>
      <c r="D592" s="297"/>
      <c r="E592" s="297"/>
    </row>
    <row r="593" spans="2:12" s="97" customFormat="1" x14ac:dyDescent="0.3">
      <c r="B593" s="295" t="s">
        <v>1538</v>
      </c>
      <c r="C593" s="296"/>
      <c r="D593" s="219" t="s">
        <v>327</v>
      </c>
      <c r="E593" s="315">
        <v>53</v>
      </c>
      <c r="I593" s="463">
        <f t="shared" ref="I593:L593" si="117">($E593+$G593)*I$3</f>
        <v>11.883660000000001</v>
      </c>
      <c r="J593" s="463">
        <f t="shared" si="117"/>
        <v>6.2635399999999999</v>
      </c>
      <c r="K593" s="463">
        <f t="shared" si="117"/>
        <v>4.5473999999999997</v>
      </c>
      <c r="L593" s="463">
        <f t="shared" si="117"/>
        <v>3.7497499999999997</v>
      </c>
    </row>
    <row r="594" spans="2:12" x14ac:dyDescent="0.3">
      <c r="B594" s="201"/>
      <c r="C594" s="181"/>
      <c r="D594" s="147"/>
      <c r="E594" s="204"/>
    </row>
    <row r="595" spans="2:12" s="97" customFormat="1" x14ac:dyDescent="0.3">
      <c r="B595" s="119" t="s">
        <v>1539</v>
      </c>
      <c r="D595" s="147"/>
      <c r="E595" s="147"/>
    </row>
    <row r="596" spans="2:12" s="97" customFormat="1" x14ac:dyDescent="0.3">
      <c r="B596" s="295" t="s">
        <v>318</v>
      </c>
      <c r="C596" s="296"/>
      <c r="D596" s="219" t="s">
        <v>319</v>
      </c>
      <c r="E596" s="315">
        <v>56</v>
      </c>
      <c r="I596" s="463">
        <f t="shared" ref="I596:L600" si="118">($E596+$G596)*I$3</f>
        <v>12.556319999999999</v>
      </c>
      <c r="J596" s="463">
        <f t="shared" si="118"/>
        <v>6.61808</v>
      </c>
      <c r="K596" s="463">
        <f t="shared" si="118"/>
        <v>4.8048000000000002</v>
      </c>
      <c r="L596" s="463">
        <f t="shared" si="118"/>
        <v>3.9619999999999997</v>
      </c>
    </row>
    <row r="597" spans="2:12" s="97" customFormat="1" x14ac:dyDescent="0.3">
      <c r="B597" s="295" t="s">
        <v>320</v>
      </c>
      <c r="C597" s="296"/>
      <c r="D597" s="219" t="s">
        <v>321</v>
      </c>
      <c r="E597" s="315">
        <v>67</v>
      </c>
      <c r="I597" s="463">
        <f t="shared" si="118"/>
        <v>15.022740000000001</v>
      </c>
      <c r="J597" s="463">
        <f t="shared" si="118"/>
        <v>7.9180599999999997</v>
      </c>
      <c r="K597" s="463">
        <f t="shared" si="118"/>
        <v>5.7485999999999997</v>
      </c>
      <c r="L597" s="463">
        <f t="shared" si="118"/>
        <v>4.7402499999999996</v>
      </c>
    </row>
    <row r="598" spans="2:12" s="97" customFormat="1" x14ac:dyDescent="0.3">
      <c r="B598" s="295" t="s">
        <v>96</v>
      </c>
      <c r="C598" s="296"/>
      <c r="D598" s="219" t="s">
        <v>322</v>
      </c>
      <c r="E598" s="315">
        <v>144</v>
      </c>
      <c r="I598" s="463">
        <f t="shared" si="118"/>
        <v>32.287680000000002</v>
      </c>
      <c r="J598" s="463">
        <f t="shared" si="118"/>
        <v>17.01792</v>
      </c>
      <c r="K598" s="463">
        <f t="shared" si="118"/>
        <v>12.3552</v>
      </c>
      <c r="L598" s="463">
        <f t="shared" si="118"/>
        <v>10.187999999999999</v>
      </c>
    </row>
    <row r="599" spans="2:12" s="97" customFormat="1" x14ac:dyDescent="0.3">
      <c r="B599" s="295" t="s">
        <v>323</v>
      </c>
      <c r="C599" s="296"/>
      <c r="D599" s="219" t="s">
        <v>324</v>
      </c>
      <c r="E599" s="315">
        <v>222</v>
      </c>
      <c r="I599" s="463">
        <f t="shared" si="118"/>
        <v>49.77684</v>
      </c>
      <c r="J599" s="463">
        <f t="shared" si="118"/>
        <v>26.235959999999999</v>
      </c>
      <c r="K599" s="463">
        <f t="shared" si="118"/>
        <v>19.047599999999999</v>
      </c>
      <c r="L599" s="463">
        <f t="shared" si="118"/>
        <v>15.706499999999998</v>
      </c>
    </row>
    <row r="600" spans="2:12" s="97" customFormat="1" x14ac:dyDescent="0.3">
      <c r="B600" s="295" t="s">
        <v>325</v>
      </c>
      <c r="C600" s="296"/>
      <c r="D600" s="219" t="s">
        <v>326</v>
      </c>
      <c r="E600" s="315">
        <v>339</v>
      </c>
      <c r="I600" s="463">
        <f t="shared" si="118"/>
        <v>76.010580000000004</v>
      </c>
      <c r="J600" s="463">
        <f t="shared" si="118"/>
        <v>40.063019999999995</v>
      </c>
      <c r="K600" s="463">
        <f t="shared" si="118"/>
        <v>29.086200000000002</v>
      </c>
      <c r="L600" s="463">
        <f t="shared" si="118"/>
        <v>23.984249999999999</v>
      </c>
    </row>
    <row r="601" spans="2:12" x14ac:dyDescent="0.3">
      <c r="B601" s="95"/>
      <c r="C601" s="95"/>
      <c r="D601" s="95"/>
      <c r="E601" s="95"/>
    </row>
    <row r="602" spans="2:12" x14ac:dyDescent="0.3">
      <c r="B602" s="108" t="s">
        <v>54</v>
      </c>
      <c r="C602" s="95"/>
      <c r="D602" s="94"/>
      <c r="E602" s="94"/>
    </row>
    <row r="603" spans="2:12" x14ac:dyDescent="0.3">
      <c r="B603" s="119" t="s">
        <v>334</v>
      </c>
      <c r="C603" s="97"/>
      <c r="D603" s="94"/>
      <c r="E603" s="94"/>
    </row>
    <row r="604" spans="2:12" x14ac:dyDescent="0.3">
      <c r="B604" s="98" t="s">
        <v>337</v>
      </c>
      <c r="C604" s="98"/>
      <c r="D604" s="106" t="s">
        <v>443</v>
      </c>
      <c r="E604" s="319">
        <v>438</v>
      </c>
      <c r="I604" s="463">
        <f t="shared" ref="I604:L605" si="119">($E604+$G604)*I$3</f>
        <v>98.208359999999999</v>
      </c>
      <c r="J604" s="463">
        <f t="shared" si="119"/>
        <v>51.762839999999997</v>
      </c>
      <c r="K604" s="463">
        <f t="shared" si="119"/>
        <v>37.580399999999997</v>
      </c>
      <c r="L604" s="463">
        <f t="shared" si="119"/>
        <v>30.988499999999998</v>
      </c>
    </row>
    <row r="605" spans="2:12" x14ac:dyDescent="0.3">
      <c r="B605" s="467" t="s">
        <v>338</v>
      </c>
      <c r="C605" s="467"/>
      <c r="D605" s="468" t="s">
        <v>444</v>
      </c>
      <c r="E605" s="469">
        <v>2028</v>
      </c>
      <c r="I605" s="463">
        <f t="shared" si="119"/>
        <v>454.71816000000001</v>
      </c>
      <c r="J605" s="463">
        <f t="shared" si="119"/>
        <v>239.66904</v>
      </c>
      <c r="K605" s="463">
        <f t="shared" si="119"/>
        <v>174.00239999999999</v>
      </c>
      <c r="L605" s="463">
        <f t="shared" si="119"/>
        <v>143.48099999999999</v>
      </c>
    </row>
    <row r="606" spans="2:12" x14ac:dyDescent="0.3">
      <c r="B606" s="465" t="s">
        <v>339</v>
      </c>
      <c r="C606" s="181"/>
      <c r="D606" s="147"/>
      <c r="E606" s="413"/>
      <c r="F606" s="466"/>
    </row>
    <row r="607" spans="2:12" s="8" customFormat="1" x14ac:dyDescent="0.35">
      <c r="B607" s="467" t="s">
        <v>340</v>
      </c>
      <c r="C607" s="467"/>
      <c r="D607" s="468" t="s">
        <v>445</v>
      </c>
      <c r="E607" s="469">
        <v>186</v>
      </c>
      <c r="I607" s="463">
        <f t="shared" ref="I607:L622" si="120">($E607+$G607)*I$3</f>
        <v>41.704920000000001</v>
      </c>
      <c r="J607" s="463">
        <f t="shared" si="120"/>
        <v>21.981479999999998</v>
      </c>
      <c r="K607" s="463">
        <f t="shared" si="120"/>
        <v>15.9588</v>
      </c>
      <c r="L607" s="463">
        <f t="shared" si="120"/>
        <v>13.1595</v>
      </c>
    </row>
    <row r="608" spans="2:12" s="8" customFormat="1" x14ac:dyDescent="0.35">
      <c r="B608" s="98" t="s">
        <v>1324</v>
      </c>
      <c r="C608" s="98"/>
      <c r="D608" s="106" t="s">
        <v>446</v>
      </c>
      <c r="E608" s="319">
        <v>438</v>
      </c>
      <c r="I608" s="463">
        <f t="shared" si="120"/>
        <v>98.208359999999999</v>
      </c>
      <c r="J608" s="463">
        <f t="shared" si="120"/>
        <v>51.762839999999997</v>
      </c>
      <c r="K608" s="463">
        <f t="shared" si="120"/>
        <v>37.580399999999997</v>
      </c>
      <c r="L608" s="463">
        <f t="shared" si="120"/>
        <v>30.988499999999998</v>
      </c>
    </row>
    <row r="609" spans="2:12" x14ac:dyDescent="0.3">
      <c r="B609" s="101" t="s">
        <v>1501</v>
      </c>
      <c r="C609" s="98"/>
      <c r="D609" s="106" t="s">
        <v>447</v>
      </c>
      <c r="E609" s="319">
        <v>679</v>
      </c>
      <c r="I609" s="463">
        <f t="shared" si="120"/>
        <v>152.24538000000001</v>
      </c>
      <c r="J609" s="463">
        <f t="shared" si="120"/>
        <v>80.244219999999999</v>
      </c>
      <c r="K609" s="463">
        <f t="shared" si="120"/>
        <v>58.258200000000002</v>
      </c>
      <c r="L609" s="463">
        <f t="shared" si="120"/>
        <v>48.039249999999996</v>
      </c>
    </row>
    <row r="610" spans="2:12" s="8" customFormat="1" x14ac:dyDescent="0.35">
      <c r="B610" s="101" t="s">
        <v>1432</v>
      </c>
      <c r="C610" s="98"/>
      <c r="D610" s="106" t="s">
        <v>448</v>
      </c>
      <c r="E610" s="319">
        <v>1253</v>
      </c>
      <c r="I610" s="463">
        <f t="shared" si="120"/>
        <v>280.94765999999998</v>
      </c>
      <c r="J610" s="463">
        <f t="shared" si="120"/>
        <v>148.07953999999998</v>
      </c>
      <c r="K610" s="463">
        <f t="shared" si="120"/>
        <v>107.5074</v>
      </c>
      <c r="L610" s="463">
        <f t="shared" si="120"/>
        <v>88.649749999999997</v>
      </c>
    </row>
    <row r="611" spans="2:12" x14ac:dyDescent="0.3">
      <c r="B611" s="98" t="s">
        <v>1433</v>
      </c>
      <c r="C611" s="98"/>
      <c r="D611" s="118" t="s">
        <v>449</v>
      </c>
      <c r="E611" s="319">
        <v>1396</v>
      </c>
      <c r="I611" s="463">
        <f t="shared" si="120"/>
        <v>313.01112000000001</v>
      </c>
      <c r="J611" s="463">
        <f t="shared" si="120"/>
        <v>164.97927999999999</v>
      </c>
      <c r="K611" s="463">
        <f t="shared" si="120"/>
        <v>119.77680000000001</v>
      </c>
      <c r="L611" s="463">
        <f t="shared" si="120"/>
        <v>98.766999999999996</v>
      </c>
    </row>
    <row r="612" spans="2:12" x14ac:dyDescent="0.3">
      <c r="B612" s="101" t="s">
        <v>1430</v>
      </c>
      <c r="C612" s="98"/>
      <c r="D612" s="106" t="s">
        <v>134</v>
      </c>
      <c r="E612" s="319">
        <v>2683</v>
      </c>
      <c r="F612" s="18"/>
      <c r="G612" s="18"/>
      <c r="H612" s="18"/>
      <c r="I612" s="463">
        <f t="shared" si="120"/>
        <v>601.58226000000002</v>
      </c>
      <c r="J612" s="463">
        <f t="shared" si="120"/>
        <v>317.07693999999998</v>
      </c>
      <c r="K612" s="463">
        <f t="shared" si="120"/>
        <v>230.20140000000001</v>
      </c>
      <c r="L612" s="463">
        <f t="shared" si="120"/>
        <v>189.82224999999997</v>
      </c>
    </row>
    <row r="613" spans="2:12" x14ac:dyDescent="0.3">
      <c r="B613" s="98" t="s">
        <v>344</v>
      </c>
      <c r="C613" s="98"/>
      <c r="D613" s="106" t="s">
        <v>450</v>
      </c>
      <c r="E613" s="319">
        <v>3073</v>
      </c>
      <c r="I613" s="463">
        <f t="shared" si="120"/>
        <v>689.02805999999998</v>
      </c>
      <c r="J613" s="463">
        <f t="shared" si="120"/>
        <v>363.16713999999996</v>
      </c>
      <c r="K613" s="463">
        <f t="shared" si="120"/>
        <v>263.66340000000002</v>
      </c>
      <c r="L613" s="463">
        <f t="shared" si="120"/>
        <v>217.41474999999997</v>
      </c>
    </row>
    <row r="614" spans="2:12" x14ac:dyDescent="0.3">
      <c r="B614" s="113" t="s">
        <v>345</v>
      </c>
      <c r="C614" s="122"/>
      <c r="D614" s="123" t="s">
        <v>451</v>
      </c>
      <c r="E614" s="319">
        <v>6348</v>
      </c>
      <c r="I614" s="463">
        <f t="shared" si="120"/>
        <v>1423.3485599999999</v>
      </c>
      <c r="J614" s="463">
        <f t="shared" si="120"/>
        <v>750.20663999999999</v>
      </c>
      <c r="K614" s="463">
        <f t="shared" si="120"/>
        <v>544.65840000000003</v>
      </c>
      <c r="L614" s="463">
        <f t="shared" si="120"/>
        <v>449.12099999999998</v>
      </c>
    </row>
    <row r="615" spans="2:12" x14ac:dyDescent="0.3">
      <c r="B615" s="119" t="s">
        <v>132</v>
      </c>
      <c r="C615" s="124"/>
      <c r="D615" s="124"/>
      <c r="E615" s="124"/>
    </row>
    <row r="616" spans="2:12" x14ac:dyDescent="0.3">
      <c r="B616" s="371" t="s">
        <v>1642</v>
      </c>
      <c r="C616" s="125"/>
      <c r="D616" s="111" t="s">
        <v>452</v>
      </c>
      <c r="E616" s="319">
        <v>724</v>
      </c>
      <c r="I616" s="463">
        <f t="shared" si="120"/>
        <v>162.33528000000001</v>
      </c>
      <c r="J616" s="463">
        <f t="shared" si="120"/>
        <v>85.56232</v>
      </c>
      <c r="K616" s="463">
        <f t="shared" si="120"/>
        <v>62.119199999999999</v>
      </c>
      <c r="L616" s="463">
        <f t="shared" si="120"/>
        <v>51.222999999999992</v>
      </c>
    </row>
    <row r="617" spans="2:12" x14ac:dyDescent="0.3">
      <c r="B617" s="119" t="s">
        <v>349</v>
      </c>
      <c r="C617" s="124"/>
      <c r="D617" s="124"/>
      <c r="E617" s="124"/>
    </row>
    <row r="618" spans="2:12" s="8" customFormat="1" x14ac:dyDescent="0.35">
      <c r="B618" s="371" t="s">
        <v>1645</v>
      </c>
      <c r="C618" s="125"/>
      <c r="D618" s="111" t="s">
        <v>453</v>
      </c>
      <c r="E618" s="319">
        <v>2655</v>
      </c>
      <c r="F618" s="367"/>
      <c r="G618" s="367"/>
      <c r="H618" s="367"/>
      <c r="I618" s="463">
        <f t="shared" si="120"/>
        <v>595.30410000000006</v>
      </c>
      <c r="J618" s="463">
        <f t="shared" si="120"/>
        <v>313.7679</v>
      </c>
      <c r="K618" s="463">
        <f t="shared" si="120"/>
        <v>227.79900000000001</v>
      </c>
      <c r="L618" s="463">
        <f t="shared" si="120"/>
        <v>187.84124999999997</v>
      </c>
    </row>
    <row r="619" spans="2:12" s="8" customFormat="1" x14ac:dyDescent="0.35">
      <c r="B619" s="371" t="s">
        <v>1646</v>
      </c>
      <c r="C619" s="98"/>
      <c r="D619" s="111" t="s">
        <v>454</v>
      </c>
      <c r="E619" s="319">
        <v>2861</v>
      </c>
      <c r="I619" s="463">
        <f t="shared" si="120"/>
        <v>641.49342000000001</v>
      </c>
      <c r="J619" s="463">
        <f t="shared" si="120"/>
        <v>338.11297999999999</v>
      </c>
      <c r="K619" s="463">
        <f t="shared" si="120"/>
        <v>245.47380000000001</v>
      </c>
      <c r="L619" s="463">
        <f t="shared" si="120"/>
        <v>202.41574999999997</v>
      </c>
    </row>
    <row r="620" spans="2:12" s="8" customFormat="1" x14ac:dyDescent="0.35">
      <c r="B620" s="371" t="s">
        <v>1647</v>
      </c>
      <c r="C620" s="98"/>
      <c r="D620" s="111" t="s">
        <v>455</v>
      </c>
      <c r="E620" s="319">
        <v>3944</v>
      </c>
      <c r="I620" s="463">
        <f t="shared" si="120"/>
        <v>884.32367999999997</v>
      </c>
      <c r="J620" s="463">
        <f t="shared" si="120"/>
        <v>466.10191999999995</v>
      </c>
      <c r="K620" s="463">
        <f t="shared" si="120"/>
        <v>338.39519999999999</v>
      </c>
      <c r="L620" s="463">
        <f t="shared" si="120"/>
        <v>279.03799999999995</v>
      </c>
    </row>
    <row r="621" spans="2:12" x14ac:dyDescent="0.3">
      <c r="B621" s="98" t="s">
        <v>457</v>
      </c>
      <c r="C621" s="98"/>
      <c r="D621" s="118" t="s">
        <v>456</v>
      </c>
      <c r="E621" s="319">
        <v>2940</v>
      </c>
      <c r="I621" s="463">
        <f t="shared" si="120"/>
        <v>659.20680000000004</v>
      </c>
      <c r="J621" s="463">
        <f t="shared" si="120"/>
        <v>347.44919999999996</v>
      </c>
      <c r="K621" s="463">
        <f t="shared" si="120"/>
        <v>252.25200000000001</v>
      </c>
      <c r="L621" s="463">
        <f t="shared" si="120"/>
        <v>208.00499999999997</v>
      </c>
    </row>
    <row r="622" spans="2:12" x14ac:dyDescent="0.3">
      <c r="B622" s="98" t="s">
        <v>355</v>
      </c>
      <c r="C622" s="98"/>
      <c r="D622" s="106" t="s">
        <v>458</v>
      </c>
      <c r="E622" s="319">
        <v>3146</v>
      </c>
      <c r="I622" s="463">
        <f t="shared" si="120"/>
        <v>705.39612</v>
      </c>
      <c r="J622" s="463">
        <f t="shared" si="120"/>
        <v>371.79427999999996</v>
      </c>
      <c r="K622" s="463">
        <f t="shared" si="120"/>
        <v>269.92680000000001</v>
      </c>
      <c r="L622" s="463">
        <f t="shared" si="120"/>
        <v>222.57949999999997</v>
      </c>
    </row>
    <row r="623" spans="2:12" x14ac:dyDescent="0.3">
      <c r="B623" s="113" t="s">
        <v>460</v>
      </c>
      <c r="C623" s="98"/>
      <c r="D623" s="118" t="s">
        <v>459</v>
      </c>
      <c r="E623" s="319">
        <v>6294</v>
      </c>
      <c r="I623" s="463">
        <f t="shared" ref="I623:L624" si="121">($E623+$G623)*I$3</f>
        <v>1411.2406800000001</v>
      </c>
      <c r="J623" s="463">
        <f t="shared" si="121"/>
        <v>743.82491999999991</v>
      </c>
      <c r="K623" s="463">
        <f t="shared" si="121"/>
        <v>540.02520000000004</v>
      </c>
      <c r="L623" s="463">
        <f t="shared" si="121"/>
        <v>445.30049999999994</v>
      </c>
    </row>
    <row r="624" spans="2:12" x14ac:dyDescent="0.3">
      <c r="B624" s="113" t="s">
        <v>461</v>
      </c>
      <c r="C624" s="98"/>
      <c r="D624" s="106" t="s">
        <v>462</v>
      </c>
      <c r="E624" s="319">
        <v>6501</v>
      </c>
      <c r="I624" s="463">
        <f t="shared" si="121"/>
        <v>1457.6542200000001</v>
      </c>
      <c r="J624" s="463">
        <f t="shared" si="121"/>
        <v>768.28818000000001</v>
      </c>
      <c r="K624" s="463">
        <f t="shared" si="121"/>
        <v>557.78579999999999</v>
      </c>
      <c r="L624" s="463">
        <f t="shared" si="121"/>
        <v>459.94574999999998</v>
      </c>
    </row>
    <row r="625" spans="2:12" s="97" customFormat="1" x14ac:dyDescent="0.3">
      <c r="B625" s="108"/>
      <c r="C625" s="199"/>
      <c r="D625" s="130"/>
      <c r="E625" s="130"/>
    </row>
    <row r="626" spans="2:12" x14ac:dyDescent="0.3">
      <c r="B626" s="108" t="s">
        <v>98</v>
      </c>
      <c r="C626" s="199"/>
      <c r="D626" s="128"/>
      <c r="E626" s="128"/>
    </row>
    <row r="627" spans="2:12" x14ac:dyDescent="0.3">
      <c r="B627" s="113" t="s">
        <v>357</v>
      </c>
      <c r="C627" s="298"/>
      <c r="D627" s="129" t="s">
        <v>358</v>
      </c>
      <c r="E627" s="315">
        <v>12</v>
      </c>
      <c r="I627" s="463">
        <f t="shared" ref="I627:L628" si="122">($E627+$G627)*I$3</f>
        <v>2.6906400000000001</v>
      </c>
      <c r="J627" s="463">
        <f t="shared" si="122"/>
        <v>1.4181599999999999</v>
      </c>
      <c r="K627" s="463">
        <f t="shared" si="122"/>
        <v>1.0296000000000001</v>
      </c>
      <c r="L627" s="463">
        <f t="shared" si="122"/>
        <v>0.84899999999999998</v>
      </c>
    </row>
    <row r="628" spans="2:12" x14ac:dyDescent="0.3">
      <c r="B628" s="113" t="s">
        <v>359</v>
      </c>
      <c r="C628" s="298"/>
      <c r="D628" s="129" t="s">
        <v>360</v>
      </c>
      <c r="E628" s="315">
        <v>23</v>
      </c>
      <c r="I628" s="463">
        <f t="shared" si="122"/>
        <v>5.1570600000000004</v>
      </c>
      <c r="J628" s="463">
        <f t="shared" si="122"/>
        <v>2.71814</v>
      </c>
      <c r="K628" s="463">
        <f t="shared" si="122"/>
        <v>1.9734</v>
      </c>
      <c r="L628" s="463">
        <f t="shared" si="122"/>
        <v>1.6272499999999999</v>
      </c>
    </row>
    <row r="629" spans="2:12" x14ac:dyDescent="0.3">
      <c r="B629" s="108"/>
      <c r="C629" s="199"/>
      <c r="D629" s="130"/>
      <c r="E629" s="130"/>
    </row>
    <row r="630" spans="2:12" x14ac:dyDescent="0.3">
      <c r="B630" s="108" t="s">
        <v>361</v>
      </c>
      <c r="C630" s="199"/>
      <c r="D630" s="128"/>
      <c r="E630" s="128"/>
    </row>
    <row r="631" spans="2:12" x14ac:dyDescent="0.3">
      <c r="B631" s="113" t="s">
        <v>104</v>
      </c>
      <c r="C631" s="298"/>
      <c r="D631" s="129" t="s">
        <v>362</v>
      </c>
      <c r="E631" s="315">
        <v>34</v>
      </c>
      <c r="I631" s="463">
        <f t="shared" ref="I631:L634" si="123">($E631+$G631)*I$3</f>
        <v>7.6234799999999998</v>
      </c>
      <c r="J631" s="463">
        <f t="shared" si="123"/>
        <v>4.0181199999999997</v>
      </c>
      <c r="K631" s="463">
        <f t="shared" si="123"/>
        <v>2.9172000000000002</v>
      </c>
      <c r="L631" s="463">
        <f t="shared" si="123"/>
        <v>2.4055</v>
      </c>
    </row>
    <row r="632" spans="2:12" x14ac:dyDescent="0.3">
      <c r="B632" s="116" t="s">
        <v>1431</v>
      </c>
      <c r="C632" s="286"/>
      <c r="D632" s="129" t="s">
        <v>363</v>
      </c>
      <c r="E632" s="315">
        <v>212</v>
      </c>
      <c r="I632" s="463">
        <f t="shared" si="123"/>
        <v>47.534640000000003</v>
      </c>
      <c r="J632" s="463">
        <f t="shared" si="123"/>
        <v>25.05416</v>
      </c>
      <c r="K632" s="463">
        <f t="shared" si="123"/>
        <v>18.189599999999999</v>
      </c>
      <c r="L632" s="463">
        <f t="shared" si="123"/>
        <v>14.998999999999999</v>
      </c>
    </row>
    <row r="633" spans="2:12" x14ac:dyDescent="0.3">
      <c r="B633" s="113" t="s">
        <v>1714</v>
      </c>
      <c r="C633" s="298"/>
      <c r="D633" s="129" t="s">
        <v>364</v>
      </c>
      <c r="E633" s="315">
        <v>39</v>
      </c>
      <c r="I633" s="463">
        <f t="shared" si="123"/>
        <v>8.7445800000000009</v>
      </c>
      <c r="J633" s="463">
        <f t="shared" si="123"/>
        <v>4.6090200000000001</v>
      </c>
      <c r="K633" s="463">
        <f t="shared" si="123"/>
        <v>3.3462000000000001</v>
      </c>
      <c r="L633" s="463">
        <f t="shared" si="123"/>
        <v>2.7592499999999998</v>
      </c>
    </row>
    <row r="634" spans="2:12" x14ac:dyDescent="0.3">
      <c r="B634" s="113" t="s">
        <v>137</v>
      </c>
      <c r="C634" s="298"/>
      <c r="D634" s="129" t="s">
        <v>365</v>
      </c>
      <c r="E634" s="315">
        <v>27</v>
      </c>
      <c r="I634" s="463">
        <f t="shared" si="123"/>
        <v>6.0539399999999999</v>
      </c>
      <c r="J634" s="463">
        <f t="shared" si="123"/>
        <v>3.1908599999999998</v>
      </c>
      <c r="K634" s="463">
        <f t="shared" si="123"/>
        <v>2.3166000000000002</v>
      </c>
      <c r="L634" s="463">
        <f t="shared" si="123"/>
        <v>1.9102499999999998</v>
      </c>
    </row>
    <row r="635" spans="2:12" x14ac:dyDescent="0.3">
      <c r="B635" s="108"/>
      <c r="C635" s="199"/>
      <c r="D635" s="130"/>
      <c r="E635" s="130"/>
    </row>
    <row r="636" spans="2:12" x14ac:dyDescent="0.3">
      <c r="B636" s="108" t="s">
        <v>62</v>
      </c>
      <c r="C636" s="199"/>
      <c r="D636" s="128"/>
      <c r="E636" s="128"/>
    </row>
    <row r="637" spans="2:12" x14ac:dyDescent="0.3">
      <c r="B637" s="113" t="s">
        <v>65</v>
      </c>
      <c r="C637" s="298"/>
      <c r="D637" s="106" t="s">
        <v>66</v>
      </c>
      <c r="E637" s="315">
        <v>15</v>
      </c>
      <c r="I637" s="463">
        <f t="shared" ref="I637:L637" si="124">($E637+$G637)*I$3</f>
        <v>3.3633000000000002</v>
      </c>
      <c r="J637" s="463">
        <f t="shared" si="124"/>
        <v>1.7726999999999999</v>
      </c>
      <c r="K637" s="463">
        <f t="shared" si="124"/>
        <v>1.2869999999999999</v>
      </c>
      <c r="L637" s="463">
        <f t="shared" si="124"/>
        <v>1.0612499999999998</v>
      </c>
    </row>
    <row r="638" spans="2:12" x14ac:dyDescent="0.3">
      <c r="B638" s="108"/>
      <c r="C638" s="199"/>
      <c r="D638" s="130"/>
      <c r="E638" s="130"/>
    </row>
    <row r="639" spans="2:12" x14ac:dyDescent="0.3">
      <c r="B639" s="108" t="s">
        <v>67</v>
      </c>
      <c r="C639" s="199"/>
      <c r="D639" s="128"/>
      <c r="E639" s="128"/>
    </row>
    <row r="640" spans="2:12" x14ac:dyDescent="0.3">
      <c r="B640" s="113" t="s">
        <v>68</v>
      </c>
      <c r="C640" s="298"/>
      <c r="D640" s="129" t="s">
        <v>366</v>
      </c>
      <c r="E640" s="315">
        <v>0</v>
      </c>
      <c r="I640" s="463">
        <f t="shared" ref="I640:L640" si="125">($E640+$G640)*I$3</f>
        <v>0</v>
      </c>
      <c r="J640" s="463">
        <f t="shared" si="125"/>
        <v>0</v>
      </c>
      <c r="K640" s="463">
        <f t="shared" si="125"/>
        <v>0</v>
      </c>
      <c r="L640" s="463">
        <f t="shared" si="125"/>
        <v>0</v>
      </c>
    </row>
    <row r="641" spans="2:12" x14ac:dyDescent="0.3">
      <c r="B641" s="95"/>
      <c r="C641" s="299"/>
      <c r="D641" s="130"/>
      <c r="E641" s="130"/>
    </row>
    <row r="642" spans="2:12" x14ac:dyDescent="0.3">
      <c r="B642" s="108" t="s">
        <v>367</v>
      </c>
      <c r="C642" s="199"/>
      <c r="D642" s="128"/>
      <c r="E642" s="128"/>
    </row>
    <row r="643" spans="2:12" x14ac:dyDescent="0.3">
      <c r="B643" s="113" t="s">
        <v>463</v>
      </c>
      <c r="C643" s="298"/>
      <c r="D643" s="129" t="s">
        <v>369</v>
      </c>
      <c r="E643" s="315">
        <v>50</v>
      </c>
      <c r="I643" s="463">
        <f t="shared" ref="I643:L643" si="126">($E643+$G643)*I$3</f>
        <v>11.211</v>
      </c>
      <c r="J643" s="463">
        <f t="shared" si="126"/>
        <v>5.9089999999999998</v>
      </c>
      <c r="K643" s="463">
        <f t="shared" si="126"/>
        <v>4.29</v>
      </c>
      <c r="L643" s="463">
        <f t="shared" si="126"/>
        <v>3.5374999999999996</v>
      </c>
    </row>
    <row r="644" spans="2:12" x14ac:dyDescent="0.3">
      <c r="B644" s="95"/>
      <c r="C644" s="97"/>
      <c r="D644" s="130"/>
      <c r="E644" s="130"/>
    </row>
    <row r="645" spans="2:12" x14ac:dyDescent="0.3">
      <c r="B645" s="21"/>
    </row>
    <row r="646" spans="2:12" x14ac:dyDescent="0.3">
      <c r="B646" s="205" t="s">
        <v>1657</v>
      </c>
      <c r="C646" s="205"/>
      <c r="D646" s="338"/>
      <c r="E646" s="207"/>
      <c r="F646" s="448"/>
      <c r="G646" s="448"/>
    </row>
    <row r="647" spans="2:12" x14ac:dyDescent="0.3">
      <c r="B647" s="190" t="s">
        <v>39</v>
      </c>
      <c r="E647" s="189"/>
    </row>
    <row r="648" spans="2:12" x14ac:dyDescent="0.3">
      <c r="B648" s="399" t="s">
        <v>1658</v>
      </c>
      <c r="C648" s="400"/>
      <c r="D648" s="385" t="s">
        <v>1659</v>
      </c>
      <c r="E648" s="325">
        <v>532</v>
      </c>
      <c r="F648" s="341"/>
      <c r="G648" s="341"/>
      <c r="H648" s="341"/>
      <c r="I648" s="463">
        <f t="shared" ref="I648:L653" si="127">($E648+$G648)*I$3</f>
        <v>119.28504</v>
      </c>
      <c r="J648" s="463">
        <f t="shared" si="127"/>
        <v>62.871759999999995</v>
      </c>
      <c r="K648" s="463">
        <f t="shared" si="127"/>
        <v>45.645600000000002</v>
      </c>
      <c r="L648" s="463">
        <f t="shared" si="127"/>
        <v>37.638999999999996</v>
      </c>
    </row>
    <row r="649" spans="2:12" x14ac:dyDescent="0.3">
      <c r="B649" s="401" t="s">
        <v>1660</v>
      </c>
      <c r="C649" s="400"/>
      <c r="D649" s="385" t="s">
        <v>1661</v>
      </c>
      <c r="E649" s="325">
        <v>1244</v>
      </c>
      <c r="F649" s="341"/>
      <c r="G649" s="341"/>
      <c r="H649" s="341"/>
      <c r="I649" s="463">
        <f t="shared" si="127"/>
        <v>278.92968000000002</v>
      </c>
      <c r="J649" s="463">
        <f t="shared" si="127"/>
        <v>147.01591999999999</v>
      </c>
      <c r="K649" s="463">
        <f t="shared" si="127"/>
        <v>106.73520000000001</v>
      </c>
      <c r="L649" s="463">
        <f t="shared" si="127"/>
        <v>88.012999999999991</v>
      </c>
    </row>
    <row r="650" spans="2:12" x14ac:dyDescent="0.3">
      <c r="B650" s="401" t="s">
        <v>1662</v>
      </c>
      <c r="C650" s="400"/>
      <c r="D650" s="385" t="s">
        <v>1663</v>
      </c>
      <c r="E650" s="325">
        <v>1596</v>
      </c>
      <c r="F650" s="341"/>
      <c r="G650" s="341"/>
      <c r="H650" s="341"/>
      <c r="I650" s="463">
        <f t="shared" si="127"/>
        <v>357.85512</v>
      </c>
      <c r="J650" s="463">
        <f t="shared" si="127"/>
        <v>188.61527999999998</v>
      </c>
      <c r="K650" s="463">
        <f t="shared" si="127"/>
        <v>136.93680000000001</v>
      </c>
      <c r="L650" s="463">
        <f t="shared" si="127"/>
        <v>112.91699999999999</v>
      </c>
    </row>
    <row r="651" spans="2:12" x14ac:dyDescent="0.3">
      <c r="B651" s="401" t="s">
        <v>1664</v>
      </c>
      <c r="C651" s="400"/>
      <c r="D651" s="385" t="s">
        <v>1665</v>
      </c>
      <c r="E651" s="325">
        <v>3020</v>
      </c>
      <c r="F651" s="341"/>
      <c r="G651" s="341"/>
      <c r="H651" s="341"/>
      <c r="I651" s="463">
        <f t="shared" si="127"/>
        <v>677.14440000000002</v>
      </c>
      <c r="J651" s="463">
        <f t="shared" si="127"/>
        <v>356.90359999999998</v>
      </c>
      <c r="K651" s="463">
        <f t="shared" si="127"/>
        <v>259.11599999999999</v>
      </c>
      <c r="L651" s="463">
        <f t="shared" si="127"/>
        <v>213.66499999999999</v>
      </c>
    </row>
    <row r="652" spans="2:12" x14ac:dyDescent="0.3">
      <c r="B652" s="401" t="s">
        <v>1666</v>
      </c>
      <c r="C652" s="400"/>
      <c r="D652" s="385" t="s">
        <v>1667</v>
      </c>
      <c r="E652" s="325">
        <v>7104</v>
      </c>
      <c r="F652" s="341"/>
      <c r="G652" s="341"/>
      <c r="H652" s="341"/>
      <c r="I652" s="463">
        <f t="shared" si="127"/>
        <v>1592.85888</v>
      </c>
      <c r="J652" s="463">
        <f t="shared" si="127"/>
        <v>839.55071999999996</v>
      </c>
      <c r="K652" s="463">
        <f t="shared" si="127"/>
        <v>609.52319999999997</v>
      </c>
      <c r="L652" s="463">
        <f t="shared" si="127"/>
        <v>502.60799999999995</v>
      </c>
    </row>
    <row r="653" spans="2:12" x14ac:dyDescent="0.3">
      <c r="B653" s="401" t="s">
        <v>1668</v>
      </c>
      <c r="C653" s="371"/>
      <c r="D653" s="385" t="s">
        <v>1669</v>
      </c>
      <c r="E653" s="325">
        <v>14740</v>
      </c>
      <c r="F653" s="341"/>
      <c r="G653" s="341"/>
      <c r="H653" s="341"/>
      <c r="I653" s="463">
        <f t="shared" si="127"/>
        <v>3305.0028000000002</v>
      </c>
      <c r="J653" s="463">
        <f t="shared" si="127"/>
        <v>1741.9731999999999</v>
      </c>
      <c r="K653" s="463">
        <f t="shared" si="127"/>
        <v>1264.692</v>
      </c>
      <c r="L653" s="463">
        <f t="shared" si="127"/>
        <v>1042.8549999999998</v>
      </c>
    </row>
    <row r="654" spans="2:12" x14ac:dyDescent="0.3">
      <c r="B654" s="97"/>
      <c r="C654" s="95"/>
      <c r="D654" s="94"/>
      <c r="E654" s="130"/>
    </row>
    <row r="655" spans="2:12" x14ac:dyDescent="0.3">
      <c r="B655" s="249" t="s">
        <v>1154</v>
      </c>
      <c r="C655" s="97"/>
      <c r="D655" s="294"/>
      <c r="E655" s="273"/>
    </row>
    <row r="656" spans="2:12" x14ac:dyDescent="0.3">
      <c r="B656" s="119" t="s">
        <v>1670</v>
      </c>
      <c r="C656" s="372"/>
      <c r="D656" s="94"/>
      <c r="E656" s="194"/>
    </row>
    <row r="657" spans="2:12" x14ac:dyDescent="0.3">
      <c r="B657" s="384" t="s">
        <v>47</v>
      </c>
      <c r="C657" s="371"/>
      <c r="D657" s="385" t="s">
        <v>438</v>
      </c>
      <c r="E657" s="398">
        <v>239</v>
      </c>
      <c r="F657" s="340"/>
      <c r="G657" s="340"/>
      <c r="H657" s="340"/>
      <c r="I657" s="463">
        <f t="shared" ref="I657:L658" si="128">($E657+$G657)*I$3</f>
        <v>53.58858</v>
      </c>
      <c r="J657" s="463">
        <f t="shared" si="128"/>
        <v>28.245019999999997</v>
      </c>
      <c r="K657" s="463">
        <f t="shared" si="128"/>
        <v>20.5062</v>
      </c>
      <c r="L657" s="463">
        <f t="shared" si="128"/>
        <v>16.90925</v>
      </c>
    </row>
    <row r="658" spans="2:12" x14ac:dyDescent="0.3">
      <c r="B658" s="384" t="s">
        <v>1342</v>
      </c>
      <c r="C658" s="371"/>
      <c r="D658" s="385" t="s">
        <v>439</v>
      </c>
      <c r="E658" s="398">
        <v>641</v>
      </c>
      <c r="F658" s="340"/>
      <c r="G658" s="340"/>
      <c r="H658" s="340"/>
      <c r="I658" s="463">
        <f t="shared" si="128"/>
        <v>143.72502</v>
      </c>
      <c r="J658" s="463">
        <f t="shared" si="128"/>
        <v>75.753379999999993</v>
      </c>
      <c r="K658" s="463">
        <f t="shared" si="128"/>
        <v>54.997799999999998</v>
      </c>
      <c r="L658" s="463">
        <f t="shared" si="128"/>
        <v>45.350749999999998</v>
      </c>
    </row>
    <row r="659" spans="2:12" x14ac:dyDescent="0.3">
      <c r="B659" s="94"/>
      <c r="C659" s="94"/>
      <c r="D659" s="94"/>
      <c r="E659" s="94"/>
      <c r="F659" s="340"/>
      <c r="G659" s="340"/>
      <c r="H659" s="340"/>
    </row>
    <row r="660" spans="2:12" x14ac:dyDescent="0.3">
      <c r="B660" s="119" t="s">
        <v>1671</v>
      </c>
      <c r="C660" s="372"/>
      <c r="D660" s="94"/>
      <c r="E660" s="220"/>
      <c r="F660" s="340"/>
      <c r="G660" s="340"/>
      <c r="H660" s="340"/>
    </row>
    <row r="661" spans="2:12" x14ac:dyDescent="0.3">
      <c r="B661" s="384" t="s">
        <v>45</v>
      </c>
      <c r="C661" s="371"/>
      <c r="D661" s="385" t="s">
        <v>52</v>
      </c>
      <c r="E661" s="398">
        <v>200</v>
      </c>
      <c r="F661" s="339"/>
      <c r="G661" s="339"/>
      <c r="H661" s="339"/>
      <c r="I661" s="463">
        <f t="shared" ref="I661:L663" si="129">($E661+$G661)*I$3</f>
        <v>44.844000000000001</v>
      </c>
      <c r="J661" s="463">
        <f t="shared" si="129"/>
        <v>23.635999999999999</v>
      </c>
      <c r="K661" s="463">
        <f t="shared" si="129"/>
        <v>17.16</v>
      </c>
      <c r="L661" s="463">
        <f t="shared" si="129"/>
        <v>14.149999999999999</v>
      </c>
    </row>
    <row r="662" spans="2:12" x14ac:dyDescent="0.3">
      <c r="B662" s="384" t="s">
        <v>47</v>
      </c>
      <c r="C662" s="371"/>
      <c r="D662" s="385" t="s">
        <v>53</v>
      </c>
      <c r="E662" s="398">
        <v>438</v>
      </c>
      <c r="F662" s="339"/>
      <c r="G662" s="339"/>
      <c r="H662" s="339"/>
      <c r="I662" s="463">
        <f t="shared" si="129"/>
        <v>98.208359999999999</v>
      </c>
      <c r="J662" s="463">
        <f t="shared" si="129"/>
        <v>51.762839999999997</v>
      </c>
      <c r="K662" s="463">
        <f t="shared" si="129"/>
        <v>37.580399999999997</v>
      </c>
      <c r="L662" s="463">
        <f t="shared" si="129"/>
        <v>30.988499999999998</v>
      </c>
    </row>
    <row r="663" spans="2:12" x14ac:dyDescent="0.3">
      <c r="B663" s="384" t="s">
        <v>1342</v>
      </c>
      <c r="C663" s="371"/>
      <c r="D663" s="385" t="s">
        <v>1344</v>
      </c>
      <c r="E663" s="398">
        <v>841</v>
      </c>
      <c r="F663" s="339"/>
      <c r="G663" s="339"/>
      <c r="H663" s="339"/>
      <c r="I663" s="463">
        <f t="shared" si="129"/>
        <v>188.56901999999999</v>
      </c>
      <c r="J663" s="463">
        <f t="shared" si="129"/>
        <v>99.389379999999989</v>
      </c>
      <c r="K663" s="463">
        <f t="shared" si="129"/>
        <v>72.157799999999995</v>
      </c>
      <c r="L663" s="463">
        <f t="shared" si="129"/>
        <v>59.500749999999996</v>
      </c>
    </row>
    <row r="664" spans="2:12" x14ac:dyDescent="0.3">
      <c r="B664" s="402"/>
      <c r="C664" s="97"/>
      <c r="D664" s="294"/>
      <c r="E664" s="94"/>
      <c r="F664" s="339"/>
      <c r="G664" s="339"/>
      <c r="H664" s="339"/>
    </row>
    <row r="665" spans="2:12" s="97" customFormat="1" x14ac:dyDescent="0.3">
      <c r="B665" s="119" t="s">
        <v>1672</v>
      </c>
      <c r="C665" s="372"/>
      <c r="D665" s="94"/>
      <c r="E665" s="220"/>
      <c r="F665" s="273"/>
      <c r="G665" s="273"/>
      <c r="H665" s="273"/>
    </row>
    <row r="666" spans="2:12" x14ac:dyDescent="0.3">
      <c r="B666" s="399" t="s">
        <v>318</v>
      </c>
      <c r="C666" s="400"/>
      <c r="D666" s="385" t="s">
        <v>319</v>
      </c>
      <c r="E666" s="325">
        <v>56</v>
      </c>
      <c r="F666" s="339"/>
      <c r="G666" s="339"/>
      <c r="H666" s="339"/>
      <c r="I666" s="463">
        <f t="shared" ref="I666:L668" si="130">($E666+$G666)*I$3</f>
        <v>12.556319999999999</v>
      </c>
      <c r="J666" s="463">
        <f t="shared" si="130"/>
        <v>6.61808</v>
      </c>
      <c r="K666" s="463">
        <f t="shared" si="130"/>
        <v>4.8048000000000002</v>
      </c>
      <c r="L666" s="463">
        <f t="shared" si="130"/>
        <v>3.9619999999999997</v>
      </c>
    </row>
    <row r="667" spans="2:12" x14ac:dyDescent="0.3">
      <c r="B667" s="399" t="s">
        <v>96</v>
      </c>
      <c r="C667" s="400"/>
      <c r="D667" s="385" t="s">
        <v>322</v>
      </c>
      <c r="E667" s="196">
        <v>144</v>
      </c>
      <c r="F667" s="339"/>
      <c r="G667" s="339"/>
      <c r="H667" s="339"/>
      <c r="I667" s="463">
        <f t="shared" si="130"/>
        <v>32.287680000000002</v>
      </c>
      <c r="J667" s="463">
        <f t="shared" si="130"/>
        <v>17.01792</v>
      </c>
      <c r="K667" s="463">
        <f t="shared" si="130"/>
        <v>12.3552</v>
      </c>
      <c r="L667" s="463">
        <f t="shared" si="130"/>
        <v>10.187999999999999</v>
      </c>
    </row>
    <row r="668" spans="2:12" x14ac:dyDescent="0.3">
      <c r="B668" s="399" t="s">
        <v>323</v>
      </c>
      <c r="C668" s="400"/>
      <c r="D668" s="385" t="s">
        <v>324</v>
      </c>
      <c r="E668" s="196">
        <v>222</v>
      </c>
      <c r="F668" s="339"/>
      <c r="G668" s="339"/>
      <c r="H668" s="339"/>
      <c r="I668" s="463">
        <f t="shared" si="130"/>
        <v>49.77684</v>
      </c>
      <c r="J668" s="463">
        <f t="shared" si="130"/>
        <v>26.235959999999999</v>
      </c>
      <c r="K668" s="463">
        <f t="shared" si="130"/>
        <v>19.047599999999999</v>
      </c>
      <c r="L668" s="463">
        <f t="shared" si="130"/>
        <v>15.706499999999998</v>
      </c>
    </row>
    <row r="669" spans="2:12" x14ac:dyDescent="0.3">
      <c r="B669" s="402"/>
      <c r="C669" s="97"/>
      <c r="D669" s="294"/>
      <c r="E669" s="94"/>
      <c r="F669" s="339"/>
      <c r="G669" s="339"/>
      <c r="H669" s="339"/>
    </row>
    <row r="670" spans="2:12" x14ac:dyDescent="0.3">
      <c r="B670" s="119" t="s">
        <v>1673</v>
      </c>
      <c r="C670" s="372"/>
      <c r="D670" s="94"/>
      <c r="E670" s="220"/>
      <c r="F670" s="339"/>
      <c r="G670" s="339"/>
      <c r="H670" s="339"/>
    </row>
    <row r="671" spans="2:12" x14ac:dyDescent="0.3">
      <c r="B671" s="399" t="s">
        <v>318</v>
      </c>
      <c r="C671" s="400"/>
      <c r="D671" s="385" t="s">
        <v>319</v>
      </c>
      <c r="E671" s="325">
        <v>56</v>
      </c>
      <c r="F671" s="339"/>
      <c r="G671" s="339"/>
      <c r="H671" s="339"/>
      <c r="I671" s="463">
        <f t="shared" ref="I671:L673" si="131">($E671+$G671)*I$3</f>
        <v>12.556319999999999</v>
      </c>
      <c r="J671" s="463">
        <f t="shared" si="131"/>
        <v>6.61808</v>
      </c>
      <c r="K671" s="463">
        <f t="shared" si="131"/>
        <v>4.8048000000000002</v>
      </c>
      <c r="L671" s="463">
        <f t="shared" si="131"/>
        <v>3.9619999999999997</v>
      </c>
    </row>
    <row r="672" spans="2:12" x14ac:dyDescent="0.3">
      <c r="B672" s="399" t="s">
        <v>96</v>
      </c>
      <c r="C672" s="400"/>
      <c r="D672" s="385" t="s">
        <v>322</v>
      </c>
      <c r="E672" s="196">
        <v>144</v>
      </c>
      <c r="F672" s="339"/>
      <c r="G672" s="339"/>
      <c r="H672" s="339"/>
      <c r="I672" s="463">
        <f t="shared" si="131"/>
        <v>32.287680000000002</v>
      </c>
      <c r="J672" s="463">
        <f t="shared" si="131"/>
        <v>17.01792</v>
      </c>
      <c r="K672" s="463">
        <f t="shared" si="131"/>
        <v>12.3552</v>
      </c>
      <c r="L672" s="463">
        <f t="shared" si="131"/>
        <v>10.187999999999999</v>
      </c>
    </row>
    <row r="673" spans="2:12" x14ac:dyDescent="0.3">
      <c r="B673" s="399" t="s">
        <v>323</v>
      </c>
      <c r="C673" s="400"/>
      <c r="D673" s="385" t="s">
        <v>324</v>
      </c>
      <c r="E673" s="196">
        <v>222</v>
      </c>
      <c r="F673" s="339"/>
      <c r="G673" s="339"/>
      <c r="H673" s="339"/>
      <c r="I673" s="463">
        <f t="shared" si="131"/>
        <v>49.77684</v>
      </c>
      <c r="J673" s="463">
        <f t="shared" si="131"/>
        <v>26.235959999999999</v>
      </c>
      <c r="K673" s="463">
        <f t="shared" si="131"/>
        <v>19.047599999999999</v>
      </c>
      <c r="L673" s="463">
        <f t="shared" si="131"/>
        <v>15.706499999999998</v>
      </c>
    </row>
    <row r="674" spans="2:12" x14ac:dyDescent="0.3">
      <c r="B674" s="402"/>
      <c r="C674" s="97"/>
      <c r="D674" s="294"/>
      <c r="E674" s="94"/>
      <c r="F674" s="339"/>
      <c r="G674" s="339"/>
      <c r="H674" s="339"/>
    </row>
    <row r="675" spans="2:12" x14ac:dyDescent="0.3">
      <c r="B675" s="119" t="s">
        <v>1674</v>
      </c>
      <c r="C675" s="372"/>
      <c r="D675" s="94"/>
      <c r="E675" s="220"/>
      <c r="F675" s="339"/>
      <c r="G675" s="339"/>
      <c r="H675" s="339"/>
    </row>
    <row r="676" spans="2:12" x14ac:dyDescent="0.3">
      <c r="B676" s="384" t="s">
        <v>1675</v>
      </c>
      <c r="C676" s="371"/>
      <c r="D676" s="385" t="s">
        <v>1676</v>
      </c>
      <c r="E676" s="398">
        <v>10</v>
      </c>
      <c r="F676" s="339"/>
      <c r="G676" s="339"/>
      <c r="H676" s="339"/>
      <c r="I676" s="463">
        <f t="shared" ref="I676:L677" si="132">($E676+$G676)*I$3</f>
        <v>2.2422</v>
      </c>
      <c r="J676" s="463">
        <f t="shared" si="132"/>
        <v>1.1818</v>
      </c>
      <c r="K676" s="463">
        <f t="shared" si="132"/>
        <v>0.85799999999999998</v>
      </c>
      <c r="L676" s="463">
        <f t="shared" si="132"/>
        <v>0.70749999999999991</v>
      </c>
    </row>
    <row r="677" spans="2:12" x14ac:dyDescent="0.3">
      <c r="B677" s="384" t="s">
        <v>1677</v>
      </c>
      <c r="C677" s="371"/>
      <c r="D677" s="385" t="s">
        <v>1678</v>
      </c>
      <c r="E677" s="398">
        <v>20</v>
      </c>
      <c r="F677" s="339"/>
      <c r="G677" s="339"/>
      <c r="H677" s="339"/>
      <c r="I677" s="463">
        <f t="shared" si="132"/>
        <v>4.4843999999999999</v>
      </c>
      <c r="J677" s="463">
        <f t="shared" si="132"/>
        <v>2.3635999999999999</v>
      </c>
      <c r="K677" s="463">
        <f t="shared" si="132"/>
        <v>1.716</v>
      </c>
      <c r="L677" s="463">
        <f t="shared" si="132"/>
        <v>1.4149999999999998</v>
      </c>
    </row>
    <row r="678" spans="2:12" x14ac:dyDescent="0.3">
      <c r="B678" s="402"/>
      <c r="C678" s="97"/>
      <c r="D678" s="294"/>
      <c r="E678" s="94"/>
      <c r="F678" s="339"/>
      <c r="G678" s="339"/>
      <c r="H678" s="339"/>
    </row>
    <row r="679" spans="2:12" x14ac:dyDescent="0.3">
      <c r="B679" s="119" t="s">
        <v>1679</v>
      </c>
      <c r="C679" s="372"/>
      <c r="D679" s="94"/>
      <c r="E679" s="194"/>
      <c r="F679" s="339"/>
      <c r="G679" s="339"/>
      <c r="H679" s="339"/>
    </row>
    <row r="680" spans="2:12" x14ac:dyDescent="0.3">
      <c r="B680" s="399" t="s">
        <v>318</v>
      </c>
      <c r="C680" s="400"/>
      <c r="D680" s="385" t="s">
        <v>319</v>
      </c>
      <c r="E680" s="325">
        <v>56</v>
      </c>
      <c r="F680" s="339"/>
      <c r="G680" s="339"/>
      <c r="H680" s="339"/>
      <c r="I680" s="463">
        <f t="shared" ref="I680:L682" si="133">($E680+$G680)*I$3</f>
        <v>12.556319999999999</v>
      </c>
      <c r="J680" s="463">
        <f t="shared" si="133"/>
        <v>6.61808</v>
      </c>
      <c r="K680" s="463">
        <f t="shared" si="133"/>
        <v>4.8048000000000002</v>
      </c>
      <c r="L680" s="463">
        <f t="shared" si="133"/>
        <v>3.9619999999999997</v>
      </c>
    </row>
    <row r="681" spans="2:12" x14ac:dyDescent="0.3">
      <c r="B681" s="399" t="s">
        <v>96</v>
      </c>
      <c r="C681" s="400"/>
      <c r="D681" s="385" t="s">
        <v>322</v>
      </c>
      <c r="E681" s="196">
        <v>144</v>
      </c>
      <c r="F681" s="339"/>
      <c r="G681" s="339"/>
      <c r="H681" s="339"/>
      <c r="I681" s="463">
        <f t="shared" si="133"/>
        <v>32.287680000000002</v>
      </c>
      <c r="J681" s="463">
        <f t="shared" si="133"/>
        <v>17.01792</v>
      </c>
      <c r="K681" s="463">
        <f t="shared" si="133"/>
        <v>12.3552</v>
      </c>
      <c r="L681" s="463">
        <f t="shared" si="133"/>
        <v>10.187999999999999</v>
      </c>
    </row>
    <row r="682" spans="2:12" x14ac:dyDescent="0.3">
      <c r="B682" s="399" t="s">
        <v>323</v>
      </c>
      <c r="C682" s="400"/>
      <c r="D682" s="385" t="s">
        <v>324</v>
      </c>
      <c r="E682" s="196">
        <v>222</v>
      </c>
      <c r="F682" s="339"/>
      <c r="G682" s="339"/>
      <c r="H682" s="339"/>
      <c r="I682" s="463">
        <f t="shared" si="133"/>
        <v>49.77684</v>
      </c>
      <c r="J682" s="463">
        <f t="shared" si="133"/>
        <v>26.235959999999999</v>
      </c>
      <c r="K682" s="463">
        <f t="shared" si="133"/>
        <v>19.047599999999999</v>
      </c>
      <c r="L682" s="463">
        <f t="shared" si="133"/>
        <v>15.706499999999998</v>
      </c>
    </row>
    <row r="683" spans="2:12" x14ac:dyDescent="0.3">
      <c r="B683" s="94"/>
      <c r="C683" s="94"/>
      <c r="D683" s="94"/>
      <c r="E683" s="94"/>
      <c r="F683" s="339"/>
      <c r="G683" s="339"/>
      <c r="H683" s="339"/>
    </row>
    <row r="684" spans="2:12" x14ac:dyDescent="0.3">
      <c r="B684" s="119" t="s">
        <v>1680</v>
      </c>
      <c r="C684" s="372"/>
      <c r="D684" s="94"/>
      <c r="E684" s="220"/>
      <c r="F684" s="339"/>
      <c r="G684" s="339"/>
      <c r="H684" s="339"/>
    </row>
    <row r="685" spans="2:12" x14ac:dyDescent="0.3">
      <c r="B685" s="399" t="s">
        <v>318</v>
      </c>
      <c r="C685" s="400"/>
      <c r="D685" s="385" t="s">
        <v>319</v>
      </c>
      <c r="E685" s="325">
        <v>56</v>
      </c>
      <c r="F685" s="339"/>
      <c r="G685" s="339"/>
      <c r="H685" s="339"/>
      <c r="I685" s="463">
        <f t="shared" ref="I685:L687" si="134">($E685+$G685)*I$3</f>
        <v>12.556319999999999</v>
      </c>
      <c r="J685" s="463">
        <f t="shared" si="134"/>
        <v>6.61808</v>
      </c>
      <c r="K685" s="463">
        <f t="shared" si="134"/>
        <v>4.8048000000000002</v>
      </c>
      <c r="L685" s="463">
        <f t="shared" si="134"/>
        <v>3.9619999999999997</v>
      </c>
    </row>
    <row r="686" spans="2:12" x14ac:dyDescent="0.3">
      <c r="B686" s="399" t="s">
        <v>96</v>
      </c>
      <c r="C686" s="400"/>
      <c r="D686" s="385" t="s">
        <v>322</v>
      </c>
      <c r="E686" s="196">
        <v>144</v>
      </c>
      <c r="F686" s="339"/>
      <c r="G686" s="339"/>
      <c r="H686" s="339"/>
      <c r="I686" s="463">
        <f t="shared" si="134"/>
        <v>32.287680000000002</v>
      </c>
      <c r="J686" s="463">
        <f t="shared" si="134"/>
        <v>17.01792</v>
      </c>
      <c r="K686" s="463">
        <f t="shared" si="134"/>
        <v>12.3552</v>
      </c>
      <c r="L686" s="463">
        <f t="shared" si="134"/>
        <v>10.187999999999999</v>
      </c>
    </row>
    <row r="687" spans="2:12" x14ac:dyDescent="0.3">
      <c r="B687" s="399" t="s">
        <v>323</v>
      </c>
      <c r="C687" s="400"/>
      <c r="D687" s="385" t="s">
        <v>324</v>
      </c>
      <c r="E687" s="196">
        <v>222</v>
      </c>
      <c r="F687" s="339"/>
      <c r="G687" s="339"/>
      <c r="H687" s="339"/>
      <c r="I687" s="463">
        <f t="shared" si="134"/>
        <v>49.77684</v>
      </c>
      <c r="J687" s="463">
        <f t="shared" si="134"/>
        <v>26.235959999999999</v>
      </c>
      <c r="K687" s="463">
        <f t="shared" si="134"/>
        <v>19.047599999999999</v>
      </c>
      <c r="L687" s="463">
        <f t="shared" si="134"/>
        <v>15.706499999999998</v>
      </c>
    </row>
    <row r="688" spans="2:12" x14ac:dyDescent="0.3">
      <c r="B688" s="97"/>
      <c r="C688" s="95"/>
      <c r="D688" s="94"/>
      <c r="E688" s="194"/>
      <c r="F688" s="339"/>
      <c r="G688" s="339"/>
      <c r="H688" s="339"/>
    </row>
    <row r="689" spans="2:12" x14ac:dyDescent="0.3">
      <c r="B689" s="119" t="s">
        <v>1681</v>
      </c>
      <c r="C689" s="372"/>
      <c r="D689" s="94"/>
      <c r="E689" s="194"/>
      <c r="F689" s="339"/>
      <c r="G689" s="339"/>
      <c r="H689" s="339"/>
    </row>
    <row r="690" spans="2:12" x14ac:dyDescent="0.3">
      <c r="B690" s="384" t="s">
        <v>1682</v>
      </c>
      <c r="C690" s="371"/>
      <c r="D690" s="385" t="s">
        <v>1683</v>
      </c>
      <c r="E690" s="398">
        <v>475</v>
      </c>
      <c r="F690" s="339"/>
      <c r="G690" s="339"/>
      <c r="H690" s="339"/>
      <c r="I690" s="463">
        <f t="shared" ref="I690:L695" si="135">($E690+$G690)*I$3</f>
        <v>106.50450000000001</v>
      </c>
      <c r="J690" s="463">
        <f t="shared" si="135"/>
        <v>56.1355</v>
      </c>
      <c r="K690" s="463">
        <f t="shared" si="135"/>
        <v>40.755000000000003</v>
      </c>
      <c r="L690" s="463">
        <f t="shared" si="135"/>
        <v>33.606249999999996</v>
      </c>
    </row>
    <row r="691" spans="2:12" x14ac:dyDescent="0.3">
      <c r="B691" s="384" t="s">
        <v>1684</v>
      </c>
      <c r="C691" s="371"/>
      <c r="D691" s="385" t="s">
        <v>1685</v>
      </c>
      <c r="E691" s="398">
        <v>951</v>
      </c>
      <c r="F691" s="339"/>
      <c r="G691" s="339"/>
      <c r="H691" s="339"/>
      <c r="I691" s="463">
        <f t="shared" si="135"/>
        <v>213.23321999999999</v>
      </c>
      <c r="J691" s="463">
        <f t="shared" si="135"/>
        <v>112.38918</v>
      </c>
      <c r="K691" s="463">
        <f t="shared" si="135"/>
        <v>81.595799999999997</v>
      </c>
      <c r="L691" s="463">
        <f t="shared" si="135"/>
        <v>67.283249999999995</v>
      </c>
    </row>
    <row r="692" spans="2:12" x14ac:dyDescent="0.3">
      <c r="B692" s="384" t="s">
        <v>1686</v>
      </c>
      <c r="C692" s="371"/>
      <c r="D692" s="385" t="s">
        <v>1687</v>
      </c>
      <c r="E692" s="398">
        <v>1757</v>
      </c>
      <c r="F692" s="339"/>
      <c r="G692" s="339"/>
      <c r="H692" s="339"/>
      <c r="I692" s="463">
        <f t="shared" si="135"/>
        <v>393.95454000000001</v>
      </c>
      <c r="J692" s="463">
        <f t="shared" si="135"/>
        <v>207.64225999999999</v>
      </c>
      <c r="K692" s="463">
        <f t="shared" si="135"/>
        <v>150.75059999999999</v>
      </c>
      <c r="L692" s="463">
        <f t="shared" si="135"/>
        <v>124.30774999999998</v>
      </c>
    </row>
    <row r="693" spans="2:12" x14ac:dyDescent="0.3">
      <c r="B693" s="384" t="s">
        <v>1688</v>
      </c>
      <c r="C693" s="371"/>
      <c r="D693" s="385" t="s">
        <v>1689</v>
      </c>
      <c r="E693" s="398">
        <v>885</v>
      </c>
      <c r="F693" s="339"/>
      <c r="G693" s="339"/>
      <c r="H693" s="339"/>
      <c r="I693" s="463">
        <f t="shared" si="135"/>
        <v>198.43469999999999</v>
      </c>
      <c r="J693" s="463">
        <f t="shared" si="135"/>
        <v>104.58929999999999</v>
      </c>
      <c r="K693" s="463">
        <f t="shared" si="135"/>
        <v>75.933000000000007</v>
      </c>
      <c r="L693" s="463">
        <f t="shared" si="135"/>
        <v>62.613749999999996</v>
      </c>
    </row>
    <row r="694" spans="2:12" x14ac:dyDescent="0.3">
      <c r="B694" s="384" t="s">
        <v>1690</v>
      </c>
      <c r="C694" s="371"/>
      <c r="D694" s="385" t="s">
        <v>1691</v>
      </c>
      <c r="E694" s="398">
        <v>1837</v>
      </c>
      <c r="F694" s="339"/>
      <c r="G694" s="339"/>
      <c r="H694" s="339"/>
      <c r="I694" s="463">
        <f t="shared" si="135"/>
        <v>411.89213999999998</v>
      </c>
      <c r="J694" s="463">
        <f t="shared" si="135"/>
        <v>217.09665999999999</v>
      </c>
      <c r="K694" s="463">
        <f t="shared" si="135"/>
        <v>157.6146</v>
      </c>
      <c r="L694" s="463">
        <f t="shared" si="135"/>
        <v>129.96775</v>
      </c>
    </row>
    <row r="695" spans="2:12" x14ac:dyDescent="0.3">
      <c r="B695" s="384" t="s">
        <v>1692</v>
      </c>
      <c r="C695" s="371"/>
      <c r="D695" s="385" t="s">
        <v>1693</v>
      </c>
      <c r="E695" s="398">
        <v>3449</v>
      </c>
      <c r="F695" s="339"/>
      <c r="G695" s="339"/>
      <c r="H695" s="339"/>
      <c r="I695" s="463">
        <f t="shared" si="135"/>
        <v>773.33478000000002</v>
      </c>
      <c r="J695" s="463">
        <f t="shared" si="135"/>
        <v>407.60281999999995</v>
      </c>
      <c r="K695" s="463">
        <f t="shared" si="135"/>
        <v>295.92419999999998</v>
      </c>
      <c r="L695" s="463">
        <f t="shared" si="135"/>
        <v>244.01674999999997</v>
      </c>
    </row>
    <row r="696" spans="2:12" x14ac:dyDescent="0.3">
      <c r="B696" s="402"/>
      <c r="C696" s="97"/>
      <c r="D696" s="294"/>
      <c r="E696" s="94"/>
      <c r="F696" s="339"/>
      <c r="G696" s="339"/>
      <c r="H696" s="339"/>
    </row>
    <row r="697" spans="2:12" x14ac:dyDescent="0.3">
      <c r="B697" s="249" t="s">
        <v>54</v>
      </c>
      <c r="C697" s="97"/>
      <c r="D697" s="94"/>
      <c r="E697" s="194"/>
      <c r="F697" s="339"/>
      <c r="G697" s="339"/>
      <c r="H697" s="339"/>
    </row>
    <row r="698" spans="2:12" x14ac:dyDescent="0.3">
      <c r="B698" s="119" t="s">
        <v>334</v>
      </c>
      <c r="C698" s="97"/>
      <c r="D698" s="94"/>
      <c r="E698" s="194"/>
      <c r="F698" s="339"/>
      <c r="G698" s="339"/>
      <c r="H698" s="339"/>
    </row>
    <row r="699" spans="2:12" x14ac:dyDescent="0.3">
      <c r="B699" s="371" t="s">
        <v>337</v>
      </c>
      <c r="C699" s="371"/>
      <c r="D699" s="385" t="s">
        <v>335</v>
      </c>
      <c r="E699" s="403">
        <v>438</v>
      </c>
      <c r="F699" s="339"/>
      <c r="G699" s="339"/>
      <c r="H699" s="339"/>
      <c r="I699" s="463">
        <f t="shared" ref="I699:L700" si="136">($E699+$G699)*I$3</f>
        <v>98.208359999999999</v>
      </c>
      <c r="J699" s="463">
        <f t="shared" si="136"/>
        <v>51.762839999999997</v>
      </c>
      <c r="K699" s="463">
        <f t="shared" si="136"/>
        <v>37.580399999999997</v>
      </c>
      <c r="L699" s="463">
        <f t="shared" si="136"/>
        <v>30.988499999999998</v>
      </c>
    </row>
    <row r="700" spans="2:12" x14ac:dyDescent="0.3">
      <c r="B700" s="371" t="s">
        <v>338</v>
      </c>
      <c r="C700" s="371"/>
      <c r="D700" s="308" t="s">
        <v>336</v>
      </c>
      <c r="E700" s="404">
        <v>2028</v>
      </c>
      <c r="F700" s="339"/>
      <c r="G700" s="339"/>
      <c r="H700" s="339"/>
      <c r="I700" s="463">
        <f t="shared" si="136"/>
        <v>454.71816000000001</v>
      </c>
      <c r="J700" s="463">
        <f t="shared" si="136"/>
        <v>239.66904</v>
      </c>
      <c r="K700" s="463">
        <f t="shared" si="136"/>
        <v>174.00239999999999</v>
      </c>
      <c r="L700" s="463">
        <f t="shared" si="136"/>
        <v>143.48099999999999</v>
      </c>
    </row>
    <row r="701" spans="2:12" x14ac:dyDescent="0.3">
      <c r="B701" s="119" t="s">
        <v>339</v>
      </c>
      <c r="C701" s="97"/>
      <c r="D701" s="94"/>
      <c r="E701" s="194"/>
      <c r="F701" s="339"/>
      <c r="G701" s="339"/>
      <c r="H701" s="339"/>
    </row>
    <row r="702" spans="2:12" x14ac:dyDescent="0.3">
      <c r="B702" s="371" t="s">
        <v>340</v>
      </c>
      <c r="C702" s="371"/>
      <c r="D702" s="385" t="s">
        <v>127</v>
      </c>
      <c r="E702" s="405">
        <v>186</v>
      </c>
      <c r="F702" s="339"/>
      <c r="G702" s="339"/>
      <c r="H702" s="339"/>
      <c r="I702" s="463">
        <f t="shared" ref="I702:L707" si="137">($E702+$G702)*I$3</f>
        <v>41.704920000000001</v>
      </c>
      <c r="J702" s="463">
        <f t="shared" si="137"/>
        <v>21.981479999999998</v>
      </c>
      <c r="K702" s="463">
        <f t="shared" si="137"/>
        <v>15.9588</v>
      </c>
      <c r="L702" s="463">
        <f t="shared" si="137"/>
        <v>13.1595</v>
      </c>
    </row>
    <row r="703" spans="2:12" x14ac:dyDescent="0.3">
      <c r="B703" s="371" t="s">
        <v>1323</v>
      </c>
      <c r="C703" s="371"/>
      <c r="D703" s="385" t="s">
        <v>128</v>
      </c>
      <c r="E703" s="405">
        <v>438</v>
      </c>
      <c r="F703" s="339"/>
      <c r="G703" s="339"/>
      <c r="H703" s="339"/>
      <c r="I703" s="463">
        <f t="shared" si="137"/>
        <v>98.208359999999999</v>
      </c>
      <c r="J703" s="463">
        <f t="shared" si="137"/>
        <v>51.762839999999997</v>
      </c>
      <c r="K703" s="463">
        <f t="shared" si="137"/>
        <v>37.580399999999997</v>
      </c>
      <c r="L703" s="463">
        <f t="shared" si="137"/>
        <v>30.988499999999998</v>
      </c>
    </row>
    <row r="704" spans="2:12" x14ac:dyDescent="0.3">
      <c r="B704" s="384" t="s">
        <v>1694</v>
      </c>
      <c r="C704" s="371"/>
      <c r="D704" s="385" t="s">
        <v>129</v>
      </c>
      <c r="E704" s="405">
        <v>679</v>
      </c>
      <c r="F704" s="339"/>
      <c r="G704" s="339"/>
      <c r="H704" s="339"/>
      <c r="I704" s="463">
        <f t="shared" si="137"/>
        <v>152.24538000000001</v>
      </c>
      <c r="J704" s="463">
        <f t="shared" si="137"/>
        <v>80.244219999999999</v>
      </c>
      <c r="K704" s="463">
        <f t="shared" si="137"/>
        <v>58.258200000000002</v>
      </c>
      <c r="L704" s="463">
        <f t="shared" si="137"/>
        <v>48.039249999999996</v>
      </c>
    </row>
    <row r="705" spans="2:12" x14ac:dyDescent="0.3">
      <c r="B705" s="384" t="s">
        <v>1695</v>
      </c>
      <c r="C705" s="371"/>
      <c r="D705" s="385" t="s">
        <v>130</v>
      </c>
      <c r="E705" s="405">
        <v>1253</v>
      </c>
      <c r="F705" s="339"/>
      <c r="G705" s="339"/>
      <c r="H705" s="339"/>
      <c r="I705" s="463">
        <f t="shared" si="137"/>
        <v>280.94765999999998</v>
      </c>
      <c r="J705" s="463">
        <f t="shared" si="137"/>
        <v>148.07953999999998</v>
      </c>
      <c r="K705" s="463">
        <f t="shared" si="137"/>
        <v>107.5074</v>
      </c>
      <c r="L705" s="463">
        <f t="shared" si="137"/>
        <v>88.649749999999997</v>
      </c>
    </row>
    <row r="706" spans="2:12" x14ac:dyDescent="0.3">
      <c r="B706" s="384" t="s">
        <v>1883</v>
      </c>
      <c r="C706" s="371"/>
      <c r="D706" s="385" t="s">
        <v>134</v>
      </c>
      <c r="E706" s="404">
        <v>2683</v>
      </c>
      <c r="F706" s="339"/>
      <c r="G706" s="339"/>
      <c r="H706" s="339"/>
      <c r="I706" s="463">
        <f t="shared" si="137"/>
        <v>601.58226000000002</v>
      </c>
      <c r="J706" s="463">
        <f t="shared" si="137"/>
        <v>317.07693999999998</v>
      </c>
      <c r="K706" s="463">
        <f t="shared" si="137"/>
        <v>230.20140000000001</v>
      </c>
      <c r="L706" s="463">
        <f t="shared" si="137"/>
        <v>189.82224999999997</v>
      </c>
    </row>
    <row r="707" spans="2:12" x14ac:dyDescent="0.3">
      <c r="B707" s="371" t="s">
        <v>344</v>
      </c>
      <c r="C707" s="400"/>
      <c r="D707" s="385" t="s">
        <v>343</v>
      </c>
      <c r="E707" s="405">
        <v>3073</v>
      </c>
      <c r="F707" s="339"/>
      <c r="G707" s="339"/>
      <c r="H707" s="339"/>
      <c r="I707" s="463">
        <f t="shared" si="137"/>
        <v>689.02805999999998</v>
      </c>
      <c r="J707" s="463">
        <f t="shared" si="137"/>
        <v>363.16713999999996</v>
      </c>
      <c r="K707" s="463">
        <f t="shared" si="137"/>
        <v>263.66340000000002</v>
      </c>
      <c r="L707" s="463">
        <f t="shared" si="137"/>
        <v>217.41474999999997</v>
      </c>
    </row>
    <row r="708" spans="2:12" x14ac:dyDescent="0.3">
      <c r="B708" s="119" t="s">
        <v>132</v>
      </c>
      <c r="C708" s="97"/>
      <c r="D708" s="94"/>
      <c r="E708" s="194"/>
      <c r="F708" s="339"/>
      <c r="G708" s="339"/>
      <c r="H708" s="339"/>
    </row>
    <row r="709" spans="2:12" x14ac:dyDescent="0.3">
      <c r="B709" s="371" t="s">
        <v>1696</v>
      </c>
      <c r="C709" s="400"/>
      <c r="D709" s="385" t="s">
        <v>348</v>
      </c>
      <c r="E709" s="405">
        <v>724</v>
      </c>
      <c r="F709" s="339"/>
      <c r="G709" s="339"/>
      <c r="H709" s="339"/>
      <c r="I709" s="463">
        <f t="shared" ref="I709:L709" si="138">($E709+$G709)*I$3</f>
        <v>162.33528000000001</v>
      </c>
      <c r="J709" s="463">
        <f t="shared" si="138"/>
        <v>85.56232</v>
      </c>
      <c r="K709" s="463">
        <f t="shared" si="138"/>
        <v>62.119199999999999</v>
      </c>
      <c r="L709" s="463">
        <f t="shared" si="138"/>
        <v>51.222999999999992</v>
      </c>
    </row>
    <row r="710" spans="2:12" x14ac:dyDescent="0.3">
      <c r="B710" s="119" t="s">
        <v>1697</v>
      </c>
      <c r="C710" s="97"/>
      <c r="D710" s="94"/>
      <c r="E710" s="194"/>
      <c r="F710" s="339"/>
      <c r="G710" s="339"/>
      <c r="H710" s="339"/>
    </row>
    <row r="711" spans="2:12" x14ac:dyDescent="0.3">
      <c r="B711" s="371" t="s">
        <v>1698</v>
      </c>
      <c r="C711" s="371"/>
      <c r="D711" s="385" t="s">
        <v>351</v>
      </c>
      <c r="E711" s="405">
        <v>2655</v>
      </c>
      <c r="F711" s="339"/>
      <c r="G711" s="339"/>
      <c r="H711" s="339"/>
      <c r="I711" s="463">
        <f t="shared" ref="I711:L716" si="139">($E711+$G711)*I$3</f>
        <v>595.30410000000006</v>
      </c>
      <c r="J711" s="463">
        <f t="shared" si="139"/>
        <v>313.7679</v>
      </c>
      <c r="K711" s="463">
        <f t="shared" si="139"/>
        <v>227.79900000000001</v>
      </c>
      <c r="L711" s="463">
        <f t="shared" si="139"/>
        <v>187.84124999999997</v>
      </c>
    </row>
    <row r="712" spans="2:12" x14ac:dyDescent="0.3">
      <c r="B712" s="371" t="s">
        <v>1699</v>
      </c>
      <c r="C712" s="371"/>
      <c r="D712" s="385" t="s">
        <v>352</v>
      </c>
      <c r="E712" s="405">
        <v>2861</v>
      </c>
      <c r="F712" s="339"/>
      <c r="G712" s="339"/>
      <c r="H712" s="339"/>
      <c r="I712" s="463">
        <f t="shared" si="139"/>
        <v>641.49342000000001</v>
      </c>
      <c r="J712" s="463">
        <f t="shared" si="139"/>
        <v>338.11297999999999</v>
      </c>
      <c r="K712" s="463">
        <f t="shared" si="139"/>
        <v>245.47380000000001</v>
      </c>
      <c r="L712" s="463">
        <f t="shared" si="139"/>
        <v>202.41574999999997</v>
      </c>
    </row>
    <row r="713" spans="2:12" x14ac:dyDescent="0.3">
      <c r="B713" s="371" t="s">
        <v>1700</v>
      </c>
      <c r="C713" s="400"/>
      <c r="D713" s="385" t="s">
        <v>1701</v>
      </c>
      <c r="E713" s="405">
        <v>5515</v>
      </c>
      <c r="F713" s="339"/>
      <c r="G713" s="339"/>
      <c r="H713" s="339"/>
      <c r="I713" s="463">
        <f t="shared" si="139"/>
        <v>1236.5733</v>
      </c>
      <c r="J713" s="463">
        <f t="shared" si="139"/>
        <v>651.7627</v>
      </c>
      <c r="K713" s="463">
        <f t="shared" si="139"/>
        <v>473.18700000000001</v>
      </c>
      <c r="L713" s="463">
        <f t="shared" si="139"/>
        <v>390.18624999999997</v>
      </c>
    </row>
    <row r="714" spans="2:12" x14ac:dyDescent="0.3">
      <c r="B714" s="371" t="s">
        <v>1927</v>
      </c>
      <c r="C714" s="371"/>
      <c r="D714" s="385" t="s">
        <v>1703</v>
      </c>
      <c r="E714" s="405">
        <v>5721</v>
      </c>
      <c r="F714" s="339"/>
      <c r="G714" s="339"/>
      <c r="H714" s="339"/>
      <c r="I714" s="463">
        <f t="shared" si="139"/>
        <v>1282.76262</v>
      </c>
      <c r="J714" s="463">
        <f t="shared" si="139"/>
        <v>676.10777999999993</v>
      </c>
      <c r="K714" s="463">
        <f t="shared" si="139"/>
        <v>490.86180000000002</v>
      </c>
      <c r="L714" s="463">
        <f t="shared" si="139"/>
        <v>404.76074999999997</v>
      </c>
    </row>
    <row r="715" spans="2:12" x14ac:dyDescent="0.3">
      <c r="B715" s="401" t="s">
        <v>1704</v>
      </c>
      <c r="C715" s="371"/>
      <c r="D715" s="118" t="s">
        <v>459</v>
      </c>
      <c r="E715" s="404">
        <v>6294</v>
      </c>
      <c r="F715" s="339"/>
      <c r="G715" s="339"/>
      <c r="H715" s="339"/>
      <c r="I715" s="463">
        <f t="shared" si="139"/>
        <v>1411.2406800000001</v>
      </c>
      <c r="J715" s="463">
        <f t="shared" si="139"/>
        <v>743.82491999999991</v>
      </c>
      <c r="K715" s="463">
        <f t="shared" si="139"/>
        <v>540.02520000000004</v>
      </c>
      <c r="L715" s="463">
        <f t="shared" si="139"/>
        <v>445.30049999999994</v>
      </c>
    </row>
    <row r="716" spans="2:12" x14ac:dyDescent="0.3">
      <c r="B716" s="401" t="s">
        <v>1705</v>
      </c>
      <c r="C716" s="371"/>
      <c r="D716" s="106" t="s">
        <v>462</v>
      </c>
      <c r="E716" s="404">
        <v>6501</v>
      </c>
      <c r="F716" s="339"/>
      <c r="G716" s="339"/>
      <c r="H716" s="339"/>
      <c r="I716" s="463">
        <f t="shared" si="139"/>
        <v>1457.6542200000001</v>
      </c>
      <c r="J716" s="463">
        <f t="shared" si="139"/>
        <v>768.28818000000001</v>
      </c>
      <c r="K716" s="463">
        <f t="shared" si="139"/>
        <v>557.78579999999999</v>
      </c>
      <c r="L716" s="463">
        <f t="shared" si="139"/>
        <v>459.94574999999998</v>
      </c>
    </row>
    <row r="717" spans="2:12" x14ac:dyDescent="0.3">
      <c r="B717" s="249"/>
      <c r="C717" s="249"/>
      <c r="D717" s="406"/>
      <c r="E717" s="407"/>
      <c r="F717" s="339"/>
      <c r="G717" s="339"/>
      <c r="H717" s="339"/>
    </row>
    <row r="718" spans="2:12" x14ac:dyDescent="0.3">
      <c r="B718" s="270" t="s">
        <v>509</v>
      </c>
      <c r="C718" s="97"/>
      <c r="D718" s="94"/>
      <c r="E718" s="194"/>
      <c r="F718" s="339"/>
      <c r="G718" s="339"/>
      <c r="H718" s="339"/>
    </row>
    <row r="719" spans="2:12" x14ac:dyDescent="0.3">
      <c r="B719" s="400" t="s">
        <v>1847</v>
      </c>
      <c r="C719" s="400"/>
      <c r="D719" s="408" t="s">
        <v>1710</v>
      </c>
      <c r="E719" s="325">
        <v>35</v>
      </c>
      <c r="F719" s="339"/>
      <c r="G719" s="339"/>
      <c r="H719" s="339"/>
      <c r="I719" s="463">
        <f t="shared" ref="I719:L719" si="140">($E719+$G719)*I$3</f>
        <v>7.8476999999999997</v>
      </c>
      <c r="J719" s="463">
        <f t="shared" si="140"/>
        <v>4.1362999999999994</v>
      </c>
      <c r="K719" s="463">
        <f t="shared" si="140"/>
        <v>3.0030000000000001</v>
      </c>
      <c r="L719" s="463">
        <f t="shared" si="140"/>
        <v>2.4762499999999998</v>
      </c>
    </row>
    <row r="720" spans="2:12" x14ac:dyDescent="0.3">
      <c r="B720" s="97"/>
      <c r="C720" s="97"/>
      <c r="D720" s="94"/>
      <c r="E720" s="94"/>
      <c r="F720" s="339"/>
      <c r="G720" s="339"/>
      <c r="H720" s="339"/>
    </row>
    <row r="721" spans="2:12" x14ac:dyDescent="0.3">
      <c r="B721" s="270" t="s">
        <v>1706</v>
      </c>
      <c r="C721" s="97"/>
      <c r="D721" s="94"/>
      <c r="E721" s="194"/>
      <c r="F721" s="339"/>
      <c r="G721" s="339"/>
      <c r="H721" s="339"/>
    </row>
    <row r="722" spans="2:12" x14ac:dyDescent="0.3">
      <c r="B722" s="400" t="s">
        <v>357</v>
      </c>
      <c r="C722" s="400"/>
      <c r="D722" s="408" t="s">
        <v>1707</v>
      </c>
      <c r="E722" s="325">
        <v>25</v>
      </c>
      <c r="F722" s="339"/>
      <c r="G722" s="339"/>
      <c r="H722" s="339"/>
      <c r="I722" s="463">
        <f t="shared" ref="I722:L722" si="141">($E722+$G722)*I$3</f>
        <v>5.6055000000000001</v>
      </c>
      <c r="J722" s="463">
        <f t="shared" si="141"/>
        <v>2.9544999999999999</v>
      </c>
      <c r="K722" s="463">
        <f t="shared" si="141"/>
        <v>2.145</v>
      </c>
      <c r="L722" s="463">
        <f t="shared" si="141"/>
        <v>1.7687499999999998</v>
      </c>
    </row>
    <row r="723" spans="2:12" x14ac:dyDescent="0.3">
      <c r="B723" s="97"/>
      <c r="C723" s="97"/>
      <c r="D723" s="94"/>
      <c r="E723" s="94"/>
      <c r="F723" s="339"/>
      <c r="G723" s="339"/>
      <c r="H723" s="339"/>
    </row>
    <row r="724" spans="2:12" x14ac:dyDescent="0.3">
      <c r="B724" s="270" t="s">
        <v>1708</v>
      </c>
      <c r="C724" s="97"/>
      <c r="D724" s="94"/>
      <c r="E724" s="409"/>
      <c r="F724" s="339"/>
      <c r="G724" s="339"/>
      <c r="H724" s="339"/>
    </row>
    <row r="725" spans="2:12" x14ac:dyDescent="0.3">
      <c r="B725" s="400" t="s">
        <v>1709</v>
      </c>
      <c r="C725" s="400"/>
      <c r="D725" s="408" t="s">
        <v>1710</v>
      </c>
      <c r="E725" s="325">
        <v>34</v>
      </c>
      <c r="F725" s="339"/>
      <c r="G725" s="339"/>
      <c r="H725" s="339"/>
      <c r="I725" s="463">
        <f t="shared" ref="I725:L726" si="142">($E725+$G725)*I$3</f>
        <v>7.6234799999999998</v>
      </c>
      <c r="J725" s="463">
        <f t="shared" si="142"/>
        <v>4.0181199999999997</v>
      </c>
      <c r="K725" s="463">
        <f t="shared" si="142"/>
        <v>2.9172000000000002</v>
      </c>
      <c r="L725" s="463">
        <f t="shared" si="142"/>
        <v>2.4055</v>
      </c>
    </row>
    <row r="726" spans="2:12" x14ac:dyDescent="0.3">
      <c r="B726" s="400" t="s">
        <v>1711</v>
      </c>
      <c r="C726" s="400"/>
      <c r="D726" s="408" t="s">
        <v>1712</v>
      </c>
      <c r="E726" s="325">
        <v>227</v>
      </c>
      <c r="F726" s="339"/>
      <c r="G726" s="339"/>
      <c r="H726" s="339"/>
      <c r="I726" s="463">
        <f t="shared" si="142"/>
        <v>50.897939999999998</v>
      </c>
      <c r="J726" s="463">
        <f t="shared" si="142"/>
        <v>26.82686</v>
      </c>
      <c r="K726" s="463">
        <f t="shared" si="142"/>
        <v>19.476600000000001</v>
      </c>
      <c r="L726" s="463">
        <f t="shared" si="142"/>
        <v>16.06025</v>
      </c>
    </row>
    <row r="727" spans="2:12" x14ac:dyDescent="0.3">
      <c r="B727" s="97"/>
      <c r="C727" s="97"/>
      <c r="D727" s="94"/>
      <c r="E727" s="94"/>
      <c r="F727" s="339"/>
      <c r="G727" s="339"/>
      <c r="H727" s="339"/>
    </row>
    <row r="728" spans="2:12" x14ac:dyDescent="0.3">
      <c r="B728" s="270" t="s">
        <v>1713</v>
      </c>
      <c r="C728" s="97"/>
      <c r="D728" s="94"/>
      <c r="E728" s="409"/>
      <c r="F728" s="339"/>
      <c r="G728" s="339"/>
      <c r="H728" s="339"/>
    </row>
    <row r="729" spans="2:12" x14ac:dyDescent="0.3">
      <c r="B729" s="400" t="s">
        <v>1714</v>
      </c>
      <c r="C729" s="400"/>
      <c r="D729" s="408" t="s">
        <v>364</v>
      </c>
      <c r="E729" s="325">
        <v>39</v>
      </c>
      <c r="F729" s="339"/>
      <c r="G729" s="339"/>
      <c r="H729" s="339"/>
      <c r="I729" s="463">
        <f t="shared" ref="I729:L729" si="143">($E729+$G729)*I$3</f>
        <v>8.7445800000000009</v>
      </c>
      <c r="J729" s="463">
        <f t="shared" si="143"/>
        <v>4.6090200000000001</v>
      </c>
      <c r="K729" s="463">
        <f t="shared" si="143"/>
        <v>3.3462000000000001</v>
      </c>
      <c r="L729" s="463">
        <f t="shared" si="143"/>
        <v>2.7592499999999998</v>
      </c>
    </row>
    <row r="730" spans="2:12" x14ac:dyDescent="0.3">
      <c r="B730" s="97"/>
      <c r="C730" s="97"/>
      <c r="D730" s="94"/>
      <c r="E730" s="94"/>
      <c r="F730" s="339"/>
      <c r="G730" s="339"/>
      <c r="H730" s="339"/>
    </row>
    <row r="731" spans="2:12" x14ac:dyDescent="0.3">
      <c r="B731" s="270" t="s">
        <v>1715</v>
      </c>
      <c r="C731" s="97"/>
      <c r="D731" s="94"/>
      <c r="E731" s="409"/>
      <c r="F731" s="339"/>
      <c r="G731" s="339"/>
      <c r="H731" s="339"/>
    </row>
    <row r="732" spans="2:12" x14ac:dyDescent="0.3">
      <c r="B732" s="400" t="s">
        <v>1716</v>
      </c>
      <c r="C732" s="400"/>
      <c r="D732" s="408" t="s">
        <v>1717</v>
      </c>
      <c r="E732" s="325">
        <v>70</v>
      </c>
      <c r="F732" s="339"/>
      <c r="G732" s="339"/>
      <c r="H732" s="339"/>
      <c r="I732" s="463">
        <f t="shared" ref="I732:L732" si="144">($E732+$G732)*I$3</f>
        <v>15.695399999999999</v>
      </c>
      <c r="J732" s="463">
        <f t="shared" si="144"/>
        <v>8.2725999999999988</v>
      </c>
      <c r="K732" s="463">
        <f t="shared" si="144"/>
        <v>6.0060000000000002</v>
      </c>
      <c r="L732" s="463">
        <f t="shared" si="144"/>
        <v>4.9524999999999997</v>
      </c>
    </row>
    <row r="733" spans="2:12" x14ac:dyDescent="0.3">
      <c r="B733" s="97"/>
      <c r="C733" s="97"/>
      <c r="D733" s="94"/>
      <c r="E733" s="194"/>
      <c r="F733" s="339"/>
      <c r="G733" s="339"/>
      <c r="H733" s="339"/>
    </row>
    <row r="734" spans="2:12" x14ac:dyDescent="0.3">
      <c r="B734" s="270" t="s">
        <v>1718</v>
      </c>
      <c r="C734" s="97"/>
      <c r="D734" s="94"/>
      <c r="E734" s="409"/>
      <c r="F734" s="339"/>
      <c r="G734" s="339"/>
      <c r="H734" s="339"/>
    </row>
    <row r="735" spans="2:12" x14ac:dyDescent="0.3">
      <c r="B735" s="400" t="s">
        <v>137</v>
      </c>
      <c r="C735" s="400"/>
      <c r="D735" s="408" t="s">
        <v>365</v>
      </c>
      <c r="E735" s="325">
        <v>27</v>
      </c>
      <c r="F735" s="339"/>
      <c r="G735" s="339"/>
      <c r="H735" s="339"/>
      <c r="I735" s="463">
        <f t="shared" ref="I735:L735" si="145">($E735+$G735)*I$3</f>
        <v>6.0539399999999999</v>
      </c>
      <c r="J735" s="463">
        <f t="shared" si="145"/>
        <v>3.1908599999999998</v>
      </c>
      <c r="K735" s="463">
        <f t="shared" si="145"/>
        <v>2.3166000000000002</v>
      </c>
      <c r="L735" s="463">
        <f t="shared" si="145"/>
        <v>1.9102499999999998</v>
      </c>
    </row>
    <row r="736" spans="2:12" x14ac:dyDescent="0.3">
      <c r="B736" s="97"/>
      <c r="C736" s="97"/>
      <c r="D736" s="94"/>
      <c r="E736" s="94"/>
      <c r="F736" s="339"/>
      <c r="G736" s="339"/>
      <c r="H736" s="339"/>
    </row>
    <row r="737" spans="2:12" x14ac:dyDescent="0.3">
      <c r="B737" s="270" t="s">
        <v>67</v>
      </c>
      <c r="C737" s="97"/>
      <c r="D737" s="94"/>
      <c r="E737" s="194"/>
      <c r="F737" s="339"/>
      <c r="G737" s="339"/>
      <c r="H737" s="339"/>
    </row>
    <row r="738" spans="2:12" x14ac:dyDescent="0.3">
      <c r="B738" s="400" t="s">
        <v>68</v>
      </c>
      <c r="C738" s="400"/>
      <c r="D738" s="408" t="s">
        <v>366</v>
      </c>
      <c r="E738" s="405">
        <v>0</v>
      </c>
      <c r="F738" s="339"/>
      <c r="G738" s="339"/>
      <c r="H738" s="339"/>
      <c r="I738" s="463">
        <f t="shared" ref="I738:L738" si="146">($E738+$G738)*I$3</f>
        <v>0</v>
      </c>
      <c r="J738" s="463">
        <f t="shared" si="146"/>
        <v>0</v>
      </c>
      <c r="K738" s="463">
        <f t="shared" si="146"/>
        <v>0</v>
      </c>
      <c r="L738" s="463">
        <f t="shared" si="146"/>
        <v>0</v>
      </c>
    </row>
    <row r="739" spans="2:12" s="97" customFormat="1" x14ac:dyDescent="0.3">
      <c r="B739" s="96"/>
      <c r="C739" s="95"/>
      <c r="D739" s="94"/>
      <c r="E739" s="166"/>
    </row>
    <row r="741" spans="2:12" x14ac:dyDescent="0.3">
      <c r="B741" s="44" t="s">
        <v>465</v>
      </c>
      <c r="C741" s="44"/>
      <c r="D741" s="51"/>
      <c r="E741" s="51"/>
      <c r="F741" s="448"/>
      <c r="G741" s="448"/>
    </row>
    <row r="742" spans="2:12" x14ac:dyDescent="0.3">
      <c r="B742" s="28" t="s">
        <v>34</v>
      </c>
      <c r="E742" s="9"/>
    </row>
    <row r="743" spans="2:12" x14ac:dyDescent="0.3">
      <c r="B743" s="113" t="s">
        <v>466</v>
      </c>
      <c r="C743" s="98"/>
      <c r="D743" s="106" t="s">
        <v>467</v>
      </c>
      <c r="E743" s="315">
        <v>632</v>
      </c>
      <c r="I743" s="463">
        <f t="shared" ref="I743:L757" si="147">($E743+$G743)*I$3</f>
        <v>141.70704000000001</v>
      </c>
      <c r="J743" s="463">
        <f t="shared" si="147"/>
        <v>74.689759999999993</v>
      </c>
      <c r="K743" s="463">
        <f t="shared" si="147"/>
        <v>54.2256</v>
      </c>
      <c r="L743" s="463">
        <f t="shared" si="147"/>
        <v>44.713999999999999</v>
      </c>
    </row>
    <row r="744" spans="2:12" x14ac:dyDescent="0.3">
      <c r="B744" s="98" t="s">
        <v>387</v>
      </c>
      <c r="C744" s="101"/>
      <c r="D744" s="106" t="s">
        <v>468</v>
      </c>
      <c r="E744" s="315">
        <v>244</v>
      </c>
      <c r="I744" s="463">
        <f t="shared" si="147"/>
        <v>54.709679999999999</v>
      </c>
      <c r="J744" s="463">
        <f t="shared" si="147"/>
        <v>28.835919999999998</v>
      </c>
      <c r="K744" s="463">
        <f t="shared" si="147"/>
        <v>20.935200000000002</v>
      </c>
      <c r="L744" s="463">
        <f t="shared" si="147"/>
        <v>17.262999999999998</v>
      </c>
    </row>
    <row r="745" spans="2:12" x14ac:dyDescent="0.3">
      <c r="B745" s="98" t="s">
        <v>389</v>
      </c>
      <c r="C745" s="101"/>
      <c r="D745" s="106" t="s">
        <v>469</v>
      </c>
      <c r="E745" s="315">
        <v>1410</v>
      </c>
      <c r="I745" s="463">
        <f t="shared" si="147"/>
        <v>316.15019999999998</v>
      </c>
      <c r="J745" s="463">
        <f t="shared" si="147"/>
        <v>166.63379999999998</v>
      </c>
      <c r="K745" s="463">
        <f t="shared" si="147"/>
        <v>120.97800000000001</v>
      </c>
      <c r="L745" s="463">
        <f t="shared" si="147"/>
        <v>99.757499999999993</v>
      </c>
    </row>
    <row r="746" spans="2:12" x14ac:dyDescent="0.3">
      <c r="B746" s="98" t="s">
        <v>391</v>
      </c>
      <c r="C746" s="101"/>
      <c r="D746" s="106" t="s">
        <v>470</v>
      </c>
      <c r="E746" s="315">
        <v>1965</v>
      </c>
      <c r="I746" s="463">
        <f t="shared" si="147"/>
        <v>440.59230000000002</v>
      </c>
      <c r="J746" s="463">
        <f t="shared" si="147"/>
        <v>232.22369999999998</v>
      </c>
      <c r="K746" s="463">
        <f t="shared" si="147"/>
        <v>168.59700000000001</v>
      </c>
      <c r="L746" s="463">
        <f t="shared" si="147"/>
        <v>139.02374999999998</v>
      </c>
    </row>
    <row r="747" spans="2:12" x14ac:dyDescent="0.3">
      <c r="B747" s="98" t="s">
        <v>393</v>
      </c>
      <c r="C747" s="101"/>
      <c r="D747" s="106" t="s">
        <v>471</v>
      </c>
      <c r="E747" s="315">
        <v>4076</v>
      </c>
      <c r="I747" s="463">
        <f t="shared" si="147"/>
        <v>913.92071999999996</v>
      </c>
      <c r="J747" s="463">
        <f t="shared" si="147"/>
        <v>481.70167999999995</v>
      </c>
      <c r="K747" s="463">
        <f t="shared" si="147"/>
        <v>349.7208</v>
      </c>
      <c r="L747" s="463">
        <f t="shared" si="147"/>
        <v>288.37699999999995</v>
      </c>
    </row>
    <row r="748" spans="2:12" x14ac:dyDescent="0.3">
      <c r="B748" s="98" t="s">
        <v>395</v>
      </c>
      <c r="C748" s="101"/>
      <c r="D748" s="106" t="s">
        <v>472</v>
      </c>
      <c r="E748" s="315">
        <v>2910</v>
      </c>
      <c r="I748" s="463">
        <f t="shared" si="147"/>
        <v>652.48019999999997</v>
      </c>
      <c r="J748" s="463">
        <f t="shared" si="147"/>
        <v>343.90379999999999</v>
      </c>
      <c r="K748" s="463">
        <f t="shared" si="147"/>
        <v>249.678</v>
      </c>
      <c r="L748" s="463">
        <f t="shared" si="147"/>
        <v>205.88249999999999</v>
      </c>
    </row>
    <row r="749" spans="2:12" x14ac:dyDescent="0.3">
      <c r="B749" s="98" t="s">
        <v>397</v>
      </c>
      <c r="C749" s="101"/>
      <c r="D749" s="106" t="s">
        <v>473</v>
      </c>
      <c r="E749" s="315">
        <v>5074</v>
      </c>
      <c r="I749" s="463">
        <f t="shared" si="147"/>
        <v>1137.69228</v>
      </c>
      <c r="J749" s="463">
        <f t="shared" si="147"/>
        <v>599.64531999999997</v>
      </c>
      <c r="K749" s="463">
        <f t="shared" si="147"/>
        <v>435.3492</v>
      </c>
      <c r="L749" s="463">
        <f t="shared" si="147"/>
        <v>358.98549999999994</v>
      </c>
    </row>
    <row r="750" spans="2:12" x14ac:dyDescent="0.3">
      <c r="B750" s="98" t="s">
        <v>399</v>
      </c>
      <c r="C750" s="101"/>
      <c r="D750" s="106" t="s">
        <v>474</v>
      </c>
      <c r="E750" s="315">
        <v>5409</v>
      </c>
      <c r="I750" s="463">
        <f t="shared" si="147"/>
        <v>1212.8059800000001</v>
      </c>
      <c r="J750" s="463">
        <f t="shared" si="147"/>
        <v>639.23561999999993</v>
      </c>
      <c r="K750" s="463">
        <f t="shared" si="147"/>
        <v>464.09219999999999</v>
      </c>
      <c r="L750" s="463">
        <f t="shared" si="147"/>
        <v>382.68674999999996</v>
      </c>
    </row>
    <row r="751" spans="2:12" x14ac:dyDescent="0.3">
      <c r="B751" s="98" t="s">
        <v>402</v>
      </c>
      <c r="C751" s="101"/>
      <c r="D751" s="106" t="s">
        <v>475</v>
      </c>
      <c r="E751" s="315">
        <v>3187</v>
      </c>
      <c r="I751" s="463">
        <f t="shared" si="147"/>
        <v>714.58914000000004</v>
      </c>
      <c r="J751" s="463">
        <f t="shared" si="147"/>
        <v>376.63965999999999</v>
      </c>
      <c r="K751" s="463">
        <f t="shared" si="147"/>
        <v>273.44459999999998</v>
      </c>
      <c r="L751" s="463">
        <f t="shared" si="147"/>
        <v>225.48024999999998</v>
      </c>
    </row>
    <row r="752" spans="2:12" x14ac:dyDescent="0.3">
      <c r="B752" s="98" t="s">
        <v>404</v>
      </c>
      <c r="C752" s="101"/>
      <c r="D752" s="106" t="s">
        <v>476</v>
      </c>
      <c r="E752" s="315">
        <v>6074</v>
      </c>
      <c r="I752" s="463">
        <f t="shared" si="147"/>
        <v>1361.91228</v>
      </c>
      <c r="J752" s="463">
        <f t="shared" si="147"/>
        <v>717.82531999999992</v>
      </c>
      <c r="K752" s="463">
        <f t="shared" si="147"/>
        <v>521.14920000000006</v>
      </c>
      <c r="L752" s="463">
        <f t="shared" si="147"/>
        <v>429.73549999999994</v>
      </c>
    </row>
    <row r="753" spans="2:12" x14ac:dyDescent="0.3">
      <c r="B753" s="98" t="s">
        <v>406</v>
      </c>
      <c r="C753" s="101"/>
      <c r="D753" s="106" t="s">
        <v>477</v>
      </c>
      <c r="E753" s="315">
        <v>9627</v>
      </c>
      <c r="I753" s="463">
        <f t="shared" si="147"/>
        <v>2158.56594</v>
      </c>
      <c r="J753" s="463">
        <f t="shared" si="147"/>
        <v>1137.7188599999999</v>
      </c>
      <c r="K753" s="463">
        <f t="shared" si="147"/>
        <v>825.99660000000006</v>
      </c>
      <c r="L753" s="463">
        <f t="shared" si="147"/>
        <v>681.11024999999995</v>
      </c>
    </row>
    <row r="754" spans="2:12" x14ac:dyDescent="0.3">
      <c r="B754" s="98" t="s">
        <v>408</v>
      </c>
      <c r="C754" s="101"/>
      <c r="D754" s="106" t="s">
        <v>478</v>
      </c>
      <c r="E754" s="315">
        <v>12959</v>
      </c>
      <c r="I754" s="463">
        <f t="shared" si="147"/>
        <v>2905.66698</v>
      </c>
      <c r="J754" s="463">
        <f t="shared" si="147"/>
        <v>1531.4946199999999</v>
      </c>
      <c r="K754" s="463">
        <f t="shared" si="147"/>
        <v>1111.8822</v>
      </c>
      <c r="L754" s="463">
        <f t="shared" si="147"/>
        <v>916.84924999999987</v>
      </c>
    </row>
    <row r="755" spans="2:12" x14ac:dyDescent="0.3">
      <c r="B755" s="98" t="s">
        <v>479</v>
      </c>
      <c r="C755" s="101"/>
      <c r="D755" s="106" t="s">
        <v>480</v>
      </c>
      <c r="E755" s="315">
        <v>16956</v>
      </c>
      <c r="I755" s="463">
        <f t="shared" si="147"/>
        <v>3801.8743199999999</v>
      </c>
      <c r="J755" s="463">
        <f t="shared" si="147"/>
        <v>2003.8600799999999</v>
      </c>
      <c r="K755" s="463">
        <f t="shared" si="147"/>
        <v>1454.8248000000001</v>
      </c>
      <c r="L755" s="463">
        <f t="shared" si="147"/>
        <v>1199.6369999999999</v>
      </c>
    </row>
    <row r="756" spans="2:12" x14ac:dyDescent="0.3">
      <c r="B756" s="98" t="s">
        <v>412</v>
      </c>
      <c r="C756" s="101"/>
      <c r="D756" s="106" t="s">
        <v>481</v>
      </c>
      <c r="E756" s="315">
        <v>15290</v>
      </c>
      <c r="I756" s="463">
        <f t="shared" si="147"/>
        <v>3428.3238000000001</v>
      </c>
      <c r="J756" s="463">
        <f t="shared" si="147"/>
        <v>1806.9721999999999</v>
      </c>
      <c r="K756" s="463">
        <f t="shared" si="147"/>
        <v>1311.8820000000001</v>
      </c>
      <c r="L756" s="463">
        <f t="shared" si="147"/>
        <v>1081.7674999999999</v>
      </c>
    </row>
    <row r="757" spans="2:12" x14ac:dyDescent="0.3">
      <c r="B757" s="98" t="s">
        <v>414</v>
      </c>
      <c r="C757" s="101"/>
      <c r="D757" s="106" t="s">
        <v>482</v>
      </c>
      <c r="E757" s="315">
        <v>19065</v>
      </c>
      <c r="I757" s="463">
        <f t="shared" si="147"/>
        <v>4274.7542999999996</v>
      </c>
      <c r="J757" s="463">
        <f t="shared" si="147"/>
        <v>2253.1016999999997</v>
      </c>
      <c r="K757" s="463">
        <f t="shared" si="147"/>
        <v>1635.777</v>
      </c>
      <c r="L757" s="463">
        <f t="shared" si="147"/>
        <v>1348.8487499999999</v>
      </c>
    </row>
    <row r="758" spans="2:12" x14ac:dyDescent="0.3">
      <c r="B758" s="95"/>
      <c r="C758" s="300"/>
      <c r="D758" s="130"/>
      <c r="E758" s="130"/>
    </row>
    <row r="759" spans="2:12" x14ac:dyDescent="0.3">
      <c r="B759" s="108" t="s">
        <v>39</v>
      </c>
      <c r="C759" s="95"/>
      <c r="D759" s="128"/>
      <c r="E759" s="128"/>
    </row>
    <row r="760" spans="2:12" x14ac:dyDescent="0.3">
      <c r="B760" s="301" t="s">
        <v>1434</v>
      </c>
      <c r="C760" s="101"/>
      <c r="D760" s="106" t="s">
        <v>483</v>
      </c>
      <c r="E760" s="315">
        <v>448</v>
      </c>
      <c r="I760" s="463">
        <f t="shared" ref="I760:L769" si="148">($E760+$G760)*I$3</f>
        <v>100.45056</v>
      </c>
      <c r="J760" s="463">
        <f t="shared" si="148"/>
        <v>52.94464</v>
      </c>
      <c r="K760" s="463">
        <f t="shared" si="148"/>
        <v>38.438400000000001</v>
      </c>
      <c r="L760" s="463">
        <f t="shared" si="148"/>
        <v>31.695999999999998</v>
      </c>
    </row>
    <row r="761" spans="2:12" x14ac:dyDescent="0.3">
      <c r="B761" s="107" t="s">
        <v>484</v>
      </c>
      <c r="C761" s="101"/>
      <c r="D761" s="121" t="s">
        <v>485</v>
      </c>
      <c r="E761" s="315">
        <v>952</v>
      </c>
      <c r="I761" s="463">
        <f t="shared" si="148"/>
        <v>213.45743999999999</v>
      </c>
      <c r="J761" s="463">
        <f t="shared" si="148"/>
        <v>112.50735999999999</v>
      </c>
      <c r="K761" s="463">
        <f t="shared" si="148"/>
        <v>81.681600000000003</v>
      </c>
      <c r="L761" s="463">
        <f t="shared" si="148"/>
        <v>67.353999999999999</v>
      </c>
    </row>
    <row r="762" spans="2:12" x14ac:dyDescent="0.3">
      <c r="B762" s="113" t="s">
        <v>422</v>
      </c>
      <c r="C762" s="101"/>
      <c r="D762" s="121" t="s">
        <v>486</v>
      </c>
      <c r="E762" s="315">
        <v>1336</v>
      </c>
      <c r="I762" s="463">
        <f t="shared" si="148"/>
        <v>299.55792000000002</v>
      </c>
      <c r="J762" s="463">
        <f t="shared" si="148"/>
        <v>157.88847999999999</v>
      </c>
      <c r="K762" s="463">
        <f t="shared" si="148"/>
        <v>114.6288</v>
      </c>
      <c r="L762" s="463">
        <f t="shared" si="148"/>
        <v>94.521999999999991</v>
      </c>
    </row>
    <row r="763" spans="2:12" x14ac:dyDescent="0.3">
      <c r="B763" s="113" t="s">
        <v>424</v>
      </c>
      <c r="C763" s="101"/>
      <c r="D763" s="121" t="s">
        <v>487</v>
      </c>
      <c r="E763" s="315">
        <v>2752</v>
      </c>
      <c r="I763" s="463">
        <f t="shared" si="148"/>
        <v>617.05344000000002</v>
      </c>
      <c r="J763" s="463">
        <f t="shared" si="148"/>
        <v>325.23136</v>
      </c>
      <c r="K763" s="463">
        <f t="shared" si="148"/>
        <v>236.1216</v>
      </c>
      <c r="L763" s="463">
        <f t="shared" si="148"/>
        <v>194.70399999999998</v>
      </c>
    </row>
    <row r="764" spans="2:12" x14ac:dyDescent="0.3">
      <c r="B764" s="113" t="s">
        <v>426</v>
      </c>
      <c r="C764" s="101"/>
      <c r="D764" s="121" t="s">
        <v>488</v>
      </c>
      <c r="E764" s="315">
        <v>3112</v>
      </c>
      <c r="I764" s="463">
        <f t="shared" si="148"/>
        <v>697.77264000000002</v>
      </c>
      <c r="J764" s="463">
        <f t="shared" si="148"/>
        <v>367.77616</v>
      </c>
      <c r="K764" s="463">
        <f t="shared" si="148"/>
        <v>267.00959999999998</v>
      </c>
      <c r="L764" s="463">
        <f t="shared" si="148"/>
        <v>220.17399999999998</v>
      </c>
    </row>
    <row r="765" spans="2:12" x14ac:dyDescent="0.3">
      <c r="B765" s="107" t="s">
        <v>489</v>
      </c>
      <c r="C765" s="101"/>
      <c r="D765" s="121" t="s">
        <v>490</v>
      </c>
      <c r="E765" s="315">
        <v>4888</v>
      </c>
      <c r="I765" s="463">
        <f t="shared" si="148"/>
        <v>1095.9873600000001</v>
      </c>
      <c r="J765" s="463">
        <f t="shared" si="148"/>
        <v>577.66383999999994</v>
      </c>
      <c r="K765" s="463">
        <f t="shared" si="148"/>
        <v>419.3904</v>
      </c>
      <c r="L765" s="463">
        <f t="shared" si="148"/>
        <v>345.82599999999996</v>
      </c>
    </row>
    <row r="766" spans="2:12" s="8" customFormat="1" x14ac:dyDescent="0.35">
      <c r="B766" s="107" t="s">
        <v>491</v>
      </c>
      <c r="C766" s="101"/>
      <c r="D766" s="121" t="s">
        <v>492</v>
      </c>
      <c r="E766" s="315">
        <v>14832</v>
      </c>
      <c r="I766" s="463">
        <f t="shared" si="148"/>
        <v>3325.6310400000002</v>
      </c>
      <c r="J766" s="463">
        <f t="shared" si="148"/>
        <v>1752.8457599999999</v>
      </c>
      <c r="K766" s="463">
        <f t="shared" si="148"/>
        <v>1272.5856000000001</v>
      </c>
      <c r="L766" s="463">
        <f t="shared" si="148"/>
        <v>1049.3639999999998</v>
      </c>
    </row>
    <row r="767" spans="2:12" s="8" customFormat="1" x14ac:dyDescent="0.35">
      <c r="B767" s="107" t="s">
        <v>493</v>
      </c>
      <c r="C767" s="101"/>
      <c r="D767" s="121" t="s">
        <v>494</v>
      </c>
      <c r="E767" s="315">
        <v>22468</v>
      </c>
      <c r="I767" s="463">
        <f t="shared" si="148"/>
        <v>5037.7749599999997</v>
      </c>
      <c r="J767" s="463">
        <f t="shared" si="148"/>
        <v>2655.2682399999999</v>
      </c>
      <c r="K767" s="463">
        <f t="shared" si="148"/>
        <v>1927.7544</v>
      </c>
      <c r="L767" s="463">
        <f t="shared" si="148"/>
        <v>1589.6109999999999</v>
      </c>
    </row>
    <row r="768" spans="2:12" s="8" customFormat="1" x14ac:dyDescent="0.35">
      <c r="B768" s="107" t="s">
        <v>495</v>
      </c>
      <c r="C768" s="101"/>
      <c r="D768" s="121" t="s">
        <v>496</v>
      </c>
      <c r="E768" s="315">
        <v>30104</v>
      </c>
      <c r="I768" s="463">
        <f t="shared" si="148"/>
        <v>6749.9188800000002</v>
      </c>
      <c r="J768" s="463">
        <f t="shared" si="148"/>
        <v>3557.6907199999996</v>
      </c>
      <c r="K768" s="463">
        <f t="shared" si="148"/>
        <v>2582.9232000000002</v>
      </c>
      <c r="L768" s="463">
        <f t="shared" si="148"/>
        <v>2129.8579999999997</v>
      </c>
    </row>
    <row r="769" spans="2:12" s="8" customFormat="1" x14ac:dyDescent="0.35">
      <c r="B769" s="107" t="s">
        <v>497</v>
      </c>
      <c r="C769" s="101"/>
      <c r="D769" s="302" t="s">
        <v>498</v>
      </c>
      <c r="E769" s="315">
        <v>45376</v>
      </c>
      <c r="I769" s="463">
        <f t="shared" si="148"/>
        <v>10174.20672</v>
      </c>
      <c r="J769" s="463">
        <f t="shared" si="148"/>
        <v>5362.53568</v>
      </c>
      <c r="K769" s="463">
        <f t="shared" si="148"/>
        <v>3893.2608</v>
      </c>
      <c r="L769" s="463">
        <f t="shared" si="148"/>
        <v>3210.3519999999999</v>
      </c>
    </row>
    <row r="770" spans="2:12" x14ac:dyDescent="0.3">
      <c r="B770" s="108"/>
      <c r="C770" s="95"/>
      <c r="D770" s="303"/>
      <c r="E770" s="303"/>
    </row>
    <row r="771" spans="2:12" x14ac:dyDescent="0.3">
      <c r="B771" s="108" t="s">
        <v>1788</v>
      </c>
      <c r="C771" s="199"/>
      <c r="D771" s="304"/>
      <c r="E771" s="304"/>
    </row>
    <row r="772" spans="2:12" x14ac:dyDescent="0.3">
      <c r="B772" s="119" t="s">
        <v>271</v>
      </c>
      <c r="C772" s="119"/>
      <c r="D772" s="110"/>
      <c r="E772" s="110"/>
    </row>
    <row r="773" spans="2:12" x14ac:dyDescent="0.3">
      <c r="B773" s="98" t="s">
        <v>272</v>
      </c>
      <c r="C773" s="116"/>
      <c r="D773" s="111" t="s">
        <v>273</v>
      </c>
      <c r="E773" s="315">
        <v>72</v>
      </c>
      <c r="I773" s="463">
        <f t="shared" ref="I773:L774" si="149">($E773+$G773)*I$3</f>
        <v>16.143840000000001</v>
      </c>
      <c r="J773" s="463">
        <f t="shared" si="149"/>
        <v>8.5089600000000001</v>
      </c>
      <c r="K773" s="463">
        <f t="shared" si="149"/>
        <v>6.1776</v>
      </c>
      <c r="L773" s="463">
        <f t="shared" si="149"/>
        <v>5.0939999999999994</v>
      </c>
    </row>
    <row r="774" spans="2:12" x14ac:dyDescent="0.3">
      <c r="B774" s="98" t="s">
        <v>274</v>
      </c>
      <c r="C774" s="116"/>
      <c r="D774" s="106" t="s">
        <v>275</v>
      </c>
      <c r="E774" s="315">
        <v>310</v>
      </c>
      <c r="I774" s="463">
        <f t="shared" si="149"/>
        <v>69.508200000000002</v>
      </c>
      <c r="J774" s="463">
        <f t="shared" si="149"/>
        <v>36.635799999999996</v>
      </c>
      <c r="K774" s="463">
        <f t="shared" si="149"/>
        <v>26.597999999999999</v>
      </c>
      <c r="L774" s="463">
        <f t="shared" si="149"/>
        <v>21.932499999999997</v>
      </c>
    </row>
    <row r="775" spans="2:12" x14ac:dyDescent="0.3">
      <c r="B775" s="119" t="s">
        <v>276</v>
      </c>
      <c r="C775" s="119"/>
      <c r="D775" s="126"/>
      <c r="E775" s="126"/>
    </row>
    <row r="776" spans="2:12" x14ac:dyDescent="0.3">
      <c r="B776" s="98" t="s">
        <v>277</v>
      </c>
      <c r="C776" s="116"/>
      <c r="D776" s="106" t="s">
        <v>278</v>
      </c>
      <c r="E776" s="315">
        <v>129</v>
      </c>
      <c r="I776" s="463">
        <f t="shared" ref="I776:L778" si="150">($E776+$G776)*I$3</f>
        <v>28.924379999999999</v>
      </c>
      <c r="J776" s="463">
        <f t="shared" si="150"/>
        <v>15.24522</v>
      </c>
      <c r="K776" s="463">
        <f t="shared" si="150"/>
        <v>11.068200000000001</v>
      </c>
      <c r="L776" s="463">
        <f t="shared" si="150"/>
        <v>9.1267499999999995</v>
      </c>
    </row>
    <row r="777" spans="2:12" x14ac:dyDescent="0.3">
      <c r="B777" s="98" t="s">
        <v>279</v>
      </c>
      <c r="C777" s="116"/>
      <c r="D777" s="106" t="s">
        <v>280</v>
      </c>
      <c r="E777" s="315">
        <v>273</v>
      </c>
      <c r="I777" s="463">
        <f t="shared" si="150"/>
        <v>61.212060000000001</v>
      </c>
      <c r="J777" s="463">
        <f t="shared" si="150"/>
        <v>32.26314</v>
      </c>
      <c r="K777" s="463">
        <f t="shared" si="150"/>
        <v>23.423400000000001</v>
      </c>
      <c r="L777" s="463">
        <f t="shared" si="150"/>
        <v>19.314749999999997</v>
      </c>
    </row>
    <row r="778" spans="2:12" x14ac:dyDescent="0.3">
      <c r="B778" s="98" t="s">
        <v>281</v>
      </c>
      <c r="C778" s="116"/>
      <c r="D778" s="106" t="s">
        <v>282</v>
      </c>
      <c r="E778" s="315">
        <v>750</v>
      </c>
      <c r="I778" s="463">
        <f t="shared" si="150"/>
        <v>168.16499999999999</v>
      </c>
      <c r="J778" s="463">
        <f t="shared" si="150"/>
        <v>88.634999999999991</v>
      </c>
      <c r="K778" s="463">
        <f t="shared" si="150"/>
        <v>64.349999999999994</v>
      </c>
      <c r="L778" s="463">
        <f t="shared" si="150"/>
        <v>53.062499999999993</v>
      </c>
    </row>
    <row r="779" spans="2:12" x14ac:dyDescent="0.3">
      <c r="B779" s="119" t="s">
        <v>283</v>
      </c>
      <c r="C779" s="119"/>
      <c r="D779" s="126"/>
      <c r="E779" s="126"/>
    </row>
    <row r="780" spans="2:12" x14ac:dyDescent="0.3">
      <c r="B780" s="98" t="s">
        <v>284</v>
      </c>
      <c r="C780" s="116"/>
      <c r="D780" s="106" t="s">
        <v>285</v>
      </c>
      <c r="E780" s="315">
        <v>6</v>
      </c>
      <c r="I780" s="463">
        <f t="shared" ref="I780:L794" si="151">($E780+$G780)*I$3</f>
        <v>1.3453200000000001</v>
      </c>
      <c r="J780" s="463">
        <f t="shared" si="151"/>
        <v>0.70907999999999993</v>
      </c>
      <c r="K780" s="463">
        <f t="shared" si="151"/>
        <v>0.51480000000000004</v>
      </c>
      <c r="L780" s="463">
        <f t="shared" si="151"/>
        <v>0.42449999999999999</v>
      </c>
    </row>
    <row r="781" spans="2:12" x14ac:dyDescent="0.3">
      <c r="B781" s="98" t="s">
        <v>286</v>
      </c>
      <c r="C781" s="116"/>
      <c r="D781" s="106" t="s">
        <v>287</v>
      </c>
      <c r="E781" s="315">
        <v>79</v>
      </c>
      <c r="I781" s="463">
        <f t="shared" si="151"/>
        <v>17.713380000000001</v>
      </c>
      <c r="J781" s="463">
        <f t="shared" si="151"/>
        <v>9.3362199999999991</v>
      </c>
      <c r="K781" s="463">
        <f t="shared" si="151"/>
        <v>6.7782</v>
      </c>
      <c r="L781" s="463">
        <f t="shared" si="151"/>
        <v>5.5892499999999998</v>
      </c>
    </row>
    <row r="782" spans="2:12" x14ac:dyDescent="0.3">
      <c r="B782" s="98" t="s">
        <v>288</v>
      </c>
      <c r="C782" s="116"/>
      <c r="D782" s="106" t="s">
        <v>289</v>
      </c>
      <c r="E782" s="315">
        <v>317</v>
      </c>
      <c r="I782" s="463">
        <f t="shared" si="151"/>
        <v>71.077740000000006</v>
      </c>
      <c r="J782" s="463">
        <f t="shared" si="151"/>
        <v>37.463059999999999</v>
      </c>
      <c r="K782" s="463">
        <f t="shared" si="151"/>
        <v>27.198599999999999</v>
      </c>
      <c r="L782" s="463">
        <f t="shared" si="151"/>
        <v>22.42775</v>
      </c>
    </row>
    <row r="783" spans="2:12" x14ac:dyDescent="0.3">
      <c r="B783" s="119" t="s">
        <v>290</v>
      </c>
      <c r="C783" s="119"/>
      <c r="D783" s="126"/>
      <c r="E783" s="126"/>
    </row>
    <row r="784" spans="2:12" x14ac:dyDescent="0.3">
      <c r="B784" s="98" t="s">
        <v>291</v>
      </c>
      <c r="C784" s="116"/>
      <c r="D784" s="106" t="s">
        <v>292</v>
      </c>
      <c r="E784" s="315">
        <v>133</v>
      </c>
      <c r="I784" s="463">
        <f t="shared" si="151"/>
        <v>29.821259999999999</v>
      </c>
      <c r="J784" s="463">
        <f t="shared" si="151"/>
        <v>15.717939999999999</v>
      </c>
      <c r="K784" s="463">
        <f t="shared" si="151"/>
        <v>11.4114</v>
      </c>
      <c r="L784" s="463">
        <f t="shared" si="151"/>
        <v>9.4097499999999989</v>
      </c>
    </row>
    <row r="785" spans="2:12" x14ac:dyDescent="0.3">
      <c r="B785" s="98" t="s">
        <v>293</v>
      </c>
      <c r="C785" s="116"/>
      <c r="D785" s="106" t="s">
        <v>294</v>
      </c>
      <c r="E785" s="315">
        <v>278</v>
      </c>
      <c r="I785" s="463">
        <f t="shared" si="151"/>
        <v>62.333159999999999</v>
      </c>
      <c r="J785" s="463">
        <f t="shared" si="151"/>
        <v>32.854039999999998</v>
      </c>
      <c r="K785" s="463">
        <f t="shared" si="151"/>
        <v>23.852399999999999</v>
      </c>
      <c r="L785" s="463">
        <f t="shared" si="151"/>
        <v>19.668499999999998</v>
      </c>
    </row>
    <row r="786" spans="2:12" x14ac:dyDescent="0.3">
      <c r="B786" s="98" t="s">
        <v>295</v>
      </c>
      <c r="C786" s="116"/>
      <c r="D786" s="106" t="s">
        <v>296</v>
      </c>
      <c r="E786" s="315">
        <v>755</v>
      </c>
      <c r="I786" s="463">
        <f t="shared" si="151"/>
        <v>169.2861</v>
      </c>
      <c r="J786" s="463">
        <f t="shared" si="151"/>
        <v>89.225899999999996</v>
      </c>
      <c r="K786" s="463">
        <f t="shared" si="151"/>
        <v>64.778999999999996</v>
      </c>
      <c r="L786" s="463">
        <f t="shared" si="151"/>
        <v>53.416249999999998</v>
      </c>
    </row>
    <row r="787" spans="2:12" x14ac:dyDescent="0.3">
      <c r="B787" s="119" t="s">
        <v>297</v>
      </c>
      <c r="C787" s="119"/>
      <c r="D787" s="126"/>
      <c r="E787" s="126"/>
    </row>
    <row r="788" spans="2:12" x14ac:dyDescent="0.3">
      <c r="B788" s="98" t="s">
        <v>298</v>
      </c>
      <c r="C788" s="116"/>
      <c r="D788" s="106" t="s">
        <v>299</v>
      </c>
      <c r="E788" s="315">
        <v>261</v>
      </c>
      <c r="I788" s="463">
        <f t="shared" si="151"/>
        <v>58.521419999999999</v>
      </c>
      <c r="J788" s="463">
        <f t="shared" si="151"/>
        <v>30.84498</v>
      </c>
      <c r="K788" s="463">
        <f t="shared" si="151"/>
        <v>22.393799999999999</v>
      </c>
      <c r="L788" s="463">
        <f t="shared" si="151"/>
        <v>18.46575</v>
      </c>
    </row>
    <row r="789" spans="2:12" x14ac:dyDescent="0.3">
      <c r="B789" s="98" t="s">
        <v>300</v>
      </c>
      <c r="C789" s="116"/>
      <c r="D789" s="106" t="s">
        <v>301</v>
      </c>
      <c r="E789" s="315">
        <v>478</v>
      </c>
      <c r="I789" s="463">
        <f t="shared" si="151"/>
        <v>107.17716</v>
      </c>
      <c r="J789" s="463">
        <f t="shared" si="151"/>
        <v>56.490039999999993</v>
      </c>
      <c r="K789" s="463">
        <f t="shared" si="151"/>
        <v>41.0124</v>
      </c>
      <c r="L789" s="463">
        <f t="shared" si="151"/>
        <v>33.8185</v>
      </c>
    </row>
    <row r="790" spans="2:12" x14ac:dyDescent="0.3">
      <c r="B790" s="98" t="s">
        <v>302</v>
      </c>
      <c r="C790" s="116"/>
      <c r="D790" s="106" t="s">
        <v>303</v>
      </c>
      <c r="E790" s="315">
        <v>1194</v>
      </c>
      <c r="I790" s="463">
        <f t="shared" si="151"/>
        <v>267.71868000000001</v>
      </c>
      <c r="J790" s="463">
        <f t="shared" si="151"/>
        <v>141.10692</v>
      </c>
      <c r="K790" s="463">
        <f t="shared" si="151"/>
        <v>102.4452</v>
      </c>
      <c r="L790" s="463">
        <f t="shared" si="151"/>
        <v>84.475499999999997</v>
      </c>
    </row>
    <row r="791" spans="2:12" x14ac:dyDescent="0.3">
      <c r="B791" s="119" t="s">
        <v>304</v>
      </c>
      <c r="C791" s="119"/>
      <c r="D791" s="126"/>
      <c r="E791" s="126"/>
    </row>
    <row r="792" spans="2:12" x14ac:dyDescent="0.3">
      <c r="B792" s="98" t="s">
        <v>305</v>
      </c>
      <c r="C792" s="116"/>
      <c r="D792" s="106" t="s">
        <v>306</v>
      </c>
      <c r="E792" s="315">
        <v>389</v>
      </c>
      <c r="I792" s="463">
        <f t="shared" si="151"/>
        <v>87.221580000000003</v>
      </c>
      <c r="J792" s="463">
        <f t="shared" si="151"/>
        <v>45.972020000000001</v>
      </c>
      <c r="K792" s="463">
        <f t="shared" si="151"/>
        <v>33.376199999999997</v>
      </c>
      <c r="L792" s="463">
        <f t="shared" si="151"/>
        <v>27.521749999999997</v>
      </c>
    </row>
    <row r="793" spans="2:12" x14ac:dyDescent="0.3">
      <c r="B793" s="98" t="s">
        <v>307</v>
      </c>
      <c r="C793" s="116"/>
      <c r="D793" s="106" t="s">
        <v>308</v>
      </c>
      <c r="E793" s="315">
        <v>677</v>
      </c>
      <c r="I793" s="463">
        <f t="shared" si="151"/>
        <v>151.79694000000001</v>
      </c>
      <c r="J793" s="463">
        <f t="shared" si="151"/>
        <v>80.007859999999994</v>
      </c>
      <c r="K793" s="463">
        <f t="shared" si="151"/>
        <v>58.086600000000004</v>
      </c>
      <c r="L793" s="463">
        <f t="shared" si="151"/>
        <v>47.897749999999995</v>
      </c>
    </row>
    <row r="794" spans="2:12" x14ac:dyDescent="0.3">
      <c r="B794" s="98" t="s">
        <v>309</v>
      </c>
      <c r="C794" s="116"/>
      <c r="D794" s="106" t="s">
        <v>310</v>
      </c>
      <c r="E794" s="315">
        <v>1633</v>
      </c>
      <c r="I794" s="463">
        <f t="shared" si="151"/>
        <v>366.15125999999998</v>
      </c>
      <c r="J794" s="463">
        <f t="shared" si="151"/>
        <v>192.98793999999998</v>
      </c>
      <c r="K794" s="463">
        <f t="shared" si="151"/>
        <v>140.1114</v>
      </c>
      <c r="L794" s="463">
        <f t="shared" si="151"/>
        <v>115.53474999999999</v>
      </c>
    </row>
    <row r="795" spans="2:12" x14ac:dyDescent="0.3">
      <c r="B795" s="114"/>
      <c r="C795" s="97"/>
      <c r="D795" s="130"/>
      <c r="E795" s="130"/>
    </row>
    <row r="796" spans="2:12" x14ac:dyDescent="0.3">
      <c r="B796" s="108" t="s">
        <v>311</v>
      </c>
      <c r="C796" s="97"/>
      <c r="D796" s="128"/>
      <c r="E796" s="128"/>
    </row>
    <row r="797" spans="2:12" x14ac:dyDescent="0.3">
      <c r="B797" s="98" t="s">
        <v>312</v>
      </c>
      <c r="C797" s="116"/>
      <c r="D797" s="106" t="s">
        <v>313</v>
      </c>
      <c r="E797" s="315">
        <v>112</v>
      </c>
      <c r="I797" s="463">
        <f t="shared" ref="I797:L799" si="152">($E797+$G797)*I$3</f>
        <v>25.112639999999999</v>
      </c>
      <c r="J797" s="463">
        <f t="shared" si="152"/>
        <v>13.23616</v>
      </c>
      <c r="K797" s="463">
        <f t="shared" si="152"/>
        <v>9.6096000000000004</v>
      </c>
      <c r="L797" s="463">
        <f t="shared" si="152"/>
        <v>7.9239999999999995</v>
      </c>
    </row>
    <row r="798" spans="2:12" x14ac:dyDescent="0.3">
      <c r="B798" s="98" t="s">
        <v>314</v>
      </c>
      <c r="C798" s="116"/>
      <c r="D798" s="106" t="s">
        <v>315</v>
      </c>
      <c r="E798" s="315">
        <v>112</v>
      </c>
      <c r="I798" s="463">
        <f t="shared" si="152"/>
        <v>25.112639999999999</v>
      </c>
      <c r="J798" s="463">
        <f t="shared" si="152"/>
        <v>13.23616</v>
      </c>
      <c r="K798" s="463">
        <f t="shared" si="152"/>
        <v>9.6096000000000004</v>
      </c>
      <c r="L798" s="463">
        <f t="shared" si="152"/>
        <v>7.9239999999999995</v>
      </c>
    </row>
    <row r="799" spans="2:12" x14ac:dyDescent="0.3">
      <c r="B799" s="98" t="s">
        <v>316</v>
      </c>
      <c r="C799" s="116"/>
      <c r="D799" s="106" t="s">
        <v>317</v>
      </c>
      <c r="E799" s="315">
        <v>112</v>
      </c>
      <c r="I799" s="463">
        <f t="shared" si="152"/>
        <v>25.112639999999999</v>
      </c>
      <c r="J799" s="463">
        <f t="shared" si="152"/>
        <v>13.23616</v>
      </c>
      <c r="K799" s="463">
        <f t="shared" si="152"/>
        <v>9.6096000000000004</v>
      </c>
      <c r="L799" s="463">
        <f t="shared" si="152"/>
        <v>7.9239999999999995</v>
      </c>
    </row>
    <row r="800" spans="2:12" x14ac:dyDescent="0.3">
      <c r="B800" s="114"/>
      <c r="C800" s="97"/>
      <c r="D800" s="130"/>
      <c r="E800" s="130"/>
    </row>
    <row r="801" spans="2:12" x14ac:dyDescent="0.3">
      <c r="B801" s="108" t="s">
        <v>440</v>
      </c>
      <c r="C801" s="95"/>
      <c r="D801" s="128"/>
      <c r="E801" s="128"/>
    </row>
    <row r="802" spans="2:12" x14ac:dyDescent="0.3">
      <c r="B802" s="113" t="s">
        <v>318</v>
      </c>
      <c r="C802" s="116"/>
      <c r="D802" s="106" t="s">
        <v>319</v>
      </c>
      <c r="E802" s="315">
        <v>56</v>
      </c>
      <c r="I802" s="463">
        <f t="shared" ref="I802:L804" si="153">($E802+$G802)*I$3</f>
        <v>12.556319999999999</v>
      </c>
      <c r="J802" s="463">
        <f t="shared" si="153"/>
        <v>6.61808</v>
      </c>
      <c r="K802" s="463">
        <f t="shared" si="153"/>
        <v>4.8048000000000002</v>
      </c>
      <c r="L802" s="463">
        <f t="shared" si="153"/>
        <v>3.9619999999999997</v>
      </c>
    </row>
    <row r="803" spans="2:12" x14ac:dyDescent="0.3">
      <c r="B803" s="113" t="s">
        <v>320</v>
      </c>
      <c r="C803" s="116"/>
      <c r="D803" s="106" t="s">
        <v>321</v>
      </c>
      <c r="E803" s="315">
        <v>67</v>
      </c>
      <c r="I803" s="463">
        <f t="shared" si="153"/>
        <v>15.022740000000001</v>
      </c>
      <c r="J803" s="463">
        <f t="shared" si="153"/>
        <v>7.9180599999999997</v>
      </c>
      <c r="K803" s="463">
        <f t="shared" si="153"/>
        <v>5.7485999999999997</v>
      </c>
      <c r="L803" s="463">
        <f t="shared" si="153"/>
        <v>4.7402499999999996</v>
      </c>
    </row>
    <row r="804" spans="2:12" x14ac:dyDescent="0.3">
      <c r="B804" s="113" t="s">
        <v>323</v>
      </c>
      <c r="C804" s="116"/>
      <c r="D804" s="106" t="s">
        <v>324</v>
      </c>
      <c r="E804" s="315">
        <v>222</v>
      </c>
      <c r="I804" s="463">
        <f t="shared" si="153"/>
        <v>49.77684</v>
      </c>
      <c r="J804" s="463">
        <f t="shared" si="153"/>
        <v>26.235959999999999</v>
      </c>
      <c r="K804" s="463">
        <f t="shared" si="153"/>
        <v>19.047599999999999</v>
      </c>
      <c r="L804" s="463">
        <f t="shared" si="153"/>
        <v>15.706499999999998</v>
      </c>
    </row>
    <row r="805" spans="2:12" x14ac:dyDescent="0.3">
      <c r="B805" s="114"/>
      <c r="C805" s="97"/>
      <c r="D805" s="130"/>
      <c r="E805" s="130"/>
    </row>
    <row r="806" spans="2:12" x14ac:dyDescent="0.3">
      <c r="B806" s="108" t="s">
        <v>499</v>
      </c>
      <c r="C806" s="97"/>
      <c r="D806" s="128"/>
      <c r="E806" s="128"/>
    </row>
    <row r="807" spans="2:12" x14ac:dyDescent="0.3">
      <c r="B807" s="113" t="s">
        <v>501</v>
      </c>
      <c r="C807" s="116"/>
      <c r="D807" s="129" t="s">
        <v>500</v>
      </c>
      <c r="E807" s="315">
        <v>76</v>
      </c>
      <c r="I807" s="463">
        <f t="shared" ref="I807:L808" si="154">($E807+$G807)*I$3</f>
        <v>17.04072</v>
      </c>
      <c r="J807" s="463">
        <f t="shared" si="154"/>
        <v>8.981679999999999</v>
      </c>
      <c r="K807" s="463">
        <f t="shared" si="154"/>
        <v>6.5208000000000004</v>
      </c>
      <c r="L807" s="463">
        <f t="shared" si="154"/>
        <v>5.3769999999999998</v>
      </c>
    </row>
    <row r="808" spans="2:12" x14ac:dyDescent="0.3">
      <c r="B808" s="113" t="s">
        <v>503</v>
      </c>
      <c r="C808" s="116"/>
      <c r="D808" s="129" t="s">
        <v>502</v>
      </c>
      <c r="E808" s="315">
        <v>353</v>
      </c>
      <c r="I808" s="463">
        <f t="shared" si="154"/>
        <v>79.149659999999997</v>
      </c>
      <c r="J808" s="463">
        <f t="shared" si="154"/>
        <v>41.71754</v>
      </c>
      <c r="K808" s="463">
        <f t="shared" si="154"/>
        <v>30.287400000000002</v>
      </c>
      <c r="L808" s="463">
        <f t="shared" si="154"/>
        <v>24.974749999999997</v>
      </c>
    </row>
    <row r="809" spans="2:12" x14ac:dyDescent="0.3">
      <c r="B809" s="95"/>
      <c r="C809" s="97"/>
      <c r="D809" s="130"/>
      <c r="E809" s="130"/>
    </row>
    <row r="810" spans="2:12" x14ac:dyDescent="0.3">
      <c r="B810" s="108" t="s">
        <v>504</v>
      </c>
      <c r="C810" s="97"/>
      <c r="D810" s="128"/>
      <c r="E810" s="128"/>
    </row>
    <row r="811" spans="2:12" x14ac:dyDescent="0.3">
      <c r="B811" s="113" t="s">
        <v>328</v>
      </c>
      <c r="C811" s="116"/>
      <c r="D811" s="129" t="s">
        <v>329</v>
      </c>
      <c r="E811" s="315">
        <v>6</v>
      </c>
      <c r="I811" s="463">
        <f t="shared" ref="I811:L814" si="155">($E811+$G811)*I$3</f>
        <v>1.3453200000000001</v>
      </c>
      <c r="J811" s="463">
        <f t="shared" si="155"/>
        <v>0.70907999999999993</v>
      </c>
      <c r="K811" s="463">
        <f t="shared" si="155"/>
        <v>0.51480000000000004</v>
      </c>
      <c r="L811" s="463">
        <f t="shared" si="155"/>
        <v>0.42449999999999999</v>
      </c>
    </row>
    <row r="812" spans="2:12" x14ac:dyDescent="0.3">
      <c r="B812" s="113" t="s">
        <v>330</v>
      </c>
      <c r="C812" s="116"/>
      <c r="D812" s="129" t="s">
        <v>331</v>
      </c>
      <c r="E812" s="315">
        <v>6</v>
      </c>
      <c r="I812" s="463">
        <f t="shared" si="155"/>
        <v>1.3453200000000001</v>
      </c>
      <c r="J812" s="463">
        <f t="shared" si="155"/>
        <v>0.70907999999999993</v>
      </c>
      <c r="K812" s="463">
        <f t="shared" si="155"/>
        <v>0.51480000000000004</v>
      </c>
      <c r="L812" s="463">
        <f t="shared" si="155"/>
        <v>0.42449999999999999</v>
      </c>
    </row>
    <row r="813" spans="2:12" x14ac:dyDescent="0.3">
      <c r="B813" s="113" t="s">
        <v>441</v>
      </c>
      <c r="C813" s="116"/>
      <c r="D813" s="129" t="s">
        <v>332</v>
      </c>
      <c r="E813" s="315">
        <v>6</v>
      </c>
      <c r="I813" s="463">
        <f t="shared" si="155"/>
        <v>1.3453200000000001</v>
      </c>
      <c r="J813" s="463">
        <f t="shared" si="155"/>
        <v>0.70907999999999993</v>
      </c>
      <c r="K813" s="463">
        <f t="shared" si="155"/>
        <v>0.51480000000000004</v>
      </c>
      <c r="L813" s="463">
        <f t="shared" si="155"/>
        <v>0.42449999999999999</v>
      </c>
    </row>
    <row r="814" spans="2:12" x14ac:dyDescent="0.3">
      <c r="B814" s="113" t="s">
        <v>442</v>
      </c>
      <c r="C814" s="116"/>
      <c r="D814" s="131" t="s">
        <v>333</v>
      </c>
      <c r="E814" s="315">
        <v>6</v>
      </c>
      <c r="I814" s="463">
        <f t="shared" si="155"/>
        <v>1.3453200000000001</v>
      </c>
      <c r="J814" s="463">
        <f t="shared" si="155"/>
        <v>0.70907999999999993</v>
      </c>
      <c r="K814" s="463">
        <f t="shared" si="155"/>
        <v>0.51480000000000004</v>
      </c>
      <c r="L814" s="463">
        <f t="shared" si="155"/>
        <v>0.42449999999999999</v>
      </c>
    </row>
    <row r="815" spans="2:12" x14ac:dyDescent="0.3">
      <c r="B815" s="114"/>
      <c r="C815" s="97"/>
      <c r="D815" s="130"/>
      <c r="E815" s="130"/>
    </row>
    <row r="816" spans="2:12" x14ac:dyDescent="0.3">
      <c r="B816" s="108" t="s">
        <v>54</v>
      </c>
      <c r="C816" s="146"/>
      <c r="D816" s="147"/>
      <c r="E816" s="147"/>
    </row>
    <row r="817" spans="2:12" x14ac:dyDescent="0.3">
      <c r="B817" s="119" t="s">
        <v>339</v>
      </c>
      <c r="C817" s="145"/>
      <c r="D817" s="145"/>
      <c r="E817" s="145"/>
    </row>
    <row r="818" spans="2:12" x14ac:dyDescent="0.3">
      <c r="B818" s="98" t="s">
        <v>340</v>
      </c>
      <c r="C818" s="178"/>
      <c r="D818" s="129" t="s">
        <v>445</v>
      </c>
      <c r="E818" s="315">
        <v>186</v>
      </c>
      <c r="I818" s="463">
        <f t="shared" ref="I818:L829" si="156">($E818+$G818)*I$3</f>
        <v>41.704920000000001</v>
      </c>
      <c r="J818" s="463">
        <f t="shared" si="156"/>
        <v>21.981479999999998</v>
      </c>
      <c r="K818" s="463">
        <f t="shared" si="156"/>
        <v>15.9588</v>
      </c>
      <c r="L818" s="463">
        <f t="shared" si="156"/>
        <v>13.1595</v>
      </c>
    </row>
    <row r="819" spans="2:12" s="8" customFormat="1" x14ac:dyDescent="0.35">
      <c r="B819" s="98" t="s">
        <v>1324</v>
      </c>
      <c r="C819" s="98"/>
      <c r="D819" s="106" t="s">
        <v>446</v>
      </c>
      <c r="E819" s="315">
        <v>438</v>
      </c>
      <c r="I819" s="463">
        <f t="shared" si="156"/>
        <v>98.208359999999999</v>
      </c>
      <c r="J819" s="463">
        <f t="shared" si="156"/>
        <v>51.762839999999997</v>
      </c>
      <c r="K819" s="463">
        <f t="shared" si="156"/>
        <v>37.580399999999997</v>
      </c>
      <c r="L819" s="463">
        <f t="shared" si="156"/>
        <v>30.988499999999998</v>
      </c>
    </row>
    <row r="820" spans="2:12" x14ac:dyDescent="0.3">
      <c r="B820" s="101" t="s">
        <v>1502</v>
      </c>
      <c r="C820" s="305"/>
      <c r="D820" s="259" t="s">
        <v>447</v>
      </c>
      <c r="E820" s="315">
        <v>679</v>
      </c>
      <c r="I820" s="463">
        <f t="shared" si="156"/>
        <v>152.24538000000001</v>
      </c>
      <c r="J820" s="463">
        <f t="shared" si="156"/>
        <v>80.244219999999999</v>
      </c>
      <c r="K820" s="463">
        <f t="shared" si="156"/>
        <v>58.258200000000002</v>
      </c>
      <c r="L820" s="463">
        <f t="shared" si="156"/>
        <v>48.039249999999996</v>
      </c>
    </row>
    <row r="821" spans="2:12" x14ac:dyDescent="0.3">
      <c r="B821" s="306" t="s">
        <v>1432</v>
      </c>
      <c r="C821" s="307"/>
      <c r="D821" s="308" t="s">
        <v>448</v>
      </c>
      <c r="E821" s="315">
        <v>1253</v>
      </c>
      <c r="I821" s="463">
        <f t="shared" si="156"/>
        <v>280.94765999999998</v>
      </c>
      <c r="J821" s="463">
        <f t="shared" si="156"/>
        <v>148.07953999999998</v>
      </c>
      <c r="K821" s="463">
        <f t="shared" si="156"/>
        <v>107.5074</v>
      </c>
      <c r="L821" s="463">
        <f t="shared" si="156"/>
        <v>88.649749999999997</v>
      </c>
    </row>
    <row r="822" spans="2:12" x14ac:dyDescent="0.3">
      <c r="B822" s="98" t="s">
        <v>342</v>
      </c>
      <c r="C822" s="116"/>
      <c r="D822" s="129" t="s">
        <v>449</v>
      </c>
      <c r="E822" s="315">
        <v>1396</v>
      </c>
      <c r="I822" s="463">
        <f t="shared" si="156"/>
        <v>313.01112000000001</v>
      </c>
      <c r="J822" s="463">
        <f t="shared" si="156"/>
        <v>164.97927999999999</v>
      </c>
      <c r="K822" s="463">
        <f t="shared" si="156"/>
        <v>119.77680000000001</v>
      </c>
      <c r="L822" s="463">
        <f t="shared" si="156"/>
        <v>98.766999999999996</v>
      </c>
    </row>
    <row r="823" spans="2:12" x14ac:dyDescent="0.3">
      <c r="B823" s="101" t="s">
        <v>1430</v>
      </c>
      <c r="C823" s="98"/>
      <c r="D823" s="106" t="s">
        <v>134</v>
      </c>
      <c r="E823" s="315">
        <v>2683</v>
      </c>
      <c r="I823" s="463">
        <f t="shared" si="156"/>
        <v>601.58226000000002</v>
      </c>
      <c r="J823" s="463">
        <f t="shared" si="156"/>
        <v>317.07693999999998</v>
      </c>
      <c r="K823" s="463">
        <f t="shared" si="156"/>
        <v>230.20140000000001</v>
      </c>
      <c r="L823" s="463">
        <f t="shared" si="156"/>
        <v>189.82224999999997</v>
      </c>
    </row>
    <row r="824" spans="2:12" x14ac:dyDescent="0.3">
      <c r="B824" s="98" t="s">
        <v>344</v>
      </c>
      <c r="C824" s="116"/>
      <c r="D824" s="106" t="s">
        <v>450</v>
      </c>
      <c r="E824" s="315">
        <v>3073</v>
      </c>
      <c r="I824" s="463">
        <f t="shared" si="156"/>
        <v>689.02805999999998</v>
      </c>
      <c r="J824" s="463">
        <f t="shared" si="156"/>
        <v>363.16713999999996</v>
      </c>
      <c r="K824" s="463">
        <f t="shared" si="156"/>
        <v>263.66340000000002</v>
      </c>
      <c r="L824" s="463">
        <f t="shared" si="156"/>
        <v>217.41474999999997</v>
      </c>
    </row>
    <row r="825" spans="2:12" x14ac:dyDescent="0.3">
      <c r="B825" s="309" t="s">
        <v>345</v>
      </c>
      <c r="C825" s="116"/>
      <c r="D825" s="106" t="s">
        <v>451</v>
      </c>
      <c r="E825" s="315">
        <v>6348</v>
      </c>
      <c r="I825" s="463">
        <f t="shared" si="156"/>
        <v>1423.3485599999999</v>
      </c>
      <c r="J825" s="463">
        <f t="shared" si="156"/>
        <v>750.20663999999999</v>
      </c>
      <c r="K825" s="463">
        <f t="shared" si="156"/>
        <v>544.65840000000003</v>
      </c>
      <c r="L825" s="463">
        <f t="shared" si="156"/>
        <v>449.12099999999998</v>
      </c>
    </row>
    <row r="826" spans="2:12" x14ac:dyDescent="0.3">
      <c r="B826" s="119" t="s">
        <v>349</v>
      </c>
      <c r="C826" s="145"/>
      <c r="D826" s="145"/>
      <c r="E826" s="145"/>
    </row>
    <row r="827" spans="2:12" x14ac:dyDescent="0.3">
      <c r="B827" s="98" t="s">
        <v>1435</v>
      </c>
      <c r="C827" s="98"/>
      <c r="D827" s="106" t="s">
        <v>453</v>
      </c>
      <c r="E827" s="315">
        <v>2396</v>
      </c>
      <c r="I827" s="463">
        <f t="shared" si="156"/>
        <v>537.23112000000003</v>
      </c>
      <c r="J827" s="463">
        <f t="shared" si="156"/>
        <v>283.15927999999997</v>
      </c>
      <c r="K827" s="463">
        <f t="shared" si="156"/>
        <v>205.57679999999999</v>
      </c>
      <c r="L827" s="463">
        <f t="shared" si="156"/>
        <v>169.517</v>
      </c>
    </row>
    <row r="828" spans="2:12" x14ac:dyDescent="0.3">
      <c r="B828" s="98" t="s">
        <v>457</v>
      </c>
      <c r="C828" s="98"/>
      <c r="D828" s="118" t="s">
        <v>456</v>
      </c>
      <c r="E828" s="315">
        <v>2940</v>
      </c>
      <c r="I828" s="463">
        <f t="shared" si="156"/>
        <v>659.20680000000004</v>
      </c>
      <c r="J828" s="463">
        <f t="shared" si="156"/>
        <v>347.44919999999996</v>
      </c>
      <c r="K828" s="463">
        <f t="shared" si="156"/>
        <v>252.25200000000001</v>
      </c>
      <c r="L828" s="463">
        <f t="shared" si="156"/>
        <v>208.00499999999997</v>
      </c>
    </row>
    <row r="829" spans="2:12" x14ac:dyDescent="0.3">
      <c r="B829" s="113" t="s">
        <v>460</v>
      </c>
      <c r="C829" s="98"/>
      <c r="D829" s="118" t="s">
        <v>459</v>
      </c>
      <c r="E829" s="315">
        <v>6294</v>
      </c>
      <c r="I829" s="463">
        <f t="shared" si="156"/>
        <v>1411.2406800000001</v>
      </c>
      <c r="J829" s="463">
        <f t="shared" si="156"/>
        <v>743.82491999999991</v>
      </c>
      <c r="K829" s="463">
        <f t="shared" si="156"/>
        <v>540.02520000000004</v>
      </c>
      <c r="L829" s="463">
        <f t="shared" si="156"/>
        <v>445.30049999999994</v>
      </c>
    </row>
    <row r="830" spans="2:12" x14ac:dyDescent="0.3">
      <c r="B830" s="114"/>
      <c r="C830" s="97"/>
      <c r="D830" s="130"/>
      <c r="E830" s="130"/>
    </row>
    <row r="831" spans="2:12" x14ac:dyDescent="0.3">
      <c r="B831" s="108" t="s">
        <v>98</v>
      </c>
      <c r="C831" s="290"/>
      <c r="D831" s="128"/>
      <c r="E831" s="128"/>
    </row>
    <row r="832" spans="2:12" x14ac:dyDescent="0.3">
      <c r="B832" s="98" t="s">
        <v>505</v>
      </c>
      <c r="C832" s="116"/>
      <c r="D832" s="129" t="s">
        <v>506</v>
      </c>
      <c r="E832" s="315">
        <v>27</v>
      </c>
      <c r="I832" s="463">
        <f t="shared" ref="I832:L832" si="157">($E832+$G832)*I$3</f>
        <v>6.0539399999999999</v>
      </c>
      <c r="J832" s="463">
        <f t="shared" si="157"/>
        <v>3.1908599999999998</v>
      </c>
      <c r="K832" s="463">
        <f t="shared" si="157"/>
        <v>2.3166000000000002</v>
      </c>
      <c r="L832" s="463">
        <f t="shared" si="157"/>
        <v>1.9102499999999998</v>
      </c>
    </row>
    <row r="833" spans="2:12" x14ac:dyDescent="0.3">
      <c r="B833" s="114"/>
      <c r="C833" s="97"/>
      <c r="D833" s="130"/>
      <c r="E833" s="130"/>
    </row>
    <row r="834" spans="2:12" x14ac:dyDescent="0.3">
      <c r="B834" s="108" t="s">
        <v>361</v>
      </c>
      <c r="C834" s="290"/>
      <c r="D834" s="128"/>
      <c r="E834" s="128"/>
    </row>
    <row r="835" spans="2:12" x14ac:dyDescent="0.3">
      <c r="B835" s="116" t="s">
        <v>1431</v>
      </c>
      <c r="C835" s="116"/>
      <c r="D835" s="129" t="s">
        <v>507</v>
      </c>
      <c r="E835" s="315">
        <v>55</v>
      </c>
      <c r="I835" s="463">
        <f t="shared" ref="I835:L837" si="158">($E835+$G835)*I$3</f>
        <v>12.332100000000001</v>
      </c>
      <c r="J835" s="463">
        <f t="shared" si="158"/>
        <v>6.4998999999999993</v>
      </c>
      <c r="K835" s="463">
        <f t="shared" si="158"/>
        <v>4.7190000000000003</v>
      </c>
      <c r="L835" s="463">
        <f t="shared" si="158"/>
        <v>3.8912499999999994</v>
      </c>
    </row>
    <row r="836" spans="2:12" x14ac:dyDescent="0.3">
      <c r="B836" s="98" t="s">
        <v>1436</v>
      </c>
      <c r="C836" s="116"/>
      <c r="D836" s="129" t="s">
        <v>508</v>
      </c>
      <c r="E836" s="315">
        <v>55</v>
      </c>
      <c r="I836" s="463">
        <f t="shared" si="158"/>
        <v>12.332100000000001</v>
      </c>
      <c r="J836" s="463">
        <f t="shared" si="158"/>
        <v>6.4998999999999993</v>
      </c>
      <c r="K836" s="463">
        <f t="shared" si="158"/>
        <v>4.7190000000000003</v>
      </c>
      <c r="L836" s="463">
        <f t="shared" si="158"/>
        <v>3.8912499999999994</v>
      </c>
    </row>
    <row r="837" spans="2:12" x14ac:dyDescent="0.3">
      <c r="B837" s="98" t="s">
        <v>107</v>
      </c>
      <c r="C837" s="116"/>
      <c r="D837" s="129" t="s">
        <v>365</v>
      </c>
      <c r="E837" s="315">
        <v>27</v>
      </c>
      <c r="I837" s="463">
        <f t="shared" si="158"/>
        <v>6.0539399999999999</v>
      </c>
      <c r="J837" s="463">
        <f t="shared" si="158"/>
        <v>3.1908599999999998</v>
      </c>
      <c r="K837" s="463">
        <f t="shared" si="158"/>
        <v>2.3166000000000002</v>
      </c>
      <c r="L837" s="463">
        <f t="shared" si="158"/>
        <v>1.9102499999999998</v>
      </c>
    </row>
    <row r="838" spans="2:12" x14ac:dyDescent="0.3">
      <c r="B838" s="114"/>
      <c r="C838" s="97"/>
      <c r="D838" s="130"/>
      <c r="E838" s="130"/>
    </row>
    <row r="839" spans="2:12" x14ac:dyDescent="0.3">
      <c r="B839" s="114" t="s">
        <v>509</v>
      </c>
      <c r="C839" s="290"/>
      <c r="D839" s="128"/>
      <c r="E839" s="128"/>
    </row>
    <row r="840" spans="2:12" x14ac:dyDescent="0.3">
      <c r="B840" s="98" t="s">
        <v>510</v>
      </c>
      <c r="C840" s="116"/>
      <c r="D840" s="129" t="s">
        <v>511</v>
      </c>
      <c r="E840" s="315">
        <v>36</v>
      </c>
      <c r="I840" s="463">
        <f t="shared" ref="I840:L843" si="159">($E840+$G840)*I$3</f>
        <v>8.0719200000000004</v>
      </c>
      <c r="J840" s="463">
        <f t="shared" si="159"/>
        <v>4.25448</v>
      </c>
      <c r="K840" s="463">
        <f t="shared" si="159"/>
        <v>3.0888</v>
      </c>
      <c r="L840" s="463">
        <f t="shared" si="159"/>
        <v>2.5469999999999997</v>
      </c>
    </row>
    <row r="841" spans="2:12" x14ac:dyDescent="0.3">
      <c r="B841" s="98" t="s">
        <v>512</v>
      </c>
      <c r="C841" s="116"/>
      <c r="D841" s="129" t="s">
        <v>513</v>
      </c>
      <c r="E841" s="315">
        <v>89</v>
      </c>
      <c r="I841" s="463">
        <f t="shared" si="159"/>
        <v>19.955580000000001</v>
      </c>
      <c r="J841" s="463">
        <f t="shared" si="159"/>
        <v>10.51802</v>
      </c>
      <c r="K841" s="463">
        <f t="shared" si="159"/>
        <v>7.6362000000000005</v>
      </c>
      <c r="L841" s="463">
        <f t="shared" si="159"/>
        <v>6.2967499999999994</v>
      </c>
    </row>
    <row r="842" spans="2:12" x14ac:dyDescent="0.3">
      <c r="B842" s="98" t="s">
        <v>514</v>
      </c>
      <c r="C842" s="116"/>
      <c r="D842" s="129" t="s">
        <v>515</v>
      </c>
      <c r="E842" s="315">
        <v>160</v>
      </c>
      <c r="I842" s="463">
        <f t="shared" si="159"/>
        <v>35.8752</v>
      </c>
      <c r="J842" s="463">
        <f t="shared" si="159"/>
        <v>18.908799999999999</v>
      </c>
      <c r="K842" s="463">
        <f t="shared" si="159"/>
        <v>13.728</v>
      </c>
      <c r="L842" s="463">
        <f t="shared" si="159"/>
        <v>11.319999999999999</v>
      </c>
    </row>
    <row r="843" spans="2:12" x14ac:dyDescent="0.3">
      <c r="B843" s="98" t="s">
        <v>1308</v>
      </c>
      <c r="C843" s="116"/>
      <c r="D843" s="129" t="s">
        <v>516</v>
      </c>
      <c r="E843" s="315">
        <v>160</v>
      </c>
      <c r="I843" s="463">
        <f t="shared" si="159"/>
        <v>35.8752</v>
      </c>
      <c r="J843" s="463">
        <f t="shared" si="159"/>
        <v>18.908799999999999</v>
      </c>
      <c r="K843" s="463">
        <f t="shared" si="159"/>
        <v>13.728</v>
      </c>
      <c r="L843" s="463">
        <f t="shared" si="159"/>
        <v>11.319999999999999</v>
      </c>
    </row>
    <row r="844" spans="2:12" x14ac:dyDescent="0.3">
      <c r="B844" s="114"/>
      <c r="C844" s="97"/>
      <c r="D844" s="130"/>
      <c r="E844" s="130"/>
    </row>
    <row r="845" spans="2:12" x14ac:dyDescent="0.3">
      <c r="B845" s="114" t="s">
        <v>517</v>
      </c>
      <c r="C845" s="290"/>
      <c r="D845" s="128"/>
      <c r="E845" s="128"/>
    </row>
    <row r="846" spans="2:12" x14ac:dyDescent="0.3">
      <c r="B846" s="98" t="s">
        <v>518</v>
      </c>
      <c r="C846" s="116"/>
      <c r="D846" s="129" t="s">
        <v>519</v>
      </c>
      <c r="E846" s="315">
        <v>27</v>
      </c>
      <c r="I846" s="463">
        <f t="shared" ref="I846:L846" si="160">($E846+$G846)*I$3</f>
        <v>6.0539399999999999</v>
      </c>
      <c r="J846" s="463">
        <f t="shared" si="160"/>
        <v>3.1908599999999998</v>
      </c>
      <c r="K846" s="463">
        <f t="shared" si="160"/>
        <v>2.3166000000000002</v>
      </c>
      <c r="L846" s="463">
        <f t="shared" si="160"/>
        <v>1.9102499999999998</v>
      </c>
    </row>
    <row r="847" spans="2:12" x14ac:dyDescent="0.3">
      <c r="B847" s="114"/>
      <c r="C847" s="97"/>
      <c r="D847" s="130"/>
      <c r="E847" s="130"/>
    </row>
    <row r="848" spans="2:12" x14ac:dyDescent="0.3">
      <c r="B848" s="108" t="s">
        <v>67</v>
      </c>
      <c r="C848" s="290"/>
      <c r="D848" s="128"/>
      <c r="E848" s="128"/>
    </row>
    <row r="849" spans="2:12" x14ac:dyDescent="0.3">
      <c r="B849" s="98" t="s">
        <v>68</v>
      </c>
      <c r="C849" s="116"/>
      <c r="D849" s="129" t="s">
        <v>366</v>
      </c>
      <c r="E849" s="315">
        <v>0</v>
      </c>
      <c r="I849" s="463">
        <f t="shared" ref="I849:L849" si="161">($E849+$G849)*I$3</f>
        <v>0</v>
      </c>
      <c r="J849" s="463">
        <f t="shared" si="161"/>
        <v>0</v>
      </c>
      <c r="K849" s="463">
        <f t="shared" si="161"/>
        <v>0</v>
      </c>
      <c r="L849" s="463">
        <f t="shared" si="161"/>
        <v>0</v>
      </c>
    </row>
    <row r="850" spans="2:12" x14ac:dyDescent="0.3">
      <c r="B850" s="114"/>
      <c r="C850" s="97"/>
      <c r="D850" s="130"/>
      <c r="E850" s="130"/>
    </row>
    <row r="851" spans="2:12" x14ac:dyDescent="0.3">
      <c r="B851" s="114" t="s">
        <v>367</v>
      </c>
      <c r="C851" s="290"/>
      <c r="D851" s="128"/>
      <c r="E851" s="128"/>
    </row>
    <row r="852" spans="2:12" x14ac:dyDescent="0.3">
      <c r="B852" s="98" t="s">
        <v>520</v>
      </c>
      <c r="C852" s="116"/>
      <c r="D852" s="129" t="s">
        <v>521</v>
      </c>
      <c r="E852" s="315">
        <v>56</v>
      </c>
      <c r="I852" s="463">
        <f t="shared" ref="I852:L853" si="162">($E852+$G852)*I$3</f>
        <v>12.556319999999999</v>
      </c>
      <c r="J852" s="463">
        <f t="shared" si="162"/>
        <v>6.61808</v>
      </c>
      <c r="K852" s="463">
        <f t="shared" si="162"/>
        <v>4.8048000000000002</v>
      </c>
      <c r="L852" s="463">
        <f t="shared" si="162"/>
        <v>3.9619999999999997</v>
      </c>
    </row>
    <row r="853" spans="2:12" x14ac:dyDescent="0.3">
      <c r="B853" s="98" t="s">
        <v>522</v>
      </c>
      <c r="C853" s="116"/>
      <c r="D853" s="129" t="s">
        <v>523</v>
      </c>
      <c r="E853" s="315">
        <v>83</v>
      </c>
      <c r="I853" s="463">
        <f t="shared" si="162"/>
        <v>18.61026</v>
      </c>
      <c r="J853" s="463">
        <f t="shared" si="162"/>
        <v>9.8089399999999998</v>
      </c>
      <c r="K853" s="463">
        <f t="shared" si="162"/>
        <v>7.1214000000000004</v>
      </c>
      <c r="L853" s="463">
        <f t="shared" si="162"/>
        <v>5.8722499999999993</v>
      </c>
    </row>
    <row r="854" spans="2:12" x14ac:dyDescent="0.3">
      <c r="B854" s="114"/>
      <c r="C854" s="97"/>
      <c r="D854" s="130"/>
      <c r="E854" s="130"/>
    </row>
    <row r="855" spans="2:12" x14ac:dyDescent="0.3">
      <c r="B855" s="114" t="s">
        <v>524</v>
      </c>
      <c r="C855" s="290"/>
      <c r="D855" s="128"/>
      <c r="E855" s="128"/>
    </row>
    <row r="856" spans="2:12" x14ac:dyDescent="0.3">
      <c r="B856" s="98" t="s">
        <v>525</v>
      </c>
      <c r="C856" s="116"/>
      <c r="D856" s="129" t="s">
        <v>526</v>
      </c>
      <c r="E856" s="315">
        <v>36</v>
      </c>
      <c r="I856" s="463">
        <f t="shared" ref="I856:L858" si="163">($E856+$G856)*I$3</f>
        <v>8.0719200000000004</v>
      </c>
      <c r="J856" s="463">
        <f t="shared" si="163"/>
        <v>4.25448</v>
      </c>
      <c r="K856" s="463">
        <f t="shared" si="163"/>
        <v>3.0888</v>
      </c>
      <c r="L856" s="463">
        <f t="shared" si="163"/>
        <v>2.5469999999999997</v>
      </c>
    </row>
    <row r="857" spans="2:12" x14ac:dyDescent="0.3">
      <c r="B857" s="98" t="s">
        <v>527</v>
      </c>
      <c r="C857" s="116"/>
      <c r="D857" s="129" t="s">
        <v>528</v>
      </c>
      <c r="E857" s="315">
        <v>56</v>
      </c>
      <c r="I857" s="463">
        <f t="shared" si="163"/>
        <v>12.556319999999999</v>
      </c>
      <c r="J857" s="463">
        <f t="shared" si="163"/>
        <v>6.61808</v>
      </c>
      <c r="K857" s="463">
        <f t="shared" si="163"/>
        <v>4.8048000000000002</v>
      </c>
      <c r="L857" s="463">
        <f t="shared" si="163"/>
        <v>3.9619999999999997</v>
      </c>
    </row>
    <row r="858" spans="2:12" x14ac:dyDescent="0.3">
      <c r="B858" s="98" t="s">
        <v>529</v>
      </c>
      <c r="C858" s="116"/>
      <c r="D858" s="129" t="s">
        <v>530</v>
      </c>
      <c r="E858" s="315">
        <v>70</v>
      </c>
      <c r="I858" s="463">
        <f t="shared" si="163"/>
        <v>15.695399999999999</v>
      </c>
      <c r="J858" s="463">
        <f t="shared" si="163"/>
        <v>8.2725999999999988</v>
      </c>
      <c r="K858" s="463">
        <f t="shared" si="163"/>
        <v>6.0060000000000002</v>
      </c>
      <c r="L858" s="463">
        <f t="shared" si="163"/>
        <v>4.9524999999999997</v>
      </c>
    </row>
    <row r="859" spans="2:12" x14ac:dyDescent="0.3">
      <c r="B859" s="21"/>
      <c r="C859" s="6"/>
      <c r="D859" s="18"/>
      <c r="E859" s="18"/>
    </row>
    <row r="860" spans="2:12" x14ac:dyDescent="0.3">
      <c r="B860" s="21"/>
    </row>
    <row r="861" spans="2:12" x14ac:dyDescent="0.3">
      <c r="B861" s="21"/>
    </row>
    <row r="862" spans="2:12" x14ac:dyDescent="0.3">
      <c r="B862" s="21"/>
    </row>
    <row r="863" spans="2:12" x14ac:dyDescent="0.3">
      <c r="B863" s="21"/>
    </row>
    <row r="864" spans="2:12" x14ac:dyDescent="0.3">
      <c r="B864" s="21"/>
    </row>
    <row r="865" spans="2:2" x14ac:dyDescent="0.3">
      <c r="B865" s="21"/>
    </row>
    <row r="866" spans="2:2" x14ac:dyDescent="0.3">
      <c r="B866" s="21"/>
    </row>
    <row r="867" spans="2:2" x14ac:dyDescent="0.3">
      <c r="B867" s="21"/>
    </row>
    <row r="868" spans="2:2" x14ac:dyDescent="0.3">
      <c r="B868" s="21"/>
    </row>
    <row r="869" spans="2:2" x14ac:dyDescent="0.3">
      <c r="B869" s="21"/>
    </row>
    <row r="870" spans="2:2" x14ac:dyDescent="0.3">
      <c r="B870" s="21"/>
    </row>
    <row r="871" spans="2:2" x14ac:dyDescent="0.3">
      <c r="B871" s="21"/>
    </row>
    <row r="872" spans="2:2" x14ac:dyDescent="0.3">
      <c r="B872" s="21"/>
    </row>
    <row r="873" spans="2:2" x14ac:dyDescent="0.3">
      <c r="B873" s="21"/>
    </row>
    <row r="874" spans="2:2" x14ac:dyDescent="0.3">
      <c r="B874" s="21"/>
    </row>
    <row r="875" spans="2:2" x14ac:dyDescent="0.3">
      <c r="B875" s="21"/>
    </row>
    <row r="876" spans="2:2" x14ac:dyDescent="0.3">
      <c r="B876" s="20"/>
    </row>
  </sheetData>
  <sheetProtection algorithmName="SHA-512" hashValue="W97lIS4SJaXEX8Tvf3ufQIXOZFzIztffgyCGZUB788q5v3upYpkVZpp0xunSr+uh6/vld/ELw/Txu2ZjOxp1Xg==" saltValue="st2eUe/bsYqBae7v5nxkxQ==" spinCount="100000" sheet="1" objects="1" scenarios="1"/>
  <dataConsolidate/>
  <mergeCells count="10">
    <mergeCell ref="B445:D445"/>
    <mergeCell ref="F4:G4"/>
    <mergeCell ref="F319:G319"/>
    <mergeCell ref="F438:G438"/>
    <mergeCell ref="B2:D2"/>
    <mergeCell ref="B4:D4"/>
    <mergeCell ref="B13:D13"/>
    <mergeCell ref="B319:D319"/>
    <mergeCell ref="B325:D325"/>
    <mergeCell ref="B438:D438"/>
  </mergeCells>
  <conditionalFormatting sqref="E741:E759 E770:E825 E827:E1048576">
    <cfRule type="cellIs" dxfId="396" priority="233" operator="greaterThan">
      <formula>#REF!</formula>
    </cfRule>
    <cfRule type="cellIs" dxfId="395" priority="234" operator="greaterThan">
      <formula>#REF!</formula>
    </cfRule>
    <cfRule type="cellIs" priority="235" operator="equal">
      <formula>#REF!</formula>
    </cfRule>
  </conditionalFormatting>
  <conditionalFormatting sqref="E15:E59 E63:E160 E162:E191 E193:E242 E259 E298:E327 F274:H275 E261:E293 E443:E516 E6:E13 E329:E383 E385:E408 E410:E441">
    <cfRule type="cellIs" dxfId="394" priority="230" operator="greaterThan">
      <formula>#REF!</formula>
    </cfRule>
    <cfRule type="cellIs" dxfId="393" priority="231" operator="greaterThan">
      <formula>#REF!</formula>
    </cfRule>
    <cfRule type="cellIs" priority="232" operator="equal">
      <formula>#REF!</formula>
    </cfRule>
  </conditionalFormatting>
  <conditionalFormatting sqref="E1:E4 E248:E250 E252:E257 E518:E616 E618:E644">
    <cfRule type="cellIs" dxfId="392" priority="226" operator="greaterThan">
      <formula>#REF!</formula>
    </cfRule>
    <cfRule type="cellIs" dxfId="391" priority="227" operator="greaterThan">
      <formula>#REF!</formula>
    </cfRule>
    <cfRule type="cellIs" priority="228" operator="equal">
      <formula>#REF!</formula>
    </cfRule>
  </conditionalFormatting>
  <conditionalFormatting sqref="E18:E20">
    <cfRule type="cellIs" dxfId="390" priority="229" operator="greaterThan">
      <formula>#REF!</formula>
    </cfRule>
  </conditionalFormatting>
  <conditionalFormatting sqref="E245">
    <cfRule type="cellIs" dxfId="389" priority="223" operator="greaterThan">
      <formula>#REF!</formula>
    </cfRule>
    <cfRule type="cellIs" dxfId="388" priority="224" operator="greaterThan">
      <formula>#REF!</formula>
    </cfRule>
    <cfRule type="cellIs" priority="225" operator="equal">
      <formula>#REF!</formula>
    </cfRule>
  </conditionalFormatting>
  <conditionalFormatting sqref="E645 E739:E740">
    <cfRule type="cellIs" dxfId="387" priority="220" operator="greaterThan">
      <formula>#REF!</formula>
    </cfRule>
    <cfRule type="cellIs" dxfId="386" priority="221" operator="greaterThan">
      <formula>#REF!</formula>
    </cfRule>
    <cfRule type="cellIs" priority="222" operator="equal">
      <formula>#REF!</formula>
    </cfRule>
  </conditionalFormatting>
  <conditionalFormatting sqref="E246:E247">
    <cfRule type="cellIs" dxfId="385" priority="217" operator="greaterThan">
      <formula>#REF!</formula>
    </cfRule>
    <cfRule type="cellIs" dxfId="384" priority="218" operator="greaterThan">
      <formula>#REF!</formula>
    </cfRule>
    <cfRule type="cellIs" priority="219" operator="equal">
      <formula>#REF!</formula>
    </cfRule>
  </conditionalFormatting>
  <conditionalFormatting sqref="E244">
    <cfRule type="cellIs" dxfId="383" priority="214" operator="greaterThan">
      <formula>#REF!</formula>
    </cfRule>
    <cfRule type="cellIs" dxfId="382" priority="215" operator="greaterThan">
      <formula>#REF!</formula>
    </cfRule>
    <cfRule type="cellIs" priority="216" operator="equal">
      <formula>#REF!</formula>
    </cfRule>
  </conditionalFormatting>
  <conditionalFormatting sqref="E243">
    <cfRule type="cellIs" dxfId="381" priority="211" operator="greaterThan">
      <formula>#REF!</formula>
    </cfRule>
    <cfRule type="cellIs" dxfId="380" priority="212" operator="greaterThan">
      <formula>#REF!</formula>
    </cfRule>
    <cfRule type="cellIs" priority="213" operator="equal">
      <formula>#REF!</formula>
    </cfRule>
  </conditionalFormatting>
  <conditionalFormatting sqref="E409">
    <cfRule type="cellIs" dxfId="379" priority="208" operator="greaterThan">
      <formula>#REF!</formula>
    </cfRule>
    <cfRule type="cellIs" dxfId="378" priority="209" operator="greaterThan">
      <formula>#REF!</formula>
    </cfRule>
    <cfRule type="cellIs" priority="210" operator="equal">
      <formula>#REF!</formula>
    </cfRule>
  </conditionalFormatting>
  <conditionalFormatting sqref="E192">
    <cfRule type="cellIs" dxfId="377" priority="205" operator="greaterThan">
      <formula>#REF!</formula>
    </cfRule>
    <cfRule type="cellIs" dxfId="376" priority="206" operator="greaterThan">
      <formula>#REF!</formula>
    </cfRule>
    <cfRule type="cellIs" priority="207" operator="equal">
      <formula>#REF!</formula>
    </cfRule>
  </conditionalFormatting>
  <conditionalFormatting sqref="E60:E62">
    <cfRule type="cellIs" dxfId="375" priority="201" operator="greaterThan">
      <formula>#REF!</formula>
    </cfRule>
    <cfRule type="cellIs" dxfId="374" priority="202" operator="greaterThan">
      <formula>#REF!</formula>
    </cfRule>
    <cfRule type="cellIs" priority="203" operator="equal">
      <formula>#REF!</formula>
    </cfRule>
  </conditionalFormatting>
  <conditionalFormatting sqref="E60:E62">
    <cfRule type="cellIs" dxfId="373" priority="204" operator="greaterThan">
      <formula>#REF!</formula>
    </cfRule>
  </conditionalFormatting>
  <conditionalFormatting sqref="E251">
    <cfRule type="cellIs" dxfId="372" priority="198" operator="greaterThan">
      <formula>#REF!</formula>
    </cfRule>
    <cfRule type="cellIs" dxfId="371" priority="199" operator="greaterThan">
      <formula>#REF!</formula>
    </cfRule>
    <cfRule type="cellIs" priority="200" operator="equal">
      <formula>#REF!</formula>
    </cfRule>
  </conditionalFormatting>
  <conditionalFormatting sqref="E260">
    <cfRule type="cellIs" dxfId="370" priority="195" operator="greaterThan">
      <formula>#REF!</formula>
    </cfRule>
    <cfRule type="cellIs" dxfId="369" priority="196" operator="greaterThan">
      <formula>#REF!</formula>
    </cfRule>
    <cfRule type="cellIs" priority="197" operator="equal">
      <formula>#REF!</formula>
    </cfRule>
  </conditionalFormatting>
  <conditionalFormatting sqref="E161">
    <cfRule type="cellIs" dxfId="368" priority="192" operator="greaterThan">
      <formula>#REF!</formula>
    </cfRule>
    <cfRule type="cellIs" dxfId="367" priority="193" operator="greaterThan">
      <formula>#REF!</formula>
    </cfRule>
    <cfRule type="cellIs" priority="194" operator="equal">
      <formula>#REF!</formula>
    </cfRule>
  </conditionalFormatting>
  <conditionalFormatting sqref="E294:E297">
    <cfRule type="cellIs" dxfId="366" priority="189" operator="greaterThan">
      <formula>#REF!</formula>
    </cfRule>
    <cfRule type="cellIs" dxfId="365" priority="190" operator="greaterThan">
      <formula>#REF!</formula>
    </cfRule>
    <cfRule type="cellIs" priority="191" operator="equal">
      <formula>#REF!</formula>
    </cfRule>
  </conditionalFormatting>
  <conditionalFormatting sqref="E760:E769">
    <cfRule type="cellIs" dxfId="364" priority="186" operator="greaterThan">
      <formula>#REF!</formula>
    </cfRule>
    <cfRule type="cellIs" dxfId="363" priority="187" operator="greaterThan">
      <formula>#REF!</formula>
    </cfRule>
    <cfRule type="cellIs" priority="188" operator="equal">
      <formula>#REF!</formula>
    </cfRule>
  </conditionalFormatting>
  <conditionalFormatting sqref="E517">
    <cfRule type="cellIs" dxfId="362" priority="183" operator="greaterThan">
      <formula>#REF!</formula>
    </cfRule>
    <cfRule type="cellIs" dxfId="361" priority="184" operator="greaterThan">
      <formula>#REF!</formula>
    </cfRule>
    <cfRule type="cellIs" priority="185" operator="equal">
      <formula>#REF!</formula>
    </cfRule>
  </conditionalFormatting>
  <conditionalFormatting sqref="E258">
    <cfRule type="cellIs" dxfId="360" priority="180" operator="greaterThan">
      <formula>#REF!</formula>
    </cfRule>
    <cfRule type="cellIs" dxfId="359" priority="181" operator="greaterThan">
      <formula>#REF!</formula>
    </cfRule>
    <cfRule type="cellIs" priority="182" operator="equal">
      <formula>#REF!</formula>
    </cfRule>
  </conditionalFormatting>
  <conditionalFormatting sqref="I6:L11">
    <cfRule type="notContainsBlanks" dxfId="358" priority="179">
      <formula>LEN(TRIM(I6))&gt;0</formula>
    </cfRule>
  </conditionalFormatting>
  <conditionalFormatting sqref="I18:L20">
    <cfRule type="notContainsBlanks" dxfId="357" priority="178">
      <formula>LEN(TRIM(I18))&gt;0</formula>
    </cfRule>
  </conditionalFormatting>
  <conditionalFormatting sqref="I23:L25">
    <cfRule type="notContainsBlanks" dxfId="356" priority="177">
      <formula>LEN(TRIM(I23))&gt;0</formula>
    </cfRule>
  </conditionalFormatting>
  <conditionalFormatting sqref="I28:L30">
    <cfRule type="notContainsBlanks" dxfId="355" priority="176">
      <formula>LEN(TRIM(I28))&gt;0</formula>
    </cfRule>
  </conditionalFormatting>
  <conditionalFormatting sqref="I33:L36">
    <cfRule type="notContainsBlanks" dxfId="354" priority="175">
      <formula>LEN(TRIM(I33))&gt;0</formula>
    </cfRule>
  </conditionalFormatting>
  <conditionalFormatting sqref="I39:L40">
    <cfRule type="notContainsBlanks" dxfId="353" priority="174">
      <formula>LEN(TRIM(I39))&gt;0</formula>
    </cfRule>
  </conditionalFormatting>
  <conditionalFormatting sqref="I43:L45">
    <cfRule type="notContainsBlanks" dxfId="352" priority="173">
      <formula>LEN(TRIM(I43))&gt;0</formula>
    </cfRule>
  </conditionalFormatting>
  <conditionalFormatting sqref="I48:L48">
    <cfRule type="notContainsBlanks" dxfId="351" priority="172">
      <formula>LEN(TRIM(I48))&gt;0</formula>
    </cfRule>
  </conditionalFormatting>
  <conditionalFormatting sqref="I51:L52">
    <cfRule type="notContainsBlanks" dxfId="350" priority="171">
      <formula>LEN(TRIM(I51))&gt;0</formula>
    </cfRule>
  </conditionalFormatting>
  <conditionalFormatting sqref="I55:L55">
    <cfRule type="notContainsBlanks" dxfId="349" priority="170">
      <formula>LEN(TRIM(I55))&gt;0</formula>
    </cfRule>
  </conditionalFormatting>
  <conditionalFormatting sqref="I60:L62">
    <cfRule type="notContainsBlanks" dxfId="348" priority="169">
      <formula>LEN(TRIM(I60))&gt;0</formula>
    </cfRule>
  </conditionalFormatting>
  <conditionalFormatting sqref="I65:L67">
    <cfRule type="notContainsBlanks" dxfId="347" priority="168">
      <formula>LEN(TRIM(I65))&gt;0</formula>
    </cfRule>
  </conditionalFormatting>
  <conditionalFormatting sqref="I70:L72">
    <cfRule type="notContainsBlanks" dxfId="346" priority="167">
      <formula>LEN(TRIM(I70))&gt;0</formula>
    </cfRule>
  </conditionalFormatting>
  <conditionalFormatting sqref="I75:L81">
    <cfRule type="notContainsBlanks" dxfId="345" priority="166">
      <formula>LEN(TRIM(I75))&gt;0</formula>
    </cfRule>
  </conditionalFormatting>
  <conditionalFormatting sqref="I84:L86">
    <cfRule type="notContainsBlanks" dxfId="344" priority="165">
      <formula>LEN(TRIM(I84))&gt;0</formula>
    </cfRule>
  </conditionalFormatting>
  <conditionalFormatting sqref="I89:L90">
    <cfRule type="notContainsBlanks" dxfId="343" priority="164">
      <formula>LEN(TRIM(I89))&gt;0</formula>
    </cfRule>
  </conditionalFormatting>
  <conditionalFormatting sqref="I93:L96">
    <cfRule type="notContainsBlanks" dxfId="342" priority="163">
      <formula>LEN(TRIM(I93))&gt;0</formula>
    </cfRule>
  </conditionalFormatting>
  <conditionalFormatting sqref="I99:L101">
    <cfRule type="notContainsBlanks" dxfId="341" priority="162">
      <formula>LEN(TRIM(I99))&gt;0</formula>
    </cfRule>
  </conditionalFormatting>
  <conditionalFormatting sqref="I104:L105">
    <cfRule type="notContainsBlanks" dxfId="340" priority="161">
      <formula>LEN(TRIM(I104))&gt;0</formula>
    </cfRule>
  </conditionalFormatting>
  <conditionalFormatting sqref="I108:L108">
    <cfRule type="notContainsBlanks" dxfId="339" priority="160">
      <formula>LEN(TRIM(I108))&gt;0</formula>
    </cfRule>
  </conditionalFormatting>
  <conditionalFormatting sqref="I113:L117">
    <cfRule type="notContainsBlanks" dxfId="338" priority="159">
      <formula>LEN(TRIM(I113))&gt;0</formula>
    </cfRule>
  </conditionalFormatting>
  <conditionalFormatting sqref="I120:L123">
    <cfRule type="notContainsBlanks" dxfId="337" priority="158">
      <formula>LEN(TRIM(I120))&gt;0</formula>
    </cfRule>
  </conditionalFormatting>
  <conditionalFormatting sqref="I125:L129">
    <cfRule type="notContainsBlanks" dxfId="336" priority="157">
      <formula>LEN(TRIM(I125))&gt;0</formula>
    </cfRule>
  </conditionalFormatting>
  <conditionalFormatting sqref="I132:L134">
    <cfRule type="notContainsBlanks" dxfId="335" priority="156">
      <formula>LEN(TRIM(I132))&gt;0</formula>
    </cfRule>
  </conditionalFormatting>
  <conditionalFormatting sqref="I137:L144">
    <cfRule type="notContainsBlanks" dxfId="334" priority="155">
      <formula>LEN(TRIM(I137))&gt;0</formula>
    </cfRule>
  </conditionalFormatting>
  <conditionalFormatting sqref="I147:L147">
    <cfRule type="notContainsBlanks" dxfId="333" priority="154">
      <formula>LEN(TRIM(I147))&gt;0</formula>
    </cfRule>
  </conditionalFormatting>
  <conditionalFormatting sqref="I150:L151">
    <cfRule type="notContainsBlanks" dxfId="332" priority="153">
      <formula>LEN(TRIM(I150))&gt;0</formula>
    </cfRule>
  </conditionalFormatting>
  <conditionalFormatting sqref="I155:L161">
    <cfRule type="notContainsBlanks" dxfId="331" priority="152">
      <formula>LEN(TRIM(I155))&gt;0</formula>
    </cfRule>
  </conditionalFormatting>
  <conditionalFormatting sqref="I163:L165">
    <cfRule type="notContainsBlanks" dxfId="330" priority="151">
      <formula>LEN(TRIM(I163))&gt;0</formula>
    </cfRule>
  </conditionalFormatting>
  <conditionalFormatting sqref="I168:L168">
    <cfRule type="notContainsBlanks" dxfId="329" priority="150">
      <formula>LEN(TRIM(I168))&gt;0</formula>
    </cfRule>
  </conditionalFormatting>
  <conditionalFormatting sqref="I171:L174">
    <cfRule type="notContainsBlanks" dxfId="328" priority="149">
      <formula>LEN(TRIM(I171))&gt;0</formula>
    </cfRule>
  </conditionalFormatting>
  <conditionalFormatting sqref="I177:L180">
    <cfRule type="notContainsBlanks" dxfId="327" priority="148">
      <formula>LEN(TRIM(I177))&gt;0</formula>
    </cfRule>
  </conditionalFormatting>
  <conditionalFormatting sqref="I183:L184">
    <cfRule type="notContainsBlanks" dxfId="326" priority="147">
      <formula>LEN(TRIM(I183))&gt;0</formula>
    </cfRule>
  </conditionalFormatting>
  <conditionalFormatting sqref="I187:L187">
    <cfRule type="notContainsBlanks" dxfId="325" priority="146">
      <formula>LEN(TRIM(I187))&gt;0</formula>
    </cfRule>
  </conditionalFormatting>
  <conditionalFormatting sqref="I192:L198">
    <cfRule type="notContainsBlanks" dxfId="324" priority="145">
      <formula>LEN(TRIM(I192))&gt;0</formula>
    </cfRule>
  </conditionalFormatting>
  <conditionalFormatting sqref="I201:L202">
    <cfRule type="notContainsBlanks" dxfId="323" priority="144">
      <formula>LEN(TRIM(I201))&gt;0</formula>
    </cfRule>
  </conditionalFormatting>
  <conditionalFormatting sqref="I205:L206">
    <cfRule type="notContainsBlanks" dxfId="322" priority="143">
      <formula>LEN(TRIM(I205))&gt;0</formula>
    </cfRule>
  </conditionalFormatting>
  <conditionalFormatting sqref="I209:L210">
    <cfRule type="notContainsBlanks" dxfId="321" priority="142">
      <formula>LEN(TRIM(I209))&gt;0</formula>
    </cfRule>
  </conditionalFormatting>
  <conditionalFormatting sqref="I213:L218">
    <cfRule type="notContainsBlanks" dxfId="320" priority="141">
      <formula>LEN(TRIM(I213))&gt;0</formula>
    </cfRule>
  </conditionalFormatting>
  <conditionalFormatting sqref="I221:L221">
    <cfRule type="notContainsBlanks" dxfId="319" priority="140">
      <formula>LEN(TRIM(I221))&gt;0</formula>
    </cfRule>
  </conditionalFormatting>
  <conditionalFormatting sqref="I224:L224">
    <cfRule type="notContainsBlanks" dxfId="318" priority="139">
      <formula>LEN(TRIM(I224))&gt;0</formula>
    </cfRule>
  </conditionalFormatting>
  <conditionalFormatting sqref="I227:L229">
    <cfRule type="notContainsBlanks" dxfId="317" priority="138">
      <formula>LEN(TRIM(I227))&gt;0</formula>
    </cfRule>
  </conditionalFormatting>
  <conditionalFormatting sqref="I232:L233">
    <cfRule type="notContainsBlanks" dxfId="316" priority="137">
      <formula>LEN(TRIM(I232))&gt;0</formula>
    </cfRule>
  </conditionalFormatting>
  <conditionalFormatting sqref="I236:L236">
    <cfRule type="notContainsBlanks" dxfId="315" priority="136">
      <formula>LEN(TRIM(I236))&gt;0</formula>
    </cfRule>
  </conditionalFormatting>
  <conditionalFormatting sqref="I241:L247">
    <cfRule type="notContainsBlanks" dxfId="314" priority="135">
      <formula>LEN(TRIM(I241))&gt;0</formula>
    </cfRule>
  </conditionalFormatting>
  <conditionalFormatting sqref="I250:L251">
    <cfRule type="notContainsBlanks" dxfId="313" priority="134">
      <formula>LEN(TRIM(I250))&gt;0</formula>
    </cfRule>
  </conditionalFormatting>
  <conditionalFormatting sqref="I254:L254">
    <cfRule type="notContainsBlanks" dxfId="312" priority="133">
      <formula>LEN(TRIM(I254))&gt;0</formula>
    </cfRule>
  </conditionalFormatting>
  <conditionalFormatting sqref="I257:L257">
    <cfRule type="notContainsBlanks" dxfId="311" priority="132">
      <formula>LEN(TRIM(I257))&gt;0</formula>
    </cfRule>
  </conditionalFormatting>
  <conditionalFormatting sqref="I260:L260">
    <cfRule type="notContainsBlanks" dxfId="310" priority="131">
      <formula>LEN(TRIM(I260))&gt;0</formula>
    </cfRule>
  </conditionalFormatting>
  <conditionalFormatting sqref="I263:L263">
    <cfRule type="notContainsBlanks" dxfId="309" priority="130">
      <formula>LEN(TRIM(I263))&gt;0</formula>
    </cfRule>
  </conditionalFormatting>
  <conditionalFormatting sqref="I268:L268">
    <cfRule type="notContainsBlanks" dxfId="308" priority="129">
      <formula>LEN(TRIM(I268))&gt;0</formula>
    </cfRule>
  </conditionalFormatting>
  <conditionalFormatting sqref="I271:L272">
    <cfRule type="notContainsBlanks" dxfId="307" priority="128">
      <formula>LEN(TRIM(I271))&gt;0</formula>
    </cfRule>
  </conditionalFormatting>
  <conditionalFormatting sqref="I274:L275">
    <cfRule type="notContainsBlanks" dxfId="306" priority="127">
      <formula>LEN(TRIM(I274))&gt;0</formula>
    </cfRule>
  </conditionalFormatting>
  <conditionalFormatting sqref="I277:L280">
    <cfRule type="notContainsBlanks" dxfId="305" priority="126">
      <formula>LEN(TRIM(I277))&gt;0</formula>
    </cfRule>
  </conditionalFormatting>
  <conditionalFormatting sqref="I283:L285">
    <cfRule type="notContainsBlanks" dxfId="304" priority="125">
      <formula>LEN(TRIM(I283))&gt;0</formula>
    </cfRule>
  </conditionalFormatting>
  <conditionalFormatting sqref="I288:L291">
    <cfRule type="notContainsBlanks" dxfId="303" priority="124">
      <formula>LEN(TRIM(I288))&gt;0</formula>
    </cfRule>
  </conditionalFormatting>
  <conditionalFormatting sqref="I294:L297">
    <cfRule type="notContainsBlanks" dxfId="302" priority="123">
      <formula>LEN(TRIM(I294))&gt;0</formula>
    </cfRule>
  </conditionalFormatting>
  <conditionalFormatting sqref="I300:L302">
    <cfRule type="notContainsBlanks" dxfId="301" priority="122">
      <formula>LEN(TRIM(I300))&gt;0</formula>
    </cfRule>
  </conditionalFormatting>
  <conditionalFormatting sqref="I305:L305">
    <cfRule type="notContainsBlanks" dxfId="300" priority="121">
      <formula>LEN(TRIM(I305))&gt;0</formula>
    </cfRule>
  </conditionalFormatting>
  <conditionalFormatting sqref="I308:L310">
    <cfRule type="notContainsBlanks" dxfId="299" priority="120">
      <formula>LEN(TRIM(I308))&gt;0</formula>
    </cfRule>
  </conditionalFormatting>
  <conditionalFormatting sqref="I313:L313">
    <cfRule type="notContainsBlanks" dxfId="298" priority="119">
      <formula>LEN(TRIM(I313))&gt;0</formula>
    </cfRule>
  </conditionalFormatting>
  <conditionalFormatting sqref="I316:L316">
    <cfRule type="notContainsBlanks" dxfId="297" priority="118">
      <formula>LEN(TRIM(I316))&gt;0</formula>
    </cfRule>
  </conditionalFormatting>
  <conditionalFormatting sqref="I321:L323">
    <cfRule type="notContainsBlanks" dxfId="296" priority="117">
      <formula>LEN(TRIM(I321))&gt;0</formula>
    </cfRule>
  </conditionalFormatting>
  <conditionalFormatting sqref="I330:L332">
    <cfRule type="notContainsBlanks" dxfId="295" priority="116">
      <formula>LEN(TRIM(I330))&gt;0</formula>
    </cfRule>
  </conditionalFormatting>
  <conditionalFormatting sqref="I335:L337">
    <cfRule type="notContainsBlanks" dxfId="294" priority="115">
      <formula>LEN(TRIM(I335))&gt;0</formula>
    </cfRule>
  </conditionalFormatting>
  <conditionalFormatting sqref="I340:L341">
    <cfRule type="notContainsBlanks" dxfId="293" priority="114">
      <formula>LEN(TRIM(I340))&gt;0</formula>
    </cfRule>
  </conditionalFormatting>
  <conditionalFormatting sqref="I344:L350">
    <cfRule type="notContainsBlanks" dxfId="292" priority="113">
      <formula>LEN(TRIM(I344))&gt;0</formula>
    </cfRule>
  </conditionalFormatting>
  <conditionalFormatting sqref="I353:L353">
    <cfRule type="notContainsBlanks" dxfId="291" priority="112">
      <formula>LEN(TRIM(I353))&gt;0</formula>
    </cfRule>
  </conditionalFormatting>
  <conditionalFormatting sqref="I356:L359">
    <cfRule type="notContainsBlanks" dxfId="290" priority="111">
      <formula>LEN(TRIM(I356))&gt;0</formula>
    </cfRule>
  </conditionalFormatting>
  <conditionalFormatting sqref="I362:L362">
    <cfRule type="notContainsBlanks" dxfId="289" priority="110">
      <formula>LEN(TRIM(I362))&gt;0</formula>
    </cfRule>
  </conditionalFormatting>
  <conditionalFormatting sqref="I365:L368">
    <cfRule type="notContainsBlanks" dxfId="288" priority="109">
      <formula>LEN(TRIM(I365))&gt;0</formula>
    </cfRule>
  </conditionalFormatting>
  <conditionalFormatting sqref="I371:L374">
    <cfRule type="notContainsBlanks" dxfId="287" priority="108">
      <formula>LEN(TRIM(I371))&gt;0</formula>
    </cfRule>
  </conditionalFormatting>
  <conditionalFormatting sqref="I377:L378">
    <cfRule type="notContainsBlanks" dxfId="286" priority="107">
      <formula>LEN(TRIM(I377))&gt;0</formula>
    </cfRule>
  </conditionalFormatting>
  <conditionalFormatting sqref="I381:L381">
    <cfRule type="notContainsBlanks" dxfId="285" priority="106">
      <formula>LEN(TRIM(I381))&gt;0</formula>
    </cfRule>
  </conditionalFormatting>
  <conditionalFormatting sqref="I386:L386">
    <cfRule type="notContainsBlanks" dxfId="284" priority="105">
      <formula>LEN(TRIM(I386))&gt;0</formula>
    </cfRule>
  </conditionalFormatting>
  <conditionalFormatting sqref="I389:L390">
    <cfRule type="notContainsBlanks" dxfId="283" priority="104">
      <formula>LEN(TRIM(I389))&gt;0</formula>
    </cfRule>
  </conditionalFormatting>
  <conditionalFormatting sqref="I392:L395">
    <cfRule type="notContainsBlanks" dxfId="282" priority="103">
      <formula>LEN(TRIM(I392))&gt;0</formula>
    </cfRule>
  </conditionalFormatting>
  <conditionalFormatting sqref="I398:L400">
    <cfRule type="notContainsBlanks" dxfId="281" priority="102">
      <formula>LEN(TRIM(I398))&gt;0</formula>
    </cfRule>
  </conditionalFormatting>
  <conditionalFormatting sqref="I403:L406">
    <cfRule type="notContainsBlanks" dxfId="280" priority="101">
      <formula>LEN(TRIM(I403))&gt;0</formula>
    </cfRule>
  </conditionalFormatting>
  <conditionalFormatting sqref="I409:L413">
    <cfRule type="notContainsBlanks" dxfId="279" priority="100">
      <formula>LEN(TRIM(I409))&gt;0</formula>
    </cfRule>
  </conditionalFormatting>
  <conditionalFormatting sqref="I416:L418">
    <cfRule type="notContainsBlanks" dxfId="278" priority="99">
      <formula>LEN(TRIM(I416))&gt;0</formula>
    </cfRule>
  </conditionalFormatting>
  <conditionalFormatting sqref="I421:L421">
    <cfRule type="notContainsBlanks" dxfId="277" priority="98">
      <formula>LEN(TRIM(I421))&gt;0</formula>
    </cfRule>
  </conditionalFormatting>
  <conditionalFormatting sqref="I424:L424">
    <cfRule type="notContainsBlanks" dxfId="276" priority="97">
      <formula>LEN(TRIM(I424))&gt;0</formula>
    </cfRule>
  </conditionalFormatting>
  <conditionalFormatting sqref="I427:L427">
    <cfRule type="notContainsBlanks" dxfId="275" priority="96">
      <formula>LEN(TRIM(I427))&gt;0</formula>
    </cfRule>
  </conditionalFormatting>
  <conditionalFormatting sqref="I428:L428">
    <cfRule type="notContainsBlanks" dxfId="274" priority="95">
      <formula>LEN(TRIM(I428))&gt;0</formula>
    </cfRule>
  </conditionalFormatting>
  <conditionalFormatting sqref="I429:L429">
    <cfRule type="notContainsBlanks" dxfId="273" priority="94">
      <formula>LEN(TRIM(I429))&gt;0</formula>
    </cfRule>
  </conditionalFormatting>
  <conditionalFormatting sqref="I432:L432">
    <cfRule type="notContainsBlanks" dxfId="272" priority="93">
      <formula>LEN(TRIM(I432))&gt;0</formula>
    </cfRule>
  </conditionalFormatting>
  <conditionalFormatting sqref="I435:L435">
    <cfRule type="notContainsBlanks" dxfId="271" priority="92">
      <formula>LEN(TRIM(I435))&gt;0</formula>
    </cfRule>
  </conditionalFormatting>
  <conditionalFormatting sqref="I440:L443">
    <cfRule type="notContainsBlanks" dxfId="270" priority="91">
      <formula>LEN(TRIM(I440))&gt;0</formula>
    </cfRule>
  </conditionalFormatting>
  <conditionalFormatting sqref="I449:L455">
    <cfRule type="notContainsBlanks" dxfId="269" priority="90">
      <formula>LEN(TRIM(I449))&gt;0</formula>
    </cfRule>
  </conditionalFormatting>
  <conditionalFormatting sqref="I458:L463">
    <cfRule type="notContainsBlanks" dxfId="268" priority="89">
      <formula>LEN(TRIM(I458))&gt;0</formula>
    </cfRule>
  </conditionalFormatting>
  <conditionalFormatting sqref="I467:L469">
    <cfRule type="notContainsBlanks" dxfId="267" priority="88">
      <formula>LEN(TRIM(I467))&gt;0</formula>
    </cfRule>
  </conditionalFormatting>
  <conditionalFormatting sqref="I472:L475">
    <cfRule type="notContainsBlanks" dxfId="266" priority="87">
      <formula>LEN(TRIM(I472))&gt;0</formula>
    </cfRule>
  </conditionalFormatting>
  <conditionalFormatting sqref="I478:L479">
    <cfRule type="notContainsBlanks" dxfId="265" priority="86">
      <formula>LEN(TRIM(I478))&gt;0</formula>
    </cfRule>
  </conditionalFormatting>
  <conditionalFormatting sqref="I482:L486">
    <cfRule type="notContainsBlanks" dxfId="264" priority="85">
      <formula>LEN(TRIM(I482))&gt;0</formula>
    </cfRule>
  </conditionalFormatting>
  <conditionalFormatting sqref="I490:L491">
    <cfRule type="notContainsBlanks" dxfId="263" priority="84">
      <formula>LEN(TRIM(I490))&gt;0</formula>
    </cfRule>
  </conditionalFormatting>
  <conditionalFormatting sqref="I493:L501">
    <cfRule type="notContainsBlanks" dxfId="262" priority="83">
      <formula>LEN(TRIM(I493))&gt;0</formula>
    </cfRule>
  </conditionalFormatting>
  <conditionalFormatting sqref="I503:L503">
    <cfRule type="notContainsBlanks" dxfId="261" priority="82">
      <formula>LEN(TRIM(I503))&gt;0</formula>
    </cfRule>
  </conditionalFormatting>
  <conditionalFormatting sqref="I505:L508">
    <cfRule type="notContainsBlanks" dxfId="260" priority="81">
      <formula>LEN(TRIM(I505))&gt;0</formula>
    </cfRule>
  </conditionalFormatting>
  <conditionalFormatting sqref="I511:L512">
    <cfRule type="notContainsBlanks" dxfId="259" priority="80">
      <formula>LEN(TRIM(I511))&gt;0</formula>
    </cfRule>
  </conditionalFormatting>
  <conditionalFormatting sqref="I515:L518">
    <cfRule type="notContainsBlanks" dxfId="258" priority="79">
      <formula>LEN(TRIM(I515))&gt;0</formula>
    </cfRule>
  </conditionalFormatting>
  <conditionalFormatting sqref="I521:L521">
    <cfRule type="notContainsBlanks" dxfId="257" priority="78">
      <formula>LEN(TRIM(I521))&gt;0</formula>
    </cfRule>
  </conditionalFormatting>
  <conditionalFormatting sqref="I524:L524">
    <cfRule type="notContainsBlanks" dxfId="256" priority="77">
      <formula>LEN(TRIM(I524))&gt;0</formula>
    </cfRule>
  </conditionalFormatting>
  <conditionalFormatting sqref="I527:L527">
    <cfRule type="notContainsBlanks" dxfId="255" priority="76">
      <formula>LEN(TRIM(I527))&gt;0</formula>
    </cfRule>
  </conditionalFormatting>
  <conditionalFormatting sqref="I533:L535">
    <cfRule type="notContainsBlanks" dxfId="254" priority="75">
      <formula>LEN(TRIM(I533))&gt;0</formula>
    </cfRule>
  </conditionalFormatting>
  <conditionalFormatting sqref="I537:L545">
    <cfRule type="notContainsBlanks" dxfId="253" priority="74">
      <formula>LEN(TRIM(I537))&gt;0</formula>
    </cfRule>
  </conditionalFormatting>
  <conditionalFormatting sqref="I547:L553">
    <cfRule type="notContainsBlanks" dxfId="252" priority="73">
      <formula>LEN(TRIM(I547))&gt;0</formula>
    </cfRule>
  </conditionalFormatting>
  <conditionalFormatting sqref="I556:L566">
    <cfRule type="notContainsBlanks" dxfId="251" priority="72">
      <formula>LEN(TRIM(I556))&gt;0</formula>
    </cfRule>
  </conditionalFormatting>
  <conditionalFormatting sqref="I570:L571">
    <cfRule type="notContainsBlanks" dxfId="250" priority="71">
      <formula>LEN(TRIM(I570))&gt;0</formula>
    </cfRule>
  </conditionalFormatting>
  <conditionalFormatting sqref="I574:L576">
    <cfRule type="notContainsBlanks" dxfId="249" priority="70">
      <formula>LEN(TRIM(I574))&gt;0</formula>
    </cfRule>
  </conditionalFormatting>
  <conditionalFormatting sqref="I579:L586">
    <cfRule type="notContainsBlanks" dxfId="248" priority="69">
      <formula>LEN(TRIM(I579))&gt;0</formula>
    </cfRule>
  </conditionalFormatting>
  <conditionalFormatting sqref="I589:L590">
    <cfRule type="notContainsBlanks" dxfId="247" priority="68">
      <formula>LEN(TRIM(I589))&gt;0</formula>
    </cfRule>
  </conditionalFormatting>
  <conditionalFormatting sqref="I593:L593">
    <cfRule type="notContainsBlanks" dxfId="246" priority="67">
      <formula>LEN(TRIM(I593))&gt;0</formula>
    </cfRule>
  </conditionalFormatting>
  <conditionalFormatting sqref="I596:L600">
    <cfRule type="notContainsBlanks" dxfId="245" priority="66">
      <formula>LEN(TRIM(I596))&gt;0</formula>
    </cfRule>
  </conditionalFormatting>
  <conditionalFormatting sqref="I604:L605">
    <cfRule type="notContainsBlanks" dxfId="244" priority="65">
      <formula>LEN(TRIM(I604))&gt;0</formula>
    </cfRule>
  </conditionalFormatting>
  <conditionalFormatting sqref="I607:L614">
    <cfRule type="notContainsBlanks" dxfId="243" priority="64">
      <formula>LEN(TRIM(I607))&gt;0</formula>
    </cfRule>
  </conditionalFormatting>
  <conditionalFormatting sqref="I616:L616">
    <cfRule type="notContainsBlanks" dxfId="242" priority="63">
      <formula>LEN(TRIM(I616))&gt;0</formula>
    </cfRule>
  </conditionalFormatting>
  <conditionalFormatting sqref="E617">
    <cfRule type="cellIs" dxfId="241" priority="60" operator="greaterThan">
      <formula>#REF!</formula>
    </cfRule>
    <cfRule type="cellIs" dxfId="240" priority="61" operator="greaterThan">
      <formula>#REF!</formula>
    </cfRule>
    <cfRule type="cellIs" priority="62" operator="equal">
      <formula>#REF!</formula>
    </cfRule>
  </conditionalFormatting>
  <conditionalFormatting sqref="I618:L624">
    <cfRule type="notContainsBlanks" dxfId="239" priority="59">
      <formula>LEN(TRIM(I618))&gt;0</formula>
    </cfRule>
  </conditionalFormatting>
  <conditionalFormatting sqref="I627:L628">
    <cfRule type="notContainsBlanks" dxfId="238" priority="58">
      <formula>LEN(TRIM(I627))&gt;0</formula>
    </cfRule>
  </conditionalFormatting>
  <conditionalFormatting sqref="I631:L634">
    <cfRule type="notContainsBlanks" dxfId="237" priority="57">
      <formula>LEN(TRIM(I631))&gt;0</formula>
    </cfRule>
  </conditionalFormatting>
  <conditionalFormatting sqref="I637:L637">
    <cfRule type="notContainsBlanks" dxfId="236" priority="56">
      <formula>LEN(TRIM(I637))&gt;0</formula>
    </cfRule>
  </conditionalFormatting>
  <conditionalFormatting sqref="I640:L640">
    <cfRule type="notContainsBlanks" dxfId="235" priority="55">
      <formula>LEN(TRIM(I640))&gt;0</formula>
    </cfRule>
  </conditionalFormatting>
  <conditionalFormatting sqref="I643:L643">
    <cfRule type="notContainsBlanks" dxfId="234" priority="54">
      <formula>LEN(TRIM(I643))&gt;0</formula>
    </cfRule>
  </conditionalFormatting>
  <conditionalFormatting sqref="I648:L653">
    <cfRule type="notContainsBlanks" dxfId="233" priority="53">
      <formula>LEN(TRIM(I648))&gt;0</formula>
    </cfRule>
  </conditionalFormatting>
  <conditionalFormatting sqref="I657:L658">
    <cfRule type="notContainsBlanks" dxfId="232" priority="52">
      <formula>LEN(TRIM(I657))&gt;0</formula>
    </cfRule>
  </conditionalFormatting>
  <conditionalFormatting sqref="I661:L663">
    <cfRule type="notContainsBlanks" dxfId="231" priority="51">
      <formula>LEN(TRIM(I661))&gt;0</formula>
    </cfRule>
  </conditionalFormatting>
  <conditionalFormatting sqref="I666:L668">
    <cfRule type="notContainsBlanks" dxfId="230" priority="50">
      <formula>LEN(TRIM(I666))&gt;0</formula>
    </cfRule>
  </conditionalFormatting>
  <conditionalFormatting sqref="I671:L673">
    <cfRule type="notContainsBlanks" dxfId="229" priority="49">
      <formula>LEN(TRIM(I671))&gt;0</formula>
    </cfRule>
  </conditionalFormatting>
  <conditionalFormatting sqref="I676:L676">
    <cfRule type="notContainsBlanks" dxfId="228" priority="48">
      <formula>LEN(TRIM(I676))&gt;0</formula>
    </cfRule>
  </conditionalFormatting>
  <conditionalFormatting sqref="I677:L677">
    <cfRule type="notContainsBlanks" dxfId="227" priority="47">
      <formula>LEN(TRIM(I677))&gt;0</formula>
    </cfRule>
  </conditionalFormatting>
  <conditionalFormatting sqref="I680:L680">
    <cfRule type="notContainsBlanks" dxfId="226" priority="46">
      <formula>LEN(TRIM(I680))&gt;0</formula>
    </cfRule>
  </conditionalFormatting>
  <conditionalFormatting sqref="I681:L681">
    <cfRule type="notContainsBlanks" dxfId="225" priority="45">
      <formula>LEN(TRIM(I681))&gt;0</formula>
    </cfRule>
  </conditionalFormatting>
  <conditionalFormatting sqref="I682:L682">
    <cfRule type="notContainsBlanks" dxfId="224" priority="44">
      <formula>LEN(TRIM(I682))&gt;0</formula>
    </cfRule>
  </conditionalFormatting>
  <conditionalFormatting sqref="I685:L685">
    <cfRule type="notContainsBlanks" dxfId="223" priority="43">
      <formula>LEN(TRIM(I685))&gt;0</formula>
    </cfRule>
  </conditionalFormatting>
  <conditionalFormatting sqref="I686:L686">
    <cfRule type="notContainsBlanks" dxfId="222" priority="42">
      <formula>LEN(TRIM(I686))&gt;0</formula>
    </cfRule>
  </conditionalFormatting>
  <conditionalFormatting sqref="I687:L687">
    <cfRule type="notContainsBlanks" dxfId="221" priority="41">
      <formula>LEN(TRIM(I687))&gt;0</formula>
    </cfRule>
  </conditionalFormatting>
  <conditionalFormatting sqref="I690:L695">
    <cfRule type="notContainsBlanks" dxfId="220" priority="40">
      <formula>LEN(TRIM(I690))&gt;0</formula>
    </cfRule>
  </conditionalFormatting>
  <conditionalFormatting sqref="I699:L699">
    <cfRule type="notContainsBlanks" dxfId="219" priority="39">
      <formula>LEN(TRIM(I699))&gt;0</formula>
    </cfRule>
  </conditionalFormatting>
  <conditionalFormatting sqref="I700:L700">
    <cfRule type="notContainsBlanks" dxfId="218" priority="38">
      <formula>LEN(TRIM(I700))&gt;0</formula>
    </cfRule>
  </conditionalFormatting>
  <conditionalFormatting sqref="I702:L707">
    <cfRule type="notContainsBlanks" dxfId="217" priority="37">
      <formula>LEN(TRIM(I702))&gt;0</formula>
    </cfRule>
  </conditionalFormatting>
  <conditionalFormatting sqref="I709:L709">
    <cfRule type="notContainsBlanks" dxfId="216" priority="36">
      <formula>LEN(TRIM(I709))&gt;0</formula>
    </cfRule>
  </conditionalFormatting>
  <conditionalFormatting sqref="I711:L716">
    <cfRule type="notContainsBlanks" dxfId="215" priority="35">
      <formula>LEN(TRIM(I711))&gt;0</formula>
    </cfRule>
  </conditionalFormatting>
  <conditionalFormatting sqref="I719:L719">
    <cfRule type="notContainsBlanks" dxfId="214" priority="34">
      <formula>LEN(TRIM(I719))&gt;0</formula>
    </cfRule>
  </conditionalFormatting>
  <conditionalFormatting sqref="I722:L722">
    <cfRule type="notContainsBlanks" dxfId="213" priority="33">
      <formula>LEN(TRIM(I722))&gt;0</formula>
    </cfRule>
  </conditionalFormatting>
  <conditionalFormatting sqref="I725:L726">
    <cfRule type="notContainsBlanks" dxfId="212" priority="32">
      <formula>LEN(TRIM(I725))&gt;0</formula>
    </cfRule>
  </conditionalFormatting>
  <conditionalFormatting sqref="I729:L729">
    <cfRule type="notContainsBlanks" dxfId="211" priority="31">
      <formula>LEN(TRIM(I729))&gt;0</formula>
    </cfRule>
  </conditionalFormatting>
  <conditionalFormatting sqref="I732:L732">
    <cfRule type="notContainsBlanks" dxfId="210" priority="30">
      <formula>LEN(TRIM(I732))&gt;0</formula>
    </cfRule>
  </conditionalFormatting>
  <conditionalFormatting sqref="I735:L735">
    <cfRule type="notContainsBlanks" dxfId="209" priority="29">
      <formula>LEN(TRIM(I735))&gt;0</formula>
    </cfRule>
  </conditionalFormatting>
  <conditionalFormatting sqref="I738:L738">
    <cfRule type="notContainsBlanks" dxfId="208" priority="28">
      <formula>LEN(TRIM(I738))&gt;0</formula>
    </cfRule>
  </conditionalFormatting>
  <conditionalFormatting sqref="I743:L757">
    <cfRule type="notContainsBlanks" dxfId="207" priority="27">
      <formula>LEN(TRIM(I743))&gt;0</formula>
    </cfRule>
  </conditionalFormatting>
  <conditionalFormatting sqref="I760:L769">
    <cfRule type="notContainsBlanks" dxfId="206" priority="26">
      <formula>LEN(TRIM(I760))&gt;0</formula>
    </cfRule>
  </conditionalFormatting>
  <conditionalFormatting sqref="I773:L774">
    <cfRule type="notContainsBlanks" dxfId="205" priority="25">
      <formula>LEN(TRIM(I773))&gt;0</formula>
    </cfRule>
  </conditionalFormatting>
  <conditionalFormatting sqref="I776:L778">
    <cfRule type="notContainsBlanks" dxfId="204" priority="24">
      <formula>LEN(TRIM(I776))&gt;0</formula>
    </cfRule>
  </conditionalFormatting>
  <conditionalFormatting sqref="I780:L782">
    <cfRule type="notContainsBlanks" dxfId="203" priority="23">
      <formula>LEN(TRIM(I780))&gt;0</formula>
    </cfRule>
  </conditionalFormatting>
  <conditionalFormatting sqref="I784:L786">
    <cfRule type="notContainsBlanks" dxfId="202" priority="22">
      <formula>LEN(TRIM(I784))&gt;0</formula>
    </cfRule>
  </conditionalFormatting>
  <conditionalFormatting sqref="I788:L790">
    <cfRule type="notContainsBlanks" dxfId="201" priority="21">
      <formula>LEN(TRIM(I788))&gt;0</formula>
    </cfRule>
  </conditionalFormatting>
  <conditionalFormatting sqref="I792:L794">
    <cfRule type="notContainsBlanks" dxfId="200" priority="20">
      <formula>LEN(TRIM(I792))&gt;0</formula>
    </cfRule>
  </conditionalFormatting>
  <conditionalFormatting sqref="I797:L799">
    <cfRule type="notContainsBlanks" dxfId="199" priority="19">
      <formula>LEN(TRIM(I797))&gt;0</formula>
    </cfRule>
  </conditionalFormatting>
  <conditionalFormatting sqref="I802:L804">
    <cfRule type="notContainsBlanks" dxfId="198" priority="18">
      <formula>LEN(TRIM(I802))&gt;0</formula>
    </cfRule>
  </conditionalFormatting>
  <conditionalFormatting sqref="I807:L808">
    <cfRule type="notContainsBlanks" dxfId="197" priority="17">
      <formula>LEN(TRIM(I807))&gt;0</formula>
    </cfRule>
  </conditionalFormatting>
  <conditionalFormatting sqref="I811:L814">
    <cfRule type="notContainsBlanks" dxfId="196" priority="16">
      <formula>LEN(TRIM(I811))&gt;0</formula>
    </cfRule>
  </conditionalFormatting>
  <conditionalFormatting sqref="I818:L825">
    <cfRule type="notContainsBlanks" dxfId="195" priority="15">
      <formula>LEN(TRIM(I818))&gt;0</formula>
    </cfRule>
  </conditionalFormatting>
  <conditionalFormatting sqref="E826">
    <cfRule type="cellIs" dxfId="194" priority="12" operator="greaterThan">
      <formula>#REF!</formula>
    </cfRule>
    <cfRule type="cellIs" dxfId="193" priority="13" operator="greaterThan">
      <formula>#REF!</formula>
    </cfRule>
    <cfRule type="cellIs" priority="14" operator="equal">
      <formula>#REF!</formula>
    </cfRule>
  </conditionalFormatting>
  <conditionalFormatting sqref="I827:L829">
    <cfRule type="notContainsBlanks" dxfId="192" priority="11">
      <formula>LEN(TRIM(I827))&gt;0</formula>
    </cfRule>
  </conditionalFormatting>
  <conditionalFormatting sqref="I832:L832">
    <cfRule type="notContainsBlanks" dxfId="191" priority="10">
      <formula>LEN(TRIM(I832))&gt;0</formula>
    </cfRule>
  </conditionalFormatting>
  <conditionalFormatting sqref="I835:L837">
    <cfRule type="notContainsBlanks" dxfId="190" priority="9">
      <formula>LEN(TRIM(I835))&gt;0</formula>
    </cfRule>
  </conditionalFormatting>
  <conditionalFormatting sqref="I840:L843">
    <cfRule type="notContainsBlanks" dxfId="189" priority="8">
      <formula>LEN(TRIM(I840))&gt;0</formula>
    </cfRule>
  </conditionalFormatting>
  <conditionalFormatting sqref="I846:L846">
    <cfRule type="notContainsBlanks" dxfId="188" priority="7">
      <formula>LEN(TRIM(I846))&gt;0</formula>
    </cfRule>
  </conditionalFormatting>
  <conditionalFormatting sqref="I849:L849">
    <cfRule type="notContainsBlanks" dxfId="187" priority="6">
      <formula>LEN(TRIM(I849))&gt;0</formula>
    </cfRule>
  </conditionalFormatting>
  <conditionalFormatting sqref="I852:L852">
    <cfRule type="notContainsBlanks" dxfId="186" priority="5">
      <formula>LEN(TRIM(I852))&gt;0</formula>
    </cfRule>
  </conditionalFormatting>
  <conditionalFormatting sqref="I853:L853">
    <cfRule type="notContainsBlanks" dxfId="185" priority="4">
      <formula>LEN(TRIM(I853))&gt;0</formula>
    </cfRule>
  </conditionalFormatting>
  <conditionalFormatting sqref="I856:L856">
    <cfRule type="notContainsBlanks" dxfId="184" priority="3">
      <formula>LEN(TRIM(I856))&gt;0</formula>
    </cfRule>
  </conditionalFormatting>
  <conditionalFormatting sqref="I857:L857">
    <cfRule type="notContainsBlanks" dxfId="183" priority="2">
      <formula>LEN(TRIM(I857))&gt;0</formula>
    </cfRule>
  </conditionalFormatting>
  <conditionalFormatting sqref="I858:L858">
    <cfRule type="notContainsBlanks" dxfId="182" priority="1">
      <formula>LEN(TRIM(I858))&gt;0</formula>
    </cfRule>
  </conditionalFormatting>
  <pageMargins left="0.7" right="0.7" top="0.75" bottom="0.75" header="0.3" footer="0.3"/>
  <pageSetup paperSize="9" orientation="portrait" r:id="rId1"/>
  <headerFooter>
    <oddFooter>&amp;L&amp;1#&amp;"Calibri"&amp;7&amp;K7F7F7FInternal Use -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9"/>
  <sheetViews>
    <sheetView zoomScale="80" zoomScaleNormal="80" workbookViewId="0">
      <selection activeCell="B2" sqref="B2:D2"/>
    </sheetView>
  </sheetViews>
  <sheetFormatPr baseColWidth="10" defaultColWidth="8.7265625" defaultRowHeight="14.5" x14ac:dyDescent="0.35"/>
  <cols>
    <col min="2" max="2" width="195.453125" style="52" customWidth="1"/>
    <col min="3" max="3" width="40" style="30" customWidth="1"/>
    <col min="4" max="4" width="15" style="30" bestFit="1" customWidth="1"/>
    <col min="5" max="5" width="16.1796875" style="30" customWidth="1"/>
    <col min="6" max="6" width="17.453125" bestFit="1" customWidth="1"/>
  </cols>
  <sheetData>
    <row r="1" spans="2:6" ht="71.25" customHeight="1" x14ac:dyDescent="0.35">
      <c r="B1" s="165"/>
    </row>
    <row r="2" spans="2:6" ht="21" x14ac:dyDescent="0.35">
      <c r="B2" s="504" t="s">
        <v>22</v>
      </c>
      <c r="C2" s="504"/>
      <c r="D2" s="504"/>
      <c r="E2" s="53"/>
    </row>
    <row r="3" spans="2:6" x14ac:dyDescent="0.35">
      <c r="B3" s="54"/>
      <c r="C3" s="37"/>
      <c r="D3" s="37"/>
      <c r="E3" s="37"/>
    </row>
    <row r="4" spans="2:6" ht="21" x14ac:dyDescent="0.35">
      <c r="B4" s="509" t="s">
        <v>531</v>
      </c>
      <c r="C4" s="509"/>
      <c r="D4" s="510"/>
      <c r="E4" s="55"/>
    </row>
    <row r="5" spans="2:6" ht="25" x14ac:dyDescent="0.35">
      <c r="B5" s="56" t="s">
        <v>24</v>
      </c>
      <c r="C5" s="57" t="s">
        <v>25</v>
      </c>
      <c r="D5" s="58" t="s">
        <v>26</v>
      </c>
      <c r="E5" s="59" t="s">
        <v>532</v>
      </c>
    </row>
    <row r="6" spans="2:6" x14ac:dyDescent="0.35">
      <c r="B6" s="26" t="s">
        <v>533</v>
      </c>
    </row>
    <row r="7" spans="2:6" x14ac:dyDescent="0.35">
      <c r="B7" s="60" t="s">
        <v>1440</v>
      </c>
    </row>
    <row r="8" spans="2:6" s="30" customFormat="1" x14ac:dyDescent="0.35">
      <c r="B8" s="224" t="s">
        <v>1441</v>
      </c>
      <c r="C8" s="214" t="s">
        <v>1442</v>
      </c>
      <c r="D8" s="215" t="s">
        <v>1443</v>
      </c>
      <c r="E8" s="216">
        <v>105</v>
      </c>
    </row>
    <row r="9" spans="2:6" s="30" customFormat="1" x14ac:dyDescent="0.35">
      <c r="B9" s="224" t="s">
        <v>1768</v>
      </c>
      <c r="C9" s="214" t="s">
        <v>1444</v>
      </c>
      <c r="D9" s="215" t="s">
        <v>534</v>
      </c>
      <c r="E9" s="216">
        <v>304</v>
      </c>
    </row>
    <row r="10" spans="2:6" s="30" customFormat="1" x14ac:dyDescent="0.35">
      <c r="B10" s="60" t="s">
        <v>1439</v>
      </c>
    </row>
    <row r="11" spans="2:6" s="30" customFormat="1" x14ac:dyDescent="0.35">
      <c r="B11" s="224" t="s">
        <v>1445</v>
      </c>
      <c r="C11" s="214" t="s">
        <v>1446</v>
      </c>
      <c r="D11" s="215" t="s">
        <v>535</v>
      </c>
      <c r="E11" s="216">
        <v>105</v>
      </c>
    </row>
    <row r="12" spans="2:6" s="30" customFormat="1" x14ac:dyDescent="0.35">
      <c r="B12" s="224" t="s">
        <v>1447</v>
      </c>
      <c r="C12" s="214" t="s">
        <v>1448</v>
      </c>
      <c r="D12" s="215" t="s">
        <v>536</v>
      </c>
      <c r="E12" s="216">
        <v>304</v>
      </c>
    </row>
    <row r="13" spans="2:6" s="30" customFormat="1" x14ac:dyDescent="0.35">
      <c r="B13" s="224" t="s">
        <v>1449</v>
      </c>
      <c r="C13" s="214" t="s">
        <v>1450</v>
      </c>
      <c r="D13" s="215" t="s">
        <v>537</v>
      </c>
      <c r="E13" s="216">
        <v>487</v>
      </c>
    </row>
    <row r="14" spans="2:6" x14ac:dyDescent="0.35">
      <c r="B14" s="224" t="s">
        <v>1451</v>
      </c>
      <c r="C14" s="214" t="s">
        <v>1452</v>
      </c>
      <c r="D14" s="215" t="s">
        <v>538</v>
      </c>
      <c r="E14" s="216">
        <v>859</v>
      </c>
      <c r="F14" s="343"/>
    </row>
    <row r="15" spans="2:6" s="30" customFormat="1" x14ac:dyDescent="0.35">
      <c r="B15" s="224" t="s">
        <v>1453</v>
      </c>
      <c r="C15" s="214" t="s">
        <v>1454</v>
      </c>
      <c r="D15" s="215" t="s">
        <v>1455</v>
      </c>
      <c r="E15" s="216">
        <v>1328</v>
      </c>
    </row>
    <row r="16" spans="2:6" x14ac:dyDescent="0.35">
      <c r="B16" s="224" t="s">
        <v>1456</v>
      </c>
      <c r="C16" s="214" t="s">
        <v>1521</v>
      </c>
      <c r="D16" s="215" t="s">
        <v>539</v>
      </c>
      <c r="E16" s="216">
        <v>1952</v>
      </c>
    </row>
    <row r="17" spans="1:6" s="30" customFormat="1" x14ac:dyDescent="0.35">
      <c r="B17" s="224" t="s">
        <v>1457</v>
      </c>
      <c r="C17" s="214" t="s">
        <v>1458</v>
      </c>
      <c r="D17" s="215" t="s">
        <v>1459</v>
      </c>
      <c r="E17" s="216">
        <v>2767</v>
      </c>
    </row>
    <row r="18" spans="1:6" x14ac:dyDescent="0.35">
      <c r="B18" s="224" t="s">
        <v>1460</v>
      </c>
      <c r="C18" s="214" t="s">
        <v>540</v>
      </c>
      <c r="D18" s="215" t="s">
        <v>541</v>
      </c>
      <c r="E18" s="216">
        <v>3916</v>
      </c>
    </row>
    <row r="19" spans="1:6" s="30" customFormat="1" x14ac:dyDescent="0.35">
      <c r="B19" s="415" t="s">
        <v>1597</v>
      </c>
      <c r="C19" s="416" t="s">
        <v>1598</v>
      </c>
      <c r="D19" s="417" t="s">
        <v>1748</v>
      </c>
      <c r="E19" s="330">
        <v>6900</v>
      </c>
      <c r="F19" s="329"/>
    </row>
    <row r="20" spans="1:6" x14ac:dyDescent="0.35">
      <c r="B20" s="60"/>
    </row>
    <row r="21" spans="1:6" x14ac:dyDescent="0.35">
      <c r="B21" s="26" t="s">
        <v>542</v>
      </c>
      <c r="C21" s="39"/>
    </row>
    <row r="22" spans="1:6" x14ac:dyDescent="0.35">
      <c r="B22" s="38" t="s">
        <v>543</v>
      </c>
      <c r="C22" s="62" t="s">
        <v>544</v>
      </c>
      <c r="D22" s="61" t="s">
        <v>545</v>
      </c>
      <c r="E22" s="216">
        <v>136</v>
      </c>
    </row>
    <row r="23" spans="1:6" x14ac:dyDescent="0.35">
      <c r="B23" s="38" t="s">
        <v>45</v>
      </c>
      <c r="C23" s="62" t="s">
        <v>546</v>
      </c>
      <c r="D23" s="61" t="s">
        <v>547</v>
      </c>
      <c r="E23" s="216">
        <v>241</v>
      </c>
    </row>
    <row r="24" spans="1:6" x14ac:dyDescent="0.35">
      <c r="B24" s="38" t="s">
        <v>47</v>
      </c>
      <c r="C24" s="62" t="s">
        <v>548</v>
      </c>
      <c r="D24" s="61" t="s">
        <v>549</v>
      </c>
      <c r="E24" s="216">
        <v>463</v>
      </c>
    </row>
    <row r="25" spans="1:6" s="140" customFormat="1" x14ac:dyDescent="0.35">
      <c r="B25" s="109"/>
      <c r="C25" s="119"/>
      <c r="D25" s="135"/>
      <c r="E25" s="135"/>
    </row>
    <row r="26" spans="1:6" x14ac:dyDescent="0.35">
      <c r="B26" s="26" t="s">
        <v>550</v>
      </c>
      <c r="C26" s="39"/>
      <c r="D26" s="40"/>
      <c r="E26" s="135"/>
    </row>
    <row r="27" spans="1:6" x14ac:dyDescent="0.35">
      <c r="B27" s="60" t="s">
        <v>551</v>
      </c>
      <c r="C27" s="39"/>
      <c r="D27" s="40"/>
      <c r="E27" s="135"/>
    </row>
    <row r="28" spans="1:6" x14ac:dyDescent="0.35">
      <c r="B28" s="38" t="s">
        <v>552</v>
      </c>
      <c r="C28" s="62" t="s">
        <v>553</v>
      </c>
      <c r="D28" s="61" t="s">
        <v>554</v>
      </c>
      <c r="E28" s="216">
        <v>15</v>
      </c>
    </row>
    <row r="29" spans="1:6" x14ac:dyDescent="0.35">
      <c r="B29" s="38" t="s">
        <v>555</v>
      </c>
      <c r="C29" s="62" t="s">
        <v>556</v>
      </c>
      <c r="D29" s="61" t="s">
        <v>557</v>
      </c>
      <c r="E29" s="216">
        <v>29</v>
      </c>
    </row>
    <row r="30" spans="1:6" x14ac:dyDescent="0.35">
      <c r="B30" s="60" t="s">
        <v>558</v>
      </c>
      <c r="C30" s="39"/>
      <c r="D30" s="40"/>
      <c r="E30" s="135"/>
    </row>
    <row r="31" spans="1:6" x14ac:dyDescent="0.35">
      <c r="A31" s="30"/>
      <c r="B31" s="386" t="s">
        <v>1898</v>
      </c>
      <c r="C31" s="418" t="s">
        <v>1899</v>
      </c>
      <c r="D31" s="419" t="s">
        <v>559</v>
      </c>
      <c r="E31" s="420">
        <v>64</v>
      </c>
      <c r="F31" s="30"/>
    </row>
    <row r="32" spans="1:6" x14ac:dyDescent="0.35">
      <c r="A32" s="30"/>
      <c r="B32" s="386" t="s">
        <v>1900</v>
      </c>
      <c r="C32" s="418" t="s">
        <v>1901</v>
      </c>
      <c r="D32" s="419" t="s">
        <v>560</v>
      </c>
      <c r="E32" s="420">
        <v>79</v>
      </c>
      <c r="F32" s="30"/>
    </row>
    <row r="33" spans="1:6" x14ac:dyDescent="0.35">
      <c r="A33" s="30"/>
      <c r="B33" s="386" t="s">
        <v>1902</v>
      </c>
      <c r="C33" s="418" t="s">
        <v>1903</v>
      </c>
      <c r="D33" s="419" t="s">
        <v>561</v>
      </c>
      <c r="E33" s="420">
        <v>89</v>
      </c>
      <c r="F33" s="30"/>
    </row>
    <row r="34" spans="1:6" x14ac:dyDescent="0.35">
      <c r="B34" s="101" t="s">
        <v>562</v>
      </c>
      <c r="C34" s="102" t="s">
        <v>563</v>
      </c>
      <c r="D34" s="100" t="s">
        <v>564</v>
      </c>
      <c r="E34" s="216">
        <v>135</v>
      </c>
    </row>
    <row r="35" spans="1:6" x14ac:dyDescent="0.35">
      <c r="B35" s="101" t="s">
        <v>565</v>
      </c>
      <c r="C35" s="102" t="s">
        <v>566</v>
      </c>
      <c r="D35" s="100" t="s">
        <v>567</v>
      </c>
      <c r="E35" s="216">
        <v>178</v>
      </c>
    </row>
    <row r="36" spans="1:6" x14ac:dyDescent="0.35">
      <c r="B36" s="133" t="s">
        <v>568</v>
      </c>
      <c r="C36" s="225"/>
      <c r="D36" s="225"/>
      <c r="E36" s="225"/>
    </row>
    <row r="37" spans="1:6" x14ac:dyDescent="0.35">
      <c r="B37" s="101" t="s">
        <v>569</v>
      </c>
      <c r="C37" s="99" t="s">
        <v>570</v>
      </c>
      <c r="D37" s="100" t="s">
        <v>571</v>
      </c>
      <c r="E37" s="216">
        <v>29</v>
      </c>
    </row>
    <row r="38" spans="1:6" x14ac:dyDescent="0.35">
      <c r="B38" s="421"/>
      <c r="C38" s="225"/>
      <c r="D38" s="225"/>
      <c r="E38" s="225"/>
    </row>
    <row r="39" spans="1:6" x14ac:dyDescent="0.35">
      <c r="B39" s="109" t="s">
        <v>572</v>
      </c>
      <c r="C39" s="134"/>
      <c r="D39" s="135"/>
      <c r="E39" s="135"/>
    </row>
    <row r="40" spans="1:6" x14ac:dyDescent="0.35">
      <c r="B40" s="133" t="s">
        <v>573</v>
      </c>
      <c r="C40" s="134"/>
      <c r="D40" s="135"/>
      <c r="E40" s="135"/>
    </row>
    <row r="41" spans="1:6" x14ac:dyDescent="0.35">
      <c r="B41" s="101" t="s">
        <v>574</v>
      </c>
      <c r="C41" s="99" t="s">
        <v>575</v>
      </c>
      <c r="D41" s="100" t="s">
        <v>576</v>
      </c>
      <c r="E41" s="216">
        <v>6</v>
      </c>
    </row>
    <row r="42" spans="1:6" x14ac:dyDescent="0.35">
      <c r="B42" s="101" t="s">
        <v>577</v>
      </c>
      <c r="C42" s="99" t="s">
        <v>578</v>
      </c>
      <c r="D42" s="100" t="s">
        <v>579</v>
      </c>
      <c r="E42" s="216">
        <v>13</v>
      </c>
    </row>
    <row r="43" spans="1:6" x14ac:dyDescent="0.35">
      <c r="B43" s="101" t="s">
        <v>580</v>
      </c>
      <c r="C43" s="99" t="s">
        <v>581</v>
      </c>
      <c r="D43" s="100" t="s">
        <v>582</v>
      </c>
      <c r="E43" s="216">
        <v>18</v>
      </c>
    </row>
    <row r="44" spans="1:6" x14ac:dyDescent="0.35">
      <c r="B44" s="101" t="s">
        <v>583</v>
      </c>
      <c r="C44" s="99" t="s">
        <v>584</v>
      </c>
      <c r="D44" s="100" t="s">
        <v>585</v>
      </c>
      <c r="E44" s="216">
        <v>10</v>
      </c>
      <c r="F44" s="30"/>
    </row>
    <row r="45" spans="1:6" x14ac:dyDescent="0.35">
      <c r="B45" s="101" t="s">
        <v>586</v>
      </c>
      <c r="C45" s="99" t="s">
        <v>587</v>
      </c>
      <c r="D45" s="100" t="s">
        <v>588</v>
      </c>
      <c r="E45" s="216">
        <v>21</v>
      </c>
    </row>
    <row r="46" spans="1:6" x14ac:dyDescent="0.35">
      <c r="B46" s="101" t="s">
        <v>589</v>
      </c>
      <c r="C46" s="99" t="s">
        <v>590</v>
      </c>
      <c r="D46" s="100" t="s">
        <v>591</v>
      </c>
      <c r="E46" s="216">
        <v>53</v>
      </c>
    </row>
    <row r="47" spans="1:6" x14ac:dyDescent="0.35">
      <c r="B47" s="133" t="s">
        <v>592</v>
      </c>
      <c r="C47" s="225"/>
      <c r="D47" s="225"/>
      <c r="E47" s="225"/>
    </row>
    <row r="48" spans="1:6" x14ac:dyDescent="0.35">
      <c r="B48" s="101" t="s">
        <v>593</v>
      </c>
      <c r="C48" s="102" t="s">
        <v>594</v>
      </c>
      <c r="D48" s="100" t="s">
        <v>595</v>
      </c>
      <c r="E48" s="216">
        <v>62</v>
      </c>
    </row>
    <row r="49" spans="2:5" x14ac:dyDescent="0.35">
      <c r="B49" s="101" t="s">
        <v>596</v>
      </c>
      <c r="C49" s="102" t="s">
        <v>597</v>
      </c>
      <c r="D49" s="100" t="s">
        <v>598</v>
      </c>
      <c r="E49" s="216">
        <v>62</v>
      </c>
    </row>
    <row r="50" spans="2:5" x14ac:dyDescent="0.35">
      <c r="B50" s="133" t="s">
        <v>599</v>
      </c>
      <c r="C50" s="134"/>
      <c r="D50" s="134"/>
      <c r="E50" s="134"/>
    </row>
    <row r="51" spans="2:5" x14ac:dyDescent="0.35">
      <c r="B51" s="101" t="s">
        <v>600</v>
      </c>
      <c r="C51" s="422" t="s">
        <v>601</v>
      </c>
      <c r="D51" s="100" t="s">
        <v>602</v>
      </c>
      <c r="E51" s="216">
        <v>6</v>
      </c>
    </row>
    <row r="52" spans="2:5" x14ac:dyDescent="0.35">
      <c r="B52" s="101" t="s">
        <v>603</v>
      </c>
      <c r="C52" s="99" t="s">
        <v>604</v>
      </c>
      <c r="D52" s="100" t="s">
        <v>605</v>
      </c>
      <c r="E52" s="216">
        <v>13</v>
      </c>
    </row>
    <row r="53" spans="2:5" x14ac:dyDescent="0.35">
      <c r="B53" s="101" t="s">
        <v>606</v>
      </c>
      <c r="C53" s="301" t="s">
        <v>607</v>
      </c>
      <c r="D53" s="100" t="s">
        <v>608</v>
      </c>
      <c r="E53" s="216">
        <v>18</v>
      </c>
    </row>
    <row r="54" spans="2:5" x14ac:dyDescent="0.35">
      <c r="B54" s="101" t="s">
        <v>609</v>
      </c>
      <c r="C54" s="99" t="s">
        <v>610</v>
      </c>
      <c r="D54" s="100" t="s">
        <v>611</v>
      </c>
      <c r="E54" s="216">
        <v>10</v>
      </c>
    </row>
    <row r="55" spans="2:5" x14ac:dyDescent="0.35">
      <c r="B55" s="101" t="s">
        <v>612</v>
      </c>
      <c r="C55" s="99" t="s">
        <v>613</v>
      </c>
      <c r="D55" s="100" t="s">
        <v>614</v>
      </c>
      <c r="E55" s="216">
        <v>21</v>
      </c>
    </row>
    <row r="56" spans="2:5" x14ac:dyDescent="0.35">
      <c r="B56" s="101" t="s">
        <v>615</v>
      </c>
      <c r="C56" s="99" t="s">
        <v>616</v>
      </c>
      <c r="D56" s="100" t="s">
        <v>617</v>
      </c>
      <c r="E56" s="216">
        <v>53</v>
      </c>
    </row>
    <row r="57" spans="2:5" x14ac:dyDescent="0.35">
      <c r="B57" s="133" t="s">
        <v>618</v>
      </c>
      <c r="C57" s="134"/>
      <c r="D57" s="134"/>
      <c r="E57" s="134"/>
    </row>
    <row r="58" spans="2:5" x14ac:dyDescent="0.35">
      <c r="B58" s="101" t="s">
        <v>619</v>
      </c>
      <c r="C58" s="102" t="s">
        <v>620</v>
      </c>
      <c r="D58" s="100" t="s">
        <v>621</v>
      </c>
      <c r="E58" s="216">
        <v>62</v>
      </c>
    </row>
    <row r="59" spans="2:5" x14ac:dyDescent="0.35">
      <c r="B59" s="101" t="s">
        <v>622</v>
      </c>
      <c r="C59" s="102" t="s">
        <v>623</v>
      </c>
      <c r="D59" s="100" t="s">
        <v>624</v>
      </c>
      <c r="E59" s="216">
        <v>62</v>
      </c>
    </row>
    <row r="60" spans="2:5" x14ac:dyDescent="0.35">
      <c r="B60" s="133" t="s">
        <v>625</v>
      </c>
      <c r="C60" s="134"/>
      <c r="D60" s="134"/>
      <c r="E60" s="134"/>
    </row>
    <row r="61" spans="2:5" x14ac:dyDescent="0.35">
      <c r="B61" s="101" t="s">
        <v>626</v>
      </c>
      <c r="C61" s="102" t="s">
        <v>627</v>
      </c>
      <c r="D61" s="100" t="s">
        <v>628</v>
      </c>
      <c r="E61" s="216">
        <v>19</v>
      </c>
    </row>
    <row r="62" spans="2:5" x14ac:dyDescent="0.35">
      <c r="B62" s="421"/>
      <c r="C62" s="225"/>
      <c r="D62" s="225"/>
      <c r="E62" s="225"/>
    </row>
    <row r="63" spans="2:5" x14ac:dyDescent="0.35">
      <c r="B63" s="109" t="s">
        <v>629</v>
      </c>
      <c r="C63" s="134"/>
      <c r="D63" s="135"/>
      <c r="E63" s="136"/>
    </row>
    <row r="64" spans="2:5" x14ac:dyDescent="0.35">
      <c r="B64" s="133" t="s">
        <v>630</v>
      </c>
      <c r="C64" s="134"/>
      <c r="D64" s="135"/>
      <c r="E64" s="136"/>
    </row>
    <row r="65" spans="2:5" x14ac:dyDescent="0.35">
      <c r="B65" s="101" t="s">
        <v>631</v>
      </c>
      <c r="C65" s="99" t="s">
        <v>632</v>
      </c>
      <c r="D65" s="100" t="s">
        <v>633</v>
      </c>
      <c r="E65" s="216">
        <v>4</v>
      </c>
    </row>
    <row r="66" spans="2:5" x14ac:dyDescent="0.35">
      <c r="B66" s="101" t="s">
        <v>634</v>
      </c>
      <c r="C66" s="99" t="s">
        <v>635</v>
      </c>
      <c r="D66" s="100" t="s">
        <v>636</v>
      </c>
      <c r="E66" s="216">
        <v>8</v>
      </c>
    </row>
    <row r="67" spans="2:5" x14ac:dyDescent="0.35">
      <c r="B67" s="101" t="s">
        <v>637</v>
      </c>
      <c r="C67" s="99" t="s">
        <v>638</v>
      </c>
      <c r="D67" s="100" t="s">
        <v>639</v>
      </c>
      <c r="E67" s="216">
        <v>11</v>
      </c>
    </row>
    <row r="68" spans="2:5" x14ac:dyDescent="0.35">
      <c r="B68" s="101" t="s">
        <v>640</v>
      </c>
      <c r="C68" s="99" t="s">
        <v>641</v>
      </c>
      <c r="D68" s="100" t="s">
        <v>642</v>
      </c>
      <c r="E68" s="216">
        <v>37</v>
      </c>
    </row>
    <row r="69" spans="2:5" x14ac:dyDescent="0.35">
      <c r="B69" s="101" t="s">
        <v>643</v>
      </c>
      <c r="C69" s="102" t="s">
        <v>644</v>
      </c>
      <c r="D69" s="100" t="s">
        <v>645</v>
      </c>
      <c r="E69" s="216">
        <v>12</v>
      </c>
    </row>
    <row r="70" spans="2:5" x14ac:dyDescent="0.35">
      <c r="B70" s="101" t="s">
        <v>646</v>
      </c>
      <c r="C70" s="102" t="s">
        <v>647</v>
      </c>
      <c r="D70" s="100" t="s">
        <v>648</v>
      </c>
      <c r="E70" s="216">
        <v>12</v>
      </c>
    </row>
    <row r="71" spans="2:5" x14ac:dyDescent="0.35">
      <c r="B71" s="133" t="s">
        <v>649</v>
      </c>
      <c r="C71" s="134"/>
      <c r="D71" s="134"/>
      <c r="E71" s="134"/>
    </row>
    <row r="72" spans="2:5" x14ac:dyDescent="0.35">
      <c r="B72" s="101" t="s">
        <v>650</v>
      </c>
      <c r="C72" s="102" t="s">
        <v>651</v>
      </c>
      <c r="D72" s="100" t="s">
        <v>652</v>
      </c>
      <c r="E72" s="216">
        <v>29</v>
      </c>
    </row>
    <row r="73" spans="2:5" x14ac:dyDescent="0.35">
      <c r="B73" s="101" t="s">
        <v>653</v>
      </c>
      <c r="C73" s="102" t="s">
        <v>654</v>
      </c>
      <c r="D73" s="100" t="s">
        <v>655</v>
      </c>
      <c r="E73" s="216">
        <v>29</v>
      </c>
    </row>
    <row r="74" spans="2:5" x14ac:dyDescent="0.35">
      <c r="B74" s="101" t="s">
        <v>656</v>
      </c>
      <c r="C74" s="102" t="s">
        <v>657</v>
      </c>
      <c r="D74" s="100" t="s">
        <v>658</v>
      </c>
      <c r="E74" s="216">
        <v>29</v>
      </c>
    </row>
    <row r="75" spans="2:5" x14ac:dyDescent="0.35">
      <c r="B75" s="101" t="s">
        <v>1316</v>
      </c>
      <c r="C75" s="102" t="s">
        <v>1315</v>
      </c>
      <c r="D75" s="100" t="s">
        <v>659</v>
      </c>
      <c r="E75" s="216">
        <v>51</v>
      </c>
    </row>
    <row r="76" spans="2:5" x14ac:dyDescent="0.35">
      <c r="B76" s="133" t="s">
        <v>660</v>
      </c>
      <c r="C76" s="134"/>
      <c r="D76" s="134"/>
      <c r="E76" s="134"/>
    </row>
    <row r="77" spans="2:5" x14ac:dyDescent="0.35">
      <c r="B77" s="101" t="s">
        <v>661</v>
      </c>
      <c r="C77" s="102" t="s">
        <v>662</v>
      </c>
      <c r="D77" s="100" t="s">
        <v>663</v>
      </c>
      <c r="E77" s="216">
        <v>89</v>
      </c>
    </row>
    <row r="78" spans="2:5" x14ac:dyDescent="0.35">
      <c r="B78" s="101" t="s">
        <v>1888</v>
      </c>
      <c r="C78" s="102" t="s">
        <v>1887</v>
      </c>
      <c r="D78" s="100" t="s">
        <v>664</v>
      </c>
      <c r="E78" s="216">
        <v>99</v>
      </c>
    </row>
    <row r="79" spans="2:5" x14ac:dyDescent="0.35">
      <c r="B79" s="101" t="s">
        <v>665</v>
      </c>
      <c r="C79" s="102" t="s">
        <v>666</v>
      </c>
      <c r="D79" s="100" t="s">
        <v>667</v>
      </c>
      <c r="E79" s="216">
        <v>131</v>
      </c>
    </row>
    <row r="80" spans="2:5" x14ac:dyDescent="0.35">
      <c r="B80" s="101" t="s">
        <v>668</v>
      </c>
      <c r="C80" s="102" t="s">
        <v>669</v>
      </c>
      <c r="D80" s="100" t="s">
        <v>670</v>
      </c>
      <c r="E80" s="216">
        <v>152</v>
      </c>
    </row>
    <row r="81" spans="2:6" x14ac:dyDescent="0.35">
      <c r="B81" s="386" t="s">
        <v>1885</v>
      </c>
      <c r="C81" s="418" t="s">
        <v>1886</v>
      </c>
      <c r="D81" s="419" t="s">
        <v>671</v>
      </c>
      <c r="E81" s="420">
        <v>205</v>
      </c>
      <c r="F81" s="30"/>
    </row>
    <row r="82" spans="2:6" x14ac:dyDescent="0.35">
      <c r="B82" s="101" t="s">
        <v>672</v>
      </c>
      <c r="C82" s="102" t="s">
        <v>673</v>
      </c>
      <c r="D82" s="100" t="s">
        <v>674</v>
      </c>
      <c r="E82" s="216">
        <v>342</v>
      </c>
    </row>
    <row r="83" spans="2:6" x14ac:dyDescent="0.35">
      <c r="B83" s="133" t="s">
        <v>675</v>
      </c>
      <c r="C83" s="134"/>
      <c r="D83" s="134"/>
      <c r="E83" s="134"/>
    </row>
    <row r="84" spans="2:6" x14ac:dyDescent="0.35">
      <c r="B84" s="101" t="s">
        <v>676</v>
      </c>
      <c r="C84" s="102" t="s">
        <v>677</v>
      </c>
      <c r="D84" s="100" t="s">
        <v>678</v>
      </c>
      <c r="E84" s="216">
        <v>9</v>
      </c>
    </row>
    <row r="85" spans="2:6" x14ac:dyDescent="0.35">
      <c r="B85" s="133" t="s">
        <v>679</v>
      </c>
      <c r="C85" s="134"/>
      <c r="D85" s="134"/>
      <c r="E85" s="134"/>
    </row>
    <row r="86" spans="2:6" x14ac:dyDescent="0.35">
      <c r="B86" s="101" t="s">
        <v>680</v>
      </c>
      <c r="C86" s="102" t="s">
        <v>681</v>
      </c>
      <c r="D86" s="100" t="s">
        <v>682</v>
      </c>
      <c r="E86" s="216">
        <v>9</v>
      </c>
    </row>
    <row r="87" spans="2:6" x14ac:dyDescent="0.35">
      <c r="B87" s="101" t="s">
        <v>683</v>
      </c>
      <c r="C87" s="102" t="s">
        <v>1312</v>
      </c>
      <c r="D87" s="100" t="s">
        <v>684</v>
      </c>
      <c r="E87" s="216">
        <v>27</v>
      </c>
    </row>
    <row r="88" spans="2:6" x14ac:dyDescent="0.35">
      <c r="B88" s="133" t="s">
        <v>685</v>
      </c>
      <c r="C88" s="134"/>
      <c r="D88" s="134"/>
      <c r="E88" s="134"/>
    </row>
    <row r="89" spans="2:6" x14ac:dyDescent="0.35">
      <c r="B89" s="101" t="s">
        <v>686</v>
      </c>
      <c r="C89" s="102" t="s">
        <v>687</v>
      </c>
      <c r="D89" s="100" t="s">
        <v>688</v>
      </c>
      <c r="E89" s="216">
        <v>37</v>
      </c>
    </row>
    <row r="90" spans="2:6" s="30" customFormat="1" x14ac:dyDescent="0.35">
      <c r="B90" s="133" t="s">
        <v>1653</v>
      </c>
      <c r="C90" s="423"/>
      <c r="D90" s="327"/>
      <c r="E90" s="328"/>
    </row>
    <row r="91" spans="2:6" s="30" customFormat="1" x14ac:dyDescent="0.35">
      <c r="B91" s="101" t="s">
        <v>1868</v>
      </c>
      <c r="C91" s="335" t="s">
        <v>1654</v>
      </c>
      <c r="D91" s="100" t="s">
        <v>1749</v>
      </c>
      <c r="E91" s="103">
        <v>70</v>
      </c>
    </row>
    <row r="92" spans="2:6" x14ac:dyDescent="0.35">
      <c r="B92" s="64"/>
      <c r="C92" s="27"/>
      <c r="D92" s="27"/>
      <c r="E92" s="225"/>
    </row>
    <row r="93" spans="2:6" x14ac:dyDescent="0.35">
      <c r="B93" s="26" t="s">
        <v>689</v>
      </c>
      <c r="C93" s="36"/>
      <c r="D93" s="40"/>
      <c r="E93" s="136"/>
    </row>
    <row r="94" spans="2:6" x14ac:dyDescent="0.35">
      <c r="B94" s="60" t="s">
        <v>690</v>
      </c>
      <c r="C94" s="36"/>
      <c r="D94" s="40"/>
      <c r="E94" s="136"/>
    </row>
    <row r="95" spans="2:6" x14ac:dyDescent="0.35">
      <c r="B95" s="38" t="s">
        <v>691</v>
      </c>
      <c r="C95" s="62" t="s">
        <v>692</v>
      </c>
      <c r="D95" s="61" t="s">
        <v>693</v>
      </c>
      <c r="E95" s="216">
        <v>28</v>
      </c>
    </row>
    <row r="96" spans="2:6" x14ac:dyDescent="0.35">
      <c r="B96" s="38" t="s">
        <v>694</v>
      </c>
      <c r="C96" s="62" t="s">
        <v>695</v>
      </c>
      <c r="D96" s="61" t="s">
        <v>696</v>
      </c>
      <c r="E96" s="216">
        <v>47</v>
      </c>
    </row>
    <row r="97" spans="2:5" x14ac:dyDescent="0.35">
      <c r="B97" s="38" t="s">
        <v>697</v>
      </c>
      <c r="C97" s="62" t="s">
        <v>698</v>
      </c>
      <c r="D97" s="61" t="s">
        <v>699</v>
      </c>
      <c r="E97" s="216">
        <v>121</v>
      </c>
    </row>
    <row r="98" spans="2:5" x14ac:dyDescent="0.35">
      <c r="B98" s="38" t="s">
        <v>700</v>
      </c>
      <c r="C98" s="62" t="s">
        <v>701</v>
      </c>
      <c r="D98" s="61" t="s">
        <v>702</v>
      </c>
      <c r="E98" s="216">
        <v>178</v>
      </c>
    </row>
    <row r="99" spans="2:5" s="30" customFormat="1" x14ac:dyDescent="0.35">
      <c r="B99" s="424" t="s">
        <v>1890</v>
      </c>
      <c r="C99" s="335" t="s">
        <v>1599</v>
      </c>
      <c r="D99" s="336" t="s">
        <v>1600</v>
      </c>
      <c r="E99" s="337">
        <v>65</v>
      </c>
    </row>
    <row r="100" spans="2:5" s="30" customFormat="1" x14ac:dyDescent="0.35">
      <c r="B100" s="101" t="s">
        <v>1519</v>
      </c>
      <c r="C100" s="99" t="s">
        <v>1601</v>
      </c>
      <c r="D100" s="100" t="s">
        <v>1518</v>
      </c>
      <c r="E100" s="216">
        <v>88</v>
      </c>
    </row>
    <row r="101" spans="2:5" x14ac:dyDescent="0.35">
      <c r="B101" s="101" t="s">
        <v>1520</v>
      </c>
      <c r="C101" s="99" t="s">
        <v>703</v>
      </c>
      <c r="D101" s="100" t="s">
        <v>704</v>
      </c>
      <c r="E101" s="103">
        <v>150</v>
      </c>
    </row>
    <row r="102" spans="2:5" x14ac:dyDescent="0.35">
      <c r="B102" s="133" t="s">
        <v>705</v>
      </c>
      <c r="C102" s="134"/>
      <c r="D102" s="134"/>
      <c r="E102" s="134"/>
    </row>
    <row r="103" spans="2:5" s="30" customFormat="1" x14ac:dyDescent="0.35">
      <c r="B103" s="101" t="s">
        <v>1515</v>
      </c>
      <c r="C103" s="102" t="s">
        <v>1550</v>
      </c>
      <c r="D103" s="100" t="s">
        <v>1514</v>
      </c>
      <c r="E103" s="216">
        <v>420</v>
      </c>
    </row>
    <row r="104" spans="2:5" s="30" customFormat="1" x14ac:dyDescent="0.35">
      <c r="B104" s="101" t="s">
        <v>1513</v>
      </c>
      <c r="C104" s="102" t="s">
        <v>1551</v>
      </c>
      <c r="D104" s="100" t="s">
        <v>1516</v>
      </c>
      <c r="E104" s="216">
        <v>420</v>
      </c>
    </row>
    <row r="105" spans="2:5" x14ac:dyDescent="0.35">
      <c r="B105" s="101" t="s">
        <v>706</v>
      </c>
      <c r="C105" s="102" t="s">
        <v>707</v>
      </c>
      <c r="D105" s="100" t="s">
        <v>708</v>
      </c>
      <c r="E105" s="216">
        <v>442</v>
      </c>
    </row>
    <row r="106" spans="2:5" x14ac:dyDescent="0.35">
      <c r="B106" s="101" t="s">
        <v>709</v>
      </c>
      <c r="C106" s="102" t="s">
        <v>710</v>
      </c>
      <c r="D106" s="100" t="s">
        <v>711</v>
      </c>
      <c r="E106" s="216">
        <v>83</v>
      </c>
    </row>
    <row r="107" spans="2:5" x14ac:dyDescent="0.35">
      <c r="B107" s="101" t="s">
        <v>712</v>
      </c>
      <c r="C107" s="102" t="s">
        <v>713</v>
      </c>
      <c r="D107" s="100" t="s">
        <v>714</v>
      </c>
      <c r="E107" s="216">
        <v>31</v>
      </c>
    </row>
    <row r="108" spans="2:5" x14ac:dyDescent="0.35">
      <c r="B108" s="101" t="s">
        <v>715</v>
      </c>
      <c r="C108" s="102" t="s">
        <v>716</v>
      </c>
      <c r="D108" s="100" t="s">
        <v>717</v>
      </c>
      <c r="E108" s="216">
        <v>37</v>
      </c>
    </row>
    <row r="109" spans="2:5" x14ac:dyDescent="0.35">
      <c r="B109" s="101" t="s">
        <v>718</v>
      </c>
      <c r="C109" s="102" t="s">
        <v>719</v>
      </c>
      <c r="D109" s="100" t="s">
        <v>720</v>
      </c>
      <c r="E109" s="216">
        <v>10</v>
      </c>
    </row>
    <row r="110" spans="2:5" x14ac:dyDescent="0.35">
      <c r="B110" s="421"/>
      <c r="C110" s="225"/>
      <c r="D110" s="225"/>
      <c r="E110" s="225"/>
    </row>
    <row r="111" spans="2:5" x14ac:dyDescent="0.35">
      <c r="B111" s="109" t="s">
        <v>721</v>
      </c>
      <c r="C111" s="134"/>
      <c r="D111" s="135"/>
      <c r="E111" s="135"/>
    </row>
    <row r="112" spans="2:5" x14ac:dyDescent="0.35">
      <c r="B112" s="133" t="s">
        <v>722</v>
      </c>
      <c r="C112" s="134"/>
      <c r="D112" s="135"/>
      <c r="E112" s="135"/>
    </row>
    <row r="113" spans="2:5" x14ac:dyDescent="0.35">
      <c r="B113" s="101" t="s">
        <v>725</v>
      </c>
      <c r="C113" s="99" t="s">
        <v>723</v>
      </c>
      <c r="D113" s="100" t="s">
        <v>724</v>
      </c>
      <c r="E113" s="216">
        <v>37</v>
      </c>
    </row>
    <row r="114" spans="2:5" x14ac:dyDescent="0.35">
      <c r="B114" s="101" t="s">
        <v>726</v>
      </c>
      <c r="C114" s="99" t="s">
        <v>727</v>
      </c>
      <c r="D114" s="100" t="s">
        <v>728</v>
      </c>
      <c r="E114" s="216">
        <v>51</v>
      </c>
    </row>
    <row r="115" spans="2:5" s="30" customFormat="1" x14ac:dyDescent="0.35">
      <c r="B115" s="384" t="s">
        <v>1602</v>
      </c>
      <c r="C115" s="335" t="s">
        <v>1603</v>
      </c>
      <c r="D115" s="336" t="s">
        <v>1604</v>
      </c>
      <c r="E115" s="337">
        <v>70</v>
      </c>
    </row>
    <row r="116" spans="2:5" x14ac:dyDescent="0.35">
      <c r="B116" s="133" t="s">
        <v>729</v>
      </c>
      <c r="C116" s="134"/>
      <c r="D116" s="134"/>
      <c r="E116" s="134"/>
    </row>
    <row r="117" spans="2:5" x14ac:dyDescent="0.35">
      <c r="B117" s="101" t="s">
        <v>730</v>
      </c>
      <c r="C117" s="99" t="s">
        <v>731</v>
      </c>
      <c r="D117" s="100" t="s">
        <v>732</v>
      </c>
      <c r="E117" s="216">
        <v>98</v>
      </c>
    </row>
    <row r="118" spans="2:5" x14ac:dyDescent="0.35">
      <c r="B118" s="101" t="s">
        <v>733</v>
      </c>
      <c r="C118" s="102" t="s">
        <v>734</v>
      </c>
      <c r="D118" s="100" t="s">
        <v>735</v>
      </c>
      <c r="E118" s="216">
        <v>101</v>
      </c>
    </row>
    <row r="119" spans="2:5" x14ac:dyDescent="0.35">
      <c r="B119" s="101" t="s">
        <v>736</v>
      </c>
      <c r="C119" s="102" t="s">
        <v>737</v>
      </c>
      <c r="D119" s="100" t="s">
        <v>738</v>
      </c>
      <c r="E119" s="216">
        <v>121</v>
      </c>
    </row>
    <row r="120" spans="2:5" x14ac:dyDescent="0.35">
      <c r="B120" s="101" t="s">
        <v>739</v>
      </c>
      <c r="C120" s="102" t="s">
        <v>740</v>
      </c>
      <c r="D120" s="100" t="s">
        <v>741</v>
      </c>
      <c r="E120" s="216">
        <v>367</v>
      </c>
    </row>
    <row r="121" spans="2:5" x14ac:dyDescent="0.35">
      <c r="B121" s="101" t="s">
        <v>742</v>
      </c>
      <c r="C121" s="102" t="s">
        <v>743</v>
      </c>
      <c r="D121" s="100" t="s">
        <v>744</v>
      </c>
      <c r="E121" s="216">
        <v>103</v>
      </c>
    </row>
    <row r="122" spans="2:5" x14ac:dyDescent="0.35">
      <c r="B122" s="133" t="s">
        <v>745</v>
      </c>
      <c r="C122" s="134"/>
      <c r="D122" s="134"/>
      <c r="E122" s="134"/>
    </row>
    <row r="123" spans="2:5" s="30" customFormat="1" x14ac:dyDescent="0.35">
      <c r="B123" s="101" t="s">
        <v>1650</v>
      </c>
      <c r="C123" s="99" t="s">
        <v>1649</v>
      </c>
      <c r="D123" s="100" t="s">
        <v>1750</v>
      </c>
      <c r="E123" s="103">
        <v>21</v>
      </c>
    </row>
    <row r="124" spans="2:5" s="30" customFormat="1" x14ac:dyDescent="0.35">
      <c r="B124" s="101" t="s">
        <v>1651</v>
      </c>
      <c r="C124" s="335" t="s">
        <v>1652</v>
      </c>
      <c r="D124" s="336" t="s">
        <v>1751</v>
      </c>
      <c r="E124" s="337">
        <v>49</v>
      </c>
    </row>
    <row r="125" spans="2:5" x14ac:dyDescent="0.35">
      <c r="B125" s="38" t="s">
        <v>746</v>
      </c>
      <c r="C125" s="102" t="s">
        <v>1504</v>
      </c>
      <c r="D125" s="61" t="s">
        <v>747</v>
      </c>
      <c r="E125" s="216">
        <v>31</v>
      </c>
    </row>
    <row r="126" spans="2:5" x14ac:dyDescent="0.35">
      <c r="B126" s="38" t="s">
        <v>748</v>
      </c>
      <c r="C126" s="62" t="s">
        <v>749</v>
      </c>
      <c r="D126" s="61" t="s">
        <v>750</v>
      </c>
      <c r="E126" s="216">
        <v>37</v>
      </c>
    </row>
    <row r="127" spans="2:5" x14ac:dyDescent="0.35">
      <c r="B127" s="38" t="s">
        <v>751</v>
      </c>
      <c r="C127" s="62" t="s">
        <v>752</v>
      </c>
      <c r="D127" s="61" t="s">
        <v>753</v>
      </c>
      <c r="E127" s="216">
        <v>48</v>
      </c>
    </row>
    <row r="128" spans="2:5" x14ac:dyDescent="0.35">
      <c r="B128" s="38" t="s">
        <v>754</v>
      </c>
      <c r="C128" s="62" t="s">
        <v>755</v>
      </c>
      <c r="D128" s="61" t="s">
        <v>756</v>
      </c>
      <c r="E128" s="216">
        <v>35</v>
      </c>
    </row>
    <row r="129" spans="2:5" x14ac:dyDescent="0.35">
      <c r="B129" s="38" t="s">
        <v>757</v>
      </c>
      <c r="C129" s="62" t="s">
        <v>758</v>
      </c>
      <c r="D129" s="61" t="s">
        <v>759</v>
      </c>
      <c r="E129" s="216">
        <v>48</v>
      </c>
    </row>
    <row r="130" spans="2:5" x14ac:dyDescent="0.35">
      <c r="B130" s="38" t="s">
        <v>760</v>
      </c>
      <c r="C130" s="62" t="s">
        <v>761</v>
      </c>
      <c r="D130" s="61" t="s">
        <v>762</v>
      </c>
      <c r="E130" s="216">
        <v>62</v>
      </c>
    </row>
    <row r="131" spans="2:5" x14ac:dyDescent="0.35">
      <c r="B131" s="101" t="s">
        <v>1843</v>
      </c>
      <c r="C131" s="102" t="s">
        <v>1915</v>
      </c>
      <c r="D131" s="100" t="s">
        <v>763</v>
      </c>
      <c r="E131" s="216">
        <v>83</v>
      </c>
    </row>
    <row r="132" spans="2:5" x14ac:dyDescent="0.35">
      <c r="B132" s="133" t="s">
        <v>764</v>
      </c>
      <c r="C132" s="134"/>
      <c r="D132" s="134"/>
      <c r="E132" s="134"/>
    </row>
    <row r="133" spans="2:5" x14ac:dyDescent="0.35">
      <c r="B133" s="101" t="s">
        <v>765</v>
      </c>
      <c r="C133" s="102" t="s">
        <v>766</v>
      </c>
      <c r="D133" s="100" t="s">
        <v>767</v>
      </c>
      <c r="E133" s="216">
        <v>94</v>
      </c>
    </row>
    <row r="134" spans="2:5" x14ac:dyDescent="0.35">
      <c r="B134" s="101" t="s">
        <v>768</v>
      </c>
      <c r="C134" s="102" t="s">
        <v>769</v>
      </c>
      <c r="D134" s="100" t="s">
        <v>770</v>
      </c>
      <c r="E134" s="216">
        <v>125</v>
      </c>
    </row>
    <row r="135" spans="2:5" x14ac:dyDescent="0.35">
      <c r="B135" s="101" t="s">
        <v>771</v>
      </c>
      <c r="C135" s="102" t="s">
        <v>772</v>
      </c>
      <c r="D135" s="100" t="s">
        <v>773</v>
      </c>
      <c r="E135" s="216">
        <v>157</v>
      </c>
    </row>
    <row r="136" spans="2:5" x14ac:dyDescent="0.35">
      <c r="B136" s="101" t="s">
        <v>774</v>
      </c>
      <c r="C136" s="102" t="s">
        <v>775</v>
      </c>
      <c r="D136" s="100" t="s">
        <v>776</v>
      </c>
      <c r="E136" s="216">
        <v>157</v>
      </c>
    </row>
    <row r="137" spans="2:5" x14ac:dyDescent="0.35">
      <c r="B137" s="384" t="s">
        <v>1605</v>
      </c>
      <c r="C137" s="425" t="s">
        <v>1606</v>
      </c>
      <c r="D137" s="100" t="s">
        <v>777</v>
      </c>
      <c r="E137" s="216">
        <v>103</v>
      </c>
    </row>
    <row r="138" spans="2:5" x14ac:dyDescent="0.35">
      <c r="B138" s="101" t="s">
        <v>778</v>
      </c>
      <c r="C138" s="102" t="s">
        <v>779</v>
      </c>
      <c r="D138" s="100" t="s">
        <v>780</v>
      </c>
      <c r="E138" s="216">
        <v>157</v>
      </c>
    </row>
    <row r="139" spans="2:5" s="30" customFormat="1" x14ac:dyDescent="0.35">
      <c r="B139" s="101" t="s">
        <v>1302</v>
      </c>
      <c r="C139" s="102" t="s">
        <v>1300</v>
      </c>
      <c r="D139" s="100" t="s">
        <v>1301</v>
      </c>
      <c r="E139" s="216">
        <v>113</v>
      </c>
    </row>
    <row r="140" spans="2:5" x14ac:dyDescent="0.35">
      <c r="B140" s="64"/>
      <c r="C140" s="27"/>
      <c r="D140" s="27"/>
      <c r="E140" s="225"/>
    </row>
    <row r="141" spans="2:5" x14ac:dyDescent="0.35">
      <c r="B141" s="26" t="s">
        <v>781</v>
      </c>
      <c r="C141" s="39"/>
      <c r="D141" s="40"/>
      <c r="E141" s="136"/>
    </row>
    <row r="142" spans="2:5" x14ac:dyDescent="0.35">
      <c r="B142" s="60" t="s">
        <v>782</v>
      </c>
      <c r="C142" s="39"/>
      <c r="D142" s="40"/>
      <c r="E142" s="136"/>
    </row>
    <row r="143" spans="2:5" x14ac:dyDescent="0.35">
      <c r="B143" s="38" t="s">
        <v>783</v>
      </c>
      <c r="C143" s="62" t="s">
        <v>784</v>
      </c>
      <c r="D143" s="61" t="s">
        <v>785</v>
      </c>
      <c r="E143" s="216">
        <v>31</v>
      </c>
    </row>
    <row r="144" spans="2:5" x14ac:dyDescent="0.35">
      <c r="B144" s="38" t="s">
        <v>786</v>
      </c>
      <c r="C144" s="62" t="s">
        <v>787</v>
      </c>
      <c r="D144" s="61" t="s">
        <v>788</v>
      </c>
      <c r="E144" s="216">
        <v>41</v>
      </c>
    </row>
    <row r="145" spans="2:5" x14ac:dyDescent="0.35">
      <c r="B145" s="60" t="s">
        <v>789</v>
      </c>
      <c r="C145" s="39"/>
      <c r="D145" s="39"/>
      <c r="E145" s="119"/>
    </row>
    <row r="146" spans="2:5" x14ac:dyDescent="0.35">
      <c r="B146" s="38" t="s">
        <v>790</v>
      </c>
      <c r="C146" s="62" t="s">
        <v>791</v>
      </c>
      <c r="D146" s="61" t="s">
        <v>792</v>
      </c>
      <c r="E146" s="216">
        <v>103</v>
      </c>
    </row>
    <row r="147" spans="2:5" x14ac:dyDescent="0.35">
      <c r="B147" s="64"/>
      <c r="C147" s="27"/>
      <c r="D147" s="27"/>
      <c r="E147" s="225"/>
    </row>
    <row r="148" spans="2:5" s="140" customFormat="1" x14ac:dyDescent="0.35">
      <c r="B148" s="109" t="s">
        <v>793</v>
      </c>
      <c r="C148" s="134"/>
      <c r="D148" s="135"/>
      <c r="E148" s="136"/>
    </row>
    <row r="149" spans="2:5" x14ac:dyDescent="0.35">
      <c r="B149" s="38" t="s">
        <v>794</v>
      </c>
      <c r="C149" s="63" t="s">
        <v>795</v>
      </c>
      <c r="D149" s="61" t="s">
        <v>796</v>
      </c>
      <c r="E149" s="216">
        <v>23</v>
      </c>
    </row>
    <row r="150" spans="2:5" x14ac:dyDescent="0.35">
      <c r="B150" s="38" t="s">
        <v>797</v>
      </c>
      <c r="C150" s="63" t="s">
        <v>798</v>
      </c>
      <c r="D150" s="61" t="s">
        <v>799</v>
      </c>
      <c r="E150" s="216">
        <v>27</v>
      </c>
    </row>
    <row r="151" spans="2:5" x14ac:dyDescent="0.35">
      <c r="B151" s="38" t="s">
        <v>800</v>
      </c>
      <c r="C151" s="63" t="s">
        <v>801</v>
      </c>
      <c r="D151" s="61" t="s">
        <v>802</v>
      </c>
      <c r="E151" s="216">
        <v>38</v>
      </c>
    </row>
    <row r="152" spans="2:5" x14ac:dyDescent="0.35">
      <c r="B152" s="38" t="s">
        <v>803</v>
      </c>
      <c r="C152" s="63" t="s">
        <v>804</v>
      </c>
      <c r="D152" s="61" t="s">
        <v>805</v>
      </c>
      <c r="E152" s="216">
        <v>675</v>
      </c>
    </row>
    <row r="153" spans="2:5" x14ac:dyDescent="0.35">
      <c r="B153" s="38" t="s">
        <v>806</v>
      </c>
      <c r="C153" s="63" t="s">
        <v>807</v>
      </c>
      <c r="D153" s="61" t="s">
        <v>808</v>
      </c>
      <c r="E153" s="216">
        <v>841</v>
      </c>
    </row>
    <row r="154" spans="2:5" x14ac:dyDescent="0.35">
      <c r="B154" s="64"/>
      <c r="C154" s="36"/>
      <c r="D154" s="40"/>
      <c r="E154" s="135"/>
    </row>
    <row r="155" spans="2:5" x14ac:dyDescent="0.35">
      <c r="B155" s="26" t="s">
        <v>809</v>
      </c>
      <c r="C155" s="36"/>
      <c r="D155" s="40"/>
      <c r="E155" s="135"/>
    </row>
    <row r="156" spans="2:5" x14ac:dyDescent="0.35">
      <c r="B156" s="60" t="s">
        <v>810</v>
      </c>
      <c r="C156" s="36"/>
      <c r="D156" s="40"/>
      <c r="E156" s="135"/>
    </row>
    <row r="157" spans="2:5" s="37" customFormat="1" x14ac:dyDescent="0.35">
      <c r="B157" s="101" t="s">
        <v>811</v>
      </c>
      <c r="C157" s="99"/>
      <c r="D157" s="100" t="s">
        <v>812</v>
      </c>
      <c r="E157" s="216">
        <v>132</v>
      </c>
    </row>
    <row r="158" spans="2:5" x14ac:dyDescent="0.35">
      <c r="B158" s="101" t="s">
        <v>813</v>
      </c>
      <c r="C158" s="99"/>
      <c r="D158" s="100" t="s">
        <v>814</v>
      </c>
      <c r="E158" s="216">
        <v>156</v>
      </c>
    </row>
    <row r="159" spans="2:5" x14ac:dyDescent="0.35">
      <c r="B159" s="101" t="s">
        <v>815</v>
      </c>
      <c r="C159" s="99"/>
      <c r="D159" s="100" t="s">
        <v>816</v>
      </c>
      <c r="E159" s="216">
        <v>150</v>
      </c>
    </row>
    <row r="160" spans="2:5" s="37" customFormat="1" x14ac:dyDescent="0.35">
      <c r="B160" s="101" t="s">
        <v>818</v>
      </c>
      <c r="C160" s="99"/>
      <c r="D160" s="100" t="s">
        <v>817</v>
      </c>
      <c r="E160" s="216">
        <v>205</v>
      </c>
    </row>
    <row r="161" spans="2:5" s="37" customFormat="1" x14ac:dyDescent="0.35">
      <c r="B161" s="101" t="s">
        <v>819</v>
      </c>
      <c r="C161" s="99"/>
      <c r="D161" s="100" t="s">
        <v>820</v>
      </c>
      <c r="E161" s="216">
        <v>212</v>
      </c>
    </row>
    <row r="162" spans="2:5" s="37" customFormat="1" x14ac:dyDescent="0.35">
      <c r="B162" s="101" t="s">
        <v>821</v>
      </c>
      <c r="C162" s="99"/>
      <c r="D162" s="100" t="s">
        <v>822</v>
      </c>
      <c r="E162" s="216">
        <v>235</v>
      </c>
    </row>
    <row r="163" spans="2:5" x14ac:dyDescent="0.35">
      <c r="B163" s="101" t="s">
        <v>823</v>
      </c>
      <c r="C163" s="99"/>
      <c r="D163" s="100" t="s">
        <v>824</v>
      </c>
      <c r="E163" s="216">
        <v>179</v>
      </c>
    </row>
    <row r="164" spans="2:5" x14ac:dyDescent="0.35">
      <c r="B164" s="101" t="s">
        <v>825</v>
      </c>
      <c r="C164" s="99"/>
      <c r="D164" s="100" t="s">
        <v>826</v>
      </c>
      <c r="E164" s="216">
        <v>196</v>
      </c>
    </row>
    <row r="165" spans="2:5" s="37" customFormat="1" x14ac:dyDescent="0.35">
      <c r="B165" s="101" t="s">
        <v>827</v>
      </c>
      <c r="C165" s="99"/>
      <c r="D165" s="100" t="s">
        <v>828</v>
      </c>
      <c r="E165" s="216">
        <v>261</v>
      </c>
    </row>
    <row r="166" spans="2:5" s="37" customFormat="1" x14ac:dyDescent="0.35">
      <c r="B166" s="101" t="s">
        <v>829</v>
      </c>
      <c r="C166" s="99"/>
      <c r="D166" s="100" t="s">
        <v>830</v>
      </c>
      <c r="E166" s="216">
        <v>283</v>
      </c>
    </row>
    <row r="167" spans="2:5" x14ac:dyDescent="0.35">
      <c r="B167" s="101" t="s">
        <v>831</v>
      </c>
      <c r="C167" s="99"/>
      <c r="D167" s="100" t="s">
        <v>832</v>
      </c>
      <c r="E167" s="216">
        <v>312</v>
      </c>
    </row>
    <row r="168" spans="2:5" x14ac:dyDescent="0.35">
      <c r="B168" s="101" t="s">
        <v>833</v>
      </c>
      <c r="C168" s="99"/>
      <c r="D168" s="100" t="s">
        <v>834</v>
      </c>
      <c r="E168" s="216">
        <v>389</v>
      </c>
    </row>
    <row r="169" spans="2:5" x14ac:dyDescent="0.35">
      <c r="B169" s="133" t="s">
        <v>835</v>
      </c>
      <c r="C169" s="134"/>
      <c r="D169" s="135"/>
      <c r="E169" s="136"/>
    </row>
    <row r="170" spans="2:5" x14ac:dyDescent="0.35">
      <c r="B170" s="101" t="s">
        <v>836</v>
      </c>
      <c r="C170" s="99"/>
      <c r="D170" s="100" t="s">
        <v>837</v>
      </c>
      <c r="E170" s="216">
        <v>173</v>
      </c>
    </row>
    <row r="171" spans="2:5" x14ac:dyDescent="0.35">
      <c r="B171" s="101" t="s">
        <v>838</v>
      </c>
      <c r="C171" s="99"/>
      <c r="D171" s="100" t="s">
        <v>839</v>
      </c>
      <c r="E171" s="216">
        <v>166</v>
      </c>
    </row>
    <row r="172" spans="2:5" x14ac:dyDescent="0.35">
      <c r="B172" s="384" t="s">
        <v>1607</v>
      </c>
      <c r="C172" s="99"/>
      <c r="D172" s="100" t="s">
        <v>840</v>
      </c>
      <c r="E172" s="216">
        <v>227</v>
      </c>
    </row>
    <row r="173" spans="2:5" x14ac:dyDescent="0.35">
      <c r="B173" s="101" t="s">
        <v>841</v>
      </c>
      <c r="C173" s="99"/>
      <c r="D173" s="100" t="s">
        <v>842</v>
      </c>
      <c r="E173" s="216">
        <v>273</v>
      </c>
    </row>
    <row r="174" spans="2:5" x14ac:dyDescent="0.35">
      <c r="B174" s="101" t="s">
        <v>843</v>
      </c>
      <c r="C174" s="99"/>
      <c r="D174" s="100" t="s">
        <v>844</v>
      </c>
      <c r="E174" s="216">
        <v>293</v>
      </c>
    </row>
    <row r="175" spans="2:5" x14ac:dyDescent="0.35">
      <c r="B175" s="101" t="s">
        <v>845</v>
      </c>
      <c r="C175" s="99"/>
      <c r="D175" s="100" t="s">
        <v>846</v>
      </c>
      <c r="E175" s="216">
        <v>309</v>
      </c>
    </row>
    <row r="176" spans="2:5" x14ac:dyDescent="0.35">
      <c r="B176" s="101" t="s">
        <v>847</v>
      </c>
      <c r="C176" s="99"/>
      <c r="D176" s="100" t="s">
        <v>848</v>
      </c>
      <c r="E176" s="216">
        <v>416</v>
      </c>
    </row>
    <row r="177" spans="2:5" x14ac:dyDescent="0.35">
      <c r="B177" s="101" t="s">
        <v>1889</v>
      </c>
      <c r="C177" s="99"/>
      <c r="D177" s="100" t="s">
        <v>849</v>
      </c>
      <c r="E177" s="216">
        <v>971</v>
      </c>
    </row>
    <row r="178" spans="2:5" x14ac:dyDescent="0.35">
      <c r="B178" s="101" t="s">
        <v>850</v>
      </c>
      <c r="C178" s="99"/>
      <c r="D178" s="100" t="s">
        <v>851</v>
      </c>
      <c r="E178" s="216">
        <v>487</v>
      </c>
    </row>
    <row r="179" spans="2:5" x14ac:dyDescent="0.35">
      <c r="B179" s="384" t="s">
        <v>1608</v>
      </c>
      <c r="C179" s="99"/>
      <c r="D179" s="100" t="s">
        <v>852</v>
      </c>
      <c r="E179" s="216">
        <v>656</v>
      </c>
    </row>
    <row r="180" spans="2:5" s="140" customFormat="1" x14ac:dyDescent="0.35">
      <c r="B180" s="322" t="s">
        <v>1572</v>
      </c>
      <c r="C180" s="99"/>
      <c r="D180" s="100" t="s">
        <v>853</v>
      </c>
      <c r="E180" s="216">
        <v>634</v>
      </c>
    </row>
    <row r="181" spans="2:5" s="140" customFormat="1" x14ac:dyDescent="0.35">
      <c r="B181" s="101" t="s">
        <v>1891</v>
      </c>
      <c r="C181" s="99"/>
      <c r="D181" s="100" t="s">
        <v>854</v>
      </c>
      <c r="E181" s="216">
        <v>859</v>
      </c>
    </row>
    <row r="182" spans="2:5" s="140" customFormat="1" x14ac:dyDescent="0.35">
      <c r="B182" s="322" t="s">
        <v>1882</v>
      </c>
      <c r="C182" s="99"/>
      <c r="D182" s="137" t="s">
        <v>855</v>
      </c>
      <c r="E182" s="216">
        <v>719</v>
      </c>
    </row>
    <row r="183" spans="2:5" s="140" customFormat="1" x14ac:dyDescent="0.35">
      <c r="B183" s="322" t="s">
        <v>1584</v>
      </c>
      <c r="C183" s="99"/>
      <c r="D183" s="100" t="s">
        <v>856</v>
      </c>
      <c r="E183" s="216">
        <v>975</v>
      </c>
    </row>
    <row r="184" spans="2:5" x14ac:dyDescent="0.35">
      <c r="B184" s="133" t="s">
        <v>857</v>
      </c>
      <c r="C184" s="134"/>
      <c r="D184" s="135"/>
      <c r="E184" s="136"/>
    </row>
    <row r="185" spans="2:5" s="37" customFormat="1" x14ac:dyDescent="0.35">
      <c r="B185" s="101" t="s">
        <v>858</v>
      </c>
      <c r="C185" s="99"/>
      <c r="D185" s="100" t="s">
        <v>859</v>
      </c>
      <c r="E185" s="216">
        <v>190</v>
      </c>
    </row>
    <row r="186" spans="2:5" s="37" customFormat="1" x14ac:dyDescent="0.35">
      <c r="B186" s="101" t="s">
        <v>860</v>
      </c>
      <c r="C186" s="99"/>
      <c r="D186" s="100" t="s">
        <v>861</v>
      </c>
      <c r="E186" s="216">
        <v>276</v>
      </c>
    </row>
    <row r="187" spans="2:5" s="37" customFormat="1" x14ac:dyDescent="0.35">
      <c r="B187" s="101" t="s">
        <v>862</v>
      </c>
      <c r="C187" s="99"/>
      <c r="D187" s="100" t="s">
        <v>863</v>
      </c>
      <c r="E187" s="216">
        <v>271</v>
      </c>
    </row>
    <row r="188" spans="2:5" s="37" customFormat="1" x14ac:dyDescent="0.35">
      <c r="B188" s="101" t="s">
        <v>1585</v>
      </c>
      <c r="C188" s="99"/>
      <c r="D188" s="100" t="s">
        <v>864</v>
      </c>
      <c r="E188" s="216">
        <v>244</v>
      </c>
    </row>
    <row r="189" spans="2:5" s="37" customFormat="1" x14ac:dyDescent="0.35">
      <c r="B189" s="101" t="s">
        <v>865</v>
      </c>
      <c r="C189" s="99"/>
      <c r="D189" s="100" t="s">
        <v>866</v>
      </c>
      <c r="E189" s="216">
        <v>376</v>
      </c>
    </row>
    <row r="190" spans="2:5" s="37" customFormat="1" x14ac:dyDescent="0.35">
      <c r="B190" s="38" t="s">
        <v>867</v>
      </c>
      <c r="C190" s="63"/>
      <c r="D190" s="61" t="s">
        <v>868</v>
      </c>
      <c r="E190" s="216">
        <v>521</v>
      </c>
    </row>
    <row r="191" spans="2:5" x14ac:dyDescent="0.35">
      <c r="B191" s="39" t="s">
        <v>869</v>
      </c>
      <c r="C191" s="36"/>
      <c r="D191" s="40"/>
      <c r="E191" s="65"/>
    </row>
    <row r="192" spans="2:5" x14ac:dyDescent="0.35">
      <c r="B192" s="31" t="s">
        <v>870</v>
      </c>
      <c r="C192" s="66"/>
      <c r="D192" s="67" t="s">
        <v>871</v>
      </c>
      <c r="E192" s="68">
        <v>5</v>
      </c>
    </row>
    <row r="193" spans="2:5" x14ac:dyDescent="0.35">
      <c r="B193" s="31" t="s">
        <v>872</v>
      </c>
      <c r="C193" s="66"/>
      <c r="D193" s="67" t="s">
        <v>873</v>
      </c>
      <c r="E193" s="68">
        <v>8</v>
      </c>
    </row>
    <row r="194" spans="2:5" x14ac:dyDescent="0.35">
      <c r="B194" s="31" t="s">
        <v>874</v>
      </c>
      <c r="C194" s="66"/>
      <c r="D194" s="67" t="s">
        <v>875</v>
      </c>
      <c r="E194" s="68">
        <v>9</v>
      </c>
    </row>
    <row r="195" spans="2:5" x14ac:dyDescent="0.35">
      <c r="B195" s="31" t="s">
        <v>876</v>
      </c>
      <c r="C195" s="66"/>
      <c r="D195" s="67" t="s">
        <v>877</v>
      </c>
      <c r="E195" s="68">
        <v>17</v>
      </c>
    </row>
    <row r="196" spans="2:5" x14ac:dyDescent="0.35">
      <c r="B196" s="39" t="s">
        <v>878</v>
      </c>
      <c r="C196" s="36"/>
      <c r="D196" s="40"/>
      <c r="E196" s="65"/>
    </row>
    <row r="197" spans="2:5" x14ac:dyDescent="0.35">
      <c r="B197" s="31" t="s">
        <v>879</v>
      </c>
      <c r="C197" s="66"/>
      <c r="D197" s="67" t="s">
        <v>880</v>
      </c>
      <c r="E197" s="68">
        <v>16</v>
      </c>
    </row>
    <row r="198" spans="2:5" x14ac:dyDescent="0.35">
      <c r="B198" s="31" t="s">
        <v>881</v>
      </c>
      <c r="C198" s="66"/>
      <c r="D198" s="67" t="s">
        <v>882</v>
      </c>
      <c r="E198" s="68">
        <v>33</v>
      </c>
    </row>
    <row r="199" spans="2:5" x14ac:dyDescent="0.35">
      <c r="B199" s="31" t="s">
        <v>883</v>
      </c>
      <c r="C199" s="66"/>
      <c r="D199" s="67" t="s">
        <v>884</v>
      </c>
      <c r="E199" s="68">
        <v>22</v>
      </c>
    </row>
    <row r="200" spans="2:5" x14ac:dyDescent="0.35">
      <c r="B200" s="31" t="s">
        <v>885</v>
      </c>
      <c r="C200" s="66"/>
      <c r="D200" s="67" t="s">
        <v>886</v>
      </c>
      <c r="E200" s="68">
        <v>43</v>
      </c>
    </row>
    <row r="201" spans="2:5" x14ac:dyDescent="0.35">
      <c r="B201" s="29"/>
      <c r="C201" s="1"/>
      <c r="D201" s="1"/>
      <c r="E201" s="1"/>
    </row>
    <row r="202" spans="2:5" s="6" customFormat="1" ht="13" x14ac:dyDescent="0.3">
      <c r="B202" s="24" t="s">
        <v>887</v>
      </c>
      <c r="C202" s="8"/>
      <c r="D202" s="9"/>
    </row>
    <row r="203" spans="2:5" s="6" customFormat="1" ht="13" x14ac:dyDescent="0.3">
      <c r="B203" s="69" t="s">
        <v>888</v>
      </c>
      <c r="C203" s="8"/>
      <c r="D203" s="9"/>
    </row>
    <row r="204" spans="2:5" s="6" customFormat="1" ht="13" x14ac:dyDescent="0.3">
      <c r="B204" s="33" t="s">
        <v>1299</v>
      </c>
      <c r="C204" s="33"/>
      <c r="D204" s="34" t="s">
        <v>889</v>
      </c>
      <c r="E204" s="35">
        <v>39</v>
      </c>
    </row>
    <row r="205" spans="2:5" s="6" customFormat="1" ht="13" x14ac:dyDescent="0.3">
      <c r="B205" s="33" t="s">
        <v>1303</v>
      </c>
      <c r="C205" s="33"/>
      <c r="D205" s="34" t="s">
        <v>890</v>
      </c>
      <c r="E205" s="35">
        <v>49</v>
      </c>
    </row>
    <row r="206" spans="2:5" s="6" customFormat="1" ht="13" x14ac:dyDescent="0.3">
      <c r="B206" s="33" t="s">
        <v>1304</v>
      </c>
      <c r="C206" s="33"/>
      <c r="D206" s="34" t="s">
        <v>891</v>
      </c>
      <c r="E206" s="35">
        <v>58</v>
      </c>
    </row>
    <row r="207" spans="2:5" s="6" customFormat="1" ht="13" x14ac:dyDescent="0.3">
      <c r="B207" s="69" t="s">
        <v>892</v>
      </c>
      <c r="C207" s="8"/>
      <c r="D207" s="9"/>
      <c r="E207" s="10"/>
    </row>
    <row r="208" spans="2:5" s="6" customFormat="1" ht="13" x14ac:dyDescent="0.3">
      <c r="B208" s="33" t="s">
        <v>1299</v>
      </c>
      <c r="C208" s="33"/>
      <c r="D208" s="34" t="s">
        <v>893</v>
      </c>
      <c r="E208" s="35">
        <v>58</v>
      </c>
    </row>
    <row r="209" spans="2:5" s="6" customFormat="1" ht="13" x14ac:dyDescent="0.3">
      <c r="B209" s="33" t="s">
        <v>1303</v>
      </c>
      <c r="C209" s="33"/>
      <c r="D209" s="34" t="s">
        <v>894</v>
      </c>
      <c r="E209" s="35">
        <v>73</v>
      </c>
    </row>
    <row r="210" spans="2:5" s="6" customFormat="1" ht="13" x14ac:dyDescent="0.3">
      <c r="B210" s="33" t="s">
        <v>1304</v>
      </c>
      <c r="C210" s="33"/>
      <c r="D210" s="34" t="s">
        <v>895</v>
      </c>
      <c r="E210" s="35">
        <v>87</v>
      </c>
    </row>
    <row r="211" spans="2:5" s="6" customFormat="1" ht="13" x14ac:dyDescent="0.3">
      <c r="B211" s="69" t="s">
        <v>896</v>
      </c>
      <c r="C211" s="8"/>
      <c r="D211" s="9"/>
      <c r="E211" s="10"/>
    </row>
    <row r="212" spans="2:5" s="6" customFormat="1" ht="13" x14ac:dyDescent="0.3">
      <c r="B212" s="33" t="s">
        <v>1299</v>
      </c>
      <c r="C212" s="33"/>
      <c r="D212" s="34" t="s">
        <v>897</v>
      </c>
      <c r="E212" s="35">
        <v>147</v>
      </c>
    </row>
    <row r="213" spans="2:5" s="6" customFormat="1" ht="13" x14ac:dyDescent="0.3">
      <c r="B213" s="33" t="s">
        <v>1303</v>
      </c>
      <c r="C213" s="33"/>
      <c r="D213" s="34" t="s">
        <v>898</v>
      </c>
      <c r="E213" s="35">
        <v>186</v>
      </c>
    </row>
    <row r="214" spans="2:5" s="6" customFormat="1" ht="13" x14ac:dyDescent="0.3">
      <c r="B214" s="33" t="s">
        <v>1304</v>
      </c>
      <c r="C214" s="33"/>
      <c r="D214" s="34" t="s">
        <v>899</v>
      </c>
      <c r="E214" s="35">
        <v>220</v>
      </c>
    </row>
    <row r="215" spans="2:5" s="6" customFormat="1" ht="13" x14ac:dyDescent="0.3">
      <c r="B215" s="69" t="s">
        <v>900</v>
      </c>
      <c r="C215" s="8"/>
      <c r="D215" s="9"/>
      <c r="E215" s="10"/>
    </row>
    <row r="216" spans="2:5" s="6" customFormat="1" ht="13" x14ac:dyDescent="0.3">
      <c r="B216" s="33" t="s">
        <v>1299</v>
      </c>
      <c r="C216" s="33"/>
      <c r="D216" s="34" t="s">
        <v>901</v>
      </c>
      <c r="E216" s="35">
        <v>186</v>
      </c>
    </row>
    <row r="217" spans="2:5" s="6" customFormat="1" ht="13" x14ac:dyDescent="0.3">
      <c r="B217" s="33" t="s">
        <v>1303</v>
      </c>
      <c r="C217" s="33"/>
      <c r="D217" s="34" t="s">
        <v>902</v>
      </c>
      <c r="E217" s="35">
        <v>237</v>
      </c>
    </row>
    <row r="218" spans="2:5" s="6" customFormat="1" ht="13" x14ac:dyDescent="0.3">
      <c r="B218" s="33" t="s">
        <v>1304</v>
      </c>
      <c r="C218" s="33"/>
      <c r="D218" s="34" t="s">
        <v>903</v>
      </c>
      <c r="E218" s="35">
        <v>280</v>
      </c>
    </row>
    <row r="220" spans="2:5" x14ac:dyDescent="0.35">
      <c r="B220" s="26" t="s">
        <v>904</v>
      </c>
      <c r="C220" s="36"/>
      <c r="D220" s="40"/>
      <c r="E220" s="40"/>
    </row>
    <row r="221" spans="2:5" x14ac:dyDescent="0.35">
      <c r="B221" s="101" t="s">
        <v>905</v>
      </c>
      <c r="C221" s="99" t="s">
        <v>906</v>
      </c>
      <c r="D221" s="100" t="s">
        <v>907</v>
      </c>
      <c r="E221" s="216">
        <v>102</v>
      </c>
    </row>
    <row r="222" spans="2:5" x14ac:dyDescent="0.35">
      <c r="B222" s="101" t="s">
        <v>908</v>
      </c>
      <c r="C222" s="99" t="s">
        <v>909</v>
      </c>
      <c r="D222" s="100" t="s">
        <v>910</v>
      </c>
      <c r="E222" s="216">
        <v>169</v>
      </c>
    </row>
    <row r="223" spans="2:5" x14ac:dyDescent="0.35">
      <c r="B223" s="101" t="s">
        <v>911</v>
      </c>
      <c r="C223" s="99" t="s">
        <v>912</v>
      </c>
      <c r="D223" s="100" t="s">
        <v>913</v>
      </c>
      <c r="E223" s="216">
        <v>132</v>
      </c>
    </row>
    <row r="224" spans="2:5" x14ac:dyDescent="0.35">
      <c r="B224" s="101" t="s">
        <v>914</v>
      </c>
      <c r="C224" s="102" t="s">
        <v>915</v>
      </c>
      <c r="D224" s="100" t="s">
        <v>916</v>
      </c>
      <c r="E224" s="216">
        <v>293</v>
      </c>
    </row>
    <row r="225" spans="2:5" x14ac:dyDescent="0.35">
      <c r="B225" s="226"/>
      <c r="C225" s="179"/>
      <c r="D225" s="179"/>
      <c r="E225" s="179"/>
    </row>
    <row r="226" spans="2:5" x14ac:dyDescent="0.35">
      <c r="B226" s="109" t="s">
        <v>917</v>
      </c>
      <c r="C226" s="179"/>
      <c r="D226" s="179"/>
      <c r="E226" s="179"/>
    </row>
    <row r="227" spans="2:5" x14ac:dyDescent="0.35">
      <c r="B227" s="133" t="s">
        <v>139</v>
      </c>
      <c r="C227" s="179"/>
      <c r="D227" s="179"/>
      <c r="E227" s="179"/>
    </row>
    <row r="228" spans="2:5" x14ac:dyDescent="0.35">
      <c r="B228" s="224" t="s">
        <v>1388</v>
      </c>
      <c r="C228" s="217" t="s">
        <v>1461</v>
      </c>
      <c r="D228" s="215" t="s">
        <v>140</v>
      </c>
      <c r="E228" s="216">
        <v>35</v>
      </c>
    </row>
    <row r="229" spans="2:5" x14ac:dyDescent="0.35">
      <c r="B229" s="227" t="s">
        <v>1462</v>
      </c>
      <c r="C229" s="426" t="s">
        <v>1609</v>
      </c>
      <c r="D229" s="228" t="s">
        <v>141</v>
      </c>
      <c r="E229" s="216">
        <v>16</v>
      </c>
    </row>
    <row r="230" spans="2:5" x14ac:dyDescent="0.35">
      <c r="B230" s="133" t="s">
        <v>1463</v>
      </c>
      <c r="C230" s="179"/>
      <c r="D230" s="179"/>
      <c r="E230" s="179"/>
    </row>
    <row r="231" spans="2:5" x14ac:dyDescent="0.35">
      <c r="B231" s="213" t="s">
        <v>1360</v>
      </c>
      <c r="C231" s="213" t="s">
        <v>1361</v>
      </c>
      <c r="D231" s="228" t="s">
        <v>110</v>
      </c>
      <c r="E231" s="216">
        <v>35</v>
      </c>
    </row>
    <row r="232" spans="2:5" x14ac:dyDescent="0.35">
      <c r="B232" s="213" t="s">
        <v>1464</v>
      </c>
      <c r="C232" s="229" t="s">
        <v>1465</v>
      </c>
      <c r="D232" s="228" t="s">
        <v>111</v>
      </c>
      <c r="E232" s="216">
        <v>16</v>
      </c>
    </row>
    <row r="233" spans="2:5" x14ac:dyDescent="0.35">
      <c r="B233" s="224" t="s">
        <v>112</v>
      </c>
      <c r="C233" s="217" t="s">
        <v>113</v>
      </c>
      <c r="D233" s="215" t="s">
        <v>114</v>
      </c>
      <c r="E233" s="216">
        <v>84</v>
      </c>
    </row>
    <row r="234" spans="2:5" s="30" customFormat="1" x14ac:dyDescent="0.35">
      <c r="B234" s="133" t="s">
        <v>1466</v>
      </c>
      <c r="C234" s="179"/>
      <c r="D234" s="179"/>
      <c r="E234" s="179"/>
    </row>
    <row r="235" spans="2:5" s="30" customFormat="1" x14ac:dyDescent="0.35">
      <c r="B235" s="213" t="s">
        <v>1467</v>
      </c>
      <c r="C235" s="230" t="s">
        <v>1351</v>
      </c>
      <c r="D235" s="219" t="s">
        <v>70</v>
      </c>
      <c r="E235" s="216">
        <v>71</v>
      </c>
    </row>
    <row r="236" spans="2:5" s="30" customFormat="1" x14ac:dyDescent="0.35">
      <c r="B236" s="213" t="s">
        <v>1517</v>
      </c>
      <c r="C236" s="230" t="s">
        <v>1482</v>
      </c>
      <c r="D236" s="219" t="s">
        <v>71</v>
      </c>
      <c r="E236" s="216">
        <v>29</v>
      </c>
    </row>
    <row r="237" spans="2:5" x14ac:dyDescent="0.35">
      <c r="B237" s="226"/>
      <c r="C237" s="179"/>
      <c r="D237" s="179"/>
      <c r="E237" s="179"/>
    </row>
    <row r="238" spans="2:5" x14ac:dyDescent="0.35">
      <c r="B238" s="96"/>
      <c r="C238" s="138"/>
      <c r="D238" s="139"/>
      <c r="E238" s="139"/>
    </row>
    <row r="239" spans="2:5" x14ac:dyDescent="0.35">
      <c r="B239" s="109" t="s">
        <v>918</v>
      </c>
      <c r="C239" s="138"/>
      <c r="D239" s="139"/>
      <c r="E239" s="139"/>
    </row>
    <row r="240" spans="2:5" s="30" customFormat="1" x14ac:dyDescent="0.35">
      <c r="B240" s="133" t="s">
        <v>1834</v>
      </c>
      <c r="C240" s="138"/>
      <c r="D240" s="139"/>
      <c r="E240" s="139"/>
    </row>
    <row r="241" spans="2:5" s="30" customFormat="1" ht="39" x14ac:dyDescent="0.35">
      <c r="B241" s="224" t="s">
        <v>1468</v>
      </c>
      <c r="C241" s="217"/>
      <c r="D241" s="215" t="s">
        <v>919</v>
      </c>
      <c r="E241" s="216">
        <v>355</v>
      </c>
    </row>
    <row r="242" spans="2:5" s="30" customFormat="1" ht="39" x14ac:dyDescent="0.35">
      <c r="B242" s="224" t="s">
        <v>1469</v>
      </c>
      <c r="C242" s="217"/>
      <c r="D242" s="215" t="s">
        <v>920</v>
      </c>
      <c r="E242" s="216">
        <v>267</v>
      </c>
    </row>
    <row r="243" spans="2:5" x14ac:dyDescent="0.35">
      <c r="B243" s="224" t="s">
        <v>1840</v>
      </c>
      <c r="C243" s="231" t="s">
        <v>1544</v>
      </c>
      <c r="D243" s="215" t="s">
        <v>922</v>
      </c>
      <c r="E243" s="216">
        <v>21</v>
      </c>
    </row>
    <row r="244" spans="2:5" s="30" customFormat="1" x14ac:dyDescent="0.35">
      <c r="B244" s="224" t="s">
        <v>1841</v>
      </c>
      <c r="C244" s="217" t="s">
        <v>1470</v>
      </c>
      <c r="D244" s="215" t="s">
        <v>1471</v>
      </c>
      <c r="E244" s="216">
        <v>27</v>
      </c>
    </row>
    <row r="245" spans="2:5" s="30" customFormat="1" x14ac:dyDescent="0.35">
      <c r="B245" s="224" t="s">
        <v>1472</v>
      </c>
      <c r="C245" s="217" t="s">
        <v>1347</v>
      </c>
      <c r="D245" s="215" t="s">
        <v>1473</v>
      </c>
      <c r="E245" s="216">
        <v>8</v>
      </c>
    </row>
    <row r="246" spans="2:5" s="30" customFormat="1" x14ac:dyDescent="0.35">
      <c r="B246" s="224" t="s">
        <v>1474</v>
      </c>
      <c r="C246" s="217" t="s">
        <v>1475</v>
      </c>
      <c r="D246" s="215" t="s">
        <v>1476</v>
      </c>
      <c r="E246" s="216">
        <v>8</v>
      </c>
    </row>
    <row r="247" spans="2:5" s="30" customFormat="1" x14ac:dyDescent="0.35">
      <c r="B247" s="224" t="s">
        <v>1477</v>
      </c>
      <c r="C247" s="217" t="s">
        <v>1478</v>
      </c>
      <c r="D247" s="215" t="s">
        <v>923</v>
      </c>
      <c r="E247" s="216">
        <v>8</v>
      </c>
    </row>
    <row r="248" spans="2:5" s="30" customFormat="1" x14ac:dyDescent="0.35">
      <c r="B248" s="224" t="s">
        <v>1479</v>
      </c>
      <c r="C248" s="217" t="s">
        <v>1480</v>
      </c>
      <c r="D248" s="215" t="s">
        <v>921</v>
      </c>
      <c r="E248" s="216">
        <v>8</v>
      </c>
    </row>
    <row r="249" spans="2:5" s="30" customFormat="1" x14ac:dyDescent="0.35">
      <c r="B249" s="224" t="s">
        <v>1481</v>
      </c>
      <c r="C249" s="217" t="s">
        <v>1482</v>
      </c>
      <c r="D249" s="215" t="s">
        <v>1483</v>
      </c>
      <c r="E249" s="216">
        <v>27</v>
      </c>
    </row>
    <row r="250" spans="2:5" s="30" customFormat="1" x14ac:dyDescent="0.35">
      <c r="B250" s="224" t="s">
        <v>1484</v>
      </c>
      <c r="C250" s="217" t="s">
        <v>1485</v>
      </c>
      <c r="D250" s="215" t="s">
        <v>1486</v>
      </c>
      <c r="E250" s="216">
        <v>27</v>
      </c>
    </row>
    <row r="251" spans="2:5" s="30" customFormat="1" x14ac:dyDescent="0.35">
      <c r="B251" s="224" t="s">
        <v>1487</v>
      </c>
      <c r="C251" s="217" t="s">
        <v>1488</v>
      </c>
      <c r="D251" s="215" t="s">
        <v>1489</v>
      </c>
      <c r="E251" s="216">
        <v>71</v>
      </c>
    </row>
    <row r="252" spans="2:5" s="30" customFormat="1" x14ac:dyDescent="0.35">
      <c r="B252" s="133" t="s">
        <v>1835</v>
      </c>
      <c r="C252" s="360"/>
      <c r="D252" s="361"/>
      <c r="E252" s="362"/>
    </row>
    <row r="253" spans="2:5" s="30" customFormat="1" ht="39" x14ac:dyDescent="0.35">
      <c r="B253" s="224" t="s">
        <v>1831</v>
      </c>
      <c r="C253" s="217"/>
      <c r="D253" s="215" t="s">
        <v>1752</v>
      </c>
      <c r="E253" s="216">
        <v>560</v>
      </c>
    </row>
    <row r="254" spans="2:5" s="30" customFormat="1" hidden="1" x14ac:dyDescent="0.35">
      <c r="B254" s="427" t="s">
        <v>1839</v>
      </c>
      <c r="C254" s="428"/>
      <c r="D254" s="429" t="s">
        <v>1753</v>
      </c>
      <c r="E254" s="430">
        <v>27</v>
      </c>
    </row>
    <row r="255" spans="2:5" s="30" customFormat="1" ht="39" x14ac:dyDescent="0.35">
      <c r="B255" s="224" t="s">
        <v>1832</v>
      </c>
      <c r="C255" s="217"/>
      <c r="D255" s="215" t="s">
        <v>1753</v>
      </c>
      <c r="E255" s="216">
        <v>650</v>
      </c>
    </row>
    <row r="256" spans="2:5" s="30" customFormat="1" x14ac:dyDescent="0.35">
      <c r="B256" s="224" t="s">
        <v>1837</v>
      </c>
      <c r="C256" s="231" t="s">
        <v>1838</v>
      </c>
      <c r="D256" s="215" t="s">
        <v>1858</v>
      </c>
      <c r="E256" s="216">
        <v>21</v>
      </c>
    </row>
    <row r="257" spans="2:5" s="30" customFormat="1" x14ac:dyDescent="0.35">
      <c r="B257" s="133" t="s">
        <v>1836</v>
      </c>
      <c r="C257" s="360"/>
      <c r="D257" s="361"/>
      <c r="E257" s="362"/>
    </row>
    <row r="258" spans="2:5" x14ac:dyDescent="0.35">
      <c r="B258" s="224" t="s">
        <v>1833</v>
      </c>
      <c r="C258" s="217" t="s">
        <v>924</v>
      </c>
      <c r="D258" s="215" t="s">
        <v>925</v>
      </c>
      <c r="E258" s="216">
        <v>5</v>
      </c>
    </row>
    <row r="259" spans="2:5" s="30" customFormat="1" x14ac:dyDescent="0.35">
      <c r="B259" s="326"/>
      <c r="C259" s="331"/>
      <c r="D259" s="327"/>
      <c r="E259" s="328"/>
    </row>
    <row r="261" spans="2:5" ht="15.5" x14ac:dyDescent="0.35">
      <c r="B261" s="72" t="s">
        <v>926</v>
      </c>
      <c r="C261" s="73"/>
      <c r="D261" s="74"/>
      <c r="E261" s="75"/>
    </row>
    <row r="262" spans="2:5" x14ac:dyDescent="0.35">
      <c r="B262" s="26" t="s">
        <v>927</v>
      </c>
    </row>
    <row r="263" spans="2:5" x14ac:dyDescent="0.35">
      <c r="B263" s="60" t="s">
        <v>928</v>
      </c>
    </row>
    <row r="264" spans="2:5" x14ac:dyDescent="0.35">
      <c r="B264" s="101" t="s">
        <v>929</v>
      </c>
      <c r="C264" s="99" t="s">
        <v>930</v>
      </c>
      <c r="D264" s="100" t="s">
        <v>931</v>
      </c>
      <c r="E264" s="216">
        <v>36</v>
      </c>
    </row>
    <row r="265" spans="2:5" x14ac:dyDescent="0.35">
      <c r="B265" s="101" t="s">
        <v>932</v>
      </c>
      <c r="C265" s="99" t="s">
        <v>1540</v>
      </c>
      <c r="D265" s="100" t="s">
        <v>934</v>
      </c>
      <c r="E265" s="216">
        <v>34</v>
      </c>
    </row>
    <row r="266" spans="2:5" x14ac:dyDescent="0.35">
      <c r="B266" s="101" t="s">
        <v>935</v>
      </c>
      <c r="C266" s="99" t="s">
        <v>1548</v>
      </c>
      <c r="D266" s="100" t="s">
        <v>937</v>
      </c>
      <c r="E266" s="216">
        <v>34</v>
      </c>
    </row>
    <row r="267" spans="2:5" x14ac:dyDescent="0.35">
      <c r="B267" s="133" t="s">
        <v>198</v>
      </c>
      <c r="C267" s="140"/>
      <c r="D267" s="140"/>
      <c r="E267" s="140"/>
    </row>
    <row r="268" spans="2:5" x14ac:dyDescent="0.35">
      <c r="B268" s="101" t="s">
        <v>175</v>
      </c>
      <c r="C268" s="99" t="s">
        <v>176</v>
      </c>
      <c r="D268" s="100" t="s">
        <v>177</v>
      </c>
      <c r="E268" s="216">
        <v>112</v>
      </c>
    </row>
    <row r="269" spans="2:5" s="30" customFormat="1" x14ac:dyDescent="0.35">
      <c r="B269" s="224" t="s">
        <v>1416</v>
      </c>
      <c r="C269" s="217" t="s">
        <v>1417</v>
      </c>
      <c r="D269" s="215" t="s">
        <v>178</v>
      </c>
      <c r="E269" s="216">
        <v>133</v>
      </c>
    </row>
    <row r="270" spans="2:5" x14ac:dyDescent="0.35">
      <c r="B270" s="101" t="s">
        <v>938</v>
      </c>
      <c r="C270" s="99" t="s">
        <v>199</v>
      </c>
      <c r="D270" s="100" t="s">
        <v>200</v>
      </c>
      <c r="E270" s="216">
        <v>144</v>
      </c>
    </row>
    <row r="271" spans="2:5" s="30" customFormat="1" x14ac:dyDescent="0.35">
      <c r="B271" s="142"/>
      <c r="C271" s="140"/>
      <c r="D271" s="140"/>
      <c r="E271" s="140"/>
    </row>
    <row r="272" spans="2:5" x14ac:dyDescent="0.35">
      <c r="B272" s="109" t="s">
        <v>939</v>
      </c>
      <c r="C272" s="140"/>
      <c r="D272" s="140"/>
      <c r="E272" s="140"/>
    </row>
    <row r="273" spans="2:5" x14ac:dyDescent="0.35">
      <c r="B273" s="133" t="s">
        <v>940</v>
      </c>
      <c r="C273" s="140"/>
      <c r="D273" s="140"/>
      <c r="E273" s="140"/>
    </row>
    <row r="274" spans="2:5" x14ac:dyDescent="0.35">
      <c r="B274" s="101" t="s">
        <v>941</v>
      </c>
      <c r="C274" s="99" t="s">
        <v>942</v>
      </c>
      <c r="D274" s="100" t="s">
        <v>943</v>
      </c>
      <c r="E274" s="216">
        <v>63</v>
      </c>
    </row>
    <row r="275" spans="2:5" x14ac:dyDescent="0.35">
      <c r="B275" s="101" t="s">
        <v>1320</v>
      </c>
      <c r="C275" s="99" t="s">
        <v>1318</v>
      </c>
      <c r="D275" s="100" t="s">
        <v>944</v>
      </c>
      <c r="E275" s="216">
        <v>59</v>
      </c>
    </row>
    <row r="276" spans="2:5" x14ac:dyDescent="0.35">
      <c r="B276" s="101" t="s">
        <v>945</v>
      </c>
      <c r="C276" s="99" t="s">
        <v>946</v>
      </c>
      <c r="D276" s="100" t="s">
        <v>947</v>
      </c>
      <c r="E276" s="216">
        <v>37</v>
      </c>
    </row>
    <row r="277" spans="2:5" x14ac:dyDescent="0.35">
      <c r="B277" s="133" t="s">
        <v>948</v>
      </c>
      <c r="C277" s="140"/>
      <c r="D277" s="140"/>
      <c r="E277" s="136"/>
    </row>
    <row r="278" spans="2:5" x14ac:dyDescent="0.35">
      <c r="B278" s="101" t="s">
        <v>949</v>
      </c>
      <c r="C278" s="99" t="s">
        <v>950</v>
      </c>
      <c r="D278" s="100" t="s">
        <v>951</v>
      </c>
      <c r="E278" s="216">
        <v>7</v>
      </c>
    </row>
    <row r="279" spans="2:5" x14ac:dyDescent="0.35">
      <c r="B279" s="101" t="s">
        <v>952</v>
      </c>
      <c r="C279" s="99" t="s">
        <v>1317</v>
      </c>
      <c r="D279" s="100" t="s">
        <v>953</v>
      </c>
      <c r="E279" s="216">
        <v>25</v>
      </c>
    </row>
    <row r="280" spans="2:5" x14ac:dyDescent="0.35">
      <c r="B280" s="101" t="s">
        <v>954</v>
      </c>
      <c r="C280" s="99" t="s">
        <v>955</v>
      </c>
      <c r="D280" s="100" t="s">
        <v>956</v>
      </c>
      <c r="E280" s="216">
        <v>18</v>
      </c>
    </row>
    <row r="281" spans="2:5" x14ac:dyDescent="0.35">
      <c r="B281" s="101" t="s">
        <v>957</v>
      </c>
      <c r="C281" s="99" t="s">
        <v>958</v>
      </c>
      <c r="D281" s="100" t="s">
        <v>959</v>
      </c>
      <c r="E281" s="216">
        <v>9</v>
      </c>
    </row>
    <row r="282" spans="2:5" x14ac:dyDescent="0.35">
      <c r="B282" s="101" t="s">
        <v>960</v>
      </c>
      <c r="C282" s="99" t="s">
        <v>961</v>
      </c>
      <c r="D282" s="100" t="s">
        <v>962</v>
      </c>
      <c r="E282" s="216">
        <v>17</v>
      </c>
    </row>
    <row r="283" spans="2:5" x14ac:dyDescent="0.35">
      <c r="B283" s="101" t="s">
        <v>963</v>
      </c>
      <c r="C283" s="99" t="s">
        <v>964</v>
      </c>
      <c r="D283" s="100" t="s">
        <v>965</v>
      </c>
      <c r="E283" s="216">
        <v>23</v>
      </c>
    </row>
    <row r="284" spans="2:5" x14ac:dyDescent="0.35">
      <c r="B284" s="101" t="s">
        <v>966</v>
      </c>
      <c r="C284" s="107" t="s">
        <v>967</v>
      </c>
      <c r="D284" s="100" t="s">
        <v>968</v>
      </c>
      <c r="E284" s="216">
        <v>23</v>
      </c>
    </row>
    <row r="285" spans="2:5" x14ac:dyDescent="0.35">
      <c r="B285" s="101" t="s">
        <v>969</v>
      </c>
      <c r="C285" s="99" t="s">
        <v>970</v>
      </c>
      <c r="D285" s="100" t="s">
        <v>971</v>
      </c>
      <c r="E285" s="216">
        <v>9</v>
      </c>
    </row>
    <row r="286" spans="2:5" x14ac:dyDescent="0.35">
      <c r="B286" s="101" t="s">
        <v>972</v>
      </c>
      <c r="C286" s="102" t="s">
        <v>973</v>
      </c>
      <c r="D286" s="100" t="s">
        <v>974</v>
      </c>
      <c r="E286" s="216">
        <v>10</v>
      </c>
    </row>
    <row r="287" spans="2:5" x14ac:dyDescent="0.35">
      <c r="B287" s="101" t="s">
        <v>975</v>
      </c>
      <c r="C287" s="102" t="s">
        <v>976</v>
      </c>
      <c r="D287" s="100" t="s">
        <v>977</v>
      </c>
      <c r="E287" s="216">
        <v>11</v>
      </c>
    </row>
    <row r="288" spans="2:5" x14ac:dyDescent="0.35">
      <c r="B288" s="101" t="s">
        <v>978</v>
      </c>
      <c r="C288" s="102" t="s">
        <v>979</v>
      </c>
      <c r="D288" s="100" t="s">
        <v>980</v>
      </c>
      <c r="E288" s="216">
        <v>17</v>
      </c>
    </row>
    <row r="289" spans="2:5" x14ac:dyDescent="0.35">
      <c r="B289" s="101" t="s">
        <v>981</v>
      </c>
      <c r="C289" s="102" t="s">
        <v>982</v>
      </c>
      <c r="D289" s="100" t="s">
        <v>983</v>
      </c>
      <c r="E289" s="216">
        <v>12</v>
      </c>
    </row>
    <row r="290" spans="2:5" x14ac:dyDescent="0.35">
      <c r="B290" s="133" t="s">
        <v>984</v>
      </c>
      <c r="C290" s="140"/>
      <c r="D290" s="140"/>
      <c r="E290" s="140"/>
    </row>
    <row r="291" spans="2:5" x14ac:dyDescent="0.35">
      <c r="B291" s="101" t="s">
        <v>985</v>
      </c>
      <c r="C291" s="102" t="s">
        <v>986</v>
      </c>
      <c r="D291" s="100" t="s">
        <v>987</v>
      </c>
      <c r="E291" s="216">
        <v>2</v>
      </c>
    </row>
    <row r="292" spans="2:5" x14ac:dyDescent="0.35">
      <c r="B292" s="101" t="s">
        <v>988</v>
      </c>
      <c r="C292" s="102" t="s">
        <v>989</v>
      </c>
      <c r="D292" s="100" t="s">
        <v>990</v>
      </c>
      <c r="E292" s="216">
        <v>8</v>
      </c>
    </row>
    <row r="293" spans="2:5" x14ac:dyDescent="0.35">
      <c r="B293" s="101" t="s">
        <v>991</v>
      </c>
      <c r="C293" s="99" t="s">
        <v>992</v>
      </c>
      <c r="D293" s="100" t="s">
        <v>993</v>
      </c>
      <c r="E293" s="216">
        <v>13</v>
      </c>
    </row>
    <row r="294" spans="2:5" x14ac:dyDescent="0.35">
      <c r="B294" s="101" t="s">
        <v>994</v>
      </c>
      <c r="C294" s="141" t="s">
        <v>995</v>
      </c>
      <c r="D294" s="100" t="s">
        <v>996</v>
      </c>
      <c r="E294" s="216">
        <v>33</v>
      </c>
    </row>
    <row r="295" spans="2:5" x14ac:dyDescent="0.35">
      <c r="B295" s="142"/>
      <c r="C295" s="140"/>
      <c r="D295" s="140"/>
      <c r="E295" s="140"/>
    </row>
    <row r="296" spans="2:5" x14ac:dyDescent="0.35">
      <c r="B296" s="109" t="s">
        <v>997</v>
      </c>
      <c r="C296" s="134"/>
      <c r="D296" s="134"/>
      <c r="E296" s="134"/>
    </row>
    <row r="297" spans="2:5" x14ac:dyDescent="0.35">
      <c r="B297" s="101" t="s">
        <v>998</v>
      </c>
      <c r="C297" s="99" t="s">
        <v>999</v>
      </c>
      <c r="D297" s="100" t="s">
        <v>1000</v>
      </c>
      <c r="E297" s="216">
        <v>27</v>
      </c>
    </row>
    <row r="298" spans="2:5" x14ac:dyDescent="0.35">
      <c r="B298" s="101" t="s">
        <v>1001</v>
      </c>
      <c r="C298" s="99" t="s">
        <v>1002</v>
      </c>
      <c r="D298" s="100" t="s">
        <v>1003</v>
      </c>
      <c r="E298" s="216">
        <v>38</v>
      </c>
    </row>
    <row r="299" spans="2:5" x14ac:dyDescent="0.35">
      <c r="B299" s="101" t="s">
        <v>1004</v>
      </c>
      <c r="C299" s="132" t="s">
        <v>1005</v>
      </c>
      <c r="D299" s="100" t="s">
        <v>1006</v>
      </c>
      <c r="E299" s="216">
        <v>603</v>
      </c>
    </row>
    <row r="300" spans="2:5" x14ac:dyDescent="0.35">
      <c r="B300" s="101" t="s">
        <v>1007</v>
      </c>
      <c r="C300" s="99" t="s">
        <v>1008</v>
      </c>
      <c r="D300" s="100" t="s">
        <v>1009</v>
      </c>
      <c r="E300" s="216">
        <v>940</v>
      </c>
    </row>
    <row r="301" spans="2:5" x14ac:dyDescent="0.35">
      <c r="B301" s="142"/>
      <c r="C301" s="140"/>
      <c r="D301" s="140"/>
      <c r="E301" s="140"/>
    </row>
    <row r="302" spans="2:5" x14ac:dyDescent="0.35">
      <c r="B302" s="109" t="s">
        <v>1010</v>
      </c>
      <c r="C302" s="140"/>
      <c r="D302" s="140"/>
      <c r="E302" s="140"/>
    </row>
    <row r="303" spans="2:5" x14ac:dyDescent="0.35">
      <c r="B303" s="143" t="s">
        <v>1610</v>
      </c>
      <c r="C303" s="140"/>
      <c r="D303" s="140"/>
      <c r="E303" s="140"/>
    </row>
    <row r="304" spans="2:5" x14ac:dyDescent="0.35">
      <c r="B304" s="384" t="s">
        <v>1611</v>
      </c>
      <c r="C304" s="99" t="s">
        <v>1012</v>
      </c>
      <c r="D304" s="100" t="s">
        <v>1011</v>
      </c>
      <c r="E304" s="216">
        <v>25</v>
      </c>
    </row>
    <row r="305" spans="2:6" x14ac:dyDescent="0.35">
      <c r="B305" s="384" t="s">
        <v>1612</v>
      </c>
      <c r="C305" s="144" t="s">
        <v>1013</v>
      </c>
      <c r="D305" s="100" t="s">
        <v>1014</v>
      </c>
      <c r="E305" s="103">
        <v>20</v>
      </c>
    </row>
    <row r="306" spans="2:6" s="140" customFormat="1" x14ac:dyDescent="0.35">
      <c r="B306" s="133" t="s">
        <v>1015</v>
      </c>
    </row>
    <row r="307" spans="2:6" s="30" customFormat="1" x14ac:dyDescent="0.35">
      <c r="B307" s="334" t="s">
        <v>1829</v>
      </c>
      <c r="C307" s="335" t="s">
        <v>1719</v>
      </c>
      <c r="D307" s="336" t="s">
        <v>1490</v>
      </c>
      <c r="E307" s="337">
        <v>21</v>
      </c>
    </row>
    <row r="308" spans="2:6" x14ac:dyDescent="0.35">
      <c r="B308" s="334" t="s">
        <v>1614</v>
      </c>
      <c r="C308" s="217" t="s">
        <v>1017</v>
      </c>
      <c r="D308" s="215" t="s">
        <v>1016</v>
      </c>
      <c r="E308" s="216">
        <v>28</v>
      </c>
    </row>
    <row r="309" spans="2:6" x14ac:dyDescent="0.35">
      <c r="B309" s="334" t="s">
        <v>1615</v>
      </c>
      <c r="C309" s="217" t="s">
        <v>1018</v>
      </c>
      <c r="D309" s="215" t="s">
        <v>1019</v>
      </c>
      <c r="E309" s="216">
        <v>50</v>
      </c>
    </row>
    <row r="310" spans="2:6" s="30" customFormat="1" x14ac:dyDescent="0.35">
      <c r="B310" s="334" t="s">
        <v>1830</v>
      </c>
      <c r="C310" s="335" t="s">
        <v>1648</v>
      </c>
      <c r="D310" s="336" t="s">
        <v>1754</v>
      </c>
      <c r="E310" s="337">
        <v>120</v>
      </c>
    </row>
    <row r="311" spans="2:6" s="30" customFormat="1" x14ac:dyDescent="0.35">
      <c r="B311" s="224" t="s">
        <v>1491</v>
      </c>
      <c r="C311" s="217" t="s">
        <v>1492</v>
      </c>
      <c r="D311" s="215" t="s">
        <v>1493</v>
      </c>
      <c r="E311" s="216">
        <v>34</v>
      </c>
    </row>
    <row r="312" spans="2:6" x14ac:dyDescent="0.35">
      <c r="B312" s="224" t="s">
        <v>1020</v>
      </c>
      <c r="C312" s="232" t="s">
        <v>1021</v>
      </c>
      <c r="D312" s="215" t="s">
        <v>1022</v>
      </c>
      <c r="E312" s="216">
        <v>29</v>
      </c>
    </row>
    <row r="313" spans="2:6" x14ac:dyDescent="0.35">
      <c r="B313" s="224" t="s">
        <v>1023</v>
      </c>
      <c r="C313" s="232" t="s">
        <v>1024</v>
      </c>
      <c r="D313" s="215" t="s">
        <v>1025</v>
      </c>
      <c r="E313" s="216">
        <v>34</v>
      </c>
    </row>
    <row r="314" spans="2:6" x14ac:dyDescent="0.35">
      <c r="B314" s="224" t="s">
        <v>1026</v>
      </c>
      <c r="C314" s="232" t="s">
        <v>1027</v>
      </c>
      <c r="D314" s="215" t="s">
        <v>1028</v>
      </c>
      <c r="E314" s="216">
        <v>26</v>
      </c>
    </row>
    <row r="315" spans="2:6" x14ac:dyDescent="0.35">
      <c r="B315" s="133" t="s">
        <v>1029</v>
      </c>
      <c r="C315" s="140"/>
      <c r="D315" s="140"/>
      <c r="E315" s="140"/>
    </row>
    <row r="316" spans="2:6" s="30" customFormat="1" x14ac:dyDescent="0.35">
      <c r="B316" s="334" t="s">
        <v>1828</v>
      </c>
      <c r="C316" s="335" t="s">
        <v>1613</v>
      </c>
      <c r="D316" s="336" t="s">
        <v>1494</v>
      </c>
      <c r="E316" s="337">
        <v>22</v>
      </c>
    </row>
    <row r="317" spans="2:6" x14ac:dyDescent="0.35">
      <c r="B317" s="384" t="s">
        <v>1616</v>
      </c>
      <c r="C317" s="335" t="s">
        <v>1031</v>
      </c>
      <c r="D317" s="336" t="s">
        <v>1030</v>
      </c>
      <c r="E317" s="337">
        <v>30</v>
      </c>
      <c r="F317" s="30"/>
    </row>
    <row r="318" spans="2:6" x14ac:dyDescent="0.35">
      <c r="B318" s="384" t="s">
        <v>1618</v>
      </c>
      <c r="C318" s="335" t="s">
        <v>1032</v>
      </c>
      <c r="D318" s="336" t="s">
        <v>1033</v>
      </c>
      <c r="E318" s="337">
        <v>45</v>
      </c>
      <c r="F318" s="30"/>
    </row>
    <row r="319" spans="2:6" x14ac:dyDescent="0.35">
      <c r="B319" s="384" t="s">
        <v>1617</v>
      </c>
      <c r="C319" s="335" t="s">
        <v>1034</v>
      </c>
      <c r="D319" s="336" t="s">
        <v>1035</v>
      </c>
      <c r="E319" s="337">
        <v>55</v>
      </c>
      <c r="F319" s="30"/>
    </row>
    <row r="320" spans="2:6" x14ac:dyDescent="0.35">
      <c r="B320" s="101" t="s">
        <v>1036</v>
      </c>
      <c r="C320" s="144" t="s">
        <v>1037</v>
      </c>
      <c r="D320" s="100" t="s">
        <v>1038</v>
      </c>
      <c r="E320" s="216">
        <v>22</v>
      </c>
    </row>
    <row r="321" spans="2:5" x14ac:dyDescent="0.35">
      <c r="B321" s="101" t="s">
        <v>1039</v>
      </c>
      <c r="C321" s="144" t="s">
        <v>1040</v>
      </c>
      <c r="D321" s="100" t="s">
        <v>1041</v>
      </c>
      <c r="E321" s="216">
        <v>40</v>
      </c>
    </row>
    <row r="322" spans="2:5" x14ac:dyDescent="0.35">
      <c r="B322" s="101" t="s">
        <v>1042</v>
      </c>
      <c r="C322" s="144" t="s">
        <v>1043</v>
      </c>
      <c r="D322" s="100" t="s">
        <v>1044</v>
      </c>
      <c r="E322" s="216">
        <v>62</v>
      </c>
    </row>
    <row r="323" spans="2:5" x14ac:dyDescent="0.35">
      <c r="B323" s="101" t="s">
        <v>1045</v>
      </c>
      <c r="C323" s="144" t="s">
        <v>1046</v>
      </c>
      <c r="D323" s="100" t="s">
        <v>1047</v>
      </c>
      <c r="E323" s="216">
        <v>74</v>
      </c>
    </row>
    <row r="324" spans="2:5" x14ac:dyDescent="0.35">
      <c r="B324" s="101" t="s">
        <v>1048</v>
      </c>
      <c r="C324" s="144" t="s">
        <v>1049</v>
      </c>
      <c r="D324" s="100" t="s">
        <v>1050</v>
      </c>
      <c r="E324" s="216">
        <v>62</v>
      </c>
    </row>
    <row r="325" spans="2:5" x14ac:dyDescent="0.35">
      <c r="B325" s="133" t="s">
        <v>1051</v>
      </c>
      <c r="C325" s="140"/>
      <c r="D325" s="140"/>
      <c r="E325" s="140"/>
    </row>
    <row r="326" spans="2:5" x14ac:dyDescent="0.35">
      <c r="B326" s="101" t="s">
        <v>1052</v>
      </c>
      <c r="C326" s="144" t="s">
        <v>1053</v>
      </c>
      <c r="D326" s="100" t="s">
        <v>1054</v>
      </c>
      <c r="E326" s="216">
        <v>51</v>
      </c>
    </row>
    <row r="327" spans="2:5" x14ac:dyDescent="0.35">
      <c r="B327" s="101" t="s">
        <v>1055</v>
      </c>
      <c r="C327" s="144" t="s">
        <v>1056</v>
      </c>
      <c r="D327" s="100" t="s">
        <v>1057</v>
      </c>
      <c r="E327" s="216">
        <v>83</v>
      </c>
    </row>
    <row r="328" spans="2:5" x14ac:dyDescent="0.35">
      <c r="B328" s="7"/>
      <c r="C328" s="70"/>
    </row>
    <row r="329" spans="2:5" x14ac:dyDescent="0.35">
      <c r="B329" s="26" t="s">
        <v>1058</v>
      </c>
      <c r="C329" s="36"/>
    </row>
    <row r="330" spans="2:5" x14ac:dyDescent="0.35">
      <c r="B330" s="101" t="s">
        <v>1059</v>
      </c>
      <c r="C330" s="144" t="s">
        <v>1060</v>
      </c>
      <c r="D330" s="100" t="s">
        <v>1061</v>
      </c>
      <c r="E330" s="216">
        <v>18</v>
      </c>
    </row>
    <row r="331" spans="2:5" x14ac:dyDescent="0.35">
      <c r="B331" s="101" t="s">
        <v>1062</v>
      </c>
      <c r="C331" s="144" t="s">
        <v>1063</v>
      </c>
      <c r="D331" s="100" t="s">
        <v>1064</v>
      </c>
      <c r="E331" s="216">
        <v>31</v>
      </c>
    </row>
    <row r="332" spans="2:5" x14ac:dyDescent="0.35">
      <c r="B332" s="96"/>
      <c r="C332" s="138"/>
      <c r="D332" s="140"/>
      <c r="E332" s="140"/>
    </row>
    <row r="333" spans="2:5" x14ac:dyDescent="0.35">
      <c r="B333" s="109" t="s">
        <v>1065</v>
      </c>
      <c r="C333" s="134"/>
      <c r="D333" s="140"/>
      <c r="E333" s="140"/>
    </row>
    <row r="334" spans="2:5" x14ac:dyDescent="0.35">
      <c r="B334" s="101" t="s">
        <v>1852</v>
      </c>
      <c r="C334" s="102" t="s">
        <v>1066</v>
      </c>
      <c r="D334" s="100" t="s">
        <v>1067</v>
      </c>
      <c r="E334" s="216">
        <v>38</v>
      </c>
    </row>
    <row r="335" spans="2:5" x14ac:dyDescent="0.35">
      <c r="B335" s="101" t="s">
        <v>1853</v>
      </c>
      <c r="C335" s="102" t="s">
        <v>1068</v>
      </c>
      <c r="D335" s="100" t="s">
        <v>1069</v>
      </c>
      <c r="E335" s="216">
        <v>38</v>
      </c>
    </row>
    <row r="336" spans="2:5" x14ac:dyDescent="0.35">
      <c r="B336" s="224" t="s">
        <v>1495</v>
      </c>
      <c r="C336" s="233" t="s">
        <v>1070</v>
      </c>
      <c r="D336" s="215" t="s">
        <v>1071</v>
      </c>
      <c r="E336" s="216">
        <v>45</v>
      </c>
    </row>
    <row r="337" spans="2:5" x14ac:dyDescent="0.35">
      <c r="B337" s="224" t="s">
        <v>1854</v>
      </c>
      <c r="C337" s="233" t="s">
        <v>1072</v>
      </c>
      <c r="D337" s="215" t="s">
        <v>1073</v>
      </c>
      <c r="E337" s="216">
        <v>47</v>
      </c>
    </row>
    <row r="338" spans="2:5" s="30" customFormat="1" x14ac:dyDescent="0.35">
      <c r="B338" s="224" t="s">
        <v>1855</v>
      </c>
      <c r="C338" s="233" t="s">
        <v>1496</v>
      </c>
      <c r="D338" s="215" t="s">
        <v>1497</v>
      </c>
      <c r="E338" s="216">
        <v>44</v>
      </c>
    </row>
    <row r="339" spans="2:5" s="30" customFormat="1" x14ac:dyDescent="0.35">
      <c r="B339" s="234" t="s">
        <v>1856</v>
      </c>
      <c r="C339" s="235" t="s">
        <v>1545</v>
      </c>
      <c r="D339" s="215" t="s">
        <v>1546</v>
      </c>
      <c r="E339" s="216">
        <v>34</v>
      </c>
    </row>
    <row r="340" spans="2:5" s="30" customFormat="1" x14ac:dyDescent="0.35">
      <c r="B340" s="234" t="s">
        <v>1857</v>
      </c>
      <c r="C340" s="313" t="s">
        <v>1866</v>
      </c>
      <c r="D340" s="215" t="s">
        <v>1547</v>
      </c>
      <c r="E340" s="216">
        <v>34</v>
      </c>
    </row>
    <row r="341" spans="2:5" x14ac:dyDescent="0.35">
      <c r="B341" s="7"/>
      <c r="C341" s="70"/>
      <c r="D341" s="71"/>
      <c r="E341" s="71"/>
    </row>
    <row r="342" spans="2:5" ht="15.5" x14ac:dyDescent="0.35">
      <c r="B342" s="72" t="s">
        <v>1074</v>
      </c>
      <c r="C342" s="73"/>
      <c r="D342" s="73"/>
      <c r="E342" s="73"/>
    </row>
    <row r="343" spans="2:5" x14ac:dyDescent="0.35">
      <c r="B343" s="26" t="s">
        <v>72</v>
      </c>
    </row>
    <row r="344" spans="2:5" x14ac:dyDescent="0.35">
      <c r="B344" s="119" t="s">
        <v>1498</v>
      </c>
    </row>
    <row r="345" spans="2:5" x14ac:dyDescent="0.35">
      <c r="B345" s="38" t="s">
        <v>73</v>
      </c>
      <c r="C345" s="63"/>
      <c r="D345" s="61" t="s">
        <v>74</v>
      </c>
      <c r="E345" s="103">
        <v>10</v>
      </c>
    </row>
    <row r="346" spans="2:5" x14ac:dyDescent="0.35">
      <c r="B346" s="38" t="s">
        <v>75</v>
      </c>
      <c r="C346" s="63"/>
      <c r="D346" s="61" t="s">
        <v>76</v>
      </c>
      <c r="E346" s="103">
        <v>21</v>
      </c>
    </row>
    <row r="347" spans="2:5" x14ac:dyDescent="0.35">
      <c r="B347" s="31" t="s">
        <v>78</v>
      </c>
      <c r="C347" s="31"/>
      <c r="D347" s="32" t="s">
        <v>77</v>
      </c>
      <c r="E347" s="158">
        <v>52</v>
      </c>
    </row>
    <row r="348" spans="2:5" x14ac:dyDescent="0.35">
      <c r="B348" s="31" t="s">
        <v>80</v>
      </c>
      <c r="C348" s="31"/>
      <c r="D348" s="32" t="s">
        <v>79</v>
      </c>
      <c r="E348" s="158">
        <v>83</v>
      </c>
    </row>
    <row r="349" spans="2:5" x14ac:dyDescent="0.35">
      <c r="B349" s="119" t="s">
        <v>1499</v>
      </c>
      <c r="E349" s="140"/>
    </row>
    <row r="350" spans="2:5" x14ac:dyDescent="0.35">
      <c r="B350" s="22" t="s">
        <v>73</v>
      </c>
      <c r="C350" s="63"/>
      <c r="D350" s="61" t="s">
        <v>172</v>
      </c>
      <c r="E350" s="103">
        <v>21</v>
      </c>
    </row>
    <row r="351" spans="2:5" x14ac:dyDescent="0.35">
      <c r="B351" s="22" t="s">
        <v>75</v>
      </c>
      <c r="C351" s="63"/>
      <c r="D351" s="61" t="s">
        <v>173</v>
      </c>
      <c r="E351" s="103">
        <v>41</v>
      </c>
    </row>
    <row r="352" spans="2:5" x14ac:dyDescent="0.35">
      <c r="B352" s="31" t="s">
        <v>78</v>
      </c>
      <c r="C352" s="42"/>
      <c r="D352" s="32" t="s">
        <v>174</v>
      </c>
      <c r="E352" s="203">
        <v>103</v>
      </c>
    </row>
    <row r="353" spans="2:7" x14ac:dyDescent="0.35">
      <c r="B353" s="119" t="s">
        <v>1500</v>
      </c>
      <c r="E353" s="140"/>
    </row>
    <row r="354" spans="2:7" x14ac:dyDescent="0.35">
      <c r="B354" s="22" t="s">
        <v>73</v>
      </c>
      <c r="C354" s="63"/>
      <c r="D354" s="61" t="s">
        <v>370</v>
      </c>
      <c r="E354" s="103">
        <v>12</v>
      </c>
    </row>
    <row r="355" spans="2:7" x14ac:dyDescent="0.35">
      <c r="B355" s="22" t="s">
        <v>75</v>
      </c>
      <c r="C355" s="63"/>
      <c r="D355" s="61" t="s">
        <v>371</v>
      </c>
      <c r="E355" s="103">
        <v>25</v>
      </c>
    </row>
    <row r="356" spans="2:7" x14ac:dyDescent="0.35">
      <c r="B356" s="31" t="s">
        <v>78</v>
      </c>
      <c r="C356" s="42"/>
      <c r="D356" s="32" t="s">
        <v>372</v>
      </c>
      <c r="E356" s="203">
        <v>52</v>
      </c>
    </row>
    <row r="357" spans="2:7" x14ac:dyDescent="0.35">
      <c r="B357" s="31" t="s">
        <v>80</v>
      </c>
      <c r="C357" s="42"/>
      <c r="D357" s="32" t="s">
        <v>373</v>
      </c>
      <c r="E357" s="203">
        <v>83</v>
      </c>
    </row>
    <row r="358" spans="2:7" x14ac:dyDescent="0.35">
      <c r="B358" s="31" t="s">
        <v>1524</v>
      </c>
      <c r="C358" s="42"/>
      <c r="D358" s="32" t="s">
        <v>464</v>
      </c>
      <c r="E358" s="203">
        <v>207</v>
      </c>
    </row>
    <row r="359" spans="2:7" x14ac:dyDescent="0.35">
      <c r="E359" s="140"/>
    </row>
    <row r="360" spans="2:7" s="6" customFormat="1" x14ac:dyDescent="0.35">
      <c r="B360" s="24" t="s">
        <v>81</v>
      </c>
      <c r="C360" s="8"/>
      <c r="D360" s="9"/>
      <c r="E360" s="97"/>
      <c r="G360"/>
    </row>
    <row r="361" spans="2:7" s="6" customFormat="1" x14ac:dyDescent="0.35">
      <c r="B361" s="33" t="s">
        <v>1299</v>
      </c>
      <c r="C361" s="33"/>
      <c r="D361" s="34" t="s">
        <v>82</v>
      </c>
      <c r="E361" s="35">
        <v>223</v>
      </c>
      <c r="G361"/>
    </row>
    <row r="362" spans="2:7" s="6" customFormat="1" x14ac:dyDescent="0.35">
      <c r="B362" s="33" t="s">
        <v>1303</v>
      </c>
      <c r="C362" s="33"/>
      <c r="D362" s="34" t="s">
        <v>83</v>
      </c>
      <c r="E362" s="35">
        <v>282</v>
      </c>
      <c r="G362"/>
    </row>
    <row r="363" spans="2:7" s="6" customFormat="1" x14ac:dyDescent="0.35">
      <c r="B363" s="33" t="s">
        <v>1304</v>
      </c>
      <c r="C363" s="33"/>
      <c r="D363" s="34" t="s">
        <v>84</v>
      </c>
      <c r="E363" s="35">
        <v>336</v>
      </c>
      <c r="G363"/>
    </row>
    <row r="364" spans="2:7" s="6" customFormat="1" x14ac:dyDescent="0.35">
      <c r="B364" s="33" t="s">
        <v>1305</v>
      </c>
      <c r="C364" s="33"/>
      <c r="D364" s="34" t="s">
        <v>85</v>
      </c>
      <c r="E364" s="35">
        <v>388</v>
      </c>
      <c r="G364"/>
    </row>
    <row r="365" spans="2:7" s="6" customFormat="1" x14ac:dyDescent="0.35">
      <c r="B365" s="33" t="s">
        <v>1306</v>
      </c>
      <c r="C365" s="33"/>
      <c r="D365" s="34" t="s">
        <v>86</v>
      </c>
      <c r="E365" s="35">
        <v>447</v>
      </c>
      <c r="G365"/>
    </row>
    <row r="366" spans="2:7" x14ac:dyDescent="0.35">
      <c r="E366" s="140"/>
    </row>
    <row r="367" spans="2:7" x14ac:dyDescent="0.35">
      <c r="B367" s="21" t="s">
        <v>1075</v>
      </c>
      <c r="E367" s="140"/>
    </row>
    <row r="368" spans="2:7" x14ac:dyDescent="0.35">
      <c r="B368" s="31" t="s">
        <v>87</v>
      </c>
      <c r="C368" s="31"/>
      <c r="D368" s="32" t="s">
        <v>88</v>
      </c>
      <c r="E368" s="158">
        <v>10</v>
      </c>
    </row>
    <row r="369" spans="2:8" x14ac:dyDescent="0.35">
      <c r="B369" s="31" t="s">
        <v>1076</v>
      </c>
      <c r="C369" s="31"/>
      <c r="D369" s="32" t="s">
        <v>89</v>
      </c>
      <c r="E369" s="158">
        <v>35</v>
      </c>
    </row>
    <row r="370" spans="2:8" x14ac:dyDescent="0.35">
      <c r="E370" s="140"/>
    </row>
    <row r="371" spans="2:8" x14ac:dyDescent="0.35">
      <c r="B371" s="21" t="s">
        <v>1077</v>
      </c>
      <c r="E371" s="140"/>
    </row>
    <row r="372" spans="2:8" x14ac:dyDescent="0.35">
      <c r="B372" s="119" t="s">
        <v>1498</v>
      </c>
      <c r="C372" s="140"/>
      <c r="D372" s="140"/>
      <c r="E372" s="140"/>
    </row>
    <row r="373" spans="2:8" x14ac:dyDescent="0.35">
      <c r="B373" s="31" t="s">
        <v>1078</v>
      </c>
      <c r="C373" s="66"/>
      <c r="D373" s="67" t="s">
        <v>1079</v>
      </c>
      <c r="E373" s="157">
        <v>41</v>
      </c>
    </row>
    <row r="374" spans="2:8" x14ac:dyDescent="0.35">
      <c r="B374" s="31" t="s">
        <v>1080</v>
      </c>
      <c r="C374" s="66"/>
      <c r="D374" s="67" t="s">
        <v>1081</v>
      </c>
      <c r="E374" s="157">
        <v>83</v>
      </c>
    </row>
    <row r="375" spans="2:8" x14ac:dyDescent="0.35">
      <c r="B375" s="119" t="s">
        <v>1499</v>
      </c>
      <c r="C375" s="140"/>
      <c r="D375" s="140"/>
      <c r="E375" s="140"/>
    </row>
    <row r="376" spans="2:8" x14ac:dyDescent="0.35">
      <c r="B376" s="31" t="s">
        <v>1078</v>
      </c>
      <c r="C376" s="66"/>
      <c r="D376" s="67" t="s">
        <v>1082</v>
      </c>
      <c r="E376" s="157">
        <v>186</v>
      </c>
    </row>
    <row r="377" spans="2:8" x14ac:dyDescent="0.35">
      <c r="B377" s="31" t="s">
        <v>1080</v>
      </c>
      <c r="C377" s="66"/>
      <c r="D377" s="67" t="s">
        <v>1083</v>
      </c>
      <c r="E377" s="157">
        <v>269</v>
      </c>
    </row>
    <row r="378" spans="2:8" x14ac:dyDescent="0.35">
      <c r="B378" s="119" t="s">
        <v>1500</v>
      </c>
      <c r="C378" s="140"/>
      <c r="D378" s="140"/>
      <c r="E378" s="140"/>
    </row>
    <row r="379" spans="2:8" x14ac:dyDescent="0.35">
      <c r="B379" s="31" t="s">
        <v>1078</v>
      </c>
      <c r="C379" s="66"/>
      <c r="D379" s="67" t="s">
        <v>1084</v>
      </c>
      <c r="E379" s="157">
        <v>49</v>
      </c>
    </row>
    <row r="380" spans="2:8" x14ac:dyDescent="0.35">
      <c r="B380" s="31" t="s">
        <v>1080</v>
      </c>
      <c r="C380" s="66"/>
      <c r="D380" s="67" t="s">
        <v>1085</v>
      </c>
      <c r="E380" s="157">
        <v>100</v>
      </c>
    </row>
    <row r="382" spans="2:8" s="6" customFormat="1" x14ac:dyDescent="0.35">
      <c r="B382" s="24" t="s">
        <v>1086</v>
      </c>
      <c r="C382" s="8"/>
      <c r="D382" s="9"/>
      <c r="G382"/>
      <c r="H382"/>
    </row>
    <row r="383" spans="2:8" s="6" customFormat="1" x14ac:dyDescent="0.35">
      <c r="B383" s="33" t="s">
        <v>1087</v>
      </c>
      <c r="C383" s="33"/>
      <c r="D383" s="34" t="s">
        <v>1088</v>
      </c>
      <c r="E383" s="35">
        <v>827</v>
      </c>
      <c r="G383"/>
      <c r="H383"/>
    </row>
    <row r="384" spans="2:8" s="6" customFormat="1" x14ac:dyDescent="0.35">
      <c r="G384"/>
      <c r="H384"/>
    </row>
    <row r="385" spans="2:5" x14ac:dyDescent="0.35">
      <c r="B385" s="26" t="s">
        <v>1089</v>
      </c>
    </row>
    <row r="386" spans="2:5" x14ac:dyDescent="0.35">
      <c r="B386" s="101" t="s">
        <v>1091</v>
      </c>
      <c r="C386" s="217" t="s">
        <v>1404</v>
      </c>
      <c r="D386" s="100" t="s">
        <v>1090</v>
      </c>
      <c r="E386" s="216">
        <v>4</v>
      </c>
    </row>
    <row r="387" spans="2:5" s="37" customFormat="1" x14ac:dyDescent="0.35">
      <c r="B387" s="229" t="s">
        <v>1405</v>
      </c>
      <c r="C387" s="217" t="s">
        <v>1406</v>
      </c>
      <c r="D387" s="100" t="s">
        <v>1092</v>
      </c>
      <c r="E387" s="216">
        <v>6</v>
      </c>
    </row>
    <row r="388" spans="2:5" x14ac:dyDescent="0.35">
      <c r="B388" s="101" t="s">
        <v>1093</v>
      </c>
      <c r="C388" s="217" t="s">
        <v>1407</v>
      </c>
      <c r="D388" s="100" t="s">
        <v>1094</v>
      </c>
      <c r="E388" s="216">
        <v>6</v>
      </c>
    </row>
    <row r="389" spans="2:5" x14ac:dyDescent="0.35">
      <c r="B389" s="101" t="s">
        <v>1095</v>
      </c>
      <c r="C389" s="236" t="s">
        <v>1408</v>
      </c>
      <c r="D389" s="100" t="s">
        <v>1096</v>
      </c>
      <c r="E389" s="216">
        <v>13</v>
      </c>
    </row>
    <row r="390" spans="2:5" x14ac:dyDescent="0.35">
      <c r="B390" s="431" t="s">
        <v>1619</v>
      </c>
      <c r="C390" s="217" t="s">
        <v>1409</v>
      </c>
      <c r="D390" s="100" t="s">
        <v>1097</v>
      </c>
      <c r="E390" s="216">
        <v>16</v>
      </c>
    </row>
    <row r="391" spans="2:5" x14ac:dyDescent="0.35">
      <c r="B391" s="101" t="s">
        <v>1098</v>
      </c>
      <c r="C391" s="217" t="s">
        <v>1099</v>
      </c>
      <c r="D391" s="100" t="s">
        <v>1100</v>
      </c>
      <c r="E391" s="216">
        <v>6</v>
      </c>
    </row>
    <row r="393" spans="2:5" x14ac:dyDescent="0.35">
      <c r="B393" s="26" t="s">
        <v>1101</v>
      </c>
    </row>
    <row r="394" spans="2:5" x14ac:dyDescent="0.35">
      <c r="B394" s="224" t="s">
        <v>1410</v>
      </c>
      <c r="C394" s="217" t="s">
        <v>1409</v>
      </c>
      <c r="D394" s="100" t="s">
        <v>1102</v>
      </c>
      <c r="E394" s="216">
        <v>6</v>
      </c>
    </row>
    <row r="395" spans="2:5" x14ac:dyDescent="0.35">
      <c r="B395" s="224" t="s">
        <v>1411</v>
      </c>
      <c r="C395" s="217" t="s">
        <v>1409</v>
      </c>
      <c r="D395" s="100" t="s">
        <v>1103</v>
      </c>
      <c r="E395" s="216">
        <v>6</v>
      </c>
    </row>
    <row r="396" spans="2:5" x14ac:dyDescent="0.35">
      <c r="B396" s="224" t="s">
        <v>1412</v>
      </c>
      <c r="C396" s="217" t="s">
        <v>1409</v>
      </c>
      <c r="D396" s="100" t="s">
        <v>1104</v>
      </c>
      <c r="E396" s="216">
        <v>6</v>
      </c>
    </row>
    <row r="397" spans="2:5" x14ac:dyDescent="0.35">
      <c r="B397" s="224" t="s">
        <v>1413</v>
      </c>
      <c r="C397" s="217" t="s">
        <v>1409</v>
      </c>
      <c r="D397" s="100" t="s">
        <v>1105</v>
      </c>
      <c r="E397" s="216">
        <v>26</v>
      </c>
    </row>
    <row r="398" spans="2:5" x14ac:dyDescent="0.35">
      <c r="B398" s="224" t="s">
        <v>1414</v>
      </c>
      <c r="C398" s="217" t="s">
        <v>1409</v>
      </c>
      <c r="D398" s="100" t="s">
        <v>1106</v>
      </c>
      <c r="E398" s="216">
        <v>0</v>
      </c>
    </row>
    <row r="399" spans="2:5" x14ac:dyDescent="0.35">
      <c r="B399" s="224" t="s">
        <v>1415</v>
      </c>
      <c r="C399" s="217" t="s">
        <v>1409</v>
      </c>
      <c r="D399" s="100" t="s">
        <v>1107</v>
      </c>
      <c r="E399" s="216">
        <v>4</v>
      </c>
    </row>
    <row r="401" spans="2:5" x14ac:dyDescent="0.35">
      <c r="B401" s="21" t="s">
        <v>1108</v>
      </c>
    </row>
    <row r="402" spans="2:5" x14ac:dyDescent="0.35">
      <c r="B402" s="39" t="s">
        <v>1109</v>
      </c>
    </row>
    <row r="403" spans="2:5" x14ac:dyDescent="0.35">
      <c r="B403" s="31" t="s">
        <v>1110</v>
      </c>
      <c r="C403" s="66"/>
      <c r="D403" s="67" t="s">
        <v>1111</v>
      </c>
      <c r="E403" s="157">
        <v>72</v>
      </c>
    </row>
    <row r="404" spans="2:5" x14ac:dyDescent="0.35">
      <c r="B404" s="31" t="s">
        <v>1112</v>
      </c>
      <c r="C404" s="66"/>
      <c r="D404" s="67" t="s">
        <v>1113</v>
      </c>
      <c r="E404" s="157">
        <v>27</v>
      </c>
    </row>
    <row r="405" spans="2:5" x14ac:dyDescent="0.35">
      <c r="B405" s="31" t="s">
        <v>1114</v>
      </c>
      <c r="C405" s="66"/>
      <c r="D405" s="67" t="s">
        <v>1115</v>
      </c>
      <c r="E405" s="157">
        <v>50</v>
      </c>
    </row>
    <row r="406" spans="2:5" x14ac:dyDescent="0.35">
      <c r="B406" s="31" t="s">
        <v>1116</v>
      </c>
      <c r="C406" s="66"/>
      <c r="D406" s="67" t="s">
        <v>1117</v>
      </c>
      <c r="E406" s="157">
        <v>18</v>
      </c>
    </row>
    <row r="407" spans="2:5" x14ac:dyDescent="0.35">
      <c r="B407" s="39" t="s">
        <v>1118</v>
      </c>
    </row>
    <row r="408" spans="2:5" x14ac:dyDescent="0.35">
      <c r="B408" s="31" t="s">
        <v>1119</v>
      </c>
      <c r="C408" s="66"/>
      <c r="D408" s="67" t="s">
        <v>1120</v>
      </c>
      <c r="E408" s="157">
        <v>94</v>
      </c>
    </row>
    <row r="409" spans="2:5" x14ac:dyDescent="0.35">
      <c r="B409" s="31" t="s">
        <v>1121</v>
      </c>
      <c r="C409" s="66"/>
      <c r="D409" s="67" t="s">
        <v>1122</v>
      </c>
      <c r="E409" s="157">
        <v>76</v>
      </c>
    </row>
    <row r="410" spans="2:5" x14ac:dyDescent="0.35">
      <c r="B410" s="31" t="s">
        <v>1123</v>
      </c>
      <c r="C410" s="66"/>
      <c r="D410" s="67" t="s">
        <v>1124</v>
      </c>
      <c r="E410" s="157">
        <v>48</v>
      </c>
    </row>
    <row r="411" spans="2:5" x14ac:dyDescent="0.35">
      <c r="B411" s="31" t="s">
        <v>1125</v>
      </c>
      <c r="C411" s="66"/>
      <c r="D411" s="67" t="s">
        <v>1126</v>
      </c>
      <c r="E411" s="157">
        <v>27</v>
      </c>
    </row>
    <row r="412" spans="2:5" x14ac:dyDescent="0.35">
      <c r="B412" s="8"/>
      <c r="C412" s="70"/>
    </row>
    <row r="413" spans="2:5" x14ac:dyDescent="0.35">
      <c r="B413" s="21" t="s">
        <v>1127</v>
      </c>
      <c r="C413" s="70"/>
    </row>
    <row r="414" spans="2:5" x14ac:dyDescent="0.35">
      <c r="B414" s="31" t="s">
        <v>1128</v>
      </c>
      <c r="C414" s="66"/>
      <c r="D414" s="67" t="s">
        <v>1129</v>
      </c>
      <c r="E414" s="68">
        <v>21</v>
      </c>
    </row>
    <row r="415" spans="2:5" x14ac:dyDescent="0.35">
      <c r="B415" s="31" t="s">
        <v>1130</v>
      </c>
      <c r="C415" s="66"/>
      <c r="D415" s="67" t="s">
        <v>1131</v>
      </c>
      <c r="E415" s="68">
        <v>13</v>
      </c>
    </row>
    <row r="416" spans="2:5" x14ac:dyDescent="0.35">
      <c r="B416" s="31" t="s">
        <v>1132</v>
      </c>
      <c r="C416" s="66"/>
      <c r="D416" s="67" t="s">
        <v>1133</v>
      </c>
      <c r="E416" s="68">
        <v>15</v>
      </c>
    </row>
    <row r="417" spans="2:5" x14ac:dyDescent="0.35">
      <c r="B417" s="31" t="s">
        <v>1134</v>
      </c>
      <c r="C417" s="66"/>
      <c r="D417" s="67" t="s">
        <v>1135</v>
      </c>
      <c r="E417" s="68">
        <v>18</v>
      </c>
    </row>
    <row r="418" spans="2:5" x14ac:dyDescent="0.35">
      <c r="B418" s="31" t="s">
        <v>1136</v>
      </c>
      <c r="C418" s="66"/>
      <c r="D418" s="67" t="s">
        <v>1137</v>
      </c>
      <c r="E418" s="68">
        <v>30</v>
      </c>
    </row>
    <row r="419" spans="2:5" x14ac:dyDescent="0.35">
      <c r="B419" s="31" t="s">
        <v>1138</v>
      </c>
      <c r="C419" s="66"/>
      <c r="D419" s="67" t="s">
        <v>1139</v>
      </c>
      <c r="E419" s="68">
        <v>18</v>
      </c>
    </row>
    <row r="420" spans="2:5" x14ac:dyDescent="0.35">
      <c r="B420" s="31" t="s">
        <v>1140</v>
      </c>
      <c r="C420" s="66"/>
      <c r="D420" s="67" t="s">
        <v>1141</v>
      </c>
      <c r="E420" s="68">
        <v>21</v>
      </c>
    </row>
    <row r="422" spans="2:5" x14ac:dyDescent="0.35">
      <c r="B422" s="21" t="s">
        <v>1142</v>
      </c>
    </row>
    <row r="423" spans="2:5" x14ac:dyDescent="0.35">
      <c r="B423" s="31" t="s">
        <v>1143</v>
      </c>
      <c r="C423" s="66"/>
      <c r="D423" s="67" t="s">
        <v>1144</v>
      </c>
      <c r="E423" s="68">
        <v>4</v>
      </c>
    </row>
    <row r="424" spans="2:5" x14ac:dyDescent="0.35">
      <c r="B424" s="31" t="s">
        <v>1145</v>
      </c>
      <c r="C424" s="66"/>
      <c r="D424" s="67" t="s">
        <v>1146</v>
      </c>
      <c r="E424" s="68">
        <v>0</v>
      </c>
    </row>
    <row r="426" spans="2:5" x14ac:dyDescent="0.35">
      <c r="B426" s="114" t="s">
        <v>1620</v>
      </c>
    </row>
    <row r="427" spans="2:5" x14ac:dyDescent="0.35">
      <c r="B427" s="39" t="s">
        <v>1147</v>
      </c>
    </row>
    <row r="428" spans="2:5" x14ac:dyDescent="0.35">
      <c r="B428" s="31" t="s">
        <v>1148</v>
      </c>
      <c r="C428" s="66"/>
      <c r="D428" s="67" t="s">
        <v>1149</v>
      </c>
      <c r="E428" s="68">
        <v>9</v>
      </c>
    </row>
    <row r="429" spans="2:5" x14ac:dyDescent="0.35">
      <c r="B429" s="31" t="s">
        <v>1150</v>
      </c>
      <c r="C429" s="66"/>
      <c r="D429" s="67" t="s">
        <v>1151</v>
      </c>
      <c r="E429" s="68">
        <v>65</v>
      </c>
    </row>
    <row r="430" spans="2:5" x14ac:dyDescent="0.35">
      <c r="B430" s="31" t="s">
        <v>1152</v>
      </c>
      <c r="C430" s="66"/>
      <c r="D430" s="67" t="s">
        <v>1153</v>
      </c>
      <c r="E430" s="68">
        <v>124</v>
      </c>
    </row>
    <row r="431" spans="2:5" x14ac:dyDescent="0.35">
      <c r="B431" s="77" t="s">
        <v>1154</v>
      </c>
      <c r="C431" s="76"/>
      <c r="D431" s="76"/>
    </row>
    <row r="432" spans="2:5" x14ac:dyDescent="0.35">
      <c r="B432" s="31" t="s">
        <v>1155</v>
      </c>
      <c r="C432" s="66"/>
      <c r="D432" s="67" t="s">
        <v>1156</v>
      </c>
      <c r="E432" s="68">
        <v>7</v>
      </c>
    </row>
    <row r="433" spans="1:6" x14ac:dyDescent="0.35">
      <c r="B433" s="39" t="s">
        <v>1157</v>
      </c>
    </row>
    <row r="434" spans="1:6" x14ac:dyDescent="0.35">
      <c r="B434" s="31" t="s">
        <v>1158</v>
      </c>
      <c r="C434" s="66"/>
      <c r="D434" s="67" t="s">
        <v>1159</v>
      </c>
      <c r="E434" s="68">
        <v>300</v>
      </c>
    </row>
    <row r="435" spans="1:6" x14ac:dyDescent="0.35">
      <c r="B435" s="31" t="s">
        <v>1160</v>
      </c>
      <c r="C435" s="66"/>
      <c r="D435" s="67" t="s">
        <v>1161</v>
      </c>
      <c r="E435" s="68">
        <v>403</v>
      </c>
    </row>
    <row r="436" spans="1:6" x14ac:dyDescent="0.35">
      <c r="B436" s="31" t="s">
        <v>1162</v>
      </c>
      <c r="C436" s="66"/>
      <c r="D436" s="67" t="s">
        <v>1163</v>
      </c>
      <c r="E436" s="68">
        <v>1128</v>
      </c>
    </row>
    <row r="437" spans="1:6" x14ac:dyDescent="0.35">
      <c r="B437" s="31" t="s">
        <v>1164</v>
      </c>
      <c r="C437" s="66"/>
      <c r="D437" s="67" t="s">
        <v>1165</v>
      </c>
      <c r="E437" s="68">
        <v>269</v>
      </c>
    </row>
    <row r="438" spans="1:6" x14ac:dyDescent="0.35">
      <c r="B438" s="39" t="s">
        <v>1166</v>
      </c>
    </row>
    <row r="439" spans="1:6" x14ac:dyDescent="0.35">
      <c r="B439" s="31" t="s">
        <v>1167</v>
      </c>
      <c r="C439" s="66"/>
      <c r="D439" s="67" t="s">
        <v>1168</v>
      </c>
      <c r="E439" s="68">
        <v>0</v>
      </c>
    </row>
    <row r="440" spans="1:6" x14ac:dyDescent="0.35">
      <c r="B440" s="31" t="s">
        <v>1169</v>
      </c>
      <c r="C440" s="66"/>
      <c r="D440" s="67" t="s">
        <v>1170</v>
      </c>
      <c r="E440" s="68">
        <v>15</v>
      </c>
    </row>
    <row r="441" spans="1:6" x14ac:dyDescent="0.35">
      <c r="B441" s="31" t="s">
        <v>1171</v>
      </c>
      <c r="C441" s="66"/>
      <c r="D441" s="67" t="s">
        <v>1172</v>
      </c>
      <c r="E441" s="68">
        <v>34</v>
      </c>
    </row>
    <row r="442" spans="1:6" x14ac:dyDescent="0.35">
      <c r="B442" s="52" t="s">
        <v>109</v>
      </c>
    </row>
    <row r="443" spans="1:6" ht="15.5" x14ac:dyDescent="0.35">
      <c r="B443" s="78" t="s">
        <v>1173</v>
      </c>
      <c r="C443" s="79"/>
      <c r="D443" s="80"/>
      <c r="E443" s="81"/>
    </row>
    <row r="444" spans="1:6" x14ac:dyDescent="0.35">
      <c r="A444" s="373"/>
      <c r="B444" s="101" t="s">
        <v>1895</v>
      </c>
      <c r="C444" s="99" t="s">
        <v>1905</v>
      </c>
      <c r="D444" s="100" t="s">
        <v>1174</v>
      </c>
      <c r="E444" s="337">
        <v>135</v>
      </c>
    </row>
    <row r="445" spans="1:6" x14ac:dyDescent="0.35">
      <c r="A445" s="373"/>
      <c r="B445" s="384" t="s">
        <v>1896</v>
      </c>
      <c r="C445" s="99" t="s">
        <v>1905</v>
      </c>
      <c r="D445" s="100" t="s">
        <v>1175</v>
      </c>
      <c r="E445" s="337">
        <v>151</v>
      </c>
    </row>
    <row r="446" spans="1:6" x14ac:dyDescent="0.35">
      <c r="A446" s="373"/>
      <c r="B446" s="101" t="s">
        <v>1897</v>
      </c>
      <c r="C446" s="99" t="s">
        <v>1905</v>
      </c>
      <c r="D446" s="100" t="s">
        <v>1176</v>
      </c>
      <c r="E446" s="337">
        <v>237</v>
      </c>
    </row>
    <row r="447" spans="1:6" x14ac:dyDescent="0.35">
      <c r="B447" s="384" t="s">
        <v>1621</v>
      </c>
      <c r="C447" s="335" t="s">
        <v>1627</v>
      </c>
      <c r="D447" s="336" t="s">
        <v>1622</v>
      </c>
      <c r="E447" s="337">
        <v>110</v>
      </c>
      <c r="F447" s="30"/>
    </row>
    <row r="448" spans="1:6" x14ac:dyDescent="0.35">
      <c r="B448" s="384" t="s">
        <v>1623</v>
      </c>
      <c r="C448" s="335" t="s">
        <v>1628</v>
      </c>
      <c r="D448" s="336" t="s">
        <v>1624</v>
      </c>
      <c r="E448" s="337">
        <v>126</v>
      </c>
    </row>
    <row r="449" spans="2:5" x14ac:dyDescent="0.35">
      <c r="B449" s="384" t="s">
        <v>1625</v>
      </c>
      <c r="C449" s="335" t="s">
        <v>1629</v>
      </c>
      <c r="D449" s="336" t="s">
        <v>1626</v>
      </c>
      <c r="E449" s="337">
        <v>212</v>
      </c>
    </row>
  </sheetData>
  <sheetProtection algorithmName="SHA-512" hashValue="IT0MZ634XQU3CPRXDxnyeuZRGKuDFfn4TLuMNa36HO2mtxSoOPScW3iTSP3oUCQd1BklVBhhFXTNEGf3RNXdCA==" saltValue="S9y/YbiWNjzqM1EEawTpog==" spinCount="100000" sheet="1" objects="1" scenarios="1"/>
  <mergeCells count="2">
    <mergeCell ref="B2:D2"/>
    <mergeCell ref="B4:D4"/>
  </mergeCells>
  <phoneticPr fontId="37" type="noConversion"/>
  <conditionalFormatting sqref="D341:D343 D270:D306 D260:D268 D237:D240 D73:D80 D1:D6 D320:D335 D345:D348 D350:D352 D354:D371 D373:D374 D376:D377 D379:D446 D20:D30 D105:D114 D101:D102 D181 D184:D227 D116:D122 D450:D1048576 D92:D98 D82:D90 D34:D71 D125:D179">
    <cfRule type="duplicateValues" dxfId="181" priority="96"/>
  </conditionalFormatting>
  <conditionalFormatting sqref="D228:D233">
    <cfRule type="duplicateValues" dxfId="180" priority="95"/>
  </conditionalFormatting>
  <conditionalFormatting sqref="D234:D236">
    <cfRule type="duplicateValues" dxfId="179" priority="97"/>
  </conditionalFormatting>
  <conditionalFormatting sqref="D308:D315">
    <cfRule type="duplicateValues" dxfId="178" priority="94"/>
  </conditionalFormatting>
  <conditionalFormatting sqref="D336:D340">
    <cfRule type="duplicateValues" dxfId="177" priority="93"/>
  </conditionalFormatting>
  <conditionalFormatting sqref="D344">
    <cfRule type="duplicateValues" dxfId="176" priority="92"/>
  </conditionalFormatting>
  <conditionalFormatting sqref="D349">
    <cfRule type="duplicateValues" dxfId="175" priority="91"/>
  </conditionalFormatting>
  <conditionalFormatting sqref="D353">
    <cfRule type="duplicateValues" dxfId="174" priority="90"/>
  </conditionalFormatting>
  <conditionalFormatting sqref="D372">
    <cfRule type="duplicateValues" dxfId="173" priority="89"/>
  </conditionalFormatting>
  <conditionalFormatting sqref="D375">
    <cfRule type="duplicateValues" dxfId="172" priority="88"/>
  </conditionalFormatting>
  <conditionalFormatting sqref="D378">
    <cfRule type="duplicateValues" dxfId="171" priority="87"/>
  </conditionalFormatting>
  <conditionalFormatting sqref="D103">
    <cfRule type="duplicateValues" dxfId="170" priority="86"/>
  </conditionalFormatting>
  <conditionalFormatting sqref="D104">
    <cfRule type="duplicateValues" dxfId="169" priority="85"/>
  </conditionalFormatting>
  <conditionalFormatting sqref="D100">
    <cfRule type="duplicateValues" dxfId="168" priority="84"/>
  </conditionalFormatting>
  <conditionalFormatting sqref="D7:D18">
    <cfRule type="duplicateValues" dxfId="167" priority="98"/>
  </conditionalFormatting>
  <conditionalFormatting sqref="D258:D259 D241:D252">
    <cfRule type="duplicateValues" dxfId="166" priority="99"/>
  </conditionalFormatting>
  <conditionalFormatting sqref="D269">
    <cfRule type="duplicateValues" dxfId="165" priority="100"/>
  </conditionalFormatting>
  <conditionalFormatting sqref="D180">
    <cfRule type="duplicateValues" dxfId="164" priority="83"/>
  </conditionalFormatting>
  <conditionalFormatting sqref="D182">
    <cfRule type="duplicateValues" dxfId="163" priority="82"/>
  </conditionalFormatting>
  <conditionalFormatting sqref="D183">
    <cfRule type="duplicateValues" dxfId="162" priority="81"/>
  </conditionalFormatting>
  <conditionalFormatting sqref="D19">
    <cfRule type="duplicateValues" dxfId="161" priority="80"/>
  </conditionalFormatting>
  <conditionalFormatting sqref="D99">
    <cfRule type="duplicateValues" dxfId="160" priority="79"/>
  </conditionalFormatting>
  <conditionalFormatting sqref="D115">
    <cfRule type="duplicateValues" dxfId="159" priority="78"/>
  </conditionalFormatting>
  <conditionalFormatting sqref="D307">
    <cfRule type="duplicateValues" dxfId="158" priority="76"/>
  </conditionalFormatting>
  <conditionalFormatting sqref="D316:D319">
    <cfRule type="duplicateValues" dxfId="157" priority="75"/>
  </conditionalFormatting>
  <conditionalFormatting sqref="D447:D449">
    <cfRule type="duplicateValues" dxfId="156" priority="74"/>
  </conditionalFormatting>
  <conditionalFormatting sqref="D123:D124">
    <cfRule type="duplicateValues" dxfId="155" priority="73"/>
  </conditionalFormatting>
  <conditionalFormatting sqref="D91">
    <cfRule type="duplicateValues" dxfId="154" priority="72"/>
  </conditionalFormatting>
  <conditionalFormatting sqref="D253:D254">
    <cfRule type="duplicateValues" dxfId="153" priority="2063"/>
  </conditionalFormatting>
  <conditionalFormatting sqref="D258:D1048576 D1:D30 D34:D80 D82:D254">
    <cfRule type="duplicateValues" dxfId="152" priority="2240"/>
  </conditionalFormatting>
  <conditionalFormatting sqref="D257">
    <cfRule type="duplicateValues" dxfId="151" priority="29"/>
  </conditionalFormatting>
  <conditionalFormatting sqref="D257">
    <cfRule type="duplicateValues" dxfId="150" priority="31"/>
  </conditionalFormatting>
  <conditionalFormatting sqref="D255:D256">
    <cfRule type="duplicateValues" dxfId="149" priority="23"/>
  </conditionalFormatting>
  <conditionalFormatting sqref="D255:D256">
    <cfRule type="duplicateValues" dxfId="148" priority="24"/>
  </conditionalFormatting>
  <conditionalFormatting sqref="D81">
    <cfRule type="duplicateValues" dxfId="147" priority="21"/>
  </conditionalFormatting>
  <conditionalFormatting sqref="D81">
    <cfRule type="duplicateValues" dxfId="146" priority="22"/>
  </conditionalFormatting>
  <conditionalFormatting sqref="D31:D33">
    <cfRule type="duplicateValues" dxfId="145" priority="2332"/>
  </conditionalFormatting>
  <conditionalFormatting sqref="D31:D33">
    <cfRule type="duplicateValues" dxfId="144" priority="2346"/>
  </conditionalFormatting>
  <pageMargins left="0.7" right="0.7" top="0.75" bottom="0.75" header="0.3" footer="0.3"/>
  <pageSetup paperSize="9" orientation="portrait" r:id="rId1"/>
  <headerFooter>
    <oddFooter>&amp;L&amp;1#&amp;"Calibri"&amp;7&amp;K7F7F7FInternal Use - Confidential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27CC6-88BC-405E-991D-EE9AEE1EBE6C}">
  <sheetPr>
    <tabColor rgb="FF00B050"/>
  </sheetPr>
  <dimension ref="A1:P454"/>
  <sheetViews>
    <sheetView zoomScale="80" zoomScaleNormal="80" workbookViewId="0">
      <selection activeCell="A185" sqref="A185:XFD185"/>
    </sheetView>
  </sheetViews>
  <sheetFormatPr baseColWidth="10" defaultColWidth="8.7265625" defaultRowHeight="14.5" x14ac:dyDescent="0.35"/>
  <cols>
    <col min="1" max="1" width="8.7265625" style="30"/>
    <col min="2" max="2" width="189.81640625" style="52" customWidth="1"/>
    <col min="3" max="3" width="16.54296875" style="30" customWidth="1"/>
    <col min="4" max="4" width="15" style="30" bestFit="1" customWidth="1"/>
    <col min="5" max="5" width="16.1796875" style="30" customWidth="1"/>
    <col min="6" max="6" width="16.7265625" style="30" customWidth="1"/>
    <col min="7" max="7" width="20.81640625" style="30" customWidth="1"/>
    <col min="8" max="8" width="4.26953125" style="30" customWidth="1"/>
    <col min="9" max="12" width="14" style="30" bestFit="1" customWidth="1"/>
    <col min="13" max="16384" width="8.7265625" style="30"/>
  </cols>
  <sheetData>
    <row r="1" spans="2:12" ht="71.25" customHeight="1" x14ac:dyDescent="0.35">
      <c r="B1" s="165"/>
    </row>
    <row r="2" spans="2:12" ht="21.5" thickBot="1" x14ac:dyDescent="0.4">
      <c r="B2" s="504" t="s">
        <v>22</v>
      </c>
      <c r="C2" s="504"/>
      <c r="D2" s="504"/>
      <c r="E2" s="53"/>
    </row>
    <row r="3" spans="2:12" x14ac:dyDescent="0.35">
      <c r="B3" s="54"/>
      <c r="C3" s="37"/>
      <c r="D3" s="37"/>
      <c r="E3" s="37"/>
      <c r="I3" s="440" t="s">
        <v>1921</v>
      </c>
      <c r="J3" s="434" t="s">
        <v>1922</v>
      </c>
      <c r="K3" s="434" t="s">
        <v>1923</v>
      </c>
      <c r="L3" s="435" t="s">
        <v>1924</v>
      </c>
    </row>
    <row r="4" spans="2:12" ht="21" x14ac:dyDescent="0.35">
      <c r="B4" s="509" t="s">
        <v>531</v>
      </c>
      <c r="C4" s="509"/>
      <c r="D4" s="510"/>
      <c r="E4" s="55"/>
      <c r="F4" s="511" t="s">
        <v>1928</v>
      </c>
      <c r="G4" s="511"/>
      <c r="I4" s="441">
        <v>0.22422</v>
      </c>
      <c r="J4" s="436">
        <v>0.11817999999999999</v>
      </c>
      <c r="K4" s="436">
        <v>8.5800000000000001E-2</v>
      </c>
      <c r="L4" s="437">
        <v>7.0749999999999993E-2</v>
      </c>
    </row>
    <row r="5" spans="2:12" ht="38" thickBot="1" x14ac:dyDescent="0.4">
      <c r="B5" s="56" t="s">
        <v>24</v>
      </c>
      <c r="C5" s="57" t="s">
        <v>25</v>
      </c>
      <c r="D5" s="58" t="s">
        <v>26</v>
      </c>
      <c r="E5" s="59" t="s">
        <v>532</v>
      </c>
      <c r="F5" s="470" t="s">
        <v>26</v>
      </c>
      <c r="G5" s="470" t="s">
        <v>1307</v>
      </c>
      <c r="I5" s="442" t="s">
        <v>1917</v>
      </c>
      <c r="J5" s="438" t="s">
        <v>1918</v>
      </c>
      <c r="K5" s="438" t="s">
        <v>1919</v>
      </c>
      <c r="L5" s="439" t="s">
        <v>1920</v>
      </c>
    </row>
    <row r="6" spans="2:12" x14ac:dyDescent="0.35">
      <c r="B6" s="26" t="s">
        <v>533</v>
      </c>
    </row>
    <row r="7" spans="2:12" x14ac:dyDescent="0.35">
      <c r="B7" s="60" t="s">
        <v>1440</v>
      </c>
    </row>
    <row r="8" spans="2:12" x14ac:dyDescent="0.35">
      <c r="B8" s="224" t="s">
        <v>1441</v>
      </c>
      <c r="C8" s="214" t="s">
        <v>1442</v>
      </c>
      <c r="D8" s="215" t="s">
        <v>1443</v>
      </c>
      <c r="E8" s="216">
        <v>105</v>
      </c>
      <c r="I8" s="463">
        <f>($E8+$G8)*I$4</f>
        <v>23.543099999999999</v>
      </c>
      <c r="J8" s="463">
        <f t="shared" ref="J8:L19" si="0">($E8+$G8)*J$4</f>
        <v>12.408899999999999</v>
      </c>
      <c r="K8" s="463">
        <f t="shared" si="0"/>
        <v>9.0090000000000003</v>
      </c>
      <c r="L8" s="463">
        <f t="shared" si="0"/>
        <v>7.4287499999999991</v>
      </c>
    </row>
    <row r="9" spans="2:12" x14ac:dyDescent="0.35">
      <c r="B9" s="224" t="s">
        <v>1768</v>
      </c>
      <c r="C9" s="214" t="s">
        <v>1444</v>
      </c>
      <c r="D9" s="215" t="s">
        <v>534</v>
      </c>
      <c r="E9" s="216">
        <v>304</v>
      </c>
      <c r="I9" s="463">
        <f>($E9+$G9)*I$4</f>
        <v>68.162880000000001</v>
      </c>
      <c r="J9" s="463">
        <f t="shared" si="0"/>
        <v>35.926719999999996</v>
      </c>
      <c r="K9" s="463">
        <f t="shared" si="0"/>
        <v>26.083200000000001</v>
      </c>
      <c r="L9" s="463">
        <f t="shared" si="0"/>
        <v>21.507999999999999</v>
      </c>
    </row>
    <row r="10" spans="2:12" x14ac:dyDescent="0.35">
      <c r="B10" s="60" t="s">
        <v>1439</v>
      </c>
    </row>
    <row r="11" spans="2:12" x14ac:dyDescent="0.35">
      <c r="B11" s="224" t="s">
        <v>1445</v>
      </c>
      <c r="C11" s="214" t="s">
        <v>1446</v>
      </c>
      <c r="D11" s="215" t="s">
        <v>535</v>
      </c>
      <c r="E11" s="216">
        <v>105</v>
      </c>
      <c r="I11" s="463">
        <f t="shared" ref="I11:I19" si="1">($E11+$G11)*I$4</f>
        <v>23.543099999999999</v>
      </c>
      <c r="J11" s="463">
        <f t="shared" si="0"/>
        <v>12.408899999999999</v>
      </c>
      <c r="K11" s="463">
        <f t="shared" si="0"/>
        <v>9.0090000000000003</v>
      </c>
      <c r="L11" s="463">
        <f t="shared" si="0"/>
        <v>7.4287499999999991</v>
      </c>
    </row>
    <row r="12" spans="2:12" x14ac:dyDescent="0.35">
      <c r="B12" s="224" t="s">
        <v>1447</v>
      </c>
      <c r="C12" s="214" t="s">
        <v>1448</v>
      </c>
      <c r="D12" s="215" t="s">
        <v>536</v>
      </c>
      <c r="E12" s="216">
        <v>304</v>
      </c>
      <c r="I12" s="463">
        <f t="shared" si="1"/>
        <v>68.162880000000001</v>
      </c>
      <c r="J12" s="463">
        <f t="shared" si="0"/>
        <v>35.926719999999996</v>
      </c>
      <c r="K12" s="463">
        <f t="shared" si="0"/>
        <v>26.083200000000001</v>
      </c>
      <c r="L12" s="463">
        <f t="shared" si="0"/>
        <v>21.507999999999999</v>
      </c>
    </row>
    <row r="13" spans="2:12" x14ac:dyDescent="0.35">
      <c r="B13" s="224" t="s">
        <v>1449</v>
      </c>
      <c r="C13" s="214" t="s">
        <v>1450</v>
      </c>
      <c r="D13" s="215" t="s">
        <v>537</v>
      </c>
      <c r="E13" s="216">
        <v>487</v>
      </c>
      <c r="I13" s="463">
        <f t="shared" si="1"/>
        <v>109.19513999999999</v>
      </c>
      <c r="J13" s="463">
        <f t="shared" si="0"/>
        <v>57.553659999999994</v>
      </c>
      <c r="K13" s="463">
        <f t="shared" si="0"/>
        <v>41.784599999999998</v>
      </c>
      <c r="L13" s="463">
        <f t="shared" si="0"/>
        <v>34.455249999999999</v>
      </c>
    </row>
    <row r="14" spans="2:12" x14ac:dyDescent="0.35">
      <c r="B14" s="224" t="s">
        <v>1451</v>
      </c>
      <c r="C14" s="214" t="s">
        <v>1452</v>
      </c>
      <c r="D14" s="215" t="s">
        <v>538</v>
      </c>
      <c r="E14" s="216">
        <v>859</v>
      </c>
      <c r="F14" s="343"/>
      <c r="I14" s="463">
        <f t="shared" si="1"/>
        <v>192.60498000000001</v>
      </c>
      <c r="J14" s="463">
        <f t="shared" si="0"/>
        <v>101.51661999999999</v>
      </c>
      <c r="K14" s="463">
        <f t="shared" si="0"/>
        <v>73.702200000000005</v>
      </c>
      <c r="L14" s="463">
        <f t="shared" si="0"/>
        <v>60.774249999999995</v>
      </c>
    </row>
    <row r="15" spans="2:12" x14ac:dyDescent="0.35">
      <c r="B15" s="224" t="s">
        <v>1453</v>
      </c>
      <c r="C15" s="214" t="s">
        <v>1454</v>
      </c>
      <c r="D15" s="215" t="s">
        <v>1455</v>
      </c>
      <c r="E15" s="216">
        <v>1328</v>
      </c>
      <c r="I15" s="463">
        <f t="shared" si="1"/>
        <v>297.76416</v>
      </c>
      <c r="J15" s="463">
        <f t="shared" si="0"/>
        <v>156.94304</v>
      </c>
      <c r="K15" s="463">
        <f t="shared" si="0"/>
        <v>113.94240000000001</v>
      </c>
      <c r="L15" s="463">
        <f t="shared" si="0"/>
        <v>93.955999999999989</v>
      </c>
    </row>
    <row r="16" spans="2:12" x14ac:dyDescent="0.35">
      <c r="B16" s="224" t="s">
        <v>1456</v>
      </c>
      <c r="C16" s="214" t="s">
        <v>1521</v>
      </c>
      <c r="D16" s="215" t="s">
        <v>539</v>
      </c>
      <c r="E16" s="216">
        <v>1952</v>
      </c>
      <c r="I16" s="463">
        <f t="shared" si="1"/>
        <v>437.67743999999999</v>
      </c>
      <c r="J16" s="463">
        <f t="shared" si="0"/>
        <v>230.68735999999998</v>
      </c>
      <c r="K16" s="463">
        <f t="shared" si="0"/>
        <v>167.48160000000001</v>
      </c>
      <c r="L16" s="463">
        <f t="shared" si="0"/>
        <v>138.10399999999998</v>
      </c>
    </row>
    <row r="17" spans="2:12" x14ac:dyDescent="0.35">
      <c r="B17" s="224" t="s">
        <v>1457</v>
      </c>
      <c r="C17" s="214" t="s">
        <v>1458</v>
      </c>
      <c r="D17" s="215" t="s">
        <v>1459</v>
      </c>
      <c r="E17" s="216">
        <v>2767</v>
      </c>
      <c r="I17" s="463">
        <f t="shared" si="1"/>
        <v>620.41674</v>
      </c>
      <c r="J17" s="463">
        <f t="shared" si="0"/>
        <v>327.00405999999998</v>
      </c>
      <c r="K17" s="463">
        <f t="shared" si="0"/>
        <v>237.40860000000001</v>
      </c>
      <c r="L17" s="463">
        <f t="shared" si="0"/>
        <v>195.76524999999998</v>
      </c>
    </row>
    <row r="18" spans="2:12" x14ac:dyDescent="0.35">
      <c r="B18" s="224" t="s">
        <v>1460</v>
      </c>
      <c r="C18" s="214" t="s">
        <v>540</v>
      </c>
      <c r="D18" s="215" t="s">
        <v>541</v>
      </c>
      <c r="E18" s="216">
        <v>3916</v>
      </c>
      <c r="I18" s="463">
        <f t="shared" si="1"/>
        <v>878.04552000000001</v>
      </c>
      <c r="J18" s="463">
        <f t="shared" si="0"/>
        <v>462.79287999999997</v>
      </c>
      <c r="K18" s="463">
        <f t="shared" si="0"/>
        <v>335.99279999999999</v>
      </c>
      <c r="L18" s="463">
        <f t="shared" si="0"/>
        <v>277.05699999999996</v>
      </c>
    </row>
    <row r="19" spans="2:12" x14ac:dyDescent="0.35">
      <c r="B19" s="415" t="s">
        <v>1597</v>
      </c>
      <c r="C19" s="416" t="s">
        <v>1598</v>
      </c>
      <c r="D19" s="417" t="s">
        <v>1748</v>
      </c>
      <c r="E19" s="330">
        <v>6900</v>
      </c>
      <c r="F19" s="329"/>
      <c r="I19" s="463">
        <f t="shared" si="1"/>
        <v>1547.1179999999999</v>
      </c>
      <c r="J19" s="463">
        <f t="shared" si="0"/>
        <v>815.44200000000001</v>
      </c>
      <c r="K19" s="463">
        <f t="shared" si="0"/>
        <v>592.02</v>
      </c>
      <c r="L19" s="463">
        <f t="shared" si="0"/>
        <v>488.17499999999995</v>
      </c>
    </row>
    <row r="20" spans="2:12" x14ac:dyDescent="0.35">
      <c r="B20" s="60"/>
    </row>
    <row r="21" spans="2:12" x14ac:dyDescent="0.35">
      <c r="B21" s="26" t="s">
        <v>542</v>
      </c>
      <c r="C21" s="39"/>
    </row>
    <row r="22" spans="2:12" x14ac:dyDescent="0.35">
      <c r="B22" s="38" t="s">
        <v>543</v>
      </c>
      <c r="C22" s="62" t="s">
        <v>544</v>
      </c>
      <c r="D22" s="61" t="s">
        <v>545</v>
      </c>
      <c r="E22" s="216">
        <v>136</v>
      </c>
      <c r="I22" s="463">
        <f t="shared" ref="I22:L24" si="2">($E22+$G22)*I$4</f>
        <v>30.493919999999999</v>
      </c>
      <c r="J22" s="463">
        <f t="shared" si="2"/>
        <v>16.072479999999999</v>
      </c>
      <c r="K22" s="463">
        <f t="shared" si="2"/>
        <v>11.668800000000001</v>
      </c>
      <c r="L22" s="463">
        <f t="shared" si="2"/>
        <v>9.6219999999999999</v>
      </c>
    </row>
    <row r="23" spans="2:12" x14ac:dyDescent="0.35">
      <c r="B23" s="38" t="s">
        <v>45</v>
      </c>
      <c r="C23" s="62" t="s">
        <v>546</v>
      </c>
      <c r="D23" s="61" t="s">
        <v>547</v>
      </c>
      <c r="E23" s="216">
        <v>241</v>
      </c>
      <c r="I23" s="463">
        <f t="shared" si="2"/>
        <v>54.037019999999998</v>
      </c>
      <c r="J23" s="463">
        <f t="shared" si="2"/>
        <v>28.481379999999998</v>
      </c>
      <c r="K23" s="463">
        <f t="shared" si="2"/>
        <v>20.677800000000001</v>
      </c>
      <c r="L23" s="463">
        <f t="shared" si="2"/>
        <v>17.050749999999997</v>
      </c>
    </row>
    <row r="24" spans="2:12" x14ac:dyDescent="0.35">
      <c r="B24" s="38" t="s">
        <v>47</v>
      </c>
      <c r="C24" s="62" t="s">
        <v>548</v>
      </c>
      <c r="D24" s="61" t="s">
        <v>549</v>
      </c>
      <c r="E24" s="216">
        <v>463</v>
      </c>
      <c r="I24" s="463">
        <f t="shared" si="2"/>
        <v>103.81386000000001</v>
      </c>
      <c r="J24" s="463">
        <f t="shared" si="2"/>
        <v>54.71734</v>
      </c>
      <c r="K24" s="463">
        <f t="shared" si="2"/>
        <v>39.7254</v>
      </c>
      <c r="L24" s="463">
        <f t="shared" si="2"/>
        <v>32.757249999999999</v>
      </c>
    </row>
    <row r="25" spans="2:12" s="140" customFormat="1" x14ac:dyDescent="0.35">
      <c r="B25" s="109"/>
      <c r="C25" s="119"/>
      <c r="D25" s="135"/>
      <c r="E25" s="135"/>
    </row>
    <row r="26" spans="2:12" x14ac:dyDescent="0.35">
      <c r="B26" s="26" t="s">
        <v>550</v>
      </c>
      <c r="C26" s="39"/>
      <c r="D26" s="40"/>
      <c r="E26" s="135"/>
    </row>
    <row r="27" spans="2:12" x14ac:dyDescent="0.35">
      <c r="B27" s="60" t="s">
        <v>551</v>
      </c>
      <c r="C27" s="39"/>
      <c r="D27" s="40"/>
      <c r="E27" s="135"/>
    </row>
    <row r="28" spans="2:12" x14ac:dyDescent="0.35">
      <c r="B28" s="38" t="s">
        <v>552</v>
      </c>
      <c r="C28" s="62" t="s">
        <v>553</v>
      </c>
      <c r="D28" s="61" t="s">
        <v>554</v>
      </c>
      <c r="E28" s="216">
        <v>15</v>
      </c>
      <c r="I28" s="463">
        <f t="shared" ref="I28:L29" si="3">($E28+$G28)*I$4</f>
        <v>3.3633000000000002</v>
      </c>
      <c r="J28" s="463">
        <f t="shared" si="3"/>
        <v>1.7726999999999999</v>
      </c>
      <c r="K28" s="463">
        <f t="shared" si="3"/>
        <v>1.2869999999999999</v>
      </c>
      <c r="L28" s="463">
        <f t="shared" si="3"/>
        <v>1.0612499999999998</v>
      </c>
    </row>
    <row r="29" spans="2:12" x14ac:dyDescent="0.35">
      <c r="B29" s="38" t="s">
        <v>555</v>
      </c>
      <c r="C29" s="62" t="s">
        <v>556</v>
      </c>
      <c r="D29" s="61" t="s">
        <v>557</v>
      </c>
      <c r="E29" s="216">
        <v>29</v>
      </c>
      <c r="I29" s="463">
        <f t="shared" si="3"/>
        <v>6.5023800000000005</v>
      </c>
      <c r="J29" s="463">
        <f t="shared" si="3"/>
        <v>3.4272199999999997</v>
      </c>
      <c r="K29" s="463">
        <f t="shared" si="3"/>
        <v>2.4882</v>
      </c>
      <c r="L29" s="463">
        <f t="shared" si="3"/>
        <v>2.0517499999999997</v>
      </c>
    </row>
    <row r="30" spans="2:12" x14ac:dyDescent="0.35">
      <c r="B30" s="60" t="s">
        <v>558</v>
      </c>
      <c r="C30" s="39"/>
      <c r="D30" s="40"/>
      <c r="E30" s="135"/>
    </row>
    <row r="31" spans="2:12" x14ac:dyDescent="0.35">
      <c r="B31" s="386" t="s">
        <v>1898</v>
      </c>
      <c r="C31" s="418" t="s">
        <v>1899</v>
      </c>
      <c r="D31" s="419" t="s">
        <v>559</v>
      </c>
      <c r="E31" s="420">
        <v>64</v>
      </c>
      <c r="I31" s="463">
        <f t="shared" ref="I31:L35" si="4">($E31+$G31)*I$4</f>
        <v>14.35008</v>
      </c>
      <c r="J31" s="463">
        <f t="shared" si="4"/>
        <v>7.5635199999999996</v>
      </c>
      <c r="K31" s="463">
        <f t="shared" si="4"/>
        <v>5.4912000000000001</v>
      </c>
      <c r="L31" s="463">
        <f t="shared" si="4"/>
        <v>4.5279999999999996</v>
      </c>
    </row>
    <row r="32" spans="2:12" x14ac:dyDescent="0.35">
      <c r="B32" s="386" t="s">
        <v>1900</v>
      </c>
      <c r="C32" s="418" t="s">
        <v>1901</v>
      </c>
      <c r="D32" s="419" t="s">
        <v>560</v>
      </c>
      <c r="E32" s="420">
        <v>79</v>
      </c>
      <c r="I32" s="463">
        <f t="shared" si="4"/>
        <v>17.713380000000001</v>
      </c>
      <c r="J32" s="463">
        <f t="shared" si="4"/>
        <v>9.3362199999999991</v>
      </c>
      <c r="K32" s="463">
        <f t="shared" si="4"/>
        <v>6.7782</v>
      </c>
      <c r="L32" s="463">
        <f t="shared" si="4"/>
        <v>5.5892499999999998</v>
      </c>
    </row>
    <row r="33" spans="2:12" x14ac:dyDescent="0.35">
      <c r="B33" s="386" t="s">
        <v>1902</v>
      </c>
      <c r="C33" s="418" t="s">
        <v>1903</v>
      </c>
      <c r="D33" s="419" t="s">
        <v>561</v>
      </c>
      <c r="E33" s="420">
        <v>89</v>
      </c>
      <c r="I33" s="463">
        <f t="shared" si="4"/>
        <v>19.955580000000001</v>
      </c>
      <c r="J33" s="463">
        <f t="shared" si="4"/>
        <v>10.51802</v>
      </c>
      <c r="K33" s="463">
        <f t="shared" si="4"/>
        <v>7.6362000000000005</v>
      </c>
      <c r="L33" s="463">
        <f t="shared" si="4"/>
        <v>6.2967499999999994</v>
      </c>
    </row>
    <row r="34" spans="2:12" x14ac:dyDescent="0.35">
      <c r="B34" s="101" t="s">
        <v>562</v>
      </c>
      <c r="C34" s="102" t="s">
        <v>563</v>
      </c>
      <c r="D34" s="100" t="s">
        <v>564</v>
      </c>
      <c r="E34" s="216">
        <v>135</v>
      </c>
      <c r="I34" s="463">
        <f t="shared" si="4"/>
        <v>30.2697</v>
      </c>
      <c r="J34" s="463">
        <f t="shared" si="4"/>
        <v>15.9543</v>
      </c>
      <c r="K34" s="463">
        <f t="shared" si="4"/>
        <v>11.583</v>
      </c>
      <c r="L34" s="463">
        <f t="shared" si="4"/>
        <v>9.5512499999999996</v>
      </c>
    </row>
    <row r="35" spans="2:12" x14ac:dyDescent="0.35">
      <c r="B35" s="101" t="s">
        <v>565</v>
      </c>
      <c r="C35" s="102" t="s">
        <v>566</v>
      </c>
      <c r="D35" s="100" t="s">
        <v>567</v>
      </c>
      <c r="E35" s="216">
        <v>178</v>
      </c>
      <c r="I35" s="463">
        <f t="shared" si="4"/>
        <v>39.911160000000002</v>
      </c>
      <c r="J35" s="463">
        <f t="shared" si="4"/>
        <v>21.03604</v>
      </c>
      <c r="K35" s="463">
        <f t="shared" si="4"/>
        <v>15.272400000000001</v>
      </c>
      <c r="L35" s="463">
        <f t="shared" si="4"/>
        <v>12.593499999999999</v>
      </c>
    </row>
    <row r="36" spans="2:12" x14ac:dyDescent="0.35">
      <c r="B36" s="133" t="s">
        <v>568</v>
      </c>
      <c r="C36" s="225"/>
      <c r="D36" s="225"/>
      <c r="E36" s="225"/>
    </row>
    <row r="37" spans="2:12" x14ac:dyDescent="0.35">
      <c r="B37" s="101" t="s">
        <v>569</v>
      </c>
      <c r="C37" s="99" t="s">
        <v>570</v>
      </c>
      <c r="D37" s="100" t="s">
        <v>571</v>
      </c>
      <c r="E37" s="216">
        <v>29</v>
      </c>
      <c r="I37" s="463">
        <f>($E37+$G37)*I$4</f>
        <v>6.5023800000000005</v>
      </c>
      <c r="J37" s="463">
        <f t="shared" ref="J37:L37" si="5">($E37+$G37)*J$4</f>
        <v>3.4272199999999997</v>
      </c>
      <c r="K37" s="463">
        <f t="shared" si="5"/>
        <v>2.4882</v>
      </c>
      <c r="L37" s="463">
        <f t="shared" si="5"/>
        <v>2.0517499999999997</v>
      </c>
    </row>
    <row r="38" spans="2:12" x14ac:dyDescent="0.35">
      <c r="B38" s="421"/>
      <c r="C38" s="225"/>
      <c r="D38" s="225"/>
      <c r="E38" s="225"/>
    </row>
    <row r="39" spans="2:12" x14ac:dyDescent="0.35">
      <c r="B39" s="109" t="s">
        <v>572</v>
      </c>
      <c r="C39" s="134"/>
      <c r="D39" s="135"/>
      <c r="E39" s="135"/>
    </row>
    <row r="40" spans="2:12" x14ac:dyDescent="0.35">
      <c r="B40" s="133" t="s">
        <v>573</v>
      </c>
      <c r="C40" s="134"/>
      <c r="D40" s="135"/>
      <c r="E40" s="135"/>
    </row>
    <row r="41" spans="2:12" x14ac:dyDescent="0.35">
      <c r="B41" s="101" t="s">
        <v>574</v>
      </c>
      <c r="C41" s="99" t="s">
        <v>575</v>
      </c>
      <c r="D41" s="100" t="s">
        <v>576</v>
      </c>
      <c r="E41" s="216">
        <v>6</v>
      </c>
      <c r="I41" s="463">
        <f t="shared" ref="I41:L46" si="6">($E41+$G41)*I$4</f>
        <v>1.3453200000000001</v>
      </c>
      <c r="J41" s="463">
        <f t="shared" si="6"/>
        <v>0.70907999999999993</v>
      </c>
      <c r="K41" s="463">
        <f t="shared" si="6"/>
        <v>0.51480000000000004</v>
      </c>
      <c r="L41" s="463">
        <f t="shared" si="6"/>
        <v>0.42449999999999999</v>
      </c>
    </row>
    <row r="42" spans="2:12" x14ac:dyDescent="0.35">
      <c r="B42" s="101" t="s">
        <v>577</v>
      </c>
      <c r="C42" s="99" t="s">
        <v>578</v>
      </c>
      <c r="D42" s="100" t="s">
        <v>579</v>
      </c>
      <c r="E42" s="216">
        <v>13</v>
      </c>
      <c r="I42" s="463">
        <f t="shared" si="6"/>
        <v>2.91486</v>
      </c>
      <c r="J42" s="463">
        <f t="shared" si="6"/>
        <v>1.5363399999999998</v>
      </c>
      <c r="K42" s="463">
        <f t="shared" si="6"/>
        <v>1.1153999999999999</v>
      </c>
      <c r="L42" s="463">
        <f t="shared" si="6"/>
        <v>0.91974999999999996</v>
      </c>
    </row>
    <row r="43" spans="2:12" x14ac:dyDescent="0.35">
      <c r="B43" s="101" t="s">
        <v>580</v>
      </c>
      <c r="C43" s="99" t="s">
        <v>581</v>
      </c>
      <c r="D43" s="100" t="s">
        <v>582</v>
      </c>
      <c r="E43" s="216">
        <v>18</v>
      </c>
      <c r="I43" s="463">
        <f t="shared" si="6"/>
        <v>4.0359600000000002</v>
      </c>
      <c r="J43" s="463">
        <f t="shared" si="6"/>
        <v>2.12724</v>
      </c>
      <c r="K43" s="463">
        <f t="shared" si="6"/>
        <v>1.5444</v>
      </c>
      <c r="L43" s="463">
        <f t="shared" si="6"/>
        <v>1.2734999999999999</v>
      </c>
    </row>
    <row r="44" spans="2:12" x14ac:dyDescent="0.35">
      <c r="B44" s="101" t="s">
        <v>583</v>
      </c>
      <c r="C44" s="99" t="s">
        <v>584</v>
      </c>
      <c r="D44" s="100" t="s">
        <v>585</v>
      </c>
      <c r="E44" s="216">
        <v>10</v>
      </c>
      <c r="I44" s="463">
        <f t="shared" si="6"/>
        <v>2.2422</v>
      </c>
      <c r="J44" s="463">
        <f t="shared" si="6"/>
        <v>1.1818</v>
      </c>
      <c r="K44" s="463">
        <f t="shared" si="6"/>
        <v>0.85799999999999998</v>
      </c>
      <c r="L44" s="463">
        <f t="shared" si="6"/>
        <v>0.70749999999999991</v>
      </c>
    </row>
    <row r="45" spans="2:12" x14ac:dyDescent="0.35">
      <c r="B45" s="101" t="s">
        <v>586</v>
      </c>
      <c r="C45" s="99" t="s">
        <v>587</v>
      </c>
      <c r="D45" s="100" t="s">
        <v>588</v>
      </c>
      <c r="E45" s="216">
        <v>21</v>
      </c>
      <c r="I45" s="463">
        <f t="shared" si="6"/>
        <v>4.7086199999999998</v>
      </c>
      <c r="J45" s="463">
        <f t="shared" si="6"/>
        <v>2.4817799999999997</v>
      </c>
      <c r="K45" s="463">
        <f t="shared" si="6"/>
        <v>1.8018000000000001</v>
      </c>
      <c r="L45" s="463">
        <f t="shared" si="6"/>
        <v>1.4857499999999999</v>
      </c>
    </row>
    <row r="46" spans="2:12" x14ac:dyDescent="0.35">
      <c r="B46" s="101" t="s">
        <v>589</v>
      </c>
      <c r="C46" s="99" t="s">
        <v>590</v>
      </c>
      <c r="D46" s="100" t="s">
        <v>591</v>
      </c>
      <c r="E46" s="216">
        <v>53</v>
      </c>
      <c r="I46" s="463">
        <f t="shared" si="6"/>
        <v>11.883660000000001</v>
      </c>
      <c r="J46" s="463">
        <f t="shared" si="6"/>
        <v>6.2635399999999999</v>
      </c>
      <c r="K46" s="463">
        <f t="shared" si="6"/>
        <v>4.5473999999999997</v>
      </c>
      <c r="L46" s="463">
        <f t="shared" si="6"/>
        <v>3.7497499999999997</v>
      </c>
    </row>
    <row r="47" spans="2:12" x14ac:dyDescent="0.35">
      <c r="B47" s="133" t="s">
        <v>592</v>
      </c>
      <c r="C47" s="225"/>
      <c r="D47" s="225"/>
      <c r="E47" s="225"/>
    </row>
    <row r="48" spans="2:12" x14ac:dyDescent="0.35">
      <c r="B48" s="101" t="s">
        <v>593</v>
      </c>
      <c r="C48" s="102" t="s">
        <v>594</v>
      </c>
      <c r="D48" s="100" t="s">
        <v>595</v>
      </c>
      <c r="E48" s="216">
        <v>62</v>
      </c>
      <c r="I48" s="463">
        <f t="shared" ref="I48:L49" si="7">($E48+$G48)*I$4</f>
        <v>13.90164</v>
      </c>
      <c r="J48" s="463">
        <f t="shared" si="7"/>
        <v>7.3271599999999992</v>
      </c>
      <c r="K48" s="463">
        <f t="shared" si="7"/>
        <v>5.3196000000000003</v>
      </c>
      <c r="L48" s="463">
        <f t="shared" si="7"/>
        <v>4.3864999999999998</v>
      </c>
    </row>
    <row r="49" spans="2:12" x14ac:dyDescent="0.35">
      <c r="B49" s="101" t="s">
        <v>596</v>
      </c>
      <c r="C49" s="102" t="s">
        <v>597</v>
      </c>
      <c r="D49" s="100" t="s">
        <v>598</v>
      </c>
      <c r="E49" s="216">
        <v>62</v>
      </c>
      <c r="I49" s="463">
        <f t="shared" si="7"/>
        <v>13.90164</v>
      </c>
      <c r="J49" s="463">
        <f t="shared" si="7"/>
        <v>7.3271599999999992</v>
      </c>
      <c r="K49" s="463">
        <f t="shared" si="7"/>
        <v>5.3196000000000003</v>
      </c>
      <c r="L49" s="463">
        <f t="shared" si="7"/>
        <v>4.3864999999999998</v>
      </c>
    </row>
    <row r="50" spans="2:12" x14ac:dyDescent="0.35">
      <c r="B50" s="133" t="s">
        <v>599</v>
      </c>
      <c r="C50" s="134"/>
      <c r="D50" s="134"/>
      <c r="E50" s="134"/>
    </row>
    <row r="51" spans="2:12" x14ac:dyDescent="0.35">
      <c r="B51" s="101" t="s">
        <v>600</v>
      </c>
      <c r="C51" s="422" t="s">
        <v>601</v>
      </c>
      <c r="D51" s="100" t="s">
        <v>602</v>
      </c>
      <c r="E51" s="216">
        <v>6</v>
      </c>
      <c r="I51" s="463">
        <f t="shared" ref="I51:L56" si="8">($E51+$G51)*I$4</f>
        <v>1.3453200000000001</v>
      </c>
      <c r="J51" s="463">
        <f t="shared" si="8"/>
        <v>0.70907999999999993</v>
      </c>
      <c r="K51" s="463">
        <f t="shared" si="8"/>
        <v>0.51480000000000004</v>
      </c>
      <c r="L51" s="463">
        <f t="shared" si="8"/>
        <v>0.42449999999999999</v>
      </c>
    </row>
    <row r="52" spans="2:12" x14ac:dyDescent="0.35">
      <c r="B52" s="101" t="s">
        <v>603</v>
      </c>
      <c r="C52" s="99" t="s">
        <v>604</v>
      </c>
      <c r="D52" s="100" t="s">
        <v>605</v>
      </c>
      <c r="E52" s="216">
        <v>13</v>
      </c>
      <c r="I52" s="463">
        <f t="shared" si="8"/>
        <v>2.91486</v>
      </c>
      <c r="J52" s="463">
        <f t="shared" si="8"/>
        <v>1.5363399999999998</v>
      </c>
      <c r="K52" s="463">
        <f t="shared" si="8"/>
        <v>1.1153999999999999</v>
      </c>
      <c r="L52" s="463">
        <f t="shared" si="8"/>
        <v>0.91974999999999996</v>
      </c>
    </row>
    <row r="53" spans="2:12" x14ac:dyDescent="0.35">
      <c r="B53" s="101" t="s">
        <v>606</v>
      </c>
      <c r="C53" s="301" t="s">
        <v>607</v>
      </c>
      <c r="D53" s="100" t="s">
        <v>608</v>
      </c>
      <c r="E53" s="216">
        <v>18</v>
      </c>
      <c r="I53" s="463">
        <f t="shared" si="8"/>
        <v>4.0359600000000002</v>
      </c>
      <c r="J53" s="463">
        <f t="shared" si="8"/>
        <v>2.12724</v>
      </c>
      <c r="K53" s="463">
        <f t="shared" si="8"/>
        <v>1.5444</v>
      </c>
      <c r="L53" s="463">
        <f t="shared" si="8"/>
        <v>1.2734999999999999</v>
      </c>
    </row>
    <row r="54" spans="2:12" x14ac:dyDescent="0.35">
      <c r="B54" s="101" t="s">
        <v>609</v>
      </c>
      <c r="C54" s="99" t="s">
        <v>610</v>
      </c>
      <c r="D54" s="100" t="s">
        <v>611</v>
      </c>
      <c r="E54" s="216">
        <v>10</v>
      </c>
      <c r="I54" s="463">
        <f t="shared" si="8"/>
        <v>2.2422</v>
      </c>
      <c r="J54" s="463">
        <f t="shared" si="8"/>
        <v>1.1818</v>
      </c>
      <c r="K54" s="463">
        <f t="shared" si="8"/>
        <v>0.85799999999999998</v>
      </c>
      <c r="L54" s="463">
        <f t="shared" si="8"/>
        <v>0.70749999999999991</v>
      </c>
    </row>
    <row r="55" spans="2:12" x14ac:dyDescent="0.35">
      <c r="B55" s="101" t="s">
        <v>612</v>
      </c>
      <c r="C55" s="99" t="s">
        <v>613</v>
      </c>
      <c r="D55" s="100" t="s">
        <v>614</v>
      </c>
      <c r="E55" s="216">
        <v>21</v>
      </c>
      <c r="I55" s="463">
        <f t="shared" si="8"/>
        <v>4.7086199999999998</v>
      </c>
      <c r="J55" s="463">
        <f t="shared" si="8"/>
        <v>2.4817799999999997</v>
      </c>
      <c r="K55" s="463">
        <f t="shared" si="8"/>
        <v>1.8018000000000001</v>
      </c>
      <c r="L55" s="463">
        <f t="shared" si="8"/>
        <v>1.4857499999999999</v>
      </c>
    </row>
    <row r="56" spans="2:12" x14ac:dyDescent="0.35">
      <c r="B56" s="101" t="s">
        <v>615</v>
      </c>
      <c r="C56" s="99" t="s">
        <v>616</v>
      </c>
      <c r="D56" s="100" t="s">
        <v>617</v>
      </c>
      <c r="E56" s="216">
        <v>53</v>
      </c>
      <c r="I56" s="463">
        <f t="shared" si="8"/>
        <v>11.883660000000001</v>
      </c>
      <c r="J56" s="463">
        <f t="shared" si="8"/>
        <v>6.2635399999999999</v>
      </c>
      <c r="K56" s="463">
        <f t="shared" si="8"/>
        <v>4.5473999999999997</v>
      </c>
      <c r="L56" s="463">
        <f t="shared" si="8"/>
        <v>3.7497499999999997</v>
      </c>
    </row>
    <row r="57" spans="2:12" x14ac:dyDescent="0.35">
      <c r="B57" s="133" t="s">
        <v>618</v>
      </c>
      <c r="C57" s="134"/>
      <c r="D57" s="134"/>
      <c r="E57" s="134"/>
    </row>
    <row r="58" spans="2:12" x14ac:dyDescent="0.35">
      <c r="B58" s="101" t="s">
        <v>619</v>
      </c>
      <c r="C58" s="102" t="s">
        <v>620</v>
      </c>
      <c r="D58" s="100" t="s">
        <v>621</v>
      </c>
      <c r="E58" s="216">
        <v>62</v>
      </c>
      <c r="I58" s="463">
        <f t="shared" ref="I58:L59" si="9">($E58+$G58)*I$4</f>
        <v>13.90164</v>
      </c>
      <c r="J58" s="463">
        <f t="shared" si="9"/>
        <v>7.3271599999999992</v>
      </c>
      <c r="K58" s="463">
        <f t="shared" si="9"/>
        <v>5.3196000000000003</v>
      </c>
      <c r="L58" s="463">
        <f t="shared" si="9"/>
        <v>4.3864999999999998</v>
      </c>
    </row>
    <row r="59" spans="2:12" x14ac:dyDescent="0.35">
      <c r="B59" s="101" t="s">
        <v>622</v>
      </c>
      <c r="C59" s="102" t="s">
        <v>623</v>
      </c>
      <c r="D59" s="100" t="s">
        <v>624</v>
      </c>
      <c r="E59" s="216">
        <v>62</v>
      </c>
      <c r="I59" s="463">
        <f t="shared" si="9"/>
        <v>13.90164</v>
      </c>
      <c r="J59" s="463">
        <f t="shared" si="9"/>
        <v>7.3271599999999992</v>
      </c>
      <c r="K59" s="463">
        <f t="shared" si="9"/>
        <v>5.3196000000000003</v>
      </c>
      <c r="L59" s="463">
        <f t="shared" si="9"/>
        <v>4.3864999999999998</v>
      </c>
    </row>
    <row r="60" spans="2:12" x14ac:dyDescent="0.35">
      <c r="B60" s="133" t="s">
        <v>625</v>
      </c>
      <c r="C60" s="134"/>
      <c r="D60" s="134"/>
      <c r="E60" s="134"/>
    </row>
    <row r="61" spans="2:12" x14ac:dyDescent="0.35">
      <c r="B61" s="101" t="s">
        <v>626</v>
      </c>
      <c r="C61" s="102" t="s">
        <v>627</v>
      </c>
      <c r="D61" s="100" t="s">
        <v>628</v>
      </c>
      <c r="E61" s="216">
        <v>19</v>
      </c>
      <c r="I61" s="463">
        <f>($E61+$G61)*I$4</f>
        <v>4.2601800000000001</v>
      </c>
      <c r="J61" s="463">
        <f t="shared" ref="J61:L61" si="10">($E61+$G61)*J$4</f>
        <v>2.2454199999999997</v>
      </c>
      <c r="K61" s="463">
        <f t="shared" si="10"/>
        <v>1.6302000000000001</v>
      </c>
      <c r="L61" s="463">
        <f t="shared" si="10"/>
        <v>1.3442499999999999</v>
      </c>
    </row>
    <row r="62" spans="2:12" x14ac:dyDescent="0.35">
      <c r="B62" s="421"/>
      <c r="C62" s="225"/>
      <c r="D62" s="225"/>
      <c r="E62" s="225"/>
    </row>
    <row r="63" spans="2:12" x14ac:dyDescent="0.35">
      <c r="B63" s="109" t="s">
        <v>629</v>
      </c>
      <c r="C63" s="134"/>
      <c r="D63" s="135"/>
      <c r="E63" s="136"/>
    </row>
    <row r="64" spans="2:12" x14ac:dyDescent="0.35">
      <c r="B64" s="133" t="s">
        <v>630</v>
      </c>
      <c r="C64" s="134"/>
      <c r="D64" s="135"/>
      <c r="E64" s="136"/>
    </row>
    <row r="65" spans="2:12" x14ac:dyDescent="0.35">
      <c r="B65" s="101" t="s">
        <v>631</v>
      </c>
      <c r="C65" s="99" t="s">
        <v>632</v>
      </c>
      <c r="D65" s="100" t="s">
        <v>633</v>
      </c>
      <c r="E65" s="216">
        <v>4</v>
      </c>
      <c r="I65" s="463">
        <f t="shared" ref="I65:L70" si="11">($E65+$G65)*I$4</f>
        <v>0.89688000000000001</v>
      </c>
      <c r="J65" s="463">
        <f t="shared" si="11"/>
        <v>0.47271999999999997</v>
      </c>
      <c r="K65" s="463">
        <f t="shared" si="11"/>
        <v>0.34320000000000001</v>
      </c>
      <c r="L65" s="463">
        <f t="shared" si="11"/>
        <v>0.28299999999999997</v>
      </c>
    </row>
    <row r="66" spans="2:12" x14ac:dyDescent="0.35">
      <c r="B66" s="101" t="s">
        <v>634</v>
      </c>
      <c r="C66" s="99" t="s">
        <v>635</v>
      </c>
      <c r="D66" s="100" t="s">
        <v>636</v>
      </c>
      <c r="E66" s="216">
        <v>8</v>
      </c>
      <c r="I66" s="463">
        <f t="shared" si="11"/>
        <v>1.79376</v>
      </c>
      <c r="J66" s="463">
        <f t="shared" si="11"/>
        <v>0.94543999999999995</v>
      </c>
      <c r="K66" s="463">
        <f t="shared" si="11"/>
        <v>0.68640000000000001</v>
      </c>
      <c r="L66" s="463">
        <f t="shared" si="11"/>
        <v>0.56599999999999995</v>
      </c>
    </row>
    <row r="67" spans="2:12" x14ac:dyDescent="0.35">
      <c r="B67" s="101" t="s">
        <v>637</v>
      </c>
      <c r="C67" s="99" t="s">
        <v>638</v>
      </c>
      <c r="D67" s="100" t="s">
        <v>639</v>
      </c>
      <c r="E67" s="216">
        <v>11</v>
      </c>
      <c r="I67" s="463">
        <f t="shared" si="11"/>
        <v>2.4664199999999998</v>
      </c>
      <c r="J67" s="463">
        <f t="shared" si="11"/>
        <v>1.2999799999999999</v>
      </c>
      <c r="K67" s="463">
        <f t="shared" si="11"/>
        <v>0.94379999999999997</v>
      </c>
      <c r="L67" s="463">
        <f t="shared" si="11"/>
        <v>0.77824999999999989</v>
      </c>
    </row>
    <row r="68" spans="2:12" x14ac:dyDescent="0.35">
      <c r="B68" s="101" t="s">
        <v>640</v>
      </c>
      <c r="C68" s="99" t="s">
        <v>641</v>
      </c>
      <c r="D68" s="100" t="s">
        <v>642</v>
      </c>
      <c r="E68" s="216">
        <v>37</v>
      </c>
      <c r="I68" s="463">
        <f t="shared" si="11"/>
        <v>8.2961399999999994</v>
      </c>
      <c r="J68" s="463">
        <f t="shared" si="11"/>
        <v>4.3726599999999998</v>
      </c>
      <c r="K68" s="463">
        <f t="shared" si="11"/>
        <v>3.1745999999999999</v>
      </c>
      <c r="L68" s="463">
        <f t="shared" si="11"/>
        <v>2.6177499999999996</v>
      </c>
    </row>
    <row r="69" spans="2:12" x14ac:dyDescent="0.35">
      <c r="B69" s="101" t="s">
        <v>643</v>
      </c>
      <c r="C69" s="102" t="s">
        <v>644</v>
      </c>
      <c r="D69" s="100" t="s">
        <v>645</v>
      </c>
      <c r="E69" s="216">
        <v>12</v>
      </c>
      <c r="I69" s="463">
        <f t="shared" si="11"/>
        <v>2.6906400000000001</v>
      </c>
      <c r="J69" s="463">
        <f t="shared" si="11"/>
        <v>1.4181599999999999</v>
      </c>
      <c r="K69" s="463">
        <f t="shared" si="11"/>
        <v>1.0296000000000001</v>
      </c>
      <c r="L69" s="463">
        <f t="shared" si="11"/>
        <v>0.84899999999999998</v>
      </c>
    </row>
    <row r="70" spans="2:12" x14ac:dyDescent="0.35">
      <c r="B70" s="101" t="s">
        <v>646</v>
      </c>
      <c r="C70" s="102" t="s">
        <v>647</v>
      </c>
      <c r="D70" s="100" t="s">
        <v>648</v>
      </c>
      <c r="E70" s="216">
        <v>12</v>
      </c>
      <c r="I70" s="463">
        <f t="shared" si="11"/>
        <v>2.6906400000000001</v>
      </c>
      <c r="J70" s="463">
        <f t="shared" si="11"/>
        <v>1.4181599999999999</v>
      </c>
      <c r="K70" s="463">
        <f t="shared" si="11"/>
        <v>1.0296000000000001</v>
      </c>
      <c r="L70" s="463">
        <f t="shared" si="11"/>
        <v>0.84899999999999998</v>
      </c>
    </row>
    <row r="71" spans="2:12" x14ac:dyDescent="0.35">
      <c r="B71" s="133" t="s">
        <v>649</v>
      </c>
      <c r="C71" s="134"/>
      <c r="D71" s="134"/>
      <c r="E71" s="134"/>
    </row>
    <row r="72" spans="2:12" x14ac:dyDescent="0.35">
      <c r="B72" s="101" t="s">
        <v>650</v>
      </c>
      <c r="C72" s="102" t="s">
        <v>651</v>
      </c>
      <c r="D72" s="100" t="s">
        <v>652</v>
      </c>
      <c r="E72" s="216">
        <v>29</v>
      </c>
      <c r="I72" s="463">
        <f t="shared" ref="I72:L75" si="12">($E72+$G72)*I$4</f>
        <v>6.5023800000000005</v>
      </c>
      <c r="J72" s="463">
        <f t="shared" si="12"/>
        <v>3.4272199999999997</v>
      </c>
      <c r="K72" s="463">
        <f t="shared" si="12"/>
        <v>2.4882</v>
      </c>
      <c r="L72" s="463">
        <f t="shared" si="12"/>
        <v>2.0517499999999997</v>
      </c>
    </row>
    <row r="73" spans="2:12" x14ac:dyDescent="0.35">
      <c r="B73" s="101" t="s">
        <v>653</v>
      </c>
      <c r="C73" s="102" t="s">
        <v>654</v>
      </c>
      <c r="D73" s="100" t="s">
        <v>655</v>
      </c>
      <c r="E73" s="216">
        <v>29</v>
      </c>
      <c r="I73" s="463">
        <f t="shared" si="12"/>
        <v>6.5023800000000005</v>
      </c>
      <c r="J73" s="463">
        <f t="shared" si="12"/>
        <v>3.4272199999999997</v>
      </c>
      <c r="K73" s="463">
        <f t="shared" si="12"/>
        <v>2.4882</v>
      </c>
      <c r="L73" s="463">
        <f t="shared" si="12"/>
        <v>2.0517499999999997</v>
      </c>
    </row>
    <row r="74" spans="2:12" x14ac:dyDescent="0.35">
      <c r="B74" s="101" t="s">
        <v>656</v>
      </c>
      <c r="C74" s="102" t="s">
        <v>657</v>
      </c>
      <c r="D74" s="100" t="s">
        <v>658</v>
      </c>
      <c r="E74" s="216">
        <v>29</v>
      </c>
      <c r="I74" s="463">
        <f t="shared" si="12"/>
        <v>6.5023800000000005</v>
      </c>
      <c r="J74" s="463">
        <f t="shared" si="12"/>
        <v>3.4272199999999997</v>
      </c>
      <c r="K74" s="463">
        <f t="shared" si="12"/>
        <v>2.4882</v>
      </c>
      <c r="L74" s="463">
        <f t="shared" si="12"/>
        <v>2.0517499999999997</v>
      </c>
    </row>
    <row r="75" spans="2:12" x14ac:dyDescent="0.35">
      <c r="B75" s="101" t="s">
        <v>1316</v>
      </c>
      <c r="C75" s="102" t="s">
        <v>1315</v>
      </c>
      <c r="D75" s="100" t="s">
        <v>659</v>
      </c>
      <c r="E75" s="216">
        <v>51</v>
      </c>
      <c r="I75" s="463">
        <f t="shared" si="12"/>
        <v>11.435219999999999</v>
      </c>
      <c r="J75" s="463">
        <f t="shared" si="12"/>
        <v>6.0271799999999995</v>
      </c>
      <c r="K75" s="463">
        <f t="shared" si="12"/>
        <v>4.3757999999999999</v>
      </c>
      <c r="L75" s="463">
        <f t="shared" si="12"/>
        <v>3.6082499999999995</v>
      </c>
    </row>
    <row r="76" spans="2:12" x14ac:dyDescent="0.35">
      <c r="B76" s="133" t="s">
        <v>660</v>
      </c>
      <c r="C76" s="134"/>
      <c r="D76" s="134"/>
      <c r="E76" s="134"/>
    </row>
    <row r="77" spans="2:12" x14ac:dyDescent="0.35">
      <c r="B77" s="101" t="s">
        <v>661</v>
      </c>
      <c r="C77" s="102" t="s">
        <v>662</v>
      </c>
      <c r="D77" s="100" t="s">
        <v>663</v>
      </c>
      <c r="E77" s="216">
        <v>89</v>
      </c>
      <c r="I77" s="463">
        <f t="shared" ref="I77:L82" si="13">($E77+$G77)*I$4</f>
        <v>19.955580000000001</v>
      </c>
      <c r="J77" s="463">
        <f t="shared" si="13"/>
        <v>10.51802</v>
      </c>
      <c r="K77" s="463">
        <f t="shared" si="13"/>
        <v>7.6362000000000005</v>
      </c>
      <c r="L77" s="463">
        <f t="shared" si="13"/>
        <v>6.2967499999999994</v>
      </c>
    </row>
    <row r="78" spans="2:12" x14ac:dyDescent="0.35">
      <c r="B78" s="101" t="s">
        <v>1888</v>
      </c>
      <c r="C78" s="102" t="s">
        <v>1887</v>
      </c>
      <c r="D78" s="100" t="s">
        <v>664</v>
      </c>
      <c r="E78" s="216">
        <v>99</v>
      </c>
      <c r="I78" s="463">
        <f t="shared" si="13"/>
        <v>22.197780000000002</v>
      </c>
      <c r="J78" s="463">
        <f t="shared" si="13"/>
        <v>11.699819999999999</v>
      </c>
      <c r="K78" s="463">
        <f t="shared" si="13"/>
        <v>8.4941999999999993</v>
      </c>
      <c r="L78" s="463">
        <f t="shared" si="13"/>
        <v>7.004249999999999</v>
      </c>
    </row>
    <row r="79" spans="2:12" x14ac:dyDescent="0.35">
      <c r="B79" s="101" t="s">
        <v>665</v>
      </c>
      <c r="C79" s="102" t="s">
        <v>666</v>
      </c>
      <c r="D79" s="100" t="s">
        <v>667</v>
      </c>
      <c r="E79" s="216">
        <v>131</v>
      </c>
      <c r="I79" s="463">
        <f t="shared" si="13"/>
        <v>29.372820000000001</v>
      </c>
      <c r="J79" s="463">
        <f t="shared" si="13"/>
        <v>15.481579999999999</v>
      </c>
      <c r="K79" s="463">
        <f t="shared" si="13"/>
        <v>11.239800000000001</v>
      </c>
      <c r="L79" s="463">
        <f t="shared" si="13"/>
        <v>9.2682499999999983</v>
      </c>
    </row>
    <row r="80" spans="2:12" x14ac:dyDescent="0.35">
      <c r="B80" s="101" t="s">
        <v>668</v>
      </c>
      <c r="C80" s="102" t="s">
        <v>669</v>
      </c>
      <c r="D80" s="100" t="s">
        <v>670</v>
      </c>
      <c r="E80" s="216">
        <v>152</v>
      </c>
      <c r="I80" s="463">
        <f t="shared" si="13"/>
        <v>34.081440000000001</v>
      </c>
      <c r="J80" s="463">
        <f t="shared" si="13"/>
        <v>17.963359999999998</v>
      </c>
      <c r="K80" s="463">
        <f t="shared" si="13"/>
        <v>13.041600000000001</v>
      </c>
      <c r="L80" s="463">
        <f t="shared" si="13"/>
        <v>10.754</v>
      </c>
    </row>
    <row r="81" spans="2:12" x14ac:dyDescent="0.35">
      <c r="B81" s="386" t="s">
        <v>1885</v>
      </c>
      <c r="C81" s="418" t="s">
        <v>1886</v>
      </c>
      <c r="D81" s="419" t="s">
        <v>671</v>
      </c>
      <c r="E81" s="420">
        <v>205</v>
      </c>
      <c r="I81" s="463">
        <f t="shared" si="13"/>
        <v>45.9651</v>
      </c>
      <c r="J81" s="463">
        <f t="shared" si="13"/>
        <v>24.226899999999997</v>
      </c>
      <c r="K81" s="463">
        <f t="shared" si="13"/>
        <v>17.588999999999999</v>
      </c>
      <c r="L81" s="463">
        <f t="shared" si="13"/>
        <v>14.503749999999998</v>
      </c>
    </row>
    <row r="82" spans="2:12" x14ac:dyDescent="0.35">
      <c r="B82" s="101" t="s">
        <v>672</v>
      </c>
      <c r="C82" s="102" t="s">
        <v>673</v>
      </c>
      <c r="D82" s="100" t="s">
        <v>674</v>
      </c>
      <c r="E82" s="216">
        <v>342</v>
      </c>
      <c r="I82" s="463">
        <f t="shared" si="13"/>
        <v>76.683239999999998</v>
      </c>
      <c r="J82" s="463">
        <f t="shared" si="13"/>
        <v>40.417559999999995</v>
      </c>
      <c r="K82" s="463">
        <f t="shared" si="13"/>
        <v>29.343600000000002</v>
      </c>
      <c r="L82" s="463">
        <f t="shared" si="13"/>
        <v>24.196499999999997</v>
      </c>
    </row>
    <row r="83" spans="2:12" x14ac:dyDescent="0.35">
      <c r="B83" s="133" t="s">
        <v>675</v>
      </c>
      <c r="C83" s="134"/>
      <c r="D83" s="134"/>
      <c r="E83" s="134"/>
    </row>
    <row r="84" spans="2:12" x14ac:dyDescent="0.35">
      <c r="B84" s="101" t="s">
        <v>676</v>
      </c>
      <c r="C84" s="102" t="s">
        <v>677</v>
      </c>
      <c r="D84" s="100" t="s">
        <v>678</v>
      </c>
      <c r="E84" s="216">
        <v>9</v>
      </c>
      <c r="I84" s="463">
        <f>($E84+$G84)*I$4</f>
        <v>2.0179800000000001</v>
      </c>
      <c r="J84" s="463">
        <f t="shared" ref="J84:L84" si="14">($E84+$G84)*J$4</f>
        <v>1.06362</v>
      </c>
      <c r="K84" s="463">
        <f t="shared" si="14"/>
        <v>0.7722</v>
      </c>
      <c r="L84" s="463">
        <f t="shared" si="14"/>
        <v>0.63674999999999993</v>
      </c>
    </row>
    <row r="85" spans="2:12" x14ac:dyDescent="0.35">
      <c r="B85" s="133" t="s">
        <v>679</v>
      </c>
      <c r="C85" s="134"/>
      <c r="D85" s="134"/>
      <c r="E85" s="134"/>
    </row>
    <row r="86" spans="2:12" x14ac:dyDescent="0.35">
      <c r="B86" s="101" t="s">
        <v>680</v>
      </c>
      <c r="C86" s="102" t="s">
        <v>681</v>
      </c>
      <c r="D86" s="100" t="s">
        <v>682</v>
      </c>
      <c r="E86" s="216">
        <v>9</v>
      </c>
      <c r="I86" s="463">
        <f t="shared" ref="I86:L87" si="15">($E86+$G86)*I$4</f>
        <v>2.0179800000000001</v>
      </c>
      <c r="J86" s="463">
        <f t="shared" si="15"/>
        <v>1.06362</v>
      </c>
      <c r="K86" s="463">
        <f t="shared" si="15"/>
        <v>0.7722</v>
      </c>
      <c r="L86" s="463">
        <f t="shared" si="15"/>
        <v>0.63674999999999993</v>
      </c>
    </row>
    <row r="87" spans="2:12" x14ac:dyDescent="0.35">
      <c r="B87" s="101" t="s">
        <v>683</v>
      </c>
      <c r="C87" s="102" t="s">
        <v>1312</v>
      </c>
      <c r="D87" s="100" t="s">
        <v>684</v>
      </c>
      <c r="E87" s="216">
        <v>27</v>
      </c>
      <c r="I87" s="463">
        <f t="shared" si="15"/>
        <v>6.0539399999999999</v>
      </c>
      <c r="J87" s="463">
        <f t="shared" si="15"/>
        <v>3.1908599999999998</v>
      </c>
      <c r="K87" s="463">
        <f t="shared" si="15"/>
        <v>2.3166000000000002</v>
      </c>
      <c r="L87" s="463">
        <f t="shared" si="15"/>
        <v>1.9102499999999998</v>
      </c>
    </row>
    <row r="88" spans="2:12" x14ac:dyDescent="0.35">
      <c r="B88" s="133" t="s">
        <v>685</v>
      </c>
      <c r="C88" s="134"/>
      <c r="D88" s="134"/>
      <c r="E88" s="134"/>
    </row>
    <row r="89" spans="2:12" x14ac:dyDescent="0.35">
      <c r="B89" s="101" t="s">
        <v>686</v>
      </c>
      <c r="C89" s="102" t="s">
        <v>687</v>
      </c>
      <c r="D89" s="100" t="s">
        <v>688</v>
      </c>
      <c r="E89" s="216">
        <v>37</v>
      </c>
      <c r="I89" s="463">
        <f>($E89+$G89)*I$4</f>
        <v>8.2961399999999994</v>
      </c>
      <c r="J89" s="463">
        <f t="shared" ref="J89:L89" si="16">($E89+$G89)*J$4</f>
        <v>4.3726599999999998</v>
      </c>
      <c r="K89" s="463">
        <f t="shared" si="16"/>
        <v>3.1745999999999999</v>
      </c>
      <c r="L89" s="463">
        <f t="shared" si="16"/>
        <v>2.6177499999999996</v>
      </c>
    </row>
    <row r="90" spans="2:12" x14ac:dyDescent="0.35">
      <c r="B90" s="133" t="s">
        <v>1653</v>
      </c>
      <c r="C90" s="423"/>
      <c r="D90" s="327"/>
      <c r="E90" s="328"/>
    </row>
    <row r="91" spans="2:12" x14ac:dyDescent="0.35">
      <c r="B91" s="101" t="s">
        <v>1868</v>
      </c>
      <c r="C91" s="335" t="s">
        <v>1654</v>
      </c>
      <c r="D91" s="100" t="s">
        <v>1749</v>
      </c>
      <c r="E91" s="103">
        <v>70</v>
      </c>
      <c r="I91" s="463">
        <f>($E91+$G91)*I$4</f>
        <v>15.695399999999999</v>
      </c>
      <c r="J91" s="463">
        <f t="shared" ref="J91:L91" si="17">($E91+$G91)*J$4</f>
        <v>8.2725999999999988</v>
      </c>
      <c r="K91" s="463">
        <f t="shared" si="17"/>
        <v>6.0060000000000002</v>
      </c>
      <c r="L91" s="463">
        <f t="shared" si="17"/>
        <v>4.9524999999999997</v>
      </c>
    </row>
    <row r="92" spans="2:12" x14ac:dyDescent="0.35">
      <c r="B92" s="64"/>
      <c r="C92" s="27"/>
      <c r="D92" s="27"/>
      <c r="E92" s="225"/>
    </row>
    <row r="93" spans="2:12" x14ac:dyDescent="0.35">
      <c r="B93" s="26" t="s">
        <v>689</v>
      </c>
      <c r="C93" s="36"/>
      <c r="D93" s="40"/>
      <c r="E93" s="136"/>
    </row>
    <row r="94" spans="2:12" x14ac:dyDescent="0.35">
      <c r="B94" s="60" t="s">
        <v>690</v>
      </c>
      <c r="C94" s="36"/>
      <c r="D94" s="40"/>
      <c r="E94" s="136"/>
    </row>
    <row r="95" spans="2:12" x14ac:dyDescent="0.35">
      <c r="B95" s="38" t="s">
        <v>691</v>
      </c>
      <c r="C95" s="62" t="s">
        <v>692</v>
      </c>
      <c r="D95" s="61" t="s">
        <v>693</v>
      </c>
      <c r="E95" s="216">
        <v>28</v>
      </c>
      <c r="I95" s="463">
        <f t="shared" ref="I95:L101" si="18">($E95+$G95)*I$4</f>
        <v>6.2781599999999997</v>
      </c>
      <c r="J95" s="463">
        <f t="shared" si="18"/>
        <v>3.30904</v>
      </c>
      <c r="K95" s="463">
        <f t="shared" si="18"/>
        <v>2.4024000000000001</v>
      </c>
      <c r="L95" s="463">
        <f t="shared" si="18"/>
        <v>1.9809999999999999</v>
      </c>
    </row>
    <row r="96" spans="2:12" x14ac:dyDescent="0.35">
      <c r="B96" s="38" t="s">
        <v>694</v>
      </c>
      <c r="C96" s="62" t="s">
        <v>695</v>
      </c>
      <c r="D96" s="61" t="s">
        <v>696</v>
      </c>
      <c r="E96" s="216">
        <v>47</v>
      </c>
      <c r="I96" s="463">
        <f t="shared" si="18"/>
        <v>10.53834</v>
      </c>
      <c r="J96" s="463">
        <f t="shared" si="18"/>
        <v>5.5544599999999997</v>
      </c>
      <c r="K96" s="463">
        <f t="shared" si="18"/>
        <v>4.0326000000000004</v>
      </c>
      <c r="L96" s="463">
        <f t="shared" si="18"/>
        <v>3.3252499999999996</v>
      </c>
    </row>
    <row r="97" spans="2:12" x14ac:dyDescent="0.35">
      <c r="B97" s="38" t="s">
        <v>697</v>
      </c>
      <c r="C97" s="62" t="s">
        <v>698</v>
      </c>
      <c r="D97" s="61" t="s">
        <v>699</v>
      </c>
      <c r="E97" s="216">
        <v>121</v>
      </c>
      <c r="I97" s="463">
        <f t="shared" si="18"/>
        <v>27.13062</v>
      </c>
      <c r="J97" s="463">
        <f t="shared" si="18"/>
        <v>14.299779999999998</v>
      </c>
      <c r="K97" s="463">
        <f t="shared" si="18"/>
        <v>10.3818</v>
      </c>
      <c r="L97" s="463">
        <f t="shared" si="18"/>
        <v>8.5607499999999987</v>
      </c>
    </row>
    <row r="98" spans="2:12" x14ac:dyDescent="0.35">
      <c r="B98" s="38" t="s">
        <v>700</v>
      </c>
      <c r="C98" s="62" t="s">
        <v>701</v>
      </c>
      <c r="D98" s="61" t="s">
        <v>702</v>
      </c>
      <c r="E98" s="216">
        <v>178</v>
      </c>
      <c r="I98" s="463">
        <f t="shared" si="18"/>
        <v>39.911160000000002</v>
      </c>
      <c r="J98" s="463">
        <f t="shared" si="18"/>
        <v>21.03604</v>
      </c>
      <c r="K98" s="463">
        <f t="shared" si="18"/>
        <v>15.272400000000001</v>
      </c>
      <c r="L98" s="463">
        <f t="shared" si="18"/>
        <v>12.593499999999999</v>
      </c>
    </row>
    <row r="99" spans="2:12" x14ac:dyDescent="0.35">
      <c r="B99" s="424" t="s">
        <v>1890</v>
      </c>
      <c r="C99" s="335" t="s">
        <v>1599</v>
      </c>
      <c r="D99" s="336" t="s">
        <v>1600</v>
      </c>
      <c r="E99" s="337">
        <v>65</v>
      </c>
      <c r="I99" s="463">
        <f t="shared" si="18"/>
        <v>14.574300000000001</v>
      </c>
      <c r="J99" s="463">
        <f t="shared" si="18"/>
        <v>7.6816999999999993</v>
      </c>
      <c r="K99" s="463">
        <f t="shared" si="18"/>
        <v>5.577</v>
      </c>
      <c r="L99" s="463">
        <f t="shared" si="18"/>
        <v>4.5987499999999999</v>
      </c>
    </row>
    <row r="100" spans="2:12" x14ac:dyDescent="0.35">
      <c r="B100" s="101" t="s">
        <v>1519</v>
      </c>
      <c r="C100" s="99" t="s">
        <v>1601</v>
      </c>
      <c r="D100" s="100" t="s">
        <v>1518</v>
      </c>
      <c r="E100" s="216">
        <v>88</v>
      </c>
      <c r="I100" s="463">
        <f t="shared" si="18"/>
        <v>19.731359999999999</v>
      </c>
      <c r="J100" s="463">
        <f t="shared" si="18"/>
        <v>10.399839999999999</v>
      </c>
      <c r="K100" s="463">
        <f t="shared" si="18"/>
        <v>7.5503999999999998</v>
      </c>
      <c r="L100" s="463">
        <f t="shared" si="18"/>
        <v>6.2259999999999991</v>
      </c>
    </row>
    <row r="101" spans="2:12" x14ac:dyDescent="0.35">
      <c r="B101" s="101" t="s">
        <v>1520</v>
      </c>
      <c r="C101" s="99" t="s">
        <v>703</v>
      </c>
      <c r="D101" s="100" t="s">
        <v>704</v>
      </c>
      <c r="E101" s="103">
        <v>150</v>
      </c>
      <c r="I101" s="463">
        <f t="shared" si="18"/>
        <v>33.633000000000003</v>
      </c>
      <c r="J101" s="463">
        <f t="shared" si="18"/>
        <v>17.727</v>
      </c>
      <c r="K101" s="463">
        <f t="shared" si="18"/>
        <v>12.870000000000001</v>
      </c>
      <c r="L101" s="463">
        <f t="shared" si="18"/>
        <v>10.612499999999999</v>
      </c>
    </row>
    <row r="102" spans="2:12" x14ac:dyDescent="0.35">
      <c r="B102" s="133" t="s">
        <v>705</v>
      </c>
      <c r="C102" s="134"/>
      <c r="D102" s="134"/>
      <c r="E102" s="134"/>
    </row>
    <row r="103" spans="2:12" x14ac:dyDescent="0.35">
      <c r="B103" s="101" t="s">
        <v>1515</v>
      </c>
      <c r="C103" s="102" t="s">
        <v>1550</v>
      </c>
      <c r="D103" s="100" t="s">
        <v>1514</v>
      </c>
      <c r="E103" s="216">
        <v>420</v>
      </c>
      <c r="I103" s="463">
        <f t="shared" ref="I103:L109" si="19">($E103+$G103)*I$4</f>
        <v>94.172399999999996</v>
      </c>
      <c r="J103" s="463">
        <f t="shared" si="19"/>
        <v>49.635599999999997</v>
      </c>
      <c r="K103" s="463">
        <f t="shared" si="19"/>
        <v>36.036000000000001</v>
      </c>
      <c r="L103" s="463">
        <f t="shared" si="19"/>
        <v>29.714999999999996</v>
      </c>
    </row>
    <row r="104" spans="2:12" x14ac:dyDescent="0.35">
      <c r="B104" s="101" t="s">
        <v>1513</v>
      </c>
      <c r="C104" s="102" t="s">
        <v>1551</v>
      </c>
      <c r="D104" s="100" t="s">
        <v>1516</v>
      </c>
      <c r="E104" s="216">
        <v>420</v>
      </c>
      <c r="I104" s="463">
        <f t="shared" si="19"/>
        <v>94.172399999999996</v>
      </c>
      <c r="J104" s="463">
        <f t="shared" si="19"/>
        <v>49.635599999999997</v>
      </c>
      <c r="K104" s="463">
        <f t="shared" si="19"/>
        <v>36.036000000000001</v>
      </c>
      <c r="L104" s="463">
        <f t="shared" si="19"/>
        <v>29.714999999999996</v>
      </c>
    </row>
    <row r="105" spans="2:12" x14ac:dyDescent="0.35">
      <c r="B105" s="101" t="s">
        <v>706</v>
      </c>
      <c r="C105" s="102" t="s">
        <v>707</v>
      </c>
      <c r="D105" s="100" t="s">
        <v>708</v>
      </c>
      <c r="E105" s="216">
        <v>442</v>
      </c>
      <c r="I105" s="463">
        <f t="shared" si="19"/>
        <v>99.105239999999995</v>
      </c>
      <c r="J105" s="463">
        <f t="shared" si="19"/>
        <v>52.23556</v>
      </c>
      <c r="K105" s="463">
        <f t="shared" si="19"/>
        <v>37.9236</v>
      </c>
      <c r="L105" s="463">
        <f t="shared" si="19"/>
        <v>31.271499999999996</v>
      </c>
    </row>
    <row r="106" spans="2:12" x14ac:dyDescent="0.35">
      <c r="B106" s="101" t="s">
        <v>709</v>
      </c>
      <c r="C106" s="102" t="s">
        <v>710</v>
      </c>
      <c r="D106" s="100" t="s">
        <v>711</v>
      </c>
      <c r="E106" s="216">
        <v>83</v>
      </c>
      <c r="I106" s="463">
        <f t="shared" si="19"/>
        <v>18.61026</v>
      </c>
      <c r="J106" s="463">
        <f t="shared" si="19"/>
        <v>9.8089399999999998</v>
      </c>
      <c r="K106" s="463">
        <f t="shared" si="19"/>
        <v>7.1214000000000004</v>
      </c>
      <c r="L106" s="463">
        <f t="shared" si="19"/>
        <v>5.8722499999999993</v>
      </c>
    </row>
    <row r="107" spans="2:12" x14ac:dyDescent="0.35">
      <c r="B107" s="101" t="s">
        <v>712</v>
      </c>
      <c r="C107" s="102" t="s">
        <v>713</v>
      </c>
      <c r="D107" s="100" t="s">
        <v>714</v>
      </c>
      <c r="E107" s="216">
        <v>31</v>
      </c>
      <c r="I107" s="463">
        <f t="shared" si="19"/>
        <v>6.9508200000000002</v>
      </c>
      <c r="J107" s="463">
        <f t="shared" si="19"/>
        <v>3.6635799999999996</v>
      </c>
      <c r="K107" s="463">
        <f t="shared" si="19"/>
        <v>2.6598000000000002</v>
      </c>
      <c r="L107" s="463">
        <f t="shared" si="19"/>
        <v>2.1932499999999999</v>
      </c>
    </row>
    <row r="108" spans="2:12" x14ac:dyDescent="0.35">
      <c r="B108" s="101" t="s">
        <v>715</v>
      </c>
      <c r="C108" s="102" t="s">
        <v>716</v>
      </c>
      <c r="D108" s="100" t="s">
        <v>717</v>
      </c>
      <c r="E108" s="216">
        <v>37</v>
      </c>
      <c r="I108" s="463">
        <f t="shared" si="19"/>
        <v>8.2961399999999994</v>
      </c>
      <c r="J108" s="463">
        <f t="shared" si="19"/>
        <v>4.3726599999999998</v>
      </c>
      <c r="K108" s="463">
        <f t="shared" si="19"/>
        <v>3.1745999999999999</v>
      </c>
      <c r="L108" s="463">
        <f t="shared" si="19"/>
        <v>2.6177499999999996</v>
      </c>
    </row>
    <row r="109" spans="2:12" x14ac:dyDescent="0.35">
      <c r="B109" s="101" t="s">
        <v>718</v>
      </c>
      <c r="C109" s="102" t="s">
        <v>719</v>
      </c>
      <c r="D109" s="100" t="s">
        <v>720</v>
      </c>
      <c r="E109" s="216">
        <v>10</v>
      </c>
      <c r="I109" s="463">
        <f t="shared" si="19"/>
        <v>2.2422</v>
      </c>
      <c r="J109" s="463">
        <f t="shared" si="19"/>
        <v>1.1818</v>
      </c>
      <c r="K109" s="463">
        <f t="shared" si="19"/>
        <v>0.85799999999999998</v>
      </c>
      <c r="L109" s="463">
        <f t="shared" si="19"/>
        <v>0.70749999999999991</v>
      </c>
    </row>
    <row r="110" spans="2:12" x14ac:dyDescent="0.35">
      <c r="B110" s="421"/>
      <c r="C110" s="225"/>
      <c r="D110" s="225"/>
      <c r="E110" s="225"/>
    </row>
    <row r="111" spans="2:12" x14ac:dyDescent="0.35">
      <c r="B111" s="109" t="s">
        <v>721</v>
      </c>
      <c r="C111" s="134"/>
      <c r="D111" s="135"/>
      <c r="E111" s="135"/>
    </row>
    <row r="112" spans="2:12" x14ac:dyDescent="0.35">
      <c r="B112" s="133" t="s">
        <v>722</v>
      </c>
      <c r="C112" s="134"/>
      <c r="D112" s="135"/>
      <c r="E112" s="135"/>
    </row>
    <row r="113" spans="2:12" x14ac:dyDescent="0.35">
      <c r="B113" s="101" t="s">
        <v>725</v>
      </c>
      <c r="C113" s="99" t="s">
        <v>723</v>
      </c>
      <c r="D113" s="100" t="s">
        <v>724</v>
      </c>
      <c r="E113" s="216">
        <v>37</v>
      </c>
      <c r="I113" s="463">
        <f t="shared" ref="I113:L115" si="20">($E113+$G113)*I$4</f>
        <v>8.2961399999999994</v>
      </c>
      <c r="J113" s="463">
        <f t="shared" si="20"/>
        <v>4.3726599999999998</v>
      </c>
      <c r="K113" s="463">
        <f t="shared" si="20"/>
        <v>3.1745999999999999</v>
      </c>
      <c r="L113" s="463">
        <f t="shared" si="20"/>
        <v>2.6177499999999996</v>
      </c>
    </row>
    <row r="114" spans="2:12" x14ac:dyDescent="0.35">
      <c r="B114" s="101" t="s">
        <v>726</v>
      </c>
      <c r="C114" s="99" t="s">
        <v>727</v>
      </c>
      <c r="D114" s="100" t="s">
        <v>728</v>
      </c>
      <c r="E114" s="216">
        <v>51</v>
      </c>
      <c r="I114" s="463">
        <f t="shared" si="20"/>
        <v>11.435219999999999</v>
      </c>
      <c r="J114" s="463">
        <f t="shared" si="20"/>
        <v>6.0271799999999995</v>
      </c>
      <c r="K114" s="463">
        <f t="shared" si="20"/>
        <v>4.3757999999999999</v>
      </c>
      <c r="L114" s="463">
        <f t="shared" si="20"/>
        <v>3.6082499999999995</v>
      </c>
    </row>
    <row r="115" spans="2:12" x14ac:dyDescent="0.35">
      <c r="B115" s="384" t="s">
        <v>1602</v>
      </c>
      <c r="C115" s="335" t="s">
        <v>1603</v>
      </c>
      <c r="D115" s="336" t="s">
        <v>1604</v>
      </c>
      <c r="E115" s="337">
        <v>70</v>
      </c>
      <c r="I115" s="463">
        <f t="shared" si="20"/>
        <v>15.695399999999999</v>
      </c>
      <c r="J115" s="463">
        <f t="shared" si="20"/>
        <v>8.2725999999999988</v>
      </c>
      <c r="K115" s="463">
        <f t="shared" si="20"/>
        <v>6.0060000000000002</v>
      </c>
      <c r="L115" s="463">
        <f t="shared" si="20"/>
        <v>4.9524999999999997</v>
      </c>
    </row>
    <row r="116" spans="2:12" x14ac:dyDescent="0.35">
      <c r="B116" s="133" t="s">
        <v>729</v>
      </c>
      <c r="C116" s="134"/>
      <c r="D116" s="134"/>
      <c r="E116" s="134"/>
    </row>
    <row r="117" spans="2:12" x14ac:dyDescent="0.35">
      <c r="B117" s="101" t="s">
        <v>730</v>
      </c>
      <c r="C117" s="99" t="s">
        <v>731</v>
      </c>
      <c r="D117" s="100" t="s">
        <v>732</v>
      </c>
      <c r="E117" s="216">
        <v>98</v>
      </c>
      <c r="I117" s="463">
        <f t="shared" ref="I117:L121" si="21">($E117+$G117)*I$4</f>
        <v>21.973559999999999</v>
      </c>
      <c r="J117" s="463">
        <f t="shared" si="21"/>
        <v>11.58164</v>
      </c>
      <c r="K117" s="463">
        <f t="shared" si="21"/>
        <v>8.4084000000000003</v>
      </c>
      <c r="L117" s="463">
        <f t="shared" si="21"/>
        <v>6.9334999999999996</v>
      </c>
    </row>
    <row r="118" spans="2:12" x14ac:dyDescent="0.35">
      <c r="B118" s="101" t="s">
        <v>733</v>
      </c>
      <c r="C118" s="102" t="s">
        <v>734</v>
      </c>
      <c r="D118" s="100" t="s">
        <v>735</v>
      </c>
      <c r="E118" s="216">
        <v>101</v>
      </c>
      <c r="I118" s="463">
        <f t="shared" si="21"/>
        <v>22.64622</v>
      </c>
      <c r="J118" s="463">
        <f t="shared" si="21"/>
        <v>11.936179999999998</v>
      </c>
      <c r="K118" s="463">
        <f t="shared" si="21"/>
        <v>8.6658000000000008</v>
      </c>
      <c r="L118" s="463">
        <f t="shared" si="21"/>
        <v>7.1457499999999996</v>
      </c>
    </row>
    <row r="119" spans="2:12" x14ac:dyDescent="0.35">
      <c r="B119" s="101" t="s">
        <v>736</v>
      </c>
      <c r="C119" s="102" t="s">
        <v>737</v>
      </c>
      <c r="D119" s="100" t="s">
        <v>738</v>
      </c>
      <c r="E119" s="216">
        <v>121</v>
      </c>
      <c r="I119" s="463">
        <f t="shared" si="21"/>
        <v>27.13062</v>
      </c>
      <c r="J119" s="463">
        <f t="shared" si="21"/>
        <v>14.299779999999998</v>
      </c>
      <c r="K119" s="463">
        <f t="shared" si="21"/>
        <v>10.3818</v>
      </c>
      <c r="L119" s="463">
        <f t="shared" si="21"/>
        <v>8.5607499999999987</v>
      </c>
    </row>
    <row r="120" spans="2:12" x14ac:dyDescent="0.35">
      <c r="B120" s="101" t="s">
        <v>739</v>
      </c>
      <c r="C120" s="102" t="s">
        <v>740</v>
      </c>
      <c r="D120" s="100" t="s">
        <v>741</v>
      </c>
      <c r="E120" s="216">
        <v>367</v>
      </c>
      <c r="I120" s="463">
        <f t="shared" si="21"/>
        <v>82.288740000000004</v>
      </c>
      <c r="J120" s="463">
        <f t="shared" si="21"/>
        <v>43.372059999999998</v>
      </c>
      <c r="K120" s="463">
        <f t="shared" si="21"/>
        <v>31.488600000000002</v>
      </c>
      <c r="L120" s="463">
        <f t="shared" si="21"/>
        <v>25.965249999999997</v>
      </c>
    </row>
    <row r="121" spans="2:12" x14ac:dyDescent="0.35">
      <c r="B121" s="101" t="s">
        <v>742</v>
      </c>
      <c r="C121" s="102" t="s">
        <v>743</v>
      </c>
      <c r="D121" s="100" t="s">
        <v>744</v>
      </c>
      <c r="E121" s="216">
        <v>103</v>
      </c>
      <c r="I121" s="463">
        <f t="shared" si="21"/>
        <v>23.094660000000001</v>
      </c>
      <c r="J121" s="463">
        <f t="shared" si="21"/>
        <v>12.17254</v>
      </c>
      <c r="K121" s="463">
        <f t="shared" si="21"/>
        <v>8.8374000000000006</v>
      </c>
      <c r="L121" s="463">
        <f t="shared" si="21"/>
        <v>7.2872499999999993</v>
      </c>
    </row>
    <row r="122" spans="2:12" x14ac:dyDescent="0.35">
      <c r="B122" s="133" t="s">
        <v>745</v>
      </c>
      <c r="C122" s="134"/>
      <c r="D122" s="134"/>
      <c r="E122" s="134"/>
    </row>
    <row r="123" spans="2:12" x14ac:dyDescent="0.35">
      <c r="B123" s="101" t="s">
        <v>1650</v>
      </c>
      <c r="C123" s="99" t="s">
        <v>1649</v>
      </c>
      <c r="D123" s="100" t="s">
        <v>1750</v>
      </c>
      <c r="E123" s="103">
        <v>21</v>
      </c>
      <c r="I123" s="463">
        <f t="shared" ref="I123:L138" si="22">($E123+$G123)*I$4</f>
        <v>4.7086199999999998</v>
      </c>
      <c r="J123" s="463">
        <f t="shared" si="22"/>
        <v>2.4817799999999997</v>
      </c>
      <c r="K123" s="463">
        <f t="shared" si="22"/>
        <v>1.8018000000000001</v>
      </c>
      <c r="L123" s="463">
        <f t="shared" si="22"/>
        <v>1.4857499999999999</v>
      </c>
    </row>
    <row r="124" spans="2:12" x14ac:dyDescent="0.35">
      <c r="B124" s="101" t="s">
        <v>1651</v>
      </c>
      <c r="C124" s="335" t="s">
        <v>1652</v>
      </c>
      <c r="D124" s="336" t="s">
        <v>1751</v>
      </c>
      <c r="E124" s="337">
        <v>49</v>
      </c>
      <c r="I124" s="463">
        <f t="shared" si="22"/>
        <v>10.98678</v>
      </c>
      <c r="J124" s="463">
        <f t="shared" si="22"/>
        <v>5.7908200000000001</v>
      </c>
      <c r="K124" s="463">
        <f t="shared" si="22"/>
        <v>4.2042000000000002</v>
      </c>
      <c r="L124" s="463">
        <f t="shared" si="22"/>
        <v>3.4667499999999998</v>
      </c>
    </row>
    <row r="125" spans="2:12" x14ac:dyDescent="0.35">
      <c r="B125" s="38" t="s">
        <v>746</v>
      </c>
      <c r="C125" s="102" t="s">
        <v>1504</v>
      </c>
      <c r="D125" s="61" t="s">
        <v>747</v>
      </c>
      <c r="E125" s="216">
        <v>31</v>
      </c>
      <c r="I125" s="463">
        <f t="shared" si="22"/>
        <v>6.9508200000000002</v>
      </c>
      <c r="J125" s="463">
        <f t="shared" si="22"/>
        <v>3.6635799999999996</v>
      </c>
      <c r="K125" s="463">
        <f t="shared" si="22"/>
        <v>2.6598000000000002</v>
      </c>
      <c r="L125" s="463">
        <f t="shared" si="22"/>
        <v>2.1932499999999999</v>
      </c>
    </row>
    <row r="126" spans="2:12" x14ac:dyDescent="0.35">
      <c r="B126" s="38" t="s">
        <v>748</v>
      </c>
      <c r="C126" s="62" t="s">
        <v>749</v>
      </c>
      <c r="D126" s="61" t="s">
        <v>750</v>
      </c>
      <c r="E126" s="216">
        <v>37</v>
      </c>
      <c r="I126" s="463">
        <f t="shared" si="22"/>
        <v>8.2961399999999994</v>
      </c>
      <c r="J126" s="463">
        <f t="shared" si="22"/>
        <v>4.3726599999999998</v>
      </c>
      <c r="K126" s="463">
        <f t="shared" si="22"/>
        <v>3.1745999999999999</v>
      </c>
      <c r="L126" s="463">
        <f t="shared" si="22"/>
        <v>2.6177499999999996</v>
      </c>
    </row>
    <row r="127" spans="2:12" x14ac:dyDescent="0.35">
      <c r="B127" s="38" t="s">
        <v>751</v>
      </c>
      <c r="C127" s="62" t="s">
        <v>752</v>
      </c>
      <c r="D127" s="61" t="s">
        <v>753</v>
      </c>
      <c r="E127" s="216">
        <v>48</v>
      </c>
      <c r="I127" s="463">
        <f t="shared" si="22"/>
        <v>10.762560000000001</v>
      </c>
      <c r="J127" s="463">
        <f t="shared" si="22"/>
        <v>5.6726399999999995</v>
      </c>
      <c r="K127" s="463">
        <f t="shared" si="22"/>
        <v>4.1184000000000003</v>
      </c>
      <c r="L127" s="463">
        <f t="shared" si="22"/>
        <v>3.3959999999999999</v>
      </c>
    </row>
    <row r="128" spans="2:12" x14ac:dyDescent="0.35">
      <c r="B128" s="38" t="s">
        <v>754</v>
      </c>
      <c r="C128" s="62" t="s">
        <v>755</v>
      </c>
      <c r="D128" s="61" t="s">
        <v>756</v>
      </c>
      <c r="E128" s="216">
        <v>35</v>
      </c>
      <c r="I128" s="463">
        <f t="shared" si="22"/>
        <v>7.8476999999999997</v>
      </c>
      <c r="J128" s="463">
        <f t="shared" si="22"/>
        <v>4.1362999999999994</v>
      </c>
      <c r="K128" s="463">
        <f t="shared" si="22"/>
        <v>3.0030000000000001</v>
      </c>
      <c r="L128" s="463">
        <f t="shared" si="22"/>
        <v>2.4762499999999998</v>
      </c>
    </row>
    <row r="129" spans="2:12" x14ac:dyDescent="0.35">
      <c r="B129" s="38" t="s">
        <v>757</v>
      </c>
      <c r="C129" s="62" t="s">
        <v>758</v>
      </c>
      <c r="D129" s="61" t="s">
        <v>759</v>
      </c>
      <c r="E129" s="216">
        <v>48</v>
      </c>
      <c r="I129" s="463">
        <f t="shared" si="22"/>
        <v>10.762560000000001</v>
      </c>
      <c r="J129" s="463">
        <f t="shared" si="22"/>
        <v>5.6726399999999995</v>
      </c>
      <c r="K129" s="463">
        <f t="shared" si="22"/>
        <v>4.1184000000000003</v>
      </c>
      <c r="L129" s="463">
        <f t="shared" si="22"/>
        <v>3.3959999999999999</v>
      </c>
    </row>
    <row r="130" spans="2:12" x14ac:dyDescent="0.35">
      <c r="B130" s="38" t="s">
        <v>760</v>
      </c>
      <c r="C130" s="62" t="s">
        <v>761</v>
      </c>
      <c r="D130" s="61" t="s">
        <v>762</v>
      </c>
      <c r="E130" s="216">
        <v>62</v>
      </c>
      <c r="I130" s="463">
        <f t="shared" si="22"/>
        <v>13.90164</v>
      </c>
      <c r="J130" s="463">
        <f t="shared" si="22"/>
        <v>7.3271599999999992</v>
      </c>
      <c r="K130" s="463">
        <f t="shared" si="22"/>
        <v>5.3196000000000003</v>
      </c>
      <c r="L130" s="463">
        <f t="shared" si="22"/>
        <v>4.3864999999999998</v>
      </c>
    </row>
    <row r="131" spans="2:12" x14ac:dyDescent="0.35">
      <c r="B131" s="101" t="s">
        <v>1843</v>
      </c>
      <c r="C131" s="102" t="s">
        <v>1915</v>
      </c>
      <c r="D131" s="100" t="s">
        <v>763</v>
      </c>
      <c r="E131" s="216">
        <v>83</v>
      </c>
      <c r="I131" s="463">
        <f t="shared" si="22"/>
        <v>18.61026</v>
      </c>
      <c r="J131" s="463">
        <f t="shared" si="22"/>
        <v>9.8089399999999998</v>
      </c>
      <c r="K131" s="463">
        <f t="shared" si="22"/>
        <v>7.1214000000000004</v>
      </c>
      <c r="L131" s="463">
        <f t="shared" si="22"/>
        <v>5.8722499999999993</v>
      </c>
    </row>
    <row r="132" spans="2:12" x14ac:dyDescent="0.35">
      <c r="B132" s="133" t="s">
        <v>764</v>
      </c>
      <c r="C132" s="134"/>
      <c r="D132" s="134"/>
      <c r="E132" s="134"/>
    </row>
    <row r="133" spans="2:12" x14ac:dyDescent="0.35">
      <c r="B133" s="101" t="s">
        <v>765</v>
      </c>
      <c r="C133" s="102" t="s">
        <v>766</v>
      </c>
      <c r="D133" s="100" t="s">
        <v>767</v>
      </c>
      <c r="E133" s="216">
        <v>94</v>
      </c>
      <c r="I133" s="463">
        <f t="shared" si="22"/>
        <v>21.07668</v>
      </c>
      <c r="J133" s="463">
        <f t="shared" si="22"/>
        <v>11.108919999999999</v>
      </c>
      <c r="K133" s="463">
        <f t="shared" si="22"/>
        <v>8.0652000000000008</v>
      </c>
      <c r="L133" s="463">
        <f t="shared" si="22"/>
        <v>6.6504999999999992</v>
      </c>
    </row>
    <row r="134" spans="2:12" x14ac:dyDescent="0.35">
      <c r="B134" s="101" t="s">
        <v>768</v>
      </c>
      <c r="C134" s="102" t="s">
        <v>769</v>
      </c>
      <c r="D134" s="100" t="s">
        <v>770</v>
      </c>
      <c r="E134" s="216">
        <v>125</v>
      </c>
      <c r="I134" s="463">
        <f t="shared" si="22"/>
        <v>28.0275</v>
      </c>
      <c r="J134" s="463">
        <f t="shared" si="22"/>
        <v>14.772499999999999</v>
      </c>
      <c r="K134" s="463">
        <f t="shared" si="22"/>
        <v>10.725</v>
      </c>
      <c r="L134" s="463">
        <f t="shared" si="22"/>
        <v>8.84375</v>
      </c>
    </row>
    <row r="135" spans="2:12" x14ac:dyDescent="0.35">
      <c r="B135" s="101" t="s">
        <v>771</v>
      </c>
      <c r="C135" s="102" t="s">
        <v>772</v>
      </c>
      <c r="D135" s="100" t="s">
        <v>773</v>
      </c>
      <c r="E135" s="216">
        <v>157</v>
      </c>
      <c r="I135" s="463">
        <f t="shared" si="22"/>
        <v>35.202539999999999</v>
      </c>
      <c r="J135" s="463">
        <f t="shared" si="22"/>
        <v>18.554259999999999</v>
      </c>
      <c r="K135" s="463">
        <f t="shared" si="22"/>
        <v>13.470600000000001</v>
      </c>
      <c r="L135" s="463">
        <f t="shared" si="22"/>
        <v>11.107749999999999</v>
      </c>
    </row>
    <row r="136" spans="2:12" x14ac:dyDescent="0.35">
      <c r="B136" s="101" t="s">
        <v>774</v>
      </c>
      <c r="C136" s="102" t="s">
        <v>775</v>
      </c>
      <c r="D136" s="100" t="s">
        <v>776</v>
      </c>
      <c r="E136" s="216">
        <v>157</v>
      </c>
      <c r="I136" s="463">
        <f t="shared" si="22"/>
        <v>35.202539999999999</v>
      </c>
      <c r="J136" s="463">
        <f t="shared" si="22"/>
        <v>18.554259999999999</v>
      </c>
      <c r="K136" s="463">
        <f t="shared" si="22"/>
        <v>13.470600000000001</v>
      </c>
      <c r="L136" s="463">
        <f t="shared" si="22"/>
        <v>11.107749999999999</v>
      </c>
    </row>
    <row r="137" spans="2:12" x14ac:dyDescent="0.35">
      <c r="B137" s="384" t="s">
        <v>1605</v>
      </c>
      <c r="C137" s="425" t="s">
        <v>1606</v>
      </c>
      <c r="D137" s="100" t="s">
        <v>777</v>
      </c>
      <c r="E137" s="216">
        <v>103</v>
      </c>
      <c r="I137" s="463">
        <f t="shared" si="22"/>
        <v>23.094660000000001</v>
      </c>
      <c r="J137" s="463">
        <f t="shared" si="22"/>
        <v>12.17254</v>
      </c>
      <c r="K137" s="463">
        <f t="shared" si="22"/>
        <v>8.8374000000000006</v>
      </c>
      <c r="L137" s="463">
        <f t="shared" si="22"/>
        <v>7.2872499999999993</v>
      </c>
    </row>
    <row r="138" spans="2:12" x14ac:dyDescent="0.35">
      <c r="B138" s="101" t="s">
        <v>778</v>
      </c>
      <c r="C138" s="102" t="s">
        <v>779</v>
      </c>
      <c r="D138" s="100" t="s">
        <v>780</v>
      </c>
      <c r="E138" s="216">
        <v>157</v>
      </c>
      <c r="I138" s="463">
        <f t="shared" si="22"/>
        <v>35.202539999999999</v>
      </c>
      <c r="J138" s="463">
        <f t="shared" si="22"/>
        <v>18.554259999999999</v>
      </c>
      <c r="K138" s="463">
        <f t="shared" si="22"/>
        <v>13.470600000000001</v>
      </c>
      <c r="L138" s="463">
        <f t="shared" si="22"/>
        <v>11.107749999999999</v>
      </c>
    </row>
    <row r="139" spans="2:12" x14ac:dyDescent="0.35">
      <c r="B139" s="101" t="s">
        <v>1302</v>
      </c>
      <c r="C139" s="102" t="s">
        <v>1300</v>
      </c>
      <c r="D139" s="100" t="s">
        <v>1301</v>
      </c>
      <c r="E139" s="216">
        <v>113</v>
      </c>
      <c r="I139" s="463">
        <f t="shared" ref="I139:L139" si="23">($E139+$G139)*I$4</f>
        <v>25.336860000000001</v>
      </c>
      <c r="J139" s="463">
        <f t="shared" si="23"/>
        <v>13.354339999999999</v>
      </c>
      <c r="K139" s="463">
        <f t="shared" si="23"/>
        <v>9.6953999999999994</v>
      </c>
      <c r="L139" s="463">
        <f t="shared" si="23"/>
        <v>7.9947499999999989</v>
      </c>
    </row>
    <row r="140" spans="2:12" x14ac:dyDescent="0.35">
      <c r="B140" s="64"/>
      <c r="C140" s="27"/>
      <c r="D140" s="27"/>
      <c r="E140" s="225"/>
    </row>
    <row r="141" spans="2:12" x14ac:dyDescent="0.35">
      <c r="B141" s="26" t="s">
        <v>781</v>
      </c>
      <c r="C141" s="39"/>
      <c r="D141" s="40"/>
      <c r="E141" s="136"/>
    </row>
    <row r="142" spans="2:12" x14ac:dyDescent="0.35">
      <c r="B142" s="60" t="s">
        <v>782</v>
      </c>
      <c r="C142" s="39"/>
      <c r="D142" s="40"/>
      <c r="E142" s="136"/>
    </row>
    <row r="143" spans="2:12" x14ac:dyDescent="0.35">
      <c r="B143" s="38" t="s">
        <v>783</v>
      </c>
      <c r="C143" s="62" t="s">
        <v>784</v>
      </c>
      <c r="D143" s="61" t="s">
        <v>785</v>
      </c>
      <c r="E143" s="216">
        <v>31</v>
      </c>
      <c r="I143" s="463">
        <f t="shared" ref="I143:L144" si="24">($E143+$G143)*I$4</f>
        <v>6.9508200000000002</v>
      </c>
      <c r="J143" s="463">
        <f t="shared" si="24"/>
        <v>3.6635799999999996</v>
      </c>
      <c r="K143" s="463">
        <f t="shared" si="24"/>
        <v>2.6598000000000002</v>
      </c>
      <c r="L143" s="463">
        <f t="shared" si="24"/>
        <v>2.1932499999999999</v>
      </c>
    </row>
    <row r="144" spans="2:12" x14ac:dyDescent="0.35">
      <c r="B144" s="38" t="s">
        <v>786</v>
      </c>
      <c r="C144" s="62" t="s">
        <v>787</v>
      </c>
      <c r="D144" s="61" t="s">
        <v>788</v>
      </c>
      <c r="E144" s="216">
        <v>41</v>
      </c>
      <c r="I144" s="463">
        <f t="shared" si="24"/>
        <v>9.1930200000000006</v>
      </c>
      <c r="J144" s="463">
        <f t="shared" si="24"/>
        <v>4.8453799999999996</v>
      </c>
      <c r="K144" s="463">
        <f t="shared" si="24"/>
        <v>3.5178000000000003</v>
      </c>
      <c r="L144" s="463">
        <f t="shared" si="24"/>
        <v>2.9007499999999999</v>
      </c>
    </row>
    <row r="145" spans="2:12" x14ac:dyDescent="0.35">
      <c r="B145" s="60" t="s">
        <v>789</v>
      </c>
      <c r="C145" s="39"/>
      <c r="D145" s="39"/>
      <c r="E145" s="119"/>
    </row>
    <row r="146" spans="2:12" x14ac:dyDescent="0.35">
      <c r="B146" s="38" t="s">
        <v>790</v>
      </c>
      <c r="C146" s="62" t="s">
        <v>791</v>
      </c>
      <c r="D146" s="61" t="s">
        <v>792</v>
      </c>
      <c r="E146" s="216">
        <v>103</v>
      </c>
      <c r="I146" s="463">
        <f t="shared" ref="I146:L146" si="25">($E146+$G146)*I$4</f>
        <v>23.094660000000001</v>
      </c>
      <c r="J146" s="463">
        <f t="shared" si="25"/>
        <v>12.17254</v>
      </c>
      <c r="K146" s="463">
        <f t="shared" si="25"/>
        <v>8.8374000000000006</v>
      </c>
      <c r="L146" s="463">
        <f t="shared" si="25"/>
        <v>7.2872499999999993</v>
      </c>
    </row>
    <row r="147" spans="2:12" x14ac:dyDescent="0.35">
      <c r="B147" s="64"/>
      <c r="C147" s="27"/>
      <c r="D147" s="27"/>
      <c r="E147" s="225"/>
    </row>
    <row r="148" spans="2:12" s="140" customFormat="1" x14ac:dyDescent="0.35">
      <c r="B148" s="109" t="s">
        <v>793</v>
      </c>
      <c r="C148" s="134"/>
      <c r="D148" s="135"/>
      <c r="E148" s="136"/>
    </row>
    <row r="149" spans="2:12" x14ac:dyDescent="0.35">
      <c r="B149" s="38" t="s">
        <v>794</v>
      </c>
      <c r="C149" s="63" t="s">
        <v>795</v>
      </c>
      <c r="D149" s="61" t="s">
        <v>796</v>
      </c>
      <c r="E149" s="216">
        <v>23</v>
      </c>
      <c r="I149" s="463">
        <f t="shared" ref="I149:L153" si="26">($E149+$G149)*I$4</f>
        <v>5.1570600000000004</v>
      </c>
      <c r="J149" s="463">
        <f t="shared" si="26"/>
        <v>2.71814</v>
      </c>
      <c r="K149" s="463">
        <f t="shared" si="26"/>
        <v>1.9734</v>
      </c>
      <c r="L149" s="463">
        <f t="shared" si="26"/>
        <v>1.6272499999999999</v>
      </c>
    </row>
    <row r="150" spans="2:12" x14ac:dyDescent="0.35">
      <c r="B150" s="38" t="s">
        <v>797</v>
      </c>
      <c r="C150" s="63" t="s">
        <v>798</v>
      </c>
      <c r="D150" s="61" t="s">
        <v>799</v>
      </c>
      <c r="E150" s="216">
        <v>27</v>
      </c>
      <c r="I150" s="463">
        <f t="shared" si="26"/>
        <v>6.0539399999999999</v>
      </c>
      <c r="J150" s="463">
        <f t="shared" si="26"/>
        <v>3.1908599999999998</v>
      </c>
      <c r="K150" s="463">
        <f t="shared" si="26"/>
        <v>2.3166000000000002</v>
      </c>
      <c r="L150" s="463">
        <f t="shared" si="26"/>
        <v>1.9102499999999998</v>
      </c>
    </row>
    <row r="151" spans="2:12" x14ac:dyDescent="0.35">
      <c r="B151" s="38" t="s">
        <v>800</v>
      </c>
      <c r="C151" s="63" t="s">
        <v>801</v>
      </c>
      <c r="D151" s="61" t="s">
        <v>802</v>
      </c>
      <c r="E151" s="216">
        <v>38</v>
      </c>
      <c r="I151" s="463">
        <f t="shared" si="26"/>
        <v>8.5203600000000002</v>
      </c>
      <c r="J151" s="463">
        <f t="shared" si="26"/>
        <v>4.4908399999999995</v>
      </c>
      <c r="K151" s="463">
        <f t="shared" si="26"/>
        <v>3.2604000000000002</v>
      </c>
      <c r="L151" s="463">
        <f t="shared" si="26"/>
        <v>2.6884999999999999</v>
      </c>
    </row>
    <row r="152" spans="2:12" x14ac:dyDescent="0.35">
      <c r="B152" s="38" t="s">
        <v>803</v>
      </c>
      <c r="C152" s="63" t="s">
        <v>804</v>
      </c>
      <c r="D152" s="61" t="s">
        <v>805</v>
      </c>
      <c r="E152" s="216">
        <v>675</v>
      </c>
      <c r="I152" s="463">
        <f t="shared" si="26"/>
        <v>151.3485</v>
      </c>
      <c r="J152" s="463">
        <f t="shared" si="26"/>
        <v>79.771499999999989</v>
      </c>
      <c r="K152" s="463">
        <f t="shared" si="26"/>
        <v>57.914999999999999</v>
      </c>
      <c r="L152" s="463">
        <f t="shared" si="26"/>
        <v>47.756249999999994</v>
      </c>
    </row>
    <row r="153" spans="2:12" x14ac:dyDescent="0.35">
      <c r="B153" s="38" t="s">
        <v>806</v>
      </c>
      <c r="C153" s="63" t="s">
        <v>807</v>
      </c>
      <c r="D153" s="61" t="s">
        <v>808</v>
      </c>
      <c r="E153" s="216">
        <v>841</v>
      </c>
      <c r="I153" s="463">
        <f t="shared" si="26"/>
        <v>188.56901999999999</v>
      </c>
      <c r="J153" s="463">
        <f t="shared" si="26"/>
        <v>99.389379999999989</v>
      </c>
      <c r="K153" s="463">
        <f t="shared" si="26"/>
        <v>72.157799999999995</v>
      </c>
      <c r="L153" s="463">
        <f t="shared" si="26"/>
        <v>59.500749999999996</v>
      </c>
    </row>
    <row r="154" spans="2:12" x14ac:dyDescent="0.35">
      <c r="B154" s="64"/>
      <c r="C154" s="36"/>
      <c r="D154" s="40"/>
      <c r="E154" s="135"/>
    </row>
    <row r="155" spans="2:12" x14ac:dyDescent="0.35">
      <c r="B155" s="26" t="s">
        <v>809</v>
      </c>
      <c r="C155" s="36"/>
      <c r="D155" s="40"/>
      <c r="E155" s="135"/>
    </row>
    <row r="156" spans="2:12" x14ac:dyDescent="0.35">
      <c r="B156" s="60" t="s">
        <v>810</v>
      </c>
      <c r="C156" s="36"/>
      <c r="D156" s="40"/>
      <c r="E156" s="135"/>
    </row>
    <row r="157" spans="2:12" s="37" customFormat="1" x14ac:dyDescent="0.35">
      <c r="B157" s="101" t="s">
        <v>811</v>
      </c>
      <c r="C157" s="99"/>
      <c r="D157" s="100" t="s">
        <v>812</v>
      </c>
      <c r="E157" s="216">
        <v>132</v>
      </c>
      <c r="F157" s="475" t="s">
        <v>1932</v>
      </c>
      <c r="G157" s="476">
        <v>18.09</v>
      </c>
      <c r="I157" s="463">
        <f t="shared" ref="I157:L168" si="27">($E157+$G157)*I$4</f>
        <v>33.653179800000004</v>
      </c>
      <c r="J157" s="463">
        <f t="shared" si="27"/>
        <v>17.737636200000001</v>
      </c>
      <c r="K157" s="463">
        <f t="shared" si="27"/>
        <v>12.877722</v>
      </c>
      <c r="L157" s="463">
        <f t="shared" si="27"/>
        <v>10.618867499999999</v>
      </c>
    </row>
    <row r="158" spans="2:12" x14ac:dyDescent="0.35">
      <c r="B158" s="101" t="s">
        <v>813</v>
      </c>
      <c r="C158" s="99"/>
      <c r="D158" s="100" t="s">
        <v>814</v>
      </c>
      <c r="E158" s="216">
        <v>156</v>
      </c>
      <c r="F158" s="475" t="s">
        <v>1932</v>
      </c>
      <c r="G158" s="476">
        <v>18.09</v>
      </c>
      <c r="I158" s="463">
        <f t="shared" si="27"/>
        <v>39.0344598</v>
      </c>
      <c r="J158" s="463">
        <f t="shared" si="27"/>
        <v>20.573956199999998</v>
      </c>
      <c r="K158" s="463">
        <f t="shared" si="27"/>
        <v>14.936922000000001</v>
      </c>
      <c r="L158" s="463">
        <f t="shared" si="27"/>
        <v>12.316867499999999</v>
      </c>
    </row>
    <row r="159" spans="2:12" x14ac:dyDescent="0.35">
      <c r="B159" s="101" t="s">
        <v>815</v>
      </c>
      <c r="C159" s="99"/>
      <c r="D159" s="100" t="s">
        <v>816</v>
      </c>
      <c r="E159" s="216">
        <v>150</v>
      </c>
      <c r="F159" s="475" t="s">
        <v>1932</v>
      </c>
      <c r="G159" s="476">
        <v>18.09</v>
      </c>
      <c r="I159" s="463">
        <f t="shared" si="27"/>
        <v>37.6891398</v>
      </c>
      <c r="J159" s="463">
        <f t="shared" si="27"/>
        <v>19.864876199999998</v>
      </c>
      <c r="K159" s="463">
        <f t="shared" si="27"/>
        <v>14.422122</v>
      </c>
      <c r="L159" s="463">
        <f t="shared" si="27"/>
        <v>11.892367499999999</v>
      </c>
    </row>
    <row r="160" spans="2:12" s="37" customFormat="1" x14ac:dyDescent="0.35">
      <c r="B160" s="101" t="s">
        <v>818</v>
      </c>
      <c r="C160" s="99"/>
      <c r="D160" s="100" t="s">
        <v>817</v>
      </c>
      <c r="E160" s="216">
        <v>205</v>
      </c>
      <c r="F160" s="475" t="s">
        <v>1932</v>
      </c>
      <c r="G160" s="476">
        <v>18.09</v>
      </c>
      <c r="I160" s="463">
        <f t="shared" si="27"/>
        <v>50.021239800000004</v>
      </c>
      <c r="J160" s="463">
        <f t="shared" si="27"/>
        <v>26.364776199999998</v>
      </c>
      <c r="K160" s="463">
        <f t="shared" si="27"/>
        <v>19.141121999999999</v>
      </c>
      <c r="L160" s="463">
        <f t="shared" si="27"/>
        <v>15.783617499999998</v>
      </c>
    </row>
    <row r="161" spans="2:12" s="37" customFormat="1" x14ac:dyDescent="0.35">
      <c r="B161" s="101" t="s">
        <v>819</v>
      </c>
      <c r="C161" s="99"/>
      <c r="D161" s="100" t="s">
        <v>820</v>
      </c>
      <c r="E161" s="216">
        <v>212</v>
      </c>
      <c r="F161" s="475" t="s">
        <v>1932</v>
      </c>
      <c r="G161" s="476">
        <v>18.09</v>
      </c>
      <c r="I161" s="463">
        <f t="shared" si="27"/>
        <v>51.5907798</v>
      </c>
      <c r="J161" s="463">
        <f t="shared" si="27"/>
        <v>27.1920362</v>
      </c>
      <c r="K161" s="463">
        <f t="shared" si="27"/>
        <v>19.741721999999999</v>
      </c>
      <c r="L161" s="463">
        <f t="shared" si="27"/>
        <v>16.2788675</v>
      </c>
    </row>
    <row r="162" spans="2:12" s="37" customFormat="1" x14ac:dyDescent="0.35">
      <c r="B162" s="101" t="s">
        <v>821</v>
      </c>
      <c r="C162" s="99"/>
      <c r="D162" s="100" t="s">
        <v>822</v>
      </c>
      <c r="E162" s="216">
        <v>235</v>
      </c>
      <c r="F162" s="475" t="s">
        <v>1932</v>
      </c>
      <c r="G162" s="476">
        <v>18.09</v>
      </c>
      <c r="I162" s="463">
        <f t="shared" si="27"/>
        <v>56.747839800000001</v>
      </c>
      <c r="J162" s="463">
        <f t="shared" si="27"/>
        <v>29.910176199999999</v>
      </c>
      <c r="K162" s="463">
        <f t="shared" si="27"/>
        <v>21.715122000000001</v>
      </c>
      <c r="L162" s="463">
        <f t="shared" si="27"/>
        <v>17.906117499999997</v>
      </c>
    </row>
    <row r="163" spans="2:12" x14ac:dyDescent="0.35">
      <c r="B163" s="101" t="s">
        <v>823</v>
      </c>
      <c r="C163" s="99"/>
      <c r="D163" s="100" t="s">
        <v>824</v>
      </c>
      <c r="E163" s="216">
        <v>179</v>
      </c>
      <c r="F163" s="475" t="s">
        <v>1932</v>
      </c>
      <c r="G163" s="476">
        <v>18.09</v>
      </c>
      <c r="I163" s="463">
        <f t="shared" si="27"/>
        <v>44.191519800000002</v>
      </c>
      <c r="J163" s="463">
        <f t="shared" si="27"/>
        <v>23.2920962</v>
      </c>
      <c r="K163" s="463">
        <f t="shared" si="27"/>
        <v>16.910322000000001</v>
      </c>
      <c r="L163" s="463">
        <f t="shared" si="27"/>
        <v>13.944117499999999</v>
      </c>
    </row>
    <row r="164" spans="2:12" x14ac:dyDescent="0.35">
      <c r="B164" s="101" t="s">
        <v>825</v>
      </c>
      <c r="C164" s="99"/>
      <c r="D164" s="100" t="s">
        <v>826</v>
      </c>
      <c r="E164" s="216">
        <v>196</v>
      </c>
      <c r="F164" s="475" t="s">
        <v>1932</v>
      </c>
      <c r="G164" s="476">
        <v>18.09</v>
      </c>
      <c r="I164" s="463">
        <f t="shared" si="27"/>
        <v>48.003259800000002</v>
      </c>
      <c r="J164" s="463">
        <f t="shared" si="27"/>
        <v>25.301156199999998</v>
      </c>
      <c r="K164" s="463">
        <f t="shared" si="27"/>
        <v>18.368922000000001</v>
      </c>
      <c r="L164" s="463">
        <f t="shared" si="27"/>
        <v>15.146867499999999</v>
      </c>
    </row>
    <row r="165" spans="2:12" s="37" customFormat="1" x14ac:dyDescent="0.35">
      <c r="B165" s="101" t="s">
        <v>827</v>
      </c>
      <c r="C165" s="99"/>
      <c r="D165" s="100" t="s">
        <v>828</v>
      </c>
      <c r="E165" s="216">
        <v>261</v>
      </c>
      <c r="F165" s="475" t="s">
        <v>1932</v>
      </c>
      <c r="G165" s="476">
        <v>18.09</v>
      </c>
      <c r="I165" s="463">
        <f t="shared" si="27"/>
        <v>62.577559799999996</v>
      </c>
      <c r="J165" s="463">
        <f t="shared" si="27"/>
        <v>32.982856199999993</v>
      </c>
      <c r="K165" s="463">
        <f t="shared" si="27"/>
        <v>23.945921999999999</v>
      </c>
      <c r="L165" s="463">
        <f t="shared" si="27"/>
        <v>19.745617499999998</v>
      </c>
    </row>
    <row r="166" spans="2:12" s="37" customFormat="1" x14ac:dyDescent="0.35">
      <c r="B166" s="101" t="s">
        <v>829</v>
      </c>
      <c r="C166" s="99"/>
      <c r="D166" s="100" t="s">
        <v>830</v>
      </c>
      <c r="E166" s="216">
        <v>283</v>
      </c>
      <c r="F166" s="475" t="s">
        <v>1932</v>
      </c>
      <c r="G166" s="476">
        <v>18.09</v>
      </c>
      <c r="I166" s="463">
        <f t="shared" si="27"/>
        <v>67.510399800000002</v>
      </c>
      <c r="J166" s="463">
        <f t="shared" si="27"/>
        <v>35.582816199999996</v>
      </c>
      <c r="K166" s="463">
        <f t="shared" si="27"/>
        <v>25.833521999999999</v>
      </c>
      <c r="L166" s="463">
        <f t="shared" si="27"/>
        <v>21.302117499999998</v>
      </c>
    </row>
    <row r="167" spans="2:12" x14ac:dyDescent="0.35">
      <c r="B167" s="101" t="s">
        <v>831</v>
      </c>
      <c r="C167" s="99"/>
      <c r="D167" s="100" t="s">
        <v>832</v>
      </c>
      <c r="E167" s="216">
        <v>312</v>
      </c>
      <c r="F167" s="475" t="s">
        <v>1932</v>
      </c>
      <c r="G167" s="476">
        <v>18.09</v>
      </c>
      <c r="I167" s="463">
        <f t="shared" si="27"/>
        <v>74.01277979999999</v>
      </c>
      <c r="J167" s="463">
        <f t="shared" si="27"/>
        <v>39.010036199999995</v>
      </c>
      <c r="K167" s="463">
        <f t="shared" si="27"/>
        <v>28.321721999999998</v>
      </c>
      <c r="L167" s="463">
        <f t="shared" si="27"/>
        <v>23.353867499999996</v>
      </c>
    </row>
    <row r="168" spans="2:12" x14ac:dyDescent="0.35">
      <c r="B168" s="101" t="s">
        <v>833</v>
      </c>
      <c r="C168" s="99"/>
      <c r="D168" s="100" t="s">
        <v>834</v>
      </c>
      <c r="E168" s="216">
        <v>389</v>
      </c>
      <c r="F168" s="475" t="s">
        <v>1932</v>
      </c>
      <c r="G168" s="476">
        <v>18.09</v>
      </c>
      <c r="I168" s="463">
        <f t="shared" si="27"/>
        <v>91.2777198</v>
      </c>
      <c r="J168" s="463">
        <f t="shared" si="27"/>
        <v>48.109896199999994</v>
      </c>
      <c r="K168" s="463">
        <f t="shared" si="27"/>
        <v>34.928322000000001</v>
      </c>
      <c r="L168" s="463">
        <f t="shared" si="27"/>
        <v>28.801617499999995</v>
      </c>
    </row>
    <row r="169" spans="2:12" x14ac:dyDescent="0.35">
      <c r="B169" s="133" t="s">
        <v>835</v>
      </c>
      <c r="C169" s="134"/>
      <c r="D169" s="135"/>
      <c r="E169" s="136"/>
    </row>
    <row r="170" spans="2:12" x14ac:dyDescent="0.35">
      <c r="B170" s="101" t="s">
        <v>836</v>
      </c>
      <c r="C170" s="99"/>
      <c r="D170" s="100" t="s">
        <v>837</v>
      </c>
      <c r="E170" s="216">
        <v>173</v>
      </c>
      <c r="F170" s="475" t="s">
        <v>1932</v>
      </c>
      <c r="G170" s="476">
        <v>18.09</v>
      </c>
      <c r="I170" s="463">
        <f t="shared" ref="I170:L183" si="28">($E170+$G170)*I$4</f>
        <v>42.846199800000001</v>
      </c>
      <c r="J170" s="463">
        <f t="shared" si="28"/>
        <v>22.583016199999999</v>
      </c>
      <c r="K170" s="463">
        <f t="shared" si="28"/>
        <v>16.395522</v>
      </c>
      <c r="L170" s="463">
        <f t="shared" si="28"/>
        <v>13.519617499999999</v>
      </c>
    </row>
    <row r="171" spans="2:12" x14ac:dyDescent="0.35">
      <c r="B171" s="101" t="s">
        <v>838</v>
      </c>
      <c r="C171" s="99"/>
      <c r="D171" s="100" t="s">
        <v>839</v>
      </c>
      <c r="E171" s="216">
        <v>166</v>
      </c>
      <c r="F171" s="475" t="s">
        <v>1932</v>
      </c>
      <c r="G171" s="476">
        <v>18.09</v>
      </c>
      <c r="I171" s="463">
        <f t="shared" si="28"/>
        <v>41.276659800000004</v>
      </c>
      <c r="J171" s="463">
        <f t="shared" si="28"/>
        <v>21.7557562</v>
      </c>
      <c r="K171" s="463">
        <f t="shared" si="28"/>
        <v>15.794922</v>
      </c>
      <c r="L171" s="463">
        <f t="shared" si="28"/>
        <v>13.024367499999999</v>
      </c>
    </row>
    <row r="172" spans="2:12" x14ac:dyDescent="0.35">
      <c r="B172" s="384" t="s">
        <v>1607</v>
      </c>
      <c r="C172" s="99"/>
      <c r="D172" s="100" t="s">
        <v>840</v>
      </c>
      <c r="E172" s="216">
        <v>227</v>
      </c>
      <c r="F172" s="475" t="s">
        <v>1932</v>
      </c>
      <c r="G172" s="476">
        <v>18.09</v>
      </c>
      <c r="I172" s="463">
        <f t="shared" si="28"/>
        <v>54.954079800000002</v>
      </c>
      <c r="J172" s="463">
        <f t="shared" si="28"/>
        <v>28.964736199999997</v>
      </c>
      <c r="K172" s="463">
        <f t="shared" si="28"/>
        <v>21.028722000000002</v>
      </c>
      <c r="L172" s="463">
        <f t="shared" si="28"/>
        <v>17.340117499999998</v>
      </c>
    </row>
    <row r="173" spans="2:12" x14ac:dyDescent="0.35">
      <c r="B173" s="101" t="s">
        <v>841</v>
      </c>
      <c r="C173" s="99"/>
      <c r="D173" s="100" t="s">
        <v>842</v>
      </c>
      <c r="E173" s="216">
        <v>273</v>
      </c>
      <c r="F173" s="475" t="s">
        <v>1932</v>
      </c>
      <c r="G173" s="476">
        <v>18.09</v>
      </c>
      <c r="I173" s="463">
        <f t="shared" si="28"/>
        <v>65.268199799999991</v>
      </c>
      <c r="J173" s="463">
        <f t="shared" si="28"/>
        <v>34.401016199999994</v>
      </c>
      <c r="K173" s="463">
        <f t="shared" si="28"/>
        <v>24.975521999999998</v>
      </c>
      <c r="L173" s="463">
        <f t="shared" si="28"/>
        <v>20.594617499999995</v>
      </c>
    </row>
    <row r="174" spans="2:12" x14ac:dyDescent="0.35">
      <c r="B174" s="101" t="s">
        <v>843</v>
      </c>
      <c r="C174" s="99"/>
      <c r="D174" s="100" t="s">
        <v>844</v>
      </c>
      <c r="E174" s="216">
        <v>293</v>
      </c>
      <c r="F174" s="475" t="s">
        <v>1932</v>
      </c>
      <c r="G174" s="476">
        <v>18.09</v>
      </c>
      <c r="I174" s="463">
        <f t="shared" si="28"/>
        <v>69.752599799999999</v>
      </c>
      <c r="J174" s="463">
        <f t="shared" si="28"/>
        <v>36.764616199999992</v>
      </c>
      <c r="K174" s="463">
        <f t="shared" si="28"/>
        <v>26.691521999999999</v>
      </c>
      <c r="L174" s="463">
        <f t="shared" si="28"/>
        <v>22.009617499999997</v>
      </c>
    </row>
    <row r="175" spans="2:12" x14ac:dyDescent="0.35">
      <c r="B175" s="101" t="s">
        <v>845</v>
      </c>
      <c r="C175" s="99"/>
      <c r="D175" s="100" t="s">
        <v>846</v>
      </c>
      <c r="E175" s="216">
        <v>309</v>
      </c>
      <c r="F175" s="475" t="s">
        <v>1932</v>
      </c>
      <c r="G175" s="476">
        <v>18.09</v>
      </c>
      <c r="I175" s="463">
        <f t="shared" si="28"/>
        <v>73.340119799999997</v>
      </c>
      <c r="J175" s="463">
        <f t="shared" si="28"/>
        <v>38.655496199999995</v>
      </c>
      <c r="K175" s="463">
        <f t="shared" si="28"/>
        <v>28.064321999999997</v>
      </c>
      <c r="L175" s="463">
        <f t="shared" si="28"/>
        <v>23.141617499999995</v>
      </c>
    </row>
    <row r="176" spans="2:12" x14ac:dyDescent="0.35">
      <c r="B176" s="101" t="s">
        <v>847</v>
      </c>
      <c r="C176" s="99"/>
      <c r="D176" s="100" t="s">
        <v>848</v>
      </c>
      <c r="E176" s="216">
        <v>416</v>
      </c>
      <c r="F176" s="475" t="s">
        <v>1932</v>
      </c>
      <c r="G176" s="476">
        <v>18.09</v>
      </c>
      <c r="I176" s="463">
        <f t="shared" si="28"/>
        <v>97.331659799999997</v>
      </c>
      <c r="J176" s="463">
        <f t="shared" si="28"/>
        <v>51.300756199999995</v>
      </c>
      <c r="K176" s="463">
        <f t="shared" si="28"/>
        <v>37.244921999999995</v>
      </c>
      <c r="L176" s="463">
        <f t="shared" si="28"/>
        <v>30.711867499999997</v>
      </c>
    </row>
    <row r="177" spans="2:12" x14ac:dyDescent="0.35">
      <c r="B177" s="101" t="s">
        <v>1889</v>
      </c>
      <c r="C177" s="99"/>
      <c r="D177" s="100" t="s">
        <v>849</v>
      </c>
      <c r="E177" s="216">
        <v>971</v>
      </c>
      <c r="F177" s="475" t="s">
        <v>1932</v>
      </c>
      <c r="G177" s="476">
        <v>18.09</v>
      </c>
      <c r="I177" s="463">
        <f t="shared" si="28"/>
        <v>221.77375980000002</v>
      </c>
      <c r="J177" s="463">
        <f t="shared" si="28"/>
        <v>116.8906562</v>
      </c>
      <c r="K177" s="463">
        <f t="shared" si="28"/>
        <v>84.863922000000002</v>
      </c>
      <c r="L177" s="463">
        <f t="shared" si="28"/>
        <v>69.978117499999996</v>
      </c>
    </row>
    <row r="178" spans="2:12" x14ac:dyDescent="0.35">
      <c r="B178" s="101" t="s">
        <v>850</v>
      </c>
      <c r="C178" s="99"/>
      <c r="D178" s="100" t="s">
        <v>851</v>
      </c>
      <c r="E178" s="216">
        <v>487</v>
      </c>
      <c r="F178" s="475" t="s">
        <v>1932</v>
      </c>
      <c r="G178" s="476">
        <v>18.09</v>
      </c>
      <c r="I178" s="463">
        <f t="shared" si="28"/>
        <v>113.25127979999999</v>
      </c>
      <c r="J178" s="463">
        <f t="shared" si="28"/>
        <v>59.691536199999994</v>
      </c>
      <c r="K178" s="463">
        <f t="shared" si="28"/>
        <v>43.336722000000002</v>
      </c>
      <c r="L178" s="463">
        <f t="shared" si="28"/>
        <v>35.735117499999994</v>
      </c>
    </row>
    <row r="179" spans="2:12" x14ac:dyDescent="0.35">
      <c r="B179" s="384" t="s">
        <v>1608</v>
      </c>
      <c r="C179" s="99"/>
      <c r="D179" s="100" t="s">
        <v>852</v>
      </c>
      <c r="E179" s="216">
        <v>656</v>
      </c>
      <c r="F179" s="475" t="s">
        <v>1932</v>
      </c>
      <c r="G179" s="476">
        <v>18.09</v>
      </c>
      <c r="I179" s="463">
        <f t="shared" si="28"/>
        <v>151.14445980000002</v>
      </c>
      <c r="J179" s="463">
        <f t="shared" si="28"/>
        <v>79.663956200000001</v>
      </c>
      <c r="K179" s="463">
        <f t="shared" si="28"/>
        <v>57.836922000000001</v>
      </c>
      <c r="L179" s="463">
        <f t="shared" si="28"/>
        <v>47.691867500000001</v>
      </c>
    </row>
    <row r="180" spans="2:12" s="140" customFormat="1" x14ac:dyDescent="0.35">
      <c r="B180" s="322" t="s">
        <v>1572</v>
      </c>
      <c r="C180" s="99"/>
      <c r="D180" s="100" t="s">
        <v>853</v>
      </c>
      <c r="E180" s="216">
        <v>634</v>
      </c>
      <c r="F180" s="475" t="s">
        <v>1932</v>
      </c>
      <c r="G180" s="476">
        <v>18.09</v>
      </c>
      <c r="I180" s="463">
        <f t="shared" si="28"/>
        <v>146.21161980000002</v>
      </c>
      <c r="J180" s="463">
        <f t="shared" si="28"/>
        <v>77.063996200000005</v>
      </c>
      <c r="K180" s="463">
        <f t="shared" si="28"/>
        <v>55.949322000000002</v>
      </c>
      <c r="L180" s="463">
        <f t="shared" si="28"/>
        <v>46.135367500000001</v>
      </c>
    </row>
    <row r="181" spans="2:12" s="140" customFormat="1" x14ac:dyDescent="0.35">
      <c r="B181" s="101" t="s">
        <v>1891</v>
      </c>
      <c r="C181" s="99"/>
      <c r="D181" s="100" t="s">
        <v>854</v>
      </c>
      <c r="E181" s="216">
        <v>859</v>
      </c>
      <c r="F181" s="475" t="s">
        <v>1932</v>
      </c>
      <c r="G181" s="476">
        <v>18.09</v>
      </c>
      <c r="I181" s="463">
        <f t="shared" si="28"/>
        <v>196.66111980000002</v>
      </c>
      <c r="J181" s="463">
        <f t="shared" si="28"/>
        <v>103.6544962</v>
      </c>
      <c r="K181" s="463">
        <f t="shared" si="28"/>
        <v>75.254322000000002</v>
      </c>
      <c r="L181" s="463">
        <f t="shared" si="28"/>
        <v>62.054117499999997</v>
      </c>
    </row>
    <row r="182" spans="2:12" s="140" customFormat="1" x14ac:dyDescent="0.35">
      <c r="B182" s="322" t="s">
        <v>1882</v>
      </c>
      <c r="C182" s="99"/>
      <c r="D182" s="137" t="s">
        <v>855</v>
      </c>
      <c r="E182" s="216">
        <v>719</v>
      </c>
      <c r="F182" s="475" t="s">
        <v>1932</v>
      </c>
      <c r="G182" s="476">
        <v>18.09</v>
      </c>
      <c r="I182" s="463">
        <f t="shared" si="28"/>
        <v>165.27031980000001</v>
      </c>
      <c r="J182" s="463">
        <f t="shared" si="28"/>
        <v>87.109296200000003</v>
      </c>
      <c r="K182" s="463">
        <f t="shared" si="28"/>
        <v>63.242322000000001</v>
      </c>
      <c r="L182" s="463">
        <f t="shared" si="28"/>
        <v>52.149117499999996</v>
      </c>
    </row>
    <row r="183" spans="2:12" s="140" customFormat="1" x14ac:dyDescent="0.35">
      <c r="B183" s="322" t="s">
        <v>1584</v>
      </c>
      <c r="C183" s="99"/>
      <c r="D183" s="100" t="s">
        <v>856</v>
      </c>
      <c r="E183" s="216">
        <v>975</v>
      </c>
      <c r="F183" s="475" t="s">
        <v>1932</v>
      </c>
      <c r="G183" s="476">
        <v>18.09</v>
      </c>
      <c r="I183" s="463">
        <f t="shared" si="28"/>
        <v>222.6706398</v>
      </c>
      <c r="J183" s="463">
        <f t="shared" si="28"/>
        <v>117.36337619999999</v>
      </c>
      <c r="K183" s="463">
        <f t="shared" si="28"/>
        <v>85.207121999999998</v>
      </c>
      <c r="L183" s="463">
        <f t="shared" si="28"/>
        <v>70.261117499999997</v>
      </c>
    </row>
    <row r="184" spans="2:12" x14ac:dyDescent="0.35">
      <c r="B184" s="133" t="s">
        <v>857</v>
      </c>
      <c r="C184" s="134"/>
      <c r="D184" s="135"/>
      <c r="E184" s="136"/>
    </row>
    <row r="185" spans="2:12" s="37" customFormat="1" x14ac:dyDescent="0.35">
      <c r="B185" s="101" t="s">
        <v>858</v>
      </c>
      <c r="C185" s="99"/>
      <c r="D185" s="100" t="s">
        <v>859</v>
      </c>
      <c r="E185" s="216">
        <v>190</v>
      </c>
      <c r="F185" s="475" t="s">
        <v>1932</v>
      </c>
      <c r="G185" s="476">
        <v>18.09</v>
      </c>
      <c r="I185" s="463">
        <f t="shared" ref="I185:L200" si="29">($E185+$G185)*I$4</f>
        <v>46.657939800000001</v>
      </c>
      <c r="J185" s="463">
        <f t="shared" si="29"/>
        <v>24.592076199999997</v>
      </c>
      <c r="K185" s="463">
        <f t="shared" si="29"/>
        <v>17.854122</v>
      </c>
      <c r="L185" s="463">
        <f t="shared" si="29"/>
        <v>14.722367499999999</v>
      </c>
    </row>
    <row r="186" spans="2:12" s="37" customFormat="1" x14ac:dyDescent="0.35">
      <c r="B186" s="101" t="s">
        <v>860</v>
      </c>
      <c r="C186" s="99"/>
      <c r="D186" s="100" t="s">
        <v>861</v>
      </c>
      <c r="E186" s="216">
        <v>276</v>
      </c>
      <c r="F186" s="475" t="s">
        <v>1932</v>
      </c>
      <c r="G186" s="476">
        <v>18.09</v>
      </c>
      <c r="I186" s="463">
        <f t="shared" si="29"/>
        <v>65.940859799999998</v>
      </c>
      <c r="J186" s="463">
        <f t="shared" si="29"/>
        <v>34.755556199999994</v>
      </c>
      <c r="K186" s="463">
        <f t="shared" si="29"/>
        <v>25.232921999999999</v>
      </c>
      <c r="L186" s="463">
        <f t="shared" si="29"/>
        <v>20.806867499999996</v>
      </c>
    </row>
    <row r="187" spans="2:12" s="37" customFormat="1" x14ac:dyDescent="0.35">
      <c r="B187" s="101" t="s">
        <v>862</v>
      </c>
      <c r="C187" s="99"/>
      <c r="D187" s="100" t="s">
        <v>863</v>
      </c>
      <c r="E187" s="216">
        <v>271</v>
      </c>
      <c r="F187" s="475" t="s">
        <v>1932</v>
      </c>
      <c r="G187" s="476">
        <v>18.09</v>
      </c>
      <c r="I187" s="463">
        <f t="shared" si="29"/>
        <v>64.8197598</v>
      </c>
      <c r="J187" s="463">
        <f t="shared" si="29"/>
        <v>34.164656199999996</v>
      </c>
      <c r="K187" s="463">
        <f t="shared" si="29"/>
        <v>24.803921999999996</v>
      </c>
      <c r="L187" s="463">
        <f t="shared" si="29"/>
        <v>20.453117499999998</v>
      </c>
    </row>
    <row r="188" spans="2:12" s="37" customFormat="1" x14ac:dyDescent="0.35">
      <c r="B188" s="101" t="s">
        <v>1585</v>
      </c>
      <c r="C188" s="99"/>
      <c r="D188" s="100" t="s">
        <v>864</v>
      </c>
      <c r="E188" s="216">
        <v>244</v>
      </c>
      <c r="F188" s="475" t="s">
        <v>1932</v>
      </c>
      <c r="G188" s="476">
        <v>18.09</v>
      </c>
      <c r="I188" s="463">
        <f t="shared" si="29"/>
        <v>58.765819799999996</v>
      </c>
      <c r="J188" s="463">
        <f t="shared" si="29"/>
        <v>30.973796199999995</v>
      </c>
      <c r="K188" s="463">
        <f t="shared" si="29"/>
        <v>22.487321999999999</v>
      </c>
      <c r="L188" s="463">
        <f t="shared" si="29"/>
        <v>18.542867499999996</v>
      </c>
    </row>
    <row r="189" spans="2:12" s="37" customFormat="1" x14ac:dyDescent="0.35">
      <c r="B189" s="101" t="s">
        <v>865</v>
      </c>
      <c r="C189" s="99"/>
      <c r="D189" s="100" t="s">
        <v>866</v>
      </c>
      <c r="E189" s="216">
        <v>376</v>
      </c>
      <c r="F189" s="475" t="s">
        <v>1932</v>
      </c>
      <c r="G189" s="476">
        <v>18.09</v>
      </c>
      <c r="I189" s="463">
        <f t="shared" si="29"/>
        <v>88.362859799999995</v>
      </c>
      <c r="J189" s="463">
        <f t="shared" si="29"/>
        <v>46.573556199999992</v>
      </c>
      <c r="K189" s="463">
        <f t="shared" si="29"/>
        <v>33.812922</v>
      </c>
      <c r="L189" s="463">
        <f t="shared" si="29"/>
        <v>27.881867499999995</v>
      </c>
    </row>
    <row r="190" spans="2:12" s="37" customFormat="1" x14ac:dyDescent="0.35">
      <c r="B190" s="38" t="s">
        <v>867</v>
      </c>
      <c r="C190" s="63"/>
      <c r="D190" s="61" t="s">
        <v>868</v>
      </c>
      <c r="E190" s="216">
        <v>521</v>
      </c>
      <c r="F190" s="475" t="s">
        <v>1932</v>
      </c>
      <c r="G190" s="476">
        <v>18.09</v>
      </c>
      <c r="I190" s="463">
        <f t="shared" si="29"/>
        <v>120.87475980000001</v>
      </c>
      <c r="J190" s="463">
        <f t="shared" si="29"/>
        <v>63.709656199999998</v>
      </c>
      <c r="K190" s="463">
        <f t="shared" si="29"/>
        <v>46.253922000000003</v>
      </c>
      <c r="L190" s="463">
        <f t="shared" si="29"/>
        <v>38.140617499999998</v>
      </c>
    </row>
    <row r="191" spans="2:12" x14ac:dyDescent="0.35">
      <c r="B191" s="39" t="s">
        <v>869</v>
      </c>
      <c r="C191" s="36"/>
      <c r="D191" s="40"/>
      <c r="E191" s="65"/>
    </row>
    <row r="192" spans="2:12" x14ac:dyDescent="0.35">
      <c r="B192" s="31" t="s">
        <v>870</v>
      </c>
      <c r="C192" s="66"/>
      <c r="D192" s="67" t="s">
        <v>871</v>
      </c>
      <c r="E192" s="68">
        <v>5</v>
      </c>
      <c r="I192" s="463">
        <f t="shared" si="29"/>
        <v>1.1211</v>
      </c>
      <c r="J192" s="463">
        <f t="shared" si="29"/>
        <v>0.59089999999999998</v>
      </c>
      <c r="K192" s="463">
        <f t="shared" si="29"/>
        <v>0.42899999999999999</v>
      </c>
      <c r="L192" s="463">
        <f t="shared" si="29"/>
        <v>0.35374999999999995</v>
      </c>
    </row>
    <row r="193" spans="2:12" x14ac:dyDescent="0.35">
      <c r="B193" s="31" t="s">
        <v>872</v>
      </c>
      <c r="C193" s="66"/>
      <c r="D193" s="67" t="s">
        <v>873</v>
      </c>
      <c r="E193" s="68">
        <v>8</v>
      </c>
      <c r="I193" s="463">
        <f t="shared" si="29"/>
        <v>1.79376</v>
      </c>
      <c r="J193" s="463">
        <f t="shared" si="29"/>
        <v>0.94543999999999995</v>
      </c>
      <c r="K193" s="463">
        <f t="shared" si="29"/>
        <v>0.68640000000000001</v>
      </c>
      <c r="L193" s="463">
        <f t="shared" si="29"/>
        <v>0.56599999999999995</v>
      </c>
    </row>
    <row r="194" spans="2:12" x14ac:dyDescent="0.35">
      <c r="B194" s="31" t="s">
        <v>874</v>
      </c>
      <c r="C194" s="66"/>
      <c r="D194" s="67" t="s">
        <v>875</v>
      </c>
      <c r="E194" s="68">
        <v>9</v>
      </c>
      <c r="I194" s="463">
        <f t="shared" si="29"/>
        <v>2.0179800000000001</v>
      </c>
      <c r="J194" s="463">
        <f t="shared" si="29"/>
        <v>1.06362</v>
      </c>
      <c r="K194" s="463">
        <f t="shared" si="29"/>
        <v>0.7722</v>
      </c>
      <c r="L194" s="463">
        <f t="shared" si="29"/>
        <v>0.63674999999999993</v>
      </c>
    </row>
    <row r="195" spans="2:12" x14ac:dyDescent="0.35">
      <c r="B195" s="31" t="s">
        <v>876</v>
      </c>
      <c r="C195" s="66"/>
      <c r="D195" s="67" t="s">
        <v>877</v>
      </c>
      <c r="E195" s="68">
        <v>17</v>
      </c>
      <c r="I195" s="463">
        <f t="shared" si="29"/>
        <v>3.8117399999999999</v>
      </c>
      <c r="J195" s="463">
        <f t="shared" si="29"/>
        <v>2.0090599999999998</v>
      </c>
      <c r="K195" s="463">
        <f t="shared" si="29"/>
        <v>1.4586000000000001</v>
      </c>
      <c r="L195" s="463">
        <f t="shared" si="29"/>
        <v>1.20275</v>
      </c>
    </row>
    <row r="196" spans="2:12" x14ac:dyDescent="0.35">
      <c r="B196" s="39" t="s">
        <v>878</v>
      </c>
      <c r="C196" s="36"/>
      <c r="D196" s="40"/>
      <c r="E196" s="65"/>
    </row>
    <row r="197" spans="2:12" x14ac:dyDescent="0.35">
      <c r="B197" s="31" t="s">
        <v>879</v>
      </c>
      <c r="C197" s="66"/>
      <c r="D197" s="67" t="s">
        <v>880</v>
      </c>
      <c r="E197" s="68">
        <v>16</v>
      </c>
      <c r="I197" s="463">
        <f t="shared" si="29"/>
        <v>3.58752</v>
      </c>
      <c r="J197" s="463">
        <f t="shared" si="29"/>
        <v>1.8908799999999999</v>
      </c>
      <c r="K197" s="463">
        <f t="shared" si="29"/>
        <v>1.3728</v>
      </c>
      <c r="L197" s="463">
        <f t="shared" si="29"/>
        <v>1.1319999999999999</v>
      </c>
    </row>
    <row r="198" spans="2:12" x14ac:dyDescent="0.35">
      <c r="B198" s="31" t="s">
        <v>881</v>
      </c>
      <c r="C198" s="66"/>
      <c r="D198" s="67" t="s">
        <v>882</v>
      </c>
      <c r="E198" s="68">
        <v>33</v>
      </c>
      <c r="I198" s="463">
        <f t="shared" si="29"/>
        <v>7.3992599999999999</v>
      </c>
      <c r="J198" s="463">
        <f t="shared" si="29"/>
        <v>3.89994</v>
      </c>
      <c r="K198" s="463">
        <f t="shared" si="29"/>
        <v>2.8313999999999999</v>
      </c>
      <c r="L198" s="463">
        <f t="shared" si="29"/>
        <v>2.3347499999999997</v>
      </c>
    </row>
    <row r="199" spans="2:12" x14ac:dyDescent="0.35">
      <c r="B199" s="31" t="s">
        <v>883</v>
      </c>
      <c r="C199" s="66"/>
      <c r="D199" s="67" t="s">
        <v>884</v>
      </c>
      <c r="E199" s="68">
        <v>22</v>
      </c>
      <c r="I199" s="463">
        <f t="shared" si="29"/>
        <v>4.9328399999999997</v>
      </c>
      <c r="J199" s="463">
        <f t="shared" si="29"/>
        <v>2.5999599999999998</v>
      </c>
      <c r="K199" s="463">
        <f t="shared" si="29"/>
        <v>1.8875999999999999</v>
      </c>
      <c r="L199" s="463">
        <f t="shared" si="29"/>
        <v>1.5564999999999998</v>
      </c>
    </row>
    <row r="200" spans="2:12" x14ac:dyDescent="0.35">
      <c r="B200" s="31" t="s">
        <v>885</v>
      </c>
      <c r="C200" s="66"/>
      <c r="D200" s="67" t="s">
        <v>886</v>
      </c>
      <c r="E200" s="68">
        <v>43</v>
      </c>
      <c r="I200" s="463">
        <f t="shared" si="29"/>
        <v>9.6414600000000004</v>
      </c>
      <c r="J200" s="463">
        <f t="shared" si="29"/>
        <v>5.0817399999999999</v>
      </c>
      <c r="K200" s="463">
        <f t="shared" si="29"/>
        <v>3.6894</v>
      </c>
      <c r="L200" s="463">
        <f t="shared" si="29"/>
        <v>3.0422499999999997</v>
      </c>
    </row>
    <row r="201" spans="2:12" x14ac:dyDescent="0.35">
      <c r="B201" s="29"/>
      <c r="C201" s="1"/>
      <c r="D201" s="1"/>
      <c r="E201" s="1"/>
    </row>
    <row r="202" spans="2:12" s="6" customFormat="1" ht="13" x14ac:dyDescent="0.3">
      <c r="B202" s="24" t="s">
        <v>887</v>
      </c>
      <c r="C202" s="8"/>
      <c r="D202" s="9"/>
    </row>
    <row r="203" spans="2:12" s="6" customFormat="1" ht="13" x14ac:dyDescent="0.3">
      <c r="B203" s="69" t="s">
        <v>888</v>
      </c>
      <c r="C203" s="8"/>
      <c r="D203" s="9"/>
    </row>
    <row r="204" spans="2:12" s="6" customFormat="1" ht="13" x14ac:dyDescent="0.3">
      <c r="B204" s="33" t="s">
        <v>1299</v>
      </c>
      <c r="C204" s="33"/>
      <c r="D204" s="34" t="s">
        <v>889</v>
      </c>
      <c r="E204" s="35">
        <v>39</v>
      </c>
    </row>
    <row r="205" spans="2:12" s="6" customFormat="1" ht="13" x14ac:dyDescent="0.3">
      <c r="B205" s="33" t="s">
        <v>1303</v>
      </c>
      <c r="C205" s="33"/>
      <c r="D205" s="34" t="s">
        <v>890</v>
      </c>
      <c r="E205" s="35">
        <v>49</v>
      </c>
    </row>
    <row r="206" spans="2:12" s="6" customFormat="1" ht="13" x14ac:dyDescent="0.3">
      <c r="B206" s="33" t="s">
        <v>1304</v>
      </c>
      <c r="C206" s="33"/>
      <c r="D206" s="34" t="s">
        <v>891</v>
      </c>
      <c r="E206" s="35">
        <v>58</v>
      </c>
    </row>
    <row r="207" spans="2:12" s="6" customFormat="1" ht="13" x14ac:dyDescent="0.3">
      <c r="B207" s="69" t="s">
        <v>892</v>
      </c>
      <c r="C207" s="8"/>
      <c r="D207" s="9"/>
      <c r="E207" s="10"/>
    </row>
    <row r="208" spans="2:12" s="6" customFormat="1" ht="13" x14ac:dyDescent="0.3">
      <c r="B208" s="33" t="s">
        <v>1299</v>
      </c>
      <c r="C208" s="33"/>
      <c r="D208" s="34" t="s">
        <v>893</v>
      </c>
      <c r="E208" s="35">
        <v>58</v>
      </c>
    </row>
    <row r="209" spans="2:12" s="6" customFormat="1" ht="13" x14ac:dyDescent="0.3">
      <c r="B209" s="33" t="s">
        <v>1303</v>
      </c>
      <c r="C209" s="33"/>
      <c r="D209" s="34" t="s">
        <v>894</v>
      </c>
      <c r="E209" s="35">
        <v>73</v>
      </c>
    </row>
    <row r="210" spans="2:12" s="6" customFormat="1" ht="13" x14ac:dyDescent="0.3">
      <c r="B210" s="33" t="s">
        <v>1304</v>
      </c>
      <c r="C210" s="33"/>
      <c r="D210" s="34" t="s">
        <v>895</v>
      </c>
      <c r="E210" s="35">
        <v>87</v>
      </c>
    </row>
    <row r="211" spans="2:12" s="6" customFormat="1" ht="13" x14ac:dyDescent="0.3">
      <c r="B211" s="69" t="s">
        <v>896</v>
      </c>
      <c r="C211" s="8"/>
      <c r="D211" s="9"/>
      <c r="E211" s="10"/>
    </row>
    <row r="212" spans="2:12" s="6" customFormat="1" ht="13" x14ac:dyDescent="0.3">
      <c r="B212" s="33" t="s">
        <v>1299</v>
      </c>
      <c r="C212" s="33"/>
      <c r="D212" s="34" t="s">
        <v>897</v>
      </c>
      <c r="E212" s="35">
        <v>147</v>
      </c>
    </row>
    <row r="213" spans="2:12" s="6" customFormat="1" ht="13" x14ac:dyDescent="0.3">
      <c r="B213" s="33" t="s">
        <v>1303</v>
      </c>
      <c r="C213" s="33"/>
      <c r="D213" s="34" t="s">
        <v>898</v>
      </c>
      <c r="E213" s="35">
        <v>186</v>
      </c>
    </row>
    <row r="214" spans="2:12" s="6" customFormat="1" ht="13" x14ac:dyDescent="0.3">
      <c r="B214" s="33" t="s">
        <v>1304</v>
      </c>
      <c r="C214" s="33"/>
      <c r="D214" s="34" t="s">
        <v>899</v>
      </c>
      <c r="E214" s="35">
        <v>220</v>
      </c>
    </row>
    <row r="215" spans="2:12" s="6" customFormat="1" ht="13" x14ac:dyDescent="0.3">
      <c r="B215" s="69" t="s">
        <v>900</v>
      </c>
      <c r="C215" s="8"/>
      <c r="D215" s="9"/>
      <c r="E215" s="10"/>
    </row>
    <row r="216" spans="2:12" s="6" customFormat="1" ht="13" x14ac:dyDescent="0.3">
      <c r="B216" s="33" t="s">
        <v>1299</v>
      </c>
      <c r="C216" s="33"/>
      <c r="D216" s="34" t="s">
        <v>901</v>
      </c>
      <c r="E216" s="35">
        <v>186</v>
      </c>
    </row>
    <row r="217" spans="2:12" s="6" customFormat="1" ht="13" x14ac:dyDescent="0.3">
      <c r="B217" s="33" t="s">
        <v>1303</v>
      </c>
      <c r="C217" s="33"/>
      <c r="D217" s="34" t="s">
        <v>902</v>
      </c>
      <c r="E217" s="35">
        <v>237</v>
      </c>
    </row>
    <row r="218" spans="2:12" s="6" customFormat="1" ht="13" x14ac:dyDescent="0.3">
      <c r="B218" s="33" t="s">
        <v>1304</v>
      </c>
      <c r="C218" s="33"/>
      <c r="D218" s="34" t="s">
        <v>903</v>
      </c>
      <c r="E218" s="35">
        <v>280</v>
      </c>
    </row>
    <row r="220" spans="2:12" x14ac:dyDescent="0.35">
      <c r="B220" s="26" t="s">
        <v>904</v>
      </c>
      <c r="C220" s="36"/>
      <c r="D220" s="40"/>
      <c r="E220" s="40"/>
    </row>
    <row r="221" spans="2:12" x14ac:dyDescent="0.35">
      <c r="B221" s="101" t="s">
        <v>905</v>
      </c>
      <c r="C221" s="99" t="s">
        <v>906</v>
      </c>
      <c r="D221" s="100" t="s">
        <v>907</v>
      </c>
      <c r="E221" s="216">
        <v>102</v>
      </c>
      <c r="I221" s="463">
        <f t="shared" ref="I221:L224" si="30">($E221+$G221)*I$4</f>
        <v>22.870439999999999</v>
      </c>
      <c r="J221" s="463">
        <f t="shared" si="30"/>
        <v>12.054359999999999</v>
      </c>
      <c r="K221" s="463">
        <f t="shared" si="30"/>
        <v>8.7515999999999998</v>
      </c>
      <c r="L221" s="463">
        <f t="shared" si="30"/>
        <v>7.216499999999999</v>
      </c>
    </row>
    <row r="222" spans="2:12" x14ac:dyDescent="0.35">
      <c r="B222" s="101" t="s">
        <v>908</v>
      </c>
      <c r="C222" s="99" t="s">
        <v>909</v>
      </c>
      <c r="D222" s="100" t="s">
        <v>910</v>
      </c>
      <c r="E222" s="216">
        <v>169</v>
      </c>
      <c r="I222" s="463">
        <f t="shared" si="30"/>
        <v>37.893180000000001</v>
      </c>
      <c r="J222" s="463">
        <f t="shared" si="30"/>
        <v>19.97242</v>
      </c>
      <c r="K222" s="463">
        <f t="shared" si="30"/>
        <v>14.5002</v>
      </c>
      <c r="L222" s="463">
        <f t="shared" si="30"/>
        <v>11.95675</v>
      </c>
    </row>
    <row r="223" spans="2:12" x14ac:dyDescent="0.35">
      <c r="B223" s="101" t="s">
        <v>911</v>
      </c>
      <c r="C223" s="99" t="s">
        <v>912</v>
      </c>
      <c r="D223" s="100" t="s">
        <v>913</v>
      </c>
      <c r="E223" s="216">
        <v>132</v>
      </c>
      <c r="I223" s="463">
        <f t="shared" si="30"/>
        <v>29.59704</v>
      </c>
      <c r="J223" s="463">
        <f t="shared" si="30"/>
        <v>15.59976</v>
      </c>
      <c r="K223" s="463">
        <f t="shared" si="30"/>
        <v>11.3256</v>
      </c>
      <c r="L223" s="463">
        <f t="shared" si="30"/>
        <v>9.3389999999999986</v>
      </c>
    </row>
    <row r="224" spans="2:12" x14ac:dyDescent="0.35">
      <c r="B224" s="101" t="s">
        <v>914</v>
      </c>
      <c r="C224" s="102" t="s">
        <v>915</v>
      </c>
      <c r="D224" s="100" t="s">
        <v>916</v>
      </c>
      <c r="E224" s="216">
        <v>293</v>
      </c>
      <c r="I224" s="463">
        <f t="shared" si="30"/>
        <v>65.696460000000002</v>
      </c>
      <c r="J224" s="463">
        <f t="shared" si="30"/>
        <v>34.626739999999998</v>
      </c>
      <c r="K224" s="463">
        <f t="shared" si="30"/>
        <v>25.139400000000002</v>
      </c>
      <c r="L224" s="463">
        <f t="shared" si="30"/>
        <v>20.729749999999999</v>
      </c>
    </row>
    <row r="225" spans="2:12" x14ac:dyDescent="0.35">
      <c r="B225" s="226"/>
      <c r="C225" s="179"/>
      <c r="D225" s="179"/>
      <c r="E225" s="179"/>
    </row>
    <row r="226" spans="2:12" x14ac:dyDescent="0.35">
      <c r="B226" s="109" t="s">
        <v>917</v>
      </c>
      <c r="C226" s="179"/>
      <c r="D226" s="179"/>
      <c r="E226" s="179"/>
    </row>
    <row r="227" spans="2:12" x14ac:dyDescent="0.35">
      <c r="B227" s="133" t="s">
        <v>139</v>
      </c>
      <c r="C227" s="179"/>
      <c r="D227" s="179"/>
      <c r="E227" s="179"/>
    </row>
    <row r="228" spans="2:12" x14ac:dyDescent="0.35">
      <c r="B228" s="224" t="s">
        <v>1388</v>
      </c>
      <c r="C228" s="217" t="s">
        <v>1461</v>
      </c>
      <c r="D228" s="215" t="s">
        <v>140</v>
      </c>
      <c r="E228" s="216">
        <v>35</v>
      </c>
      <c r="I228" s="463">
        <f t="shared" ref="I228:L229" si="31">($E228+$G228)*I$4</f>
        <v>7.8476999999999997</v>
      </c>
      <c r="J228" s="463">
        <f t="shared" si="31"/>
        <v>4.1362999999999994</v>
      </c>
      <c r="K228" s="463">
        <f t="shared" si="31"/>
        <v>3.0030000000000001</v>
      </c>
      <c r="L228" s="463">
        <f t="shared" si="31"/>
        <v>2.4762499999999998</v>
      </c>
    </row>
    <row r="229" spans="2:12" x14ac:dyDescent="0.35">
      <c r="B229" s="227" t="s">
        <v>1462</v>
      </c>
      <c r="C229" s="426" t="s">
        <v>1609</v>
      </c>
      <c r="D229" s="228" t="s">
        <v>141</v>
      </c>
      <c r="E229" s="216">
        <v>16</v>
      </c>
      <c r="I229" s="463">
        <f t="shared" si="31"/>
        <v>3.58752</v>
      </c>
      <c r="J229" s="463">
        <f t="shared" si="31"/>
        <v>1.8908799999999999</v>
      </c>
      <c r="K229" s="463">
        <f t="shared" si="31"/>
        <v>1.3728</v>
      </c>
      <c r="L229" s="463">
        <f t="shared" si="31"/>
        <v>1.1319999999999999</v>
      </c>
    </row>
    <row r="230" spans="2:12" x14ac:dyDescent="0.35">
      <c r="B230" s="133" t="s">
        <v>1463</v>
      </c>
      <c r="C230" s="179"/>
      <c r="D230" s="179"/>
      <c r="E230" s="179"/>
    </row>
    <row r="231" spans="2:12" x14ac:dyDescent="0.35">
      <c r="B231" s="213" t="s">
        <v>1360</v>
      </c>
      <c r="C231" s="213" t="s">
        <v>1361</v>
      </c>
      <c r="D231" s="228" t="s">
        <v>110</v>
      </c>
      <c r="E231" s="216">
        <v>35</v>
      </c>
      <c r="I231" s="463">
        <f t="shared" ref="I231:L233" si="32">($E231+$G231)*I$4</f>
        <v>7.8476999999999997</v>
      </c>
      <c r="J231" s="463">
        <f t="shared" si="32"/>
        <v>4.1362999999999994</v>
      </c>
      <c r="K231" s="463">
        <f t="shared" si="32"/>
        <v>3.0030000000000001</v>
      </c>
      <c r="L231" s="463">
        <f t="shared" si="32"/>
        <v>2.4762499999999998</v>
      </c>
    </row>
    <row r="232" spans="2:12" ht="26" x14ac:dyDescent="0.35">
      <c r="B232" s="213" t="s">
        <v>1464</v>
      </c>
      <c r="C232" s="229" t="s">
        <v>1465</v>
      </c>
      <c r="D232" s="228" t="s">
        <v>111</v>
      </c>
      <c r="E232" s="216">
        <v>16</v>
      </c>
      <c r="I232" s="463">
        <f t="shared" si="32"/>
        <v>3.58752</v>
      </c>
      <c r="J232" s="463">
        <f t="shared" si="32"/>
        <v>1.8908799999999999</v>
      </c>
      <c r="K232" s="463">
        <f t="shared" si="32"/>
        <v>1.3728</v>
      </c>
      <c r="L232" s="463">
        <f t="shared" si="32"/>
        <v>1.1319999999999999</v>
      </c>
    </row>
    <row r="233" spans="2:12" x14ac:dyDescent="0.35">
      <c r="B233" s="224" t="s">
        <v>112</v>
      </c>
      <c r="C233" s="217" t="s">
        <v>113</v>
      </c>
      <c r="D233" s="215" t="s">
        <v>114</v>
      </c>
      <c r="E233" s="216">
        <v>84</v>
      </c>
      <c r="I233" s="463">
        <f t="shared" si="32"/>
        <v>18.834479999999999</v>
      </c>
      <c r="J233" s="463">
        <f t="shared" si="32"/>
        <v>9.9271199999999986</v>
      </c>
      <c r="K233" s="463">
        <f t="shared" si="32"/>
        <v>7.2072000000000003</v>
      </c>
      <c r="L233" s="463">
        <f t="shared" si="32"/>
        <v>5.9429999999999996</v>
      </c>
    </row>
    <row r="234" spans="2:12" x14ac:dyDescent="0.35">
      <c r="B234" s="133" t="s">
        <v>1466</v>
      </c>
      <c r="C234" s="179"/>
      <c r="D234" s="179"/>
      <c r="E234" s="179"/>
    </row>
    <row r="235" spans="2:12" x14ac:dyDescent="0.35">
      <c r="B235" s="213" t="s">
        <v>1467</v>
      </c>
      <c r="C235" s="230" t="s">
        <v>1351</v>
      </c>
      <c r="D235" s="219" t="s">
        <v>70</v>
      </c>
      <c r="E235" s="216">
        <v>71</v>
      </c>
      <c r="I235" s="463">
        <f t="shared" ref="I235:L236" si="33">($E235+$G235)*I$4</f>
        <v>15.91962</v>
      </c>
      <c r="J235" s="463">
        <f t="shared" si="33"/>
        <v>8.3907799999999995</v>
      </c>
      <c r="K235" s="463">
        <f t="shared" si="33"/>
        <v>6.0918000000000001</v>
      </c>
      <c r="L235" s="463">
        <f t="shared" si="33"/>
        <v>5.0232499999999991</v>
      </c>
    </row>
    <row r="236" spans="2:12" x14ac:dyDescent="0.35">
      <c r="B236" s="213" t="s">
        <v>1517</v>
      </c>
      <c r="C236" s="230" t="s">
        <v>1482</v>
      </c>
      <c r="D236" s="219" t="s">
        <v>71</v>
      </c>
      <c r="E236" s="216">
        <v>29</v>
      </c>
      <c r="I236" s="463">
        <f t="shared" si="33"/>
        <v>6.5023800000000005</v>
      </c>
      <c r="J236" s="463">
        <f t="shared" si="33"/>
        <v>3.4272199999999997</v>
      </c>
      <c r="K236" s="463">
        <f t="shared" si="33"/>
        <v>2.4882</v>
      </c>
      <c r="L236" s="463">
        <f t="shared" si="33"/>
        <v>2.0517499999999997</v>
      </c>
    </row>
    <row r="237" spans="2:12" x14ac:dyDescent="0.35">
      <c r="B237" s="226"/>
      <c r="C237" s="179"/>
      <c r="D237" s="179"/>
      <c r="E237" s="179"/>
    </row>
    <row r="238" spans="2:12" x14ac:dyDescent="0.35">
      <c r="B238" s="96"/>
      <c r="C238" s="138"/>
      <c r="D238" s="139"/>
      <c r="E238" s="139"/>
    </row>
    <row r="239" spans="2:12" x14ac:dyDescent="0.35">
      <c r="B239" s="109" t="s">
        <v>918</v>
      </c>
      <c r="C239" s="138"/>
      <c r="D239" s="139"/>
      <c r="E239" s="139"/>
    </row>
    <row r="240" spans="2:12" x14ac:dyDescent="0.35">
      <c r="B240" s="133" t="s">
        <v>1834</v>
      </c>
      <c r="C240" s="138"/>
      <c r="D240" s="139"/>
      <c r="E240" s="139"/>
    </row>
    <row r="241" spans="2:12" ht="39" x14ac:dyDescent="0.35">
      <c r="B241" s="224" t="s">
        <v>1468</v>
      </c>
      <c r="C241" s="217"/>
      <c r="D241" s="215" t="s">
        <v>919</v>
      </c>
      <c r="E241" s="216">
        <v>355</v>
      </c>
      <c r="I241" s="463">
        <f t="shared" ref="I241:L258" si="34">($E241+$G241)*I$4</f>
        <v>79.598100000000002</v>
      </c>
      <c r="J241" s="463">
        <f t="shared" si="34"/>
        <v>41.953899999999997</v>
      </c>
      <c r="K241" s="463">
        <f t="shared" si="34"/>
        <v>30.459</v>
      </c>
      <c r="L241" s="463">
        <f t="shared" si="34"/>
        <v>25.116249999999997</v>
      </c>
    </row>
    <row r="242" spans="2:12" ht="39" x14ac:dyDescent="0.35">
      <c r="B242" s="224" t="s">
        <v>1469</v>
      </c>
      <c r="C242" s="217"/>
      <c r="D242" s="215" t="s">
        <v>920</v>
      </c>
      <c r="E242" s="216">
        <v>267</v>
      </c>
      <c r="I242" s="463">
        <f t="shared" si="34"/>
        <v>59.86674</v>
      </c>
      <c r="J242" s="463">
        <f t="shared" si="34"/>
        <v>31.55406</v>
      </c>
      <c r="K242" s="463">
        <f t="shared" si="34"/>
        <v>22.9086</v>
      </c>
      <c r="L242" s="463">
        <f t="shared" si="34"/>
        <v>18.890249999999998</v>
      </c>
    </row>
    <row r="243" spans="2:12" x14ac:dyDescent="0.35">
      <c r="B243" s="224" t="s">
        <v>1840</v>
      </c>
      <c r="C243" s="231" t="s">
        <v>1544</v>
      </c>
      <c r="D243" s="215" t="s">
        <v>922</v>
      </c>
      <c r="E243" s="216">
        <v>21</v>
      </c>
      <c r="I243" s="463">
        <f t="shared" si="34"/>
        <v>4.7086199999999998</v>
      </c>
      <c r="J243" s="463">
        <f t="shared" si="34"/>
        <v>2.4817799999999997</v>
      </c>
      <c r="K243" s="463">
        <f t="shared" si="34"/>
        <v>1.8018000000000001</v>
      </c>
      <c r="L243" s="463">
        <f t="shared" si="34"/>
        <v>1.4857499999999999</v>
      </c>
    </row>
    <row r="244" spans="2:12" x14ac:dyDescent="0.35">
      <c r="B244" s="224" t="s">
        <v>1841</v>
      </c>
      <c r="C244" s="217" t="s">
        <v>1470</v>
      </c>
      <c r="D244" s="215" t="s">
        <v>1471</v>
      </c>
      <c r="E244" s="216">
        <v>27</v>
      </c>
      <c r="I244" s="463">
        <f t="shared" si="34"/>
        <v>6.0539399999999999</v>
      </c>
      <c r="J244" s="463">
        <f t="shared" si="34"/>
        <v>3.1908599999999998</v>
      </c>
      <c r="K244" s="463">
        <f t="shared" si="34"/>
        <v>2.3166000000000002</v>
      </c>
      <c r="L244" s="463">
        <f t="shared" si="34"/>
        <v>1.9102499999999998</v>
      </c>
    </row>
    <row r="245" spans="2:12" x14ac:dyDescent="0.35">
      <c r="B245" s="224" t="s">
        <v>1472</v>
      </c>
      <c r="C245" s="217" t="s">
        <v>1347</v>
      </c>
      <c r="D245" s="215" t="s">
        <v>1473</v>
      </c>
      <c r="E245" s="216">
        <v>8</v>
      </c>
      <c r="I245" s="463">
        <f t="shared" si="34"/>
        <v>1.79376</v>
      </c>
      <c r="J245" s="463">
        <f t="shared" si="34"/>
        <v>0.94543999999999995</v>
      </c>
      <c r="K245" s="463">
        <f t="shared" si="34"/>
        <v>0.68640000000000001</v>
      </c>
      <c r="L245" s="463">
        <f t="shared" si="34"/>
        <v>0.56599999999999995</v>
      </c>
    </row>
    <row r="246" spans="2:12" x14ac:dyDescent="0.35">
      <c r="B246" s="224" t="s">
        <v>1474</v>
      </c>
      <c r="C246" s="217" t="s">
        <v>1475</v>
      </c>
      <c r="D246" s="215" t="s">
        <v>1476</v>
      </c>
      <c r="E246" s="216">
        <v>8</v>
      </c>
      <c r="I246" s="463">
        <f t="shared" si="34"/>
        <v>1.79376</v>
      </c>
      <c r="J246" s="463">
        <f t="shared" si="34"/>
        <v>0.94543999999999995</v>
      </c>
      <c r="K246" s="463">
        <f t="shared" si="34"/>
        <v>0.68640000000000001</v>
      </c>
      <c r="L246" s="463">
        <f t="shared" si="34"/>
        <v>0.56599999999999995</v>
      </c>
    </row>
    <row r="247" spans="2:12" x14ac:dyDescent="0.35">
      <c r="B247" s="224" t="s">
        <v>1477</v>
      </c>
      <c r="C247" s="217" t="s">
        <v>1478</v>
      </c>
      <c r="D247" s="215" t="s">
        <v>923</v>
      </c>
      <c r="E247" s="216">
        <v>8</v>
      </c>
      <c r="I247" s="463">
        <f t="shared" si="34"/>
        <v>1.79376</v>
      </c>
      <c r="J247" s="463">
        <f t="shared" si="34"/>
        <v>0.94543999999999995</v>
      </c>
      <c r="K247" s="463">
        <f t="shared" si="34"/>
        <v>0.68640000000000001</v>
      </c>
      <c r="L247" s="463">
        <f t="shared" si="34"/>
        <v>0.56599999999999995</v>
      </c>
    </row>
    <row r="248" spans="2:12" x14ac:dyDescent="0.35">
      <c r="B248" s="224" t="s">
        <v>1479</v>
      </c>
      <c r="C248" s="217" t="s">
        <v>1480</v>
      </c>
      <c r="D248" s="215" t="s">
        <v>921</v>
      </c>
      <c r="E248" s="216">
        <v>8</v>
      </c>
      <c r="I248" s="463">
        <f t="shared" si="34"/>
        <v>1.79376</v>
      </c>
      <c r="J248" s="463">
        <f t="shared" si="34"/>
        <v>0.94543999999999995</v>
      </c>
      <c r="K248" s="463">
        <f t="shared" si="34"/>
        <v>0.68640000000000001</v>
      </c>
      <c r="L248" s="463">
        <f t="shared" si="34"/>
        <v>0.56599999999999995</v>
      </c>
    </row>
    <row r="249" spans="2:12" x14ac:dyDescent="0.35">
      <c r="B249" s="224" t="s">
        <v>1481</v>
      </c>
      <c r="C249" s="217" t="s">
        <v>1482</v>
      </c>
      <c r="D249" s="215" t="s">
        <v>1483</v>
      </c>
      <c r="E249" s="216">
        <v>27</v>
      </c>
      <c r="I249" s="463">
        <f t="shared" si="34"/>
        <v>6.0539399999999999</v>
      </c>
      <c r="J249" s="463">
        <f t="shared" si="34"/>
        <v>3.1908599999999998</v>
      </c>
      <c r="K249" s="463">
        <f t="shared" si="34"/>
        <v>2.3166000000000002</v>
      </c>
      <c r="L249" s="463">
        <f t="shared" si="34"/>
        <v>1.9102499999999998</v>
      </c>
    </row>
    <row r="250" spans="2:12" x14ac:dyDescent="0.35">
      <c r="B250" s="224" t="s">
        <v>1484</v>
      </c>
      <c r="C250" s="217" t="s">
        <v>1485</v>
      </c>
      <c r="D250" s="215" t="s">
        <v>1486</v>
      </c>
      <c r="E250" s="216">
        <v>27</v>
      </c>
      <c r="I250" s="463">
        <f t="shared" si="34"/>
        <v>6.0539399999999999</v>
      </c>
      <c r="J250" s="463">
        <f t="shared" si="34"/>
        <v>3.1908599999999998</v>
      </c>
      <c r="K250" s="463">
        <f t="shared" si="34"/>
        <v>2.3166000000000002</v>
      </c>
      <c r="L250" s="463">
        <f t="shared" si="34"/>
        <v>1.9102499999999998</v>
      </c>
    </row>
    <row r="251" spans="2:12" x14ac:dyDescent="0.35">
      <c r="B251" s="224" t="s">
        <v>1487</v>
      </c>
      <c r="C251" s="217" t="s">
        <v>1488</v>
      </c>
      <c r="D251" s="215" t="s">
        <v>1489</v>
      </c>
      <c r="E251" s="216">
        <v>71</v>
      </c>
      <c r="I251" s="463">
        <f t="shared" si="34"/>
        <v>15.91962</v>
      </c>
      <c r="J251" s="463">
        <f t="shared" si="34"/>
        <v>8.3907799999999995</v>
      </c>
      <c r="K251" s="463">
        <f t="shared" si="34"/>
        <v>6.0918000000000001</v>
      </c>
      <c r="L251" s="463">
        <f t="shared" si="34"/>
        <v>5.0232499999999991</v>
      </c>
    </row>
    <row r="252" spans="2:12" x14ac:dyDescent="0.35">
      <c r="B252" s="133" t="s">
        <v>1835</v>
      </c>
      <c r="C252" s="360"/>
      <c r="D252" s="361"/>
      <c r="E252" s="362"/>
      <c r="I252" s="463">
        <f t="shared" si="34"/>
        <v>0</v>
      </c>
      <c r="J252" s="463">
        <f t="shared" si="34"/>
        <v>0</v>
      </c>
      <c r="K252" s="463">
        <f t="shared" si="34"/>
        <v>0</v>
      </c>
      <c r="L252" s="463">
        <f t="shared" si="34"/>
        <v>0</v>
      </c>
    </row>
    <row r="253" spans="2:12" ht="39" x14ac:dyDescent="0.35">
      <c r="B253" s="224" t="s">
        <v>1831</v>
      </c>
      <c r="C253" s="217"/>
      <c r="D253" s="215" t="s">
        <v>1752</v>
      </c>
      <c r="E253" s="216">
        <v>560</v>
      </c>
      <c r="I253" s="463">
        <f t="shared" si="34"/>
        <v>125.56319999999999</v>
      </c>
      <c r="J253" s="463">
        <f t="shared" si="34"/>
        <v>66.180799999999991</v>
      </c>
      <c r="K253" s="463">
        <f t="shared" si="34"/>
        <v>48.048000000000002</v>
      </c>
      <c r="L253" s="463">
        <f t="shared" si="34"/>
        <v>39.619999999999997</v>
      </c>
    </row>
    <row r="254" spans="2:12" hidden="1" x14ac:dyDescent="0.35">
      <c r="B254" s="427" t="s">
        <v>1839</v>
      </c>
      <c r="C254" s="428"/>
      <c r="D254" s="429" t="s">
        <v>1753</v>
      </c>
      <c r="E254" s="430">
        <v>27</v>
      </c>
      <c r="I254" s="463">
        <f t="shared" si="34"/>
        <v>6.0539399999999999</v>
      </c>
      <c r="J254" s="463">
        <f t="shared" si="34"/>
        <v>3.1908599999999998</v>
      </c>
      <c r="K254" s="463">
        <f t="shared" si="34"/>
        <v>2.3166000000000002</v>
      </c>
      <c r="L254" s="463">
        <f t="shared" si="34"/>
        <v>1.9102499999999998</v>
      </c>
    </row>
    <row r="255" spans="2:12" ht="39" x14ac:dyDescent="0.35">
      <c r="B255" s="224" t="s">
        <v>1832</v>
      </c>
      <c r="C255" s="217"/>
      <c r="D255" s="215" t="s">
        <v>1753</v>
      </c>
      <c r="E255" s="216">
        <v>650</v>
      </c>
      <c r="I255" s="463">
        <f t="shared" si="34"/>
        <v>145.74299999999999</v>
      </c>
      <c r="J255" s="463">
        <f t="shared" si="34"/>
        <v>76.816999999999993</v>
      </c>
      <c r="K255" s="463">
        <f t="shared" si="34"/>
        <v>55.77</v>
      </c>
      <c r="L255" s="463">
        <f t="shared" si="34"/>
        <v>45.987499999999997</v>
      </c>
    </row>
    <row r="256" spans="2:12" ht="26" x14ac:dyDescent="0.35">
      <c r="B256" s="224" t="s">
        <v>1837</v>
      </c>
      <c r="C256" s="231" t="s">
        <v>1838</v>
      </c>
      <c r="D256" s="215" t="s">
        <v>1858</v>
      </c>
      <c r="E256" s="216">
        <v>21</v>
      </c>
      <c r="I256" s="463">
        <f t="shared" si="34"/>
        <v>4.7086199999999998</v>
      </c>
      <c r="J256" s="463">
        <f t="shared" si="34"/>
        <v>2.4817799999999997</v>
      </c>
      <c r="K256" s="463">
        <f t="shared" si="34"/>
        <v>1.8018000000000001</v>
      </c>
      <c r="L256" s="463">
        <f t="shared" si="34"/>
        <v>1.4857499999999999</v>
      </c>
    </row>
    <row r="257" spans="2:12" x14ac:dyDescent="0.35">
      <c r="B257" s="133" t="s">
        <v>1836</v>
      </c>
      <c r="C257" s="138"/>
      <c r="D257" s="139"/>
      <c r="E257" s="139"/>
    </row>
    <row r="258" spans="2:12" x14ac:dyDescent="0.35">
      <c r="B258" s="224" t="s">
        <v>1833</v>
      </c>
      <c r="C258" s="217" t="s">
        <v>924</v>
      </c>
      <c r="D258" s="215" t="s">
        <v>925</v>
      </c>
      <c r="E258" s="216">
        <v>5</v>
      </c>
      <c r="I258" s="463">
        <f t="shared" si="34"/>
        <v>1.1211</v>
      </c>
      <c r="J258" s="463">
        <f t="shared" si="34"/>
        <v>0.59089999999999998</v>
      </c>
      <c r="K258" s="463">
        <f t="shared" si="34"/>
        <v>0.42899999999999999</v>
      </c>
      <c r="L258" s="463">
        <f t="shared" si="34"/>
        <v>0.35374999999999995</v>
      </c>
    </row>
    <row r="259" spans="2:12" x14ac:dyDescent="0.35">
      <c r="B259" s="326"/>
      <c r="C259" s="331"/>
      <c r="D259" s="327"/>
      <c r="E259" s="328"/>
    </row>
    <row r="261" spans="2:12" ht="15.5" x14ac:dyDescent="0.35">
      <c r="B261" s="72" t="s">
        <v>926</v>
      </c>
      <c r="C261" s="73"/>
      <c r="D261" s="74"/>
      <c r="E261" s="75"/>
    </row>
    <row r="262" spans="2:12" x14ac:dyDescent="0.35">
      <c r="B262" s="26" t="s">
        <v>927</v>
      </c>
    </row>
    <row r="263" spans="2:12" x14ac:dyDescent="0.35">
      <c r="B263" s="60" t="s">
        <v>928</v>
      </c>
    </row>
    <row r="264" spans="2:12" x14ac:dyDescent="0.35">
      <c r="B264" s="101" t="s">
        <v>929</v>
      </c>
      <c r="C264" s="99" t="s">
        <v>930</v>
      </c>
      <c r="D264" s="100" t="s">
        <v>931</v>
      </c>
      <c r="E264" s="216">
        <v>36</v>
      </c>
      <c r="I264" s="463">
        <f t="shared" ref="I264:L266" si="35">($E264+$G264)*I$4</f>
        <v>8.0719200000000004</v>
      </c>
      <c r="J264" s="463">
        <f t="shared" si="35"/>
        <v>4.25448</v>
      </c>
      <c r="K264" s="463">
        <f t="shared" si="35"/>
        <v>3.0888</v>
      </c>
      <c r="L264" s="463">
        <f t="shared" si="35"/>
        <v>2.5469999999999997</v>
      </c>
    </row>
    <row r="265" spans="2:12" x14ac:dyDescent="0.35">
      <c r="B265" s="101" t="s">
        <v>932</v>
      </c>
      <c r="C265" s="99" t="s">
        <v>1540</v>
      </c>
      <c r="D265" s="100" t="s">
        <v>934</v>
      </c>
      <c r="E265" s="216">
        <v>34</v>
      </c>
      <c r="I265" s="463">
        <f t="shared" si="35"/>
        <v>7.6234799999999998</v>
      </c>
      <c r="J265" s="463">
        <f t="shared" si="35"/>
        <v>4.0181199999999997</v>
      </c>
      <c r="K265" s="463">
        <f t="shared" si="35"/>
        <v>2.9172000000000002</v>
      </c>
      <c r="L265" s="463">
        <f t="shared" si="35"/>
        <v>2.4055</v>
      </c>
    </row>
    <row r="266" spans="2:12" x14ac:dyDescent="0.35">
      <c r="B266" s="101" t="s">
        <v>935</v>
      </c>
      <c r="C266" s="99" t="s">
        <v>1548</v>
      </c>
      <c r="D266" s="100" t="s">
        <v>937</v>
      </c>
      <c r="E266" s="216">
        <v>34</v>
      </c>
      <c r="I266" s="463">
        <f t="shared" si="35"/>
        <v>7.6234799999999998</v>
      </c>
      <c r="J266" s="463">
        <f t="shared" si="35"/>
        <v>4.0181199999999997</v>
      </c>
      <c r="K266" s="463">
        <f t="shared" si="35"/>
        <v>2.9172000000000002</v>
      </c>
      <c r="L266" s="463">
        <f t="shared" si="35"/>
        <v>2.4055</v>
      </c>
    </row>
    <row r="267" spans="2:12" x14ac:dyDescent="0.35">
      <c r="B267" s="133" t="s">
        <v>198</v>
      </c>
      <c r="C267" s="140"/>
      <c r="D267" s="140"/>
      <c r="E267" s="140"/>
    </row>
    <row r="268" spans="2:12" x14ac:dyDescent="0.35">
      <c r="B268" s="101" t="s">
        <v>175</v>
      </c>
      <c r="C268" s="99" t="s">
        <v>176</v>
      </c>
      <c r="D268" s="100" t="s">
        <v>177</v>
      </c>
      <c r="E268" s="216">
        <v>112</v>
      </c>
      <c r="I268" s="463">
        <f t="shared" ref="I268:L270" si="36">($E268+$G268)*I$4</f>
        <v>25.112639999999999</v>
      </c>
      <c r="J268" s="463">
        <f t="shared" si="36"/>
        <v>13.23616</v>
      </c>
      <c r="K268" s="463">
        <f t="shared" si="36"/>
        <v>9.6096000000000004</v>
      </c>
      <c r="L268" s="463">
        <f t="shared" si="36"/>
        <v>7.9239999999999995</v>
      </c>
    </row>
    <row r="269" spans="2:12" x14ac:dyDescent="0.35">
      <c r="B269" s="224" t="s">
        <v>1416</v>
      </c>
      <c r="C269" s="217" t="s">
        <v>1417</v>
      </c>
      <c r="D269" s="215" t="s">
        <v>178</v>
      </c>
      <c r="E269" s="216">
        <v>133</v>
      </c>
      <c r="I269" s="463">
        <f t="shared" si="36"/>
        <v>29.821259999999999</v>
      </c>
      <c r="J269" s="463">
        <f t="shared" si="36"/>
        <v>15.717939999999999</v>
      </c>
      <c r="K269" s="463">
        <f t="shared" si="36"/>
        <v>11.4114</v>
      </c>
      <c r="L269" s="463">
        <f t="shared" si="36"/>
        <v>9.4097499999999989</v>
      </c>
    </row>
    <row r="270" spans="2:12" x14ac:dyDescent="0.35">
      <c r="B270" s="101" t="s">
        <v>938</v>
      </c>
      <c r="C270" s="99" t="s">
        <v>199</v>
      </c>
      <c r="D270" s="100" t="s">
        <v>200</v>
      </c>
      <c r="E270" s="216">
        <v>144</v>
      </c>
      <c r="I270" s="463">
        <f t="shared" si="36"/>
        <v>32.287680000000002</v>
      </c>
      <c r="J270" s="463">
        <f t="shared" si="36"/>
        <v>17.01792</v>
      </c>
      <c r="K270" s="463">
        <f t="shared" si="36"/>
        <v>12.3552</v>
      </c>
      <c r="L270" s="463">
        <f t="shared" si="36"/>
        <v>10.187999999999999</v>
      </c>
    </row>
    <row r="271" spans="2:12" x14ac:dyDescent="0.35">
      <c r="B271" s="142"/>
      <c r="C271" s="140"/>
      <c r="D271" s="140"/>
      <c r="E271" s="140"/>
    </row>
    <row r="272" spans="2:12" x14ac:dyDescent="0.35">
      <c r="B272" s="109" t="s">
        <v>939</v>
      </c>
      <c r="C272" s="140"/>
      <c r="D272" s="140"/>
      <c r="E272" s="140"/>
    </row>
    <row r="273" spans="2:12" x14ac:dyDescent="0.35">
      <c r="B273" s="133" t="s">
        <v>940</v>
      </c>
      <c r="C273" s="140"/>
      <c r="D273" s="140"/>
      <c r="E273" s="140"/>
    </row>
    <row r="274" spans="2:12" x14ac:dyDescent="0.35">
      <c r="B274" s="101" t="s">
        <v>941</v>
      </c>
      <c r="C274" s="99" t="s">
        <v>942</v>
      </c>
      <c r="D274" s="100" t="s">
        <v>943</v>
      </c>
      <c r="E274" s="216">
        <v>63</v>
      </c>
      <c r="I274" s="463">
        <f t="shared" ref="I274:L276" si="37">($E274+$G274)*I$4</f>
        <v>14.125859999999999</v>
      </c>
      <c r="J274" s="463">
        <f t="shared" si="37"/>
        <v>7.4453399999999998</v>
      </c>
      <c r="K274" s="463">
        <f t="shared" si="37"/>
        <v>5.4054000000000002</v>
      </c>
      <c r="L274" s="463">
        <f t="shared" si="37"/>
        <v>4.4572499999999993</v>
      </c>
    </row>
    <row r="275" spans="2:12" x14ac:dyDescent="0.35">
      <c r="B275" s="101" t="s">
        <v>1320</v>
      </c>
      <c r="C275" s="99" t="s">
        <v>1318</v>
      </c>
      <c r="D275" s="100" t="s">
        <v>944</v>
      </c>
      <c r="E275" s="216">
        <v>59</v>
      </c>
      <c r="I275" s="463">
        <f t="shared" si="37"/>
        <v>13.22898</v>
      </c>
      <c r="J275" s="463">
        <f t="shared" si="37"/>
        <v>6.97262</v>
      </c>
      <c r="K275" s="463">
        <f t="shared" si="37"/>
        <v>5.0621999999999998</v>
      </c>
      <c r="L275" s="463">
        <f t="shared" si="37"/>
        <v>4.1742499999999998</v>
      </c>
    </row>
    <row r="276" spans="2:12" x14ac:dyDescent="0.35">
      <c r="B276" s="101" t="s">
        <v>945</v>
      </c>
      <c r="C276" s="99" t="s">
        <v>946</v>
      </c>
      <c r="D276" s="100" t="s">
        <v>947</v>
      </c>
      <c r="E276" s="216">
        <v>37</v>
      </c>
      <c r="I276" s="463">
        <f t="shared" si="37"/>
        <v>8.2961399999999994</v>
      </c>
      <c r="J276" s="463">
        <f t="shared" si="37"/>
        <v>4.3726599999999998</v>
      </c>
      <c r="K276" s="463">
        <f t="shared" si="37"/>
        <v>3.1745999999999999</v>
      </c>
      <c r="L276" s="463">
        <f t="shared" si="37"/>
        <v>2.6177499999999996</v>
      </c>
    </row>
    <row r="277" spans="2:12" x14ac:dyDescent="0.35">
      <c r="B277" s="133" t="s">
        <v>948</v>
      </c>
      <c r="C277" s="140"/>
      <c r="D277" s="140"/>
      <c r="E277" s="136"/>
    </row>
    <row r="278" spans="2:12" x14ac:dyDescent="0.35">
      <c r="B278" s="101" t="s">
        <v>949</v>
      </c>
      <c r="C278" s="99" t="s">
        <v>950</v>
      </c>
      <c r="D278" s="100" t="s">
        <v>951</v>
      </c>
      <c r="E278" s="216">
        <v>7</v>
      </c>
      <c r="I278" s="463">
        <f t="shared" ref="I278:L289" si="38">($E278+$G278)*I$4</f>
        <v>1.5695399999999999</v>
      </c>
      <c r="J278" s="463">
        <f t="shared" si="38"/>
        <v>0.82726</v>
      </c>
      <c r="K278" s="463">
        <f t="shared" si="38"/>
        <v>0.60060000000000002</v>
      </c>
      <c r="L278" s="463">
        <f t="shared" si="38"/>
        <v>0.49524999999999997</v>
      </c>
    </row>
    <row r="279" spans="2:12" x14ac:dyDescent="0.35">
      <c r="B279" s="101" t="s">
        <v>952</v>
      </c>
      <c r="C279" s="99" t="s">
        <v>1317</v>
      </c>
      <c r="D279" s="100" t="s">
        <v>953</v>
      </c>
      <c r="E279" s="216">
        <v>25</v>
      </c>
      <c r="I279" s="463">
        <f t="shared" si="38"/>
        <v>5.6055000000000001</v>
      </c>
      <c r="J279" s="463">
        <f t="shared" si="38"/>
        <v>2.9544999999999999</v>
      </c>
      <c r="K279" s="463">
        <f t="shared" si="38"/>
        <v>2.145</v>
      </c>
      <c r="L279" s="463">
        <f t="shared" si="38"/>
        <v>1.7687499999999998</v>
      </c>
    </row>
    <row r="280" spans="2:12" x14ac:dyDescent="0.35">
      <c r="B280" s="101" t="s">
        <v>954</v>
      </c>
      <c r="C280" s="99" t="s">
        <v>955</v>
      </c>
      <c r="D280" s="100" t="s">
        <v>956</v>
      </c>
      <c r="E280" s="216">
        <v>18</v>
      </c>
      <c r="I280" s="463">
        <f t="shared" si="38"/>
        <v>4.0359600000000002</v>
      </c>
      <c r="J280" s="463">
        <f t="shared" si="38"/>
        <v>2.12724</v>
      </c>
      <c r="K280" s="463">
        <f t="shared" si="38"/>
        <v>1.5444</v>
      </c>
      <c r="L280" s="463">
        <f t="shared" si="38"/>
        <v>1.2734999999999999</v>
      </c>
    </row>
    <row r="281" spans="2:12" x14ac:dyDescent="0.35">
      <c r="B281" s="101" t="s">
        <v>957</v>
      </c>
      <c r="C281" s="99" t="s">
        <v>958</v>
      </c>
      <c r="D281" s="100" t="s">
        <v>959</v>
      </c>
      <c r="E281" s="216">
        <v>9</v>
      </c>
      <c r="I281" s="463">
        <f t="shared" si="38"/>
        <v>2.0179800000000001</v>
      </c>
      <c r="J281" s="463">
        <f t="shared" si="38"/>
        <v>1.06362</v>
      </c>
      <c r="K281" s="463">
        <f t="shared" si="38"/>
        <v>0.7722</v>
      </c>
      <c r="L281" s="463">
        <f t="shared" si="38"/>
        <v>0.63674999999999993</v>
      </c>
    </row>
    <row r="282" spans="2:12" x14ac:dyDescent="0.35">
      <c r="B282" s="101" t="s">
        <v>960</v>
      </c>
      <c r="C282" s="99" t="s">
        <v>961</v>
      </c>
      <c r="D282" s="100" t="s">
        <v>962</v>
      </c>
      <c r="E282" s="216">
        <v>17</v>
      </c>
      <c r="I282" s="463">
        <f t="shared" si="38"/>
        <v>3.8117399999999999</v>
      </c>
      <c r="J282" s="463">
        <f t="shared" si="38"/>
        <v>2.0090599999999998</v>
      </c>
      <c r="K282" s="463">
        <f t="shared" si="38"/>
        <v>1.4586000000000001</v>
      </c>
      <c r="L282" s="463">
        <f t="shared" si="38"/>
        <v>1.20275</v>
      </c>
    </row>
    <row r="283" spans="2:12" x14ac:dyDescent="0.35">
      <c r="B283" s="101" t="s">
        <v>963</v>
      </c>
      <c r="C283" s="99" t="s">
        <v>964</v>
      </c>
      <c r="D283" s="100" t="s">
        <v>965</v>
      </c>
      <c r="E283" s="216">
        <v>23</v>
      </c>
      <c r="I283" s="463">
        <f t="shared" si="38"/>
        <v>5.1570600000000004</v>
      </c>
      <c r="J283" s="463">
        <f t="shared" si="38"/>
        <v>2.71814</v>
      </c>
      <c r="K283" s="463">
        <f t="shared" si="38"/>
        <v>1.9734</v>
      </c>
      <c r="L283" s="463">
        <f t="shared" si="38"/>
        <v>1.6272499999999999</v>
      </c>
    </row>
    <row r="284" spans="2:12" x14ac:dyDescent="0.35">
      <c r="B284" s="101" t="s">
        <v>966</v>
      </c>
      <c r="C284" s="107" t="s">
        <v>967</v>
      </c>
      <c r="D284" s="100" t="s">
        <v>968</v>
      </c>
      <c r="E284" s="216">
        <v>23</v>
      </c>
      <c r="I284" s="463">
        <f t="shared" si="38"/>
        <v>5.1570600000000004</v>
      </c>
      <c r="J284" s="463">
        <f t="shared" si="38"/>
        <v>2.71814</v>
      </c>
      <c r="K284" s="463">
        <f t="shared" si="38"/>
        <v>1.9734</v>
      </c>
      <c r="L284" s="463">
        <f t="shared" si="38"/>
        <v>1.6272499999999999</v>
      </c>
    </row>
    <row r="285" spans="2:12" x14ac:dyDescent="0.35">
      <c r="B285" s="101" t="s">
        <v>969</v>
      </c>
      <c r="C285" s="99" t="s">
        <v>970</v>
      </c>
      <c r="D285" s="100" t="s">
        <v>971</v>
      </c>
      <c r="E285" s="216">
        <v>9</v>
      </c>
      <c r="I285" s="463">
        <f t="shared" si="38"/>
        <v>2.0179800000000001</v>
      </c>
      <c r="J285" s="463">
        <f t="shared" si="38"/>
        <v>1.06362</v>
      </c>
      <c r="K285" s="463">
        <f t="shared" si="38"/>
        <v>0.7722</v>
      </c>
      <c r="L285" s="463">
        <f t="shared" si="38"/>
        <v>0.63674999999999993</v>
      </c>
    </row>
    <row r="286" spans="2:12" x14ac:dyDescent="0.35">
      <c r="B286" s="101" t="s">
        <v>972</v>
      </c>
      <c r="C286" s="102" t="s">
        <v>973</v>
      </c>
      <c r="D286" s="100" t="s">
        <v>974</v>
      </c>
      <c r="E286" s="216">
        <v>10</v>
      </c>
      <c r="I286" s="463">
        <f t="shared" si="38"/>
        <v>2.2422</v>
      </c>
      <c r="J286" s="463">
        <f t="shared" si="38"/>
        <v>1.1818</v>
      </c>
      <c r="K286" s="463">
        <f t="shared" si="38"/>
        <v>0.85799999999999998</v>
      </c>
      <c r="L286" s="463">
        <f t="shared" si="38"/>
        <v>0.70749999999999991</v>
      </c>
    </row>
    <row r="287" spans="2:12" x14ac:dyDescent="0.35">
      <c r="B287" s="101" t="s">
        <v>975</v>
      </c>
      <c r="C287" s="102" t="s">
        <v>976</v>
      </c>
      <c r="D287" s="100" t="s">
        <v>977</v>
      </c>
      <c r="E287" s="216">
        <v>11</v>
      </c>
      <c r="I287" s="463">
        <f t="shared" si="38"/>
        <v>2.4664199999999998</v>
      </c>
      <c r="J287" s="463">
        <f t="shared" si="38"/>
        <v>1.2999799999999999</v>
      </c>
      <c r="K287" s="463">
        <f t="shared" si="38"/>
        <v>0.94379999999999997</v>
      </c>
      <c r="L287" s="463">
        <f t="shared" si="38"/>
        <v>0.77824999999999989</v>
      </c>
    </row>
    <row r="288" spans="2:12" x14ac:dyDescent="0.35">
      <c r="B288" s="101" t="s">
        <v>978</v>
      </c>
      <c r="C288" s="102" t="s">
        <v>979</v>
      </c>
      <c r="D288" s="100" t="s">
        <v>980</v>
      </c>
      <c r="E288" s="216">
        <v>17</v>
      </c>
      <c r="I288" s="463">
        <f t="shared" si="38"/>
        <v>3.8117399999999999</v>
      </c>
      <c r="J288" s="463">
        <f t="shared" si="38"/>
        <v>2.0090599999999998</v>
      </c>
      <c r="K288" s="463">
        <f t="shared" si="38"/>
        <v>1.4586000000000001</v>
      </c>
      <c r="L288" s="463">
        <f t="shared" si="38"/>
        <v>1.20275</v>
      </c>
    </row>
    <row r="289" spans="2:12" x14ac:dyDescent="0.35">
      <c r="B289" s="101" t="s">
        <v>981</v>
      </c>
      <c r="C289" s="102" t="s">
        <v>982</v>
      </c>
      <c r="D289" s="100" t="s">
        <v>983</v>
      </c>
      <c r="E289" s="216">
        <v>12</v>
      </c>
      <c r="I289" s="463">
        <f t="shared" si="38"/>
        <v>2.6906400000000001</v>
      </c>
      <c r="J289" s="463">
        <f t="shared" si="38"/>
        <v>1.4181599999999999</v>
      </c>
      <c r="K289" s="463">
        <f t="shared" si="38"/>
        <v>1.0296000000000001</v>
      </c>
      <c r="L289" s="463">
        <f t="shared" si="38"/>
        <v>0.84899999999999998</v>
      </c>
    </row>
    <row r="290" spans="2:12" x14ac:dyDescent="0.35">
      <c r="B290" s="133" t="s">
        <v>984</v>
      </c>
      <c r="C290" s="140"/>
      <c r="D290" s="140"/>
      <c r="E290" s="140"/>
    </row>
    <row r="291" spans="2:12" x14ac:dyDescent="0.35">
      <c r="B291" s="101" t="s">
        <v>985</v>
      </c>
      <c r="C291" s="102" t="s">
        <v>986</v>
      </c>
      <c r="D291" s="100" t="s">
        <v>987</v>
      </c>
      <c r="E291" s="216">
        <v>2</v>
      </c>
      <c r="I291" s="463">
        <f t="shared" ref="I291:L294" si="39">($E291+$G291)*I$4</f>
        <v>0.44844000000000001</v>
      </c>
      <c r="J291" s="463">
        <f t="shared" si="39"/>
        <v>0.23635999999999999</v>
      </c>
      <c r="K291" s="463">
        <f t="shared" si="39"/>
        <v>0.1716</v>
      </c>
      <c r="L291" s="463">
        <f t="shared" si="39"/>
        <v>0.14149999999999999</v>
      </c>
    </row>
    <row r="292" spans="2:12" x14ac:dyDescent="0.35">
      <c r="B292" s="101" t="s">
        <v>988</v>
      </c>
      <c r="C292" s="102" t="s">
        <v>989</v>
      </c>
      <c r="D292" s="100" t="s">
        <v>990</v>
      </c>
      <c r="E292" s="216">
        <v>8</v>
      </c>
      <c r="I292" s="463">
        <f t="shared" si="39"/>
        <v>1.79376</v>
      </c>
      <c r="J292" s="463">
        <f t="shared" si="39"/>
        <v>0.94543999999999995</v>
      </c>
      <c r="K292" s="463">
        <f t="shared" si="39"/>
        <v>0.68640000000000001</v>
      </c>
      <c r="L292" s="463">
        <f t="shared" si="39"/>
        <v>0.56599999999999995</v>
      </c>
    </row>
    <row r="293" spans="2:12" x14ac:dyDescent="0.35">
      <c r="B293" s="101" t="s">
        <v>991</v>
      </c>
      <c r="C293" s="99" t="s">
        <v>992</v>
      </c>
      <c r="D293" s="100" t="s">
        <v>993</v>
      </c>
      <c r="E293" s="216">
        <v>13</v>
      </c>
      <c r="I293" s="463">
        <f t="shared" si="39"/>
        <v>2.91486</v>
      </c>
      <c r="J293" s="463">
        <f t="shared" si="39"/>
        <v>1.5363399999999998</v>
      </c>
      <c r="K293" s="463">
        <f t="shared" si="39"/>
        <v>1.1153999999999999</v>
      </c>
      <c r="L293" s="463">
        <f t="shared" si="39"/>
        <v>0.91974999999999996</v>
      </c>
    </row>
    <row r="294" spans="2:12" x14ac:dyDescent="0.35">
      <c r="B294" s="101" t="s">
        <v>994</v>
      </c>
      <c r="C294" s="141" t="s">
        <v>995</v>
      </c>
      <c r="D294" s="100" t="s">
        <v>996</v>
      </c>
      <c r="E294" s="216">
        <v>33</v>
      </c>
      <c r="I294" s="463">
        <f t="shared" si="39"/>
        <v>7.3992599999999999</v>
      </c>
      <c r="J294" s="463">
        <f t="shared" si="39"/>
        <v>3.89994</v>
      </c>
      <c r="K294" s="463">
        <f t="shared" si="39"/>
        <v>2.8313999999999999</v>
      </c>
      <c r="L294" s="463">
        <f t="shared" si="39"/>
        <v>2.3347499999999997</v>
      </c>
    </row>
    <row r="295" spans="2:12" x14ac:dyDescent="0.35">
      <c r="B295" s="142"/>
      <c r="C295" s="140"/>
      <c r="D295" s="140"/>
      <c r="E295" s="140"/>
    </row>
    <row r="296" spans="2:12" x14ac:dyDescent="0.35">
      <c r="B296" s="109" t="s">
        <v>997</v>
      </c>
      <c r="C296" s="134"/>
      <c r="D296" s="134"/>
      <c r="E296" s="134"/>
    </row>
    <row r="297" spans="2:12" x14ac:dyDescent="0.35">
      <c r="B297" s="101" t="s">
        <v>998</v>
      </c>
      <c r="C297" s="99" t="s">
        <v>999</v>
      </c>
      <c r="D297" s="100" t="s">
        <v>1000</v>
      </c>
      <c r="E297" s="216">
        <v>27</v>
      </c>
      <c r="I297" s="463">
        <f t="shared" ref="I297:L300" si="40">($E297+$G297)*I$4</f>
        <v>6.0539399999999999</v>
      </c>
      <c r="J297" s="463">
        <f t="shared" si="40"/>
        <v>3.1908599999999998</v>
      </c>
      <c r="K297" s="463">
        <f t="shared" si="40"/>
        <v>2.3166000000000002</v>
      </c>
      <c r="L297" s="463">
        <f t="shared" si="40"/>
        <v>1.9102499999999998</v>
      </c>
    </row>
    <row r="298" spans="2:12" x14ac:dyDescent="0.35">
      <c r="B298" s="101" t="s">
        <v>1001</v>
      </c>
      <c r="C298" s="99" t="s">
        <v>1002</v>
      </c>
      <c r="D298" s="100" t="s">
        <v>1003</v>
      </c>
      <c r="E298" s="216">
        <v>38</v>
      </c>
      <c r="I298" s="463">
        <f t="shared" si="40"/>
        <v>8.5203600000000002</v>
      </c>
      <c r="J298" s="463">
        <f t="shared" si="40"/>
        <v>4.4908399999999995</v>
      </c>
      <c r="K298" s="463">
        <f t="shared" si="40"/>
        <v>3.2604000000000002</v>
      </c>
      <c r="L298" s="463">
        <f t="shared" si="40"/>
        <v>2.6884999999999999</v>
      </c>
    </row>
    <row r="299" spans="2:12" x14ac:dyDescent="0.35">
      <c r="B299" s="101" t="s">
        <v>1004</v>
      </c>
      <c r="C299" s="132" t="s">
        <v>1005</v>
      </c>
      <c r="D299" s="100" t="s">
        <v>1006</v>
      </c>
      <c r="E299" s="216">
        <v>603</v>
      </c>
      <c r="I299" s="463">
        <f t="shared" si="40"/>
        <v>135.20465999999999</v>
      </c>
      <c r="J299" s="463">
        <f t="shared" si="40"/>
        <v>71.262540000000001</v>
      </c>
      <c r="K299" s="463">
        <f t="shared" si="40"/>
        <v>51.737400000000001</v>
      </c>
      <c r="L299" s="463">
        <f t="shared" si="40"/>
        <v>42.662249999999993</v>
      </c>
    </row>
    <row r="300" spans="2:12" x14ac:dyDescent="0.35">
      <c r="B300" s="101" t="s">
        <v>1007</v>
      </c>
      <c r="C300" s="99" t="s">
        <v>1008</v>
      </c>
      <c r="D300" s="100" t="s">
        <v>1009</v>
      </c>
      <c r="E300" s="216">
        <v>940</v>
      </c>
      <c r="I300" s="463">
        <f t="shared" si="40"/>
        <v>210.76679999999999</v>
      </c>
      <c r="J300" s="463">
        <f t="shared" si="40"/>
        <v>111.08919999999999</v>
      </c>
      <c r="K300" s="463">
        <f t="shared" si="40"/>
        <v>80.652000000000001</v>
      </c>
      <c r="L300" s="463">
        <f t="shared" si="40"/>
        <v>66.504999999999995</v>
      </c>
    </row>
    <row r="301" spans="2:12" x14ac:dyDescent="0.35">
      <c r="B301" s="142"/>
      <c r="C301" s="140"/>
      <c r="D301" s="140"/>
      <c r="E301" s="140"/>
    </row>
    <row r="302" spans="2:12" x14ac:dyDescent="0.35">
      <c r="B302" s="109" t="s">
        <v>1010</v>
      </c>
      <c r="C302" s="140"/>
      <c r="D302" s="140"/>
      <c r="E302" s="140"/>
    </row>
    <row r="303" spans="2:12" x14ac:dyDescent="0.35">
      <c r="B303" s="143" t="s">
        <v>1610</v>
      </c>
      <c r="C303" s="140"/>
      <c r="D303" s="140"/>
      <c r="E303" s="140"/>
    </row>
    <row r="304" spans="2:12" x14ac:dyDescent="0.35">
      <c r="B304" s="384" t="s">
        <v>1611</v>
      </c>
      <c r="C304" s="99" t="s">
        <v>1012</v>
      </c>
      <c r="D304" s="100" t="s">
        <v>1011</v>
      </c>
      <c r="E304" s="216">
        <v>25</v>
      </c>
      <c r="I304" s="463">
        <f t="shared" ref="I304:L305" si="41">($E304+$G304)*I$4</f>
        <v>5.6055000000000001</v>
      </c>
      <c r="J304" s="463">
        <f t="shared" si="41"/>
        <v>2.9544999999999999</v>
      </c>
      <c r="K304" s="463">
        <f t="shared" si="41"/>
        <v>2.145</v>
      </c>
      <c r="L304" s="463">
        <f t="shared" si="41"/>
        <v>1.7687499999999998</v>
      </c>
    </row>
    <row r="305" spans="2:12" x14ac:dyDescent="0.35">
      <c r="B305" s="384" t="s">
        <v>1612</v>
      </c>
      <c r="C305" s="144" t="s">
        <v>1013</v>
      </c>
      <c r="D305" s="100" t="s">
        <v>1014</v>
      </c>
      <c r="E305" s="103">
        <v>20</v>
      </c>
      <c r="I305" s="463">
        <f t="shared" si="41"/>
        <v>4.4843999999999999</v>
      </c>
      <c r="J305" s="463">
        <f t="shared" si="41"/>
        <v>2.3635999999999999</v>
      </c>
      <c r="K305" s="463">
        <f t="shared" si="41"/>
        <v>1.716</v>
      </c>
      <c r="L305" s="463">
        <f t="shared" si="41"/>
        <v>1.4149999999999998</v>
      </c>
    </row>
    <row r="306" spans="2:12" s="140" customFormat="1" x14ac:dyDescent="0.35">
      <c r="B306" s="133" t="s">
        <v>1015</v>
      </c>
    </row>
    <row r="307" spans="2:12" x14ac:dyDescent="0.35">
      <c r="B307" s="334" t="s">
        <v>1829</v>
      </c>
      <c r="C307" s="335" t="s">
        <v>1719</v>
      </c>
      <c r="D307" s="336" t="s">
        <v>1490</v>
      </c>
      <c r="E307" s="337">
        <v>21</v>
      </c>
      <c r="I307" s="463">
        <f t="shared" ref="I307:L314" si="42">($E307+$G307)*I$4</f>
        <v>4.7086199999999998</v>
      </c>
      <c r="J307" s="463">
        <f t="shared" si="42"/>
        <v>2.4817799999999997</v>
      </c>
      <c r="K307" s="463">
        <f t="shared" si="42"/>
        <v>1.8018000000000001</v>
      </c>
      <c r="L307" s="463">
        <f t="shared" si="42"/>
        <v>1.4857499999999999</v>
      </c>
    </row>
    <row r="308" spans="2:12" x14ac:dyDescent="0.35">
      <c r="B308" s="334" t="s">
        <v>1614</v>
      </c>
      <c r="C308" s="217" t="s">
        <v>1017</v>
      </c>
      <c r="D308" s="215" t="s">
        <v>1016</v>
      </c>
      <c r="E308" s="216">
        <v>28</v>
      </c>
      <c r="I308" s="463">
        <f t="shared" si="42"/>
        <v>6.2781599999999997</v>
      </c>
      <c r="J308" s="463">
        <f t="shared" si="42"/>
        <v>3.30904</v>
      </c>
      <c r="K308" s="463">
        <f t="shared" si="42"/>
        <v>2.4024000000000001</v>
      </c>
      <c r="L308" s="463">
        <f t="shared" si="42"/>
        <v>1.9809999999999999</v>
      </c>
    </row>
    <row r="309" spans="2:12" x14ac:dyDescent="0.35">
      <c r="B309" s="334" t="s">
        <v>1615</v>
      </c>
      <c r="C309" s="217" t="s">
        <v>1018</v>
      </c>
      <c r="D309" s="215" t="s">
        <v>1019</v>
      </c>
      <c r="E309" s="216">
        <v>50</v>
      </c>
      <c r="I309" s="463">
        <f t="shared" si="42"/>
        <v>11.211</v>
      </c>
      <c r="J309" s="463">
        <f t="shared" si="42"/>
        <v>5.9089999999999998</v>
      </c>
      <c r="K309" s="463">
        <f t="shared" si="42"/>
        <v>4.29</v>
      </c>
      <c r="L309" s="463">
        <f t="shared" si="42"/>
        <v>3.5374999999999996</v>
      </c>
    </row>
    <row r="310" spans="2:12" x14ac:dyDescent="0.35">
      <c r="B310" s="334" t="s">
        <v>1830</v>
      </c>
      <c r="C310" s="335" t="s">
        <v>1648</v>
      </c>
      <c r="D310" s="336" t="s">
        <v>1754</v>
      </c>
      <c r="E310" s="337">
        <v>120</v>
      </c>
      <c r="I310" s="463">
        <f t="shared" si="42"/>
        <v>26.906400000000001</v>
      </c>
      <c r="J310" s="463">
        <f t="shared" si="42"/>
        <v>14.1816</v>
      </c>
      <c r="K310" s="463">
        <f t="shared" si="42"/>
        <v>10.295999999999999</v>
      </c>
      <c r="L310" s="463">
        <f t="shared" si="42"/>
        <v>8.4899999999999984</v>
      </c>
    </row>
    <row r="311" spans="2:12" x14ac:dyDescent="0.35">
      <c r="B311" s="224" t="s">
        <v>1491</v>
      </c>
      <c r="C311" s="217" t="s">
        <v>1492</v>
      </c>
      <c r="D311" s="215" t="s">
        <v>1493</v>
      </c>
      <c r="E311" s="216">
        <v>34</v>
      </c>
      <c r="I311" s="463">
        <f t="shared" si="42"/>
        <v>7.6234799999999998</v>
      </c>
      <c r="J311" s="463">
        <f t="shared" si="42"/>
        <v>4.0181199999999997</v>
      </c>
      <c r="K311" s="463">
        <f t="shared" si="42"/>
        <v>2.9172000000000002</v>
      </c>
      <c r="L311" s="463">
        <f t="shared" si="42"/>
        <v>2.4055</v>
      </c>
    </row>
    <row r="312" spans="2:12" x14ac:dyDescent="0.35">
      <c r="B312" s="224" t="s">
        <v>1020</v>
      </c>
      <c r="C312" s="232" t="s">
        <v>1021</v>
      </c>
      <c r="D312" s="215" t="s">
        <v>1022</v>
      </c>
      <c r="E312" s="216">
        <v>29</v>
      </c>
      <c r="I312" s="463">
        <f t="shared" si="42"/>
        <v>6.5023800000000005</v>
      </c>
      <c r="J312" s="463">
        <f t="shared" si="42"/>
        <v>3.4272199999999997</v>
      </c>
      <c r="K312" s="463">
        <f t="shared" si="42"/>
        <v>2.4882</v>
      </c>
      <c r="L312" s="463">
        <f t="shared" si="42"/>
        <v>2.0517499999999997</v>
      </c>
    </row>
    <row r="313" spans="2:12" x14ac:dyDescent="0.35">
      <c r="B313" s="224" t="s">
        <v>1023</v>
      </c>
      <c r="C313" s="232" t="s">
        <v>1024</v>
      </c>
      <c r="D313" s="215" t="s">
        <v>1025</v>
      </c>
      <c r="E313" s="216">
        <v>34</v>
      </c>
      <c r="I313" s="463">
        <f t="shared" si="42"/>
        <v>7.6234799999999998</v>
      </c>
      <c r="J313" s="463">
        <f t="shared" si="42"/>
        <v>4.0181199999999997</v>
      </c>
      <c r="K313" s="463">
        <f t="shared" si="42"/>
        <v>2.9172000000000002</v>
      </c>
      <c r="L313" s="463">
        <f t="shared" si="42"/>
        <v>2.4055</v>
      </c>
    </row>
    <row r="314" spans="2:12" x14ac:dyDescent="0.35">
      <c r="B314" s="224" t="s">
        <v>1026</v>
      </c>
      <c r="C314" s="232" t="s">
        <v>1027</v>
      </c>
      <c r="D314" s="215" t="s">
        <v>1028</v>
      </c>
      <c r="E314" s="216">
        <v>26</v>
      </c>
      <c r="I314" s="463">
        <f t="shared" si="42"/>
        <v>5.82972</v>
      </c>
      <c r="J314" s="463">
        <f t="shared" si="42"/>
        <v>3.0726799999999996</v>
      </c>
      <c r="K314" s="463">
        <f t="shared" si="42"/>
        <v>2.2307999999999999</v>
      </c>
      <c r="L314" s="463">
        <f t="shared" si="42"/>
        <v>1.8394999999999999</v>
      </c>
    </row>
    <row r="315" spans="2:12" x14ac:dyDescent="0.35">
      <c r="B315" s="133" t="s">
        <v>1029</v>
      </c>
      <c r="C315" s="140"/>
      <c r="D315" s="140"/>
      <c r="E315" s="140"/>
    </row>
    <row r="316" spans="2:12" x14ac:dyDescent="0.35">
      <c r="B316" s="334" t="s">
        <v>1828</v>
      </c>
      <c r="C316" s="335" t="s">
        <v>1613</v>
      </c>
      <c r="D316" s="336" t="s">
        <v>1494</v>
      </c>
      <c r="E316" s="337">
        <v>22</v>
      </c>
      <c r="I316" s="463">
        <f t="shared" ref="I316:L324" si="43">($E316+$G316)*I$4</f>
        <v>4.9328399999999997</v>
      </c>
      <c r="J316" s="463">
        <f t="shared" si="43"/>
        <v>2.5999599999999998</v>
      </c>
      <c r="K316" s="463">
        <f t="shared" si="43"/>
        <v>1.8875999999999999</v>
      </c>
      <c r="L316" s="463">
        <f t="shared" si="43"/>
        <v>1.5564999999999998</v>
      </c>
    </row>
    <row r="317" spans="2:12" x14ac:dyDescent="0.35">
      <c r="B317" s="384" t="s">
        <v>1616</v>
      </c>
      <c r="C317" s="335" t="s">
        <v>1031</v>
      </c>
      <c r="D317" s="336" t="s">
        <v>1030</v>
      </c>
      <c r="E317" s="337">
        <v>30</v>
      </c>
      <c r="I317" s="463">
        <f t="shared" si="43"/>
        <v>6.7266000000000004</v>
      </c>
      <c r="J317" s="463">
        <f t="shared" si="43"/>
        <v>3.5453999999999999</v>
      </c>
      <c r="K317" s="463">
        <f t="shared" si="43"/>
        <v>2.5739999999999998</v>
      </c>
      <c r="L317" s="463">
        <f t="shared" si="43"/>
        <v>2.1224999999999996</v>
      </c>
    </row>
    <row r="318" spans="2:12" x14ac:dyDescent="0.35">
      <c r="B318" s="384" t="s">
        <v>1618</v>
      </c>
      <c r="C318" s="335" t="s">
        <v>1032</v>
      </c>
      <c r="D318" s="336" t="s">
        <v>1033</v>
      </c>
      <c r="E318" s="337">
        <v>45</v>
      </c>
      <c r="I318" s="463">
        <f t="shared" si="43"/>
        <v>10.0899</v>
      </c>
      <c r="J318" s="463">
        <f t="shared" si="43"/>
        <v>5.3180999999999994</v>
      </c>
      <c r="K318" s="463">
        <f t="shared" si="43"/>
        <v>3.8610000000000002</v>
      </c>
      <c r="L318" s="463">
        <f t="shared" si="43"/>
        <v>3.1837499999999999</v>
      </c>
    </row>
    <row r="319" spans="2:12" x14ac:dyDescent="0.35">
      <c r="B319" s="384" t="s">
        <v>1617</v>
      </c>
      <c r="C319" s="335" t="s">
        <v>1034</v>
      </c>
      <c r="D319" s="336" t="s">
        <v>1035</v>
      </c>
      <c r="E319" s="337">
        <v>55</v>
      </c>
      <c r="I319" s="463">
        <f t="shared" si="43"/>
        <v>12.332100000000001</v>
      </c>
      <c r="J319" s="463">
        <f t="shared" si="43"/>
        <v>6.4998999999999993</v>
      </c>
      <c r="K319" s="463">
        <f t="shared" si="43"/>
        <v>4.7190000000000003</v>
      </c>
      <c r="L319" s="463">
        <f t="shared" si="43"/>
        <v>3.8912499999999994</v>
      </c>
    </row>
    <row r="320" spans="2:12" x14ac:dyDescent="0.35">
      <c r="B320" s="101" t="s">
        <v>1036</v>
      </c>
      <c r="C320" s="144" t="s">
        <v>1037</v>
      </c>
      <c r="D320" s="100" t="s">
        <v>1038</v>
      </c>
      <c r="E320" s="216">
        <v>22</v>
      </c>
      <c r="I320" s="463">
        <f t="shared" si="43"/>
        <v>4.9328399999999997</v>
      </c>
      <c r="J320" s="463">
        <f t="shared" si="43"/>
        <v>2.5999599999999998</v>
      </c>
      <c r="K320" s="463">
        <f t="shared" si="43"/>
        <v>1.8875999999999999</v>
      </c>
      <c r="L320" s="463">
        <f t="shared" si="43"/>
        <v>1.5564999999999998</v>
      </c>
    </row>
    <row r="321" spans="2:12" x14ac:dyDescent="0.35">
      <c r="B321" s="101" t="s">
        <v>1039</v>
      </c>
      <c r="C321" s="144" t="s">
        <v>1040</v>
      </c>
      <c r="D321" s="100" t="s">
        <v>1041</v>
      </c>
      <c r="E321" s="216">
        <v>40</v>
      </c>
      <c r="I321" s="463">
        <f t="shared" si="43"/>
        <v>8.9687999999999999</v>
      </c>
      <c r="J321" s="463">
        <f t="shared" si="43"/>
        <v>4.7271999999999998</v>
      </c>
      <c r="K321" s="463">
        <f t="shared" si="43"/>
        <v>3.4319999999999999</v>
      </c>
      <c r="L321" s="463">
        <f t="shared" si="43"/>
        <v>2.8299999999999996</v>
      </c>
    </row>
    <row r="322" spans="2:12" x14ac:dyDescent="0.35">
      <c r="B322" s="101" t="s">
        <v>1042</v>
      </c>
      <c r="C322" s="144" t="s">
        <v>1043</v>
      </c>
      <c r="D322" s="100" t="s">
        <v>1044</v>
      </c>
      <c r="E322" s="216">
        <v>62</v>
      </c>
      <c r="I322" s="463">
        <f t="shared" si="43"/>
        <v>13.90164</v>
      </c>
      <c r="J322" s="463">
        <f t="shared" si="43"/>
        <v>7.3271599999999992</v>
      </c>
      <c r="K322" s="463">
        <f t="shared" si="43"/>
        <v>5.3196000000000003</v>
      </c>
      <c r="L322" s="463">
        <f t="shared" si="43"/>
        <v>4.3864999999999998</v>
      </c>
    </row>
    <row r="323" spans="2:12" x14ac:dyDescent="0.35">
      <c r="B323" s="101" t="s">
        <v>1045</v>
      </c>
      <c r="C323" s="144" t="s">
        <v>1046</v>
      </c>
      <c r="D323" s="100" t="s">
        <v>1047</v>
      </c>
      <c r="E323" s="216">
        <v>74</v>
      </c>
      <c r="I323" s="463">
        <f t="shared" si="43"/>
        <v>16.592279999999999</v>
      </c>
      <c r="J323" s="463">
        <f t="shared" si="43"/>
        <v>8.7453199999999995</v>
      </c>
      <c r="K323" s="463">
        <f t="shared" si="43"/>
        <v>6.3491999999999997</v>
      </c>
      <c r="L323" s="463">
        <f t="shared" si="43"/>
        <v>5.2354999999999992</v>
      </c>
    </row>
    <row r="324" spans="2:12" x14ac:dyDescent="0.35">
      <c r="B324" s="101" t="s">
        <v>1048</v>
      </c>
      <c r="C324" s="144" t="s">
        <v>1049</v>
      </c>
      <c r="D324" s="100" t="s">
        <v>1050</v>
      </c>
      <c r="E324" s="216">
        <v>62</v>
      </c>
      <c r="I324" s="463">
        <f t="shared" si="43"/>
        <v>13.90164</v>
      </c>
      <c r="J324" s="463">
        <f t="shared" si="43"/>
        <v>7.3271599999999992</v>
      </c>
      <c r="K324" s="463">
        <f t="shared" si="43"/>
        <v>5.3196000000000003</v>
      </c>
      <c r="L324" s="463">
        <f t="shared" si="43"/>
        <v>4.3864999999999998</v>
      </c>
    </row>
    <row r="325" spans="2:12" x14ac:dyDescent="0.35">
      <c r="B325" s="133" t="s">
        <v>1051</v>
      </c>
      <c r="C325" s="140"/>
      <c r="D325" s="140"/>
      <c r="E325" s="140"/>
    </row>
    <row r="326" spans="2:12" x14ac:dyDescent="0.35">
      <c r="B326" s="101" t="s">
        <v>1052</v>
      </c>
      <c r="C326" s="144" t="s">
        <v>1053</v>
      </c>
      <c r="D326" s="100" t="s">
        <v>1054</v>
      </c>
      <c r="E326" s="216">
        <v>51</v>
      </c>
      <c r="I326" s="463">
        <f t="shared" ref="I326:L327" si="44">($E326+$G326)*I$4</f>
        <v>11.435219999999999</v>
      </c>
      <c r="J326" s="463">
        <f t="shared" si="44"/>
        <v>6.0271799999999995</v>
      </c>
      <c r="K326" s="463">
        <f t="shared" si="44"/>
        <v>4.3757999999999999</v>
      </c>
      <c r="L326" s="463">
        <f t="shared" si="44"/>
        <v>3.6082499999999995</v>
      </c>
    </row>
    <row r="327" spans="2:12" x14ac:dyDescent="0.35">
      <c r="B327" s="101" t="s">
        <v>1055</v>
      </c>
      <c r="C327" s="144" t="s">
        <v>1056</v>
      </c>
      <c r="D327" s="100" t="s">
        <v>1057</v>
      </c>
      <c r="E327" s="216">
        <v>83</v>
      </c>
      <c r="I327" s="463">
        <f t="shared" si="44"/>
        <v>18.61026</v>
      </c>
      <c r="J327" s="463">
        <f t="shared" si="44"/>
        <v>9.8089399999999998</v>
      </c>
      <c r="K327" s="463">
        <f t="shared" si="44"/>
        <v>7.1214000000000004</v>
      </c>
      <c r="L327" s="463">
        <f t="shared" si="44"/>
        <v>5.8722499999999993</v>
      </c>
    </row>
    <row r="328" spans="2:12" x14ac:dyDescent="0.35">
      <c r="B328" s="7"/>
      <c r="C328" s="70"/>
    </row>
    <row r="329" spans="2:12" x14ac:dyDescent="0.35">
      <c r="B329" s="26" t="s">
        <v>1058</v>
      </c>
      <c r="C329" s="36"/>
    </row>
    <row r="330" spans="2:12" x14ac:dyDescent="0.35">
      <c r="B330" s="101" t="s">
        <v>1059</v>
      </c>
      <c r="C330" s="144" t="s">
        <v>1060</v>
      </c>
      <c r="D330" s="100" t="s">
        <v>1061</v>
      </c>
      <c r="E330" s="216">
        <v>18</v>
      </c>
      <c r="I330" s="463">
        <f t="shared" ref="I330:L331" si="45">($E330+$G330)*I$4</f>
        <v>4.0359600000000002</v>
      </c>
      <c r="J330" s="463">
        <f t="shared" si="45"/>
        <v>2.12724</v>
      </c>
      <c r="K330" s="463">
        <f t="shared" si="45"/>
        <v>1.5444</v>
      </c>
      <c r="L330" s="463">
        <f t="shared" si="45"/>
        <v>1.2734999999999999</v>
      </c>
    </row>
    <row r="331" spans="2:12" x14ac:dyDescent="0.35">
      <c r="B331" s="101" t="s">
        <v>1062</v>
      </c>
      <c r="C331" s="144" t="s">
        <v>1063</v>
      </c>
      <c r="D331" s="100" t="s">
        <v>1064</v>
      </c>
      <c r="E331" s="216">
        <v>31</v>
      </c>
      <c r="I331" s="463">
        <f t="shared" si="45"/>
        <v>6.9508200000000002</v>
      </c>
      <c r="J331" s="463">
        <f t="shared" si="45"/>
        <v>3.6635799999999996</v>
      </c>
      <c r="K331" s="463">
        <f t="shared" si="45"/>
        <v>2.6598000000000002</v>
      </c>
      <c r="L331" s="463">
        <f t="shared" si="45"/>
        <v>2.1932499999999999</v>
      </c>
    </row>
    <row r="332" spans="2:12" x14ac:dyDescent="0.35">
      <c r="B332" s="96"/>
      <c r="C332" s="138"/>
      <c r="D332" s="140"/>
      <c r="E332" s="140"/>
    </row>
    <row r="333" spans="2:12" x14ac:dyDescent="0.35">
      <c r="B333" s="109" t="s">
        <v>1065</v>
      </c>
      <c r="C333" s="134"/>
      <c r="D333" s="140"/>
      <c r="E333" s="140"/>
    </row>
    <row r="334" spans="2:12" x14ac:dyDescent="0.35">
      <c r="B334" s="101" t="s">
        <v>1852</v>
      </c>
      <c r="C334" s="102" t="s">
        <v>1066</v>
      </c>
      <c r="D334" s="100" t="s">
        <v>1067</v>
      </c>
      <c r="E334" s="216">
        <v>38</v>
      </c>
      <c r="I334" s="463">
        <f t="shared" ref="I334:L340" si="46">($E334+$G334)*I$4</f>
        <v>8.5203600000000002</v>
      </c>
      <c r="J334" s="463">
        <f t="shared" si="46"/>
        <v>4.4908399999999995</v>
      </c>
      <c r="K334" s="463">
        <f t="shared" si="46"/>
        <v>3.2604000000000002</v>
      </c>
      <c r="L334" s="463">
        <f t="shared" si="46"/>
        <v>2.6884999999999999</v>
      </c>
    </row>
    <row r="335" spans="2:12" x14ac:dyDescent="0.35">
      <c r="B335" s="101" t="s">
        <v>1853</v>
      </c>
      <c r="C335" s="102" t="s">
        <v>1068</v>
      </c>
      <c r="D335" s="100" t="s">
        <v>1069</v>
      </c>
      <c r="E335" s="216">
        <v>38</v>
      </c>
      <c r="I335" s="463">
        <f t="shared" si="46"/>
        <v>8.5203600000000002</v>
      </c>
      <c r="J335" s="463">
        <f t="shared" si="46"/>
        <v>4.4908399999999995</v>
      </c>
      <c r="K335" s="463">
        <f t="shared" si="46"/>
        <v>3.2604000000000002</v>
      </c>
      <c r="L335" s="463">
        <f t="shared" si="46"/>
        <v>2.6884999999999999</v>
      </c>
    </row>
    <row r="336" spans="2:12" x14ac:dyDescent="0.35">
      <c r="B336" s="224" t="s">
        <v>1495</v>
      </c>
      <c r="C336" s="233" t="s">
        <v>1070</v>
      </c>
      <c r="D336" s="215" t="s">
        <v>1071</v>
      </c>
      <c r="E336" s="216">
        <v>45</v>
      </c>
      <c r="I336" s="463">
        <f t="shared" si="46"/>
        <v>10.0899</v>
      </c>
      <c r="J336" s="463">
        <f t="shared" si="46"/>
        <v>5.3180999999999994</v>
      </c>
      <c r="K336" s="463">
        <f t="shared" si="46"/>
        <v>3.8610000000000002</v>
      </c>
      <c r="L336" s="463">
        <f t="shared" si="46"/>
        <v>3.1837499999999999</v>
      </c>
    </row>
    <row r="337" spans="2:12" x14ac:dyDescent="0.35">
      <c r="B337" s="224" t="s">
        <v>1854</v>
      </c>
      <c r="C337" s="233" t="s">
        <v>1072</v>
      </c>
      <c r="D337" s="215" t="s">
        <v>1073</v>
      </c>
      <c r="E337" s="216">
        <v>47</v>
      </c>
      <c r="I337" s="463">
        <f t="shared" si="46"/>
        <v>10.53834</v>
      </c>
      <c r="J337" s="463">
        <f t="shared" si="46"/>
        <v>5.5544599999999997</v>
      </c>
      <c r="K337" s="463">
        <f t="shared" si="46"/>
        <v>4.0326000000000004</v>
      </c>
      <c r="L337" s="463">
        <f t="shared" si="46"/>
        <v>3.3252499999999996</v>
      </c>
    </row>
    <row r="338" spans="2:12" x14ac:dyDescent="0.35">
      <c r="B338" s="224" t="s">
        <v>1855</v>
      </c>
      <c r="C338" s="233" t="s">
        <v>1496</v>
      </c>
      <c r="D338" s="215" t="s">
        <v>1497</v>
      </c>
      <c r="E338" s="216">
        <v>44</v>
      </c>
      <c r="I338" s="463">
        <f t="shared" si="46"/>
        <v>9.8656799999999993</v>
      </c>
      <c r="J338" s="463">
        <f t="shared" si="46"/>
        <v>5.1999199999999997</v>
      </c>
      <c r="K338" s="463">
        <f t="shared" si="46"/>
        <v>3.7751999999999999</v>
      </c>
      <c r="L338" s="463">
        <f t="shared" si="46"/>
        <v>3.1129999999999995</v>
      </c>
    </row>
    <row r="339" spans="2:12" x14ac:dyDescent="0.35">
      <c r="B339" s="234" t="s">
        <v>1856</v>
      </c>
      <c r="C339" s="235" t="s">
        <v>1545</v>
      </c>
      <c r="D339" s="215" t="s">
        <v>1546</v>
      </c>
      <c r="E339" s="216">
        <v>34</v>
      </c>
      <c r="I339" s="463">
        <f t="shared" si="46"/>
        <v>7.6234799999999998</v>
      </c>
      <c r="J339" s="463">
        <f t="shared" si="46"/>
        <v>4.0181199999999997</v>
      </c>
      <c r="K339" s="463">
        <f t="shared" si="46"/>
        <v>2.9172000000000002</v>
      </c>
      <c r="L339" s="463">
        <f t="shared" si="46"/>
        <v>2.4055</v>
      </c>
    </row>
    <row r="340" spans="2:12" x14ac:dyDescent="0.35">
      <c r="B340" s="234" t="s">
        <v>1857</v>
      </c>
      <c r="C340" s="313" t="s">
        <v>1866</v>
      </c>
      <c r="D340" s="215" t="s">
        <v>1547</v>
      </c>
      <c r="E340" s="216">
        <v>34</v>
      </c>
      <c r="I340" s="463">
        <f t="shared" si="46"/>
        <v>7.6234799999999998</v>
      </c>
      <c r="J340" s="463">
        <f t="shared" si="46"/>
        <v>4.0181199999999997</v>
      </c>
      <c r="K340" s="463">
        <f t="shared" si="46"/>
        <v>2.9172000000000002</v>
      </c>
      <c r="L340" s="463">
        <f t="shared" si="46"/>
        <v>2.4055</v>
      </c>
    </row>
    <row r="341" spans="2:12" x14ac:dyDescent="0.35">
      <c r="B341" s="7"/>
      <c r="C341" s="70"/>
      <c r="D341" s="71"/>
      <c r="E341" s="71"/>
    </row>
    <row r="342" spans="2:12" ht="15.5" x14ac:dyDescent="0.35">
      <c r="B342" s="72" t="s">
        <v>1074</v>
      </c>
      <c r="C342" s="73"/>
      <c r="D342" s="73"/>
      <c r="E342" s="73"/>
    </row>
    <row r="343" spans="2:12" x14ac:dyDescent="0.35">
      <c r="B343" s="26" t="s">
        <v>72</v>
      </c>
    </row>
    <row r="344" spans="2:12" x14ac:dyDescent="0.35">
      <c r="B344" s="119" t="s">
        <v>1498</v>
      </c>
    </row>
    <row r="345" spans="2:12" x14ac:dyDescent="0.35">
      <c r="B345" s="38" t="s">
        <v>73</v>
      </c>
      <c r="C345" s="63"/>
      <c r="D345" s="61" t="s">
        <v>74</v>
      </c>
      <c r="E345" s="103">
        <v>10</v>
      </c>
      <c r="I345" s="463">
        <f t="shared" ref="I345:L348" si="47">($E345+$G345)*I$4</f>
        <v>2.2422</v>
      </c>
      <c r="J345" s="463">
        <f t="shared" si="47"/>
        <v>1.1818</v>
      </c>
      <c r="K345" s="463">
        <f t="shared" si="47"/>
        <v>0.85799999999999998</v>
      </c>
      <c r="L345" s="463">
        <f t="shared" si="47"/>
        <v>0.70749999999999991</v>
      </c>
    </row>
    <row r="346" spans="2:12" x14ac:dyDescent="0.35">
      <c r="B346" s="38" t="s">
        <v>75</v>
      </c>
      <c r="C346" s="63"/>
      <c r="D346" s="61" t="s">
        <v>76</v>
      </c>
      <c r="E346" s="103">
        <v>21</v>
      </c>
      <c r="I346" s="463">
        <f t="shared" si="47"/>
        <v>4.7086199999999998</v>
      </c>
      <c r="J346" s="463">
        <f t="shared" si="47"/>
        <v>2.4817799999999997</v>
      </c>
      <c r="K346" s="463">
        <f t="shared" si="47"/>
        <v>1.8018000000000001</v>
      </c>
      <c r="L346" s="463">
        <f t="shared" si="47"/>
        <v>1.4857499999999999</v>
      </c>
    </row>
    <row r="347" spans="2:12" x14ac:dyDescent="0.35">
      <c r="B347" s="31" t="s">
        <v>78</v>
      </c>
      <c r="C347" s="31"/>
      <c r="D347" s="32" t="s">
        <v>77</v>
      </c>
      <c r="E347" s="158">
        <v>52</v>
      </c>
      <c r="I347" s="463">
        <f t="shared" si="47"/>
        <v>11.65944</v>
      </c>
      <c r="J347" s="463">
        <f t="shared" si="47"/>
        <v>6.1453599999999993</v>
      </c>
      <c r="K347" s="463">
        <f t="shared" si="47"/>
        <v>4.4615999999999998</v>
      </c>
      <c r="L347" s="463">
        <f t="shared" si="47"/>
        <v>3.6789999999999998</v>
      </c>
    </row>
    <row r="348" spans="2:12" x14ac:dyDescent="0.35">
      <c r="B348" s="31" t="s">
        <v>80</v>
      </c>
      <c r="C348" s="31"/>
      <c r="D348" s="32" t="s">
        <v>79</v>
      </c>
      <c r="E348" s="158">
        <v>83</v>
      </c>
      <c r="I348" s="463">
        <f t="shared" si="47"/>
        <v>18.61026</v>
      </c>
      <c r="J348" s="463">
        <f t="shared" si="47"/>
        <v>9.8089399999999998</v>
      </c>
      <c r="K348" s="463">
        <f t="shared" si="47"/>
        <v>7.1214000000000004</v>
      </c>
      <c r="L348" s="463">
        <f t="shared" si="47"/>
        <v>5.8722499999999993</v>
      </c>
    </row>
    <row r="349" spans="2:12" x14ac:dyDescent="0.35">
      <c r="B349" s="119" t="s">
        <v>1499</v>
      </c>
      <c r="E349" s="140"/>
    </row>
    <row r="350" spans="2:12" x14ac:dyDescent="0.35">
      <c r="B350" s="22" t="s">
        <v>73</v>
      </c>
      <c r="C350" s="63"/>
      <c r="D350" s="61" t="s">
        <v>172</v>
      </c>
      <c r="E350" s="103">
        <v>21</v>
      </c>
      <c r="I350" s="463">
        <f t="shared" ref="I350:L352" si="48">($E350+$G350)*I$4</f>
        <v>4.7086199999999998</v>
      </c>
      <c r="J350" s="463">
        <f t="shared" si="48"/>
        <v>2.4817799999999997</v>
      </c>
      <c r="K350" s="463">
        <f t="shared" si="48"/>
        <v>1.8018000000000001</v>
      </c>
      <c r="L350" s="463">
        <f t="shared" si="48"/>
        <v>1.4857499999999999</v>
      </c>
    </row>
    <row r="351" spans="2:12" x14ac:dyDescent="0.35">
      <c r="B351" s="22" t="s">
        <v>75</v>
      </c>
      <c r="C351" s="63"/>
      <c r="D351" s="61" t="s">
        <v>173</v>
      </c>
      <c r="E351" s="103">
        <v>41</v>
      </c>
      <c r="I351" s="463">
        <f t="shared" si="48"/>
        <v>9.1930200000000006</v>
      </c>
      <c r="J351" s="463">
        <f t="shared" si="48"/>
        <v>4.8453799999999996</v>
      </c>
      <c r="K351" s="463">
        <f t="shared" si="48"/>
        <v>3.5178000000000003</v>
      </c>
      <c r="L351" s="463">
        <f t="shared" si="48"/>
        <v>2.9007499999999999</v>
      </c>
    </row>
    <row r="352" spans="2:12" x14ac:dyDescent="0.35">
      <c r="B352" s="31" t="s">
        <v>78</v>
      </c>
      <c r="C352" s="42"/>
      <c r="D352" s="32" t="s">
        <v>174</v>
      </c>
      <c r="E352" s="203">
        <v>103</v>
      </c>
      <c r="I352" s="463">
        <f t="shared" si="48"/>
        <v>23.094660000000001</v>
      </c>
      <c r="J352" s="463">
        <f t="shared" si="48"/>
        <v>12.17254</v>
      </c>
      <c r="K352" s="463">
        <f t="shared" si="48"/>
        <v>8.8374000000000006</v>
      </c>
      <c r="L352" s="463">
        <f t="shared" si="48"/>
        <v>7.2872499999999993</v>
      </c>
    </row>
    <row r="353" spans="2:12" x14ac:dyDescent="0.35">
      <c r="B353" s="119" t="s">
        <v>1500</v>
      </c>
      <c r="E353" s="140"/>
    </row>
    <row r="354" spans="2:12" x14ac:dyDescent="0.35">
      <c r="B354" s="22" t="s">
        <v>73</v>
      </c>
      <c r="C354" s="63"/>
      <c r="D354" s="61" t="s">
        <v>370</v>
      </c>
      <c r="E354" s="103">
        <v>12</v>
      </c>
      <c r="I354" s="463">
        <f t="shared" ref="I354:L358" si="49">($E354+$G354)*I$4</f>
        <v>2.6906400000000001</v>
      </c>
      <c r="J354" s="463">
        <f t="shared" si="49"/>
        <v>1.4181599999999999</v>
      </c>
      <c r="K354" s="463">
        <f t="shared" si="49"/>
        <v>1.0296000000000001</v>
      </c>
      <c r="L354" s="463">
        <f t="shared" si="49"/>
        <v>0.84899999999999998</v>
      </c>
    </row>
    <row r="355" spans="2:12" x14ac:dyDescent="0.35">
      <c r="B355" s="22" t="s">
        <v>75</v>
      </c>
      <c r="C355" s="63"/>
      <c r="D355" s="61" t="s">
        <v>371</v>
      </c>
      <c r="E355" s="103">
        <v>25</v>
      </c>
      <c r="I355" s="463">
        <f t="shared" si="49"/>
        <v>5.6055000000000001</v>
      </c>
      <c r="J355" s="463">
        <f t="shared" si="49"/>
        <v>2.9544999999999999</v>
      </c>
      <c r="K355" s="463">
        <f t="shared" si="49"/>
        <v>2.145</v>
      </c>
      <c r="L355" s="463">
        <f t="shared" si="49"/>
        <v>1.7687499999999998</v>
      </c>
    </row>
    <row r="356" spans="2:12" x14ac:dyDescent="0.35">
      <c r="B356" s="31" t="s">
        <v>78</v>
      </c>
      <c r="C356" s="42"/>
      <c r="D356" s="32" t="s">
        <v>372</v>
      </c>
      <c r="E356" s="203">
        <v>52</v>
      </c>
      <c r="I356" s="463">
        <f t="shared" si="49"/>
        <v>11.65944</v>
      </c>
      <c r="J356" s="463">
        <f t="shared" si="49"/>
        <v>6.1453599999999993</v>
      </c>
      <c r="K356" s="463">
        <f t="shared" si="49"/>
        <v>4.4615999999999998</v>
      </c>
      <c r="L356" s="463">
        <f t="shared" si="49"/>
        <v>3.6789999999999998</v>
      </c>
    </row>
    <row r="357" spans="2:12" x14ac:dyDescent="0.35">
      <c r="B357" s="31" t="s">
        <v>80</v>
      </c>
      <c r="C357" s="42"/>
      <c r="D357" s="32" t="s">
        <v>373</v>
      </c>
      <c r="E357" s="203">
        <v>83</v>
      </c>
      <c r="I357" s="463">
        <f t="shared" si="49"/>
        <v>18.61026</v>
      </c>
      <c r="J357" s="463">
        <f t="shared" si="49"/>
        <v>9.8089399999999998</v>
      </c>
      <c r="K357" s="463">
        <f t="shared" si="49"/>
        <v>7.1214000000000004</v>
      </c>
      <c r="L357" s="463">
        <f t="shared" si="49"/>
        <v>5.8722499999999993</v>
      </c>
    </row>
    <row r="358" spans="2:12" x14ac:dyDescent="0.35">
      <c r="B358" s="31" t="s">
        <v>1524</v>
      </c>
      <c r="C358" s="42"/>
      <c r="D358" s="32" t="s">
        <v>464</v>
      </c>
      <c r="E358" s="203">
        <v>207</v>
      </c>
      <c r="I358" s="463">
        <f t="shared" si="49"/>
        <v>46.413539999999998</v>
      </c>
      <c r="J358" s="463">
        <f t="shared" si="49"/>
        <v>24.463259999999998</v>
      </c>
      <c r="K358" s="463">
        <f t="shared" si="49"/>
        <v>17.7606</v>
      </c>
      <c r="L358" s="463">
        <f t="shared" si="49"/>
        <v>14.645249999999999</v>
      </c>
    </row>
    <row r="359" spans="2:12" x14ac:dyDescent="0.35">
      <c r="E359" s="140"/>
    </row>
    <row r="360" spans="2:12" s="6" customFormat="1" x14ac:dyDescent="0.35">
      <c r="B360" s="24" t="s">
        <v>81</v>
      </c>
      <c r="C360" s="8"/>
      <c r="D360" s="9"/>
      <c r="E360" s="97"/>
      <c r="G360" s="30"/>
    </row>
    <row r="361" spans="2:12" s="6" customFormat="1" x14ac:dyDescent="0.35">
      <c r="B361" s="33" t="s">
        <v>1299</v>
      </c>
      <c r="C361" s="33"/>
      <c r="D361" s="34" t="s">
        <v>82</v>
      </c>
      <c r="E361" s="35">
        <v>223</v>
      </c>
      <c r="G361" s="30"/>
    </row>
    <row r="362" spans="2:12" s="6" customFormat="1" x14ac:dyDescent="0.35">
      <c r="B362" s="33" t="s">
        <v>1303</v>
      </c>
      <c r="C362" s="33"/>
      <c r="D362" s="34" t="s">
        <v>83</v>
      </c>
      <c r="E362" s="35">
        <v>282</v>
      </c>
      <c r="G362" s="30"/>
    </row>
    <row r="363" spans="2:12" s="6" customFormat="1" x14ac:dyDescent="0.35">
      <c r="B363" s="33" t="s">
        <v>1304</v>
      </c>
      <c r="C363" s="33"/>
      <c r="D363" s="34" t="s">
        <v>84</v>
      </c>
      <c r="E363" s="35">
        <v>336</v>
      </c>
      <c r="G363" s="30"/>
    </row>
    <row r="364" spans="2:12" s="6" customFormat="1" x14ac:dyDescent="0.35">
      <c r="B364" s="33" t="s">
        <v>1305</v>
      </c>
      <c r="C364" s="33"/>
      <c r="D364" s="34" t="s">
        <v>85</v>
      </c>
      <c r="E364" s="35">
        <v>388</v>
      </c>
      <c r="G364" s="30"/>
    </row>
    <row r="365" spans="2:12" s="6" customFormat="1" x14ac:dyDescent="0.35">
      <c r="B365" s="33" t="s">
        <v>1306</v>
      </c>
      <c r="C365" s="33"/>
      <c r="D365" s="34" t="s">
        <v>86</v>
      </c>
      <c r="E365" s="35">
        <v>447</v>
      </c>
      <c r="G365" s="30"/>
    </row>
    <row r="366" spans="2:12" x14ac:dyDescent="0.35">
      <c r="E366" s="140"/>
    </row>
    <row r="367" spans="2:12" x14ac:dyDescent="0.35">
      <c r="B367" s="21" t="s">
        <v>1075</v>
      </c>
      <c r="E367" s="140"/>
    </row>
    <row r="368" spans="2:12" x14ac:dyDescent="0.35">
      <c r="B368" s="31" t="s">
        <v>87</v>
      </c>
      <c r="C368" s="31"/>
      <c r="D368" s="32" t="s">
        <v>88</v>
      </c>
      <c r="E368" s="158">
        <v>10</v>
      </c>
      <c r="I368" s="463">
        <f t="shared" ref="I368:L369" si="50">($E368+$G368)*I$4</f>
        <v>2.2422</v>
      </c>
      <c r="J368" s="463">
        <f t="shared" si="50"/>
        <v>1.1818</v>
      </c>
      <c r="K368" s="463">
        <f t="shared" si="50"/>
        <v>0.85799999999999998</v>
      </c>
      <c r="L368" s="463">
        <f t="shared" si="50"/>
        <v>0.70749999999999991</v>
      </c>
    </row>
    <row r="369" spans="2:12" x14ac:dyDescent="0.35">
      <c r="B369" s="31" t="s">
        <v>1076</v>
      </c>
      <c r="C369" s="31"/>
      <c r="D369" s="32" t="s">
        <v>89</v>
      </c>
      <c r="E369" s="158">
        <v>35</v>
      </c>
      <c r="I369" s="463">
        <f t="shared" si="50"/>
        <v>7.8476999999999997</v>
      </c>
      <c r="J369" s="463">
        <f t="shared" si="50"/>
        <v>4.1362999999999994</v>
      </c>
      <c r="K369" s="463">
        <f t="shared" si="50"/>
        <v>3.0030000000000001</v>
      </c>
      <c r="L369" s="463">
        <f t="shared" si="50"/>
        <v>2.4762499999999998</v>
      </c>
    </row>
    <row r="370" spans="2:12" x14ac:dyDescent="0.35">
      <c r="E370" s="140"/>
    </row>
    <row r="371" spans="2:12" x14ac:dyDescent="0.35">
      <c r="B371" s="21" t="s">
        <v>1077</v>
      </c>
      <c r="E371" s="140"/>
    </row>
    <row r="372" spans="2:12" x14ac:dyDescent="0.35">
      <c r="B372" s="119" t="s">
        <v>1498</v>
      </c>
      <c r="C372" s="140"/>
      <c r="D372" s="140"/>
      <c r="E372" s="140"/>
    </row>
    <row r="373" spans="2:12" x14ac:dyDescent="0.35">
      <c r="B373" s="31" t="s">
        <v>1078</v>
      </c>
      <c r="C373" s="66"/>
      <c r="D373" s="67" t="s">
        <v>1079</v>
      </c>
      <c r="E373" s="157">
        <v>41</v>
      </c>
      <c r="I373" s="463">
        <f t="shared" ref="I373:L374" si="51">($E373+$G373)*I$4</f>
        <v>9.1930200000000006</v>
      </c>
      <c r="J373" s="463">
        <f t="shared" si="51"/>
        <v>4.8453799999999996</v>
      </c>
      <c r="K373" s="463">
        <f t="shared" si="51"/>
        <v>3.5178000000000003</v>
      </c>
      <c r="L373" s="463">
        <f t="shared" si="51"/>
        <v>2.9007499999999999</v>
      </c>
    </row>
    <row r="374" spans="2:12" x14ac:dyDescent="0.35">
      <c r="B374" s="31" t="s">
        <v>1080</v>
      </c>
      <c r="C374" s="66"/>
      <c r="D374" s="67" t="s">
        <v>1081</v>
      </c>
      <c r="E374" s="157">
        <v>83</v>
      </c>
      <c r="I374" s="463">
        <f t="shared" si="51"/>
        <v>18.61026</v>
      </c>
      <c r="J374" s="463">
        <f t="shared" si="51"/>
        <v>9.8089399999999998</v>
      </c>
      <c r="K374" s="463">
        <f t="shared" si="51"/>
        <v>7.1214000000000004</v>
      </c>
      <c r="L374" s="463">
        <f t="shared" si="51"/>
        <v>5.8722499999999993</v>
      </c>
    </row>
    <row r="375" spans="2:12" x14ac:dyDescent="0.35">
      <c r="B375" s="119" t="s">
        <v>1499</v>
      </c>
      <c r="C375" s="140"/>
      <c r="D375" s="140"/>
      <c r="E375" s="140"/>
    </row>
    <row r="376" spans="2:12" x14ac:dyDescent="0.35">
      <c r="B376" s="31" t="s">
        <v>1078</v>
      </c>
      <c r="C376" s="66"/>
      <c r="D376" s="67" t="s">
        <v>1082</v>
      </c>
      <c r="E376" s="157">
        <v>186</v>
      </c>
      <c r="I376" s="463">
        <f t="shared" ref="I376:L377" si="52">($E376+$G376)*I$4</f>
        <v>41.704920000000001</v>
      </c>
      <c r="J376" s="463">
        <f t="shared" si="52"/>
        <v>21.981479999999998</v>
      </c>
      <c r="K376" s="463">
        <f t="shared" si="52"/>
        <v>15.9588</v>
      </c>
      <c r="L376" s="463">
        <f t="shared" si="52"/>
        <v>13.1595</v>
      </c>
    </row>
    <row r="377" spans="2:12" x14ac:dyDescent="0.35">
      <c r="B377" s="31" t="s">
        <v>1080</v>
      </c>
      <c r="C377" s="66"/>
      <c r="D377" s="67" t="s">
        <v>1083</v>
      </c>
      <c r="E377" s="157">
        <v>269</v>
      </c>
      <c r="I377" s="463">
        <f t="shared" si="52"/>
        <v>60.315179999999998</v>
      </c>
      <c r="J377" s="463">
        <f t="shared" si="52"/>
        <v>31.790419999999997</v>
      </c>
      <c r="K377" s="463">
        <f t="shared" si="52"/>
        <v>23.080200000000001</v>
      </c>
      <c r="L377" s="463">
        <f t="shared" si="52"/>
        <v>19.031749999999999</v>
      </c>
    </row>
    <row r="378" spans="2:12" x14ac:dyDescent="0.35">
      <c r="B378" s="119" t="s">
        <v>1500</v>
      </c>
      <c r="C378" s="140"/>
      <c r="D378" s="140"/>
      <c r="E378" s="140"/>
    </row>
    <row r="379" spans="2:12" x14ac:dyDescent="0.35">
      <c r="B379" s="31" t="s">
        <v>1078</v>
      </c>
      <c r="C379" s="66"/>
      <c r="D379" s="67" t="s">
        <v>1084</v>
      </c>
      <c r="E379" s="157">
        <v>49</v>
      </c>
      <c r="I379" s="463">
        <f t="shared" ref="I379:L380" si="53">($E379+$G379)*I$4</f>
        <v>10.98678</v>
      </c>
      <c r="J379" s="463">
        <f t="shared" si="53"/>
        <v>5.7908200000000001</v>
      </c>
      <c r="K379" s="463">
        <f t="shared" si="53"/>
        <v>4.2042000000000002</v>
      </c>
      <c r="L379" s="463">
        <f t="shared" si="53"/>
        <v>3.4667499999999998</v>
      </c>
    </row>
    <row r="380" spans="2:12" x14ac:dyDescent="0.35">
      <c r="B380" s="31" t="s">
        <v>1080</v>
      </c>
      <c r="C380" s="66"/>
      <c r="D380" s="67" t="s">
        <v>1085</v>
      </c>
      <c r="E380" s="157">
        <v>100</v>
      </c>
      <c r="I380" s="463">
        <f t="shared" si="53"/>
        <v>22.422000000000001</v>
      </c>
      <c r="J380" s="463">
        <f t="shared" si="53"/>
        <v>11.818</v>
      </c>
      <c r="K380" s="463">
        <f t="shared" si="53"/>
        <v>8.58</v>
      </c>
      <c r="L380" s="463">
        <f t="shared" si="53"/>
        <v>7.0749999999999993</v>
      </c>
    </row>
    <row r="382" spans="2:12" s="6" customFormat="1" x14ac:dyDescent="0.35">
      <c r="B382" s="24" t="s">
        <v>1086</v>
      </c>
      <c r="C382" s="8"/>
      <c r="D382" s="9"/>
      <c r="G382" s="30"/>
      <c r="H382" s="30"/>
    </row>
    <row r="383" spans="2:12" s="6" customFormat="1" x14ac:dyDescent="0.35">
      <c r="B383" s="33" t="s">
        <v>1087</v>
      </c>
      <c r="C383" s="33"/>
      <c r="D383" s="34" t="s">
        <v>1088</v>
      </c>
      <c r="E383" s="35">
        <v>827</v>
      </c>
      <c r="G383" s="30"/>
      <c r="H383" s="30"/>
    </row>
    <row r="384" spans="2:12" s="6" customFormat="1" x14ac:dyDescent="0.35">
      <c r="G384" s="30"/>
      <c r="H384" s="30"/>
    </row>
    <row r="385" spans="2:16" s="6" customFormat="1" x14ac:dyDescent="0.35">
      <c r="B385" s="24" t="s">
        <v>1929</v>
      </c>
      <c r="C385" s="8"/>
      <c r="D385" s="9"/>
      <c r="F385" s="30"/>
      <c r="G385" s="30"/>
      <c r="H385" s="373"/>
      <c r="I385" s="471"/>
      <c r="J385" s="471"/>
      <c r="K385" s="471"/>
      <c r="L385" s="471"/>
      <c r="M385" s="471"/>
      <c r="N385" s="471"/>
      <c r="O385" s="471"/>
      <c r="P385" s="471"/>
    </row>
    <row r="386" spans="2:16" s="6" customFormat="1" x14ac:dyDescent="0.35">
      <c r="B386" s="472" t="s">
        <v>1930</v>
      </c>
      <c r="C386" s="472"/>
      <c r="D386" s="473" t="s">
        <v>1926</v>
      </c>
      <c r="E386" s="474">
        <v>38.770000000000003</v>
      </c>
      <c r="F386" s="30"/>
      <c r="G386" s="30"/>
      <c r="H386" s="373"/>
      <c r="I386" s="471"/>
      <c r="J386" s="471"/>
      <c r="K386" s="471"/>
      <c r="L386" s="471"/>
      <c r="M386" s="471"/>
      <c r="N386" s="471"/>
      <c r="O386" s="471"/>
      <c r="P386" s="471"/>
    </row>
    <row r="387" spans="2:16" s="6" customFormat="1" x14ac:dyDescent="0.35">
      <c r="B387" s="472" t="s">
        <v>1931</v>
      </c>
      <c r="C387" s="472"/>
      <c r="D387" s="473" t="s">
        <v>1932</v>
      </c>
      <c r="E387" s="474">
        <v>18.09</v>
      </c>
      <c r="F387" s="30"/>
      <c r="G387" s="30"/>
      <c r="H387" s="373"/>
      <c r="I387" s="471"/>
      <c r="J387" s="471"/>
      <c r="K387" s="471"/>
      <c r="L387" s="471"/>
      <c r="M387" s="471"/>
      <c r="N387" s="471"/>
      <c r="O387" s="471"/>
      <c r="P387" s="471"/>
    </row>
    <row r="388" spans="2:16" s="6" customFormat="1" x14ac:dyDescent="0.35">
      <c r="F388" s="30"/>
      <c r="G388" s="30"/>
      <c r="H388" s="373"/>
      <c r="I388" s="471"/>
      <c r="J388" s="471"/>
      <c r="K388" s="471"/>
      <c r="L388" s="471"/>
      <c r="M388" s="471"/>
      <c r="N388" s="471"/>
      <c r="O388" s="471"/>
      <c r="P388" s="471"/>
    </row>
    <row r="389" spans="2:16" x14ac:dyDescent="0.35">
      <c r="B389" s="26" t="s">
        <v>1089</v>
      </c>
    </row>
    <row r="390" spans="2:16" x14ac:dyDescent="0.35">
      <c r="B390" s="101" t="s">
        <v>1091</v>
      </c>
      <c r="C390" s="217" t="s">
        <v>1404</v>
      </c>
      <c r="D390" s="100" t="s">
        <v>1090</v>
      </c>
      <c r="E390" s="216">
        <v>4</v>
      </c>
      <c r="I390" s="463">
        <f t="shared" ref="I390:L395" si="54">($E390+$G390)*I$4</f>
        <v>0.89688000000000001</v>
      </c>
      <c r="J390" s="463">
        <f t="shared" si="54"/>
        <v>0.47271999999999997</v>
      </c>
      <c r="K390" s="463">
        <f t="shared" si="54"/>
        <v>0.34320000000000001</v>
      </c>
      <c r="L390" s="463">
        <f t="shared" si="54"/>
        <v>0.28299999999999997</v>
      </c>
    </row>
    <row r="391" spans="2:16" s="37" customFormat="1" x14ac:dyDescent="0.35">
      <c r="B391" s="229" t="s">
        <v>1405</v>
      </c>
      <c r="C391" s="217" t="s">
        <v>1406</v>
      </c>
      <c r="D391" s="100" t="s">
        <v>1092</v>
      </c>
      <c r="E391" s="216">
        <v>6</v>
      </c>
      <c r="I391" s="463">
        <f t="shared" si="54"/>
        <v>1.3453200000000001</v>
      </c>
      <c r="J391" s="463">
        <f t="shared" si="54"/>
        <v>0.70907999999999993</v>
      </c>
      <c r="K391" s="463">
        <f t="shared" si="54"/>
        <v>0.51480000000000004</v>
      </c>
      <c r="L391" s="463">
        <f t="shared" si="54"/>
        <v>0.42449999999999999</v>
      </c>
    </row>
    <row r="392" spans="2:16" x14ac:dyDescent="0.35">
      <c r="B392" s="101" t="s">
        <v>1093</v>
      </c>
      <c r="C392" s="217" t="s">
        <v>1407</v>
      </c>
      <c r="D392" s="100" t="s">
        <v>1094</v>
      </c>
      <c r="E392" s="216">
        <v>6</v>
      </c>
      <c r="I392" s="463">
        <f t="shared" si="54"/>
        <v>1.3453200000000001</v>
      </c>
      <c r="J392" s="463">
        <f t="shared" si="54"/>
        <v>0.70907999999999993</v>
      </c>
      <c r="K392" s="463">
        <f t="shared" si="54"/>
        <v>0.51480000000000004</v>
      </c>
      <c r="L392" s="463">
        <f t="shared" si="54"/>
        <v>0.42449999999999999</v>
      </c>
    </row>
    <row r="393" spans="2:16" x14ac:dyDescent="0.35">
      <c r="B393" s="101" t="s">
        <v>1095</v>
      </c>
      <c r="C393" s="236" t="s">
        <v>1408</v>
      </c>
      <c r="D393" s="100" t="s">
        <v>1096</v>
      </c>
      <c r="E393" s="216">
        <v>13</v>
      </c>
      <c r="I393" s="463">
        <f t="shared" si="54"/>
        <v>2.91486</v>
      </c>
      <c r="J393" s="463">
        <f t="shared" si="54"/>
        <v>1.5363399999999998</v>
      </c>
      <c r="K393" s="463">
        <f t="shared" si="54"/>
        <v>1.1153999999999999</v>
      </c>
      <c r="L393" s="463">
        <f t="shared" si="54"/>
        <v>0.91974999999999996</v>
      </c>
    </row>
    <row r="394" spans="2:16" x14ac:dyDescent="0.35">
      <c r="B394" s="431" t="s">
        <v>1619</v>
      </c>
      <c r="C394" s="217" t="s">
        <v>1409</v>
      </c>
      <c r="D394" s="100" t="s">
        <v>1097</v>
      </c>
      <c r="E394" s="216">
        <v>16</v>
      </c>
      <c r="I394" s="463">
        <f t="shared" si="54"/>
        <v>3.58752</v>
      </c>
      <c r="J394" s="463">
        <f t="shared" si="54"/>
        <v>1.8908799999999999</v>
      </c>
      <c r="K394" s="463">
        <f t="shared" si="54"/>
        <v>1.3728</v>
      </c>
      <c r="L394" s="463">
        <f t="shared" si="54"/>
        <v>1.1319999999999999</v>
      </c>
    </row>
    <row r="395" spans="2:16" x14ac:dyDescent="0.35">
      <c r="B395" s="101" t="s">
        <v>1098</v>
      </c>
      <c r="C395" s="217" t="s">
        <v>1099</v>
      </c>
      <c r="D395" s="100" t="s">
        <v>1100</v>
      </c>
      <c r="E395" s="216">
        <v>6</v>
      </c>
      <c r="I395" s="463">
        <f t="shared" si="54"/>
        <v>1.3453200000000001</v>
      </c>
      <c r="J395" s="463">
        <f t="shared" si="54"/>
        <v>0.70907999999999993</v>
      </c>
      <c r="K395" s="463">
        <f t="shared" si="54"/>
        <v>0.51480000000000004</v>
      </c>
      <c r="L395" s="463">
        <f t="shared" si="54"/>
        <v>0.42449999999999999</v>
      </c>
    </row>
    <row r="397" spans="2:16" x14ac:dyDescent="0.35">
      <c r="B397" s="26" t="s">
        <v>1101</v>
      </c>
    </row>
    <row r="398" spans="2:16" x14ac:dyDescent="0.35">
      <c r="B398" s="224" t="s">
        <v>1410</v>
      </c>
      <c r="C398" s="217" t="s">
        <v>1409</v>
      </c>
      <c r="D398" s="100" t="s">
        <v>1102</v>
      </c>
      <c r="E398" s="216">
        <v>6</v>
      </c>
      <c r="I398" s="463">
        <f t="shared" ref="I398:L403" si="55">($E398+$G398)*I$4</f>
        <v>1.3453200000000001</v>
      </c>
      <c r="J398" s="463">
        <f t="shared" si="55"/>
        <v>0.70907999999999993</v>
      </c>
      <c r="K398" s="463">
        <f t="shared" si="55"/>
        <v>0.51480000000000004</v>
      </c>
      <c r="L398" s="463">
        <f t="shared" si="55"/>
        <v>0.42449999999999999</v>
      </c>
    </row>
    <row r="399" spans="2:16" x14ac:dyDescent="0.35">
      <c r="B399" s="224" t="s">
        <v>1411</v>
      </c>
      <c r="C399" s="217" t="s">
        <v>1409</v>
      </c>
      <c r="D399" s="100" t="s">
        <v>1103</v>
      </c>
      <c r="E399" s="216">
        <v>6</v>
      </c>
      <c r="I399" s="463">
        <f t="shared" si="55"/>
        <v>1.3453200000000001</v>
      </c>
      <c r="J399" s="463">
        <f t="shared" si="55"/>
        <v>0.70907999999999993</v>
      </c>
      <c r="K399" s="463">
        <f t="shared" si="55"/>
        <v>0.51480000000000004</v>
      </c>
      <c r="L399" s="463">
        <f t="shared" si="55"/>
        <v>0.42449999999999999</v>
      </c>
    </row>
    <row r="400" spans="2:16" x14ac:dyDescent="0.35">
      <c r="B400" s="224" t="s">
        <v>1412</v>
      </c>
      <c r="C400" s="217" t="s">
        <v>1409</v>
      </c>
      <c r="D400" s="100" t="s">
        <v>1104</v>
      </c>
      <c r="E400" s="216">
        <v>6</v>
      </c>
      <c r="I400" s="463">
        <f t="shared" si="55"/>
        <v>1.3453200000000001</v>
      </c>
      <c r="J400" s="463">
        <f t="shared" si="55"/>
        <v>0.70907999999999993</v>
      </c>
      <c r="K400" s="463">
        <f t="shared" si="55"/>
        <v>0.51480000000000004</v>
      </c>
      <c r="L400" s="463">
        <f t="shared" si="55"/>
        <v>0.42449999999999999</v>
      </c>
    </row>
    <row r="401" spans="2:12" x14ac:dyDescent="0.35">
      <c r="B401" s="224" t="s">
        <v>1413</v>
      </c>
      <c r="C401" s="217" t="s">
        <v>1409</v>
      </c>
      <c r="D401" s="100" t="s">
        <v>1105</v>
      </c>
      <c r="E401" s="216">
        <v>26</v>
      </c>
      <c r="I401" s="463">
        <f t="shared" si="55"/>
        <v>5.82972</v>
      </c>
      <c r="J401" s="463">
        <f t="shared" si="55"/>
        <v>3.0726799999999996</v>
      </c>
      <c r="K401" s="463">
        <f t="shared" si="55"/>
        <v>2.2307999999999999</v>
      </c>
      <c r="L401" s="463">
        <f t="shared" si="55"/>
        <v>1.8394999999999999</v>
      </c>
    </row>
    <row r="402" spans="2:12" x14ac:dyDescent="0.35">
      <c r="B402" s="224" t="s">
        <v>1414</v>
      </c>
      <c r="C402" s="217" t="s">
        <v>1409</v>
      </c>
      <c r="D402" s="100" t="s">
        <v>1106</v>
      </c>
      <c r="E402" s="216">
        <v>0</v>
      </c>
      <c r="I402" s="463">
        <f t="shared" si="55"/>
        <v>0</v>
      </c>
      <c r="J402" s="463">
        <f t="shared" si="55"/>
        <v>0</v>
      </c>
      <c r="K402" s="463">
        <f t="shared" si="55"/>
        <v>0</v>
      </c>
      <c r="L402" s="463">
        <f t="shared" si="55"/>
        <v>0</v>
      </c>
    </row>
    <row r="403" spans="2:12" x14ac:dyDescent="0.35">
      <c r="B403" s="224" t="s">
        <v>1415</v>
      </c>
      <c r="C403" s="217" t="s">
        <v>1409</v>
      </c>
      <c r="D403" s="100" t="s">
        <v>1107</v>
      </c>
      <c r="E403" s="216">
        <v>4</v>
      </c>
      <c r="I403" s="463">
        <f t="shared" si="55"/>
        <v>0.89688000000000001</v>
      </c>
      <c r="J403" s="463">
        <f t="shared" si="55"/>
        <v>0.47271999999999997</v>
      </c>
      <c r="K403" s="463">
        <f t="shared" si="55"/>
        <v>0.34320000000000001</v>
      </c>
      <c r="L403" s="463">
        <f t="shared" si="55"/>
        <v>0.28299999999999997</v>
      </c>
    </row>
    <row r="405" spans="2:12" x14ac:dyDescent="0.35">
      <c r="B405" s="21" t="s">
        <v>1108</v>
      </c>
    </row>
    <row r="406" spans="2:12" x14ac:dyDescent="0.35">
      <c r="B406" s="39" t="s">
        <v>1109</v>
      </c>
    </row>
    <row r="407" spans="2:12" x14ac:dyDescent="0.35">
      <c r="B407" s="31" t="s">
        <v>1110</v>
      </c>
      <c r="C407" s="66"/>
      <c r="D407" s="67" t="s">
        <v>1111</v>
      </c>
      <c r="E407" s="157">
        <v>72</v>
      </c>
    </row>
    <row r="408" spans="2:12" x14ac:dyDescent="0.35">
      <c r="B408" s="31" t="s">
        <v>1112</v>
      </c>
      <c r="C408" s="66"/>
      <c r="D408" s="67" t="s">
        <v>1113</v>
      </c>
      <c r="E408" s="157">
        <v>27</v>
      </c>
    </row>
    <row r="409" spans="2:12" x14ac:dyDescent="0.35">
      <c r="B409" s="31" t="s">
        <v>1114</v>
      </c>
      <c r="C409" s="66"/>
      <c r="D409" s="67" t="s">
        <v>1115</v>
      </c>
      <c r="E409" s="157">
        <v>50</v>
      </c>
    </row>
    <row r="410" spans="2:12" x14ac:dyDescent="0.35">
      <c r="B410" s="31" t="s">
        <v>1116</v>
      </c>
      <c r="C410" s="66"/>
      <c r="D410" s="67" t="s">
        <v>1117</v>
      </c>
      <c r="E410" s="157">
        <v>18</v>
      </c>
    </row>
    <row r="411" spans="2:12" x14ac:dyDescent="0.35">
      <c r="B411" s="39" t="s">
        <v>1118</v>
      </c>
    </row>
    <row r="412" spans="2:12" x14ac:dyDescent="0.35">
      <c r="B412" s="31" t="s">
        <v>1119</v>
      </c>
      <c r="C412" s="66"/>
      <c r="D412" s="67" t="s">
        <v>1120</v>
      </c>
      <c r="E412" s="157">
        <v>94</v>
      </c>
    </row>
    <row r="413" spans="2:12" x14ac:dyDescent="0.35">
      <c r="B413" s="31" t="s">
        <v>1121</v>
      </c>
      <c r="C413" s="66"/>
      <c r="D413" s="67" t="s">
        <v>1122</v>
      </c>
      <c r="E413" s="157">
        <v>76</v>
      </c>
    </row>
    <row r="414" spans="2:12" x14ac:dyDescent="0.35">
      <c r="B414" s="31" t="s">
        <v>1123</v>
      </c>
      <c r="C414" s="66"/>
      <c r="D414" s="67" t="s">
        <v>1124</v>
      </c>
      <c r="E414" s="157">
        <v>48</v>
      </c>
    </row>
    <row r="415" spans="2:12" x14ac:dyDescent="0.35">
      <c r="B415" s="31" t="s">
        <v>1125</v>
      </c>
      <c r="C415" s="66"/>
      <c r="D415" s="67" t="s">
        <v>1126</v>
      </c>
      <c r="E415" s="157">
        <v>27</v>
      </c>
    </row>
    <row r="416" spans="2:12" x14ac:dyDescent="0.35">
      <c r="B416" s="8"/>
      <c r="C416" s="70"/>
    </row>
    <row r="417" spans="2:12" x14ac:dyDescent="0.35">
      <c r="B417" s="21" t="s">
        <v>1127</v>
      </c>
      <c r="C417" s="70"/>
    </row>
    <row r="418" spans="2:12" x14ac:dyDescent="0.35">
      <c r="B418" s="31" t="s">
        <v>1128</v>
      </c>
      <c r="C418" s="66"/>
      <c r="D418" s="67" t="s">
        <v>1129</v>
      </c>
      <c r="E418" s="68">
        <v>21</v>
      </c>
    </row>
    <row r="419" spans="2:12" x14ac:dyDescent="0.35">
      <c r="B419" s="31" t="s">
        <v>1130</v>
      </c>
      <c r="C419" s="66"/>
      <c r="D419" s="67" t="s">
        <v>1131</v>
      </c>
      <c r="E419" s="68">
        <v>13</v>
      </c>
    </row>
    <row r="420" spans="2:12" x14ac:dyDescent="0.35">
      <c r="B420" s="31" t="s">
        <v>1132</v>
      </c>
      <c r="C420" s="66"/>
      <c r="D420" s="67" t="s">
        <v>1133</v>
      </c>
      <c r="E420" s="68">
        <v>15</v>
      </c>
    </row>
    <row r="421" spans="2:12" x14ac:dyDescent="0.35">
      <c r="B421" s="31" t="s">
        <v>1134</v>
      </c>
      <c r="C421" s="66"/>
      <c r="D421" s="67" t="s">
        <v>1135</v>
      </c>
      <c r="E421" s="68">
        <v>18</v>
      </c>
    </row>
    <row r="422" spans="2:12" x14ac:dyDescent="0.35">
      <c r="B422" s="31" t="s">
        <v>1136</v>
      </c>
      <c r="C422" s="66"/>
      <c r="D422" s="67" t="s">
        <v>1137</v>
      </c>
      <c r="E422" s="68">
        <v>30</v>
      </c>
    </row>
    <row r="423" spans="2:12" x14ac:dyDescent="0.35">
      <c r="B423" s="31" t="s">
        <v>1138</v>
      </c>
      <c r="C423" s="66"/>
      <c r="D423" s="67" t="s">
        <v>1139</v>
      </c>
      <c r="E423" s="68">
        <v>18</v>
      </c>
    </row>
    <row r="424" spans="2:12" x14ac:dyDescent="0.35">
      <c r="B424" s="31" t="s">
        <v>1140</v>
      </c>
      <c r="C424" s="66"/>
      <c r="D424" s="67" t="s">
        <v>1141</v>
      </c>
      <c r="E424" s="68">
        <v>21</v>
      </c>
    </row>
    <row r="426" spans="2:12" x14ac:dyDescent="0.35">
      <c r="B426" s="21" t="s">
        <v>1142</v>
      </c>
    </row>
    <row r="427" spans="2:12" x14ac:dyDescent="0.35">
      <c r="B427" s="31" t="s">
        <v>1143</v>
      </c>
      <c r="C427" s="66"/>
      <c r="D427" s="67" t="s">
        <v>1144</v>
      </c>
      <c r="E427" s="68">
        <v>4</v>
      </c>
    </row>
    <row r="428" spans="2:12" x14ac:dyDescent="0.35">
      <c r="B428" s="31" t="s">
        <v>1145</v>
      </c>
      <c r="C428" s="66"/>
      <c r="D428" s="67" t="s">
        <v>1146</v>
      </c>
      <c r="E428" s="68">
        <v>0</v>
      </c>
    </row>
    <row r="430" spans="2:12" x14ac:dyDescent="0.35">
      <c r="B430" s="114" t="s">
        <v>1620</v>
      </c>
    </row>
    <row r="431" spans="2:12" x14ac:dyDescent="0.35">
      <c r="B431" s="39" t="s">
        <v>1147</v>
      </c>
    </row>
    <row r="432" spans="2:12" x14ac:dyDescent="0.35">
      <c r="B432" s="31" t="s">
        <v>1148</v>
      </c>
      <c r="C432" s="66"/>
      <c r="D432" s="67" t="s">
        <v>1149</v>
      </c>
      <c r="E432" s="68">
        <v>9</v>
      </c>
      <c r="I432" s="463">
        <f t="shared" ref="I432:L434" si="56">($E432+$G432)*I$4</f>
        <v>2.0179800000000001</v>
      </c>
      <c r="J432" s="463">
        <f t="shared" si="56"/>
        <v>1.06362</v>
      </c>
      <c r="K432" s="463">
        <f t="shared" si="56"/>
        <v>0.7722</v>
      </c>
      <c r="L432" s="463">
        <f t="shared" si="56"/>
        <v>0.63674999999999993</v>
      </c>
    </row>
    <row r="433" spans="2:12" x14ac:dyDescent="0.35">
      <c r="B433" s="31" t="s">
        <v>1150</v>
      </c>
      <c r="C433" s="66"/>
      <c r="D433" s="67" t="s">
        <v>1151</v>
      </c>
      <c r="E433" s="68">
        <v>65</v>
      </c>
      <c r="I433" s="463">
        <f t="shared" si="56"/>
        <v>14.574300000000001</v>
      </c>
      <c r="J433" s="463">
        <f t="shared" si="56"/>
        <v>7.6816999999999993</v>
      </c>
      <c r="K433" s="463">
        <f t="shared" si="56"/>
        <v>5.577</v>
      </c>
      <c r="L433" s="463">
        <f t="shared" si="56"/>
        <v>4.5987499999999999</v>
      </c>
    </row>
    <row r="434" spans="2:12" x14ac:dyDescent="0.35">
      <c r="B434" s="31" t="s">
        <v>1152</v>
      </c>
      <c r="C434" s="66"/>
      <c r="D434" s="67" t="s">
        <v>1153</v>
      </c>
      <c r="E434" s="68">
        <v>124</v>
      </c>
      <c r="I434" s="463">
        <f t="shared" si="56"/>
        <v>27.803280000000001</v>
      </c>
      <c r="J434" s="463">
        <f t="shared" si="56"/>
        <v>14.654319999999998</v>
      </c>
      <c r="K434" s="463">
        <f t="shared" si="56"/>
        <v>10.639200000000001</v>
      </c>
      <c r="L434" s="463">
        <f t="shared" si="56"/>
        <v>8.7729999999999997</v>
      </c>
    </row>
    <row r="435" spans="2:12" x14ac:dyDescent="0.35">
      <c r="B435" s="77" t="s">
        <v>1154</v>
      </c>
      <c r="C435" s="76"/>
      <c r="D435" s="76"/>
    </row>
    <row r="436" spans="2:12" x14ac:dyDescent="0.35">
      <c r="B436" s="31" t="s">
        <v>1155</v>
      </c>
      <c r="C436" s="66"/>
      <c r="D436" s="67" t="s">
        <v>1156</v>
      </c>
      <c r="E436" s="68">
        <v>7</v>
      </c>
    </row>
    <row r="437" spans="2:12" x14ac:dyDescent="0.35">
      <c r="B437" s="39" t="s">
        <v>1157</v>
      </c>
    </row>
    <row r="438" spans="2:12" x14ac:dyDescent="0.35">
      <c r="B438" s="31" t="s">
        <v>1158</v>
      </c>
      <c r="C438" s="66"/>
      <c r="D438" s="67" t="s">
        <v>1159</v>
      </c>
      <c r="E438" s="68">
        <v>300</v>
      </c>
    </row>
    <row r="439" spans="2:12" x14ac:dyDescent="0.35">
      <c r="B439" s="31" t="s">
        <v>1160</v>
      </c>
      <c r="C439" s="66"/>
      <c r="D439" s="67" t="s">
        <v>1161</v>
      </c>
      <c r="E439" s="68">
        <v>403</v>
      </c>
    </row>
    <row r="440" spans="2:12" x14ac:dyDescent="0.35">
      <c r="B440" s="31" t="s">
        <v>1162</v>
      </c>
      <c r="C440" s="66"/>
      <c r="D440" s="67" t="s">
        <v>1163</v>
      </c>
      <c r="E440" s="68">
        <v>1128</v>
      </c>
    </row>
    <row r="441" spans="2:12" x14ac:dyDescent="0.35">
      <c r="B441" s="31" t="s">
        <v>1164</v>
      </c>
      <c r="C441" s="66"/>
      <c r="D441" s="67" t="s">
        <v>1165</v>
      </c>
      <c r="E441" s="68">
        <v>269</v>
      </c>
    </row>
    <row r="442" spans="2:12" x14ac:dyDescent="0.35">
      <c r="B442" s="39" t="s">
        <v>1166</v>
      </c>
    </row>
    <row r="443" spans="2:12" x14ac:dyDescent="0.35">
      <c r="B443" s="31" t="s">
        <v>1167</v>
      </c>
      <c r="C443" s="66"/>
      <c r="D443" s="67" t="s">
        <v>1168</v>
      </c>
      <c r="E443" s="68">
        <v>0</v>
      </c>
    </row>
    <row r="444" spans="2:12" x14ac:dyDescent="0.35">
      <c r="B444" s="31" t="s">
        <v>1169</v>
      </c>
      <c r="C444" s="66"/>
      <c r="D444" s="67" t="s">
        <v>1170</v>
      </c>
      <c r="E444" s="68">
        <v>15</v>
      </c>
    </row>
    <row r="445" spans="2:12" x14ac:dyDescent="0.35">
      <c r="B445" s="31" t="s">
        <v>1171</v>
      </c>
      <c r="C445" s="66"/>
      <c r="D445" s="67" t="s">
        <v>1172</v>
      </c>
      <c r="E445" s="68">
        <v>34</v>
      </c>
    </row>
    <row r="446" spans="2:12" x14ac:dyDescent="0.35">
      <c r="B446" s="52" t="s">
        <v>109</v>
      </c>
    </row>
    <row r="447" spans="2:12" ht="15.5" x14ac:dyDescent="0.35">
      <c r="B447" s="78" t="s">
        <v>1173</v>
      </c>
      <c r="C447" s="79"/>
      <c r="D447" s="80"/>
      <c r="E447" s="81"/>
    </row>
    <row r="448" spans="2:12" customFormat="1" x14ac:dyDescent="0.35"/>
    <row r="449" spans="1:12" x14ac:dyDescent="0.35">
      <c r="A449" s="373"/>
      <c r="B449" s="101" t="s">
        <v>1895</v>
      </c>
      <c r="C449" s="99" t="s">
        <v>1905</v>
      </c>
      <c r="D449" s="100" t="s">
        <v>1174</v>
      </c>
      <c r="E449" s="337">
        <v>135</v>
      </c>
      <c r="I449" s="463">
        <f t="shared" ref="I449:L454" si="57">($E449+$G449)*I$4</f>
        <v>30.2697</v>
      </c>
      <c r="J449" s="463">
        <f t="shared" si="57"/>
        <v>15.9543</v>
      </c>
      <c r="K449" s="463">
        <f t="shared" si="57"/>
        <v>11.583</v>
      </c>
      <c r="L449" s="463">
        <f t="shared" si="57"/>
        <v>9.5512499999999996</v>
      </c>
    </row>
    <row r="450" spans="1:12" x14ac:dyDescent="0.35">
      <c r="A450" s="373"/>
      <c r="B450" s="384" t="s">
        <v>1896</v>
      </c>
      <c r="C450" s="99" t="s">
        <v>1905</v>
      </c>
      <c r="D450" s="100" t="s">
        <v>1175</v>
      </c>
      <c r="E450" s="337">
        <v>151</v>
      </c>
      <c r="I450" s="463">
        <f t="shared" si="57"/>
        <v>33.857219999999998</v>
      </c>
      <c r="J450" s="463">
        <f t="shared" si="57"/>
        <v>17.845179999999999</v>
      </c>
      <c r="K450" s="463">
        <f t="shared" si="57"/>
        <v>12.9558</v>
      </c>
      <c r="L450" s="463">
        <f t="shared" si="57"/>
        <v>10.683249999999999</v>
      </c>
    </row>
    <row r="451" spans="1:12" x14ac:dyDescent="0.35">
      <c r="A451" s="373"/>
      <c r="B451" s="101" t="s">
        <v>1897</v>
      </c>
      <c r="C451" s="99" t="s">
        <v>1905</v>
      </c>
      <c r="D451" s="100" t="s">
        <v>1176</v>
      </c>
      <c r="E451" s="337">
        <v>237</v>
      </c>
      <c r="I451" s="463">
        <f t="shared" si="57"/>
        <v>53.140140000000002</v>
      </c>
      <c r="J451" s="463">
        <f t="shared" si="57"/>
        <v>28.008659999999999</v>
      </c>
      <c r="K451" s="463">
        <f t="shared" si="57"/>
        <v>20.334600000000002</v>
      </c>
      <c r="L451" s="463">
        <f t="shared" si="57"/>
        <v>16.767749999999999</v>
      </c>
    </row>
    <row r="452" spans="1:12" x14ac:dyDescent="0.35">
      <c r="B452" s="384" t="s">
        <v>1621</v>
      </c>
      <c r="C452" s="335" t="s">
        <v>1627</v>
      </c>
      <c r="D452" s="336" t="s">
        <v>1622</v>
      </c>
      <c r="E452" s="337">
        <v>110</v>
      </c>
      <c r="I452" s="463">
        <f t="shared" si="57"/>
        <v>24.664200000000001</v>
      </c>
      <c r="J452" s="463">
        <f t="shared" si="57"/>
        <v>12.999799999999999</v>
      </c>
      <c r="K452" s="463">
        <f t="shared" si="57"/>
        <v>9.4380000000000006</v>
      </c>
      <c r="L452" s="463">
        <f t="shared" si="57"/>
        <v>7.7824999999999989</v>
      </c>
    </row>
    <row r="453" spans="1:12" x14ac:dyDescent="0.35">
      <c r="B453" s="384" t="s">
        <v>1623</v>
      </c>
      <c r="C453" s="335" t="s">
        <v>1628</v>
      </c>
      <c r="D453" s="336" t="s">
        <v>1624</v>
      </c>
      <c r="E453" s="337">
        <v>126</v>
      </c>
      <c r="I453" s="463">
        <f t="shared" si="57"/>
        <v>28.251719999999999</v>
      </c>
      <c r="J453" s="463">
        <f t="shared" si="57"/>
        <v>14.89068</v>
      </c>
      <c r="K453" s="463">
        <f t="shared" si="57"/>
        <v>10.8108</v>
      </c>
      <c r="L453" s="463">
        <f t="shared" si="57"/>
        <v>8.9144999999999985</v>
      </c>
    </row>
    <row r="454" spans="1:12" x14ac:dyDescent="0.35">
      <c r="B454" s="384" t="s">
        <v>1625</v>
      </c>
      <c r="C454" s="335" t="s">
        <v>1629</v>
      </c>
      <c r="D454" s="336" t="s">
        <v>1626</v>
      </c>
      <c r="E454" s="337">
        <v>212</v>
      </c>
      <c r="I454" s="463">
        <f t="shared" si="57"/>
        <v>47.534640000000003</v>
      </c>
      <c r="J454" s="463">
        <f t="shared" si="57"/>
        <v>25.05416</v>
      </c>
      <c r="K454" s="463">
        <f t="shared" si="57"/>
        <v>18.189599999999999</v>
      </c>
      <c r="L454" s="463">
        <f t="shared" si="57"/>
        <v>14.998999999999999</v>
      </c>
    </row>
  </sheetData>
  <sheetProtection algorithmName="SHA-512" hashValue="TaIGQ1/KW4FnBXGZydYSEy/cEjv797a5BGHbnSy7MD2OM1grZFPte0DQtKwMGD3isbmiyTNwirf7QsU2wcbXag==" saltValue="9Tbh/lBMrbVoNjk60ipY3w==" spinCount="100000" sheet="1" objects="1" scenarios="1"/>
  <mergeCells count="3">
    <mergeCell ref="B2:D2"/>
    <mergeCell ref="B4:D4"/>
    <mergeCell ref="F4:G4"/>
  </mergeCells>
  <conditionalFormatting sqref="D455:D1048576 D341:D343 D270:D306 D260:D268 D237:D240 D73:D80 D1:D6 D320:D335 D345:D348 D350:D352 D354:D371 D373:D374 D376:D377 D379:D384 D20:D30 D105:D114 D101:D102 D181 D184:D227 D116:D122 D92:D98 D82:D90 D34:D71 D125:D179 D389:D447 D449:D451">
    <cfRule type="duplicateValues" dxfId="143" priority="99"/>
  </conditionalFormatting>
  <conditionalFormatting sqref="D228:D233">
    <cfRule type="duplicateValues" dxfId="142" priority="98"/>
  </conditionalFormatting>
  <conditionalFormatting sqref="D234:D236">
    <cfRule type="duplicateValues" dxfId="141" priority="100"/>
  </conditionalFormatting>
  <conditionalFormatting sqref="D308:D315">
    <cfRule type="duplicateValues" dxfId="140" priority="97"/>
  </conditionalFormatting>
  <conditionalFormatting sqref="D336:D340">
    <cfRule type="duplicateValues" dxfId="139" priority="96"/>
  </conditionalFormatting>
  <conditionalFormatting sqref="D344">
    <cfRule type="duplicateValues" dxfId="138" priority="95"/>
  </conditionalFormatting>
  <conditionalFormatting sqref="D349">
    <cfRule type="duplicateValues" dxfId="137" priority="94"/>
  </conditionalFormatting>
  <conditionalFormatting sqref="D353">
    <cfRule type="duplicateValues" dxfId="136" priority="93"/>
  </conditionalFormatting>
  <conditionalFormatting sqref="D372">
    <cfRule type="duplicateValues" dxfId="135" priority="92"/>
  </conditionalFormatting>
  <conditionalFormatting sqref="D375">
    <cfRule type="duplicateValues" dxfId="134" priority="91"/>
  </conditionalFormatting>
  <conditionalFormatting sqref="D378">
    <cfRule type="duplicateValues" dxfId="133" priority="90"/>
  </conditionalFormatting>
  <conditionalFormatting sqref="D103">
    <cfRule type="duplicateValues" dxfId="132" priority="89"/>
  </conditionalFormatting>
  <conditionalFormatting sqref="D104">
    <cfRule type="duplicateValues" dxfId="131" priority="88"/>
  </conditionalFormatting>
  <conditionalFormatting sqref="D100">
    <cfRule type="duplicateValues" dxfId="130" priority="87"/>
  </conditionalFormatting>
  <conditionalFormatting sqref="D7:D18">
    <cfRule type="duplicateValues" dxfId="129" priority="101"/>
  </conditionalFormatting>
  <conditionalFormatting sqref="D258:D259 D241:D252">
    <cfRule type="duplicateValues" dxfId="128" priority="102"/>
  </conditionalFormatting>
  <conditionalFormatting sqref="D269">
    <cfRule type="duplicateValues" dxfId="127" priority="103"/>
  </conditionalFormatting>
  <conditionalFormatting sqref="D180">
    <cfRule type="duplicateValues" dxfId="126" priority="86"/>
  </conditionalFormatting>
  <conditionalFormatting sqref="D182">
    <cfRule type="duplicateValues" dxfId="125" priority="85"/>
  </conditionalFormatting>
  <conditionalFormatting sqref="D183">
    <cfRule type="duplicateValues" dxfId="124" priority="84"/>
  </conditionalFormatting>
  <conditionalFormatting sqref="D19">
    <cfRule type="duplicateValues" dxfId="123" priority="83"/>
  </conditionalFormatting>
  <conditionalFormatting sqref="D99">
    <cfRule type="duplicateValues" dxfId="122" priority="82"/>
  </conditionalFormatting>
  <conditionalFormatting sqref="D115">
    <cfRule type="duplicateValues" dxfId="121" priority="81"/>
  </conditionalFormatting>
  <conditionalFormatting sqref="D307">
    <cfRule type="duplicateValues" dxfId="120" priority="80"/>
  </conditionalFormatting>
  <conditionalFormatting sqref="D316:D319">
    <cfRule type="duplicateValues" dxfId="119" priority="79"/>
  </conditionalFormatting>
  <conditionalFormatting sqref="D452:D454">
    <cfRule type="duplicateValues" dxfId="118" priority="78"/>
  </conditionalFormatting>
  <conditionalFormatting sqref="D123:D124">
    <cfRule type="duplicateValues" dxfId="117" priority="77"/>
  </conditionalFormatting>
  <conditionalFormatting sqref="D91">
    <cfRule type="duplicateValues" dxfId="116" priority="76"/>
  </conditionalFormatting>
  <conditionalFormatting sqref="D253:D254">
    <cfRule type="duplicateValues" dxfId="115" priority="104"/>
  </conditionalFormatting>
  <conditionalFormatting sqref="D258:D384 D1:D30 D34:D80 D82:D254 D389:D447 D449:D1048576">
    <cfRule type="duplicateValues" dxfId="114" priority="105"/>
  </conditionalFormatting>
  <conditionalFormatting sqref="D255:D256">
    <cfRule type="duplicateValues" dxfId="113" priority="72"/>
  </conditionalFormatting>
  <conditionalFormatting sqref="D255:D256">
    <cfRule type="duplicateValues" dxfId="112" priority="73"/>
  </conditionalFormatting>
  <conditionalFormatting sqref="D81">
    <cfRule type="duplicateValues" dxfId="111" priority="70"/>
  </conditionalFormatting>
  <conditionalFormatting sqref="D81">
    <cfRule type="duplicateValues" dxfId="110" priority="71"/>
  </conditionalFormatting>
  <conditionalFormatting sqref="D31:D33">
    <cfRule type="duplicateValues" dxfId="109" priority="106"/>
  </conditionalFormatting>
  <conditionalFormatting sqref="D31:D33">
    <cfRule type="duplicateValues" dxfId="108" priority="107"/>
  </conditionalFormatting>
  <conditionalFormatting sqref="D385:D386 D388">
    <cfRule type="duplicateValues" dxfId="107" priority="68"/>
  </conditionalFormatting>
  <conditionalFormatting sqref="I385:P388">
    <cfRule type="notContainsBlanks" dxfId="106" priority="69">
      <formula>LEN(TRIM(I385))&gt;0</formula>
    </cfRule>
  </conditionalFormatting>
  <conditionalFormatting sqref="D387">
    <cfRule type="duplicateValues" dxfId="105" priority="67"/>
  </conditionalFormatting>
  <conditionalFormatting sqref="I8:L8">
    <cfRule type="notContainsBlanks" dxfId="104" priority="66">
      <formula>LEN(TRIM(I8))&gt;0</formula>
    </cfRule>
  </conditionalFormatting>
  <conditionalFormatting sqref="I9:L9">
    <cfRule type="notContainsBlanks" dxfId="103" priority="64">
      <formula>LEN(TRIM(I9))&gt;0</formula>
    </cfRule>
  </conditionalFormatting>
  <conditionalFormatting sqref="I11:L19">
    <cfRule type="notContainsBlanks" dxfId="102" priority="63">
      <formula>LEN(TRIM(I11))&gt;0</formula>
    </cfRule>
  </conditionalFormatting>
  <conditionalFormatting sqref="I22:L24">
    <cfRule type="notContainsBlanks" dxfId="101" priority="62">
      <formula>LEN(TRIM(I22))&gt;0</formula>
    </cfRule>
  </conditionalFormatting>
  <conditionalFormatting sqref="I28:L29">
    <cfRule type="notContainsBlanks" dxfId="100" priority="61">
      <formula>LEN(TRIM(I28))&gt;0</formula>
    </cfRule>
  </conditionalFormatting>
  <conditionalFormatting sqref="I31:L35">
    <cfRule type="notContainsBlanks" dxfId="99" priority="60">
      <formula>LEN(TRIM(I31))&gt;0</formula>
    </cfRule>
  </conditionalFormatting>
  <conditionalFormatting sqref="I37:L37">
    <cfRule type="notContainsBlanks" dxfId="98" priority="59">
      <formula>LEN(TRIM(I37))&gt;0</formula>
    </cfRule>
  </conditionalFormatting>
  <conditionalFormatting sqref="I41:L46">
    <cfRule type="notContainsBlanks" dxfId="97" priority="58">
      <formula>LEN(TRIM(I41))&gt;0</formula>
    </cfRule>
  </conditionalFormatting>
  <conditionalFormatting sqref="I48:L49">
    <cfRule type="notContainsBlanks" dxfId="96" priority="57">
      <formula>LEN(TRIM(I48))&gt;0</formula>
    </cfRule>
  </conditionalFormatting>
  <conditionalFormatting sqref="I51:L56">
    <cfRule type="notContainsBlanks" dxfId="95" priority="56">
      <formula>LEN(TRIM(I51))&gt;0</formula>
    </cfRule>
  </conditionalFormatting>
  <conditionalFormatting sqref="I58:L59">
    <cfRule type="notContainsBlanks" dxfId="94" priority="55">
      <formula>LEN(TRIM(I58))&gt;0</formula>
    </cfRule>
  </conditionalFormatting>
  <conditionalFormatting sqref="I61:L61">
    <cfRule type="notContainsBlanks" dxfId="93" priority="54">
      <formula>LEN(TRIM(I61))&gt;0</formula>
    </cfRule>
  </conditionalFormatting>
  <conditionalFormatting sqref="I65:L70">
    <cfRule type="notContainsBlanks" dxfId="92" priority="53">
      <formula>LEN(TRIM(I65))&gt;0</formula>
    </cfRule>
  </conditionalFormatting>
  <conditionalFormatting sqref="I72:L75">
    <cfRule type="notContainsBlanks" dxfId="91" priority="52">
      <formula>LEN(TRIM(I72))&gt;0</formula>
    </cfRule>
  </conditionalFormatting>
  <conditionalFormatting sqref="I77:L82">
    <cfRule type="notContainsBlanks" dxfId="90" priority="51">
      <formula>LEN(TRIM(I77))&gt;0</formula>
    </cfRule>
  </conditionalFormatting>
  <conditionalFormatting sqref="I84:L84">
    <cfRule type="notContainsBlanks" dxfId="89" priority="50">
      <formula>LEN(TRIM(I84))&gt;0</formula>
    </cfRule>
  </conditionalFormatting>
  <conditionalFormatting sqref="I86:L87">
    <cfRule type="notContainsBlanks" dxfId="88" priority="49">
      <formula>LEN(TRIM(I86))&gt;0</formula>
    </cfRule>
  </conditionalFormatting>
  <conditionalFormatting sqref="I89:L89">
    <cfRule type="notContainsBlanks" dxfId="87" priority="48">
      <formula>LEN(TRIM(I89))&gt;0</formula>
    </cfRule>
  </conditionalFormatting>
  <conditionalFormatting sqref="I91:L91">
    <cfRule type="notContainsBlanks" dxfId="86" priority="47">
      <formula>LEN(TRIM(I91))&gt;0</formula>
    </cfRule>
  </conditionalFormatting>
  <conditionalFormatting sqref="I95:L101">
    <cfRule type="notContainsBlanks" dxfId="85" priority="46">
      <formula>LEN(TRIM(I95))&gt;0</formula>
    </cfRule>
  </conditionalFormatting>
  <conditionalFormatting sqref="I103:L109">
    <cfRule type="notContainsBlanks" dxfId="84" priority="45">
      <formula>LEN(TRIM(I103))&gt;0</formula>
    </cfRule>
  </conditionalFormatting>
  <conditionalFormatting sqref="I113:L115">
    <cfRule type="notContainsBlanks" dxfId="83" priority="44">
      <formula>LEN(TRIM(I113))&gt;0</formula>
    </cfRule>
  </conditionalFormatting>
  <conditionalFormatting sqref="I117:L121">
    <cfRule type="notContainsBlanks" dxfId="82" priority="43">
      <formula>LEN(TRIM(I117))&gt;0</formula>
    </cfRule>
  </conditionalFormatting>
  <conditionalFormatting sqref="I123:L131">
    <cfRule type="notContainsBlanks" dxfId="81" priority="42">
      <formula>LEN(TRIM(I123))&gt;0</formula>
    </cfRule>
  </conditionalFormatting>
  <conditionalFormatting sqref="I133:L133">
    <cfRule type="notContainsBlanks" dxfId="80" priority="41">
      <formula>LEN(TRIM(I133))&gt;0</formula>
    </cfRule>
  </conditionalFormatting>
  <conditionalFormatting sqref="I134:L139">
    <cfRule type="notContainsBlanks" dxfId="79" priority="40">
      <formula>LEN(TRIM(I134))&gt;0</formula>
    </cfRule>
  </conditionalFormatting>
  <conditionalFormatting sqref="I143:L144">
    <cfRule type="notContainsBlanks" dxfId="78" priority="39">
      <formula>LEN(TRIM(I143))&gt;0</formula>
    </cfRule>
  </conditionalFormatting>
  <conditionalFormatting sqref="I146:L146">
    <cfRule type="notContainsBlanks" dxfId="77" priority="38">
      <formula>LEN(TRIM(I146))&gt;0</formula>
    </cfRule>
  </conditionalFormatting>
  <conditionalFormatting sqref="I149:L153">
    <cfRule type="notContainsBlanks" dxfId="76" priority="37">
      <formula>LEN(TRIM(I149))&gt;0</formula>
    </cfRule>
  </conditionalFormatting>
  <conditionalFormatting sqref="I157:L168">
    <cfRule type="notContainsBlanks" dxfId="75" priority="36">
      <formula>LEN(TRIM(I157))&gt;0</formula>
    </cfRule>
  </conditionalFormatting>
  <conditionalFormatting sqref="I170:L183">
    <cfRule type="notContainsBlanks" dxfId="74" priority="35">
      <formula>LEN(TRIM(I170))&gt;0</formula>
    </cfRule>
  </conditionalFormatting>
  <conditionalFormatting sqref="I185:L190">
    <cfRule type="notContainsBlanks" dxfId="73" priority="34">
      <formula>LEN(TRIM(I185))&gt;0</formula>
    </cfRule>
  </conditionalFormatting>
  <conditionalFormatting sqref="I192:L195">
    <cfRule type="notContainsBlanks" dxfId="72" priority="33">
      <formula>LEN(TRIM(I192))&gt;0</formula>
    </cfRule>
  </conditionalFormatting>
  <conditionalFormatting sqref="I197:L200">
    <cfRule type="notContainsBlanks" dxfId="71" priority="32">
      <formula>LEN(TRIM(I197))&gt;0</formula>
    </cfRule>
  </conditionalFormatting>
  <conditionalFormatting sqref="I221:L224">
    <cfRule type="notContainsBlanks" dxfId="70" priority="31">
      <formula>LEN(TRIM(I221))&gt;0</formula>
    </cfRule>
  </conditionalFormatting>
  <conditionalFormatting sqref="I228:L229">
    <cfRule type="notContainsBlanks" dxfId="69" priority="30">
      <formula>LEN(TRIM(I228))&gt;0</formula>
    </cfRule>
  </conditionalFormatting>
  <conditionalFormatting sqref="I231:L233">
    <cfRule type="notContainsBlanks" dxfId="68" priority="29">
      <formula>LEN(TRIM(I231))&gt;0</formula>
    </cfRule>
  </conditionalFormatting>
  <conditionalFormatting sqref="I235:L236">
    <cfRule type="notContainsBlanks" dxfId="67" priority="28">
      <formula>LEN(TRIM(I235))&gt;0</formula>
    </cfRule>
  </conditionalFormatting>
  <conditionalFormatting sqref="I241:L256">
    <cfRule type="notContainsBlanks" dxfId="66" priority="27">
      <formula>LEN(TRIM(I241))&gt;0</formula>
    </cfRule>
  </conditionalFormatting>
  <conditionalFormatting sqref="D257">
    <cfRule type="duplicateValues" dxfId="65" priority="25"/>
  </conditionalFormatting>
  <conditionalFormatting sqref="D257">
    <cfRule type="duplicateValues" dxfId="64" priority="26"/>
  </conditionalFormatting>
  <conditionalFormatting sqref="I258:L258">
    <cfRule type="notContainsBlanks" dxfId="63" priority="24">
      <formula>LEN(TRIM(I258))&gt;0</formula>
    </cfRule>
  </conditionalFormatting>
  <conditionalFormatting sqref="I264:L266">
    <cfRule type="notContainsBlanks" dxfId="62" priority="23">
      <formula>LEN(TRIM(I264))&gt;0</formula>
    </cfRule>
  </conditionalFormatting>
  <conditionalFormatting sqref="I268:L270">
    <cfRule type="notContainsBlanks" dxfId="61" priority="22">
      <formula>LEN(TRIM(I268))&gt;0</formula>
    </cfRule>
  </conditionalFormatting>
  <conditionalFormatting sqref="I274:L276">
    <cfRule type="notContainsBlanks" dxfId="60" priority="21">
      <formula>LEN(TRIM(I274))&gt;0</formula>
    </cfRule>
  </conditionalFormatting>
  <conditionalFormatting sqref="I278:L289">
    <cfRule type="notContainsBlanks" dxfId="59" priority="20">
      <formula>LEN(TRIM(I278))&gt;0</formula>
    </cfRule>
  </conditionalFormatting>
  <conditionalFormatting sqref="I291:L294">
    <cfRule type="notContainsBlanks" dxfId="58" priority="19">
      <formula>LEN(TRIM(I291))&gt;0</formula>
    </cfRule>
  </conditionalFormatting>
  <conditionalFormatting sqref="I297:L300">
    <cfRule type="notContainsBlanks" dxfId="57" priority="18">
      <formula>LEN(TRIM(I297))&gt;0</formula>
    </cfRule>
  </conditionalFormatting>
  <conditionalFormatting sqref="I304:L305">
    <cfRule type="notContainsBlanks" dxfId="56" priority="17">
      <formula>LEN(TRIM(I304))&gt;0</formula>
    </cfRule>
  </conditionalFormatting>
  <conditionalFormatting sqref="I307:L314">
    <cfRule type="notContainsBlanks" dxfId="55" priority="16">
      <formula>LEN(TRIM(I307))&gt;0</formula>
    </cfRule>
  </conditionalFormatting>
  <conditionalFormatting sqref="I316:L324">
    <cfRule type="notContainsBlanks" dxfId="54" priority="15">
      <formula>LEN(TRIM(I316))&gt;0</formula>
    </cfRule>
  </conditionalFormatting>
  <conditionalFormatting sqref="I326:L327">
    <cfRule type="notContainsBlanks" dxfId="53" priority="14">
      <formula>LEN(TRIM(I326))&gt;0</formula>
    </cfRule>
  </conditionalFormatting>
  <conditionalFormatting sqref="I330:L331">
    <cfRule type="notContainsBlanks" dxfId="52" priority="13">
      <formula>LEN(TRIM(I330))&gt;0</formula>
    </cfRule>
  </conditionalFormatting>
  <conditionalFormatting sqref="I334:L340">
    <cfRule type="notContainsBlanks" dxfId="51" priority="12">
      <formula>LEN(TRIM(I334))&gt;0</formula>
    </cfRule>
  </conditionalFormatting>
  <conditionalFormatting sqref="I345:L348">
    <cfRule type="notContainsBlanks" dxfId="50" priority="11">
      <formula>LEN(TRIM(I345))&gt;0</formula>
    </cfRule>
  </conditionalFormatting>
  <conditionalFormatting sqref="I350:L352">
    <cfRule type="notContainsBlanks" dxfId="49" priority="10">
      <formula>LEN(TRIM(I350))&gt;0</formula>
    </cfRule>
  </conditionalFormatting>
  <conditionalFormatting sqref="I354:L358">
    <cfRule type="notContainsBlanks" dxfId="48" priority="9">
      <formula>LEN(TRIM(I354))&gt;0</formula>
    </cfRule>
  </conditionalFormatting>
  <conditionalFormatting sqref="I368:L369">
    <cfRule type="notContainsBlanks" dxfId="47" priority="8">
      <formula>LEN(TRIM(I368))&gt;0</formula>
    </cfRule>
  </conditionalFormatting>
  <conditionalFormatting sqref="I373:L374">
    <cfRule type="notContainsBlanks" dxfId="46" priority="7">
      <formula>LEN(TRIM(I373))&gt;0</formula>
    </cfRule>
  </conditionalFormatting>
  <conditionalFormatting sqref="I376:L377">
    <cfRule type="notContainsBlanks" dxfId="45" priority="6">
      <formula>LEN(TRIM(I376))&gt;0</formula>
    </cfRule>
  </conditionalFormatting>
  <conditionalFormatting sqref="I379:L380">
    <cfRule type="notContainsBlanks" dxfId="44" priority="5">
      <formula>LEN(TRIM(I379))&gt;0</formula>
    </cfRule>
  </conditionalFormatting>
  <conditionalFormatting sqref="I390:L395">
    <cfRule type="notContainsBlanks" dxfId="43" priority="4">
      <formula>LEN(TRIM(I390))&gt;0</formula>
    </cfRule>
  </conditionalFormatting>
  <conditionalFormatting sqref="I398:L403">
    <cfRule type="notContainsBlanks" dxfId="42" priority="3">
      <formula>LEN(TRIM(I398))&gt;0</formula>
    </cfRule>
  </conditionalFormatting>
  <conditionalFormatting sqref="I432:L434">
    <cfRule type="notContainsBlanks" dxfId="41" priority="2">
      <formula>LEN(TRIM(I432))&gt;0</formula>
    </cfRule>
  </conditionalFormatting>
  <conditionalFormatting sqref="I449:L454">
    <cfRule type="notContainsBlanks" dxfId="40" priority="1">
      <formula>LEN(TRIM(I449))&gt;0</formula>
    </cfRule>
  </conditionalFormatting>
  <pageMargins left="0.7" right="0.7" top="0.75" bottom="0.75" header="0.3" footer="0.3"/>
  <pageSetup paperSize="9" orientation="portrait" r:id="rId1"/>
  <headerFooter>
    <oddFooter>&amp;L&amp;1#&amp;"Calibri"&amp;7&amp;K7F7F7FInternal Use -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74"/>
  <sheetViews>
    <sheetView zoomScale="80" zoomScaleNormal="80" workbookViewId="0">
      <selection activeCell="B2" sqref="B2:D2"/>
    </sheetView>
  </sheetViews>
  <sheetFormatPr baseColWidth="10" defaultColWidth="8.7265625" defaultRowHeight="14.5" x14ac:dyDescent="0.35"/>
  <cols>
    <col min="2" max="2" width="169.453125" style="30" customWidth="1"/>
    <col min="3" max="3" width="22.26953125" style="30" bestFit="1" customWidth="1"/>
    <col min="4" max="4" width="16" style="30" bestFit="1" customWidth="1"/>
    <col min="5" max="5" width="19.81640625" style="30" bestFit="1" customWidth="1"/>
  </cols>
  <sheetData>
    <row r="1" spans="2:5" ht="69.75" customHeight="1" x14ac:dyDescent="0.35"/>
    <row r="2" spans="2:5" ht="21" x14ac:dyDescent="0.35">
      <c r="B2" s="504" t="s">
        <v>22</v>
      </c>
      <c r="C2" s="504"/>
      <c r="D2" s="504"/>
      <c r="E2" s="53"/>
    </row>
    <row r="3" spans="2:5" x14ac:dyDescent="0.35">
      <c r="B3" s="37"/>
      <c r="C3" s="37"/>
      <c r="D3" s="37"/>
      <c r="E3" s="37"/>
    </row>
    <row r="4" spans="2:5" ht="21" x14ac:dyDescent="0.35">
      <c r="B4" s="510" t="s">
        <v>1177</v>
      </c>
      <c r="C4" s="512"/>
      <c r="D4" s="512"/>
      <c r="E4" s="82"/>
    </row>
    <row r="5" spans="2:5" ht="25" x14ac:dyDescent="0.35">
      <c r="B5" s="56" t="s">
        <v>24</v>
      </c>
      <c r="C5" s="57" t="s">
        <v>25</v>
      </c>
      <c r="D5" s="58" t="s">
        <v>26</v>
      </c>
      <c r="E5" s="59" t="s">
        <v>532</v>
      </c>
    </row>
    <row r="6" spans="2:5" ht="15.5" x14ac:dyDescent="0.35">
      <c r="B6" s="83" t="s">
        <v>1178</v>
      </c>
      <c r="C6" s="83"/>
      <c r="D6" s="83"/>
      <c r="E6" s="83"/>
    </row>
    <row r="7" spans="2:5" x14ac:dyDescent="0.35">
      <c r="B7" s="21" t="s">
        <v>1179</v>
      </c>
    </row>
    <row r="8" spans="2:5" x14ac:dyDescent="0.35">
      <c r="B8" s="39" t="s">
        <v>1180</v>
      </c>
    </row>
    <row r="9" spans="2:5" x14ac:dyDescent="0.35">
      <c r="B9" s="31" t="s">
        <v>1181</v>
      </c>
      <c r="C9" s="66" t="s">
        <v>1182</v>
      </c>
      <c r="D9" s="67" t="s">
        <v>1183</v>
      </c>
      <c r="E9" s="43">
        <v>34</v>
      </c>
    </row>
    <row r="10" spans="2:5" x14ac:dyDescent="0.35">
      <c r="E10" s="84"/>
    </row>
    <row r="11" spans="2:5" x14ac:dyDescent="0.35">
      <c r="B11" s="21" t="s">
        <v>1185</v>
      </c>
      <c r="E11" s="84"/>
    </row>
    <row r="12" spans="2:5" x14ac:dyDescent="0.35">
      <c r="B12" s="31" t="s">
        <v>1186</v>
      </c>
      <c r="C12" s="66"/>
      <c r="D12" s="67" t="s">
        <v>1187</v>
      </c>
      <c r="E12" s="43">
        <v>26</v>
      </c>
    </row>
    <row r="13" spans="2:5" x14ac:dyDescent="0.35">
      <c r="B13" s="31" t="s">
        <v>1188</v>
      </c>
      <c r="C13" s="66"/>
      <c r="D13" s="67" t="s">
        <v>1189</v>
      </c>
      <c r="E13" s="43">
        <v>45</v>
      </c>
    </row>
    <row r="14" spans="2:5" x14ac:dyDescent="0.35">
      <c r="E14" s="84"/>
    </row>
    <row r="15" spans="2:5" ht="15.5" x14ac:dyDescent="0.35">
      <c r="B15" s="73" t="s">
        <v>926</v>
      </c>
      <c r="C15" s="83"/>
      <c r="D15" s="83"/>
      <c r="E15" s="85"/>
    </row>
    <row r="16" spans="2:5" x14ac:dyDescent="0.35">
      <c r="B16" s="21" t="s">
        <v>1190</v>
      </c>
      <c r="C16" s="24"/>
      <c r="D16" s="25"/>
      <c r="E16" s="41"/>
    </row>
    <row r="17" spans="2:5" x14ac:dyDescent="0.35">
      <c r="B17" s="31" t="s">
        <v>1191</v>
      </c>
      <c r="C17" s="66" t="s">
        <v>1192</v>
      </c>
      <c r="D17" s="67" t="s">
        <v>1193</v>
      </c>
      <c r="E17" s="43">
        <v>59</v>
      </c>
    </row>
    <row r="18" spans="2:5" x14ac:dyDescent="0.35">
      <c r="B18" s="31" t="s">
        <v>1194</v>
      </c>
      <c r="C18" s="66" t="s">
        <v>1195</v>
      </c>
      <c r="D18" s="67" t="s">
        <v>1196</v>
      </c>
      <c r="E18" s="43">
        <v>67</v>
      </c>
    </row>
    <row r="19" spans="2:5" x14ac:dyDescent="0.35">
      <c r="B19" s="31" t="s">
        <v>1197</v>
      </c>
      <c r="C19" s="66" t="s">
        <v>1198</v>
      </c>
      <c r="D19" s="67" t="s">
        <v>1199</v>
      </c>
      <c r="E19" s="43">
        <v>59</v>
      </c>
    </row>
    <row r="20" spans="2:5" x14ac:dyDescent="0.35">
      <c r="B20" s="31" t="s">
        <v>1200</v>
      </c>
      <c r="C20" s="66" t="s">
        <v>1201</v>
      </c>
      <c r="D20" s="67" t="s">
        <v>1202</v>
      </c>
      <c r="E20" s="43">
        <v>59</v>
      </c>
    </row>
    <row r="21" spans="2:5" x14ac:dyDescent="0.35">
      <c r="B21" s="31" t="s">
        <v>1203</v>
      </c>
      <c r="C21" s="66" t="s">
        <v>1204</v>
      </c>
      <c r="D21" s="67" t="s">
        <v>1205</v>
      </c>
      <c r="E21" s="43">
        <v>67</v>
      </c>
    </row>
    <row r="22" spans="2:5" x14ac:dyDescent="0.35">
      <c r="E22" s="84"/>
    </row>
    <row r="23" spans="2:5" x14ac:dyDescent="0.35">
      <c r="B23" s="21" t="s">
        <v>1206</v>
      </c>
      <c r="E23" s="84"/>
    </row>
    <row r="24" spans="2:5" x14ac:dyDescent="0.35">
      <c r="B24" s="31" t="s">
        <v>1207</v>
      </c>
      <c r="C24" s="432" t="s">
        <v>1904</v>
      </c>
      <c r="D24" s="67" t="s">
        <v>1208</v>
      </c>
      <c r="E24" s="43">
        <v>26</v>
      </c>
    </row>
    <row r="25" spans="2:5" x14ac:dyDescent="0.35">
      <c r="B25" s="31" t="s">
        <v>1209</v>
      </c>
      <c r="C25" s="66" t="s">
        <v>1182</v>
      </c>
      <c r="D25" s="67" t="s">
        <v>1210</v>
      </c>
      <c r="E25" s="43">
        <v>34</v>
      </c>
    </row>
    <row r="26" spans="2:5" x14ac:dyDescent="0.35">
      <c r="B26" s="31" t="s">
        <v>1211</v>
      </c>
      <c r="C26" s="66" t="s">
        <v>933</v>
      </c>
      <c r="D26" s="67" t="s">
        <v>1212</v>
      </c>
      <c r="E26" s="43">
        <v>34</v>
      </c>
    </row>
    <row r="27" spans="2:5" x14ac:dyDescent="0.35">
      <c r="B27" s="31" t="s">
        <v>1213</v>
      </c>
      <c r="C27" s="66" t="s">
        <v>936</v>
      </c>
      <c r="D27" s="67" t="s">
        <v>1214</v>
      </c>
      <c r="E27" s="43">
        <v>34</v>
      </c>
    </row>
    <row r="28" spans="2:5" x14ac:dyDescent="0.35">
      <c r="E28" s="84"/>
    </row>
    <row r="29" spans="2:5" x14ac:dyDescent="0.35">
      <c r="B29" s="21" t="s">
        <v>1215</v>
      </c>
      <c r="E29" s="84"/>
    </row>
    <row r="30" spans="2:5" x14ac:dyDescent="0.35">
      <c r="B30" s="31" t="s">
        <v>1216</v>
      </c>
      <c r="C30" s="66" t="s">
        <v>1217</v>
      </c>
      <c r="D30" s="67" t="s">
        <v>1218</v>
      </c>
      <c r="E30" s="43">
        <v>59</v>
      </c>
    </row>
    <row r="31" spans="2:5" x14ac:dyDescent="0.35">
      <c r="B31" s="31" t="s">
        <v>1219</v>
      </c>
      <c r="C31" s="66" t="s">
        <v>1220</v>
      </c>
      <c r="D31" s="67" t="s">
        <v>1221</v>
      </c>
      <c r="E31" s="43">
        <v>59</v>
      </c>
    </row>
    <row r="32" spans="2:5" x14ac:dyDescent="0.35">
      <c r="B32" s="31" t="s">
        <v>1222</v>
      </c>
      <c r="C32" s="66" t="s">
        <v>1198</v>
      </c>
      <c r="D32" s="67" t="s">
        <v>1223</v>
      </c>
      <c r="E32" s="43">
        <v>59</v>
      </c>
    </row>
    <row r="33" spans="2:5" x14ac:dyDescent="0.35">
      <c r="B33" s="31" t="s">
        <v>1224</v>
      </c>
      <c r="C33" s="66" t="s">
        <v>1225</v>
      </c>
      <c r="D33" s="67" t="s">
        <v>1226</v>
      </c>
      <c r="E33" s="43">
        <v>27</v>
      </c>
    </row>
    <row r="34" spans="2:5" x14ac:dyDescent="0.35">
      <c r="B34" s="31" t="s">
        <v>1227</v>
      </c>
      <c r="C34" s="66" t="s">
        <v>1228</v>
      </c>
      <c r="D34" s="67" t="s">
        <v>1229</v>
      </c>
      <c r="E34" s="43">
        <v>27</v>
      </c>
    </row>
    <row r="35" spans="2:5" x14ac:dyDescent="0.35">
      <c r="E35" s="84"/>
    </row>
    <row r="36" spans="2:5" x14ac:dyDescent="0.35">
      <c r="B36" s="21" t="s">
        <v>1230</v>
      </c>
      <c r="E36" s="84"/>
    </row>
    <row r="37" spans="2:5" x14ac:dyDescent="0.35">
      <c r="B37" s="31" t="s">
        <v>1231</v>
      </c>
      <c r="C37" s="66" t="s">
        <v>1184</v>
      </c>
      <c r="D37" s="67" t="s">
        <v>1232</v>
      </c>
      <c r="E37" s="43">
        <v>29</v>
      </c>
    </row>
    <row r="38" spans="2:5" x14ac:dyDescent="0.35">
      <c r="B38" s="31" t="s">
        <v>1233</v>
      </c>
      <c r="C38" s="66" t="s">
        <v>1234</v>
      </c>
      <c r="D38" s="67" t="s">
        <v>1235</v>
      </c>
      <c r="E38" s="43">
        <v>29</v>
      </c>
    </row>
    <row r="39" spans="2:5" x14ac:dyDescent="0.35">
      <c r="B39" s="86" t="s">
        <v>1236</v>
      </c>
      <c r="C39" s="66" t="s">
        <v>1238</v>
      </c>
      <c r="D39" s="67" t="s">
        <v>1237</v>
      </c>
      <c r="E39" s="43">
        <v>29</v>
      </c>
    </row>
    <row r="40" spans="2:5" x14ac:dyDescent="0.35">
      <c r="B40" s="86" t="s">
        <v>1239</v>
      </c>
      <c r="C40" s="66" t="s">
        <v>1720</v>
      </c>
      <c r="D40" s="67" t="s">
        <v>1240</v>
      </c>
      <c r="E40" s="43">
        <v>34</v>
      </c>
    </row>
    <row r="41" spans="2:5" x14ac:dyDescent="0.35">
      <c r="B41" s="31" t="s">
        <v>1241</v>
      </c>
      <c r="C41" s="66" t="s">
        <v>930</v>
      </c>
      <c r="D41" s="67" t="s">
        <v>1242</v>
      </c>
      <c r="E41" s="43">
        <v>36</v>
      </c>
    </row>
    <row r="42" spans="2:5" x14ac:dyDescent="0.35">
      <c r="E42" s="84"/>
    </row>
    <row r="43" spans="2:5" x14ac:dyDescent="0.35">
      <c r="B43" s="26" t="s">
        <v>1243</v>
      </c>
      <c r="E43" s="84"/>
    </row>
    <row r="44" spans="2:5" x14ac:dyDescent="0.35">
      <c r="B44" s="31" t="s">
        <v>1313</v>
      </c>
      <c r="C44" s="66" t="s">
        <v>1314</v>
      </c>
      <c r="D44" s="67" t="s">
        <v>1244</v>
      </c>
      <c r="E44" s="43">
        <v>41</v>
      </c>
    </row>
    <row r="45" spans="2:5" x14ac:dyDescent="0.35">
      <c r="E45" s="84"/>
    </row>
    <row r="46" spans="2:5" x14ac:dyDescent="0.35">
      <c r="B46" s="21" t="s">
        <v>1245</v>
      </c>
      <c r="E46" s="84"/>
    </row>
    <row r="47" spans="2:5" s="30" customFormat="1" x14ac:dyDescent="0.35">
      <c r="B47" s="31" t="s">
        <v>1522</v>
      </c>
      <c r="C47" s="66" t="s">
        <v>1437</v>
      </c>
      <c r="D47" s="67" t="s">
        <v>1246</v>
      </c>
      <c r="E47" s="43">
        <v>126</v>
      </c>
    </row>
    <row r="48" spans="2:5" s="30" customFormat="1" x14ac:dyDescent="0.35">
      <c r="B48" s="31" t="s">
        <v>1523</v>
      </c>
      <c r="C48" s="66" t="s">
        <v>1438</v>
      </c>
      <c r="D48" s="67" t="s">
        <v>1247</v>
      </c>
      <c r="E48" s="43">
        <v>126</v>
      </c>
    </row>
    <row r="49" spans="2:5" x14ac:dyDescent="0.35">
      <c r="B49" s="8"/>
      <c r="C49" s="70"/>
      <c r="D49" s="71"/>
      <c r="E49" s="41"/>
    </row>
    <row r="50" spans="2:5" x14ac:dyDescent="0.35">
      <c r="B50" s="21" t="s">
        <v>1248</v>
      </c>
      <c r="C50" s="27"/>
      <c r="D50" s="88"/>
      <c r="E50" s="41"/>
    </row>
    <row r="51" spans="2:5" x14ac:dyDescent="0.35">
      <c r="B51" s="31" t="s">
        <v>1249</v>
      </c>
      <c r="C51" s="87" t="s">
        <v>1250</v>
      </c>
      <c r="D51" s="67" t="s">
        <v>1251</v>
      </c>
      <c r="E51" s="43">
        <v>32</v>
      </c>
    </row>
    <row r="52" spans="2:5" x14ac:dyDescent="0.35">
      <c r="B52" s="31" t="s">
        <v>1252</v>
      </c>
      <c r="C52" s="66" t="s">
        <v>1253</v>
      </c>
      <c r="D52" s="67" t="s">
        <v>1254</v>
      </c>
      <c r="E52" s="43">
        <v>32</v>
      </c>
    </row>
    <row r="53" spans="2:5" x14ac:dyDescent="0.35">
      <c r="B53" s="31" t="s">
        <v>1255</v>
      </c>
      <c r="C53" s="66" t="s">
        <v>1256</v>
      </c>
      <c r="D53" s="67" t="s">
        <v>1257</v>
      </c>
      <c r="E53" s="43">
        <v>17</v>
      </c>
    </row>
    <row r="54" spans="2:5" x14ac:dyDescent="0.35">
      <c r="B54" s="31" t="s">
        <v>1258</v>
      </c>
      <c r="C54" s="87" t="s">
        <v>1259</v>
      </c>
      <c r="D54" s="67" t="s">
        <v>1260</v>
      </c>
      <c r="E54" s="43">
        <v>38</v>
      </c>
    </row>
    <row r="55" spans="2:5" x14ac:dyDescent="0.35">
      <c r="B55" s="31" t="s">
        <v>1261</v>
      </c>
      <c r="C55" s="87" t="s">
        <v>1262</v>
      </c>
      <c r="D55" s="67" t="s">
        <v>1263</v>
      </c>
      <c r="E55" s="43">
        <v>10</v>
      </c>
    </row>
    <row r="56" spans="2:5" x14ac:dyDescent="0.35">
      <c r="B56" s="31" t="s">
        <v>1264</v>
      </c>
      <c r="C56" s="89" t="s">
        <v>1265</v>
      </c>
      <c r="D56" s="67" t="s">
        <v>1266</v>
      </c>
      <c r="E56" s="43">
        <v>39</v>
      </c>
    </row>
    <row r="57" spans="2:5" x14ac:dyDescent="0.35">
      <c r="B57" s="31" t="s">
        <v>1267</v>
      </c>
      <c r="C57" s="66" t="s">
        <v>1268</v>
      </c>
      <c r="D57" s="67" t="s">
        <v>1269</v>
      </c>
      <c r="E57" s="43">
        <v>37</v>
      </c>
    </row>
    <row r="58" spans="2:5" x14ac:dyDescent="0.35">
      <c r="E58" s="84"/>
    </row>
    <row r="59" spans="2:5" x14ac:dyDescent="0.35">
      <c r="B59" s="21" t="s">
        <v>1270</v>
      </c>
      <c r="C59" s="24"/>
      <c r="D59" s="40"/>
      <c r="E59" s="41"/>
    </row>
    <row r="60" spans="2:5" x14ac:dyDescent="0.35">
      <c r="B60" s="31" t="s">
        <v>1271</v>
      </c>
      <c r="C60" s="90" t="s">
        <v>1272</v>
      </c>
      <c r="D60" s="67" t="s">
        <v>1273</v>
      </c>
      <c r="E60" s="43">
        <v>29</v>
      </c>
    </row>
    <row r="61" spans="2:5" x14ac:dyDescent="0.35">
      <c r="B61" s="31" t="s">
        <v>1274</v>
      </c>
      <c r="C61" s="90" t="s">
        <v>1275</v>
      </c>
      <c r="D61" s="67" t="s">
        <v>1276</v>
      </c>
      <c r="E61" s="43">
        <v>32</v>
      </c>
    </row>
    <row r="62" spans="2:5" x14ac:dyDescent="0.35">
      <c r="B62" s="31" t="s">
        <v>1277</v>
      </c>
      <c r="C62" s="90" t="s">
        <v>1278</v>
      </c>
      <c r="D62" s="67" t="s">
        <v>1279</v>
      </c>
      <c r="E62" s="43">
        <v>32</v>
      </c>
    </row>
    <row r="63" spans="2:5" s="30" customFormat="1" x14ac:dyDescent="0.35">
      <c r="B63" s="433" t="s">
        <v>1595</v>
      </c>
      <c r="C63" s="211" t="s">
        <v>1280</v>
      </c>
      <c r="D63" s="212" t="s">
        <v>1281</v>
      </c>
      <c r="E63" s="43">
        <v>34</v>
      </c>
    </row>
    <row r="64" spans="2:5" s="30" customFormat="1" x14ac:dyDescent="0.35">
      <c r="B64" s="433" t="s">
        <v>1596</v>
      </c>
      <c r="C64" s="211" t="s">
        <v>1282</v>
      </c>
      <c r="D64" s="212" t="s">
        <v>1283</v>
      </c>
      <c r="E64" s="43">
        <v>34</v>
      </c>
    </row>
    <row r="65" spans="2:5" x14ac:dyDescent="0.35">
      <c r="E65" s="84"/>
    </row>
    <row r="66" spans="2:5" x14ac:dyDescent="0.35">
      <c r="B66" s="21" t="s">
        <v>1284</v>
      </c>
      <c r="E66" s="84"/>
    </row>
    <row r="67" spans="2:5" x14ac:dyDescent="0.35">
      <c r="B67" s="39" t="s">
        <v>1285</v>
      </c>
      <c r="C67" s="91"/>
      <c r="D67" s="92"/>
      <c r="E67" s="93"/>
    </row>
    <row r="68" spans="2:5" x14ac:dyDescent="0.35">
      <c r="B68" s="31" t="s">
        <v>1286</v>
      </c>
      <c r="C68" s="66"/>
      <c r="D68" s="67" t="s">
        <v>1287</v>
      </c>
      <c r="E68" s="43">
        <v>39</v>
      </c>
    </row>
    <row r="69" spans="2:5" x14ac:dyDescent="0.35">
      <c r="B69" s="39" t="s">
        <v>1288</v>
      </c>
      <c r="C69" s="91"/>
      <c r="D69" s="92"/>
      <c r="E69" s="93"/>
    </row>
    <row r="70" spans="2:5" x14ac:dyDescent="0.35">
      <c r="B70" s="31" t="s">
        <v>1289</v>
      </c>
      <c r="C70" s="66"/>
      <c r="D70" s="67" t="s">
        <v>1290</v>
      </c>
      <c r="E70" s="43">
        <v>59</v>
      </c>
    </row>
    <row r="71" spans="2:5" x14ac:dyDescent="0.35">
      <c r="B71" s="39" t="s">
        <v>1291</v>
      </c>
      <c r="C71" s="91"/>
      <c r="D71" s="92"/>
      <c r="E71" s="93"/>
    </row>
    <row r="72" spans="2:5" x14ac:dyDescent="0.35">
      <c r="B72" s="31" t="s">
        <v>1292</v>
      </c>
      <c r="C72" s="66"/>
      <c r="D72" s="67" t="s">
        <v>1293</v>
      </c>
      <c r="E72" s="43">
        <v>69</v>
      </c>
    </row>
    <row r="73" spans="2:5" x14ac:dyDescent="0.35">
      <c r="B73" s="39" t="s">
        <v>1294</v>
      </c>
      <c r="C73" s="91"/>
      <c r="D73" s="92"/>
      <c r="E73" s="93"/>
    </row>
    <row r="74" spans="2:5" x14ac:dyDescent="0.35">
      <c r="B74" s="31" t="s">
        <v>1295</v>
      </c>
      <c r="C74" s="66"/>
      <c r="D74" s="67" t="s">
        <v>1296</v>
      </c>
      <c r="E74" s="43">
        <v>137</v>
      </c>
    </row>
  </sheetData>
  <sheetProtection algorithmName="SHA-512" hashValue="q40Z6cZuZBiyA1liOsD3GEv74DImKNZd/jcXvYcAMfWoNfOxlh3vrQImRQNqIum2DwDBYh6Inm62NY3EtFRnTw==" saltValue="eEc0SSAiotg06hAoKVHg6Q==" spinCount="100000" sheet="1" objects="1" scenarios="1"/>
  <mergeCells count="2">
    <mergeCell ref="B2:D2"/>
    <mergeCell ref="B4:D4"/>
  </mergeCells>
  <phoneticPr fontId="37" type="noConversion"/>
  <conditionalFormatting sqref="D73">
    <cfRule type="duplicateValues" dxfId="39" priority="38"/>
  </conditionalFormatting>
  <conditionalFormatting sqref="D71">
    <cfRule type="duplicateValues" dxfId="38" priority="35"/>
  </conditionalFormatting>
  <conditionalFormatting sqref="D16:D19">
    <cfRule type="duplicateValues" dxfId="37" priority="34"/>
  </conditionalFormatting>
  <conditionalFormatting sqref="D69">
    <cfRule type="duplicateValues" dxfId="36" priority="33"/>
  </conditionalFormatting>
  <conditionalFormatting sqref="D5">
    <cfRule type="duplicateValues" dxfId="35" priority="31"/>
  </conditionalFormatting>
  <conditionalFormatting sqref="D50">
    <cfRule type="duplicateValues" dxfId="34" priority="30"/>
  </conditionalFormatting>
  <conditionalFormatting sqref="D59">
    <cfRule type="duplicateValues" dxfId="33" priority="29"/>
  </conditionalFormatting>
  <conditionalFormatting sqref="D49">
    <cfRule type="duplicateValues" dxfId="32" priority="32"/>
  </conditionalFormatting>
  <conditionalFormatting sqref="D67">
    <cfRule type="duplicateValues" dxfId="31" priority="28"/>
  </conditionalFormatting>
  <conditionalFormatting sqref="D44">
    <cfRule type="duplicateValues" dxfId="30" priority="27"/>
  </conditionalFormatting>
  <conditionalFormatting sqref="D60:D62">
    <cfRule type="duplicateValues" dxfId="29" priority="26"/>
  </conditionalFormatting>
  <conditionalFormatting sqref="D68">
    <cfRule type="duplicateValues" dxfId="28" priority="25"/>
  </conditionalFormatting>
  <conditionalFormatting sqref="D70">
    <cfRule type="duplicateValues" dxfId="27" priority="24"/>
  </conditionalFormatting>
  <conditionalFormatting sqref="D72">
    <cfRule type="duplicateValues" dxfId="26" priority="23"/>
  </conditionalFormatting>
  <conditionalFormatting sqref="D74">
    <cfRule type="duplicateValues" dxfId="25" priority="22"/>
  </conditionalFormatting>
  <conditionalFormatting sqref="D59:D62 D1 D3 D5:D6 D49:D56 D10 D14:D15 D65:D1048576 D35:D46">
    <cfRule type="duplicateValues" dxfId="24" priority="21"/>
  </conditionalFormatting>
  <conditionalFormatting sqref="D57">
    <cfRule type="duplicateValues" dxfId="23" priority="20"/>
  </conditionalFormatting>
  <conditionalFormatting sqref="D57">
    <cfRule type="duplicateValues" dxfId="22" priority="19"/>
  </conditionalFormatting>
  <conditionalFormatting sqref="D57">
    <cfRule type="duplicateValues" dxfId="21" priority="18"/>
  </conditionalFormatting>
  <conditionalFormatting sqref="D9">
    <cfRule type="duplicateValues" dxfId="20" priority="17"/>
  </conditionalFormatting>
  <conditionalFormatting sqref="D9">
    <cfRule type="duplicateValues" dxfId="19" priority="16"/>
  </conditionalFormatting>
  <conditionalFormatting sqref="D9">
    <cfRule type="duplicateValues" dxfId="18" priority="15"/>
  </conditionalFormatting>
  <conditionalFormatting sqref="D12:D13">
    <cfRule type="duplicateValues" dxfId="17" priority="14"/>
  </conditionalFormatting>
  <conditionalFormatting sqref="D11:D13">
    <cfRule type="duplicateValues" dxfId="16" priority="13"/>
  </conditionalFormatting>
  <conditionalFormatting sqref="D16">
    <cfRule type="duplicateValues" dxfId="15" priority="12"/>
  </conditionalFormatting>
  <conditionalFormatting sqref="D24:D27">
    <cfRule type="duplicateValues" dxfId="14" priority="11"/>
  </conditionalFormatting>
  <conditionalFormatting sqref="D20">
    <cfRule type="duplicateValues" dxfId="13" priority="10"/>
  </conditionalFormatting>
  <conditionalFormatting sqref="D20">
    <cfRule type="duplicateValues" dxfId="12" priority="9"/>
  </conditionalFormatting>
  <conditionalFormatting sqref="D20">
    <cfRule type="duplicateValues" dxfId="11" priority="8"/>
  </conditionalFormatting>
  <conditionalFormatting sqref="D17:D19">
    <cfRule type="duplicateValues" dxfId="10" priority="36"/>
  </conditionalFormatting>
  <conditionalFormatting sqref="D7:D8">
    <cfRule type="duplicateValues" dxfId="9" priority="37"/>
  </conditionalFormatting>
  <conditionalFormatting sqref="D21">
    <cfRule type="duplicateValues" dxfId="8" priority="39"/>
  </conditionalFormatting>
  <conditionalFormatting sqref="D30:D34">
    <cfRule type="duplicateValues" dxfId="7" priority="40"/>
  </conditionalFormatting>
  <conditionalFormatting sqref="D21:D34">
    <cfRule type="duplicateValues" dxfId="6" priority="41"/>
  </conditionalFormatting>
  <conditionalFormatting sqref="D47:D48">
    <cfRule type="duplicateValues" dxfId="5" priority="6"/>
  </conditionalFormatting>
  <conditionalFormatting sqref="D47:D48">
    <cfRule type="duplicateValues" dxfId="4" priority="7"/>
  </conditionalFormatting>
  <conditionalFormatting sqref="D65:D1048576 D1:D62">
    <cfRule type="duplicateValues" dxfId="3" priority="5"/>
  </conditionalFormatting>
  <conditionalFormatting sqref="D63:D64">
    <cfRule type="duplicateValues" dxfId="2" priority="4"/>
  </conditionalFormatting>
  <conditionalFormatting sqref="D37:D41">
    <cfRule type="duplicateValues" dxfId="1" priority="42"/>
  </conditionalFormatting>
  <conditionalFormatting sqref="D51:D56">
    <cfRule type="duplicateValues" dxfId="0" priority="43"/>
  </conditionalFormatting>
  <pageMargins left="0.7" right="0.7" top="0.75" bottom="0.75" header="0.3" footer="0.3"/>
  <pageSetup paperSize="9" orientation="portrait" r:id="rId1"/>
  <headerFooter>
    <oddFooter>&amp;L&amp;1#&amp;"Calibri"&amp;7&amp;K7F7F7FInternal Use -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</sheetPr>
  <dimension ref="A1:R44"/>
  <sheetViews>
    <sheetView topLeftCell="A25" workbookViewId="0">
      <selection activeCell="A44" sqref="A44"/>
    </sheetView>
  </sheetViews>
  <sheetFormatPr baseColWidth="10" defaultColWidth="9.1796875" defaultRowHeight="14.5" x14ac:dyDescent="0.35"/>
  <cols>
    <col min="1" max="1" width="22.54296875" style="350" customWidth="1"/>
    <col min="2" max="2" width="20.81640625" style="350" bestFit="1" customWidth="1"/>
    <col min="3" max="3" width="19.453125" style="350" bestFit="1" customWidth="1"/>
    <col min="4" max="4" width="15.1796875" style="350" bestFit="1" customWidth="1"/>
    <col min="5" max="13" width="9.1796875" style="350"/>
    <col min="14" max="14" width="9.453125" style="350" bestFit="1" customWidth="1"/>
    <col min="15" max="16384" width="9.1796875" style="350"/>
  </cols>
  <sheetData>
    <row r="1" spans="1:18" s="349" customFormat="1" x14ac:dyDescent="0.35">
      <c r="A1" s="349" t="s">
        <v>1794</v>
      </c>
    </row>
    <row r="2" spans="1:18" x14ac:dyDescent="0.35">
      <c r="B2" s="351"/>
      <c r="C2" s="352"/>
    </row>
    <row r="3" spans="1:18" x14ac:dyDescent="0.35">
      <c r="A3" s="353" t="s">
        <v>1795</v>
      </c>
      <c r="B3" s="354"/>
    </row>
    <row r="4" spans="1:18" x14ac:dyDescent="0.35">
      <c r="A4" s="355" t="s">
        <v>1796</v>
      </c>
      <c r="B4" s="356"/>
      <c r="C4" s="352"/>
    </row>
    <row r="5" spans="1:18" x14ac:dyDescent="0.35">
      <c r="A5" s="357" t="s">
        <v>1797</v>
      </c>
      <c r="B5" s="359">
        <v>55</v>
      </c>
      <c r="C5" s="351"/>
      <c r="N5" s="351"/>
      <c r="O5" s="351"/>
      <c r="R5" s="358"/>
    </row>
    <row r="6" spans="1:18" x14ac:dyDescent="0.35">
      <c r="A6" s="357" t="s">
        <v>1798</v>
      </c>
      <c r="B6" s="359">
        <v>116</v>
      </c>
      <c r="C6" s="352"/>
      <c r="N6" s="351"/>
      <c r="O6" s="351"/>
      <c r="R6" s="358"/>
    </row>
    <row r="7" spans="1:18" x14ac:dyDescent="0.35">
      <c r="A7" s="357" t="s">
        <v>1799</v>
      </c>
      <c r="B7" s="359">
        <v>266</v>
      </c>
      <c r="C7" s="352"/>
      <c r="N7" s="351"/>
      <c r="O7" s="351"/>
      <c r="R7" s="358"/>
    </row>
    <row r="8" spans="1:18" x14ac:dyDescent="0.35">
      <c r="A8" s="357" t="s">
        <v>1800</v>
      </c>
      <c r="B8" s="359">
        <v>444</v>
      </c>
      <c r="C8" s="352"/>
      <c r="N8" s="351"/>
      <c r="O8" s="351"/>
      <c r="R8" s="358"/>
    </row>
    <row r="9" spans="1:18" x14ac:dyDescent="0.35">
      <c r="A9" s="357" t="s">
        <v>1801</v>
      </c>
      <c r="B9" s="359">
        <v>1909</v>
      </c>
      <c r="C9" s="352"/>
      <c r="N9" s="351"/>
      <c r="O9" s="351"/>
      <c r="R9" s="358"/>
    </row>
    <row r="10" spans="1:18" x14ac:dyDescent="0.35">
      <c r="A10" s="355" t="s">
        <v>1802</v>
      </c>
      <c r="B10" s="356"/>
      <c r="N10" s="351"/>
      <c r="O10" s="351"/>
      <c r="R10" s="358"/>
    </row>
    <row r="11" spans="1:18" x14ac:dyDescent="0.35">
      <c r="A11" s="357" t="s">
        <v>1803</v>
      </c>
      <c r="B11" s="359">
        <v>55</v>
      </c>
      <c r="C11" s="351"/>
      <c r="M11" s="351"/>
      <c r="N11" s="351"/>
      <c r="O11" s="351"/>
      <c r="R11" s="358"/>
    </row>
    <row r="12" spans="1:18" x14ac:dyDescent="0.35">
      <c r="A12" s="357" t="s">
        <v>1804</v>
      </c>
      <c r="B12" s="359">
        <v>117</v>
      </c>
      <c r="C12" s="352"/>
      <c r="M12" s="352"/>
      <c r="N12" s="351"/>
      <c r="O12" s="351"/>
      <c r="R12" s="358"/>
    </row>
    <row r="13" spans="1:18" x14ac:dyDescent="0.35">
      <c r="A13" s="357" t="s">
        <v>1805</v>
      </c>
      <c r="B13" s="359">
        <v>257</v>
      </c>
      <c r="C13" s="352"/>
      <c r="D13" s="351"/>
      <c r="N13" s="351"/>
      <c r="O13" s="351"/>
      <c r="R13" s="358"/>
    </row>
    <row r="14" spans="1:18" x14ac:dyDescent="0.35">
      <c r="A14" s="355" t="s">
        <v>1806</v>
      </c>
      <c r="B14" s="356"/>
      <c r="C14" s="352"/>
      <c r="N14" s="351"/>
      <c r="O14" s="351"/>
      <c r="R14" s="358"/>
    </row>
    <row r="15" spans="1:18" x14ac:dyDescent="0.35">
      <c r="A15" s="357" t="s">
        <v>1807</v>
      </c>
      <c r="B15" s="359">
        <v>144</v>
      </c>
      <c r="C15" s="352"/>
      <c r="O15" s="351"/>
      <c r="R15" s="358"/>
    </row>
    <row r="16" spans="1:18" x14ac:dyDescent="0.35">
      <c r="A16" s="357" t="s">
        <v>1808</v>
      </c>
      <c r="B16" s="359">
        <v>332</v>
      </c>
      <c r="C16" s="352"/>
      <c r="N16" s="351"/>
      <c r="O16" s="351"/>
      <c r="R16" s="358"/>
    </row>
    <row r="17" spans="1:6" x14ac:dyDescent="0.35">
      <c r="A17" s="355" t="s">
        <v>1809</v>
      </c>
      <c r="B17" s="356"/>
      <c r="C17" s="352"/>
    </row>
    <row r="18" spans="1:6" x14ac:dyDescent="0.35">
      <c r="A18" s="357" t="s">
        <v>1392</v>
      </c>
      <c r="B18" s="359">
        <f>117+34</f>
        <v>151</v>
      </c>
      <c r="C18" s="352"/>
    </row>
    <row r="19" spans="1:6" x14ac:dyDescent="0.35">
      <c r="A19" s="357" t="s">
        <v>1731</v>
      </c>
      <c r="B19" s="359">
        <f>220+117</f>
        <v>337</v>
      </c>
      <c r="C19" s="352"/>
    </row>
    <row r="20" spans="1:6" x14ac:dyDescent="0.35">
      <c r="A20" s="357" t="s">
        <v>1732</v>
      </c>
      <c r="B20" s="359">
        <f>443+117</f>
        <v>560</v>
      </c>
      <c r="C20" s="352"/>
    </row>
    <row r="21" spans="1:6" x14ac:dyDescent="0.35">
      <c r="A21" s="357" t="s">
        <v>1733</v>
      </c>
      <c r="B21" s="359">
        <f>993+117</f>
        <v>1110</v>
      </c>
      <c r="C21" s="352"/>
    </row>
    <row r="22" spans="1:6" x14ac:dyDescent="0.35">
      <c r="A22" s="355" t="s">
        <v>1810</v>
      </c>
      <c r="B22" s="355" t="s">
        <v>1811</v>
      </c>
      <c r="C22" s="355" t="s">
        <v>1812</v>
      </c>
    </row>
    <row r="23" spans="1:6" x14ac:dyDescent="0.35">
      <c r="A23" s="357" t="s">
        <v>1813</v>
      </c>
      <c r="B23" s="359">
        <v>124</v>
      </c>
      <c r="C23" s="359"/>
    </row>
    <row r="24" spans="1:6" x14ac:dyDescent="0.35">
      <c r="A24" s="357" t="s">
        <v>1814</v>
      </c>
      <c r="B24" s="359">
        <f>445-42</f>
        <v>403</v>
      </c>
      <c r="C24" s="359">
        <v>279</v>
      </c>
    </row>
    <row r="26" spans="1:6" s="349" customFormat="1" x14ac:dyDescent="0.35">
      <c r="A26" s="349" t="s">
        <v>1815</v>
      </c>
    </row>
    <row r="27" spans="1:6" x14ac:dyDescent="0.35">
      <c r="B27" s="351"/>
      <c r="C27" s="352"/>
    </row>
    <row r="28" spans="1:6" x14ac:dyDescent="0.35">
      <c r="A28" s="353" t="s">
        <v>1816</v>
      </c>
      <c r="B28" s="354" t="s">
        <v>1762</v>
      </c>
      <c r="C28" s="353" t="s">
        <v>1763</v>
      </c>
      <c r="D28" s="353" t="s">
        <v>1817</v>
      </c>
    </row>
    <row r="29" spans="1:6" x14ac:dyDescent="0.35">
      <c r="A29" s="357" t="s">
        <v>1818</v>
      </c>
      <c r="B29" s="359">
        <v>138</v>
      </c>
      <c r="C29" s="359"/>
      <c r="D29" s="359"/>
    </row>
    <row r="30" spans="1:6" x14ac:dyDescent="0.35">
      <c r="A30" s="357" t="s">
        <v>1819</v>
      </c>
      <c r="B30" s="359">
        <v>180</v>
      </c>
      <c r="C30" s="359">
        <v>42</v>
      </c>
      <c r="D30" s="359"/>
    </row>
    <row r="31" spans="1:6" x14ac:dyDescent="0.35">
      <c r="A31" s="357" t="s">
        <v>1820</v>
      </c>
      <c r="B31" s="359">
        <v>375</v>
      </c>
      <c r="C31" s="359">
        <v>237</v>
      </c>
      <c r="D31" s="359"/>
      <c r="F31" s="351"/>
    </row>
    <row r="32" spans="1:6" x14ac:dyDescent="0.35">
      <c r="A32" s="357" t="s">
        <v>1821</v>
      </c>
      <c r="B32" s="359"/>
      <c r="C32" s="359"/>
      <c r="D32" s="359">
        <v>194</v>
      </c>
    </row>
    <row r="33" spans="1:4" x14ac:dyDescent="0.35">
      <c r="B33" s="352"/>
    </row>
    <row r="34" spans="1:4" s="349" customFormat="1" x14ac:dyDescent="0.35">
      <c r="A34" s="349" t="s">
        <v>1822</v>
      </c>
    </row>
    <row r="35" spans="1:4" s="368" customFormat="1" x14ac:dyDescent="0.35"/>
    <row r="36" spans="1:4" s="368" customFormat="1" x14ac:dyDescent="0.35"/>
    <row r="37" spans="1:4" x14ac:dyDescent="0.35">
      <c r="B37" s="352"/>
    </row>
    <row r="38" spans="1:4" x14ac:dyDescent="0.35">
      <c r="A38" s="369" t="s">
        <v>1871</v>
      </c>
      <c r="B38" s="354" t="s">
        <v>1761</v>
      </c>
      <c r="C38" s="353" t="s">
        <v>1760</v>
      </c>
      <c r="D38" s="353" t="s">
        <v>1764</v>
      </c>
    </row>
    <row r="39" spans="1:4" x14ac:dyDescent="0.35">
      <c r="A39" s="357" t="s">
        <v>1755</v>
      </c>
      <c r="B39" s="359">
        <v>106</v>
      </c>
      <c r="C39" s="359"/>
      <c r="D39" s="359"/>
    </row>
    <row r="40" spans="1:4" x14ac:dyDescent="0.35">
      <c r="A40" s="357" t="s">
        <v>1756</v>
      </c>
      <c r="B40" s="359">
        <f>B39+C40</f>
        <v>281</v>
      </c>
      <c r="C40" s="359">
        <v>175</v>
      </c>
      <c r="D40" s="359"/>
    </row>
    <row r="41" spans="1:4" x14ac:dyDescent="0.35">
      <c r="A41" s="363" t="s">
        <v>1823</v>
      </c>
      <c r="B41" s="359"/>
      <c r="C41" s="359">
        <f>$C$40+D41</f>
        <v>441</v>
      </c>
      <c r="D41" s="359">
        <v>266</v>
      </c>
    </row>
    <row r="42" spans="1:4" x14ac:dyDescent="0.35">
      <c r="A42" s="357" t="s">
        <v>1757</v>
      </c>
      <c r="B42" s="359"/>
      <c r="C42" s="359">
        <f t="shared" ref="C42:C44" si="0">$C$40+D42</f>
        <v>751</v>
      </c>
      <c r="D42" s="359">
        <v>576</v>
      </c>
    </row>
    <row r="43" spans="1:4" x14ac:dyDescent="0.35">
      <c r="A43" s="357" t="s">
        <v>1758</v>
      </c>
      <c r="B43" s="359"/>
      <c r="C43" s="359">
        <f t="shared" si="0"/>
        <v>1550</v>
      </c>
      <c r="D43" s="359">
        <v>1375</v>
      </c>
    </row>
    <row r="44" spans="1:4" x14ac:dyDescent="0.35">
      <c r="A44" s="357" t="s">
        <v>1759</v>
      </c>
      <c r="B44" s="359"/>
      <c r="C44" s="359">
        <f t="shared" si="0"/>
        <v>1059</v>
      </c>
      <c r="D44" s="359">
        <v>884</v>
      </c>
    </row>
  </sheetData>
  <pageMargins left="0.7" right="0.7" top="0.75" bottom="0.75" header="0.3" footer="0.3"/>
  <pageSetup paperSize="9" orientation="portrait" verticalDpi="0" r:id="rId1"/>
  <headerFooter>
    <oddFooter>&amp;L&amp;1#&amp;"Calibri"&amp;7&amp;K737373Internal Use - Confidential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CCDF437801E144A45D26EC5BA0E846" ma:contentTypeVersion="4" ma:contentTypeDescription="Create a new document." ma:contentTypeScope="" ma:versionID="c6f8e3955dee33b6706a4eb324d30806">
  <xsd:schema xmlns:xsd="http://www.w3.org/2001/XMLSchema" xmlns:xs="http://www.w3.org/2001/XMLSchema" xmlns:p="http://schemas.microsoft.com/office/2006/metadata/properties" xmlns:ns2="0adf5e5e-2e9c-4521-9a15-dcadeafa142a" xmlns:ns3="edabb370-31fb-4442-b75d-3f82d9f3c717" targetNamespace="http://schemas.microsoft.com/office/2006/metadata/properties" ma:root="true" ma:fieldsID="573b4c07c385fe72baa286d081db8790" ns2:_="" ns3:_="">
    <xsd:import namespace="0adf5e5e-2e9c-4521-9a15-dcadeafa142a"/>
    <xsd:import namespace="edabb370-31fb-4442-b75d-3f82d9f3c7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df5e5e-2e9c-4521-9a15-dcadeafa1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abb370-31fb-4442-b75d-3f82d9f3c7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AD3901-9081-4969-98C8-0938691859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df5e5e-2e9c-4521-9a15-dcadeafa142a"/>
    <ds:schemaRef ds:uri="edabb370-31fb-4442-b75d-3f82d9f3c7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292E39-B230-40C6-8B06-B65CBA40E0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A5DC9F-4AF2-4550-9CA6-F81921CD4E32}">
  <ds:schemaRefs>
    <ds:schemaRef ds:uri="http://purl.org/dc/elements/1.1/"/>
    <ds:schemaRef ds:uri="0adf5e5e-2e9c-4521-9a15-dcadeafa142a"/>
    <ds:schemaRef ds:uri="edabb370-31fb-4442-b75d-3f82d9f3c717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Résumé</vt:lpstr>
      <vt:lpstr>BPU Lot 3</vt:lpstr>
      <vt:lpstr>BPU Lot 3 Location</vt:lpstr>
      <vt:lpstr>Extensions Lot 3</vt:lpstr>
      <vt:lpstr>Extensions Lot 3 Location</vt:lpstr>
      <vt:lpstr>Maintien parc existant Dell</vt:lpstr>
      <vt:lpstr>Prix upsells RAM_CPU_GPU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Durrenberger, Raphael;Berthelot, Raphael;David JOUSSAIN</dc:creator>
  <cp:lastModifiedBy>Cecile Pereira-Santo</cp:lastModifiedBy>
  <cp:revision>1</cp:revision>
  <dcterms:created xsi:type="dcterms:W3CDTF">2021-07-27T21:33:50Z</dcterms:created>
  <dcterms:modified xsi:type="dcterms:W3CDTF">2023-07-07T15:06:23Z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0x01010036CCDF437801E144A45D26EC5BA0E846</vt:lpwstr>
  </property>
  <property fmtid="{D5CDD505-2E9C-101B-9397-08002B2CF9AE}" pid="3" name="MSIP_Label_7de70ee2-0cb4-4d60-aee5-75ef2c4c8a90_Enabled">
    <vt:lpwstr>True</vt:lpwstr>
  </property>
  <property fmtid="{D5CDD505-2E9C-101B-9397-08002B2CF9AE}" pid="4" name="MSIP_Label_7de70ee2-0cb4-4d60-aee5-75ef2c4c8a90_SiteId">
    <vt:lpwstr>945c199a-83a2-4e80-9f8c-5a91be5752dd</vt:lpwstr>
  </property>
  <property fmtid="{D5CDD505-2E9C-101B-9397-08002B2CF9AE}" pid="5" name="MSIP_Label_7de70ee2-0cb4-4d60-aee5-75ef2c4c8a90_Owner">
    <vt:lpwstr>R_Berthelot@DELL.com</vt:lpwstr>
  </property>
  <property fmtid="{D5CDD505-2E9C-101B-9397-08002B2CF9AE}" pid="6" name="MSIP_Label_7de70ee2-0cb4-4d60-aee5-75ef2c4c8a90_SetDate">
    <vt:lpwstr>2021-08-12T07:32:25.4455717Z</vt:lpwstr>
  </property>
  <property fmtid="{D5CDD505-2E9C-101B-9397-08002B2CF9AE}" pid="7" name="MSIP_Label_7de70ee2-0cb4-4d60-aee5-75ef2c4c8a90_Name">
    <vt:lpwstr>Internal Use</vt:lpwstr>
  </property>
  <property fmtid="{D5CDD505-2E9C-101B-9397-08002B2CF9AE}" pid="8" name="MSIP_Label_7de70ee2-0cb4-4d60-aee5-75ef2c4c8a90_Application">
    <vt:lpwstr>Microsoft Azure Information Protection</vt:lpwstr>
  </property>
  <property fmtid="{D5CDD505-2E9C-101B-9397-08002B2CF9AE}" pid="9" name="MSIP_Label_7de70ee2-0cb4-4d60-aee5-75ef2c4c8a90_ActionId">
    <vt:lpwstr>dd91a884-1f14-41bc-bc63-a72acede3ad2</vt:lpwstr>
  </property>
  <property fmtid="{D5CDD505-2E9C-101B-9397-08002B2CF9AE}" pid="10" name="MSIP_Label_7de70ee2-0cb4-4d60-aee5-75ef2c4c8a90_Extended_MSFT_Method">
    <vt:lpwstr>Manual</vt:lpwstr>
  </property>
  <property fmtid="{D5CDD505-2E9C-101B-9397-08002B2CF9AE}" pid="11" name="MSIP_Label_da6fab74-d5af-4af7-a9a4-78d84655a626_Enabled">
    <vt:lpwstr>True</vt:lpwstr>
  </property>
  <property fmtid="{D5CDD505-2E9C-101B-9397-08002B2CF9AE}" pid="12" name="MSIP_Label_da6fab74-d5af-4af7-a9a4-78d84655a626_SiteId">
    <vt:lpwstr>945c199a-83a2-4e80-9f8c-5a91be5752dd</vt:lpwstr>
  </property>
  <property fmtid="{D5CDD505-2E9C-101B-9397-08002B2CF9AE}" pid="13" name="MSIP_Label_da6fab74-d5af-4af7-a9a4-78d84655a626_Owner">
    <vt:lpwstr>R_Berthelot@DELL.com</vt:lpwstr>
  </property>
  <property fmtid="{D5CDD505-2E9C-101B-9397-08002B2CF9AE}" pid="14" name="MSIP_Label_da6fab74-d5af-4af7-a9a4-78d84655a626_SetDate">
    <vt:lpwstr>2021-08-12T07:32:25.4455717Z</vt:lpwstr>
  </property>
  <property fmtid="{D5CDD505-2E9C-101B-9397-08002B2CF9AE}" pid="15" name="MSIP_Label_da6fab74-d5af-4af7-a9a4-78d84655a626_Name">
    <vt:lpwstr>Visual Marking</vt:lpwstr>
  </property>
  <property fmtid="{D5CDD505-2E9C-101B-9397-08002B2CF9AE}" pid="16" name="MSIP_Label_da6fab74-d5af-4af7-a9a4-78d84655a626_Application">
    <vt:lpwstr>Microsoft Azure Information Protection</vt:lpwstr>
  </property>
  <property fmtid="{D5CDD505-2E9C-101B-9397-08002B2CF9AE}" pid="17" name="MSIP_Label_da6fab74-d5af-4af7-a9a4-78d84655a626_ActionId">
    <vt:lpwstr>dd91a884-1f14-41bc-bc63-a72acede3ad2</vt:lpwstr>
  </property>
  <property fmtid="{D5CDD505-2E9C-101B-9397-08002B2CF9AE}" pid="18" name="MSIP_Label_da6fab74-d5af-4af7-a9a4-78d84655a626_Parent">
    <vt:lpwstr>7de70ee2-0cb4-4d60-aee5-75ef2c4c8a90</vt:lpwstr>
  </property>
  <property fmtid="{D5CDD505-2E9C-101B-9397-08002B2CF9AE}" pid="19" name="MSIP_Label_da6fab74-d5af-4af7-a9a4-78d84655a626_Extended_MSFT_Method">
    <vt:lpwstr>Manual</vt:lpwstr>
  </property>
  <property fmtid="{D5CDD505-2E9C-101B-9397-08002B2CF9AE}" pid="20" name="aiplabel">
    <vt:lpwstr>Internal Use Visual Marking</vt:lpwstr>
  </property>
</Properties>
</file>