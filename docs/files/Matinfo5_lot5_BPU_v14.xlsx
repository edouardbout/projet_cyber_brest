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ate1904="1" showInkAnnotation="0" updateLinks="never" codeName="ThisWorkbook" autoCompressPictures="0"/>
  <mc:AlternateContent xmlns:mc="http://schemas.openxmlformats.org/markup-compatibility/2006">
    <mc:Choice Requires="x15">
      <x15ac:absPath xmlns:x15ac="http://schemas.microsoft.com/office/spreadsheetml/2010/11/ac" url="Y:\1-Marchés-contrat IMT\Marchés 2021\21 IMT 066 à 070 M - Matinfo 5 (AMUE)\Matinfo 5\21 IMT 070 MS - Lot 5 Solutions compatibles Mac OS etou IOS et leurs extensions\BPU\"/>
    </mc:Choice>
  </mc:AlternateContent>
  <xr:revisionPtr revIDLastSave="0" documentId="8_{DA14ABF6-FBEF-4B5D-9015-97894E0FA605}" xr6:coauthVersionLast="47" xr6:coauthVersionMax="47" xr10:uidLastSave="{00000000-0000-0000-0000-000000000000}"/>
  <bookViews>
    <workbookView xWindow="1140" yWindow="1140" windowWidth="14400" windowHeight="7460" tabRatio="501" activeTab="1" xr2:uid="{00000000-000D-0000-FFFF-FFFF00000000}"/>
  </bookViews>
  <sheets>
    <sheet name="1 - Page de garde" sheetId="8" r:id="rId1"/>
    <sheet name="2 - Tarif normalisé n°14 Lot 5" sheetId="4" r:id="rId2"/>
    <sheet name="3 - Accessoires et logiciels" sheetId="9" r:id="rId3"/>
    <sheet name="4 - Services" sheetId="10" r:id="rId4"/>
    <sheet name="5 - Extensions garantie MI4" sheetId="19" r:id="rId5"/>
    <sheet name="6 - Location" sheetId="14" r:id="rId6"/>
    <sheet name="7 - Services DROM-COM" sheetId="18" r:id="rId7"/>
    <sheet name="Récapitulatif remises" sheetId="3" r:id="rId8"/>
  </sheets>
  <externalReferences>
    <externalReference r:id="rId9"/>
    <externalReference r:id="rId10"/>
  </externalReferences>
  <definedNames>
    <definedName name="_xlnm._FilterDatabase" localSheetId="1" hidden="1">'2 - Tarif normalisé n°14 Lot 5'!$A$4:$AH$440</definedName>
    <definedName name="_xlnm._FilterDatabase" localSheetId="2" hidden="1">'3 - Accessoires et logiciels'!$A$3:$X$841</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5">#REF!</definedName>
    <definedName name="Cat_exco_adeth">#REF!</definedName>
    <definedName name="Cat_exco_adsect" localSheetId="1">#REF!</definedName>
    <definedName name="Cat_exco_adsect" localSheetId="5">#REF!</definedName>
    <definedName name="Cat_exco_adsect">#REF!</definedName>
    <definedName name="Cat_exco_advideo" localSheetId="1">#REF!</definedName>
    <definedName name="Cat_exco_advideo" localSheetId="5">#REF!</definedName>
    <definedName name="Cat_exco_advideo">#REF!</definedName>
    <definedName name="Cat_exco_airport" localSheetId="1">#REF!</definedName>
    <definedName name="Cat_exco_airport" localSheetId="5">#REF!</definedName>
    <definedName name="Cat_exco_airport">#REF!</definedName>
    <definedName name="Cat_exco_ass" localSheetId="1">#REF!</definedName>
    <definedName name="Cat_exco_ass" localSheetId="5">#REF!</definedName>
    <definedName name="Cat_exco_ass">#REF!</definedName>
    <definedName name="cat_exco_audio" localSheetId="5">#REF!</definedName>
    <definedName name="cat_exco_audio">#REF!</definedName>
    <definedName name="Cat_exco_batt" localSheetId="1">#REF!</definedName>
    <definedName name="cat_exco_batt" localSheetId="5">#REF!</definedName>
    <definedName name="cat_exco_batt">#REF!</definedName>
    <definedName name="Cat_exco_bretford" localSheetId="1">#REF!</definedName>
    <definedName name="Cat_exco_bretford" localSheetId="5">#REF!</definedName>
    <definedName name="Cat_exco_bretford">#REF!</definedName>
    <definedName name="Cat_exco_cable" localSheetId="1">#REF!</definedName>
    <definedName name="Cat_exco_cable" localSheetId="5">#REF!</definedName>
    <definedName name="Cat_exco_cable">#REF!</definedName>
    <definedName name="Cat_exco_clav" localSheetId="1">#REF!</definedName>
    <definedName name="Cat_exco_clav" localSheetId="5">#REF!</definedName>
    <definedName name="Cat_exco_clav">#REF!</definedName>
    <definedName name="Cat_exco_dd" localSheetId="1">#REF!</definedName>
    <definedName name="Cat_exco_dd" localSheetId="5">#REF!</definedName>
    <definedName name="Cat_exco_dd">#REF!</definedName>
    <definedName name="Cat_exco_ergokally" localSheetId="1">#REF!</definedName>
    <definedName name="Cat_exco_ergokally" localSheetId="5">#REF!</definedName>
    <definedName name="Cat_exco_ergokally">#REF!</definedName>
    <definedName name="Cat_exco_film" localSheetId="1">#REF!</definedName>
    <definedName name="cat_exco_film" localSheetId="5">#REF!</definedName>
    <definedName name="cat_exco_film">#REF!</definedName>
    <definedName name="Cat_exco_iglaze" localSheetId="1">#REF!</definedName>
    <definedName name="cat_exco_iglaze" localSheetId="5">#REF!</definedName>
    <definedName name="cat_exco_iglaze">#REF!</definedName>
    <definedName name="cat_exco_jamf" localSheetId="5">#REF!</definedName>
    <definedName name="cat_exco_jamf">#REF!</definedName>
    <definedName name="Cat_exco_log" localSheetId="1">#REF!</definedName>
    <definedName name="Cat_exco_log" localSheetId="5">#REF!</definedName>
    <definedName name="Cat_exco_log">#REF!</definedName>
    <definedName name="Cat_exco_memsub" localSheetId="1">#REF!</definedName>
    <definedName name="Cat_exco_memsub" localSheetId="5">#REF!</definedName>
    <definedName name="Cat_exco_memsub">#REF!</definedName>
    <definedName name="cat_exco_memusb" localSheetId="5">#REF!</definedName>
    <definedName name="cat_exco_memusb">#REF!</definedName>
    <definedName name="Cat_exco_moni" localSheetId="1">#REF!</definedName>
    <definedName name="Cat_exco_moni" localSheetId="5">#REF!</definedName>
    <definedName name="Cat_exco_moni">#REF!</definedName>
    <definedName name="Cat_exco_ondu" localSheetId="1">#REF!</definedName>
    <definedName name="cat_exco_ondu" localSheetId="5">#REF!</definedName>
    <definedName name="cat_exco_ondu">#REF!</definedName>
    <definedName name="Cat_exco_pciexp" localSheetId="1">#REF!</definedName>
    <definedName name="Cat_exco_pciexp" localSheetId="5">#REF!</definedName>
    <definedName name="Cat_exco_pciexp">#REF!</definedName>
    <definedName name="Cat_exco_sauv" localSheetId="1">#REF!</definedName>
    <definedName name="Cat_exco_sauv" localSheetId="5">#REF!</definedName>
    <definedName name="Cat_exco_sauv">#REF!</definedName>
    <definedName name="Cat_exco_secu" localSheetId="1">#REF!</definedName>
    <definedName name="Cat_exco_secu" localSheetId="5">#REF!</definedName>
    <definedName name="Cat_exco_secu">#REF!</definedName>
    <definedName name="Cat_exco_serv" localSheetId="1">#REF!</definedName>
    <definedName name="Cat_exco_serv" localSheetId="5">#REF!</definedName>
    <definedName name="Cat_exco_serv">#REF!</definedName>
    <definedName name="Cat_exco_souris" localSheetId="1">#REF!</definedName>
    <definedName name="Cat_exco_souris" localSheetId="5">#REF!</definedName>
    <definedName name="Cat_exco_souris">#REF!</definedName>
    <definedName name="Cat1_acc" localSheetId="1">#REF!</definedName>
    <definedName name="cat1_acc_comm" localSheetId="5">#REF!</definedName>
    <definedName name="cat1_acc_comm">#REF!</definedName>
    <definedName name="cat1_acc_mb12" localSheetId="5">#REF!</definedName>
    <definedName name="cat1_acc_mb12">#REF!</definedName>
    <definedName name="cat1_acc_mba13" localSheetId="5">#REF!</definedName>
    <definedName name="cat1_acc_mba13">#REF!</definedName>
    <definedName name="cat1_conf1" localSheetId="5">#REF!</definedName>
    <definedName name="cat1_conf1">#REF!</definedName>
    <definedName name="Cat1_conf1_mba11" localSheetId="1">#REF!</definedName>
    <definedName name="cat1_conf2" localSheetId="5">#REF!</definedName>
    <definedName name="cat1_conf2">#REF!</definedName>
    <definedName name="Cat1_conf2_mba13" localSheetId="1">#REF!</definedName>
    <definedName name="cat1_conf3" localSheetId="5">#REF!</definedName>
    <definedName name="cat1_conf3">#REF!</definedName>
    <definedName name="cat1_conf4" localSheetId="5">#REF!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5">#REF!</definedName>
    <definedName name="cat2_acc_comm">#REF!</definedName>
    <definedName name="cat2_acc_mbpr" localSheetId="5">#REF!</definedName>
    <definedName name="cat2_acc_mbpr">#REF!</definedName>
    <definedName name="cat2_acc_mbptb" localSheetId="5">#REF!</definedName>
    <definedName name="cat2_acc_mbptb">#REF!</definedName>
    <definedName name="cat2_conf1" localSheetId="5">#REF!</definedName>
    <definedName name="cat2_conf1">#REF!</definedName>
    <definedName name="cat2_conf2" localSheetId="5">#REF!</definedName>
    <definedName name="cat2_conf2">#REF!</definedName>
    <definedName name="Cat2_conf2_mbp13" localSheetId="1">#REF!</definedName>
    <definedName name="Cat2_conf2_mbp15" localSheetId="1">#REF!</definedName>
    <definedName name="cat2_conf3" localSheetId="5">#REF!</definedName>
    <definedName name="cat2_conf3">#REF!</definedName>
    <definedName name="Cat2_conf3_mbpr13" localSheetId="1">#REF!</definedName>
    <definedName name="cat2_conf4" localSheetId="5">#REF!</definedName>
    <definedName name="cat2_conf4">#REF!</definedName>
    <definedName name="cat2_conf5" localSheetId="5">#REF!</definedName>
    <definedName name="cat2_conf5">#REF!</definedName>
    <definedName name="cat2_conf6" localSheetId="5">#REF!</definedName>
    <definedName name="cat2_conf6">#REF!</definedName>
    <definedName name="cat2_conf7" localSheetId="5">#REF!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5">#REF!</definedName>
    <definedName name="cat3_acc">#REF!</definedName>
    <definedName name="cat3_conf1" localSheetId="5">#REF!</definedName>
    <definedName name="cat3_conf1">#REF!</definedName>
    <definedName name="Cat3_conf1_mbpret15" localSheetId="1">#REF!</definedName>
    <definedName name="cat3_conf2" localSheetId="5">#REF!</definedName>
    <definedName name="cat3_conf2">#REF!</definedName>
    <definedName name="cat3_conf3" localSheetId="5">#REF!</definedName>
    <definedName name="cat3_conf3">#REF!</definedName>
    <definedName name="Cat3_me664" localSheetId="1">#REF!</definedName>
    <definedName name="Cat3_me665" localSheetId="1">#REF!</definedName>
    <definedName name="Cat4_acc" localSheetId="1">#REF!</definedName>
    <definedName name="cat4_acc" localSheetId="5">#REF!</definedName>
    <definedName name="cat4_acc">#REF!</definedName>
    <definedName name="cat4_conf1" localSheetId="5">#REF!</definedName>
    <definedName name="cat4_conf1">#REF!</definedName>
    <definedName name="Cat4_conf1_mm" localSheetId="1">#REF!</definedName>
    <definedName name="cat4_conf2" localSheetId="5">#REF!</definedName>
    <definedName name="cat4_conf2">#REF!</definedName>
    <definedName name="cat4_conf3" localSheetId="5">#REF!</definedName>
    <definedName name="cat4_conf3">#REF!</definedName>
    <definedName name="cat4_conf4" localSheetId="5">#REF!</definedName>
    <definedName name="cat4_conf4">#REF!</definedName>
    <definedName name="cat4_conf5" localSheetId="5">#REF!</definedName>
    <definedName name="cat4_conf5">#REF!</definedName>
    <definedName name="cat4_conf6" localSheetId="5">#REF!</definedName>
    <definedName name="cat4_conf6">#REF!</definedName>
    <definedName name="Cat4_md387" localSheetId="1">#REF!</definedName>
    <definedName name="Cat4_md388" localSheetId="1">#REF!</definedName>
    <definedName name="Cat5_acc" localSheetId="1">#REF!</definedName>
    <definedName name="cat5_acc" localSheetId="5">#REF!</definedName>
    <definedName name="cat5_acc">#REF!</definedName>
    <definedName name="cat5_conf1" localSheetId="5">#REF!</definedName>
    <definedName name="cat5_conf1">#REF!</definedName>
    <definedName name="Cat5_conf1_imac" localSheetId="1">#REF!</definedName>
    <definedName name="cat5_conf2" localSheetId="5">#REF!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5">#REF!</definedName>
    <definedName name="cat6_acc_com">#REF!</definedName>
    <definedName name="cat6_acc_dd" localSheetId="5">#REF!</definedName>
    <definedName name="cat6_acc_dd">#REF!</definedName>
    <definedName name="cat6_acc_gestion" localSheetId="5">#REF!</definedName>
    <definedName name="cat6_acc_gestion">#REF!</definedName>
    <definedName name="cat6_acc_ip9" localSheetId="5">#REF!</definedName>
    <definedName name="cat6_acc_ip9">#REF!</definedName>
    <definedName name="cat6_acc_ipa" localSheetId="5">#REF!</definedName>
    <definedName name="cat6_acc_ipa">#REF!</definedName>
    <definedName name="cat6_acc_ipa2" localSheetId="5">#REF!</definedName>
    <definedName name="cat6_acc_ipa2">#REF!</definedName>
    <definedName name="cat6_acc_ipm" localSheetId="5">#REF!</definedName>
    <definedName name="cat6_acc_ipm">#REF!</definedName>
    <definedName name="cat6_acc_ipm4" localSheetId="5">#REF!</definedName>
    <definedName name="cat6_acc_ipm4">#REF!</definedName>
    <definedName name="cat6_acc_ipp12" localSheetId="5">#REF!</definedName>
    <definedName name="cat6_acc_ipp12">#REF!</definedName>
    <definedName name="cat6_acc_ipp9" localSheetId="5">#REF!</definedName>
    <definedName name="cat6_acc_ipp9">#REF!</definedName>
    <definedName name="cat6_acc_light" localSheetId="5">#REF!</definedName>
    <definedName name="cat6_acc_light">#REF!</definedName>
    <definedName name="cat6_conf1" localSheetId="5">#REF!</definedName>
    <definedName name="cat6_conf1">#REF!</definedName>
    <definedName name="Cat6_conf1_mp" localSheetId="1">#REF!</definedName>
    <definedName name="cat6_conf2" localSheetId="5">#REF!</definedName>
    <definedName name="cat6_conf2">#REF!</definedName>
    <definedName name="cat6_conf3" localSheetId="5">#REF!</definedName>
    <definedName name="cat6_conf3">#REF!</definedName>
    <definedName name="cat6_conf5" localSheetId="5">#REF!</definedName>
    <definedName name="cat6_conf5">#REF!</definedName>
    <definedName name="cat6_conf6" localSheetId="5">#REF!</definedName>
    <definedName name="cat6_conf6">#REF!</definedName>
    <definedName name="cat6_conf7" localSheetId="5">#REF!</definedName>
    <definedName name="cat6_conf7">#REF!</definedName>
    <definedName name="cat6_conf8" localSheetId="5">#REF!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EROGOTRON">'3 - Accessoires et logiciels'!#REF!</definedName>
    <definedName name="im24_5pl">'2 - Tarif normalisé n°14 Lot 5'!$I$231</definedName>
    <definedName name="im27_5pl">'2 - Tarif normalisé n°14 Lot 5'!#REF!</definedName>
    <definedName name="ip_5pl">'2 - Tarif normalisé n°14 Lot 5'!#REF!</definedName>
    <definedName name="ipa_5pl">'2 - Tarif normalisé n°14 Lot 5'!#REF!</definedName>
    <definedName name="ipm_5pl">'2 - Tarif normalisé n°14 Lot 5'!$I$363</definedName>
    <definedName name="mba_5pl">'2 - Tarif normalisé n°14 Lot 5'!#REF!</definedName>
    <definedName name="mba13_5pl">'2 - Tarif normalisé n°14 Lot 5'!#REF!</definedName>
    <definedName name="mbp13_5pl">'2 - Tarif normalisé n°14 Lot 5'!$G$106</definedName>
    <definedName name="mbp14_5pl">'2 - Tarif normalisé n°14 Lot 5'!$G$106</definedName>
    <definedName name="mbp16_5pl">'2 - Tarif normalisé n°14 Lot 5'!#REF!</definedName>
    <definedName name="mm_5pl">'2 - Tarif normalisé n°14 Lot 5'!$I$199</definedName>
    <definedName name="mp_5pl">'2 - Tarif normalisé n°14 Lot 5'!$I$322</definedName>
    <definedName name="ms_5pl">'2 - Tarif normalisé n°14 Lot 5'!$Z$288</definedName>
    <definedName name="PA_GAR_IM" localSheetId="1">#REF!</definedName>
    <definedName name="PA_GAR_IM" localSheetId="5">#REF!</definedName>
    <definedName name="PA_GAR_IM">#REF!</definedName>
    <definedName name="PA_GAR_IP" localSheetId="1">#REF!</definedName>
    <definedName name="PA_GAR_IP" localSheetId="5">#REF!</definedName>
    <definedName name="PA_GAR_IP">#REF!</definedName>
    <definedName name="PA_GAR_MB" localSheetId="1">#REF!</definedName>
    <definedName name="PA_GAR_MB" localSheetId="5">#REF!</definedName>
    <definedName name="PA_GAR_MB">#REF!</definedName>
    <definedName name="PA_GAR_MBP" localSheetId="1">#REF!</definedName>
    <definedName name="PA_GAR_MBP" localSheetId="5">#REF!</definedName>
    <definedName name="PA_GAR_MBP">#REF!</definedName>
    <definedName name="PA_GAR_MM" localSheetId="1">#REF!</definedName>
    <definedName name="PA_GAR_MM" localSheetId="5">#REF!</definedName>
    <definedName name="PA_GAR_MM">#REF!</definedName>
    <definedName name="PA_GAR_MP" localSheetId="1">#REF!</definedName>
    <definedName name="PA_GAR_MP" localSheetId="5">#REF!</definedName>
    <definedName name="PA_GAR_MP">#REF!</definedName>
    <definedName name="pa_garantie_ipad">'2 - Tarif normalisé n°14 Lot 5'!#REF!</definedName>
    <definedName name="pa_garantie_ipad_Air11">'2 - Tarif normalisé n°14 Lot 5'!#REF!</definedName>
    <definedName name="pa_garantie_ipad_Air13">'2 - Tarif normalisé n°14 Lot 5'!#REF!</definedName>
    <definedName name="pa_garantie_ipad_mini">'2 - Tarif normalisé n°14 Lot 5'!#REF!</definedName>
    <definedName name="pa_garantie_ipad_Pro11">'2 - Tarif normalisé n°14 Lot 5'!#REF!</definedName>
    <definedName name="pa_garantie_ipad_Pro13">'2 - Tarif normalisé n°14 Lot 5'!#REF!</definedName>
    <definedName name="pa_im21_5pl">'2 - Tarif normalisé n°14 Lot 5'!#REF!</definedName>
    <definedName name="pa_im24_5pl">'2 - Tarif normalisé n°14 Lot 5'!#REF!</definedName>
    <definedName name="pa_im27_5pl">'2 - Tarif normalisé n°14 Lot 5'!#REF!</definedName>
    <definedName name="pa_ip_5pl">'2 - Tarif normalisé n°14 Lot 5'!#REF!</definedName>
    <definedName name="pa_ipm_5pl">'2 - Tarif normalisé n°14 Lot 5'!#REF!</definedName>
    <definedName name="pa_mba13_5pl">'2 - Tarif normalisé n°14 Lot 5'!#REF!</definedName>
    <definedName name="pa_mbp13_5pl">'2 - Tarif normalisé n°14 Lot 5'!#REF!</definedName>
    <definedName name="pa_mbp14_5pl">'2 - Tarif normalisé n°14 Lot 5'!#REF!</definedName>
    <definedName name="pa_mbp16_5pl">'2 - Tarif normalisé n°14 Lot 5'!#REF!</definedName>
    <definedName name="pa_mm_5pl">'2 - Tarif normalisé n°14 Lot 5'!#REF!</definedName>
    <definedName name="pa_mp_5pl">'2 - Tarif normalisé n°14 Lot 5'!#REF!</definedName>
    <definedName name="pa_ms_5pl">'2 - Tarif normalisé n°14 Lot 5'!#REF!</definedName>
    <definedName name="Page_54" localSheetId="1">#REF!</definedName>
    <definedName name="Page_54" localSheetId="5">#REF!</definedName>
    <definedName name="Page_54">#REF!</definedName>
    <definedName name="pp_cat1_conf1" localSheetId="5">#REF!</definedName>
    <definedName name="pp_cat1_conf1">#REF!</definedName>
    <definedName name="pp_cat1_conf2" localSheetId="5">#REF!</definedName>
    <definedName name="pp_cat1_conf2">#REF!</definedName>
    <definedName name="pp_cat1_conf3" localSheetId="5">#REF!</definedName>
    <definedName name="pp_cat1_conf3">#REF!</definedName>
    <definedName name="pp_cat1_conf4" localSheetId="5">#REF!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5">#REF!</definedName>
    <definedName name="pp_cat2_conf1">#REF!</definedName>
    <definedName name="pp_cat2_conf2" localSheetId="5">#REF!</definedName>
    <definedName name="pp_cat2_conf2">#REF!</definedName>
    <definedName name="pp_cat2_conf3" localSheetId="5">#REF!</definedName>
    <definedName name="pp_cat2_conf3">#REF!</definedName>
    <definedName name="pp_cat2_conf4" localSheetId="5">#REF!</definedName>
    <definedName name="pp_cat2_conf4">#REF!</definedName>
    <definedName name="pp_cat2_conf5" localSheetId="5">#REF!</definedName>
    <definedName name="pp_cat2_conf5">#REF!</definedName>
    <definedName name="pp_cat2_conf6" localSheetId="5">#REF!</definedName>
    <definedName name="pp_cat2_conf6">#REF!</definedName>
    <definedName name="pp_cat2_conf7" localSheetId="5">#REF!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5">#REF!</definedName>
    <definedName name="pp_cat3_conf1">#REF!</definedName>
    <definedName name="pp_cat3_conf2" localSheetId="5">#REF!</definedName>
    <definedName name="pp_cat3_conf2">#REF!</definedName>
    <definedName name="pp_cat3_conf3" localSheetId="5">#REF!</definedName>
    <definedName name="pp_cat3_conf3">#REF!</definedName>
    <definedName name="pp_cat3_me293" localSheetId="1">#REF!</definedName>
    <definedName name="pp_cat3_me294" localSheetId="1">#REF!</definedName>
    <definedName name="pp_cat4_conf1" localSheetId="5">#REF!</definedName>
    <definedName name="pp_cat4_conf1">#REF!</definedName>
    <definedName name="pp_cat4_conf2" localSheetId="5">#REF!</definedName>
    <definedName name="pp_cat4_conf2">#REF!</definedName>
    <definedName name="pp_cat4_conf3" localSheetId="5">#REF!</definedName>
    <definedName name="pp_cat4_conf3">#REF!</definedName>
    <definedName name="pp_cat4_conf4" localSheetId="5">#REF!</definedName>
    <definedName name="pp_cat4_conf4">#REF!</definedName>
    <definedName name="pp_cat4_conf5" localSheetId="5">#REF!</definedName>
    <definedName name="pp_cat4_conf5">#REF!</definedName>
    <definedName name="pp_cat4_conf6" localSheetId="5">#REF!</definedName>
    <definedName name="pp_cat4_conf6">#REF!</definedName>
    <definedName name="pp_cat4_md387" localSheetId="1">#REF!</definedName>
    <definedName name="pp_cat4_md388" localSheetId="1">#REF!</definedName>
    <definedName name="pp_cat5_conf1" localSheetId="5">#REF!</definedName>
    <definedName name="pp_cat5_conf1">#REF!</definedName>
    <definedName name="pp_cat5_conf2" localSheetId="5">#REF!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5">#REF!</definedName>
    <definedName name="pp_cat6_conf1">#REF!</definedName>
    <definedName name="pp_cat6_conf2" localSheetId="5">#REF!</definedName>
    <definedName name="pp_cat6_conf2">#REF!</definedName>
    <definedName name="pp_cat6_conf3" localSheetId="5">#REF!</definedName>
    <definedName name="pp_cat6_conf3">#REF!</definedName>
    <definedName name="pp_cat6_conf4" localSheetId="5">#REF!</definedName>
    <definedName name="pp_cat6_conf4">#REF!</definedName>
    <definedName name="pp_cat6_conf5" localSheetId="5">#REF!</definedName>
    <definedName name="pp_cat6_conf5">#REF!</definedName>
    <definedName name="pp_cat6_conf6" localSheetId="5">#REF!</definedName>
    <definedName name="pp_cat6_conf6">#REF!</definedName>
    <definedName name="pp_cat6_conf7" localSheetId="5">#REF!</definedName>
    <definedName name="pp_cat6_conf7">#REF!</definedName>
    <definedName name="pp_cat6_conf8" localSheetId="5">#REF!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5">#REF!</definedName>
    <definedName name="pp_gar_cat1_conf1">#REF!</definedName>
    <definedName name="pp_gar_cat1_conf2" localSheetId="5">#REF!</definedName>
    <definedName name="pp_gar_cat1_conf2">#REF!</definedName>
    <definedName name="pp_gar_cat2_conf1" localSheetId="5">#REF!</definedName>
    <definedName name="pp_gar_cat2_conf1">#REF!</definedName>
    <definedName name="pp_gar_cat2_conf2" localSheetId="5">#REF!</definedName>
    <definedName name="pp_gar_cat2_conf2">#REF!</definedName>
    <definedName name="pp_gar_cat3_conf1" localSheetId="5">#REF!</definedName>
    <definedName name="pp_gar_cat3_conf1">#REF!</definedName>
    <definedName name="pp_gar_cat4_conf1" localSheetId="5">#REF!</definedName>
    <definedName name="pp_gar_cat4_conf1">#REF!</definedName>
    <definedName name="pp_gar_cat4_im27" localSheetId="5">#REF!</definedName>
    <definedName name="pp_gar_cat4_im27">#REF!</definedName>
    <definedName name="pp_gar_cat5_conf1" localSheetId="5">#REF!</definedName>
    <definedName name="pp_gar_cat5_conf1">#REF!</definedName>
    <definedName name="pp_gar_cat6_conf1" localSheetId="5">#REF!</definedName>
    <definedName name="pp_gar_cat6_conf1">#REF!</definedName>
    <definedName name="pp_gar_cat6_conf2" localSheetId="5">#REF!</definedName>
    <definedName name="pp_gar_cat6_conf2">#REF!</definedName>
    <definedName name="pp_gar_cat6_ip123pl" localSheetId="5">#REF!</definedName>
    <definedName name="pp_gar_cat6_ip123pl">#REF!</definedName>
    <definedName name="PP_GAR_IM" localSheetId="1">#REF!</definedName>
    <definedName name="PP_GAR_IM" localSheetId="5">#REF!</definedName>
    <definedName name="PP_GAR_IM">#REF!</definedName>
    <definedName name="PP_GAR_IP" localSheetId="1">#REF!</definedName>
    <definedName name="PP_GAR_IP" localSheetId="5">#REF!</definedName>
    <definedName name="PP_GAR_IP">#REF!</definedName>
    <definedName name="PP_GAR_MB" localSheetId="1">#REF!</definedName>
    <definedName name="PP_GAR_MB" localSheetId="5">#REF!</definedName>
    <definedName name="PP_GAR_MB">#REF!</definedName>
    <definedName name="PP_GAR_MBP" localSheetId="1">#REF!</definedName>
    <definedName name="PP_GAR_MBP" localSheetId="5">#REF!</definedName>
    <definedName name="PP_GAR_MBP">#REF!</definedName>
    <definedName name="PP_GAR_MM" localSheetId="1">#REF!</definedName>
    <definedName name="PP_GAR_MM" localSheetId="5">#REF!</definedName>
    <definedName name="PP_GAR_MM">#REF!</definedName>
    <definedName name="PP_GAR_MP" localSheetId="1">#REF!</definedName>
    <definedName name="PP_GAR_MP" localSheetId="5">#REF!</definedName>
    <definedName name="PP_GAR_MP">#REF!</definedName>
    <definedName name="pr_cat1_conf2" localSheetId="5">#REF!</definedName>
    <definedName name="pr_cat1_conf2">#REF!</definedName>
    <definedName name="pr_cat1_conf3" localSheetId="5">#REF!</definedName>
    <definedName name="pr_cat1_conf3">#REF!</definedName>
    <definedName name="pr_cat1_conf4" localSheetId="5">#REF!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5">#REF!</definedName>
    <definedName name="pr_cat2_conf1">#REF!</definedName>
    <definedName name="pr_cat2_conf2" localSheetId="5">#REF!</definedName>
    <definedName name="pr_cat2_conf2">#REF!</definedName>
    <definedName name="pr_cat2_conf3" localSheetId="5">#REF!</definedName>
    <definedName name="pr_cat2_conf3">#REF!</definedName>
    <definedName name="pr_cat2_conf4" localSheetId="5">#REF!</definedName>
    <definedName name="pr_cat2_conf4">#REF!</definedName>
    <definedName name="pr_cat2_conf5" localSheetId="5">#REF!</definedName>
    <definedName name="pr_cat2_conf5">#REF!</definedName>
    <definedName name="pr_cat2_conf6" localSheetId="5">#REF!</definedName>
    <definedName name="pr_cat2_conf6">#REF!</definedName>
    <definedName name="pr_cat2_conf7" localSheetId="5">#REF!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5">#REF!</definedName>
    <definedName name="pr_cat3_conf1">#REF!</definedName>
    <definedName name="pr_cat3_conf2" localSheetId="5">#REF!</definedName>
    <definedName name="pr_cat3_conf2">#REF!</definedName>
    <definedName name="pr_cat3_conf3" localSheetId="5">#REF!</definedName>
    <definedName name="pr_cat3_conf3">#REF!</definedName>
    <definedName name="pr_cat3_me294" localSheetId="1">#REF!</definedName>
    <definedName name="pr_cat3_me664" localSheetId="1">#REF!</definedName>
    <definedName name="pr_cat3_me665" localSheetId="1">#REF!</definedName>
    <definedName name="pr_cat4_conf1" localSheetId="5">#REF!</definedName>
    <definedName name="pr_cat4_conf1">#REF!</definedName>
    <definedName name="pr_cat4_conf2" localSheetId="5">#REF!</definedName>
    <definedName name="pr_cat4_conf2">#REF!</definedName>
    <definedName name="pr_cat4_conf3" localSheetId="5">#REF!</definedName>
    <definedName name="pr_cat4_conf3">#REF!</definedName>
    <definedName name="pr_cat4_conf4" localSheetId="5">#REF!</definedName>
    <definedName name="pr_cat4_conf4">#REF!</definedName>
    <definedName name="pr_cat4_conf5" localSheetId="5">#REF!</definedName>
    <definedName name="pr_cat4_conf5">#REF!</definedName>
    <definedName name="pr_cat4_conf6" localSheetId="5">#REF!</definedName>
    <definedName name="pr_cat4_conf6">#REF!</definedName>
    <definedName name="pr_cat4_md387" localSheetId="1">#REF!</definedName>
    <definedName name="pr_cat4_md388" localSheetId="1">#REF!</definedName>
    <definedName name="pr_cat5_conf1" localSheetId="5">#REF!</definedName>
    <definedName name="pr_cat5_conf1">#REF!</definedName>
    <definedName name="pr_cat5_conf2" localSheetId="5">#REF!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5">#REF!</definedName>
    <definedName name="pr_cat6_conf1">#REF!</definedName>
    <definedName name="pr_cat6_conf2" localSheetId="5">#REF!</definedName>
    <definedName name="pr_cat6_conf2">#REF!</definedName>
    <definedName name="pr_cat6_conf3" localSheetId="5">#REF!</definedName>
    <definedName name="pr_cat6_conf3">#REF!</definedName>
    <definedName name="pr_cat6_conf4" localSheetId="5">#REF!</definedName>
    <definedName name="pr_cat6_conf4">#REF!</definedName>
    <definedName name="pr_cat6_conf5" localSheetId="5">#REF!</definedName>
    <definedName name="pr_cat6_conf5">#REF!</definedName>
    <definedName name="pr_cat6_conf6" localSheetId="5">#REF!</definedName>
    <definedName name="pr_cat6_conf6">#REF!</definedName>
    <definedName name="pr_cat6_conf7" localSheetId="5">#REF!</definedName>
    <definedName name="pr_cat6_conf7">#REF!</definedName>
    <definedName name="pr_cat6_conf8" localSheetId="5">#REF!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5">#REF!</definedName>
    <definedName name="pr_cat8conf1">#REF!</definedName>
    <definedName name="pr_cat8conf5" localSheetId="5">#REF!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5">#REF!</definedName>
    <definedName name="Prix_remisé___HT">#REF!</definedName>
    <definedName name="pv_garantie_ipad">'2 - Tarif normalisé n°14 Lot 5'!$G$379</definedName>
    <definedName name="pv_garantie_ipad_Air11">'2 - Tarif normalisé n°14 Lot 5'!$G$393</definedName>
    <definedName name="pv_garantie_ipad_Air13">'2 - Tarif normalisé n°14 Lot 5'!$G$407</definedName>
    <definedName name="pv_garantie_ipad_mini">'2 - Tarif normalisé n°14 Lot 5'!$G$369</definedName>
    <definedName name="pv_garantie_ipad_Pro11">'2 - Tarif normalisé n°14 Lot 5'!$G$421</definedName>
    <definedName name="pv_garantie_ipad_pro13">'2 - Tarif normalisé n°14 Lot 5'!$G$435</definedName>
    <definedName name="ra_acc_ipad">#REF!</definedName>
    <definedName name="ra_acc_ipad_nd7" localSheetId="5">#REF!</definedName>
    <definedName name="ra_acc_ipad_nd7">#REF!</definedName>
    <definedName name="ra_acc_mac">#REF!</definedName>
    <definedName name="ra_acc_mac_nd7" localSheetId="5">#REF!</definedName>
    <definedName name="ra_acc_mac_nd7">#REF!</definedName>
    <definedName name="ra_acc_nodac">#REF!</definedName>
    <definedName name="ra_acc_nodac_nd7" localSheetId="5">#REF!</definedName>
    <definedName name="ra_acc_nodac_nd7">#REF!</definedName>
    <definedName name="ra_ace">#REF!</definedName>
    <definedName name="ra_app">#REF!</definedName>
    <definedName name="ra_app_nd7" localSheetId="5">#REF!</definedName>
    <definedName name="ra_app_nd7">#REF!</definedName>
    <definedName name="ra_appplus">#REF!</definedName>
    <definedName name="ra_atv_eg">#REF!</definedName>
    <definedName name="ra_atv_eg_nd7" localSheetId="5">#REF!</definedName>
    <definedName name="ra_atv_eg_nd7">#REF!</definedName>
    <definedName name="ra_atv_hg">#REF!</definedName>
    <definedName name="ra_atv_hg_nd7" localSheetId="5">#REF!</definedName>
    <definedName name="ra_atv_hg_nd7">#REF!</definedName>
    <definedName name="ra_im21_eg">#REF!</definedName>
    <definedName name="ra_im21_eg_nd7" localSheetId="5">#REF!</definedName>
    <definedName name="ra_im21_eg_nd7">#REF!</definedName>
    <definedName name="ra_im21_hg">#REF!</definedName>
    <definedName name="ra_im21_hg_nd7" localSheetId="5">#REF!</definedName>
    <definedName name="ra_im21_hg_nd7">#REF!</definedName>
    <definedName name="ra_im27">#REF!</definedName>
    <definedName name="ra_im27_hg">#REF!</definedName>
    <definedName name="ra_im27_hg_nd7" localSheetId="5">#REF!</definedName>
    <definedName name="ra_im27_hg_nd7">#REF!</definedName>
    <definedName name="ra_im27_nd7" localSheetId="5">#REF!</definedName>
    <definedName name="ra_im27_nd7">#REF!</definedName>
    <definedName name="ra_imp">#REF!</definedName>
    <definedName name="ra_imp_nd7" localSheetId="5">#REF!</definedName>
    <definedName name="ra_imp_nd7">#REF!</definedName>
    <definedName name="ra_ip_eg">#REF!</definedName>
    <definedName name="ra_ip_hg">#REF!</definedName>
    <definedName name="ra_ip9_eg_nd7" localSheetId="5">#REF!</definedName>
    <definedName name="ra_ip9_eg_nd7">#REF!</definedName>
    <definedName name="ra_ip9_hg_nd7" localSheetId="5">#REF!</definedName>
    <definedName name="ra_ip9_hg_nd7">#REF!</definedName>
    <definedName name="ra_ipa10">#REF!</definedName>
    <definedName name="ra_ipm_eg">#REF!</definedName>
    <definedName name="ra_ipm_eg_nd7" localSheetId="5">#REF!</definedName>
    <definedName name="ra_ipm_eg_nd7">#REF!</definedName>
    <definedName name="ra_ipm_hg">#REF!</definedName>
    <definedName name="ra_ipm_hg_nd7" localSheetId="5">#REF!</definedName>
    <definedName name="ra_ipm_hg_nd7">#REF!</definedName>
    <definedName name="ra_ipp10">#REF!</definedName>
    <definedName name="ra_ipp10_nd7" localSheetId="5">#REF!</definedName>
    <definedName name="ra_ipp10_nd7">#REF!</definedName>
    <definedName name="ra_ipp11">#REF!</definedName>
    <definedName name="ra_ipp11_nd7" localSheetId="5">#REF!</definedName>
    <definedName name="ra_ipp11_nd7">#REF!</definedName>
    <definedName name="ra_ipp12">#REF!</definedName>
    <definedName name="ra_ipp12_nd7" localSheetId="5">#REF!</definedName>
    <definedName name="ra_ipp12_nd7">#REF!</definedName>
    <definedName name="ra_mb_eg">#REF!</definedName>
    <definedName name="ra_mb_hg">#REF!</definedName>
    <definedName name="ra_mba_eg">#REF!</definedName>
    <definedName name="ra_mba_hg">#REF!</definedName>
    <definedName name="ra_mba_hg_nd7" localSheetId="5">#REF!</definedName>
    <definedName name="ra_mba_hg_nd7">#REF!</definedName>
    <definedName name="ra_mba_mg">#REF!</definedName>
    <definedName name="ra_mba_mg_nd7" localSheetId="5">#REF!</definedName>
    <definedName name="ra_mba_mg_nd7">#REF!</definedName>
    <definedName name="ra_mbp13_eg">#REF!</definedName>
    <definedName name="ra_mbp13_eg_nd7" localSheetId="5">#REF!</definedName>
    <definedName name="ra_mbp13_eg_nd7">#REF!</definedName>
    <definedName name="ra_mbp13_hg">#REF!</definedName>
    <definedName name="ra_mbp13_hg_nd7" localSheetId="5">#REF!</definedName>
    <definedName name="ra_mbp13_hg_nd7">#REF!</definedName>
    <definedName name="ra_mbp13tbeg">#REF!</definedName>
    <definedName name="ra_mbp13tbeg_nd7" localSheetId="5">#REF!</definedName>
    <definedName name="ra_mbp13tbeg_nd7">#REF!</definedName>
    <definedName name="ra_mbp13tbhg">#REF!</definedName>
    <definedName name="ra_mbp13tbhg_nd7" localSheetId="5">#REF!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5">#REF!</definedName>
    <definedName name="ra_mbp16t_hg_nd7" localSheetId="5">#REF!</definedName>
    <definedName name="ra_mm_eg">#REF!</definedName>
    <definedName name="ra_mm_eg_nd7" localSheetId="5">#REF!</definedName>
    <definedName name="ra_mm_eg_nd7">#REF!</definedName>
    <definedName name="ra_mm_hg">#REF!</definedName>
    <definedName name="ra_mm_hg_nd7" localSheetId="5">#REF!</definedName>
    <definedName name="ra_mm_hg_nd7">#REF!</definedName>
    <definedName name="ra_mm_mg">#REF!</definedName>
    <definedName name="ra_moniteur">#REF!</definedName>
    <definedName name="ra_moniteur_nd7" localSheetId="5">#REF!</definedName>
    <definedName name="ra_moniteur_nd7">#REF!</definedName>
    <definedName name="ra_mp_eg">#REF!</definedName>
    <definedName name="ra_mp_eg_nd7" localSheetId="5">#REF!</definedName>
    <definedName name="ra_mp_eg_nd7">#REF!</definedName>
    <definedName name="ra_mp_hg">#REF!</definedName>
    <definedName name="ra_mp_hg_nd7" localSheetId="5">#REF!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5">#REF!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remises'!#REF!</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5">#REF!</definedName>
    <definedName name="som_cat1_conf1">#REF!</definedName>
    <definedName name="som_cat1_conf2" localSheetId="5">#REF!</definedName>
    <definedName name="som_cat1_conf2">#REF!</definedName>
    <definedName name="som_cat2_conf1" localSheetId="5">#REF!</definedName>
    <definedName name="som_cat2_conf1">#REF!</definedName>
    <definedName name="som_cat2_conf1_evo1" localSheetId="5">#REF!</definedName>
    <definedName name="som_cat2_conf1_evo1">#REF!</definedName>
    <definedName name="som_cat2_conf1_evo2" localSheetId="5">#REF!</definedName>
    <definedName name="som_cat2_conf1_evo2">#REF!</definedName>
    <definedName name="som_cat2_conf2" localSheetId="5">#REF!</definedName>
    <definedName name="som_cat2_conf2">#REF!</definedName>
    <definedName name="som_cat2_conf2_evo1" localSheetId="5">#REF!</definedName>
    <definedName name="som_cat2_conf2_evo1">#REF!</definedName>
    <definedName name="som_cat3_conf1" localSheetId="5">#REF!</definedName>
    <definedName name="som_cat3_conf1">#REF!</definedName>
    <definedName name="som_cat4_conf1" localSheetId="5">#REF!</definedName>
    <definedName name="som_cat4_conf1">#REF!</definedName>
    <definedName name="som_cat4_conf1_evo1" localSheetId="5">#REF!</definedName>
    <definedName name="som_cat4_conf1_evo1">#REF!</definedName>
    <definedName name="som_cat4_conf1_evo2" localSheetId="5">#REF!</definedName>
    <definedName name="som_cat4_conf1_evo2">#REF!</definedName>
    <definedName name="som_cat4_conf1_evo3" localSheetId="5">#REF!</definedName>
    <definedName name="som_cat4_conf1_evo3">#REF!</definedName>
    <definedName name="som_cat4_conf1_evo4" localSheetId="5">#REF!</definedName>
    <definedName name="som_cat4_conf1_evo4">#REF!</definedName>
    <definedName name="som_cat5_conf1" localSheetId="5">#REF!</definedName>
    <definedName name="som_cat5_conf1">#REF!</definedName>
    <definedName name="som_cat5_conf2" localSheetId="5">#REF!</definedName>
    <definedName name="som_cat5_conf2">#REF!</definedName>
    <definedName name="som_cat6_conf1" localSheetId="5">#REF!</definedName>
    <definedName name="som_cat6_conf1">#REF!</definedName>
    <definedName name="som_cat6_conf1_evo1" localSheetId="5">#REF!</definedName>
    <definedName name="som_cat6_conf1_evo1">#REF!</definedName>
    <definedName name="som_cat6_conf2" localSheetId="5">#REF!</definedName>
    <definedName name="som_cat6_conf2">#REF!</definedName>
    <definedName name="som_cat6_conf2_evo1" localSheetId="5">#REF!</definedName>
    <definedName name="som_cat6_conf2_evo1">#REF!</definedName>
    <definedName name="som_cat6_conf2_evo2" localSheetId="5">#REF!</definedName>
    <definedName name="som_cat6_conf2_evo2">#REF!</definedName>
    <definedName name="som_exco" localSheetId="5">#REF!</definedName>
    <definedName name="som_exco">#REF!</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242" i="9" l="1"/>
  <c r="F241" i="9"/>
  <c r="F240" i="9"/>
  <c r="G118" i="9"/>
  <c r="G117" i="9"/>
  <c r="G114" i="9"/>
  <c r="G113" i="9"/>
  <c r="G110" i="9"/>
  <c r="G98" i="9"/>
  <c r="G97" i="9"/>
  <c r="G94" i="9"/>
  <c r="G93" i="9"/>
  <c r="G92" i="9"/>
  <c r="F120" i="9"/>
  <c r="G120" i="9" s="1"/>
  <c r="F121" i="9"/>
  <c r="G121" i="9" s="1"/>
  <c r="F122" i="9"/>
  <c r="G122" i="9" s="1"/>
  <c r="F128" i="9" l="1"/>
  <c r="G128" i="9" s="1"/>
  <c r="F585" i="9"/>
  <c r="G585" i="9" s="1"/>
  <c r="F586" i="9"/>
  <c r="G586" i="9" s="1"/>
  <c r="G18" i="10"/>
  <c r="F611" i="9"/>
  <c r="G611" i="9" s="1"/>
  <c r="F572" i="9" l="1"/>
  <c r="G572" i="9" s="1"/>
  <c r="F563" i="9"/>
  <c r="G563" i="9" s="1"/>
  <c r="F564" i="9"/>
  <c r="G564" i="9" s="1"/>
  <c r="F565" i="9"/>
  <c r="G565" i="9" s="1"/>
  <c r="F566" i="9"/>
  <c r="G566" i="9" s="1"/>
  <c r="F567" i="9"/>
  <c r="G567" i="9" s="1"/>
  <c r="F568" i="9"/>
  <c r="G568" i="9" s="1"/>
  <c r="F569" i="9"/>
  <c r="G569" i="9" s="1"/>
  <c r="F570" i="9"/>
  <c r="G570" i="9" s="1"/>
  <c r="F571" i="9"/>
  <c r="G571" i="9" s="1"/>
  <c r="F573" i="9"/>
  <c r="G573" i="9" s="1"/>
  <c r="F574" i="9"/>
  <c r="G574" i="9" s="1"/>
  <c r="F575" i="9"/>
  <c r="G575" i="9" s="1"/>
  <c r="F576" i="9"/>
  <c r="G576" i="9" s="1"/>
  <c r="F579" i="9"/>
  <c r="G579" i="9" s="1"/>
  <c r="F580" i="9"/>
  <c r="G580" i="9" s="1"/>
  <c r="F577" i="9"/>
  <c r="G577" i="9" s="1"/>
  <c r="F578" i="9"/>
  <c r="G578" i="9" s="1"/>
  <c r="F581" i="9"/>
  <c r="G581" i="9" s="1"/>
  <c r="F560" i="9"/>
  <c r="G560" i="9" s="1"/>
  <c r="F561" i="9"/>
  <c r="G561" i="9" s="1"/>
  <c r="F562" i="9"/>
  <c r="G562" i="9" s="1"/>
  <c r="F559" i="9"/>
  <c r="G559" i="9" s="1"/>
  <c r="G52" i="4"/>
  <c r="G51" i="4"/>
  <c r="G50" i="4"/>
  <c r="G49" i="4"/>
  <c r="F48" i="4"/>
  <c r="G48" i="4" s="1"/>
  <c r="F47" i="4"/>
  <c r="G47" i="4" s="1"/>
  <c r="F46" i="4"/>
  <c r="G46" i="4" s="1"/>
  <c r="F45" i="4"/>
  <c r="G45" i="4" s="1"/>
  <c r="J45" i="4" s="1"/>
  <c r="G44" i="4"/>
  <c r="G43" i="4"/>
  <c r="G42" i="4"/>
  <c r="F41" i="4"/>
  <c r="G41" i="4" s="1"/>
  <c r="F40" i="4"/>
  <c r="G40" i="4" s="1"/>
  <c r="F39" i="4"/>
  <c r="G39" i="4" s="1"/>
  <c r="F38" i="4"/>
  <c r="G38" i="4" s="1"/>
  <c r="F37" i="4"/>
  <c r="G37" i="4" s="1"/>
  <c r="J37" i="4" s="1"/>
  <c r="G350" i="9" l="1"/>
  <c r="F165" i="9"/>
  <c r="G165" i="9" s="1"/>
  <c r="F238" i="9"/>
  <c r="G238" i="9" s="1"/>
  <c r="F343" i="9"/>
  <c r="G343" i="9" l="1"/>
  <c r="F316" i="9"/>
  <c r="G316" i="9" s="1"/>
  <c r="F547" i="9"/>
  <c r="G547" i="9" s="1"/>
  <c r="F237" i="9"/>
  <c r="G237" i="9" s="1"/>
  <c r="F236" i="9"/>
  <c r="G236" i="9" s="1"/>
  <c r="F204" i="9"/>
  <c r="G204" i="9" s="1"/>
  <c r="F235" i="9"/>
  <c r="G235" i="9" s="1"/>
  <c r="F640" i="9"/>
  <c r="G640" i="9" s="1"/>
  <c r="F172" i="9"/>
  <c r="G172" i="9" s="1"/>
  <c r="F171" i="9"/>
  <c r="G171" i="9" s="1"/>
  <c r="F178" i="4"/>
  <c r="G178" i="4" s="1"/>
  <c r="F163" i="4"/>
  <c r="G163" i="4" s="1"/>
  <c r="F167" i="4"/>
  <c r="G167" i="4" s="1"/>
  <c r="F141" i="4"/>
  <c r="G141" i="4" s="1"/>
  <c r="F125" i="4"/>
  <c r="G125" i="4" s="1"/>
  <c r="F129" i="4"/>
  <c r="G129" i="4" s="1"/>
  <c r="Q124" i="4"/>
  <c r="P124" i="4"/>
  <c r="F124" i="4"/>
  <c r="G124" i="4" s="1"/>
  <c r="F39" i="9"/>
  <c r="G39" i="9" s="1"/>
  <c r="F40" i="9"/>
  <c r="G40" i="9" s="1"/>
  <c r="F41" i="9"/>
  <c r="G41" i="9" s="1"/>
  <c r="F101" i="4"/>
  <c r="G101" i="4" s="1"/>
  <c r="Q98" i="4" l="1"/>
  <c r="P98" i="4"/>
  <c r="F98" i="4"/>
  <c r="G98" i="4" s="1"/>
  <c r="Q209" i="4" l="1"/>
  <c r="P209" i="4"/>
  <c r="F209" i="4"/>
  <c r="F201" i="4"/>
  <c r="G201" i="4" s="1"/>
  <c r="G209" i="4" l="1"/>
  <c r="F271" i="4"/>
  <c r="G271" i="4" s="1"/>
  <c r="G267" i="4"/>
  <c r="F263" i="4" l="1"/>
  <c r="G263" i="4" s="1"/>
  <c r="F260" i="4"/>
  <c r="G260" i="4" s="1"/>
  <c r="F257" i="4"/>
  <c r="G257" i="4" s="1"/>
  <c r="G253" i="4"/>
  <c r="F249" i="4"/>
  <c r="G249" i="4" s="1"/>
  <c r="F243" i="4"/>
  <c r="G243" i="4" s="1"/>
  <c r="G239" i="4"/>
  <c r="Q270" i="4"/>
  <c r="P270" i="4"/>
  <c r="F270" i="4"/>
  <c r="G270" i="4" s="1"/>
  <c r="Q269" i="4"/>
  <c r="P269" i="4"/>
  <c r="F269" i="4"/>
  <c r="G269" i="4" s="1"/>
  <c r="Q268" i="4"/>
  <c r="P268" i="4"/>
  <c r="F268" i="4"/>
  <c r="G268" i="4" s="1"/>
  <c r="Q266" i="4"/>
  <c r="P266" i="4"/>
  <c r="G266" i="4"/>
  <c r="Q265" i="4"/>
  <c r="P265" i="4"/>
  <c r="G265" i="4"/>
  <c r="Q264" i="4"/>
  <c r="P264" i="4"/>
  <c r="F264" i="4"/>
  <c r="G264" i="4" s="1"/>
  <c r="Q262" i="4"/>
  <c r="P262" i="4"/>
  <c r="F262" i="4"/>
  <c r="G262" i="4" s="1"/>
  <c r="Q261" i="4"/>
  <c r="P261" i="4"/>
  <c r="F261" i="4"/>
  <c r="G261" i="4" s="1"/>
  <c r="F259" i="4"/>
  <c r="G259" i="4" s="1"/>
  <c r="F258" i="4"/>
  <c r="G258" i="4" s="1"/>
  <c r="J258" i="4" s="1"/>
  <c r="Q258" i="4" l="1"/>
  <c r="P258" i="4"/>
  <c r="F471" i="9" l="1"/>
  <c r="G471" i="9" s="1"/>
  <c r="F532" i="9"/>
  <c r="G532" i="9" s="1"/>
  <c r="F649" i="9" l="1"/>
  <c r="G649" i="9" s="1"/>
  <c r="F660" i="9"/>
  <c r="G660" i="9" s="1"/>
  <c r="F648" i="9"/>
  <c r="G648" i="9" s="1"/>
  <c r="F665" i="9"/>
  <c r="G665" i="9" s="1"/>
  <c r="F658" i="9"/>
  <c r="G658" i="9" s="1"/>
  <c r="F657" i="9"/>
  <c r="G657" i="9" s="1"/>
  <c r="F653" i="9"/>
  <c r="G653" i="9" s="1"/>
  <c r="F652" i="9"/>
  <c r="G652" i="9" s="1"/>
  <c r="F651" i="9"/>
  <c r="G651" i="9" s="1"/>
  <c r="F650" i="9"/>
  <c r="G650" i="9" s="1"/>
  <c r="F361" i="9" l="1"/>
  <c r="G361" i="9" s="1"/>
  <c r="F360" i="9"/>
  <c r="G360" i="9" s="1"/>
  <c r="F359" i="9"/>
  <c r="G359" i="9" s="1"/>
  <c r="F358" i="9"/>
  <c r="G358" i="9" s="1"/>
  <c r="F368" i="4" l="1"/>
  <c r="G368" i="4" s="1"/>
  <c r="F365" i="4"/>
  <c r="G365" i="4" s="1"/>
  <c r="F143" i="9" l="1"/>
  <c r="G143" i="9" s="1"/>
  <c r="F142" i="9"/>
  <c r="G142" i="9" s="1"/>
  <c r="F427" i="9"/>
  <c r="G427" i="9" s="1"/>
  <c r="F487" i="9"/>
  <c r="G487" i="9" s="1"/>
  <c r="F488" i="9"/>
  <c r="G488" i="9" s="1"/>
  <c r="F486" i="9"/>
  <c r="G486" i="9" s="1"/>
  <c r="F485" i="9"/>
  <c r="G485" i="9" s="1"/>
  <c r="F484" i="9" l="1"/>
  <c r="G484" i="9" s="1"/>
  <c r="F483" i="9"/>
  <c r="G483" i="9" s="1"/>
  <c r="F482" i="9"/>
  <c r="G482" i="9" s="1"/>
  <c r="F481" i="9"/>
  <c r="G481" i="9" s="1"/>
  <c r="G40" i="10" l="1"/>
  <c r="F144" i="9" l="1"/>
  <c r="G144" i="9" s="1"/>
  <c r="F145" i="9"/>
  <c r="G145" i="9" s="1"/>
  <c r="F173" i="9" l="1"/>
  <c r="F166" i="9"/>
  <c r="F185" i="9"/>
  <c r="F474" i="9" l="1"/>
  <c r="G474" i="9" s="1"/>
  <c r="F638" i="9"/>
  <c r="G638" i="9" s="1"/>
  <c r="F321" i="9"/>
  <c r="G321" i="9" s="1"/>
  <c r="F217" i="9"/>
  <c r="G217" i="9" s="1"/>
  <c r="F225" i="9"/>
  <c r="G225" i="9" s="1"/>
  <c r="F222" i="9"/>
  <c r="G222" i="9" s="1"/>
  <c r="F132" i="9"/>
  <c r="G132" i="9" s="1"/>
  <c r="F131" i="9"/>
  <c r="G131" i="9" s="1"/>
  <c r="F694" i="9" l="1"/>
  <c r="F695" i="9"/>
  <c r="F445" i="9"/>
  <c r="G445" i="9" s="1"/>
  <c r="F444" i="9"/>
  <c r="G444" i="9" s="1"/>
  <c r="F443" i="9"/>
  <c r="G443" i="9" s="1"/>
  <c r="F442" i="9"/>
  <c r="G442" i="9" s="1"/>
  <c r="F627" i="9"/>
  <c r="G627" i="9" s="1"/>
  <c r="F478" i="9"/>
  <c r="G478" i="9" s="1"/>
  <c r="F477" i="9"/>
  <c r="G477" i="9" s="1"/>
  <c r="F479" i="9"/>
  <c r="G479" i="9" s="1"/>
  <c r="F480" i="9"/>
  <c r="G480" i="9" s="1"/>
  <c r="F466" i="9"/>
  <c r="G466" i="9" s="1"/>
  <c r="F468" i="9"/>
  <c r="G468" i="9" s="1"/>
  <c r="F467" i="9"/>
  <c r="G467" i="9" s="1"/>
  <c r="F434" i="9"/>
  <c r="G434" i="9" s="1"/>
  <c r="F433" i="9"/>
  <c r="G433" i="9" s="1"/>
  <c r="F435" i="9"/>
  <c r="G435" i="9" s="1"/>
  <c r="F432" i="9"/>
  <c r="G432" i="9" s="1"/>
  <c r="F432" i="4" l="1"/>
  <c r="G432" i="4" s="1"/>
  <c r="F427" i="4"/>
  <c r="G427" i="4" s="1"/>
  <c r="F126" i="9"/>
  <c r="G126" i="9" s="1"/>
  <c r="F125" i="9"/>
  <c r="G125" i="9" s="1"/>
  <c r="F96" i="9" l="1"/>
  <c r="G96" i="9" s="1"/>
  <c r="F95" i="9"/>
  <c r="G95" i="9" s="1"/>
  <c r="F91" i="9"/>
  <c r="G91" i="9" s="1"/>
  <c r="G90" i="9"/>
  <c r="G89" i="9"/>
  <c r="G88" i="9"/>
  <c r="F87" i="9"/>
  <c r="G87" i="9" s="1"/>
  <c r="F82" i="9"/>
  <c r="G82" i="9" s="1"/>
  <c r="F81" i="9"/>
  <c r="G81" i="9" s="1"/>
  <c r="F80" i="9"/>
  <c r="G80" i="9" s="1"/>
  <c r="F79" i="9"/>
  <c r="G79" i="9" s="1"/>
  <c r="F99" i="9" l="1"/>
  <c r="F100" i="9"/>
  <c r="F101" i="9"/>
  <c r="G101" i="9" l="1"/>
  <c r="G100" i="9"/>
  <c r="G99" i="9"/>
  <c r="G40" i="14"/>
  <c r="F40" i="14"/>
  <c r="E40" i="14"/>
  <c r="D40" i="14"/>
  <c r="G37" i="14"/>
  <c r="F37" i="14"/>
  <c r="E37" i="14"/>
  <c r="D37" i="14"/>
  <c r="G34" i="14"/>
  <c r="F34" i="14"/>
  <c r="E34" i="14"/>
  <c r="D34" i="14"/>
  <c r="G31" i="14"/>
  <c r="F31" i="14"/>
  <c r="E31" i="14"/>
  <c r="D31" i="14"/>
  <c r="G28" i="14"/>
  <c r="F28" i="14"/>
  <c r="E28" i="14"/>
  <c r="D28" i="14"/>
  <c r="G25" i="14"/>
  <c r="F25" i="14"/>
  <c r="E25" i="14"/>
  <c r="D25" i="14"/>
  <c r="G22" i="14"/>
  <c r="F22" i="14"/>
  <c r="E22" i="14"/>
  <c r="D22" i="14"/>
  <c r="G19" i="14"/>
  <c r="F19" i="14"/>
  <c r="E19" i="14"/>
  <c r="D19" i="14"/>
  <c r="G16" i="14"/>
  <c r="F16" i="14"/>
  <c r="E16" i="14"/>
  <c r="D16" i="14"/>
  <c r="G13" i="14"/>
  <c r="F13" i="14"/>
  <c r="E13" i="14"/>
  <c r="D13" i="14"/>
  <c r="G10" i="14"/>
  <c r="F10" i="14"/>
  <c r="E10" i="14"/>
  <c r="D10" i="14"/>
  <c r="F382" i="9" l="1"/>
  <c r="G382" i="9" s="1"/>
  <c r="F381" i="9"/>
  <c r="G381" i="9" s="1"/>
  <c r="F380" i="9"/>
  <c r="G380" i="9" s="1"/>
  <c r="F379" i="9"/>
  <c r="G379" i="9" s="1"/>
  <c r="F378" i="9"/>
  <c r="G378" i="9" s="1"/>
  <c r="F377" i="9"/>
  <c r="G377" i="9" s="1"/>
  <c r="F376" i="9"/>
  <c r="G376" i="9" s="1"/>
  <c r="F375" i="9"/>
  <c r="G375" i="9" s="1"/>
  <c r="F374" i="9"/>
  <c r="G374" i="9" s="1"/>
  <c r="F373" i="9"/>
  <c r="G373" i="9" s="1"/>
  <c r="F372" i="9"/>
  <c r="G372" i="9" s="1"/>
  <c r="F371" i="9"/>
  <c r="G371" i="9" s="1"/>
  <c r="F370" i="9"/>
  <c r="G370" i="9" s="1"/>
  <c r="F369" i="9"/>
  <c r="G369" i="9" s="1"/>
  <c r="F124" i="9"/>
  <c r="G124" i="9" s="1"/>
  <c r="F123" i="9"/>
  <c r="G123" i="9" s="1"/>
  <c r="F119" i="9"/>
  <c r="G119" i="9" s="1"/>
  <c r="F130" i="9"/>
  <c r="G130" i="9" s="1"/>
  <c r="F129" i="9"/>
  <c r="G129" i="9" s="1"/>
  <c r="F127" i="9"/>
  <c r="G127" i="9" s="1"/>
  <c r="F149" i="9"/>
  <c r="G149" i="9" s="1"/>
  <c r="F416" i="9"/>
  <c r="G416" i="9" s="1"/>
  <c r="F421" i="9"/>
  <c r="G421" i="9" s="1"/>
  <c r="F420" i="9"/>
  <c r="G420" i="9" s="1"/>
  <c r="F179" i="9"/>
  <c r="G179" i="9" s="1"/>
  <c r="F457" i="9"/>
  <c r="G457" i="9" s="1"/>
  <c r="F456" i="9"/>
  <c r="G456" i="9" s="1"/>
  <c r="F434" i="4" l="1"/>
  <c r="G434" i="4" s="1"/>
  <c r="F430" i="4"/>
  <c r="G430" i="4" s="1"/>
  <c r="F416" i="4"/>
  <c r="G416" i="4" s="1"/>
  <c r="F420" i="4"/>
  <c r="G420" i="4" s="1"/>
  <c r="F406" i="4"/>
  <c r="G406" i="4" s="1"/>
  <c r="F405" i="4"/>
  <c r="G405" i="4" s="1"/>
  <c r="F402" i="4"/>
  <c r="G402" i="4" s="1"/>
  <c r="F401" i="4"/>
  <c r="G401" i="4" s="1"/>
  <c r="F392" i="4" l="1"/>
  <c r="G392" i="4" s="1"/>
  <c r="F391" i="4"/>
  <c r="G391" i="4" s="1"/>
  <c r="F388" i="4"/>
  <c r="G388" i="4" s="1"/>
  <c r="F387" i="4"/>
  <c r="G387" i="4" s="1"/>
  <c r="F389" i="4" l="1"/>
  <c r="G389" i="4" s="1"/>
  <c r="F385" i="4"/>
  <c r="G385" i="4" s="1"/>
  <c r="Q411" i="4"/>
  <c r="P411" i="4"/>
  <c r="Q410" i="4"/>
  <c r="P410" i="4"/>
  <c r="Q409" i="4"/>
  <c r="P409" i="4"/>
  <c r="Q408" i="4"/>
  <c r="P408" i="4"/>
  <c r="Q407" i="4"/>
  <c r="P407" i="4"/>
  <c r="G407" i="4"/>
  <c r="F404" i="4"/>
  <c r="G404" i="4" s="1"/>
  <c r="F403" i="4"/>
  <c r="G403" i="4" s="1"/>
  <c r="F400" i="4"/>
  <c r="G400" i="4" s="1"/>
  <c r="F399" i="4"/>
  <c r="G399" i="4" s="1"/>
  <c r="I402" i="4" l="1"/>
  <c r="J402" i="4" s="1"/>
  <c r="I401" i="4"/>
  <c r="J401" i="4" s="1"/>
  <c r="I406" i="4"/>
  <c r="J406" i="4" s="1"/>
  <c r="I405" i="4"/>
  <c r="J405" i="4" s="1"/>
  <c r="I400" i="4"/>
  <c r="J400" i="4" s="1"/>
  <c r="I399" i="4"/>
  <c r="J399" i="4" s="1"/>
  <c r="I403" i="4"/>
  <c r="J403" i="4" s="1"/>
  <c r="I404" i="4"/>
  <c r="J404" i="4" s="1"/>
  <c r="Q400" i="4" l="1"/>
  <c r="P405" i="4"/>
  <c r="Q405" i="4"/>
  <c r="P406" i="4"/>
  <c r="Q406" i="4"/>
  <c r="P401" i="4"/>
  <c r="Q401" i="4"/>
  <c r="P402" i="4"/>
  <c r="Q402" i="4"/>
  <c r="P399" i="4"/>
  <c r="Q399" i="4"/>
  <c r="P400" i="4"/>
  <c r="Q404" i="4"/>
  <c r="P404" i="4"/>
  <c r="P403" i="4"/>
  <c r="Q403" i="4"/>
  <c r="F676" i="9" l="1"/>
  <c r="G676" i="9" s="1"/>
  <c r="F489" i="9"/>
  <c r="G489" i="9" s="1"/>
  <c r="F437" i="9"/>
  <c r="G437" i="9" s="1"/>
  <c r="F436" i="9"/>
  <c r="G436" i="9" s="1"/>
  <c r="F546" i="9" l="1"/>
  <c r="G546" i="9" s="1"/>
  <c r="F164" i="9"/>
  <c r="G164" i="9" s="1"/>
  <c r="F498" i="9"/>
  <c r="G498" i="9" s="1"/>
  <c r="F497" i="9"/>
  <c r="G497" i="9" s="1"/>
  <c r="F496" i="9"/>
  <c r="G496" i="9" s="1"/>
  <c r="F495" i="9"/>
  <c r="G495" i="9" s="1"/>
  <c r="F163" i="9"/>
  <c r="G163" i="9" s="1"/>
  <c r="F162" i="9"/>
  <c r="G162" i="9" s="1"/>
  <c r="F161" i="9"/>
  <c r="G161" i="9" s="1"/>
  <c r="F203" i="9"/>
  <c r="G203" i="9" s="1"/>
  <c r="F202" i="9"/>
  <c r="G202" i="9" s="1"/>
  <c r="F583" i="9"/>
  <c r="G583" i="9" s="1"/>
  <c r="F582" i="9"/>
  <c r="G582" i="9" s="1"/>
  <c r="F633" i="9"/>
  <c r="G633" i="9" s="1"/>
  <c r="F194" i="9"/>
  <c r="G194" i="9" s="1"/>
  <c r="F193" i="9"/>
  <c r="G193" i="9" s="1"/>
  <c r="F819" i="9"/>
  <c r="G819" i="9" s="1"/>
  <c r="F324" i="9" l="1"/>
  <c r="G324" i="9" s="1"/>
  <c r="G166" i="9"/>
  <c r="F308" i="9"/>
  <c r="G308" i="9" s="1"/>
  <c r="F307" i="9"/>
  <c r="G307" i="9" s="1"/>
  <c r="F264" i="9"/>
  <c r="G264" i="9" s="1"/>
  <c r="F263" i="9"/>
  <c r="G263" i="9" s="1"/>
  <c r="F261" i="9"/>
  <c r="G261" i="9" s="1"/>
  <c r="F209" i="9"/>
  <c r="G209" i="9" s="1"/>
  <c r="F208" i="9"/>
  <c r="G208" i="9" s="1"/>
  <c r="Q52" i="4" l="1"/>
  <c r="P52" i="4"/>
  <c r="Q50" i="4"/>
  <c r="P50" i="4"/>
  <c r="Q51" i="4"/>
  <c r="P51" i="4"/>
  <c r="Q49" i="4"/>
  <c r="P49" i="4"/>
  <c r="Q48" i="4"/>
  <c r="P48" i="4"/>
  <c r="Q47" i="4"/>
  <c r="P47" i="4"/>
  <c r="Q44" i="4"/>
  <c r="P44" i="4"/>
  <c r="Q42" i="4"/>
  <c r="P42" i="4"/>
  <c r="Q43" i="4"/>
  <c r="P43" i="4"/>
  <c r="Q41" i="4"/>
  <c r="P41" i="4"/>
  <c r="Q40" i="4"/>
  <c r="P40" i="4"/>
  <c r="F53" i="4"/>
  <c r="G53" i="4" s="1"/>
  <c r="P53" i="4"/>
  <c r="Q53" i="4"/>
  <c r="P54" i="4"/>
  <c r="Q54" i="4"/>
  <c r="Q68" i="4"/>
  <c r="P68" i="4"/>
  <c r="Q67" i="4"/>
  <c r="P67" i="4"/>
  <c r="Q66" i="4"/>
  <c r="P66" i="4"/>
  <c r="Q65" i="4"/>
  <c r="P65" i="4"/>
  <c r="Q64" i="4"/>
  <c r="P64" i="4"/>
  <c r="Q63" i="4"/>
  <c r="P63" i="4"/>
  <c r="Q62" i="4"/>
  <c r="P62" i="4"/>
  <c r="Q61" i="4"/>
  <c r="P61" i="4"/>
  <c r="Q60" i="4"/>
  <c r="P60" i="4"/>
  <c r="Q59" i="4"/>
  <c r="P59" i="4"/>
  <c r="Q58" i="4"/>
  <c r="P58" i="4"/>
  <c r="Q57" i="4"/>
  <c r="P57" i="4"/>
  <c r="Q56" i="4"/>
  <c r="P56" i="4"/>
  <c r="Q55" i="4"/>
  <c r="P55" i="4"/>
  <c r="F70" i="4"/>
  <c r="G70" i="4" s="1"/>
  <c r="J70" i="4" s="1"/>
  <c r="F71" i="4"/>
  <c r="G71" i="4" s="1"/>
  <c r="Q19" i="4"/>
  <c r="P19" i="4"/>
  <c r="G19" i="4"/>
  <c r="Q17" i="4"/>
  <c r="P17" i="4"/>
  <c r="G17" i="4"/>
  <c r="Q18" i="4"/>
  <c r="P18" i="4"/>
  <c r="G18" i="4"/>
  <c r="Q16" i="4"/>
  <c r="P16" i="4"/>
  <c r="F16" i="4"/>
  <c r="G16" i="4" s="1"/>
  <c r="Q15" i="4"/>
  <c r="P15" i="4"/>
  <c r="F15" i="4"/>
  <c r="G15" i="4" s="1"/>
  <c r="Q14" i="4"/>
  <c r="P14" i="4"/>
  <c r="F14" i="4"/>
  <c r="G14" i="4" s="1"/>
  <c r="Q13" i="4"/>
  <c r="P13" i="4"/>
  <c r="F13" i="4"/>
  <c r="G13" i="4" s="1"/>
  <c r="P45" i="4" l="1"/>
  <c r="Q45" i="4"/>
  <c r="P70" i="4"/>
  <c r="Q70" i="4"/>
  <c r="Q37" i="4" l="1"/>
  <c r="P37" i="4"/>
  <c r="F12" i="4" l="1"/>
  <c r="G12" i="4" s="1"/>
  <c r="J12" i="4" s="1"/>
  <c r="F6" i="4"/>
  <c r="G6" i="4" s="1"/>
  <c r="J6" i="4" s="1"/>
  <c r="F7" i="4"/>
  <c r="G7" i="4" s="1"/>
  <c r="P7" i="4"/>
  <c r="Q7" i="4"/>
  <c r="F8" i="4"/>
  <c r="G8" i="4" s="1"/>
  <c r="P8" i="4"/>
  <c r="Q8" i="4"/>
  <c r="G10" i="4"/>
  <c r="P10" i="4"/>
  <c r="Q10" i="4"/>
  <c r="G9" i="4"/>
  <c r="P9" i="4"/>
  <c r="Q9" i="4"/>
  <c r="G11" i="4"/>
  <c r="P11" i="4"/>
  <c r="Q11" i="4"/>
  <c r="F20" i="4"/>
  <c r="G20" i="4" s="1"/>
  <c r="P20" i="4"/>
  <c r="Q20" i="4"/>
  <c r="P21" i="4"/>
  <c r="Q21" i="4"/>
  <c r="P22" i="4"/>
  <c r="Q22" i="4"/>
  <c r="P23" i="4"/>
  <c r="Q23" i="4"/>
  <c r="P24" i="4"/>
  <c r="Q24" i="4"/>
  <c r="P25" i="4"/>
  <c r="Q25" i="4"/>
  <c r="P26" i="4"/>
  <c r="Q26" i="4"/>
  <c r="P27" i="4"/>
  <c r="Q27" i="4"/>
  <c r="P28" i="4"/>
  <c r="Q28" i="4"/>
  <c r="P29" i="4"/>
  <c r="Q29" i="4"/>
  <c r="P30" i="4"/>
  <c r="Q30" i="4"/>
  <c r="P31" i="4"/>
  <c r="Q31" i="4"/>
  <c r="P32" i="4"/>
  <c r="Q32" i="4"/>
  <c r="P33" i="4"/>
  <c r="Q33" i="4"/>
  <c r="P34" i="4"/>
  <c r="Q34" i="4"/>
  <c r="P35" i="4"/>
  <c r="Q35" i="4"/>
  <c r="F642" i="9"/>
  <c r="G642" i="9" s="1"/>
  <c r="F675" i="9"/>
  <c r="G675" i="9" s="1"/>
  <c r="F492" i="9"/>
  <c r="G492" i="9" s="1"/>
  <c r="F337" i="9"/>
  <c r="G337" i="9" s="1"/>
  <c r="F339" i="9"/>
  <c r="G339" i="9" s="1"/>
  <c r="F341" i="9"/>
  <c r="G341" i="9" s="1"/>
  <c r="P12" i="4" l="1"/>
  <c r="Q12" i="4"/>
  <c r="P6" i="4"/>
  <c r="Q6" i="4"/>
  <c r="F365" i="9" l="1"/>
  <c r="G365" i="9" s="1"/>
  <c r="F364" i="9"/>
  <c r="G364" i="9" s="1"/>
  <c r="F368" i="9"/>
  <c r="G368" i="9" s="1"/>
  <c r="F367" i="9"/>
  <c r="G367" i="9" s="1"/>
  <c r="F549" i="9"/>
  <c r="G549" i="9" s="1"/>
  <c r="F550" i="9"/>
  <c r="G550" i="9" s="1"/>
  <c r="F552" i="9"/>
  <c r="G552" i="9" s="1"/>
  <c r="F553" i="9"/>
  <c r="G553" i="9" s="1"/>
  <c r="F189" i="9"/>
  <c r="G189" i="9" s="1"/>
  <c r="F190" i="9"/>
  <c r="G190" i="9" s="1"/>
  <c r="G7" i="19" l="1"/>
  <c r="G8" i="19"/>
  <c r="G9" i="19"/>
  <c r="G10" i="19"/>
  <c r="G11" i="19"/>
  <c r="G12" i="19"/>
  <c r="G13" i="19"/>
  <c r="G14" i="19"/>
  <c r="G15" i="19"/>
  <c r="G16" i="19"/>
  <c r="G17" i="19"/>
  <c r="G18" i="19"/>
  <c r="G19" i="19"/>
  <c r="G20" i="19"/>
  <c r="G21" i="19"/>
  <c r="G22" i="19"/>
  <c r="G23" i="19"/>
  <c r="G24" i="19"/>
  <c r="G25" i="19"/>
  <c r="G26" i="19"/>
  <c r="G6" i="19"/>
  <c r="G39" i="10" l="1"/>
  <c r="G38" i="10"/>
  <c r="F833" i="9" l="1"/>
  <c r="G833" i="9" s="1"/>
  <c r="F832" i="9"/>
  <c r="G832" i="9" s="1"/>
  <c r="F831" i="9"/>
  <c r="G831" i="9" s="1"/>
  <c r="F601" i="9" l="1"/>
  <c r="G601" i="9" s="1"/>
  <c r="F600" i="9"/>
  <c r="G600" i="9" s="1"/>
  <c r="F599" i="9"/>
  <c r="G599" i="9" s="1"/>
  <c r="F19" i="9" l="1"/>
  <c r="G19" i="9" s="1"/>
  <c r="F17" i="9"/>
  <c r="G17" i="9" s="1"/>
  <c r="F18" i="9"/>
  <c r="G18" i="9" s="1"/>
  <c r="F21" i="9"/>
  <c r="G21" i="9" s="1"/>
  <c r="F659" i="9"/>
  <c r="G659" i="9" s="1"/>
  <c r="F655" i="9"/>
  <c r="G655" i="9" s="1"/>
  <c r="F656" i="9" l="1"/>
  <c r="G656" i="9" s="1"/>
  <c r="F654" i="9"/>
  <c r="G654" i="9" s="1"/>
  <c r="F224" i="9" l="1"/>
  <c r="G224" i="9" s="1"/>
  <c r="F538" i="9"/>
  <c r="G538" i="9" s="1"/>
  <c r="F320" i="9"/>
  <c r="G320" i="9" s="1"/>
  <c r="F304" i="9"/>
  <c r="G304" i="9" s="1"/>
  <c r="F300" i="9"/>
  <c r="G300" i="9" s="1"/>
  <c r="F349" i="9" l="1"/>
  <c r="G349" i="9" s="1"/>
  <c r="F170" i="9" l="1"/>
  <c r="G170" i="9" s="1"/>
  <c r="F169" i="9"/>
  <c r="G169" i="9" s="1"/>
  <c r="F440" i="9"/>
  <c r="G440" i="9" s="1"/>
  <c r="F441" i="9"/>
  <c r="G441" i="9" s="1"/>
  <c r="F438" i="9"/>
  <c r="G438" i="9" s="1"/>
  <c r="F439" i="9"/>
  <c r="G439" i="9" s="1"/>
  <c r="F641" i="9" l="1"/>
  <c r="G641" i="9" s="1"/>
  <c r="F628" i="9"/>
  <c r="G628" i="9" s="1"/>
  <c r="F290" i="9" l="1"/>
  <c r="F303" i="9"/>
  <c r="F299" i="9"/>
  <c r="F297" i="9"/>
  <c r="F298" i="9"/>
  <c r="G298" i="9" s="1"/>
  <c r="F540" i="9" l="1"/>
  <c r="G540" i="9" s="1"/>
  <c r="F348" i="9"/>
  <c r="F7" i="9" l="1"/>
  <c r="G7" i="9" s="1"/>
  <c r="F140" i="4" l="1"/>
  <c r="G140" i="4" s="1"/>
  <c r="F139" i="4"/>
  <c r="G139" i="4" s="1"/>
  <c r="F138" i="4"/>
  <c r="G138" i="4" s="1"/>
  <c r="Q181" i="4" l="1"/>
  <c r="P181" i="4"/>
  <c r="G181" i="4"/>
  <c r="Q179" i="4"/>
  <c r="P179" i="4"/>
  <c r="G179" i="4"/>
  <c r="Q180" i="4"/>
  <c r="P180" i="4"/>
  <c r="G180" i="4"/>
  <c r="Q177" i="4"/>
  <c r="P177" i="4"/>
  <c r="F177" i="4"/>
  <c r="G177" i="4" s="1"/>
  <c r="Q176" i="4"/>
  <c r="P176" i="4"/>
  <c r="F176" i="4"/>
  <c r="G176" i="4" s="1"/>
  <c r="Q175" i="4"/>
  <c r="P175" i="4"/>
  <c r="F175" i="4"/>
  <c r="G175" i="4" s="1"/>
  <c r="Q174" i="4"/>
  <c r="P174" i="4"/>
  <c r="F174" i="4"/>
  <c r="G174" i="4" s="1"/>
  <c r="Q173" i="4"/>
  <c r="P173" i="4"/>
  <c r="F173" i="4"/>
  <c r="G173" i="4" s="1"/>
  <c r="Q172" i="4"/>
  <c r="P172" i="4"/>
  <c r="F172" i="4"/>
  <c r="G172" i="4" s="1"/>
  <c r="F171" i="4"/>
  <c r="G171" i="4" s="1"/>
  <c r="J171" i="4" s="1"/>
  <c r="Q144" i="4"/>
  <c r="P144" i="4"/>
  <c r="G144" i="4"/>
  <c r="Q142" i="4"/>
  <c r="P142" i="4"/>
  <c r="G142" i="4"/>
  <c r="Q143" i="4"/>
  <c r="P143" i="4"/>
  <c r="G143" i="4"/>
  <c r="F147" i="9"/>
  <c r="G147" i="9" s="1"/>
  <c r="Q171" i="4" l="1"/>
  <c r="P171" i="4"/>
  <c r="F16" i="9"/>
  <c r="G16" i="9" s="1"/>
  <c r="F750" i="9" l="1"/>
  <c r="G750" i="9" s="1"/>
  <c r="F737" i="9"/>
  <c r="G737" i="9" s="1"/>
  <c r="F725" i="9"/>
  <c r="G725" i="9" s="1"/>
  <c r="F713" i="9"/>
  <c r="G713" i="9" s="1"/>
  <c r="F701" i="9"/>
  <c r="G701" i="9" s="1"/>
  <c r="F134" i="4"/>
  <c r="G134" i="4" s="1"/>
  <c r="J134" i="4" s="1"/>
  <c r="F137" i="4"/>
  <c r="G137" i="4" s="1"/>
  <c r="Q136" i="4"/>
  <c r="P136" i="4"/>
  <c r="F136" i="4"/>
  <c r="G136" i="4" s="1"/>
  <c r="Q135" i="4"/>
  <c r="P135" i="4"/>
  <c r="F135" i="4"/>
  <c r="G135" i="4" s="1"/>
  <c r="F245" i="4"/>
  <c r="G245" i="4" s="1"/>
  <c r="G106" i="4"/>
  <c r="Q232" i="4"/>
  <c r="P232" i="4"/>
  <c r="F232" i="4"/>
  <c r="G232" i="4" s="1"/>
  <c r="I96" i="4" l="1"/>
  <c r="P134" i="4"/>
  <c r="Q134" i="4"/>
  <c r="F102" i="4"/>
  <c r="G102" i="4" s="1"/>
  <c r="F461" i="9" l="1"/>
  <c r="G461" i="9" s="1"/>
  <c r="F460" i="9"/>
  <c r="G460" i="9" s="1"/>
  <c r="F168" i="9" l="1"/>
  <c r="G168" i="9" s="1"/>
  <c r="F280" i="9" l="1"/>
  <c r="G280" i="9" s="1"/>
  <c r="G242" i="9" l="1"/>
  <c r="G241" i="9"/>
  <c r="F271" i="9"/>
  <c r="G271" i="9" s="1"/>
  <c r="F272" i="9"/>
  <c r="G272" i="9" s="1"/>
  <c r="F270" i="9"/>
  <c r="F355" i="9" l="1"/>
  <c r="G355" i="9" s="1"/>
  <c r="F356" i="9" l="1"/>
  <c r="G506" i="9" l="1"/>
  <c r="G510" i="9"/>
  <c r="G508" i="9"/>
  <c r="G356" i="9" l="1"/>
  <c r="F395" i="9" l="1"/>
  <c r="G395" i="9" s="1"/>
  <c r="F418" i="9" l="1"/>
  <c r="G418" i="9" s="1"/>
  <c r="F417" i="9"/>
  <c r="G417" i="9" s="1"/>
  <c r="F403" i="9"/>
  <c r="G403" i="9" s="1"/>
  <c r="F331" i="9" l="1"/>
  <c r="G331" i="9" s="1"/>
  <c r="F330" i="9"/>
  <c r="G330" i="9" s="1"/>
  <c r="F329" i="9"/>
  <c r="G329" i="9" s="1"/>
  <c r="F61" i="9"/>
  <c r="G61" i="9" s="1"/>
  <c r="F60" i="9"/>
  <c r="G60" i="9" s="1"/>
  <c r="F59" i="9"/>
  <c r="G59" i="9" s="1"/>
  <c r="F229" i="9" l="1"/>
  <c r="G229" i="9" s="1"/>
  <c r="F292" i="4"/>
  <c r="G292" i="4" s="1"/>
  <c r="F301" i="4"/>
  <c r="G301" i="4" s="1"/>
  <c r="F302" i="4"/>
  <c r="G302" i="4" s="1"/>
  <c r="Q92" i="4"/>
  <c r="P92" i="4"/>
  <c r="Q91" i="4"/>
  <c r="P91" i="4"/>
  <c r="F541" i="9" l="1"/>
  <c r="F674" i="9" l="1"/>
  <c r="G674" i="9" s="1"/>
  <c r="F673" i="9"/>
  <c r="G673" i="9" s="1"/>
  <c r="F672" i="9"/>
  <c r="G672" i="9" s="1"/>
  <c r="F423" i="9"/>
  <c r="G423" i="9" s="1"/>
  <c r="F422" i="9"/>
  <c r="G422" i="9" s="1"/>
  <c r="F671" i="9"/>
  <c r="G671" i="9" s="1"/>
  <c r="F670" i="9"/>
  <c r="G670" i="9" s="1"/>
  <c r="F669" i="9"/>
  <c r="G669" i="9" s="1"/>
  <c r="F668" i="9"/>
  <c r="G668" i="9" s="1"/>
  <c r="Q94" i="4" l="1"/>
  <c r="P94" i="4"/>
  <c r="Q93" i="4"/>
  <c r="P93" i="4"/>
  <c r="F401" i="9"/>
  <c r="G401" i="9" s="1"/>
  <c r="F402" i="9"/>
  <c r="G402" i="9" s="1"/>
  <c r="F404" i="9"/>
  <c r="G404" i="9" s="1"/>
  <c r="F405" i="9"/>
  <c r="G405" i="9" s="1"/>
  <c r="F406" i="9"/>
  <c r="G406" i="9" s="1"/>
  <c r="F534" i="9"/>
  <c r="G534" i="9" s="1"/>
  <c r="G345" i="4" l="1"/>
  <c r="F337" i="4"/>
  <c r="G337" i="4" s="1"/>
  <c r="Q336" i="4"/>
  <c r="P336" i="4"/>
  <c r="F336" i="4"/>
  <c r="G336" i="4" s="1"/>
  <c r="Q324" i="4"/>
  <c r="P324" i="4"/>
  <c r="F324" i="4"/>
  <c r="G324" i="4" s="1"/>
  <c r="Q323" i="4"/>
  <c r="P323" i="4"/>
  <c r="F323" i="4"/>
  <c r="G323" i="4" s="1"/>
  <c r="Q333" i="4"/>
  <c r="P333" i="4"/>
  <c r="G333" i="4"/>
  <c r="Q304" i="4" l="1"/>
  <c r="P304" i="4"/>
  <c r="F304" i="4"/>
  <c r="G304" i="4" s="1"/>
  <c r="F290" i="4" l="1"/>
  <c r="G290" i="4" s="1"/>
  <c r="G78" i="4"/>
  <c r="G76" i="4"/>
  <c r="G77" i="4"/>
  <c r="G75" i="4"/>
  <c r="F74" i="4"/>
  <c r="G74" i="4" s="1"/>
  <c r="F73" i="4"/>
  <c r="G73" i="4" s="1"/>
  <c r="F72" i="4"/>
  <c r="Q90" i="4"/>
  <c r="P90" i="4"/>
  <c r="Q89" i="4"/>
  <c r="P89" i="4"/>
  <c r="Q88" i="4"/>
  <c r="P88" i="4"/>
  <c r="Q87" i="4"/>
  <c r="P87" i="4"/>
  <c r="Q86" i="4"/>
  <c r="P86" i="4"/>
  <c r="Q85" i="4"/>
  <c r="P85" i="4"/>
  <c r="Q84" i="4"/>
  <c r="P84" i="4"/>
  <c r="Q83" i="4"/>
  <c r="P83" i="4"/>
  <c r="Q82" i="4"/>
  <c r="P82" i="4"/>
  <c r="Q81" i="4"/>
  <c r="P81" i="4"/>
  <c r="Q80" i="4"/>
  <c r="P80" i="4"/>
  <c r="Q79" i="4"/>
  <c r="P79" i="4"/>
  <c r="F79" i="4"/>
  <c r="G79" i="4" s="1"/>
  <c r="G72" i="4" l="1"/>
  <c r="F455" i="9" l="1"/>
  <c r="G455" i="9" s="1"/>
  <c r="F454" i="9"/>
  <c r="G454" i="9" s="1"/>
  <c r="F453" i="9"/>
  <c r="G453" i="9" s="1"/>
  <c r="F192" i="9"/>
  <c r="G192" i="9" s="1"/>
  <c r="F191" i="9"/>
  <c r="G191" i="9" s="1"/>
  <c r="G541" i="9"/>
  <c r="F156" i="9"/>
  <c r="G156" i="9" s="1"/>
  <c r="F155" i="9"/>
  <c r="G155" i="9" s="1"/>
  <c r="F158" i="9"/>
  <c r="G158" i="9" s="1"/>
  <c r="F153" i="9"/>
  <c r="G153" i="9" s="1"/>
  <c r="F154" i="9"/>
  <c r="G154" i="9" s="1"/>
  <c r="F152" i="9"/>
  <c r="G152" i="9" s="1"/>
  <c r="F151" i="9"/>
  <c r="G151" i="9" s="1"/>
  <c r="F199" i="9"/>
  <c r="G199" i="9" s="1"/>
  <c r="F200" i="9"/>
  <c r="G200" i="9" s="1"/>
  <c r="F198" i="9"/>
  <c r="G198" i="9" s="1"/>
  <c r="F197" i="9"/>
  <c r="G197" i="9" s="1"/>
  <c r="F140" i="9"/>
  <c r="G140" i="9" s="1"/>
  <c r="F141" i="9"/>
  <c r="G141" i="9" s="1"/>
  <c r="F139" i="9"/>
  <c r="G139" i="9" s="1"/>
  <c r="F138" i="9"/>
  <c r="G138" i="9" s="1"/>
  <c r="F137" i="9"/>
  <c r="G137" i="9" s="1"/>
  <c r="F136" i="9"/>
  <c r="G136" i="9" s="1"/>
  <c r="F135" i="9"/>
  <c r="G135" i="9" s="1"/>
  <c r="F134" i="9"/>
  <c r="G134" i="9" s="1"/>
  <c r="F133" i="9"/>
  <c r="G133" i="9" s="1"/>
  <c r="F45" i="9"/>
  <c r="G45" i="9" s="1"/>
  <c r="F760" i="9" l="1"/>
  <c r="G760" i="9" s="1"/>
  <c r="F747" i="9"/>
  <c r="G747" i="9" s="1"/>
  <c r="F734" i="9"/>
  <c r="G734" i="9" s="1"/>
  <c r="F722" i="9"/>
  <c r="G722" i="9" s="1"/>
  <c r="F710" i="9"/>
  <c r="G710" i="9" s="1"/>
  <c r="F342" i="9"/>
  <c r="G342" i="9" s="1"/>
  <c r="F353" i="9"/>
  <c r="G353" i="9" s="1"/>
  <c r="F346" i="9"/>
  <c r="F352" i="9"/>
  <c r="G352" i="9" s="1"/>
  <c r="F351" i="9"/>
  <c r="G351" i="9" s="1"/>
  <c r="F201" i="9"/>
  <c r="G201" i="9" s="1"/>
  <c r="F338" i="9"/>
  <c r="F340" i="9"/>
  <c r="G340" i="9" s="1"/>
  <c r="F315" i="9"/>
  <c r="G315" i="9" s="1"/>
  <c r="F314" i="9"/>
  <c r="G314" i="9" s="1"/>
  <c r="F313" i="9"/>
  <c r="G313" i="9" s="1"/>
  <c r="F312" i="9"/>
  <c r="G312" i="9" s="1"/>
  <c r="F234" i="9"/>
  <c r="G234" i="9" s="1"/>
  <c r="F233" i="9"/>
  <c r="G233" i="9" s="1"/>
  <c r="F232" i="9"/>
  <c r="G232" i="9" s="1"/>
  <c r="F231" i="9"/>
  <c r="G231" i="9" s="1"/>
  <c r="F48" i="9"/>
  <c r="G48" i="9" s="1"/>
  <c r="F491" i="9"/>
  <c r="G491" i="9" s="1"/>
  <c r="F490" i="9"/>
  <c r="G490" i="9" s="1"/>
  <c r="F493" i="9"/>
  <c r="G493" i="9" s="1"/>
  <c r="F494" i="9"/>
  <c r="G494" i="9" s="1"/>
  <c r="F47" i="9"/>
  <c r="F589" i="9"/>
  <c r="G589" i="9" s="1"/>
  <c r="G696" i="9"/>
  <c r="G697" i="9"/>
  <c r="G37" i="10"/>
  <c r="G338" i="9" l="1"/>
  <c r="F415" i="4"/>
  <c r="F417" i="4"/>
  <c r="F418" i="4"/>
  <c r="F419" i="4"/>
  <c r="G36" i="10" l="1"/>
  <c r="G35" i="10"/>
  <c r="G34" i="10"/>
  <c r="G32" i="10"/>
  <c r="G30" i="10"/>
  <c r="G29" i="10"/>
  <c r="G27" i="10"/>
  <c r="G25" i="10"/>
  <c r="G23" i="10"/>
  <c r="G21" i="10"/>
  <c r="G20" i="10"/>
  <c r="F431" i="9"/>
  <c r="G431" i="9" s="1"/>
  <c r="F476" i="9"/>
  <c r="G476" i="9" s="1"/>
  <c r="F426" i="9"/>
  <c r="G426" i="9" s="1"/>
  <c r="G11" i="10"/>
  <c r="Q200" i="4" l="1"/>
  <c r="P200" i="4"/>
  <c r="F200" i="4"/>
  <c r="G200" i="4" s="1"/>
  <c r="G168" i="4" l="1"/>
  <c r="G170" i="4"/>
  <c r="G169" i="4"/>
  <c r="F166" i="4" l="1"/>
  <c r="G166" i="4" s="1"/>
  <c r="F165" i="4"/>
  <c r="G165" i="4" s="1"/>
  <c r="F164" i="4"/>
  <c r="G164" i="4" s="1"/>
  <c r="F162" i="4"/>
  <c r="Q170" i="4"/>
  <c r="P170" i="4"/>
  <c r="G162" i="4" l="1"/>
  <c r="J162" i="4" s="1"/>
  <c r="G131" i="4" l="1"/>
  <c r="G133" i="4"/>
  <c r="G132" i="4"/>
  <c r="Q133" i="4"/>
  <c r="P133" i="4"/>
  <c r="Q131" i="4"/>
  <c r="P131" i="4"/>
  <c r="Q132" i="4"/>
  <c r="P132" i="4"/>
  <c r="Q130" i="4"/>
  <c r="P130" i="4"/>
  <c r="F130" i="4"/>
  <c r="G130" i="4" s="1"/>
  <c r="Q128" i="4"/>
  <c r="P128" i="4"/>
  <c r="F128" i="4"/>
  <c r="G128" i="4" s="1"/>
  <c r="Q127" i="4"/>
  <c r="P127" i="4"/>
  <c r="F127" i="4"/>
  <c r="G127" i="4" s="1"/>
  <c r="Q126" i="4"/>
  <c r="P126" i="4"/>
  <c r="F126" i="4"/>
  <c r="G126" i="4" s="1"/>
  <c r="F123" i="4"/>
  <c r="G123" i="4" s="1"/>
  <c r="J123" i="4" s="1"/>
  <c r="P123" i="4" l="1"/>
  <c r="Q123" i="4"/>
  <c r="F664" i="9" l="1"/>
  <c r="G664" i="9" s="1"/>
  <c r="F663" i="9"/>
  <c r="G663" i="9" s="1"/>
  <c r="F424" i="9"/>
  <c r="G424" i="9" s="1"/>
  <c r="F662" i="9"/>
  <c r="G662" i="9" s="1"/>
  <c r="F661" i="9"/>
  <c r="G661" i="9" s="1"/>
  <c r="F647" i="9"/>
  <c r="G647" i="9" s="1"/>
  <c r="F646" i="9"/>
  <c r="G646" i="9" s="1"/>
  <c r="F645" i="9"/>
  <c r="G645" i="9" s="1"/>
  <c r="F644" i="9"/>
  <c r="G644" i="9" s="1"/>
  <c r="F184" i="9" l="1"/>
  <c r="F587" i="9" l="1"/>
  <c r="G587" i="9" s="1"/>
  <c r="F598" i="9"/>
  <c r="G598" i="9" s="1"/>
  <c r="F597" i="9"/>
  <c r="G597" i="9" s="1"/>
  <c r="F596" i="9"/>
  <c r="G596" i="9" s="1"/>
  <c r="F326" i="9"/>
  <c r="G326" i="9" s="1"/>
  <c r="F612" i="9" l="1"/>
  <c r="F613" i="9"/>
  <c r="F592" i="9"/>
  <c r="F159" i="9"/>
  <c r="F293" i="9" l="1"/>
  <c r="G159" i="9"/>
  <c r="F630" i="9"/>
  <c r="G630" i="9" s="1"/>
  <c r="F629" i="9"/>
  <c r="G629" i="9" s="1"/>
  <c r="F296" i="9"/>
  <c r="G296" i="9" s="1"/>
  <c r="F557" i="9" l="1"/>
  <c r="G557" i="9" s="1"/>
  <c r="F556" i="9"/>
  <c r="G556" i="9" s="1"/>
  <c r="F555" i="9"/>
  <c r="G555" i="9" s="1"/>
  <c r="F554" i="9"/>
  <c r="G554" i="9" s="1"/>
  <c r="F295" i="9"/>
  <c r="G295" i="9" s="1"/>
  <c r="F294" i="9"/>
  <c r="G294" i="9" s="1"/>
  <c r="G293" i="9"/>
  <c r="F248" i="9"/>
  <c r="G248" i="9" s="1"/>
  <c r="F247" i="9"/>
  <c r="G247" i="9" s="1"/>
  <c r="F246" i="9"/>
  <c r="G246" i="9" s="1"/>
  <c r="F245" i="9"/>
  <c r="G245" i="9" s="1"/>
  <c r="F251" i="9"/>
  <c r="G251" i="9" s="1"/>
  <c r="F250" i="9"/>
  <c r="G250" i="9" s="1"/>
  <c r="F249" i="9"/>
  <c r="G249" i="9" s="1"/>
  <c r="F302" i="9"/>
  <c r="G302" i="9" s="1"/>
  <c r="F268" i="9"/>
  <c r="G268" i="9" s="1"/>
  <c r="F267" i="9"/>
  <c r="G267" i="9" s="1"/>
  <c r="F257" i="9"/>
  <c r="G257" i="9" s="1"/>
  <c r="F256" i="9"/>
  <c r="G256" i="9" s="1"/>
  <c r="F255" i="9"/>
  <c r="G255" i="9" s="1"/>
  <c r="F253" i="9"/>
  <c r="F221" i="9"/>
  <c r="G221" i="9" s="1"/>
  <c r="F220" i="9"/>
  <c r="G220" i="9" s="1"/>
  <c r="F219" i="9"/>
  <c r="G219" i="9" s="1"/>
  <c r="F218" i="9"/>
  <c r="G218" i="9" s="1"/>
  <c r="F223" i="9"/>
  <c r="G223" i="9" s="1"/>
  <c r="F252" i="9"/>
  <c r="F345" i="9" l="1"/>
  <c r="F347"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64" i="10"/>
  <c r="F614" i="9"/>
  <c r="G614" i="9" s="1"/>
  <c r="F626" i="9"/>
  <c r="G626" i="9" s="1"/>
  <c r="F624" i="9"/>
  <c r="G624" i="9" s="1"/>
  <c r="F622" i="9"/>
  <c r="G622" i="9" s="1"/>
  <c r="F625" i="9"/>
  <c r="G625" i="9" s="1"/>
  <c r="F621" i="9"/>
  <c r="G621" i="9" s="1"/>
  <c r="F619" i="9"/>
  <c r="G619" i="9" s="1"/>
  <c r="F620" i="9"/>
  <c r="G620" i="9" s="1"/>
  <c r="F618" i="9"/>
  <c r="G618" i="9" s="1"/>
  <c r="F617" i="9"/>
  <c r="G617" i="9" s="1"/>
  <c r="F610" i="9"/>
  <c r="G610" i="9" s="1"/>
  <c r="F609" i="9"/>
  <c r="G609" i="9" s="1"/>
  <c r="F608" i="9"/>
  <c r="G608" i="9" s="1"/>
  <c r="F419" i="9" l="1"/>
  <c r="G419" i="9" s="1"/>
  <c r="F415" i="9"/>
  <c r="G415" i="9" s="1"/>
  <c r="F414" i="9"/>
  <c r="G414" i="9" s="1"/>
  <c r="F35" i="9"/>
  <c r="G35" i="9" s="1"/>
  <c r="F34" i="9"/>
  <c r="G34" i="9" s="1"/>
  <c r="F33" i="9"/>
  <c r="G33" i="9" s="1"/>
  <c r="F38" i="9"/>
  <c r="G38" i="9" s="1"/>
  <c r="F37" i="9"/>
  <c r="G37" i="9" s="1"/>
  <c r="F36" i="9"/>
  <c r="G36" i="9" s="1"/>
  <c r="F29" i="9"/>
  <c r="G29" i="9" s="1"/>
  <c r="P106" i="4" l="1"/>
  <c r="Q106" i="4"/>
  <c r="P97" i="4"/>
  <c r="Q97" i="4"/>
  <c r="P99" i="4"/>
  <c r="Q99" i="4"/>
  <c r="P100" i="4"/>
  <c r="Q100" i="4"/>
  <c r="P104" i="4"/>
  <c r="Q104" i="4"/>
  <c r="P103" i="4"/>
  <c r="Q103" i="4"/>
  <c r="P105" i="4"/>
  <c r="Q105" i="4"/>
  <c r="P107" i="4"/>
  <c r="Q107" i="4"/>
  <c r="P108" i="4"/>
  <c r="Q108" i="4"/>
  <c r="P109" i="4"/>
  <c r="Q109" i="4"/>
  <c r="P110" i="4"/>
  <c r="Q110" i="4"/>
  <c r="P111" i="4"/>
  <c r="Q111" i="4"/>
  <c r="P112" i="4"/>
  <c r="Q112" i="4"/>
  <c r="P113" i="4"/>
  <c r="Q113" i="4"/>
  <c r="P114" i="4"/>
  <c r="Q114" i="4"/>
  <c r="P115" i="4"/>
  <c r="Q115" i="4"/>
  <c r="P116" i="4"/>
  <c r="Q116" i="4"/>
  <c r="P117" i="4"/>
  <c r="Q117" i="4"/>
  <c r="P118" i="4"/>
  <c r="Q118" i="4"/>
  <c r="P119" i="4"/>
  <c r="Q119" i="4"/>
  <c r="P120" i="4"/>
  <c r="Q120" i="4"/>
  <c r="P121" i="4"/>
  <c r="Q121" i="4"/>
  <c r="P145" i="4"/>
  <c r="Q145" i="4"/>
  <c r="P146" i="4"/>
  <c r="Q146" i="4"/>
  <c r="P147" i="4"/>
  <c r="Q147" i="4"/>
  <c r="P148" i="4"/>
  <c r="Q148" i="4"/>
  <c r="P149" i="4"/>
  <c r="Q149" i="4"/>
  <c r="P150" i="4"/>
  <c r="Q150" i="4"/>
  <c r="P151" i="4"/>
  <c r="Q151" i="4"/>
  <c r="P152" i="4"/>
  <c r="Q152" i="4"/>
  <c r="P153" i="4"/>
  <c r="Q153" i="4"/>
  <c r="P154" i="4"/>
  <c r="Q154" i="4"/>
  <c r="P155" i="4"/>
  <c r="Q155" i="4"/>
  <c r="P156" i="4"/>
  <c r="Q156" i="4"/>
  <c r="P157" i="4"/>
  <c r="Q157" i="4"/>
  <c r="P158" i="4"/>
  <c r="Q158" i="4"/>
  <c r="P159" i="4"/>
  <c r="Q159" i="4"/>
  <c r="P160" i="4"/>
  <c r="Q160" i="4"/>
  <c r="P164" i="4"/>
  <c r="Q164" i="4"/>
  <c r="P165" i="4"/>
  <c r="Q165" i="4"/>
  <c r="P166" i="4"/>
  <c r="Q166" i="4"/>
  <c r="P169" i="4"/>
  <c r="Q169" i="4"/>
  <c r="P168" i="4"/>
  <c r="Q168" i="4"/>
  <c r="P182" i="4"/>
  <c r="Q182" i="4"/>
  <c r="P183" i="4"/>
  <c r="Q183" i="4"/>
  <c r="P184" i="4"/>
  <c r="Q184" i="4"/>
  <c r="P185" i="4"/>
  <c r="Q185" i="4"/>
  <c r="P186" i="4"/>
  <c r="Q186" i="4"/>
  <c r="P187" i="4"/>
  <c r="Q187" i="4"/>
  <c r="P188" i="4"/>
  <c r="Q188" i="4"/>
  <c r="P189" i="4"/>
  <c r="Q189" i="4"/>
  <c r="P190" i="4"/>
  <c r="Q190" i="4"/>
  <c r="P191" i="4"/>
  <c r="Q191" i="4"/>
  <c r="P192" i="4"/>
  <c r="Q192" i="4"/>
  <c r="P193" i="4"/>
  <c r="Q193" i="4"/>
  <c r="P194" i="4"/>
  <c r="Q194" i="4"/>
  <c r="P195" i="4"/>
  <c r="Q195" i="4"/>
  <c r="P196" i="4"/>
  <c r="Q196" i="4"/>
  <c r="P197" i="4"/>
  <c r="Q197" i="4"/>
  <c r="P202" i="4"/>
  <c r="Q202" i="4"/>
  <c r="P203" i="4"/>
  <c r="Q203" i="4"/>
  <c r="P204" i="4"/>
  <c r="Q204" i="4"/>
  <c r="P205" i="4"/>
  <c r="Q205" i="4"/>
  <c r="P215" i="4"/>
  <c r="Q215" i="4"/>
  <c r="P216" i="4"/>
  <c r="Q216" i="4"/>
  <c r="P217" i="4"/>
  <c r="Q217" i="4"/>
  <c r="P218" i="4"/>
  <c r="Q218" i="4"/>
  <c r="P219" i="4"/>
  <c r="Q219" i="4"/>
  <c r="P220" i="4"/>
  <c r="Q220" i="4"/>
  <c r="P221" i="4"/>
  <c r="Q221" i="4"/>
  <c r="P222" i="4"/>
  <c r="Q222" i="4"/>
  <c r="P223" i="4"/>
  <c r="Q223" i="4"/>
  <c r="P224" i="4"/>
  <c r="Q224" i="4"/>
  <c r="P225" i="4"/>
  <c r="Q225" i="4"/>
  <c r="P226" i="4"/>
  <c r="Q226" i="4"/>
  <c r="P227" i="4"/>
  <c r="Q227" i="4"/>
  <c r="P228" i="4"/>
  <c r="Q228" i="4"/>
  <c r="P229" i="4"/>
  <c r="Q229" i="4"/>
  <c r="P207" i="4"/>
  <c r="Q207" i="4"/>
  <c r="P208" i="4"/>
  <c r="Q208" i="4"/>
  <c r="P210" i="4"/>
  <c r="Q210" i="4"/>
  <c r="P211" i="4"/>
  <c r="Q211" i="4"/>
  <c r="P212" i="4"/>
  <c r="Q212" i="4"/>
  <c r="P213" i="4"/>
  <c r="Q213" i="4"/>
  <c r="P214" i="4"/>
  <c r="Q214" i="4"/>
  <c r="P233" i="4"/>
  <c r="Q233" i="4"/>
  <c r="P234" i="4"/>
  <c r="Q234" i="4"/>
  <c r="P235" i="4"/>
  <c r="Q235" i="4"/>
  <c r="P236" i="4"/>
  <c r="Q236" i="4"/>
  <c r="P238" i="4"/>
  <c r="Q238" i="4"/>
  <c r="P237" i="4"/>
  <c r="Q237" i="4"/>
  <c r="P240" i="4"/>
  <c r="Q240" i="4"/>
  <c r="P242" i="4"/>
  <c r="Q242" i="4"/>
  <c r="P241" i="4"/>
  <c r="Q241" i="4"/>
  <c r="P246" i="4"/>
  <c r="Q246" i="4"/>
  <c r="P247" i="4"/>
  <c r="Q247" i="4"/>
  <c r="P248" i="4"/>
  <c r="Q248" i="4"/>
  <c r="P250" i="4"/>
  <c r="Q250" i="4"/>
  <c r="P252" i="4"/>
  <c r="Q252" i="4"/>
  <c r="P251" i="4"/>
  <c r="Q251" i="4"/>
  <c r="P254" i="4"/>
  <c r="Q254" i="4"/>
  <c r="P256" i="4"/>
  <c r="Q256" i="4"/>
  <c r="P255" i="4"/>
  <c r="Q255" i="4"/>
  <c r="P272" i="4"/>
  <c r="Q272" i="4"/>
  <c r="P273" i="4"/>
  <c r="Q273" i="4"/>
  <c r="P274" i="4"/>
  <c r="Q274" i="4"/>
  <c r="P275" i="4"/>
  <c r="Q275" i="4"/>
  <c r="P276" i="4"/>
  <c r="Q276" i="4"/>
  <c r="P277" i="4"/>
  <c r="Q277" i="4"/>
  <c r="P278" i="4"/>
  <c r="Q278" i="4"/>
  <c r="P279" i="4"/>
  <c r="Q279" i="4"/>
  <c r="P280" i="4"/>
  <c r="Q280" i="4"/>
  <c r="P281" i="4"/>
  <c r="Q281" i="4"/>
  <c r="P282" i="4"/>
  <c r="Q282" i="4"/>
  <c r="P283" i="4"/>
  <c r="Q283" i="4"/>
  <c r="P284" i="4"/>
  <c r="Q284" i="4"/>
  <c r="P285" i="4"/>
  <c r="Q285" i="4"/>
  <c r="P286" i="4"/>
  <c r="Q286" i="4"/>
  <c r="P325" i="4"/>
  <c r="Q325" i="4"/>
  <c r="P326" i="4"/>
  <c r="Q326" i="4"/>
  <c r="P327" i="4"/>
  <c r="Q327" i="4"/>
  <c r="P328" i="4"/>
  <c r="Q328" i="4"/>
  <c r="P330" i="4"/>
  <c r="Q330" i="4"/>
  <c r="P331" i="4"/>
  <c r="Q331" i="4"/>
  <c r="P334" i="4"/>
  <c r="Q334" i="4"/>
  <c r="P332" i="4"/>
  <c r="Q332" i="4"/>
  <c r="P329" i="4"/>
  <c r="Q329" i="4"/>
  <c r="P347" i="4"/>
  <c r="Q347" i="4"/>
  <c r="P348" i="4"/>
  <c r="Q348" i="4"/>
  <c r="P349" i="4"/>
  <c r="Q349" i="4"/>
  <c r="P350" i="4"/>
  <c r="Q350" i="4"/>
  <c r="P351" i="4"/>
  <c r="Q351" i="4"/>
  <c r="P352" i="4"/>
  <c r="Q352" i="4"/>
  <c r="P353" i="4"/>
  <c r="Q353" i="4"/>
  <c r="P354" i="4"/>
  <c r="Q354" i="4"/>
  <c r="P355" i="4"/>
  <c r="Q355" i="4"/>
  <c r="P356" i="4"/>
  <c r="Q356" i="4"/>
  <c r="P357" i="4"/>
  <c r="Q357" i="4"/>
  <c r="P358" i="4"/>
  <c r="Q358" i="4"/>
  <c r="P359" i="4"/>
  <c r="Q359" i="4"/>
  <c r="P360" i="4"/>
  <c r="Q360" i="4"/>
  <c r="P361" i="4"/>
  <c r="Q361" i="4"/>
  <c r="P338" i="4"/>
  <c r="Q338" i="4"/>
  <c r="P339" i="4"/>
  <c r="Q339" i="4"/>
  <c r="P340" i="4"/>
  <c r="Q340" i="4"/>
  <c r="P341" i="4"/>
  <c r="Q341" i="4"/>
  <c r="P342" i="4"/>
  <c r="Q342" i="4"/>
  <c r="P343" i="4"/>
  <c r="Q343" i="4"/>
  <c r="P346" i="4"/>
  <c r="Q346" i="4"/>
  <c r="P344" i="4"/>
  <c r="Q344" i="4"/>
  <c r="P289" i="4"/>
  <c r="Q289" i="4"/>
  <c r="P291" i="4"/>
  <c r="Q291" i="4"/>
  <c r="P293" i="4"/>
  <c r="Q293" i="4"/>
  <c r="P294" i="4"/>
  <c r="Q294" i="4"/>
  <c r="P295" i="4"/>
  <c r="Q295" i="4"/>
  <c r="P296" i="4"/>
  <c r="Q296" i="4"/>
  <c r="P298" i="4"/>
  <c r="Q298" i="4"/>
  <c r="P299" i="4"/>
  <c r="Q299" i="4"/>
  <c r="P300" i="4"/>
  <c r="Q300" i="4"/>
  <c r="P303" i="4"/>
  <c r="Q303" i="4"/>
  <c r="P305" i="4"/>
  <c r="Q305" i="4"/>
  <c r="P306" i="4"/>
  <c r="Q306" i="4"/>
  <c r="P307" i="4"/>
  <c r="Q307" i="4"/>
  <c r="P308" i="4"/>
  <c r="Q308" i="4"/>
  <c r="P309" i="4"/>
  <c r="Q309" i="4"/>
  <c r="P310" i="4"/>
  <c r="Q310" i="4"/>
  <c r="P311" i="4"/>
  <c r="Q311" i="4"/>
  <c r="P312" i="4"/>
  <c r="Q312" i="4"/>
  <c r="P313" i="4"/>
  <c r="Q313" i="4"/>
  <c r="P314" i="4"/>
  <c r="Q314" i="4"/>
  <c r="P315" i="4"/>
  <c r="Q315" i="4"/>
  <c r="P316" i="4"/>
  <c r="Q316" i="4"/>
  <c r="P317" i="4"/>
  <c r="Q317" i="4"/>
  <c r="P318" i="4"/>
  <c r="Q318" i="4"/>
  <c r="P319" i="4"/>
  <c r="Q319" i="4"/>
  <c r="P320" i="4"/>
  <c r="Q320" i="4"/>
  <c r="P369" i="4"/>
  <c r="Q369" i="4"/>
  <c r="P370" i="4"/>
  <c r="Q370" i="4"/>
  <c r="P371" i="4"/>
  <c r="Q371" i="4"/>
  <c r="P372" i="4"/>
  <c r="Q372" i="4"/>
  <c r="P373" i="4"/>
  <c r="Q373" i="4"/>
  <c r="P379" i="4"/>
  <c r="Q379" i="4"/>
  <c r="P380" i="4"/>
  <c r="Q380" i="4"/>
  <c r="P381" i="4"/>
  <c r="Q381" i="4"/>
  <c r="P382" i="4"/>
  <c r="Q382" i="4"/>
  <c r="P383" i="4"/>
  <c r="Q383" i="4"/>
  <c r="P393" i="4"/>
  <c r="Q393" i="4"/>
  <c r="P394" i="4"/>
  <c r="Q394" i="4"/>
  <c r="P395" i="4"/>
  <c r="Q395" i="4"/>
  <c r="P396" i="4"/>
  <c r="Q396" i="4"/>
  <c r="P397" i="4"/>
  <c r="Q397" i="4"/>
  <c r="P421" i="4"/>
  <c r="Q421" i="4"/>
  <c r="P422" i="4"/>
  <c r="Q422" i="4"/>
  <c r="P423" i="4"/>
  <c r="Q423" i="4"/>
  <c r="P424" i="4"/>
  <c r="Q424" i="4"/>
  <c r="P425" i="4"/>
  <c r="Q425" i="4"/>
  <c r="G345" i="9" l="1"/>
  <c r="G346" i="9"/>
  <c r="F226" i="9"/>
  <c r="G226" i="9" s="1"/>
  <c r="F227" i="9"/>
  <c r="G227" i="9" s="1"/>
  <c r="F354" i="9" l="1"/>
  <c r="G354" i="9" s="1"/>
  <c r="F306" i="9"/>
  <c r="F175" i="9"/>
  <c r="F328" i="9"/>
  <c r="G328" i="9" s="1"/>
  <c r="F327" i="9"/>
  <c r="G327" i="9" s="1"/>
  <c r="F178" i="9"/>
  <c r="G178" i="9" s="1"/>
  <c r="F666" i="9"/>
  <c r="F413" i="9"/>
  <c r="F593" i="9"/>
  <c r="G281" i="9" l="1"/>
  <c r="F5" i="9" l="1"/>
  <c r="G5" i="9" s="1"/>
  <c r="F6" i="9"/>
  <c r="G6" i="9" s="1"/>
  <c r="F8" i="9"/>
  <c r="G8" i="9" s="1"/>
  <c r="F10" i="9"/>
  <c r="G10" i="9" s="1"/>
  <c r="F13" i="9"/>
  <c r="G13" i="9" s="1"/>
  <c r="F11" i="9"/>
  <c r="G11" i="9" s="1"/>
  <c r="F12" i="9"/>
  <c r="G12" i="9" s="1"/>
  <c r="F9" i="9"/>
  <c r="G9" i="9" s="1"/>
  <c r="F14" i="9"/>
  <c r="G14" i="9" s="1"/>
  <c r="F15" i="9"/>
  <c r="G15" i="9" s="1"/>
  <c r="F20" i="9"/>
  <c r="G20" i="9" s="1"/>
  <c r="F243" i="9"/>
  <c r="G243" i="9" s="1"/>
  <c r="F244" i="9"/>
  <c r="G244" i="9" s="1"/>
  <c r="F109" i="9"/>
  <c r="F111" i="9"/>
  <c r="F112" i="9"/>
  <c r="F115" i="9"/>
  <c r="F116" i="9"/>
  <c r="F157" i="9"/>
  <c r="G157" i="9" s="1"/>
  <c r="F160" i="9"/>
  <c r="G160" i="9" s="1"/>
  <c r="F102" i="9"/>
  <c r="F146" i="9"/>
  <c r="G146" i="9" s="1"/>
  <c r="F148" i="9"/>
  <c r="G148" i="9" s="1"/>
  <c r="F150" i="9"/>
  <c r="G150" i="9" s="1"/>
  <c r="F285" i="9"/>
  <c r="G285" i="9" s="1"/>
  <c r="F286" i="9"/>
  <c r="G286" i="9" s="1"/>
  <c r="F278" i="9"/>
  <c r="G278" i="9" s="1"/>
  <c r="F279" i="9"/>
  <c r="G279" i="9" s="1"/>
  <c r="F275" i="9"/>
  <c r="G275" i="9" s="1"/>
  <c r="F274" i="9"/>
  <c r="G274" i="9" s="1"/>
  <c r="F289" i="9"/>
  <c r="G289" i="9" s="1"/>
  <c r="F277" i="9"/>
  <c r="G277" i="9" s="1"/>
  <c r="F207" i="9"/>
  <c r="G207" i="9" s="1"/>
  <c r="F210" i="9"/>
  <c r="G210" i="9" s="1"/>
  <c r="F211" i="9"/>
  <c r="G211" i="9" s="1"/>
  <c r="F266" i="9"/>
  <c r="G266" i="9" s="1"/>
  <c r="G240" i="9"/>
  <c r="F269" i="9"/>
  <c r="G269" i="9" s="1"/>
  <c r="F318" i="9"/>
  <c r="G318" i="9" s="1"/>
  <c r="F319" i="9"/>
  <c r="G319" i="9" s="1"/>
  <c r="G348" i="9"/>
  <c r="G347" i="9"/>
  <c r="F362" i="9"/>
  <c r="G362" i="9" s="1"/>
  <c r="F363" i="9"/>
  <c r="G363" i="9" s="1"/>
  <c r="F366" i="9"/>
  <c r="G366" i="9" s="1"/>
  <c r="F383" i="9"/>
  <c r="G383" i="9" s="1"/>
  <c r="F384" i="9"/>
  <c r="G384" i="9" s="1"/>
  <c r="F385" i="9"/>
  <c r="G385" i="9" s="1"/>
  <c r="F386" i="9"/>
  <c r="G386" i="9" s="1"/>
  <c r="F387" i="9"/>
  <c r="G387" i="9" s="1"/>
  <c r="F388" i="9"/>
  <c r="G388" i="9" s="1"/>
  <c r="F394" i="9"/>
  <c r="G394" i="9" s="1"/>
  <c r="F396" i="9"/>
  <c r="G396" i="9" s="1"/>
  <c r="F390" i="9"/>
  <c r="G390" i="9" s="1"/>
  <c r="F391" i="9"/>
  <c r="G391" i="9" s="1"/>
  <c r="F392" i="9"/>
  <c r="G392" i="9" s="1"/>
  <c r="F397" i="9"/>
  <c r="G397" i="9" s="1"/>
  <c r="F389" i="9"/>
  <c r="G389" i="9" s="1"/>
  <c r="F398" i="9"/>
  <c r="G398" i="9" s="1"/>
  <c r="F399" i="9"/>
  <c r="G399" i="9" s="1"/>
  <c r="F400" i="9"/>
  <c r="G400" i="9" s="1"/>
  <c r="F678" i="9"/>
  <c r="G678" i="9" s="1"/>
  <c r="F679" i="9"/>
  <c r="G679" i="9" s="1"/>
  <c r="F680" i="9"/>
  <c r="G680" i="9" s="1"/>
  <c r="G503" i="9"/>
  <c r="G500" i="9"/>
  <c r="G502" i="9"/>
  <c r="G501" i="9"/>
  <c r="G504" i="9"/>
  <c r="G505" i="9"/>
  <c r="F216" i="9"/>
  <c r="G216" i="9" s="1"/>
  <c r="F212" i="9"/>
  <c r="G212" i="9" s="1"/>
  <c r="F265" i="9"/>
  <c r="G265" i="9" s="1"/>
  <c r="F288" i="9"/>
  <c r="G288" i="9" s="1"/>
  <c r="G290" i="9"/>
  <c r="G270" i="9"/>
  <c r="F291" i="9"/>
  <c r="G291" i="9" s="1"/>
  <c r="F292" i="9"/>
  <c r="G292" i="9" s="1"/>
  <c r="F683" i="9"/>
  <c r="G683" i="9" s="1"/>
  <c r="F684" i="9"/>
  <c r="G684" i="9" s="1"/>
  <c r="F685" i="9"/>
  <c r="G685" i="9" s="1"/>
  <c r="F687" i="9"/>
  <c r="G687" i="9" s="1"/>
  <c r="F688" i="9"/>
  <c r="G688" i="9" s="1"/>
  <c r="F689" i="9"/>
  <c r="G689" i="9" s="1"/>
  <c r="F691" i="9"/>
  <c r="G691" i="9" s="1"/>
  <c r="F692" i="9"/>
  <c r="G692" i="9" s="1"/>
  <c r="F167" i="9"/>
  <c r="G167" i="9" s="1"/>
  <c r="G297" i="9"/>
  <c r="G299" i="9"/>
  <c r="G303" i="9"/>
  <c r="F301" i="9"/>
  <c r="G301" i="9" s="1"/>
  <c r="G252" i="9"/>
  <c r="G253" i="9"/>
  <c r="F23" i="9"/>
  <c r="G23" i="9" s="1"/>
  <c r="F24" i="9"/>
  <c r="G24" i="9" s="1"/>
  <c r="F25" i="9"/>
  <c r="G25" i="9" s="1"/>
  <c r="F26" i="9"/>
  <c r="G26" i="9" s="1"/>
  <c r="F30" i="9"/>
  <c r="G30" i="9" s="1"/>
  <c r="F31" i="9"/>
  <c r="G31" i="9" s="1"/>
  <c r="F32" i="9"/>
  <c r="G32" i="9" s="1"/>
  <c r="F27" i="9"/>
  <c r="G27" i="9" s="1"/>
  <c r="F28" i="9"/>
  <c r="G28" i="9" s="1"/>
  <c r="G173" i="9"/>
  <c r="F174" i="9"/>
  <c r="G174" i="9" s="1"/>
  <c r="F407" i="9"/>
  <c r="G407" i="9" s="1"/>
  <c r="F408" i="9"/>
  <c r="G408" i="9" s="1"/>
  <c r="F409" i="9"/>
  <c r="G409" i="9" s="1"/>
  <c r="F410" i="9"/>
  <c r="G410" i="9" s="1"/>
  <c r="F411" i="9"/>
  <c r="G411" i="9" s="1"/>
  <c r="F412" i="9"/>
  <c r="G412" i="9" s="1"/>
  <c r="F539" i="9"/>
  <c r="G539" i="9" s="1"/>
  <c r="F533" i="9"/>
  <c r="G533" i="9" s="1"/>
  <c r="F535" i="9"/>
  <c r="G535" i="9" s="1"/>
  <c r="F536" i="9"/>
  <c r="G536" i="9" s="1"/>
  <c r="F537" i="9"/>
  <c r="G537" i="9" s="1"/>
  <c r="F188" i="9"/>
  <c r="G188" i="9" s="1"/>
  <c r="F322" i="9"/>
  <c r="G322" i="9" s="1"/>
  <c r="F584" i="9"/>
  <c r="G584" i="9" s="1"/>
  <c r="F49" i="9"/>
  <c r="G49" i="9" s="1"/>
  <c r="F50" i="9"/>
  <c r="G50" i="9" s="1"/>
  <c r="F51" i="9"/>
  <c r="G51" i="9" s="1"/>
  <c r="F52" i="9"/>
  <c r="G52" i="9" s="1"/>
  <c r="F53" i="9"/>
  <c r="G53" i="9" s="1"/>
  <c r="F54" i="9"/>
  <c r="G54" i="9" s="1"/>
  <c r="F64" i="9"/>
  <c r="G64" i="9" s="1"/>
  <c r="F65" i="9"/>
  <c r="G65" i="9" s="1"/>
  <c r="F66" i="9"/>
  <c r="G66" i="9" s="1"/>
  <c r="F67" i="9"/>
  <c r="G67" i="9" s="1"/>
  <c r="F68" i="9"/>
  <c r="G68" i="9" s="1"/>
  <c r="F69" i="9"/>
  <c r="G69" i="9" s="1"/>
  <c r="F62" i="9"/>
  <c r="G62" i="9" s="1"/>
  <c r="F63" i="9"/>
  <c r="G63" i="9" s="1"/>
  <c r="F42" i="9"/>
  <c r="G42" i="9" s="1"/>
  <c r="F43" i="9"/>
  <c r="G43" i="9" s="1"/>
  <c r="F44" i="9"/>
  <c r="G44" i="9" s="1"/>
  <c r="F46" i="9"/>
  <c r="G46" i="9" s="1"/>
  <c r="G47" i="9"/>
  <c r="F55" i="9"/>
  <c r="G55" i="9" s="1"/>
  <c r="F56" i="9"/>
  <c r="G56" i="9" s="1"/>
  <c r="F57" i="9"/>
  <c r="G57" i="9" s="1"/>
  <c r="F58" i="9"/>
  <c r="G58" i="9" s="1"/>
  <c r="F70" i="9"/>
  <c r="G70" i="9" s="1"/>
  <c r="F71" i="9"/>
  <c r="G71" i="9" s="1"/>
  <c r="F72" i="9"/>
  <c r="G72" i="9" s="1"/>
  <c r="F73" i="9"/>
  <c r="G73" i="9" s="1"/>
  <c r="F74" i="9"/>
  <c r="G74" i="9" s="1"/>
  <c r="F75" i="9"/>
  <c r="G75" i="9" s="1"/>
  <c r="F76" i="9"/>
  <c r="G76" i="9" s="1"/>
  <c r="F186" i="9"/>
  <c r="G186" i="9" s="1"/>
  <c r="F187" i="9"/>
  <c r="G187" i="9" s="1"/>
  <c r="F542" i="9"/>
  <c r="G542" i="9" s="1"/>
  <c r="F543" i="9"/>
  <c r="G543" i="9" s="1"/>
  <c r="F544" i="9"/>
  <c r="G544" i="9" s="1"/>
  <c r="F545" i="9"/>
  <c r="G545" i="9" s="1"/>
  <c r="G593" i="9"/>
  <c r="F594" i="9"/>
  <c r="G594" i="9" s="1"/>
  <c r="F595" i="9"/>
  <c r="G595" i="9" s="1"/>
  <c r="F588" i="9"/>
  <c r="G588" i="9" s="1"/>
  <c r="G612" i="9"/>
  <c r="G613" i="9"/>
  <c r="F623" i="9"/>
  <c r="G623" i="9" s="1"/>
  <c r="F615" i="9"/>
  <c r="G615" i="9" s="1"/>
  <c r="F616" i="9"/>
  <c r="G616" i="9" s="1"/>
  <c r="F590" i="9"/>
  <c r="G590" i="9" s="1"/>
  <c r="F591" i="9"/>
  <c r="G591" i="9" s="1"/>
  <c r="G592" i="9"/>
  <c r="F602" i="9"/>
  <c r="G602" i="9" s="1"/>
  <c r="F603" i="9"/>
  <c r="G603" i="9" s="1"/>
  <c r="F604" i="9"/>
  <c r="G604" i="9" s="1"/>
  <c r="F605" i="9"/>
  <c r="G605" i="9" s="1"/>
  <c r="F606" i="9"/>
  <c r="G606" i="9" s="1"/>
  <c r="F607" i="9"/>
  <c r="G607" i="9" s="1"/>
  <c r="F425" i="9"/>
  <c r="G425" i="9" s="1"/>
  <c r="F428" i="9"/>
  <c r="G428" i="9" s="1"/>
  <c r="F429" i="9"/>
  <c r="G429" i="9" s="1"/>
  <c r="F430" i="9"/>
  <c r="G430" i="9" s="1"/>
  <c r="G413" i="9"/>
  <c r="F551" i="9"/>
  <c r="G551" i="9" s="1"/>
  <c r="F635" i="9"/>
  <c r="G635" i="9" s="1"/>
  <c r="F636" i="9"/>
  <c r="G636" i="9" s="1"/>
  <c r="F637" i="9"/>
  <c r="G637" i="9" s="1"/>
  <c r="F258" i="9"/>
  <c r="G258" i="9" s="1"/>
  <c r="F228" i="9"/>
  <c r="G228" i="9" s="1"/>
  <c r="F230" i="9"/>
  <c r="G230" i="9" s="1"/>
  <c r="F446" i="9"/>
  <c r="G446" i="9" s="1"/>
  <c r="F447" i="9"/>
  <c r="G447" i="9" s="1"/>
  <c r="F448" i="9"/>
  <c r="G448" i="9" s="1"/>
  <c r="F449" i="9"/>
  <c r="G449" i="9" s="1"/>
  <c r="F450" i="9"/>
  <c r="G450" i="9" s="1"/>
  <c r="F451" i="9"/>
  <c r="G451" i="9" s="1"/>
  <c r="F452" i="9"/>
  <c r="G452" i="9" s="1"/>
  <c r="G175" i="9"/>
  <c r="G306" i="9"/>
  <c r="F176" i="9"/>
  <c r="G176" i="9" s="1"/>
  <c r="F177" i="9"/>
  <c r="G177" i="9" s="1"/>
  <c r="F195" i="9"/>
  <c r="G195" i="9" s="1"/>
  <c r="F196" i="9"/>
  <c r="G196" i="9" s="1"/>
  <c r="F180" i="9"/>
  <c r="G180" i="9" s="1"/>
  <c r="F181" i="9"/>
  <c r="G181" i="9" s="1"/>
  <c r="F182" i="9"/>
  <c r="G182" i="9" s="1"/>
  <c r="F183" i="9"/>
  <c r="G183" i="9" s="1"/>
  <c r="F309" i="9"/>
  <c r="G309" i="9" s="1"/>
  <c r="F310" i="9"/>
  <c r="G310" i="9" s="1"/>
  <c r="F311" i="9"/>
  <c r="G311" i="9" s="1"/>
  <c r="F323" i="9"/>
  <c r="G323" i="9" s="1"/>
  <c r="F325" i="9"/>
  <c r="G325" i="9" s="1"/>
  <c r="F332" i="9"/>
  <c r="G332" i="9" s="1"/>
  <c r="F333" i="9"/>
  <c r="G333" i="9" s="1"/>
  <c r="F335" i="9"/>
  <c r="G335" i="9" s="1"/>
  <c r="F334" i="9"/>
  <c r="G334" i="9" s="1"/>
  <c r="F631" i="9"/>
  <c r="G631" i="9" s="1"/>
  <c r="F632" i="9"/>
  <c r="G632" i="9" s="1"/>
  <c r="F458" i="9"/>
  <c r="G458" i="9" s="1"/>
  <c r="F459" i="9"/>
  <c r="G459" i="9" s="1"/>
  <c r="F464" i="9"/>
  <c r="G464" i="9" s="1"/>
  <c r="F465" i="9"/>
  <c r="G465" i="9" s="1"/>
  <c r="F462" i="9"/>
  <c r="G462" i="9" s="1"/>
  <c r="F463" i="9"/>
  <c r="G463" i="9" s="1"/>
  <c r="G666" i="9"/>
  <c r="F667" i="9"/>
  <c r="G667" i="9" s="1"/>
  <c r="G185" i="9"/>
  <c r="F470" i="9"/>
  <c r="G470" i="9" s="1"/>
  <c r="F472" i="9"/>
  <c r="G472" i="9" s="1"/>
  <c r="F473" i="9"/>
  <c r="G473" i="9" s="1"/>
  <c r="F469" i="9"/>
  <c r="G469" i="9" s="1"/>
  <c r="F475" i="9"/>
  <c r="G475" i="9" s="1"/>
  <c r="F336" i="9"/>
  <c r="G336" i="9" s="1"/>
  <c r="G184" i="9"/>
  <c r="F305" i="9"/>
  <c r="G305" i="9" s="1"/>
  <c r="F699" i="9"/>
  <c r="G699" i="9" s="1"/>
  <c r="F700" i="9"/>
  <c r="G700" i="9" s="1"/>
  <c r="F702" i="9"/>
  <c r="G702" i="9" s="1"/>
  <c r="F703" i="9"/>
  <c r="G703" i="9" s="1"/>
  <c r="F704" i="9"/>
  <c r="G704" i="9" s="1"/>
  <c r="F705" i="9"/>
  <c r="G705" i="9" s="1"/>
  <c r="F706" i="9"/>
  <c r="G706" i="9" s="1"/>
  <c r="F707" i="9"/>
  <c r="G707" i="9" s="1"/>
  <c r="F708" i="9"/>
  <c r="G708" i="9" s="1"/>
  <c r="F709" i="9"/>
  <c r="G709" i="9" s="1"/>
  <c r="F711" i="9"/>
  <c r="G711" i="9" s="1"/>
  <c r="F712" i="9"/>
  <c r="G712" i="9" s="1"/>
  <c r="F714" i="9"/>
  <c r="G714" i="9" s="1"/>
  <c r="F715" i="9"/>
  <c r="G715" i="9" s="1"/>
  <c r="F716" i="9"/>
  <c r="G716" i="9" s="1"/>
  <c r="F717" i="9"/>
  <c r="G717" i="9" s="1"/>
  <c r="F718" i="9"/>
  <c r="G718" i="9" s="1"/>
  <c r="F719" i="9"/>
  <c r="G719" i="9" s="1"/>
  <c r="F720" i="9"/>
  <c r="G720" i="9" s="1"/>
  <c r="F721" i="9"/>
  <c r="G721" i="9" s="1"/>
  <c r="F723" i="9"/>
  <c r="G723" i="9" s="1"/>
  <c r="F724" i="9"/>
  <c r="G724" i="9" s="1"/>
  <c r="F726" i="9"/>
  <c r="G726" i="9" s="1"/>
  <c r="F727" i="9"/>
  <c r="G727" i="9" s="1"/>
  <c r="F728" i="9"/>
  <c r="G728" i="9" s="1"/>
  <c r="F729" i="9"/>
  <c r="G729" i="9" s="1"/>
  <c r="F730" i="9"/>
  <c r="G730" i="9" s="1"/>
  <c r="F731" i="9"/>
  <c r="G731" i="9" s="1"/>
  <c r="F732" i="9"/>
  <c r="G732" i="9" s="1"/>
  <c r="F733" i="9"/>
  <c r="G733" i="9" s="1"/>
  <c r="F735" i="9"/>
  <c r="G735" i="9" s="1"/>
  <c r="F736" i="9"/>
  <c r="G736" i="9" s="1"/>
  <c r="F738" i="9"/>
  <c r="G738" i="9" s="1"/>
  <c r="F739" i="9"/>
  <c r="G739" i="9" s="1"/>
  <c r="F740" i="9"/>
  <c r="G740" i="9" s="1"/>
  <c r="F741" i="9"/>
  <c r="G741" i="9" s="1"/>
  <c r="F742" i="9"/>
  <c r="G742" i="9" s="1"/>
  <c r="F743" i="9"/>
  <c r="G743" i="9" s="1"/>
  <c r="F744" i="9"/>
  <c r="G744" i="9" s="1"/>
  <c r="F745" i="9"/>
  <c r="G745" i="9" s="1"/>
  <c r="F746" i="9"/>
  <c r="G746" i="9" s="1"/>
  <c r="F748" i="9"/>
  <c r="G748" i="9" s="1"/>
  <c r="F749" i="9"/>
  <c r="G749" i="9" s="1"/>
  <c r="F751" i="9"/>
  <c r="G751" i="9" s="1"/>
  <c r="F752" i="9"/>
  <c r="G752" i="9" s="1"/>
  <c r="F753" i="9"/>
  <c r="G753" i="9" s="1"/>
  <c r="F754" i="9"/>
  <c r="G754" i="9" s="1"/>
  <c r="F755" i="9"/>
  <c r="G755" i="9" s="1"/>
  <c r="F756" i="9"/>
  <c r="G756" i="9" s="1"/>
  <c r="F757" i="9"/>
  <c r="G757" i="9" s="1"/>
  <c r="F758" i="9"/>
  <c r="G758" i="9" s="1"/>
  <c r="F759" i="9"/>
  <c r="G759" i="9" s="1"/>
  <c r="F761" i="9"/>
  <c r="G761" i="9" s="1"/>
  <c r="G762" i="9"/>
  <c r="F763" i="9"/>
  <c r="G763" i="9" s="1"/>
  <c r="F764" i="9"/>
  <c r="G764" i="9" s="1"/>
  <c r="F765" i="9"/>
  <c r="G765" i="9" s="1"/>
  <c r="F766" i="9"/>
  <c r="G766" i="9" s="1"/>
  <c r="F767" i="9"/>
  <c r="G767" i="9" s="1"/>
  <c r="F768" i="9"/>
  <c r="G768" i="9" s="1"/>
  <c r="F769" i="9"/>
  <c r="G769" i="9" s="1"/>
  <c r="G770" i="9"/>
  <c r="F771" i="9"/>
  <c r="G771" i="9" s="1"/>
  <c r="F772" i="9"/>
  <c r="G772" i="9" s="1"/>
  <c r="F773" i="9"/>
  <c r="G773" i="9" s="1"/>
  <c r="F774" i="9"/>
  <c r="G774" i="9" s="1"/>
  <c r="F775" i="9"/>
  <c r="G775" i="9" s="1"/>
  <c r="F776" i="9"/>
  <c r="G776" i="9" s="1"/>
  <c r="F777" i="9"/>
  <c r="G777" i="9" s="1"/>
  <c r="G778" i="9"/>
  <c r="F779" i="9"/>
  <c r="G779" i="9" s="1"/>
  <c r="F780" i="9"/>
  <c r="G780" i="9" s="1"/>
  <c r="F781" i="9"/>
  <c r="G781" i="9" s="1"/>
  <c r="F782" i="9"/>
  <c r="G782" i="9" s="1"/>
  <c r="F783" i="9"/>
  <c r="G783" i="9" s="1"/>
  <c r="F784" i="9"/>
  <c r="G784" i="9" s="1"/>
  <c r="F785" i="9"/>
  <c r="G785" i="9" s="1"/>
  <c r="F786" i="9"/>
  <c r="G786" i="9" s="1"/>
  <c r="F787" i="9"/>
  <c r="G787" i="9" s="1"/>
  <c r="F788" i="9"/>
  <c r="G788" i="9" s="1"/>
  <c r="F789" i="9"/>
  <c r="G789" i="9" s="1"/>
  <c r="F790" i="9"/>
  <c r="G790" i="9" s="1"/>
  <c r="F791" i="9"/>
  <c r="G791" i="9" s="1"/>
  <c r="F792" i="9"/>
  <c r="G792" i="9" s="1"/>
  <c r="F793" i="9"/>
  <c r="G793" i="9" s="1"/>
  <c r="F794" i="9"/>
  <c r="G794" i="9" s="1"/>
  <c r="G795" i="9"/>
  <c r="F796" i="9"/>
  <c r="G796" i="9" s="1"/>
  <c r="F797" i="9"/>
  <c r="G797" i="9" s="1"/>
  <c r="F798" i="9"/>
  <c r="G798" i="9" s="1"/>
  <c r="F799" i="9"/>
  <c r="G799" i="9" s="1"/>
  <c r="F800" i="9"/>
  <c r="G800" i="9" s="1"/>
  <c r="F801" i="9"/>
  <c r="G801" i="9" s="1"/>
  <c r="F802" i="9"/>
  <c r="G802" i="9" s="1"/>
  <c r="F803" i="9"/>
  <c r="G803" i="9" s="1"/>
  <c r="F804" i="9"/>
  <c r="G804" i="9" s="1"/>
  <c r="F805" i="9"/>
  <c r="G805" i="9" s="1"/>
  <c r="F806" i="9"/>
  <c r="G806" i="9" s="1"/>
  <c r="F807" i="9"/>
  <c r="G807" i="9" s="1"/>
  <c r="F808" i="9"/>
  <c r="G808" i="9" s="1"/>
  <c r="F809" i="9"/>
  <c r="G809" i="9" s="1"/>
  <c r="F810" i="9"/>
  <c r="G810" i="9" s="1"/>
  <c r="F811" i="9"/>
  <c r="G811" i="9" s="1"/>
  <c r="F812" i="9"/>
  <c r="G812" i="9" s="1"/>
  <c r="F813" i="9"/>
  <c r="G813" i="9" s="1"/>
  <c r="F814" i="9"/>
  <c r="G814" i="9" s="1"/>
  <c r="G694" i="9"/>
  <c r="G695" i="9"/>
  <c r="F815" i="9"/>
  <c r="G815" i="9" s="1"/>
  <c r="F816" i="9"/>
  <c r="G816" i="9" s="1"/>
  <c r="F817" i="9"/>
  <c r="G817" i="9" s="1"/>
  <c r="F818" i="9"/>
  <c r="G818" i="9" s="1"/>
  <c r="F820" i="9"/>
  <c r="G820" i="9" s="1"/>
  <c r="F821" i="9"/>
  <c r="G821" i="9" s="1"/>
  <c r="F822" i="9"/>
  <c r="G822" i="9" s="1"/>
  <c r="F823" i="9"/>
  <c r="G823" i="9" s="1"/>
  <c r="F824" i="9"/>
  <c r="G824" i="9" s="1"/>
  <c r="F825" i="9"/>
  <c r="G825" i="9" s="1"/>
  <c r="F826" i="9"/>
  <c r="G826" i="9" s="1"/>
  <c r="F827" i="9"/>
  <c r="G827" i="9" s="1"/>
  <c r="F828" i="9"/>
  <c r="G828" i="9" s="1"/>
  <c r="F829" i="9"/>
  <c r="G829" i="9" s="1"/>
  <c r="F830" i="9"/>
  <c r="G830" i="9" s="1"/>
  <c r="F834" i="9"/>
  <c r="G834" i="9" s="1"/>
  <c r="F835" i="9"/>
  <c r="G835" i="9" s="1"/>
  <c r="F836" i="9"/>
  <c r="G836" i="9" s="1"/>
  <c r="F837" i="9"/>
  <c r="G837" i="9" s="1"/>
  <c r="F838" i="9"/>
  <c r="G838" i="9" s="1"/>
  <c r="F839" i="9"/>
  <c r="G839" i="9" s="1"/>
  <c r="F840" i="9"/>
  <c r="G840" i="9" s="1"/>
  <c r="F841" i="9"/>
  <c r="G841" i="9" s="1"/>
  <c r="G507" i="9"/>
  <c r="G509" i="9"/>
  <c r="F511" i="9"/>
  <c r="G511" i="9" s="1"/>
  <c r="F512" i="9"/>
  <c r="F513" i="9"/>
  <c r="G513" i="9" s="1"/>
  <c r="F514" i="9"/>
  <c r="G514" i="9" s="1"/>
  <c r="F515" i="9"/>
  <c r="G515" i="9" s="1"/>
  <c r="F516" i="9"/>
  <c r="G516" i="9" s="1"/>
  <c r="F517" i="9"/>
  <c r="G517" i="9" s="1"/>
  <c r="F518" i="9"/>
  <c r="G518" i="9" s="1"/>
  <c r="F519" i="9"/>
  <c r="G519" i="9" s="1"/>
  <c r="F520" i="9"/>
  <c r="G520" i="9" s="1"/>
  <c r="F521" i="9"/>
  <c r="G521" i="9" s="1"/>
  <c r="F522" i="9"/>
  <c r="G522" i="9" s="1"/>
  <c r="G523" i="9"/>
  <c r="G524" i="9"/>
  <c r="G525" i="9"/>
  <c r="G526" i="9"/>
  <c r="F527" i="9"/>
  <c r="G527" i="9" s="1"/>
  <c r="F528" i="9"/>
  <c r="G528" i="9" s="1"/>
  <c r="F529" i="9"/>
  <c r="G529" i="9" s="1"/>
  <c r="F530" i="9"/>
  <c r="G530" i="9" s="1"/>
  <c r="G116" i="9" l="1"/>
  <c r="G115" i="9"/>
  <c r="G112" i="9"/>
  <c r="G111" i="9"/>
  <c r="G109" i="9"/>
  <c r="G512" i="9"/>
  <c r="G102" i="9"/>
  <c r="G379" i="4" l="1"/>
  <c r="F378" i="4"/>
  <c r="F377" i="4"/>
  <c r="G377" i="4" s="1"/>
  <c r="F376" i="4"/>
  <c r="G376" i="4" s="1"/>
  <c r="F375" i="4"/>
  <c r="G375" i="4" s="1"/>
  <c r="I376" i="4" l="1"/>
  <c r="J376" i="4" s="1"/>
  <c r="I375" i="4"/>
  <c r="J375" i="4" s="1"/>
  <c r="I378" i="4"/>
  <c r="I377" i="4"/>
  <c r="J377" i="4" s="1"/>
  <c r="G378" i="4"/>
  <c r="J378" i="4" l="1"/>
  <c r="Q376" i="4"/>
  <c r="P376" i="4"/>
  <c r="Q377" i="4"/>
  <c r="P377" i="4"/>
  <c r="Q375" i="4"/>
  <c r="P375" i="4"/>
  <c r="Q378" i="4" l="1"/>
  <c r="P378" i="4"/>
  <c r="F433" i="4"/>
  <c r="G433" i="4" s="1"/>
  <c r="F431" i="4"/>
  <c r="G431" i="4" s="1"/>
  <c r="F429" i="4"/>
  <c r="G429" i="4" s="1"/>
  <c r="F428" i="4"/>
  <c r="G428" i="4" s="1"/>
  <c r="Q439" i="4"/>
  <c r="P439" i="4"/>
  <c r="Q438" i="4"/>
  <c r="P438" i="4"/>
  <c r="Q437" i="4"/>
  <c r="P437" i="4"/>
  <c r="Q436" i="4"/>
  <c r="P436" i="4"/>
  <c r="Q435" i="4"/>
  <c r="P435" i="4"/>
  <c r="F435" i="4"/>
  <c r="G435" i="4" s="1"/>
  <c r="G419" i="4"/>
  <c r="G418" i="4"/>
  <c r="G417" i="4"/>
  <c r="G415" i="4"/>
  <c r="F414" i="4"/>
  <c r="G414" i="4" s="1"/>
  <c r="F413" i="4"/>
  <c r="G413" i="4" s="1"/>
  <c r="F421" i="4"/>
  <c r="G421" i="4" s="1"/>
  <c r="F390" i="4"/>
  <c r="G390" i="4" s="1"/>
  <c r="F386" i="4"/>
  <c r="G386" i="4" s="1"/>
  <c r="G393" i="4"/>
  <c r="F367" i="4"/>
  <c r="G367" i="4" s="1"/>
  <c r="F366" i="4"/>
  <c r="G366" i="4" s="1"/>
  <c r="F364" i="4"/>
  <c r="G364" i="4" s="1"/>
  <c r="G369" i="4"/>
  <c r="F363" i="4"/>
  <c r="G363" i="4" s="1"/>
  <c r="F305" i="4"/>
  <c r="G305" i="4" s="1"/>
  <c r="F303" i="4"/>
  <c r="G303" i="4" s="1"/>
  <c r="F300" i="4"/>
  <c r="G300" i="4" s="1"/>
  <c r="F299" i="4"/>
  <c r="G299" i="4" s="1"/>
  <c r="F298" i="4"/>
  <c r="G298" i="4" s="1"/>
  <c r="F297" i="4"/>
  <c r="G297" i="4" s="1"/>
  <c r="F296" i="4"/>
  <c r="G296" i="4" s="1"/>
  <c r="F295" i="4"/>
  <c r="G295" i="4" s="1"/>
  <c r="F294" i="4"/>
  <c r="G294" i="4" s="1"/>
  <c r="F293" i="4"/>
  <c r="G293" i="4" s="1"/>
  <c r="F291" i="4"/>
  <c r="G291" i="4" s="1"/>
  <c r="F289" i="4"/>
  <c r="G289" i="4" s="1"/>
  <c r="F306" i="4"/>
  <c r="G306" i="4" s="1"/>
  <c r="F288" i="4"/>
  <c r="G288" i="4" s="1"/>
  <c r="G344" i="4"/>
  <c r="G346" i="4"/>
  <c r="F343" i="4"/>
  <c r="G343" i="4" s="1"/>
  <c r="F342" i="4"/>
  <c r="G342" i="4" s="1"/>
  <c r="F341" i="4"/>
  <c r="G341" i="4" s="1"/>
  <c r="F340" i="4"/>
  <c r="G340" i="4" s="1"/>
  <c r="F339" i="4"/>
  <c r="G339" i="4" s="1"/>
  <c r="F338" i="4"/>
  <c r="G338" i="4" s="1"/>
  <c r="F335" i="4"/>
  <c r="G335" i="4" s="1"/>
  <c r="F329" i="4"/>
  <c r="G329" i="4" s="1"/>
  <c r="G332" i="4"/>
  <c r="G334" i="4"/>
  <c r="F331" i="4"/>
  <c r="G331" i="4" s="1"/>
  <c r="F330" i="4"/>
  <c r="G330" i="4" s="1"/>
  <c r="F328" i="4"/>
  <c r="G328" i="4" s="1"/>
  <c r="F327" i="4"/>
  <c r="G327" i="4" s="1"/>
  <c r="F326" i="4"/>
  <c r="G326" i="4" s="1"/>
  <c r="F325" i="4"/>
  <c r="G325" i="4" s="1"/>
  <c r="G347" i="4"/>
  <c r="F322" i="4"/>
  <c r="G322" i="4" s="1"/>
  <c r="F255" i="4"/>
  <c r="G255" i="4" s="1"/>
  <c r="F256" i="4"/>
  <c r="G256" i="4" s="1"/>
  <c r="F254" i="4"/>
  <c r="G254" i="4" s="1"/>
  <c r="G251" i="4"/>
  <c r="G252" i="4"/>
  <c r="F250" i="4"/>
  <c r="G250" i="4" s="1"/>
  <c r="F248" i="4"/>
  <c r="G248" i="4" s="1"/>
  <c r="F247" i="4"/>
  <c r="G247" i="4" s="1"/>
  <c r="F246" i="4"/>
  <c r="G246" i="4" s="1"/>
  <c r="F244" i="4"/>
  <c r="G244" i="4" s="1"/>
  <c r="J244" i="4" s="1"/>
  <c r="F241" i="4"/>
  <c r="G241" i="4" s="1"/>
  <c r="F242" i="4"/>
  <c r="G242" i="4" s="1"/>
  <c r="F240" i="4"/>
  <c r="G240" i="4" s="1"/>
  <c r="G237" i="4"/>
  <c r="G238" i="4"/>
  <c r="F236" i="4"/>
  <c r="G236" i="4" s="1"/>
  <c r="F235" i="4"/>
  <c r="G235" i="4" s="1"/>
  <c r="F234" i="4"/>
  <c r="G234" i="4" s="1"/>
  <c r="F233" i="4"/>
  <c r="G233" i="4" s="1"/>
  <c r="F272" i="4"/>
  <c r="G272" i="4" s="1"/>
  <c r="F231" i="4"/>
  <c r="G231" i="4" s="1"/>
  <c r="F214" i="4"/>
  <c r="G214" i="4" s="1"/>
  <c r="F213" i="4"/>
  <c r="G213" i="4" s="1"/>
  <c r="F212" i="4"/>
  <c r="G212" i="4" s="1"/>
  <c r="F211" i="4"/>
  <c r="G211" i="4" s="1"/>
  <c r="F210" i="4"/>
  <c r="G210" i="4" s="1"/>
  <c r="F208" i="4"/>
  <c r="G208" i="4" s="1"/>
  <c r="F207" i="4"/>
  <c r="G207" i="4" s="1"/>
  <c r="I206" i="4"/>
  <c r="F206" i="4"/>
  <c r="G206" i="4" s="1"/>
  <c r="F205" i="4"/>
  <c r="G205" i="4" s="1"/>
  <c r="F204" i="4"/>
  <c r="G204" i="4" s="1"/>
  <c r="F203" i="4"/>
  <c r="G203" i="4" s="1"/>
  <c r="F202" i="4"/>
  <c r="G202" i="4" s="1"/>
  <c r="G215" i="4"/>
  <c r="G199" i="4"/>
  <c r="G182" i="4"/>
  <c r="G145" i="4"/>
  <c r="F100" i="4"/>
  <c r="G100" i="4" s="1"/>
  <c r="F99" i="4"/>
  <c r="G99" i="4" s="1"/>
  <c r="F97" i="4"/>
  <c r="G97" i="4" s="1"/>
  <c r="F96" i="4"/>
  <c r="G96" i="4" s="1"/>
  <c r="I368" i="4" l="1"/>
  <c r="J368" i="4" s="1"/>
  <c r="I365" i="4"/>
  <c r="J365" i="4" s="1"/>
  <c r="I432" i="4"/>
  <c r="J432" i="4" s="1"/>
  <c r="I427" i="4"/>
  <c r="J427" i="4" s="1"/>
  <c r="I430" i="4"/>
  <c r="J430" i="4" s="1"/>
  <c r="I434" i="4"/>
  <c r="J434" i="4" s="1"/>
  <c r="I433" i="4"/>
  <c r="J433" i="4" s="1"/>
  <c r="I428" i="4"/>
  <c r="J428" i="4" s="1"/>
  <c r="I429" i="4"/>
  <c r="J429" i="4" s="1"/>
  <c r="I431" i="4"/>
  <c r="J431" i="4" s="1"/>
  <c r="I417" i="4"/>
  <c r="J417" i="4" s="1"/>
  <c r="I416" i="4"/>
  <c r="J416" i="4" s="1"/>
  <c r="I414" i="4"/>
  <c r="J414" i="4" s="1"/>
  <c r="I419" i="4"/>
  <c r="J419" i="4" s="1"/>
  <c r="I415" i="4"/>
  <c r="J415" i="4" s="1"/>
  <c r="I413" i="4"/>
  <c r="J413" i="4" s="1"/>
  <c r="I418" i="4"/>
  <c r="J418" i="4" s="1"/>
  <c r="I420" i="4"/>
  <c r="J420" i="4" s="1"/>
  <c r="I366" i="4"/>
  <c r="J366" i="4" s="1"/>
  <c r="I367" i="4"/>
  <c r="J367" i="4" s="1"/>
  <c r="I364" i="4"/>
  <c r="J364" i="4" s="1"/>
  <c r="I363" i="4"/>
  <c r="I390" i="4"/>
  <c r="J390" i="4" s="1"/>
  <c r="I391" i="4"/>
  <c r="J391" i="4" s="1"/>
  <c r="I392" i="4"/>
  <c r="J392" i="4" s="1"/>
  <c r="I389" i="4"/>
  <c r="J389" i="4" s="1"/>
  <c r="I386" i="4"/>
  <c r="J386" i="4" s="1"/>
  <c r="I387" i="4"/>
  <c r="J387" i="4" s="1"/>
  <c r="I388" i="4"/>
  <c r="J388" i="4" s="1"/>
  <c r="I385" i="4"/>
  <c r="J385" i="4" s="1"/>
  <c r="P162" i="4"/>
  <c r="Q162" i="4"/>
  <c r="J96" i="4"/>
  <c r="J288" i="4"/>
  <c r="J322" i="4"/>
  <c r="J335" i="4"/>
  <c r="J199" i="4"/>
  <c r="J206" i="4"/>
  <c r="J231" i="4"/>
  <c r="J297" i="4"/>
  <c r="Q427" i="4" l="1"/>
  <c r="P427" i="4"/>
  <c r="Q432" i="4"/>
  <c r="P432" i="4"/>
  <c r="Q419" i="4"/>
  <c r="P434" i="4"/>
  <c r="Q434" i="4"/>
  <c r="P419" i="4"/>
  <c r="Q430" i="4"/>
  <c r="P430" i="4"/>
  <c r="Q415" i="4"/>
  <c r="P415" i="4"/>
  <c r="P413" i="4"/>
  <c r="Q413" i="4"/>
  <c r="Q429" i="4"/>
  <c r="P429" i="4"/>
  <c r="P414" i="4"/>
  <c r="Q414" i="4"/>
  <c r="Q428" i="4"/>
  <c r="P428" i="4"/>
  <c r="P433" i="4"/>
  <c r="Q433" i="4"/>
  <c r="P417" i="4"/>
  <c r="Q417" i="4"/>
  <c r="P431" i="4"/>
  <c r="Q431" i="4"/>
  <c r="Q420" i="4"/>
  <c r="P420" i="4"/>
  <c r="Q416" i="4"/>
  <c r="P416" i="4"/>
  <c r="P418" i="4"/>
  <c r="Q418" i="4"/>
  <c r="J363" i="4"/>
  <c r="Q388" i="4"/>
  <c r="P388" i="4"/>
  <c r="Q389" i="4"/>
  <c r="P389" i="4"/>
  <c r="P385" i="4"/>
  <c r="Q385" i="4"/>
  <c r="P387" i="4"/>
  <c r="Q387" i="4"/>
  <c r="Q392" i="4"/>
  <c r="P392" i="4"/>
  <c r="Q391" i="4"/>
  <c r="P391" i="4"/>
  <c r="P364" i="4"/>
  <c r="Q364" i="4"/>
  <c r="P322" i="4"/>
  <c r="Q322" i="4"/>
  <c r="P367" i="4"/>
  <c r="Q367" i="4"/>
  <c r="P390" i="4"/>
  <c r="Q390" i="4"/>
  <c r="P231" i="4"/>
  <c r="Q231" i="4"/>
  <c r="P206" i="4"/>
  <c r="Q206" i="4"/>
  <c r="P288" i="4"/>
  <c r="Q288" i="4"/>
  <c r="P297" i="4"/>
  <c r="Q297" i="4"/>
  <c r="P199" i="4"/>
  <c r="Q199" i="4"/>
  <c r="P96" i="4"/>
  <c r="Q96" i="4"/>
  <c r="P386" i="4"/>
  <c r="Q386" i="4"/>
  <c r="P244" i="4"/>
  <c r="Q244" i="4"/>
  <c r="P366" i="4"/>
  <c r="Q366" i="4"/>
  <c r="P335" i="4"/>
  <c r="Q335" i="4"/>
  <c r="Q363" i="4" l="1"/>
  <c r="P363" i="4"/>
  <c r="G42" i="10" l="1"/>
  <c r="F75" i="10" l="1"/>
  <c r="G75" i="10" s="1"/>
  <c r="F74" i="10"/>
  <c r="G74" i="10" s="1"/>
  <c r="F73" i="10"/>
  <c r="G73" i="10" s="1"/>
  <c r="F72" i="10"/>
  <c r="G72" i="10" s="1"/>
  <c r="F71" i="10"/>
  <c r="G71" i="10" s="1"/>
  <c r="F70" i="10"/>
  <c r="G70" i="10" s="1"/>
  <c r="F69" i="10"/>
  <c r="G69" i="10" s="1"/>
  <c r="F68" i="10"/>
  <c r="G68" i="10" s="1"/>
  <c r="F67" i="10"/>
  <c r="G67" i="10" s="1"/>
  <c r="F66" i="10"/>
  <c r="G66" i="10" s="1"/>
  <c r="F65" i="10"/>
  <c r="G65" i="10" s="1"/>
  <c r="G64" i="10"/>
  <c r="G62" i="10" l="1"/>
  <c r="G61" i="10"/>
  <c r="G60" i="10"/>
  <c r="G59" i="10"/>
  <c r="G58" i="10"/>
  <c r="G57" i="10"/>
  <c r="G56" i="10"/>
  <c r="G55" i="10"/>
  <c r="G54" i="10"/>
  <c r="G53" i="10"/>
  <c r="G52" i="10"/>
  <c r="G51" i="10"/>
  <c r="G50" i="10"/>
  <c r="G49" i="10"/>
  <c r="G48" i="10"/>
  <c r="G47" i="10"/>
  <c r="G46" i="10"/>
  <c r="G45" i="10"/>
  <c r="G44" i="10"/>
  <c r="G43" i="10"/>
  <c r="G41" i="10"/>
  <c r="G33" i="10"/>
  <c r="G31" i="10"/>
  <c r="G28" i="10"/>
  <c r="G26" i="10"/>
  <c r="G24" i="10"/>
  <c r="G22" i="10"/>
  <c r="G17" i="10"/>
  <c r="G16" i="10"/>
  <c r="G15" i="10"/>
  <c r="G14" i="10"/>
  <c r="G13" i="10"/>
  <c r="G12" i="10"/>
  <c r="B6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<sst xmlns="http://schemas.openxmlformats.org/spreadsheetml/2006/main" count="18067" uniqueCount="3052">
  <si>
    <t>DATE DE SOUMISSION</t>
  </si>
  <si>
    <t>VERSION</t>
  </si>
  <si>
    <t>MODIFICATION</t>
  </si>
  <si>
    <t>Le 17/05/2024</t>
  </si>
  <si>
    <t>Tarif n°12</t>
  </si>
  <si>
    <t>Ajout des nouvelles références d'iPad Air 11 et 13 pouces</t>
  </si>
  <si>
    <t>Ajout des nouvelles références d'iPad Pro 11 et 13 pouces</t>
  </si>
  <si>
    <t>Ajout de nouveaux accessoires et remplacement des références obsolètes</t>
  </si>
  <si>
    <t xml:space="preserve">Baisse de prix sur les références d'iPad mini (6ème gén) et iPad 10,9" (10ème gén) </t>
  </si>
  <si>
    <t>Baisse de prix sur certaines références Apple de clavier pour iPad</t>
  </si>
  <si>
    <t>Augmentation des coups de garanties de certaines gammes d'iPad</t>
  </si>
  <si>
    <t>Retrait des références obsolètes d'iPad 10,2", iPad Air 10,9", iPad Pro 11 et 13"</t>
  </si>
  <si>
    <t>Le 08/03/2024</t>
  </si>
  <si>
    <t>Tarif n°11</t>
  </si>
  <si>
    <t>Ajout des nouvelles références de MacBook Air 13" M3</t>
  </si>
  <si>
    <t>Ajout des nouvelles références de MacBook Air 15" M3</t>
  </si>
  <si>
    <t>Ajout d'un onglet proposition de garanties pour matériels MatInfo4</t>
  </si>
  <si>
    <t>Optimisation des références d'options du Macbook Air M2 13" Entrée de gamme et ajout du MacBook Air M2 13"  milieu de gamme</t>
  </si>
  <si>
    <t>Ajout de nouveaux accessoires conformes à des besoins clients identifiés et remplacement des références obsolètes</t>
  </si>
  <si>
    <t>Optimisation de la désignation de plusieurs références d'accessoires</t>
  </si>
  <si>
    <t>Retrait des références obsolètes de MacBook Air 13" M1 et des références d'options remplacées</t>
  </si>
  <si>
    <t>Le 08/11/2023</t>
  </si>
  <si>
    <t>Tarif n°10</t>
  </si>
  <si>
    <t>Ajout des nouvelles références de MacBook Pro 14" M3, M3 Pro et M3 Max</t>
  </si>
  <si>
    <t>Ajout des nouvelles références de Macbook Pro 16" M3 Pro et M3 Max</t>
  </si>
  <si>
    <t>Ajout des nouvelles références d'iMac 24" M3</t>
  </si>
  <si>
    <t xml:space="preserve">Retrait des références obsolètes de MacBook Pro 13" M2, 14" et 16" M2 Pro et M2 Max </t>
  </si>
  <si>
    <t>Le 08/08/2023</t>
  </si>
  <si>
    <t>Tarif n°9</t>
  </si>
  <si>
    <t>Mise en cohérence des configurations CTO MacBook Pro 14", 16" et Mac Studio</t>
  </si>
  <si>
    <t>Le 13/06/2023</t>
  </si>
  <si>
    <t>Tarif n°8</t>
  </si>
  <si>
    <t>Ajout des nouvelles références de MacBook Air M2 15"</t>
  </si>
  <si>
    <t>Ajout des nouvelles références de Mac Studio M2</t>
  </si>
  <si>
    <t>Ajout des nouvelles références de Mac Pro M2</t>
  </si>
  <si>
    <t>Ajout de nouveaux accessoires</t>
  </si>
  <si>
    <t>Application de la baisse tarifaire des MacBook Air M2 13"</t>
  </si>
  <si>
    <t>Augmentation des coups de garanties et prestations techniques MDM</t>
  </si>
  <si>
    <t>Retrait des références obsolètes de Mac Studio et Mac Pro</t>
  </si>
  <si>
    <t>Le 09/02/2023</t>
  </si>
  <si>
    <t>Tarif n°7</t>
  </si>
  <si>
    <t>Ajout des nouvelles références de MacBook Pro 14" et 16" M2 Pro et M2 Max</t>
  </si>
  <si>
    <t>Ajout des nouvelles références de Mac mini M2 et M2 Pro</t>
  </si>
  <si>
    <t>Retrait des références obsolètes de MacBook Pro 14" et 16" M1 Pro et M1 Max et Mac mini M1 et Intel</t>
  </si>
  <si>
    <t>Modification des références de prestation, à la suite d'un changement de prestataire pour un prestataire agréé</t>
  </si>
  <si>
    <t>Augmentation de prix pour les iMac 24" M1</t>
  </si>
  <si>
    <t>Augmentation des références standards de gravure et d'étiquetage</t>
  </si>
  <si>
    <t>Ajout de nouveux accessoires</t>
  </si>
  <si>
    <t>Ajout d'une référence de frais de déplacement liée aux prestations sur site et de frais de livraison hors France métropolitaine</t>
  </si>
  <si>
    <t>le 25/10/2022</t>
  </si>
  <si>
    <t>tarif n°6</t>
  </si>
  <si>
    <r>
      <rPr>
        <sz val="16"/>
        <color theme="1"/>
        <rFont val="Calibri"/>
        <family val="2"/>
        <scheme val="minor"/>
      </rPr>
      <t>18/10/2022 : Keynote Apple nouveaux modèles iPad :</t>
    </r>
    <r>
      <rPr>
        <sz val="16"/>
        <color rgb="FF2CAB42"/>
        <rFont val="Calibri (Corps)"/>
      </rPr>
      <t xml:space="preserve"> 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</si>
  <si>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</si>
  <si>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</si>
  <si>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</si>
  <si>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</si>
  <si>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</si>
  <si>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</si>
  <si>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</si>
  <si>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</si>
  <si>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</si>
  <si>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</si>
  <si>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</si>
  <si>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</si>
  <si>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</si>
  <si>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</si>
  <si>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</si>
  <si>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</si>
  <si>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</si>
  <si>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</si>
  <si>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</si>
  <si>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</si>
  <si>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</si>
  <si>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</si>
  <si>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</si>
  <si>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</si>
  <si>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</si>
  <si>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</si>
  <si>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</si>
  <si>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</si>
  <si>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</si>
  <si>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</si>
  <si>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</si>
  <si>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</si>
  <si>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</si>
  <si>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</si>
  <si>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</si>
  <si>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</si>
  <si>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</si>
  <si>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</si>
  <si>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</si>
  <si>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</si>
  <si>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</si>
  <si>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</si>
  <si>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</si>
  <si>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</si>
  <si>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</si>
  <si>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</si>
  <si>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</si>
  <si>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</si>
  <si>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</si>
  <si>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</si>
  <si>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</si>
  <si>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</si>
  <si>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</si>
  <si>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</si>
  <si>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LÉGENDE</t>
  </si>
  <si>
    <r>
      <t>Vert: Nouveauté</t>
    </r>
    <r>
      <rPr>
        <b/>
        <sz val="14"/>
        <color rgb="FF000000"/>
        <rFont val="Calibri"/>
        <family val="2"/>
        <scheme val="minor"/>
      </rPr>
      <t xml:space="preserve"> -</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</si>
  <si>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durée de location</t>
  </si>
  <si>
    <t>Réf. article fournisseur</t>
  </si>
  <si>
    <t xml:space="preserve">Libellé de l'article </t>
    <phoneticPr fontId="4" type="noConversion"/>
  </si>
  <si>
    <t>Unité de vente</t>
  </si>
  <si>
    <t>Marque</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</si>
  <si>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</si>
  <si>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</si>
  <si>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</si>
  <si>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</si>
  <si>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</si>
  <si>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</si>
  <si>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</si>
  <si>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</si>
  <si>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r>
      <t xml:space="preserve">Catégories - Configurations </t>
    </r>
    <r>
      <rPr>
        <sz val="16"/>
        <color rgb="FF0432FF"/>
        <rFont val="Calibri (Corps)"/>
      </rPr>
      <t>Statistiques Matinfo 5</t>
    </r>
  </si>
  <si>
    <t>Nomenclatures CPV</t>
  </si>
  <si>
    <t>Code NACRES</t>
  </si>
  <si>
    <t>Références en coloris respectivement : argent, gris sidéral, lumière stellaire, minuit - Clavier disponible dans les langues : français, anglais IE, anglais US, anglais UK, allemand, espagnol, italien, suisse</t>
  </si>
  <si>
    <t>MLXY3FN/A - MLXW3FN/A - MLY13FN/A - MLY33FN/A</t>
  </si>
  <si>
    <t>APPLE</t>
  </si>
  <si>
    <t>MI5-MBA-13-5-PLUS</t>
  </si>
  <si>
    <t>-</t>
  </si>
  <si>
    <t>Catégorie 1 - Portables legers - Configuration 1</t>
  </si>
  <si>
    <t xml:space="preserve">30213100-6 </t>
  </si>
  <si>
    <t>IA12</t>
  </si>
  <si>
    <t>Catégorie 1 - Portables legers - Configuration 2</t>
  </si>
  <si>
    <t>Garantie 5 ans formule Plus pour MacBook Air (intervention à J+1 - réparation à J+3 ou MacBook Air de prêt)</t>
  </si>
  <si>
    <t>ECONOCOM</t>
  </si>
  <si>
    <t>Extensions de garantie</t>
  </si>
  <si>
    <t xml:space="preserve"> 66515000-3</t>
  </si>
  <si>
    <t>IC02</t>
  </si>
  <si>
    <t>MI5-MBA-13-6-PLUS</t>
  </si>
  <si>
    <t>Passage à une garantie 6 ans formule Plus pour MacBook Air (intervention à J+1 - réparation à J+3 ou MacBook Air de prêt)</t>
  </si>
  <si>
    <t>MI5-MBA-13-7-PLUS</t>
  </si>
  <si>
    <t>Passage à une garantie 7 ans formule Plus pour MacBook Air (intervention à J+1 - réparation à J+3 ou MacBook Air de prêt)</t>
  </si>
  <si>
    <t>MI5-MBA-13-8-PLUS</t>
  </si>
  <si>
    <t>Passage à une garantie 8 ans formule Plus pour MacBook Air (intervention à J+1 - réparation à J+3 ou MacBook Air de prêt)</t>
  </si>
  <si>
    <t>MI5-MBA-13-5-PRO</t>
  </si>
  <si>
    <t>Passage à une garantie 5 ans formule Pro pour MacBook Air (diagnostic à H+4 - remplacement à J+1)</t>
  </si>
  <si>
    <t>MI5-MBA-13-6-PRO</t>
  </si>
  <si>
    <t>Passage à une garantie 6 ans formule Pro pour MacBook Air (diagnostic à H+4 - remplacement à J+1)</t>
  </si>
  <si>
    <t>MI5-MBA-13-7-PRO</t>
  </si>
  <si>
    <t>Passage à une garantie 7 ans formule Pro pour MacBook Air (diagnostic à H+4 - remplacement à J+1)</t>
  </si>
  <si>
    <t>MI5-MBA-13-8-PRO</t>
  </si>
  <si>
    <t>Passage à une garantie 8 ans formule Pro pour MacBook Air (diagnostic à H+4 - remplacement à J+1)</t>
  </si>
  <si>
    <t>MI5-MBA-13-5-PLATINE</t>
  </si>
  <si>
    <t>Passage à une garantie 5 ans formule Platine pour MacBook Air (réparation sur site de J+1 à J+3 maximum)</t>
  </si>
  <si>
    <t>MI5-MBA-13-6-PLATINE</t>
  </si>
  <si>
    <t>Passage à une garantie 6 ans formule Platine pour MacBook Air (réparation sur site de J+1 à J+3 maximum)</t>
  </si>
  <si>
    <t>MI5-MBA-13-7-PLATINE</t>
  </si>
  <si>
    <t>Passage à une garantie 7 ans formule Platine pour MacBook Air (réparation sur site de J+1 à J+3 maximum)</t>
  </si>
  <si>
    <t>MI5-MBA-13-8-PLATINE</t>
  </si>
  <si>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</si>
  <si>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</si>
  <si>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</si>
  <si>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</si>
  <si>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</si>
  <si>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</si>
  <si>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</si>
  <si>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</si>
  <si>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</si>
  <si>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MRXQ3FN/A - MRXN3FN/A - MRXT3FN/A - MRXV3FN/A</t>
  </si>
  <si>
    <t>Catégorie 1 - Portables legers - Configuration 3</t>
  </si>
  <si>
    <t>Catégorie 1 - Portables legers - Configuration 4</t>
  </si>
  <si>
    <t>MRYP3FN/A - MRYM3FN/A - MRYR3FN/A - MRYU3FN/A</t>
  </si>
  <si>
    <t>MI5-MBA-15-5-PLUS</t>
  </si>
  <si>
    <t>Catégorie 1 - Portables legers - Configuration 5</t>
  </si>
  <si>
    <t>MI5-MBA-15-6-PLUS</t>
  </si>
  <si>
    <t>MI5-MBA-15-7-PLUS</t>
  </si>
  <si>
    <t>MI5-MBA-15-8-PLUS</t>
  </si>
  <si>
    <t>MI5-MBA-15-5-PRO</t>
  </si>
  <si>
    <t>MI5-MBA-15-6-PRO</t>
  </si>
  <si>
    <t>MI5-MBA-15-7-PRO</t>
  </si>
  <si>
    <t>MI5-MBA-15-8-PRO</t>
  </si>
  <si>
    <t>MI5-MBA-15-5-PLATINE</t>
  </si>
  <si>
    <t>MI5-MBA-15-6-PLATINE</t>
  </si>
  <si>
    <t>MI5-MBA-15-7-PLATINE</t>
  </si>
  <si>
    <t>MI5-MBA-15-8-PLATINE</t>
  </si>
  <si>
    <t>MI5-MBA-15-5-PLUS-INTER</t>
  </si>
  <si>
    <t>MI5-MBA-15-5-PRO-INTER</t>
  </si>
  <si>
    <t>MI5-MBA-15-5-E-CARE</t>
  </si>
  <si>
    <t>MI5-MBA-15-5-E-KYOD</t>
  </si>
  <si>
    <t>MR7J3FN/A - MTL73FN/A</t>
  </si>
  <si>
    <t>MI5-MBP-14-5-PLUS</t>
  </si>
  <si>
    <t>Catégorie 2 - Portables standards - Configuration 1</t>
  </si>
  <si>
    <t>IA11</t>
  </si>
  <si>
    <t>Garantie 5 ans formule Plus pour MacBook Pro 14" (intervention à J+1 - réparation à J+3 ou MacBook Pro 14" de prêt)</t>
  </si>
  <si>
    <t>MI5-MBP-14-6-PLUS</t>
  </si>
  <si>
    <t>Passage à une garantie 6 ans formule Plus pour MacBook Pro 14" (intervention à J+1 - réparation à J+3 ou MacBook Pro 14“)</t>
  </si>
  <si>
    <t>MI5-MBP-14-7-PLUS</t>
  </si>
  <si>
    <t>Passage à une garantie 7 ans formule Plus pour MacBook Pro 14" (intervention à J+1 - réparation à J+3 ou MacBook Pro 14</t>
  </si>
  <si>
    <t>MI5-MBP-14-8-PLUS</t>
  </si>
  <si>
    <t>Passage à une garantie 8 ans formule Plus pour MacBook Pro 14" (intervention à J+1 - réparation à J+3 ou MacBook Pro 14“)</t>
  </si>
  <si>
    <t>MI5-MBP-14-5-PRO</t>
  </si>
  <si>
    <t>Passage à une garantie 5 ans formule Pro pour MacBook Pro 14" (diagnostic à H+4 - remplacement à J+1)</t>
  </si>
  <si>
    <t>MI5-MBP-14-6-PRO</t>
  </si>
  <si>
    <t>Passage à une garantie 6 ans formule Pro pour MacBook Pro 14" (diagnostic à H+4 - remplacement à J+1)</t>
  </si>
  <si>
    <t>MI5-MBP-14-7-PRO</t>
  </si>
  <si>
    <t>Passage à une garantie 7 ans formule Pro pour MacBook Pro 14“ (diagnostic à H+4 - remplacement à J+1)</t>
  </si>
  <si>
    <t>MI5-MBP-14-8-PRO</t>
  </si>
  <si>
    <t>Passage à une garantie 8 ans formule Pro pour MacBook Pro 14“ (diagnostic à H+4 - remplacement à J+1)</t>
  </si>
  <si>
    <t>MI5-MBP-14-5-PLATINE</t>
  </si>
  <si>
    <t>Passage à une garantie 5 ans formule Platine pour MacBook Pro 14“ (réparation sur site de J+1 à J+3 maximum)</t>
  </si>
  <si>
    <t>MI5-MBP-14-6-PLATINE</t>
  </si>
  <si>
    <t>Passage à une garantie 6 ans formule Platine pour MacBook Pro 14“ (réparation sur site de J+1 à J+3 maximum)</t>
  </si>
  <si>
    <t>MI5-MBP-14-7-PLATINE</t>
  </si>
  <si>
    <t>Passage à une garantie 7 ans formule Platine pour MacBook Pro 14“ (réparation sur site de J+1 à J+3 maximum)</t>
  </si>
  <si>
    <t>MI5-MBP-14-8-PLATINE</t>
  </si>
  <si>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</si>
  <si>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</si>
  <si>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</si>
  <si>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</si>
  <si>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</si>
  <si>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</si>
  <si>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</si>
  <si>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</si>
  <si>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</si>
  <si>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Références respectivement en coloris : argent, noir sidéral - Clavier disponible dans les langues : français, anglais IE, anglais US, anglais UK, allemand, espagnol, italien, suisse</t>
  </si>
  <si>
    <t>MRX63FN/A - MRX33FN/A</t>
  </si>
  <si>
    <t>Catégorie 2 - Portables standards - Configuration 2</t>
  </si>
  <si>
    <t>Catégorie 2 - Portables standards - Configuration 3</t>
  </si>
  <si>
    <t>MRW43FN/A - MRW13FN/A</t>
  </si>
  <si>
    <t>MI5-MBP-16-5-PLUS</t>
  </si>
  <si>
    <t>Catégorie 2 - Portables standards - Configuration 4</t>
  </si>
  <si>
    <t>30200000-1</t>
  </si>
  <si>
    <t>Catégorie 2 - Portables standards - Configuration 5</t>
  </si>
  <si>
    <t>Garantie 5 ans formule Plus pour MacBook Pro 16" (intervention à J+1 - réparation à J+3 ou MacBook Pro 16" de prêt)</t>
  </si>
  <si>
    <t>MI5-MBP-16-6-PLUS</t>
  </si>
  <si>
    <t>Passage à une garantie 6 ans formule Plus pour MacBook Pro 16" (intervention à J+1 - réparation à J+3 ou MacBook Pro 16")</t>
  </si>
  <si>
    <t>MI5-MBP-16-7-PLUS</t>
  </si>
  <si>
    <t>Passage à une garantie 7 ans formule Plus pour MacBook Pro 16" (intervention à J+1 - réparation à J+3 ou MacBook Pro 16")</t>
  </si>
  <si>
    <t>MI5-MBP-16-8-PLUS</t>
  </si>
  <si>
    <t>Passage à une garantie 8 ans formule Plus pour MacBook Pro 16" (intervention à J+1 - réparation à J+3 ou MacBook Pro 16")</t>
  </si>
  <si>
    <t>MI5-MBP-16-5-PRO</t>
  </si>
  <si>
    <t>Passage à une garantie 5 ans formule Pro pour MacBook Pro 16" (diagnostic à H+4 - remplacement à J+1)</t>
  </si>
  <si>
    <t>MI5-MBP-16-6-PRO</t>
  </si>
  <si>
    <t>Passage à une garantie 6 ans formule Pro pour MacBook Pro 16" (diagnostic à H+4 - remplacement à J+1)</t>
  </si>
  <si>
    <t>MI5-MBP-16-7-PRO</t>
  </si>
  <si>
    <t>Passage à une garantie 7 ans formule Pro pour MacBook Pro 16" (diagnostic à H+4 - remplacement à J+1)</t>
  </si>
  <si>
    <t>MI5-MBP-16-8-PRO</t>
  </si>
  <si>
    <t>Passage à une garantie 8 ans formule Pro pour MacBook Pro 16" (diagnostic à H+4 - remplacement à J+1)</t>
  </si>
  <si>
    <t>MI5-MBP-16-5-PLATINE</t>
  </si>
  <si>
    <t xml:space="preserve">Passage à une garantie 5 ans formule Platine pour MacBook Pro 16" (réparation sur site de J+1 à J+3 maximum) </t>
  </si>
  <si>
    <t>MI5-MBP-16-6-PLATINE</t>
  </si>
  <si>
    <t xml:space="preserve">Passage à une garantie 6 ans formule Platine pour MacBook Pro 16" (réparation sur site de J+1 à J+3 maximum) </t>
  </si>
  <si>
    <t>MI5-MBP-16-7-PLATINE</t>
  </si>
  <si>
    <t xml:space="preserve">Passage à une garantie 7 ans formule Platine pour MacBook Pro 16" (réparation sur site de J+1 à J+3 maximum) </t>
  </si>
  <si>
    <t>MI5-MBP-16-8-PLATINE</t>
  </si>
  <si>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</si>
  <si>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</si>
  <si>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</si>
  <si>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</si>
  <si>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</si>
  <si>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</si>
  <si>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</si>
  <si>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</si>
  <si>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</si>
  <si>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t>Service de conservation du disque dur pour une durée de 5 ans pour MacBook Pro 16" (Keep your own drive)</t>
  </si>
  <si>
    <t>MMFJ3FN/A</t>
  </si>
  <si>
    <t>MI5-MM-5-PLUS</t>
  </si>
  <si>
    <t>Catégorie 3 - Fixes à faible encombrement - Configuration 1</t>
  </si>
  <si>
    <t>30214000-2</t>
  </si>
  <si>
    <t>IA01</t>
  </si>
  <si>
    <t>Catégorie 3 - Fixes à faible encombrement - Configuration 3</t>
  </si>
  <si>
    <t>Garantie 5 ans formule Plus pour Mac mini (intervention à J+1 - réparation à J+3 ou Mac mini de prêt)</t>
  </si>
  <si>
    <t>IC01</t>
  </si>
  <si>
    <t>MI5-MM-6-PLUS</t>
  </si>
  <si>
    <t>Passage à une garantie 6 ans formule Plus pour Mac mini (intervention à J+1 - réparation à J+3 ou Mac mini de prêt)</t>
  </si>
  <si>
    <t>MI5-MM-7-PLUS</t>
  </si>
  <si>
    <t>Passage à une garantie 7 ans formule Plus pour Mac mini (intervention à J+1 - réparation à J+3 ou Mac mini de prêt)</t>
  </si>
  <si>
    <t>MI5-MM-8-PLUS</t>
  </si>
  <si>
    <t>Passage à une garantie 8 ans formule Plus pour Mac mini (intervention à J+1 - réparation à J+3 ou Mac mini de prêt)</t>
  </si>
  <si>
    <t>MI5-MM-5-PRO</t>
  </si>
  <si>
    <t>Passage à une garantie 5 ans formule Pro pour Mac mini (diagnostic à H+4 - remplacement à J+1)</t>
  </si>
  <si>
    <t>MI5-MM-6-PRO</t>
  </si>
  <si>
    <t>Passage à une garantie 6 ans formule Pro pour Mac mini (diagnostic à H+4 - remplacement à J+1)</t>
  </si>
  <si>
    <t>MI5-MM-7-PRO</t>
  </si>
  <si>
    <t>Passage à une garantie 7 ans formule Pro pour Mac mini (diagnostic à H+4 - remplacement à J+1)</t>
  </si>
  <si>
    <t>MI5-MM-8-PRO</t>
  </si>
  <si>
    <t>Passage à une garantie 8 ans formule Pro pour Mac mini (diagnostic à H+4 - remplacement à J+1)</t>
  </si>
  <si>
    <t>MI5-MM-5-PLATINE</t>
  </si>
  <si>
    <t>Passage à une garantie 5 ans formule Platine pour Mac mini (réparation sur site de J+1 à J+3 maximum)</t>
  </si>
  <si>
    <t>MI5-MM-6-PLATINE</t>
  </si>
  <si>
    <t>Passage à une garantie 6 ans formule Platine pour Mac mini(réparation sur site de J+1 à J+3 maximum)</t>
  </si>
  <si>
    <t>MI5-MM-7-PLATINE</t>
  </si>
  <si>
    <t>Passage à une garantie 7 ans formule Platine pour Mac mini (réparation sur site de J+1 à J+3 maximum)</t>
  </si>
  <si>
    <t>MI5-MM-8-PLATINE</t>
  </si>
  <si>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</si>
  <si>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</si>
  <si>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</si>
  <si>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</si>
  <si>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</si>
  <si>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</si>
  <si>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</si>
  <si>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Références respectivement en coloris : argent, bleu, rose, vert, mauve, jaune et orange</t>
  </si>
  <si>
    <t>MQR93FN/A - MQRC3FN/A - MQRD3FN/A - MQRA3FN/A</t>
  </si>
  <si>
    <t>MI5-IMAC-24-5-PLUS</t>
  </si>
  <si>
    <t>Catégorie 4 - Fixes bureautiques - Configuration 1</t>
  </si>
  <si>
    <t>Catégorie 4 - Fixes bureautiques - Configuration 2</t>
  </si>
  <si>
    <t>Garantie 5 ans formule Plus pour iMac 24" (intervention à J+1 - réparation à J+3 ou iMac 24" de prêt)</t>
  </si>
  <si>
    <t>MI5-IMAC-24-6-PLUS</t>
  </si>
  <si>
    <t>Passage à une garantie 6 ans formule Plus pour iMac 24" (intervention à J+1 - réparation à J+3 ou iMac 24" de prêt)</t>
  </si>
  <si>
    <t>MI5-IMAC-24-7-PLUS</t>
  </si>
  <si>
    <t>Passage à une garantie 7 ans formule Plus pour iMac 24" (intervention à J+1 - réparation à J+3 ou iMac 24" de prêt)</t>
  </si>
  <si>
    <t>MI5-IMAC-24-8-PLUS</t>
  </si>
  <si>
    <t>Passage à une garantie 8 ans formule Plus pour iMac 24" (intervention à J+1 - réparation à J+3 ou iMac 24" de prêt)</t>
  </si>
  <si>
    <t>MI5-IMAC-24-5-PRO</t>
  </si>
  <si>
    <t>Passage à une garantie 5 ans formule Pro pour iMac 24" (diagnostic à H+4 - remplacement à J+1)</t>
  </si>
  <si>
    <t>MI5-IMAC-24-6-PRO</t>
  </si>
  <si>
    <t>Passage à une garantie 6 ans formule Pro pour iMac 24" (diagnostic à H+4 - remplacement à J+1)</t>
  </si>
  <si>
    <t>MI5-IMAC-24-7-PRO</t>
  </si>
  <si>
    <t>Passage à une garantie 7 ans formule Pro pour iMac 24" (diagnostic à H+4 - remplacement à J+1)</t>
  </si>
  <si>
    <t>MI5-IMAC-24-8-PRO</t>
  </si>
  <si>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</si>
  <si>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</si>
  <si>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</si>
  <si>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</si>
  <si>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</si>
  <si>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</si>
  <si>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</si>
  <si>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</si>
  <si>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</si>
  <si>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</si>
  <si>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</si>
  <si>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</si>
  <si>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</si>
  <si>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</si>
  <si>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</si>
  <si>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Mac Studio M2 Ultra et M2 Max - Mi 2023</t>
  </si>
  <si>
    <t>MQH73FN/A</t>
  </si>
  <si>
    <t>Mac Studio / M2 Max CPU 12 cœurs GPU 30 cœurs / 32 Go / 512 Go SSD / 4x Thunderbolt 4 / 2x USB-C / 2x USB-A / 10 Gigabit Ethernet / HDMI / lecteur carte SDXC</t>
  </si>
  <si>
    <t>MI5-MS-5-PLUS</t>
  </si>
  <si>
    <t>Catégorie 5 - Fixes performants - Configuration 3</t>
  </si>
  <si>
    <t>CTO-MQH73-GPU30-64</t>
  </si>
  <si>
    <t>Puce Apple M2 Max avec CPU 12 cœurs, GPU 30 cœurs + 64 Go de mémoire unifiée</t>
  </si>
  <si>
    <t>CTO-MQH73-GPU38-32</t>
  </si>
  <si>
    <t>Puce Apple M2 Max avec CPU 12 cœurs, GPU 38 cœurs + 32 Go de mémoire unifiée</t>
  </si>
  <si>
    <t>CTO-MQH73-GPU38-64</t>
  </si>
  <si>
    <t>Puce Apple M2 Max avec CPU 12 cœurs, GPU 38 cœurs + 64 Go de mémoire unifiée</t>
  </si>
  <si>
    <t>CTO-MQH73-GPU38-96</t>
  </si>
  <si>
    <t>Puce Apple M2 Max avec CPU 12 cœurs, GPU 38 cœurs + 96 Go de mémoire unifiée</t>
  </si>
  <si>
    <t>CTO-MQH73-SSD1To</t>
  </si>
  <si>
    <t>Passage à 1 To de stockage SSD pour Mac Studio</t>
  </si>
  <si>
    <t>CTO-MQH73-SSD2To</t>
  </si>
  <si>
    <t>Passage à 2 To de stockage SSD pour Mac Studio</t>
  </si>
  <si>
    <t>CTO-MQH73-SSD4To</t>
  </si>
  <si>
    <t>Passage à 4 To de stockage SSD pour Mac Studio</t>
  </si>
  <si>
    <t>CTO-MQH73-SSD8To</t>
  </si>
  <si>
    <t>Passage à 8 To de stockage SSD pour Mac Studio</t>
  </si>
  <si>
    <t>MQH63FN/A</t>
  </si>
  <si>
    <t>Mac Studio / M2 Ultra CPU 24 cœurs GPU 60 cœurs / 64 Go / 1 To SSD / 6x Thunderbolt 4 / 2x USB-A / 10 Gigabit Ethernet / HDMI / lecteur carte SDXC</t>
  </si>
  <si>
    <t>Catégorie 5 - Fixes performants - Configuration 4</t>
  </si>
  <si>
    <t>CTO-MQH63-GPU60-128</t>
  </si>
  <si>
    <t>Puce Apple M2 Ultra avec CPU 24 cœurs, GPU 60 cœurs + 128 Go de mémoire unifiée</t>
  </si>
  <si>
    <t>CTO-MQH63-GPU60-192</t>
  </si>
  <si>
    <t>Puce Apple M2 Ultra avec CPU 24 cœurs, GPU 60 cœurs + 192 Go de mémoire unifiée</t>
  </si>
  <si>
    <t>CTO-MQH63-GPU76-64</t>
  </si>
  <si>
    <t>Puce Apple M2 Ultra avec CPU 24 cœurs, GPU 76 cœurs + 64 Go de mémoire unifiée</t>
  </si>
  <si>
    <t>CTO-MQH63-GPU76-128</t>
  </si>
  <si>
    <t>Puce Apple M2 Ultra avec CPU 24 cœurs, GPU 76 cœurs + 128 Go de mémoire unifiée</t>
  </si>
  <si>
    <t>CTO-MQH63-GPU76-192</t>
  </si>
  <si>
    <t>Puce Apple M2 Ultra avec CPU 24 cœurs, GPU 76 cœurs + 192 Go de mémoire unifiée</t>
  </si>
  <si>
    <t>CTO-MQH63-SSD2To</t>
  </si>
  <si>
    <t>CTO-MQH63-SSD4To</t>
  </si>
  <si>
    <t>CTO-MQH63-SSD8To</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</si>
  <si>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</si>
  <si>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</si>
  <si>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</si>
  <si>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</si>
  <si>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</si>
  <si>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</si>
  <si>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</si>
  <si>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</si>
  <si>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t>Passage à une garantie 5 ans formule Pro pour Mac Studio (diagnostic à H+4 - remplacement à J+1)</t>
  </si>
  <si>
    <t>MI5-MS-6-PRO</t>
  </si>
  <si>
    <t>Passage à une garantie 6 ans formule Pro pour Mac Studio (diagnostic à H+4 - remplacement à J+1)</t>
  </si>
  <si>
    <t>MI5-MS-7-PRO</t>
  </si>
  <si>
    <t>Passage à une garantie 7 ans formule Pro pour Mac Studio (diagnostic à H+4 - remplacement à J+1)</t>
  </si>
  <si>
    <t>MI5-MS-8-PRO</t>
  </si>
  <si>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</si>
  <si>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</si>
  <si>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</si>
  <si>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</si>
  <si>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</si>
  <si>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</si>
  <si>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</si>
  <si>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</si>
  <si>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</si>
  <si>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</si>
  <si>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</si>
  <si>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</si>
  <si>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</si>
  <si>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</si>
  <si>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</si>
  <si>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Z171</t>
  </si>
  <si>
    <t>MI5-MACPRO-5-PLUS</t>
  </si>
  <si>
    <t>Catégorie 5 - Fixes performants - Configuration 1</t>
  </si>
  <si>
    <t>Passage à un M2 Ultra avec CPU 24 cœurs GPU 76 cœurs pour Mac Pro Tour</t>
  </si>
  <si>
    <t>Passage à 128 Go de mémoire unifiée pour Mac Pro Tour</t>
  </si>
  <si>
    <t>Passage à 192 Go de mémoire unifiée pour Mac Pro Tour</t>
  </si>
  <si>
    <t>Passage à 2 To de stockage SSD pour Mac Pro Tour</t>
  </si>
  <si>
    <t>Passage à 4 To de stockage SSD pour Mac Pro Tour</t>
  </si>
  <si>
    <t>Passage à 8 To de stockage SSD pour Mac Pro Tour</t>
  </si>
  <si>
    <t>Passage à un châssis en acier inoxydable avec roulettes pour Mac Pro Tour</t>
  </si>
  <si>
    <t>Passage à un clavier Magic Keyboard avec Touch ID et pavé numérique anglais international pour Mac Pro Tour</t>
  </si>
  <si>
    <t>Passage à un clavier Magic Keyboard avec Touch ID et pavé numérique anglais britannique pour Mac Pro Tour</t>
  </si>
  <si>
    <t>Catégorie 5 - Fixes performants - Configuration 2</t>
  </si>
  <si>
    <t>Passage à un M2 Ultra avec CPU 24 cœurs GPU 76 cœurs pour Mac Pro Rack</t>
  </si>
  <si>
    <t>Passage à 128 Go de mémoire unifiée pour Mac Pro Rack</t>
  </si>
  <si>
    <t>Passage à 192 Go de mémoire unifiée pour Mac Pro Rack</t>
  </si>
  <si>
    <t>Passage à 2 To de stockage SSD pour Mac Pro Rack</t>
  </si>
  <si>
    <t>Passage à 4 To de stockage SSD pour Mac Pro Rack</t>
  </si>
  <si>
    <t>Passage à 8 To de stockage SSD pour Mac Pro Rack</t>
  </si>
  <si>
    <t>Garantie 5 ans formule Plus pour Mac Pro (intervention à J+1 - réparation à J+3 ou Mac Pro de prêt)</t>
  </si>
  <si>
    <t>66515000-3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</si>
  <si>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</si>
  <si>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</si>
  <si>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</si>
  <si>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</si>
  <si>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</si>
  <si>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</si>
  <si>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</si>
  <si>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t>Passage à une garantie 5 ans formule Pro pour Mac Pro (diagnostic à H+4 - remplacement à J+1)</t>
  </si>
  <si>
    <t>MI5-MACPRO-6-PRO</t>
  </si>
  <si>
    <t>Passage à une garantie 6 ans formule Pro pour Mac Pro (diagnostic à H+4 - remplacement à J+1)</t>
  </si>
  <si>
    <t>MI5-MACPRO-7-PRO</t>
  </si>
  <si>
    <t>Passage à une garantie 7 ans formule Pro pour Mac Pro (diagnostic à H+4 - remplacement à J+1)</t>
  </si>
  <si>
    <t>MI5-MACPRO-8-PRO</t>
  </si>
  <si>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</si>
  <si>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</si>
  <si>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</si>
  <si>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</si>
  <si>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</si>
  <si>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</si>
  <si>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</si>
  <si>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</si>
  <si>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</si>
  <si>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</si>
  <si>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</si>
  <si>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</si>
  <si>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</si>
  <si>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</si>
  <si>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</si>
  <si>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MI5-IPADMINI-5-PLUS</t>
  </si>
  <si>
    <t>Catégorie 6 - Tablettes - Configuration 1</t>
  </si>
  <si>
    <t>30213200-7</t>
  </si>
  <si>
    <t>Catégorie 6 - Tablettes - Configuration 2</t>
  </si>
  <si>
    <t>Catégorie 6 - Tablettes - Configuration 3</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</si>
  <si>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</si>
  <si>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</si>
  <si>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</si>
  <si>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</si>
  <si>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</si>
  <si>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t>Passage à une garantie 7 ans formule Plus pour iPad mini 7,9"  (intervention à J+1 - réparation à J+3 ou iPad de prêt)</t>
  </si>
  <si>
    <t>MI5-IPADMINI-8-PLUS</t>
  </si>
  <si>
    <t>Passage à une garantie 8 ans formule Plus pour iPad mini 7,9" (intervention à J+1 - réparation à J+3 ou iPad de prêt)</t>
  </si>
  <si>
    <t>MI5-IPADMINI-5-E-CARE</t>
  </si>
  <si>
    <t>Service de substitution forfaité d'une durée de 5 ans pour iPad mini 7,9"</t>
  </si>
  <si>
    <t>MI5-IPAD-5-PLUS</t>
  </si>
  <si>
    <t>Catégorie 6 - Tablettes - Configuration 5</t>
  </si>
  <si>
    <t>Catégorie 6 - Tablettes - Configuration 6</t>
  </si>
  <si>
    <t>Catégorie 6 - Tablettes - Configuration 7</t>
  </si>
  <si>
    <t>Catégorie 6 - Tablettes - Configuration 8</t>
  </si>
  <si>
    <t>MI5-IPAD-6-PLUS</t>
  </si>
  <si>
    <t>MI5-IPAD-7-PLUS</t>
  </si>
  <si>
    <t>MI5-IPAD-8-PLUS</t>
  </si>
  <si>
    <t>MI5-IPAD-5-E-CARE</t>
  </si>
  <si>
    <t>iPad 10,9" (10ème génération)</t>
  </si>
  <si>
    <t>Références respectivement en coloris : argent, bleu, rose et jaune</t>
  </si>
  <si>
    <t>iPad 10,9" (10e gén.) - A14 - Wi-Fi - 64 Go</t>
  </si>
  <si>
    <t>Catégorie 6 - Tablettes - Configuration 9</t>
  </si>
  <si>
    <t>iPad 10,9" (10e gén.) - A14 - Wi-Fi - 256 Go</t>
  </si>
  <si>
    <t>Catégorie 6 - Tablettes - Configuration 10</t>
  </si>
  <si>
    <t>iPad 10,9" (10e gén.) - A14 - Wi-Fi &amp; Cellulaire 5G - 64 Go</t>
  </si>
  <si>
    <t>Catégorie 6 - Tablettes - Configuration 11</t>
  </si>
  <si>
    <t>iPad 10,9" (10e gén.) - A14 - Wi-Fi &amp; Cellulaire 5G - 256 Go</t>
  </si>
  <si>
    <t>Catégorie 6 - Tablettes - Configuration 12</t>
  </si>
  <si>
    <t>Garantie 5 ans formule Plus pour iPad 10,9" (intervention à J+1 - réparation à J+3 ou iPad de prêt)</t>
  </si>
  <si>
    <t>Passage à une garantie 6 ans formule Plus pour iPad 10,9"  (intervention à J+1 - réparation à J+3 ou iPad de prêt)</t>
  </si>
  <si>
    <t>Passage à une garantie 7 ans formule Plus pour iPad 10,9"  (intervention à J+1 - réparation à J+3 ou iPad de prêt)</t>
  </si>
  <si>
    <t>Passage à une garantie 8 ans formule Plus pour iPad 10,9"  (intervention à J+1 - réparation à J+3 ou iPad de prêt)</t>
  </si>
  <si>
    <t>Service de substitution forfaité d'une durée de 5 ans pour iPad 10,9"</t>
  </si>
  <si>
    <t>iPad Air 11" M2 (6ème génération)</t>
  </si>
  <si>
    <t>Références respectivement en coloris : gris sidéral, lumière stellaire, bleu et mauve</t>
  </si>
  <si>
    <t>MI5-IPADAIR-5-PLUS</t>
  </si>
  <si>
    <t>Catégorie 6 - Tablettes - Configuration 13</t>
  </si>
  <si>
    <t>MUWC3NF/A - MUWE3NF/A - MUWD3NF/A - MUWF3NF/A</t>
  </si>
  <si>
    <t>iPad Air 11'' (6e gén.) - M2 - Wi-Fi - 128 Go</t>
  </si>
  <si>
    <t>MUWG3NF/A - MUWJ3NF/A - MUWH3NF/A - MUWK3NF/A</t>
  </si>
  <si>
    <t>iPad Air 11'' (6e gén.) - M2 - Wi-Fi - 256 Go</t>
  </si>
  <si>
    <t>Catégorie 6 - Tablettes - Configuration 14</t>
  </si>
  <si>
    <t>MUWL3NF/A - MUWN3NF/A - MUWM3NF/A - MUWP3NF/A</t>
  </si>
  <si>
    <t>iPad Air 11'' (6e gén.) - M2 - Wi-Fi - 512 Go</t>
  </si>
  <si>
    <t>Catégorie 6 - Tablettes - Configuration 15</t>
  </si>
  <si>
    <t>MUWQ3NF/A - MUWT3NF/A - MUWR3NF/A - MUWU3NF/A</t>
  </si>
  <si>
    <t>iPad Air 11'' (6e gén.) - M2 - Wi-Fi - 1 To</t>
  </si>
  <si>
    <t>Catégorie 6 - Tablettes - Configuration 16</t>
  </si>
  <si>
    <t>MUXD3NF/A - MUXF3NF/A - MUXE3NF/A - MUXG3NF/A</t>
  </si>
  <si>
    <t>iPad Air 11'' (6e gén.) - M2 - Wi-Fi &amp; Cellulaire - 128 Go</t>
  </si>
  <si>
    <t>Catégorie 6 - Tablettes - Configuration 17</t>
  </si>
  <si>
    <t>MUXH3NF/A - MUXK3NF/A - MUXJ3NF/A - MUXL3NF/A</t>
  </si>
  <si>
    <t>iPad Air 11'' (6e gén.) - M2 - Wi-Fi &amp; Cellulaire - 256 Go</t>
  </si>
  <si>
    <t>Catégorie 6 - Tablettes - Configuration 18</t>
  </si>
  <si>
    <t>MUXM3NF/A - MUXP3NF/A - MUXN3NF/A - MUXQ3NF/A</t>
  </si>
  <si>
    <t>iPad Air 11'' (6e gén.) - M2 - Wi-Fi &amp; Cellulaire - 512 Go</t>
  </si>
  <si>
    <t>Catégorie 6 - Tablettes - Configuration 19</t>
  </si>
  <si>
    <t>MUXR3NF/A - MUXU3NF/A - MUXT3NF/A - MUXV3NF/A</t>
  </si>
  <si>
    <t>iPad Air 11'' (6e gén.) - M2 - Wi-Fi &amp; Cellulaire - 1 To</t>
  </si>
  <si>
    <t>Catégorie 6 - Tablettes - Configuration 20</t>
  </si>
  <si>
    <t>MI5-IPADAIR11-5-PLUS</t>
  </si>
  <si>
    <t>Garantie 5 ans formule Plus pour iPad Air 11" (intervention à J+1 - réparation à J+3 ou iPad de prêt)</t>
  </si>
  <si>
    <t>MI5-IPADAIR11-6-PLUS</t>
  </si>
  <si>
    <t>Passage à une garantie 6 ans formule Plus pour iPad Air 11" (intervention à J+1 - réparation à J+3 ou iPad de prêt)</t>
  </si>
  <si>
    <t>MI5-IPADAIR11-7-PLUS</t>
  </si>
  <si>
    <t>Passage à une garantie 7 ans formule Plus pour iPad Air 11"  (intervention à J+1 - réparation à J+3 ou iPad de prêt)</t>
  </si>
  <si>
    <t>MI5-IPADAIR11-8-PLUS</t>
  </si>
  <si>
    <t>Passage à une garantie 8 ans formule Plus pour iPad Air 11" (intervention à J+1 - réparation à J+3 ou iPad de prêt)</t>
  </si>
  <si>
    <t>MI5-IPADAIR11-5-E-CARE</t>
  </si>
  <si>
    <t>Service de substitution forfaité d'une durée de 5 ans pour iPad Air 11"</t>
  </si>
  <si>
    <t>iPad Air 13" M2 (1ère génération)</t>
  </si>
  <si>
    <t>MV273NF/A - MV293NF/A - MV283NF/A - MV2C3NF/A</t>
  </si>
  <si>
    <t>iPad Air 13'' (1e gén.) - M2 - Wi-Fi - 128 Go</t>
  </si>
  <si>
    <t>Catégorie 6 - Tablettes - Configuration 21</t>
  </si>
  <si>
    <t>MV2D3NF/A - MV2G3NF/A - MV2F3NF/A - MV2H3NF/A</t>
  </si>
  <si>
    <t>iPad Air 13'' (1e gén.) - M2 - Wi-Fi - 256 Go</t>
  </si>
  <si>
    <t>Catégorie 6 - Tablettes - Configuration 22</t>
  </si>
  <si>
    <t>MV2J3NF/A - MV2L3NF/A - MV2K3NF/A - MV2N3NF/A</t>
  </si>
  <si>
    <t>iPad Air 13'' (1e gén.) - M2 - Wi-Fi - 512 Go</t>
  </si>
  <si>
    <t>Catégorie 6 - Tablettes - Configuration 23</t>
  </si>
  <si>
    <t>MV2P3NF/A - MV2R3NF/A - MV2Q3NF/A - MV2T3NF/A</t>
  </si>
  <si>
    <t>iPad Air 13'' (1e gén.) - M2 - Wi-Fi - 1 To</t>
  </si>
  <si>
    <t>Catégorie 6 - Tablettes - Configuration 24</t>
  </si>
  <si>
    <t>MV6Q3NF/A - MV6T3NF/A - MV6R3NF/A - MV6U3NF/A</t>
  </si>
  <si>
    <t>iPad Air 13'' (1e gén.) - M2 - Wi-Fi &amp; Cellulaire - 128 Go</t>
  </si>
  <si>
    <t>Catégorie 6 - Tablettes - Configuration 25</t>
  </si>
  <si>
    <t>MV6V3NF/A - MV6X3NF/A - MV6W3NF/A - MV6Y3NF/A</t>
  </si>
  <si>
    <t>iPad Air 13'' (1e gén.) - M2 - Wi-Fi &amp; Cellulaire - 256 Go</t>
  </si>
  <si>
    <t>Catégorie 6 - Tablettes - Configuration 26</t>
  </si>
  <si>
    <t>MV703NF/A - MV723NF/A - MV713NF/A - MV733NF/A</t>
  </si>
  <si>
    <t>iPad Air 13'' (1e gén.) - M2 - Wi-Fi &amp; Cellulaire - 512 Go</t>
  </si>
  <si>
    <t>Catégorie 6 - Tablettes - Configuration 27</t>
  </si>
  <si>
    <t>MV743NF/A - MV763NF/A - MV753NF/A - MV773NF/A</t>
  </si>
  <si>
    <t>iPad Air 13'' (1e gén.) - M2 - Wi-Fi &amp; Cellulaire - 1To</t>
  </si>
  <si>
    <t>Catégorie 6 - Tablettes - Configuration 28</t>
  </si>
  <si>
    <t>MI5-IPADAIR13-5-PLUS</t>
  </si>
  <si>
    <t>Garantie 5 ans formule Plus pour iPad Air 13" (intervention à J+1 - réparation à J+3 ou iPad de prêt)</t>
  </si>
  <si>
    <t>MI5-IPADAIR13-6-PLUS</t>
  </si>
  <si>
    <t>Passage à une garantie 6 ans formule Plus pour iPad Air 13" (intervention à J+1 - réparation à J+3 ou iPad de prêt)</t>
  </si>
  <si>
    <t>MI5-IPADAIR13-7-PLUS</t>
  </si>
  <si>
    <t>Passage à une garantie 7 ans formule Plus pour iPad Air 13"  (intervention à J+1 - réparation à J+3 ou iPad de prêt)</t>
  </si>
  <si>
    <t>MI5-IPADAIR13-8-PLUS</t>
  </si>
  <si>
    <t>Passage à une garantie 8 ans formule Plus pour iPad Air 13" (intervention à J+1 - réparation à J+3 ou iPad de prêt)</t>
  </si>
  <si>
    <t>MI5-IPADAIR13-5-E-CARE</t>
  </si>
  <si>
    <t>Service de substitution forfaité d'une durée de 5 ans pour iPad Air 13"</t>
  </si>
  <si>
    <t>iPad Pro 11" M4 (5ème génération)</t>
  </si>
  <si>
    <t>Références respectivement en coloris : noir sidéral et argent</t>
  </si>
  <si>
    <t>MI5-IPADPRO11-5-PLUS</t>
  </si>
  <si>
    <t>MVV83NF/A - MVV93NF/A</t>
  </si>
  <si>
    <t>iPad Pro 11" (5e gén.) - M4 - Wi-FI - 256 Go</t>
  </si>
  <si>
    <t>Catégorie 6 - Tablettes - Configuration 29</t>
  </si>
  <si>
    <t>MVVC3NF/A - MVVD3NF/A</t>
  </si>
  <si>
    <t>iPad Pro 11" (5e gén.) - M4 - Wi-FI - 512 Go</t>
  </si>
  <si>
    <t>Catégorie 6 - Tablettes - Configuration 30</t>
  </si>
  <si>
    <t>MVVE3NF/A - MVVF3NF/A</t>
  </si>
  <si>
    <t>iPad Pro 11" (5e gén.) - M4 - Wi-FI - 1 To</t>
  </si>
  <si>
    <t>Catégorie 6 - Tablettes - Configuration 31</t>
  </si>
  <si>
    <t>MWR63NF/A - MWR73NF/A</t>
  </si>
  <si>
    <t>iPad Pro 11" (5e gén.) - M4 - Wi-FI - Verre nano-texturé - 1 To</t>
  </si>
  <si>
    <t>Catégorie 6 - Tablettes - Configuration 32</t>
  </si>
  <si>
    <t>MVW13NF/A - MVW23NF/A</t>
  </si>
  <si>
    <t>iPad Pro 11" (5e gén.) - M4 - Wi-Fi &amp; Cellulaire - 256 Go</t>
  </si>
  <si>
    <t>Catégorie 6 - Tablettes - Configuration 33</t>
  </si>
  <si>
    <t>MVW33NF/A - MVW43NF/A</t>
  </si>
  <si>
    <t>iPad Pro 11" (5e gén.) - M4 - Wi-Fi &amp; Cellulaire - 512 Go</t>
  </si>
  <si>
    <t>Catégorie 6 - Tablettes - Configuration 34</t>
  </si>
  <si>
    <t>MVW53NF/A - MVW63NF/A</t>
  </si>
  <si>
    <t>iPad Pro 11" (5e gén.) - M4 - Wi-Fi &amp; Cellulaire - 1 To</t>
  </si>
  <si>
    <t>Catégorie 6 - Tablettes - Configuration 35</t>
  </si>
  <si>
    <t>MWRP3NF/A - MWRQ3NF/A</t>
  </si>
  <si>
    <t>iPad Pro 11" (5e gén.) - M4 - Wi-Fi &amp; Cellulaire - Verre nano-texturé - 1 To</t>
  </si>
  <si>
    <t>Catégorie 6 - Tablettes - Configuration 36</t>
  </si>
  <si>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</si>
  <si>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</si>
  <si>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</si>
  <si>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</si>
  <si>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t>Passage à une garantie 7 ans formule Plus pour iPad Pro 11" (intervention à J+1 - réparation à J+3 ou iPad de prêt)</t>
  </si>
  <si>
    <t>MI5-IPADPRO11-8-PLUS</t>
  </si>
  <si>
    <t>Passage à une garantie 8 ans formule Plus pour iPad Pro 11" (intervention à J+1 - réparation à J+3 ou iPad de prêt)</t>
  </si>
  <si>
    <t>MI5-IPADPRO11-5-E-CARE</t>
  </si>
  <si>
    <t>Service de substitution forfaité d'une durée de 5 ans pour iPad Pro 11"</t>
  </si>
  <si>
    <t>iPad Pro 13" M4 (7ème génération)</t>
  </si>
  <si>
    <t>MI5-IPADPRO12-5-PLUS</t>
  </si>
  <si>
    <t>MVX23NF/A - MVX33NF/A</t>
  </si>
  <si>
    <t>Catégorie 6 - Tablettes - Configuration 37</t>
  </si>
  <si>
    <t>MVX43NF/A - MVX53NF/A</t>
  </si>
  <si>
    <t>Catégorie 6 - Tablettes - Configuration 38</t>
  </si>
  <si>
    <t>MVX63NF/A - MVX73NF/A</t>
  </si>
  <si>
    <t>Catégorie 6 - Tablettes - Configuration 39</t>
  </si>
  <si>
    <t>MWRF3NF/A - MWRG3NF/A</t>
  </si>
  <si>
    <t>MVXR3NF/A - MVXT3NF/A</t>
  </si>
  <si>
    <t xml:space="preserve">30213200-7 </t>
  </si>
  <si>
    <t>MVXU3NF/A - MVXV3NF/A</t>
  </si>
  <si>
    <t>MVXW3NF/A - MVXX3NF/A</t>
  </si>
  <si>
    <t>MWRY3NF/A - MWT03NF/A</t>
  </si>
  <si>
    <t>MI5-IPADPRO13-5-PLUS</t>
  </si>
  <si>
    <t>Garantie 5 ans formule Plus pour iPad Pro 13" (intervention à J+1 - réparation à J+3 ou iPad de prêt)</t>
  </si>
  <si>
    <t>MI5-IPADPRO13-6-PLUS</t>
  </si>
  <si>
    <t>Passage à une garantie 6 ans formule Plus pour iPad Pro 13"  (intervention à J+1 - réparation à J+3 ou iPad de prêt)</t>
  </si>
  <si>
    <t>MI5-IPADPRO13-7-PLUS</t>
  </si>
  <si>
    <t>Passage à une garantie 7 ans formule Plus pour iPad Pro 13"  (intervention à J+1 - réparation à J+3 ou iPad de prêt)</t>
  </si>
  <si>
    <t>MI5-IPADPRO13-8-PLUS</t>
  </si>
  <si>
    <t>Passage à une garantie 8 ans formule Plus pour iPad Pro 13" (intervention à J+1 - réparation à J+3 ou iPad de prêt)</t>
  </si>
  <si>
    <t>MI5-IPADPRO13-5-E-CARE</t>
  </si>
  <si>
    <t>Service de substitution forfaité d'une durée de 5 ans pour iPad Pro 13"</t>
  </si>
  <si>
    <t>ATTENTION : POUR LES DROM-COM, LE PRIX DES CONFIGURATIONS INCLUENT UNIQUEMENT LA GARANTIE LIMITÉE D'UN AN APPLE</t>
  </si>
  <si>
    <r>
      <rPr>
        <b/>
        <sz val="14"/>
        <color rgb="FF2CAB42"/>
        <rFont val="Calibri (Corps)"/>
      </rP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</si>
  <si>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Moniteurs</t>
  </si>
  <si>
    <t xml:space="preserve">Moniteurs standard - Moniteur station d'accueil </t>
  </si>
  <si>
    <t>XUB2492HSU-B6</t>
  </si>
  <si>
    <t>Iiyama moniteur 24'' ProLite - IPS - LED - 1920x1080 - 100Hz - 16:9 - 250 cd/m² - 1300:1 - 0,4 ms - 1xHDMI 1.4 - 1xDisplayPort 1.2 - 4xUSB-A 3.1 Gen 1 - TCO 8 - Noir</t>
  </si>
  <si>
    <t>IIYAMA</t>
  </si>
  <si>
    <t>IA24</t>
  </si>
  <si>
    <t>XUB2792HSU-B6</t>
  </si>
  <si>
    <t>Iiyama moniteur 27'' ProLite - IPS - LED - 1920x1080 - 100Hz - 16:9 - 250 cd/m² - 1300:1 - 0,4 ms - 1xHDMI 1.4 - 1xDisplayPort 1.2 - 4xUSB-A 3.1 Gen 1 - TCO 8 - Noir</t>
  </si>
  <si>
    <t>XB3288UHSU-B5</t>
  </si>
  <si>
    <t>Iiyama moniteur 32" ProLite - VA - LED  - 3840x2160 - 60 Hz - 16:9 - 300 cd/m² - 3000:1 - 3ms - 8 bits + FRC - 2xHDMI 2.0 - 1xDisplayPort 1.2 - 2xUSB-A 3.1 Gen 1 - Noir</t>
  </si>
  <si>
    <t>XUB3493WQSU-B5</t>
  </si>
  <si>
    <t>Iiyama moniteur 34'' ProLite - ADS-IPS - LED - 3440x1440 - 75Hz - 21:9 - 400 cd/m² - 1 000:1 - 4 ms - 6 bits + FRC - 2xHDMI 2.0 - 1xDisplayPort 1.2 - 2xUSB-A 3.1 Gen 1 - Noir</t>
  </si>
  <si>
    <t>242B1G/00</t>
  </si>
  <si>
    <t>Philips moniteur écologique 24'' IPS W-LED B-line - DisplayPort 1.2, HDMI 1.4, DVI-D, 16:9, résolution 1920 x 1080, 75Hz, 250 cd/m², contraste de 1000:1, 4 ms, très faible consommation - Noir</t>
  </si>
  <si>
    <t>PHILIPS</t>
  </si>
  <si>
    <t>276B1/00</t>
  </si>
  <si>
    <t>Philips moniteur 27'' LED Brilliance B-line - IPS W-LED - 2560 x 1440 - 75 Hz - 16:9 - 350 cd/m² - 1000:1 - 4 ms - 1xUSB-C 3.2 Gen 1 90W - 2xHDMI 1.4 - 1xDisplayPort 1.4 - 1xGigabit Ethernet - 4xUSB-A 3.2 - Noir</t>
  </si>
  <si>
    <t>27B1U5601H/00</t>
  </si>
  <si>
    <t>Philips moniteur 27'' LED Brilliance B-line - IPS W-LED - 2560 x 1440 - 75 Hz - 16:9 - 350 cd/m² - 1000:1 - 4 ms - 1xUSB-C 3.2 Gen 2 100W - 1xHDMI 1.4 - 1xDisplaytPort 1.4 - 1xGigabit Ethernet - 4xUSB-A 3.2 - 1xUSB-C 3.2 - Webcam intégrée - Noir</t>
  </si>
  <si>
    <t>329P1H/00</t>
  </si>
  <si>
    <t>Philips moniteur 32'' 4K IPS W-LED  P-line - USB-C 3.2 90W, 2x HDMI 2.0, DisplayPort 1.4, 4x USB, Ethernet - 16:9, résolution 3840x2160, 60Hz, 350 cd/m², constraste de 1000:1, 4 ms - Webcam intégrée - Noir</t>
  </si>
  <si>
    <t>346B1C/00</t>
  </si>
  <si>
    <t>Philips moniteur 34'' Incurvé LED Brilliance B-line (HDMI, DisplayPort, USB-C avec Port RJ45, 4x USB 3,2 -  21:9 résolution 3440x1440, 5 ms, noir, réglable en hauteur)</t>
  </si>
  <si>
    <t>LF24T450FQRXEN</t>
  </si>
  <si>
    <t>Samsung F24T450FQR - T45F Series - écran LED 24" - Full HD (1080p) 1920 x 1080 @ 75 Hz 250 cd/m² 1000: 15 ms 2xHDMI,DisplayPort - noir</t>
  </si>
  <si>
    <t>SAMSUNG</t>
  </si>
  <si>
    <t>LS27A60PUUUXEN</t>
  </si>
  <si>
    <t>Samsung Professionnel ViewFinity 27"- IPS - LED - 2560 x 1440 - 75 Hz - 16:9 - HDR10 - 300 cd/m² - 1000:1 - 5 ms - 1xHDMI 1.4 - 1xDisplayPort 1.2 - 1xUSB-C 3.1 Gen 1 90W - 1xGigabit Ethernet - 3xUSB-A 3.0 - Noir</t>
  </si>
  <si>
    <t>LS34C652VAUXEN</t>
  </si>
  <si>
    <t>Samsung Professionnel ViewFinity 34" - VA - LED - 3440 x 1440 - 100 Hz - 21:9 - HDR10 - 350 cd/m² - 3000:1 - 5 ms - 1xHDMI 2.0 - 1xDisplayPort 1.2 - 1xUSB-C 3.1 Gen 1 90W - 1xGigabit Ethernet - 2xUSB-A 3.1 Gen 1 - Noir</t>
  </si>
  <si>
    <t>VIEWSONIC</t>
  </si>
  <si>
    <t>VG2755-2k</t>
  </si>
  <si>
    <t>Viewsonic moniteur 27" - IPS - LED - 2560x1440 - 60Hz - 16:9 - 350 cd/m²- 1000:1 - 5 ms - 8 bits - 1xHDMI 1.4 - 1xDisplayPort 1.2 - 3xUSB-A 3.1 Gen 1 - 1xUSB-C 3.1 Gen 1 60W - Noir</t>
  </si>
  <si>
    <t>VG2756-4K</t>
  </si>
  <si>
    <t>Viewsonic moniteur 27" - IPS - LED - 3840x2160 - 60Hz - 16:9 - 350 cd/m²- 1000:1 - 5 ms - 8 bits + FRC - 2xHDMI 2.0 - 1xDisplayPort 1.2 - 2xUSB-A 3.1 Gen 1 - 1xUSB-C 3.1 Gen 1 90W - Noir</t>
  </si>
  <si>
    <t>VP2786-4K</t>
  </si>
  <si>
    <t>Viewsonic moniteur 27" Color Pro avec sonde de calibration - IPS - LED - 3840x2160 - 60Hz - 16:9 - 350 cd/m²- 1000:1 - 5 ms - 10 bits - HDR/HDR10 - Delta &lt;2 - Adobe RGB 113% - SRGB 152% - DCI-P3 112% - Rec. 709 152% - 2xHDMI 2.0 - 1xDisplayPort 1.4 - 4xUSB-A 3.2 - 1xUSB-C 3.2 90W - Noir</t>
  </si>
  <si>
    <t>VP3256-4K</t>
  </si>
  <si>
    <t>Viewsonic moniteur 32"- IPS LED - 2xHDMI, DisplayPort, 2xUSB-A 3.1, USB-B 3.1, USB-C 3.1 - 16:9 - Résolution de 3840x2160 - 60 Hz - 350 cd/m² - Contraste de 1000:1 - 5ms - Noir</t>
  </si>
  <si>
    <t>VG3419C</t>
  </si>
  <si>
    <t>Viewsonic moniteur 34" - incurvé - VA - LED - 3440x1440 - 120Hz - 21:9 - 300 cd/m²- 3000:1 - 3,5 ms - 8 bits - 1xHDMI 2.0 - 1xDisplayPort 1.4 - 1xGigabit Ethernet - 3xUSB-A 3.2 - 1xUSB-C 3.2 65W - Noir</t>
  </si>
  <si>
    <t>Stockages externes</t>
  </si>
  <si>
    <t>Clés USB - Cartes SD - Disques durs externes - SSD externes - Baies de stockage (NAS)</t>
  </si>
  <si>
    <t>SDCS2/32GB</t>
  </si>
  <si>
    <t>Cartes mémoires Kingston Canvas Select Plus 32 Go</t>
  </si>
  <si>
    <t>KINGSTON</t>
  </si>
  <si>
    <t>Accessoires</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</si>
  <si>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</si>
  <si>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</si>
  <si>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</si>
  <si>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</si>
  <si>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</si>
  <si>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</si>
  <si>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Clé USB Verbatim PinStripe USB Drive 8 Go</t>
  </si>
  <si>
    <t>VERBATIM</t>
  </si>
  <si>
    <t>Clé USB Verbatim PinStripe USB Drive 16 Go</t>
  </si>
  <si>
    <t>SDDDC2-032G-G46</t>
  </si>
  <si>
    <t>Sandisk Ultra Dual Drive - 32 Go - Clé USB (Jusqu'à 150 Mo/s) - USB-C 3.1 et USB-A 3.1</t>
  </si>
  <si>
    <t>SANDISK</t>
  </si>
  <si>
    <t>SDDDC2-064G-G46</t>
  </si>
  <si>
    <t>Sandisk Ultra Dual Drive - 64 Go - Clé USB (Jusqu'à 150 Mo/s) - USB-C 3.1 et USB-A 3.1</t>
  </si>
  <si>
    <t>SDDDC2-128G-G46</t>
  </si>
  <si>
    <t>Sandisk Ultra Dual Drive - 128 Go - Clé USB (Jusqu'à 150 Mo/s) - USB-C 3.1 et USB-A 3.1</t>
  </si>
  <si>
    <t>SDDDC2-256G-G46</t>
  </si>
  <si>
    <t>Sandisk Ultra Dual Drive - 256 Go - Clé USB (Jusqu'à 150 Mo/s) - USB-C 3.1 et USB-A 3.1</t>
  </si>
  <si>
    <t>MUF-64DA/APC</t>
  </si>
  <si>
    <t>Samsung Clé USB (jusqu'à 400 Mo/s) - 64 Go - USB-C 3.1 - Résistant à l'eau</t>
  </si>
  <si>
    <t>MUF-128DA/APC</t>
  </si>
  <si>
    <t>Samsung Clé USB (jusqu'à 400 Mo/s) - 128 Go - USB-C 3.1 - Résistant à l'eau</t>
  </si>
  <si>
    <t>MUF-256DA/APC</t>
  </si>
  <si>
    <t>Samsung Clé USB (jusqu'à 400 Mo/s) - 256 Go - USB-C 3.1 - Résistant à l'eau</t>
  </si>
  <si>
    <t>DTMAX/256GB</t>
  </si>
  <si>
    <t>Kingston DataTraveler Max - 256 Go - Clé USB hautes performances (Jusqu’à 1 000 Mo/s) - USB-C 3.2 Gen2</t>
  </si>
  <si>
    <t>DTMAX/512GB</t>
  </si>
  <si>
    <t>Kingston DataTraveler Max - 512 Go - Clé USB hautes performances (Jusqu’à 1 000 Mo/s) - USB-C 3.2 Gen2</t>
  </si>
  <si>
    <t>DTMAX/1TB</t>
  </si>
  <si>
    <t>Kingston DataTraveler Max - 1 To - Clé USB hautes performances (Jusqu’à 1 000 Mo/s) - USB-C 3.2 Gen2</t>
  </si>
  <si>
    <t>LACIE</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</si>
  <si>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</si>
  <si>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</si>
  <si>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</si>
  <si>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</si>
  <si>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</si>
  <si>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</si>
  <si>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STHR4000800</t>
  </si>
  <si>
    <t>LaCie Rugged SSD 4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</si>
  <si>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</si>
  <si>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</si>
  <si>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</si>
  <si>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</si>
  <si>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STHZ4000800</t>
  </si>
  <si>
    <t>LaCie Rugged SSD Pro 4 To  - SSD externe portable  - Thunderbolt 3 - Jusqu'à 2 800 Mo/s - Étanche IP67 - Noir</t>
  </si>
  <si>
    <t>STFR1000800</t>
  </si>
  <si>
    <t>LaCie Rugged - Disque dur externe - 1 To - USB-C 3.1 Gen 1 - Orange</t>
  </si>
  <si>
    <t>STFR2000800</t>
  </si>
  <si>
    <t>LaCie Rugged - Disque dur externe - 2 To - USB-C 3.1 Gen 1 - Orange</t>
  </si>
  <si>
    <t>STFR4000800</t>
  </si>
  <si>
    <t>LaCie Rugged - Disque dur externe - 4 To - USB-C 3.1 Gen 1 - Orange</t>
  </si>
  <si>
    <t>STFR5000800</t>
  </si>
  <si>
    <t>LaCie Rugged - Disque dur externe - 5 To - USB-C 3.1 Gen 1 - Orange</t>
  </si>
  <si>
    <t>STFR2000403</t>
  </si>
  <si>
    <t>LaCie Rugged Secure - Disque dur externe - 2 To - Chiffré AES 256 bits - USB-C 3.1 Gen 1 - Orange</t>
  </si>
  <si>
    <t>LaCie Rugged Mini - Disque dur - 2 To - externe (portable) - USB 3.0</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</si>
  <si>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</si>
  <si>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</si>
  <si>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</si>
  <si>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</si>
  <si>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</si>
  <si>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</si>
  <si>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</si>
  <si>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</si>
  <si>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STLR2000400</t>
  </si>
  <si>
    <t>LaCie Mobile Drive V2 Secure 2 To - Disque dur externe portable - USB-C  3.1 - Gris sidéral</t>
  </si>
  <si>
    <t xml:space="preserve">STLR4000400 </t>
  </si>
  <si>
    <t>LaCie Mobile Drive V2 Secure 4 To - Disque dur externe portable - USB-C  3.1 - Gris sidéral</t>
  </si>
  <si>
    <t>STLR5000400</t>
  </si>
  <si>
    <t>LaCie Mobile Drive V2 Secure 5 To - Disque dur externe portable - USB-C  3.1 - Gris sidéral</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</si>
  <si>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</si>
  <si>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</si>
  <si>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</si>
  <si>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</si>
  <si>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</si>
  <si>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</si>
  <si>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</si>
  <si>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</si>
  <si>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</si>
  <si>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</si>
  <si>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</si>
  <si>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</si>
  <si>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</si>
  <si>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</si>
  <si>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</si>
  <si>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</si>
  <si>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STKP6000400</t>
  </si>
  <si>
    <t>Seagate Expansion Desktop STKP6000400 - Disque dur - 6 To - externe (de bureau) - USB 3.0</t>
  </si>
  <si>
    <t>SEAGATE</t>
  </si>
  <si>
    <t>STKP8000400</t>
  </si>
  <si>
    <t>Seagate Expansion Desktop STKP8000400 - Disque dur - 8 To - externe (de bureau) - USB 3.0</t>
  </si>
  <si>
    <t>STKP10000400</t>
  </si>
  <si>
    <t>Seagate Expansion Desktop STKP10000400 - Disque dur - 10 To - externe (de bureau) - USB 3.0 - noir</t>
  </si>
  <si>
    <t>STKM1000400</t>
  </si>
  <si>
    <t>Seagate Expansion STKM1000400 - Disque dur - 1 To - externe (portable) - USB 3.0</t>
  </si>
  <si>
    <t>STKM2000400</t>
  </si>
  <si>
    <t>Seagate Expansion STKM2000400 - Disque dur - 2 To - externe (portable) - USB 3.0</t>
  </si>
  <si>
    <t>STKM4000400</t>
  </si>
  <si>
    <t>Seagate Expansion STKM4000400 - Disque dur - 4 To - externe (portable) - 2.5' - USB 3.0</t>
  </si>
  <si>
    <t>STKM5000400</t>
  </si>
  <si>
    <t>Seagate Expansion STKM5000400 - Disque dur - 5 To - externe (portable) - USB 3.0 - noir</t>
  </si>
  <si>
    <t>WDBMUT0040JWT-EESN</t>
  </si>
  <si>
    <t>Western Digital My Cloud Home Duo - Dispositif de stockage personnel dans le nuage - 4 To - HDD 2 To x 2 - Gigabit Ethernet</t>
  </si>
  <si>
    <t>WESTERN DIGITAL</t>
  </si>
  <si>
    <t>Périphériques d'entrée</t>
  </si>
  <si>
    <t>Claviers - Souris - Pencils - Coques clavier pour iPad - Webcams - Accessoires de saisie</t>
  </si>
  <si>
    <t>MQ052F/A</t>
  </si>
  <si>
    <t>Apple clavier Magic Keyboard avec pavé numérique - Bluetooth - Rechargeable Lightning - Argent - Français</t>
  </si>
  <si>
    <t>MQ052Z/A</t>
  </si>
  <si>
    <t>Apple clavier Magic Keyboard avec pavé numérique - Bluetooth - Rechargeable Lightning - Argent - Anglais international</t>
  </si>
  <si>
    <t>MQ052LB/A</t>
  </si>
  <si>
    <t>MQ052B/A</t>
  </si>
  <si>
    <t>Apple clavier Magic Keyboard avec pavé numérique - Bluetooth - Rechargeable Lightning - Argent - Anglais britanique</t>
  </si>
  <si>
    <t>MX3L2F/A</t>
  </si>
  <si>
    <t>Apple Smart Keyboard pour iPad (7,8 et 9e gén), iPad Air 10,5" (3e gén) et iPad Pro 10,5'' - Anthracite - AZERTY</t>
  </si>
  <si>
    <t>MX3L2LB/A</t>
  </si>
  <si>
    <t>Apple Smart Keyboard pour iPad (7,8 et 9e gén), iPad Air 10,5" (3e gén) et iPad Pro 10,5'' - Anthracite - QWERTY</t>
  </si>
  <si>
    <t>MXNK2F/A</t>
  </si>
  <si>
    <t>MXNK2LB/A</t>
  </si>
  <si>
    <t>MXNL2F/A</t>
  </si>
  <si>
    <t>MXNL2LB/A</t>
  </si>
  <si>
    <t>MQDP3F/A</t>
  </si>
  <si>
    <t>Apple Magic Keyboard Folio pour iPad 10,9" (10e gén) - Blanc - AZERTY</t>
  </si>
  <si>
    <t>MQDP3LB/A</t>
  </si>
  <si>
    <t xml:space="preserve">Apple Magic Keyboard Folio pour iPad 10,9" (10e gén) - Blanc - QWERTY </t>
  </si>
  <si>
    <t>MJQJ3F/A</t>
  </si>
  <si>
    <t>Apple Magic Keyboard pour iPad Pro 11'' (1,2,3 et 4e gén) et iPad Air 11" (4,5 et 6e gén.) - Blanc - AZERTY</t>
  </si>
  <si>
    <t>MXQT2F/A</t>
  </si>
  <si>
    <t>Apple Magic Keyboard pour iPad Pro 11'' (1,2,3 et 4e gén) et iPad Air 11" (4,5 et 6e gén.) - Noir - AZERTY</t>
  </si>
  <si>
    <t>MJQJ3LB/A</t>
  </si>
  <si>
    <t>MXQT2LB/A</t>
  </si>
  <si>
    <t>MJQL3F/A</t>
  </si>
  <si>
    <t>Apple Magic Keyboard pour iPad Pro 12,9'' (3,4,5 et 6e gén) et iPad Air 13" (1er gén) - Blanc - AZERTY</t>
  </si>
  <si>
    <t>MJQK3F/A</t>
  </si>
  <si>
    <t>Apple Magic Keyboard pour iPad Pro 12,9'' (3,4,5 et 6e gén) et iPad Air 13" (1er gén) - Noir - AZERTY</t>
  </si>
  <si>
    <t>MJQL3LB/A</t>
  </si>
  <si>
    <t>MJQK3LB/A</t>
  </si>
  <si>
    <t>MWR03F/A</t>
  </si>
  <si>
    <t>Apple Magic Keyboard pour iPad Pro 11" (5ème gén) - Blanc - AZERTY</t>
  </si>
  <si>
    <t>MWR23F/A</t>
  </si>
  <si>
    <t>Apple Magic Keyboard pour iPad Pro 11" (5ème gén) - Noir - AZERTY</t>
  </si>
  <si>
    <t>MWR43F/A</t>
  </si>
  <si>
    <t>Apple Magic Keyboard pour iPad Pro 13" (7ème gén) - Blanc - AZERTY</t>
  </si>
  <si>
    <t>MWR53F/A</t>
  </si>
  <si>
    <t>Apple Magic Keyboard pour iPad Pro 13" (7ème gén) - Noir - AZERTY</t>
  </si>
  <si>
    <t>BBZ001fr-v1</t>
  </si>
  <si>
    <t>Belkin Étui-clavier Everyday - Avec support - Bluetooth - Pour iPad Pro 11'' (1,2,3 et 4e gén) et iPad Air 10,9" (4 et 5e gén.) - Noir - AZERTY</t>
  </si>
  <si>
    <t>BELKIN</t>
  </si>
  <si>
    <t>BBZ002fr-v1</t>
  </si>
  <si>
    <t>BBZ003fr-v1</t>
  </si>
  <si>
    <t>920-009657</t>
  </si>
  <si>
    <t>Logitech Rugged Combo 3 - Pour iPad (7th, 8th and 9th gen) - Bleu classique - AZERTY</t>
  </si>
  <si>
    <t>LOGITECH</t>
  </si>
  <si>
    <t>920-010362</t>
  </si>
  <si>
    <t>Logitech Rugged Combo 3 Touch - Pour iPad (7th, 8th and 9th gen) - Bleu classique - AZERTY</t>
  </si>
  <si>
    <t>920-009625</t>
  </si>
  <si>
    <t>Logitech Combo Touch - Pour iPad (7th, 8th and 9th gen) - Graphite - AZERTY</t>
  </si>
  <si>
    <t>920-011436</t>
  </si>
  <si>
    <t>920-010298</t>
  </si>
  <si>
    <t>920-010168</t>
  </si>
  <si>
    <t>Logitech Combo touch - Pour iPad Pro 11" (1st, 2nd, 3rd &amp; 4th gen) - Sable - AZERTY</t>
  </si>
  <si>
    <t>920-010144</t>
  </si>
  <si>
    <t>920-010218</t>
  </si>
  <si>
    <t>Logitech Combo touch - Pour iPad Pro 12.9-inch (5th &amp; 6th gen) - Sable - AZERTY</t>
  </si>
  <si>
    <t>920-010210</t>
  </si>
  <si>
    <t>MQLY3ZM/A</t>
  </si>
  <si>
    <t>MUWA3ZM/A</t>
  </si>
  <si>
    <t>Apple Pencil USB-C - Pour iPad Pro 12,9" (3,4,5 et 6ème gén), iPad Pro 11" (1,2,3 et 4ème gén), iPad Air (4 et 5ème gén), iPad 10,9" (10ème gén) et iPad mini (6ème gén)</t>
  </si>
  <si>
    <t>MU8F2ZM/A</t>
  </si>
  <si>
    <t>Apple Pencil 2ème génération pour iPad Pro 11"(1,2,3 et 4e gén.), iPad Pro 12,9" (3,4,5 et 6e gén.), iPad mini (6e gén.) iPad Air (4 et 5e gén.)</t>
  </si>
  <si>
    <t>MX2D3ZM/A</t>
  </si>
  <si>
    <t>Apple Pencil Pro - Pour iPad Air 11" (6ème gén), iPad Air 13" (1er gén), iPad Pro 11 (5ème gén) et iPad Pro 13" (7ème gén)</t>
  </si>
  <si>
    <t>MLUN2ZM/A</t>
  </si>
  <si>
    <t>Apple pointes pour Apple Pencil - Lot de 4 - Pour Apple Pencil 1ère et 2ème génération</t>
  </si>
  <si>
    <t>Apple adaptateur USB‑C vers Apple Pencil 1ère génération Lightning femelle</t>
  </si>
  <si>
    <t>920-010520</t>
  </si>
  <si>
    <t>Logitech MX Keys mini Pour Mac - Clavier rétroéclairé - Sans pavé numérique - Blanc - AZERTY</t>
  </si>
  <si>
    <t>920-010526</t>
  </si>
  <si>
    <t>Logitech MX Keys mini Pour Mac - Clavier rétroéclairé - Sans pavé numérique - Blanc - QWERTY</t>
  </si>
  <si>
    <t>920-010751</t>
  </si>
  <si>
    <t xml:space="preserve">Logitech MX Mechanical Tactile Quiet - Clavier rétroéclairé - Avec pavé numérique - Graphite - AZERTY </t>
  </si>
  <si>
    <t>920-010774</t>
  </si>
  <si>
    <t xml:space="preserve">Logitech MX Mechanical Mini Tactile Quiet - Clavier rétroéclairé - Sans pavé numérique - Graphite - AZERTY </t>
  </si>
  <si>
    <t>910-006559</t>
  </si>
  <si>
    <t>Logitech MX Master 3S - Souris sans fil Bluetooth - Graphite</t>
  </si>
  <si>
    <t>910-006572</t>
  </si>
  <si>
    <t>Logitech MX Master 3S - Souris sans fil Bluetooth - Gris pâle</t>
  </si>
  <si>
    <t>910-005448</t>
  </si>
  <si>
    <t>Logitech MX Vertical - Souris vertical ergonomique avancée</t>
  </si>
  <si>
    <t>910-003357</t>
  </si>
  <si>
    <t>Logitech souris B100 optique filaire - USB - noir</t>
  </si>
  <si>
    <t>K72196WW</t>
  </si>
  <si>
    <t>Kensington TB550 - Trackball Pro Fit® ergonomique - Bluetooth - Nano-récepteur USB-A - Port de recharge USB-C - Bleu gris</t>
  </si>
  <si>
    <t>KENSINGTON</t>
  </si>
  <si>
    <t>K75501EU</t>
  </si>
  <si>
    <t>kensington Souris verticale Pro Fit® ergonomique - Sans fil nano-récepteur USB-A - Noir</t>
  </si>
  <si>
    <t>K74000WW</t>
  </si>
  <si>
    <t>kensington Souris compacte Pro Fit® - Bluetooth - Noir</t>
  </si>
  <si>
    <t>K58374WW</t>
  </si>
  <si>
    <t>kensington Souris sans fil Pro Fit® ergonomique - Pour gauchers - Sans fil nano-récepteur USB-A - Noir</t>
  </si>
  <si>
    <t>AKB868FR</t>
  </si>
  <si>
    <t>Targus clavier EcoSmart™ - Clavier à recuperation d’energie photovoltaique - Bluetooth® BLE 5.0 - Avec pavé numérique - Noir - Français</t>
  </si>
  <si>
    <t>TARGUS</t>
  </si>
  <si>
    <t>ADP4B</t>
  </si>
  <si>
    <t>Adonit Jot Pro 4 - stylet pointe fine avec embout amortisseur de précision et capuchon magnétique - noir</t>
  </si>
  <si>
    <t>ADONIT</t>
  </si>
  <si>
    <t>ADNP2</t>
  </si>
  <si>
    <t>Adonit Note+ 2 - Stylet pour iPad - Sensibilité à la pression - Rejet du signal de la paume sur l'écran - Embout remplaçable - USB-C - Aluminium - Noir</t>
  </si>
  <si>
    <t>ADNEODG</t>
  </si>
  <si>
    <t xml:space="preserve">Adonit Neo Duo - Stylet pour iPad et iPhone - Rejet du signal de la paume sur l'écran -  Embout remplaçable - USB-C - Aluminium - Noir Graphite </t>
  </si>
  <si>
    <t>ADNEODS</t>
  </si>
  <si>
    <t>Adonit Neo Duo - Stylet pour iPad et iPhone - Rejet du signal de la paume sur l'écran -  Embout remplaçable - USB-C - Aluminium - Argent mat</t>
  </si>
  <si>
    <t>JK-1610FR-1</t>
  </si>
  <si>
    <t>Cherry clavier KC 6000 SLIM FOR MAC USB Français commutateur : CHERRY SX argent</t>
  </si>
  <si>
    <t>CHERRY</t>
  </si>
  <si>
    <t>JM-0800-0</t>
  </si>
  <si>
    <t>Cherry MC 1000 White Mouse 1200dpi - Souris filaire optique 3 boutons 1200 dpi ambidextre blanc usb</t>
  </si>
  <si>
    <t>ST-UCSW3M-FR</t>
  </si>
  <si>
    <t>Satechi clavier filaire Slim aluminium Azerty USB-C - Space Gray</t>
  </si>
  <si>
    <t>SATECHI</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</si>
  <si>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</si>
  <si>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</si>
  <si>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</si>
  <si>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</si>
  <si>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</si>
  <si>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</si>
  <si>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IA25</t>
  </si>
  <si>
    <t>Satechi clavier Slim X3 - Rétroéclairé - Bluetooth 5.0 - USB-C - Rechargeable - Gris sidéral - Français</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</si>
  <si>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</si>
  <si>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</si>
  <si>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</si>
  <si>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</si>
  <si>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</si>
  <si>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</si>
  <si>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</si>
  <si>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</si>
  <si>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BBK01UF</t>
  </si>
  <si>
    <t>Urban Factory Onlee - clavier sans fil Bluetooth- AZERTY - noir</t>
  </si>
  <si>
    <t>URBAN FACTORY</t>
  </si>
  <si>
    <t>KBMAC</t>
  </si>
  <si>
    <t>T’nB Clavier Mac sans fil BlueTooth (batterie intégrée)</t>
  </si>
  <si>
    <t>TNB</t>
  </si>
  <si>
    <t>910-004913</t>
  </si>
  <si>
    <t>Logitech souris B330 optique sans fil</t>
  </si>
  <si>
    <t>910-004861</t>
  </si>
  <si>
    <t>Logitech Spotlight</t>
  </si>
  <si>
    <t>K72426EU</t>
  </si>
  <si>
    <t>Kensington Presenter Expert</t>
  </si>
  <si>
    <t>900078</t>
  </si>
  <si>
    <t>Portdesigns - Webcam 1080P USB-A &amp; USB-C - Noir</t>
  </si>
  <si>
    <t>PORTDESIGNS</t>
  </si>
  <si>
    <t>960-001592</t>
  </si>
  <si>
    <t>Logitech Brio 105 - Webcam 1080p - USB-A - Graphie</t>
  </si>
  <si>
    <t>960-001459</t>
  </si>
  <si>
    <t>Logitech Brio 505 - Webcam - 1080p - USB-C - Graphite</t>
  </si>
  <si>
    <t>960-001194</t>
  </si>
  <si>
    <t>Logitech Brio Stream - Webcam - 4K - HDR - Micros à réduction active du bruit - USB-C - Câble USB-C vers USB-A - Noir</t>
  </si>
  <si>
    <t>K80251WW</t>
  </si>
  <si>
    <t>Kensington W1050 - Webcam 1080p - 30 ips - Grand angle - Mise au point fixe - USB-A et USB-C - Volet de confidentialité intégré - Noir</t>
  </si>
  <si>
    <t>K81176WW</t>
  </si>
  <si>
    <t>Kensington W2050 - Webcam 1080p - 30 ips - Grand angle - Mise au point automatique - USB-A et USB-C - Volet de confidentialité intégré - Noir</t>
  </si>
  <si>
    <t>ST-ELMPK</t>
  </si>
  <si>
    <t>Satechi tapis de souris en cuir éco - 25x19 cm - Noir</t>
  </si>
  <si>
    <t>ST-ELMPN</t>
  </si>
  <si>
    <t>Satechi tapis de souris en cuir éco - 25x19 cm - Marron</t>
  </si>
  <si>
    <t>956-000052</t>
  </si>
  <si>
    <t>Logitech Desk Mat - Studio Series - Tapis de souris - 70x30 cm - Gris moyen</t>
  </si>
  <si>
    <t>956-000053</t>
  </si>
  <si>
    <t>Logitech Desk Mat - Studio Series - Tapis de souris - 70x30 cm - Rose sombre</t>
  </si>
  <si>
    <t>943-000799</t>
  </si>
  <si>
    <t>Logitech G640 Tapis de souris - 46 x 40 cm - Noir</t>
  </si>
  <si>
    <t>943-000778</t>
  </si>
  <si>
    <t>Logitech G840 Tapis de souris XL - 90x40 cm - Noir</t>
  </si>
  <si>
    <t>AWE820GL</t>
  </si>
  <si>
    <t>Targus - Tapis de souris antimicrobien - 22x18cm - Noir</t>
  </si>
  <si>
    <t>K52888EU</t>
  </si>
  <si>
    <t>Kensington tapis de souris ergonomique avec repose-poignet ErgoSoft - Noir</t>
  </si>
  <si>
    <t>K55793EU</t>
  </si>
  <si>
    <t>Kensington tapis de souris ergonomique SmartFit avec repose-poignet ErgoSoft - Noir</t>
  </si>
  <si>
    <t>Adaptateurs secteurs</t>
  </si>
  <si>
    <t>Chargeurs pour Mac - iPad - Accessoires</t>
  </si>
  <si>
    <t>MGN03ZM/A</t>
  </si>
  <si>
    <t>Apple adaptateur secteur 12W USB-A</t>
  </si>
  <si>
    <t>MUVV3ZM/A</t>
  </si>
  <si>
    <t>Apple adaptateur secteur 20W USB-C</t>
  </si>
  <si>
    <t>MW2G3ZM/A</t>
  </si>
  <si>
    <t>Apple adaptateur secteur 30W USB-C</t>
  </si>
  <si>
    <t>MW2K3ZM/A</t>
  </si>
  <si>
    <t xml:space="preserve">Apple adaptateur secteur 35W double port USB-C </t>
  </si>
  <si>
    <t>Apple adaptateur secteur 70W USB-C</t>
  </si>
  <si>
    <t>MW2L3ZM/A</t>
  </si>
  <si>
    <t>Apple adaptateur secteur 96W USB-C</t>
  </si>
  <si>
    <t>MW2M3ZM/A</t>
  </si>
  <si>
    <t>Apple adaptateur secteur 140W USB-C</t>
  </si>
  <si>
    <t>MC556Z/B</t>
  </si>
  <si>
    <t>Apple adaptateur secteur 85W MagSafe</t>
  </si>
  <si>
    <t>MD592Z/A</t>
  </si>
  <si>
    <t>Apple adaptateur secteur 45W MagSafe 2</t>
  </si>
  <si>
    <t>MD565Z/A</t>
  </si>
  <si>
    <t>Apple adaptateur secteur 60W MagSafe 2</t>
  </si>
  <si>
    <t>MD506Z/A</t>
  </si>
  <si>
    <t>Apple adaptateur secteur 85W MagSafe 2</t>
  </si>
  <si>
    <t>WCH011vfWH</t>
  </si>
  <si>
    <t>Belkin - BoostCharge Pro jusqu'à 45W - GaN - 2 ports USB-C - Blanc</t>
  </si>
  <si>
    <t>WCH011vfBK</t>
  </si>
  <si>
    <t>Belkin - BoostCharge Pro jusqu'à 45W - GaN - 2 ports USB-C - Noir</t>
  </si>
  <si>
    <t>WCH013vfWH</t>
  </si>
  <si>
    <t>Belkin - BoostCharge Pro jusqu'à 65W - GaN - 2 ports USB-C - Blanc</t>
  </si>
  <si>
    <t>WCH013vfBK</t>
  </si>
  <si>
    <t>Belkin - BoostCharge Pro jusqu'à 65W - GaN - 2 ports USB-C - Noir</t>
  </si>
  <si>
    <t>WCH010vfWH</t>
  </si>
  <si>
    <t>Belkin - BoostCharge Pro jusqu'à 108W - GaN - 4 ports - 2xUSB-C et 2xUSB-A - Blanc</t>
  </si>
  <si>
    <t>WCH010vfBK</t>
  </si>
  <si>
    <t>Belkin - BoostCharge Pro jusqu'à 108W - GaN - 4 ports - 2xUSB-C et 2xUSB-A - Noir</t>
  </si>
  <si>
    <t>WCH014btWH</t>
  </si>
  <si>
    <t>Belkin - BoostCharge Pro jusqu'à 140W - GaN - 4 ports - 3xUSB-C - 1xUSB-A - Blanc</t>
  </si>
  <si>
    <t>ST-UC100WSM-EU</t>
  </si>
  <si>
    <t>Satechi - Adaptateur secteur GaN 100W USB-C PD - Gris sidéral</t>
  </si>
  <si>
    <t>ST-UC165GM-EU</t>
  </si>
  <si>
    <t>Satechi - Adaptateur secteur GaN 165W - 2 x USB-C jusqu'à 100W et 2 x USB-C jusqu'à 60 W - Gris sidéral</t>
  </si>
  <si>
    <t>78-52723</t>
  </si>
  <si>
    <t>OtterBox Chargeur secteur fast charger 30W - 1x USB C (3A/18W) + USB A (2.4A/12W) - noir</t>
  </si>
  <si>
    <t>OTTERBOX</t>
  </si>
  <si>
    <t>78-80479</t>
  </si>
  <si>
    <t>OtterBox Pack chargeur secteur USB C 20W + Cable renforcé USB C vers USB-C - 1m - noir</t>
  </si>
  <si>
    <t>78-80480</t>
  </si>
  <si>
    <t>OtterBox Pack chargeur fast charge secteur USB C (3A/20W) + Cable renforcé USB C-Lightning 1M  - blanc</t>
  </si>
  <si>
    <t>HJ653E</t>
  </si>
  <si>
    <t>Hyper - HyperJuice chargeur 65W - 1xUSB-C - Blanc</t>
  </si>
  <si>
    <t>HYPER</t>
  </si>
  <si>
    <t>HJG100EUZ</t>
  </si>
  <si>
    <t>Hyper - HyperJuice chargeur 100W - GaN - 1xUSB-C - Noir</t>
  </si>
  <si>
    <t>HJG140WW</t>
  </si>
  <si>
    <t>Hyper - HyperJuice chargeur jusqu'à 140W - GaN - 2xUSB-C et 1xUSB-A - Prise Internationale - Blanc</t>
  </si>
  <si>
    <t>HJGAN245-EU</t>
  </si>
  <si>
    <t>Hyper - HyperJuice chargeur Jusqu'à 245W - GaN - 4xUSB-C - Blanc</t>
  </si>
  <si>
    <t>Câbles</t>
  </si>
  <si>
    <t>Thunderbolt - USB-C - HDMI - DisplayPort - Ethernet</t>
  </si>
  <si>
    <t>Apple câble de charge tissé USB‑C 2.0 - Jusqu'à 60 W - 1 m - Blanc</t>
  </si>
  <si>
    <t>Apple câble de charge tissé USB‑C 2.0 - Jusqu'à 240 W - 2 m - Blanc</t>
  </si>
  <si>
    <t>MW5J3ZM/A</t>
  </si>
  <si>
    <t>Apple câble tissé Thunderbolt 4 Pro - Thunderbolt 3, 4 et USB 4 jusqu'à 40 Gbit/s - USB 3.1 Gen 2 jusqu'à 10 Gbit/s - HBR3 - 100 W - 1,8 m - Noir</t>
  </si>
  <si>
    <t>Apple câble tissé Thunderbolt 4 Pro - Thunderbolt 3, 4 et USB 4 jusqu'à 40 Gbit/s - USB 3.1 Gen 2 jusqu'à 10 Gbit/s - HBR3 - 100 W - 3 m - Noir</t>
  </si>
  <si>
    <t>ME291ZM/A</t>
  </si>
  <si>
    <t>CAB015bt2MWH</t>
  </si>
  <si>
    <t>Belkin Boost Charge - Câble de recharche USB-C 2.0 - 240 W - 2m - Blanc</t>
  </si>
  <si>
    <t>CAB015bt2MBK</t>
  </si>
  <si>
    <t>Belkin Boost Charge - Câble de recharche USB-C 2.0 - 240 W - 2m - Noir</t>
  </si>
  <si>
    <t>CAB014bt3MWH</t>
  </si>
  <si>
    <t>Belkin Boost Charge - Câble de recharche USB-C 2.0 - 100 W - 3m - Blanc</t>
  </si>
  <si>
    <t>CAB014bt3MBK</t>
  </si>
  <si>
    <t>Belkin Boost Charge - Câble de recharche USB-C 2.0 - 100 W - 3m - Noir</t>
  </si>
  <si>
    <t>INZ004bt2MBK</t>
  </si>
  <si>
    <t>Belkin Câble USB-C - USB4 - 20Gbit/s - 240W - 4K 60Hz - 2m - Noir</t>
  </si>
  <si>
    <t>INZ001bt0.8MBK</t>
  </si>
  <si>
    <t>Belkin Câble USB-C - USB4 - 40Gbit/s - 0,8m - Noir</t>
  </si>
  <si>
    <t>INZ002BT2MBK</t>
  </si>
  <si>
    <t>Belkin Câble Thunderbolt 4 - 40Gbit/s - 2m - Noir</t>
  </si>
  <si>
    <t>AV10175BT2MBKV2</t>
  </si>
  <si>
    <t>Belkin câble HDMI 2.1 - 8K 60 Hz et 4K 120Hz - ALLM, VRR, e-ARC, HDR, HDR 10+ et Dolby Vision -  2 m - Noir</t>
  </si>
  <si>
    <t>AV10168BT2M-BLK</t>
  </si>
  <si>
    <t>Belkin câble HDMI 2.0 - 4K 60 Hz - 2 m - Noir</t>
  </si>
  <si>
    <t xml:space="preserve">F3Y017bt5M-BLK </t>
  </si>
  <si>
    <t>Belkin câble HDMI - 4K 30 Hz - 5 m - Noir</t>
  </si>
  <si>
    <t>DP14VMM1M</t>
  </si>
  <si>
    <t>StarTech câble DisplayPort 1.4 - 8K 60 Hz et 4k 120Hz - 1 m - Noir</t>
  </si>
  <si>
    <t>STARTECH</t>
  </si>
  <si>
    <t>DP14VMM2M</t>
  </si>
  <si>
    <t>StarTech câble DisplayPort 1.4 - 8K 60 Hz et 4k 120Hz - 2 m - Noir</t>
  </si>
  <si>
    <t>DP14VMM5M</t>
  </si>
  <si>
    <t>StarTech câble DisplayPort 1.4 - 8K 60 Hz et 4k 120Hz - 5 m - Noir</t>
  </si>
  <si>
    <t>78-52680</t>
  </si>
  <si>
    <t>OtterBox câble de charge/sync tressé et renforcé : USB C - USB C - 1M - compatible Power Delivery 2.0+</t>
  </si>
  <si>
    <t>Câbles adaptateur</t>
  </si>
  <si>
    <t>USB-A - USB-C - Lightning - HDMI - DisplayPort - Secteur - MagSafe</t>
  </si>
  <si>
    <t>MUQW3ZM/A</t>
  </si>
  <si>
    <t>Apple câble USB-A vers Lightning - 1m - Blanc</t>
  </si>
  <si>
    <t>MD819ZM/A</t>
  </si>
  <si>
    <t>Apple câble USB-A vers Lightning - 2m - Blanc</t>
  </si>
  <si>
    <t>MUQ93ZM/A</t>
  </si>
  <si>
    <t>Apple câble USB-C vers Lightning - 1m - Blanc</t>
  </si>
  <si>
    <t>Apple câble USB-C vers Lightning - 2m - Blanc</t>
  </si>
  <si>
    <t>MLYV3ZM/A</t>
  </si>
  <si>
    <t>Apple câble de charge USB-C vers Magsafe 3 - 2 m - Argent</t>
  </si>
  <si>
    <t>MK122Z/A</t>
  </si>
  <si>
    <t>Apple rallonge secteur pour adaptateur secteur</t>
  </si>
  <si>
    <t>CDP2DP141MBD</t>
  </si>
  <si>
    <t>StarTech câble USB-C vers DisplayPort 1.4 - 8K 60 Hz et 4k 120 Hz - 1 m - Noir</t>
  </si>
  <si>
    <t>CDP2DP142MBD</t>
  </si>
  <si>
    <t>StarTech câble USB-C vers DisplayPort 1.4 - 8K 60 Hz et 4k 120 Hz - 2 m - Noir</t>
  </si>
  <si>
    <t>F2CU029bt1M-BLK</t>
  </si>
  <si>
    <t>Belkin Câble USB-C vers USB-A - 3.1 - 10Gbit/s - 1m - Noir</t>
  </si>
  <si>
    <t>MDP2DPMM6</t>
  </si>
  <si>
    <t>Startech câble adaptateur Mini DisplayPort vers DisplayPort 1.2 de 1,8 m - M/M</t>
  </si>
  <si>
    <t>ST-CHDMIM</t>
  </si>
  <si>
    <t>Satechi câble USB-C vers HDMI 1.4 - 4K 60 Hz - 1,8 m - Gris sidéral et Noir</t>
  </si>
  <si>
    <t>AVC012bt2MBK</t>
  </si>
  <si>
    <t>Belkin câble USB-C vers HDMI 2.1 - 8K 60 Hz et 4K 144 Hz - HDR10+ - 2 m - Noir</t>
  </si>
  <si>
    <t>Adaptateurs</t>
  </si>
  <si>
    <t>Vidéo - Réseau - Audio - USB - Lightning - Secteur - MagSafe - CD - Cartes SD</t>
  </si>
  <si>
    <t>Apple adaptateur Thunderbolt 3 (USB-C) vers Thunderbolt 2</t>
  </si>
  <si>
    <t>Apple adaptateur USB-C vers multiport AV numérique - 1xHDMI 2.0 - 1xUSB-A 2.0 - 1xUSB-C pass throught 100 W - Blanc</t>
  </si>
  <si>
    <t>MJ1L2ZM/A</t>
  </si>
  <si>
    <t>Apple adaptateur USB-C vers multiport VGA - 1x VGA HD 1080p - 1xUSB-A 2.0 - 1xUSB-C pass throught 100W - Blanc</t>
  </si>
  <si>
    <t>Apple adaptateur USB-C vers lecteur de carte SD - UHS‑II - Blanc</t>
  </si>
  <si>
    <t>Apple adaptateur USB-C - USB-A 3.1 Gen 1 - Blanc</t>
  </si>
  <si>
    <t>Apple adaptateur USB-C vers mini-jack 3,5 mm - Blanc</t>
  </si>
  <si>
    <t>MJYT2ZM/A</t>
  </si>
  <si>
    <t>Apple adaptateur Lightning vers lecteur de carte SD</t>
  </si>
  <si>
    <t>MD825ZM/A</t>
  </si>
  <si>
    <t>Apple adaptateur Lightning vers VGA</t>
  </si>
  <si>
    <t>MD821ZM/A</t>
  </si>
  <si>
    <t>Apple adaptateur Lightning vers USB-A - Pour appareil photo</t>
  </si>
  <si>
    <t>Apple adaptateur Lightning vers USB-A + Lightning - Pour appareil photo</t>
  </si>
  <si>
    <t>MUQX3ZM/A</t>
  </si>
  <si>
    <t>Apple adaptateur USB-C vers Lightning femelle</t>
  </si>
  <si>
    <t>MD564ZM/A</t>
  </si>
  <si>
    <t>Apple lecteur graveur SuperDrive (DVD±R DL/DVD±RW/CD-RW) externe USB-A</t>
  </si>
  <si>
    <t>MD504ZM/A</t>
  </si>
  <si>
    <t>Apple convertisseur MagSafe vers MagSafe 2</t>
  </si>
  <si>
    <t>MD837ZM/A</t>
  </si>
  <si>
    <t>Apple kit de voyage - 7 fiches secteur pour adaptateur secteur Apple</t>
  </si>
  <si>
    <t>C2G adaptateur Mini DisplayPort vers VGA - 20 cm - noir</t>
  </si>
  <si>
    <t>C2G</t>
  </si>
  <si>
    <t>MDP2VGDVHDW</t>
  </si>
  <si>
    <t>Startech adaptateur vidéo Mini DisplayPort vers DVI &amp; VGA &amp; HDMI blanc</t>
  </si>
  <si>
    <t>CDP2MDP</t>
  </si>
  <si>
    <t>StarTech Adaptateur USB-C vers Mini DisplayPort 4K 60 Hz - Blanc</t>
  </si>
  <si>
    <t>AUZ002vfBK</t>
  </si>
  <si>
    <t>Belkin SoundForm Connect - Adaptateur audio Airplay 2 - Jack 3,5mm femelle et entrée optique - Noir</t>
  </si>
  <si>
    <t>NPA004btBK</t>
  </si>
  <si>
    <t>Belkin RockStar - Adaptateur USB-C vers Jack 3,5mm femelle et USB-C - Noir</t>
  </si>
  <si>
    <t>F7U079bt03-BLK</t>
  </si>
  <si>
    <t>Belkin RockStar - Câble USB-C vers jack 3,5mm mâle - 1m - Noir</t>
  </si>
  <si>
    <t>AV10172bt03-BLK</t>
  </si>
  <si>
    <t>Belkin - Câble audio jack 3,5 mm avec connecteur Lightning - 0,9m - Noir</t>
  </si>
  <si>
    <t>INC012btBK</t>
  </si>
  <si>
    <t>Belkin - Adaptateur USB-C vers Ethernet 2,5 Gbps</t>
  </si>
  <si>
    <t>AVC002btBK</t>
  </si>
  <si>
    <t>Belkin - Adaptateur USB-C vers HDMI 4K + recharge 60W</t>
  </si>
  <si>
    <t>AVC013btBK</t>
  </si>
  <si>
    <t>Belkin - Adaptateur USB-C vers HDMI 2.1</t>
  </si>
  <si>
    <t>AVC003btBK</t>
  </si>
  <si>
    <t>Belkin - Adaptateur vidéo USB-C UNIVERSEL (VGA, DVI, HDMI et DISPLAY PORT)</t>
  </si>
  <si>
    <t>F4U090btBLK</t>
  </si>
  <si>
    <t>Belkin - Hub USB-C - 2xUSB-C, 2x USB-A - Noir</t>
  </si>
  <si>
    <t>F2CD079BT</t>
  </si>
  <si>
    <t>Belkin - Adaptateur vidéo 4K Mini DisplayPort vers HDMI avec audio - noir</t>
  </si>
  <si>
    <t>AVC011btSGY-BL</t>
  </si>
  <si>
    <t>Belkin - Adaptateur DisplayPort mal vers HDMI Femelle - Actif - 4K - 60 Hz - HDR - Gris sidéral</t>
  </si>
  <si>
    <t>ST-UCATCM</t>
  </si>
  <si>
    <t>Satechi adaptateur USB-C vers USB-A 3.0 - Gris sidéral</t>
  </si>
  <si>
    <t>ST-TAUCM</t>
  </si>
  <si>
    <t>Satechi adaptateur USB-A vers USB-C - Gris sidéral</t>
  </si>
  <si>
    <t>CDP2VGA</t>
  </si>
  <si>
    <t>Startech - Adaptateur USB-C vers VGA 1920x1080 - Noir</t>
  </si>
  <si>
    <t>CDP2VGAW</t>
  </si>
  <si>
    <t>Startech - Adaptateur USB-C vers VGA 1920x1080 - Blanc</t>
  </si>
  <si>
    <t>ST-TC4KHAM</t>
  </si>
  <si>
    <t>Satechi adaptateur USB-C vers HDMI 4K (60 Hz) gris sidéral</t>
  </si>
  <si>
    <t>ST-TCENM</t>
  </si>
  <si>
    <t>Satechi adaptateur USB-C vers Ethernet GigaBit - gris sidéral</t>
  </si>
  <si>
    <t>ST-TC2N1USB31AM</t>
  </si>
  <si>
    <t>Satechi Hub USB-C - 3 ports USB 3.0 - 1 port GigaBit Ethernet - gris sidéral</t>
  </si>
  <si>
    <t>HDM1-GL</t>
  </si>
  <si>
    <t>Hyper - HyperDrive adaptateur USB-C vers 2xHDMI - 4K - 1 à 60Hz et 1 à 30 Hz - pour Mac M1 et M2 et Intel</t>
  </si>
  <si>
    <t>HD-H8K-GL</t>
  </si>
  <si>
    <t>Hyper - HyperDrive adaptateur USB-C vers HDMI - 8K - 144 Hz</t>
  </si>
  <si>
    <t>HD425B</t>
  </si>
  <si>
    <t>Hyper - HyperDrive adaptateur USB-C vers Ethernet 2,5 Gbps</t>
  </si>
  <si>
    <t>ACA979GL</t>
  </si>
  <si>
    <t>Targus - Adaptateur USB-C vers USB-A - Pack de 2</t>
  </si>
  <si>
    <t>Stations d'accueil mobile</t>
  </si>
  <si>
    <t>Auto-alimenté - Multiport</t>
  </si>
  <si>
    <t>AVC008btSGY</t>
  </si>
  <si>
    <t>Belkin CONNECT 6-in-1 USB-C Hub Multiport - 1xUSB-C 3.0 PassThrough 100W - 2xUSB-A 3.0 - 1 Gigabit Ethernet - 1xHDMI 1.4 4K 30 Hz - 1xlecteur SD - Argent</t>
  </si>
  <si>
    <t>AVC006btSGY</t>
  </si>
  <si>
    <t>Belkin CONNECT 4-in-1 USB-C Hub Multiport - 1xUSB-C 3.0 PassThrough 100W - 2xUSB-A 3.0  - 1xHDMI 1.4 4K 30 Hz - Argent</t>
  </si>
  <si>
    <t>INC014btSGY</t>
  </si>
  <si>
    <t>AVC018btBK</t>
  </si>
  <si>
    <t>Belkin - Hub USB-C - 4xUSB-C 3.2 PassThrough 100W - Fonction Fast Role Swap - Composé à 72% de matières recyclées - Noir</t>
  </si>
  <si>
    <t>K33820WW</t>
  </si>
  <si>
    <t>Kensington UH1400P 8-en-1 USB-C Hub Multiport - 1xUSB-C 3.2 Gen 1 PassThrough 85W - 3xUSB-A 3.2 Gen 1 - 1xGigabit Ethernet - 1xHDMI 2.0 - 1xlecteur SD et micro-SD - Argent</t>
  </si>
  <si>
    <t>ST-TCPHEM</t>
  </si>
  <si>
    <t>Satechi Station d’accueil plug-in USB-C gris sidéral pour MacBook Air 2020 MacBook Pro 13’’ et 16’’ - 1 HDMI 4K - 1 GigaBit Eth - 1 USB-C pass through 87W - 2 x USB 3.0 - 1 lecteur MSD (existe en coloris argent)</t>
  </si>
  <si>
    <t>ST-U4MGEM</t>
  </si>
  <si>
    <t>Satechi Station d’accueil USB-C 4.0 - 1 HDMI 8K - 2,5 Gbit/s ethernet - 2 USB-C 3.2 pass through 100W - 1 x USB-A 3.2 - 1 Prise Jack 3,5mm - Gris sidéral</t>
  </si>
  <si>
    <t>ST-UCPHMIM</t>
  </si>
  <si>
    <t>Satechi Pro Hub Mini - 1xUSB4 Gen 3x2 pass through 96W 6K 60Hz - 1xUSB-C 3.0 - 2xUSB-A 3.0 - 1xGigabit Ethernet - 1xPrise Jack 3,5mm - Gris sidéral</t>
  </si>
  <si>
    <t>ST-UCPHMXM</t>
  </si>
  <si>
    <t>Satechi Pro Hub Max - 1xUSB4 Gen 3x2 pass through 96W 6K 60Hz - 1xUSB-C 3.0 - 1xUSB-A 3.0 - 1xHDMI 4K 60Hz - 1xGigabit Ethernet - 1xlecteur SD et MicroSD - 1xaudio Jack 3,5mm - Gris sidéral</t>
  </si>
  <si>
    <t>ST-HUCPHSD</t>
  </si>
  <si>
    <t>Satechi Pro Hub Slim - 1xUSB4 pass through 100W - 1xUSB-C 3.2 - 2xUSB-A 3.2 - 1xHDMI 4K HDR 60Hz - 1xlecteur SD et MicroSD - Minuit</t>
  </si>
  <si>
    <t>ST-HUCPHSS</t>
  </si>
  <si>
    <t>Satechi Pro Hub Slim - 1xUSB4 pass through 100W - 1xUSB-C 3.2 - 2xUSB-A 3.2 - 1xHDMI 4K HDR 60Hz - 1xlecteur SD et MicroSD - Argent</t>
  </si>
  <si>
    <t>ST-HUCPHSM</t>
  </si>
  <si>
    <t>Satechi Pro Hub Slim - 1xUSB4 pass through 100W - 1xUSB-C 3.2 - 2xUSB-A 3.2 - 1xHDMI 4K HDR 60Hz - 1xlecteur SD et MicroSD - Gris sidéral</t>
  </si>
  <si>
    <t>ST-TCSHIPM</t>
  </si>
  <si>
    <t>Satechi Stand and Hub Pour iPad USB-C - 1xUSB-C PassThrough 60W - 1xUSB-A - 1x HDMI 2.0 4K 60 Hz - 1xGigabit Ethernet - 1xlecteur SD et Micro SD - Gris sidéral</t>
  </si>
  <si>
    <t>ST-ABHFM</t>
  </si>
  <si>
    <t>ST-ABHFS</t>
  </si>
  <si>
    <t>ST-UCICHS</t>
  </si>
  <si>
    <t>TCM16UF</t>
  </si>
  <si>
    <t>Urban Factory station d'accueil mobile USB-C - Sortie USB-C PassThrough 100W , HDMI 4K, vidéo VGA, 3x USB 3.0, Port LAN Gigabit Ethernet, port Jack, port SD et MSD</t>
  </si>
  <si>
    <t>HD4001GL</t>
  </si>
  <si>
    <t>HyperDrive Next Eco Smart - Hub USB-C 4 en 1 avec aluminium 100 % recyclé et du plastique 85 % recyclé - 1xUSB-A 3.2 - 1xUSB-C 3.2 - 1xUSB-C pass through 100 W - 1x HDMI 4K 60 Hz- Bleu nuit</t>
  </si>
  <si>
    <t>HD4003GL</t>
  </si>
  <si>
    <t>HyperDrive Next Eco Smart - Hub USB-C 7 en 1 avec aluminium 100 % recyclé et du plastique 85 % recyclé - 2xUSB-A 3.2 - 1xUSB-C pass through 100 W - 1xGigabit Ethernet - 1xlecteur de carte SD et micro SD - 1xHDMI 4K 60 Hz - Bleu nuit</t>
  </si>
  <si>
    <t>HD7002GL</t>
  </si>
  <si>
    <t>HyperDrive Next Eco Smart - Hub USB-C 7 en 1 avec 85 % de plastique recyclé - 1xUSB-A 3.2 - 2xUSB-C 3.2 - 1xUSB-C pass through 100W - 1xaudio Jack 3,5mm - 2xHDMI 4K (1 à 60Hz et 1 à 30 Hz) - Écran multiple pour Mac M1, M2, M3 et Intel - Bleu nuit</t>
  </si>
  <si>
    <t>HDM1H-GL</t>
  </si>
  <si>
    <t>HyperDrive - Hub USB-C 10 en 1 - 2xUSB-A 3.0 - 1xUSB-C 3.0 - 1xUSB-C pass through 100W - 1xGigabit Ethernet - 1xlecteur de carte SD et micro SD - 1xaudio Jack 3,5mm - 2xHDMI 4K (1 à 60Hz et 1 à 30 Hz) - Écran multiple pour Mac M1, M2, M3 et Intel - Argent</t>
  </si>
  <si>
    <t>HDM1HBUGL</t>
  </si>
  <si>
    <t>HyperDrive - Hub USB-C 10 en 1 - 2xUSB-A 3.0 - 1xUSB-C 3.0 - 1xUSB-C pass through 100W - 1xGigabit Ethernet - 1xlecteur de carte SD et micro SD - 1xaudio Jack 3,5mm - 2xHDMI 4K (1 à 60Hz et 1 à 30 Hz) - Écran multiple pour Mac M1, M2, M3 et Intel - Bleu nuit</t>
  </si>
  <si>
    <t>HD583-GL</t>
  </si>
  <si>
    <t xml:space="preserve">HyperDrive - Hub USB4 (USB-C) 7 en 1 - 1x USB-C 3.1 Gen 2 pass through 100W - 2xUSB-A 3.1 Gen 2 - 1xGigabit Ethernet- 1xaudio Jack 3.5mm - 1xHDMI jusqu'à 8K 30 Hz - 1xDisplayPort jusqu'à 8K 30 Hz - Noir </t>
  </si>
  <si>
    <t>Stations d'accueil fixe</t>
  </si>
  <si>
    <t>Alimenté - Multiport - DisplayLink - Thunderbolt - USB-C</t>
  </si>
  <si>
    <t>INC006vfSGY</t>
  </si>
  <si>
    <t>Belkin - Thunderbolt 4 Dock Pro - PassThrough 90 W (2 ports Thunderbolt 4 - 1 port USB-C - 1 Gigabit Ethernet - 2 USB-A 3.1- 2 USB-A 2.0 - 2 HDMI - lecteur carte SD - 1 port audio / micro stéréo)</t>
  </si>
  <si>
    <t>INC007VFBK</t>
  </si>
  <si>
    <t>Belkin - Station d'accueil USB-C - DisplayLink - Jusqu'à 3 écrans 4K - PassThrough 85 W - (2 ports USB-C - 1 Gigabit Ethernet - 5 ports USB-A 3.0 - 3 HDMI ou 2 Displayport - 1 port audio - 1 port micro stéréo)</t>
  </si>
  <si>
    <t>INC002vfBK</t>
  </si>
  <si>
    <t>Belkin - Station d’accueil USB-C - DisplayLink - Jusqu'à 2 écrans 1080p 60 Hz - (1x USB-C PD avec Pass-Through 85 W - 3x USB-A - 2 ports HDMI - 1x Gigabit Ethernet - 1 entrée / sortie audio)</t>
  </si>
  <si>
    <t>INC013vfSGY</t>
  </si>
  <si>
    <t>Belkin - Station d'accueil Thunderbolt 4 - 3xThunderbolt 4 - 1xUSB-A 3.2 Gen 2 - PassThrough 96 W - Argent et noir</t>
  </si>
  <si>
    <t>HD156-GL</t>
  </si>
  <si>
    <t>Hyper - HyperDrive station d'accueil multi-écrans 4K hub USB-C 12 en 3 -  1xUSB-C pass through 100 W - 2xUSB-C 3.1 Gen 2 - 1xUSB-A 3.1 Gen 2 - 2xUSB-A 3.0 - 1xGigabit Ethernet - 1xlecteur de carte SD et micro SD - 3x HDMI/DisplayPort 4K 60 Hz - Gris sidéral</t>
  </si>
  <si>
    <t>HDTB4D-EU</t>
  </si>
  <si>
    <t>Hyper - HyperDrive station d'accueil Thunderbolt 4 - 1xThunderbolt 4 USB-C Upstream pass through 96 W - 2xThunderbolt 4 - 1x2,5Gbps Ethernet - 4x USB-A 3.1 Gen 2 - 1xlecteur de carte SD UHS-II 300Mb/s - 1xaudio Jack 3.5mm - 1xHDMI 8K 30 Hz - Gris sidéral</t>
  </si>
  <si>
    <t>DOCK570EUZ</t>
  </si>
  <si>
    <t>Targus - Station d'accueil USB-C DisplayLink - Jusqu'à 4 écrans 4K 60 Hz- 1xUSB-C 3.1 Gen 1 Upstream PassThrough 100W  - 1xUSB-C 3.1 Gen 1 - 4xUSB-A 3.0 - 1xaudio Jack 3.5mm - 4x HDMI/DisplayPort 4K 60Hz - Écran multiple pour Mac M1, M2 et Intel - Noir et gris</t>
  </si>
  <si>
    <t>ST-UCT4DM</t>
  </si>
  <si>
    <t>Satechi - Station d'accueil Thunderbolt 4 - PassThrough 96W - Gris sidéral</t>
  </si>
  <si>
    <t>IA28</t>
  </si>
  <si>
    <t>ST-D4KTM-EU</t>
  </si>
  <si>
    <t>Satechi - Station d'accueil USB-C DisplayLink - Jusqu'à 3 écrans 4K 60 Hz - 1xUSB-C 3.1 Upstream pass through 100 W - 1xUSB-C 3.0 - 1xUSB-A 3.1 - 2xUSB-A 3.0 - 1xaudio Jack 3,5mm - 1xGigabit Ethernet - 2xHDMI/Display Port 4K 60 Hz - 1 -HDMI 4K 60 Hz - Gris sidéral</t>
  </si>
  <si>
    <t>ST-T4SHM-EU</t>
  </si>
  <si>
    <t>Satechi - Thunderbolt 4 Slim Hub - 4xThunderbolt 4 - 1x USB-A 3.2 Gen 2 - PassThrough 60W - Gris sidéral</t>
  </si>
  <si>
    <t>Protections</t>
  </si>
  <si>
    <t>Étuis - Coques - Folios - Housses - Protections d'écran - Filtres de confidentialité</t>
  </si>
  <si>
    <t>MX4U2ZM/A</t>
  </si>
  <si>
    <t>Apple Smart Cover pour iPad (7,8 et 9e gén., iPad Air 3e gén. et Pro 10,5") - Noir</t>
  </si>
  <si>
    <t>MQDQ3ZM/A</t>
  </si>
  <si>
    <t>Apple Smart Folio pour iPad (10e gén.) - Blanc</t>
  </si>
  <si>
    <t>MQDU3ZM/A</t>
  </si>
  <si>
    <t>Apple Smart Folio pour iPad (10e gén.) - Bleu ciel</t>
  </si>
  <si>
    <t>Apple Smart Folio pour iPad (10e gén.) - Pastèque</t>
  </si>
  <si>
    <t>MH0A3ZM/A</t>
  </si>
  <si>
    <t>Apple Smart Folio pour iPad Air 10,9 (4 et 5e gén.) - Blanc</t>
  </si>
  <si>
    <t>MH0D3ZM/A</t>
  </si>
  <si>
    <t>Apple Smart Folio pour iPad Air 10,9 (4 et 5e gén.) - Noir</t>
  </si>
  <si>
    <t>MNA73ZM/A</t>
  </si>
  <si>
    <t>Apple Smart Folio pour iPad Air 10,9 (4 et 5e gén.) - Bleu marine</t>
  </si>
  <si>
    <t>MWK53ZM/A</t>
  </si>
  <si>
    <t>Apple Smart Folio pour iPad Air 11" (6e gén.) - Anthracite</t>
  </si>
  <si>
    <t>MWK63ZM/A</t>
  </si>
  <si>
    <t>Apple Smart Folio pour iPad Air 11" (6e gén.) - Denim</t>
  </si>
  <si>
    <t>MWK73ZM/A</t>
  </si>
  <si>
    <t>Apple Smart Folio pour iPad Air 11" (6e gén.) - Sauge</t>
  </si>
  <si>
    <t>MWK83ZM/A</t>
  </si>
  <si>
    <t>Apple Smart Folio pour iPad Air 11" (6e gén.) - Violet clair</t>
  </si>
  <si>
    <t>MWK93ZM/A</t>
  </si>
  <si>
    <t>Apple Smart Folio pour iPad Air 13" (1er gén.) - Anthracite</t>
  </si>
  <si>
    <t>MWKA3ZM/A</t>
  </si>
  <si>
    <t>Apple Smart Folio pour iPad Air 13" (1er gén.) - Denim</t>
  </si>
  <si>
    <t>MWKC3ZM/A</t>
  </si>
  <si>
    <t>Apple Smart Folio pour iPad Air 13" (1er gén.) - Sauge</t>
  </si>
  <si>
    <t>MWKD3ZM/A</t>
  </si>
  <si>
    <t>Apple Smart Folio pour iPad Air 13" (1er gén.) - Violet clair</t>
  </si>
  <si>
    <t>MW973ZM/A</t>
  </si>
  <si>
    <t>Apple Smart Folio pour iPad Pro 11" (5e gén.) - Blanc</t>
  </si>
  <si>
    <t>MW983ZM/A</t>
  </si>
  <si>
    <t>Apple Smart Folio pour iPad Pro 11" (5e gén.) - Noir</t>
  </si>
  <si>
    <t>MW993ZM/A</t>
  </si>
  <si>
    <t>Apple Smart Folio pour iPad Pro 11" (5e gén.) - Denim</t>
  </si>
  <si>
    <t>MWK23ZM/A</t>
  </si>
  <si>
    <t>MWK33ZM/A</t>
  </si>
  <si>
    <t>MWK43ZM/A</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</si>
  <si>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</si>
  <si>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</si>
  <si>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</si>
  <si>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</si>
  <si>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</si>
  <si>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</si>
  <si>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</si>
  <si>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</si>
  <si>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</si>
  <si>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048027</t>
  </si>
  <si>
    <t>Mobilis Coque de protection folio Origine pour iPad 10.2'' (7,8 et 9ème gén) - Fermeture aimantée - 2 positions : mode visionnage et mode clavier - Imitation cuir - Noir</t>
  </si>
  <si>
    <t>MOBILIS</t>
  </si>
  <si>
    <t>048043</t>
  </si>
  <si>
    <t>Mobilis Coque de protection folio Origine pour iPad Air 10,9'' (4 et 5ème gén) - Fermeture aimantée - 2 positions : mode visionnage et mode  clavier -  Imitation cuir - Noir</t>
  </si>
  <si>
    <t>048044</t>
  </si>
  <si>
    <t>Mobilis Coque de protection folio Origine pour iPad Air 10,9'' (4 et 5ème gén) - Fermeture aimantée - 2 positions : mode visionnage et mode  clavier -  Imitation cuir - Rouge</t>
  </si>
  <si>
    <t>060001</t>
  </si>
  <si>
    <t>Mobilis Coque de protection folio EDGE pour iPad 10.2'' (7,8 et 9ème gén) - Coins renforcés - Fermeture aimantée - Porte stylet - Coque transparente et folio noir</t>
  </si>
  <si>
    <t>029020</t>
  </si>
  <si>
    <t>Mobilis Coque de protection folio case C2 pour iPad 10,2 (7,8 et 9ème gén) - 2 positions : mode clavier et mode visionage - Fermeture par sangle élastique - Porte-stylet - Finition cuir - Noir</t>
  </si>
  <si>
    <t>029025</t>
  </si>
  <si>
    <t>Mobilis Coque de protection folio case C2 pour iPad Air 10,9" (4 et 5ème gén) - 2 positions : mode clavier et mode visionage - Fermeture par sangle élastique - Porte-stylet - Finition cuir - Noir</t>
  </si>
  <si>
    <t>029026</t>
  </si>
  <si>
    <t>Mobilis Coque de protection folio case C2 pour iPad Pro 12,9" (4,5 et 6ème gén) - 2 positions : mode clavier et mode visionage - Fermeture par sangle élastique - Porte-stylet - Finition cuir - Noir</t>
  </si>
  <si>
    <t>048033</t>
  </si>
  <si>
    <t>Mobilis Coque de protection folio clavier Origine pour iPad 10.2" (7,8 et 9ème gén) - Avec clavier Bluetooth français - Fermeture aimantée - Imitation cuir - Noir</t>
  </si>
  <si>
    <t>029029</t>
  </si>
  <si>
    <t>Mobilis Coque de protection folio clavier et touchpad pour iPad 10,2" (7,8 et 9ème gén) - Avec clavier français et touchpad Bluetooth détachable - Fermeture par languette magnétique - Emplacement pour stylet - Noir</t>
  </si>
  <si>
    <t>048025</t>
  </si>
  <si>
    <t>Mobilis Coque de protection folio clavier Origine universelle pour tablette de 9 à 11" - Avec clavier Bluetooth français - Fermeture aimantée - Imitation cuir - Noir</t>
  </si>
  <si>
    <t>010173</t>
  </si>
  <si>
    <t>Mobilis coque de protection T-Series pour iPad Pro 12,9 '' (4 et 5ème gén) - Conception fine - Noir</t>
  </si>
  <si>
    <t>044003</t>
  </si>
  <si>
    <t>Mobilis Support mural U.FIX universel pour smartphone et tablette - SecureLock inclus - 2 adhésifs 3M® VHB de rechange inclus</t>
  </si>
  <si>
    <t>MMC13UF</t>
  </si>
  <si>
    <t>Sleeve avec Mousse Mémoire de forme pour Macbook Pro 13/Macbook Air 13 - Noir</t>
  </si>
  <si>
    <t>MMC14UF</t>
  </si>
  <si>
    <t>Sleeve avec Mousse Mémoire de forme pour Macbook Pro 14 - Noir</t>
  </si>
  <si>
    <t>MMC16UF</t>
  </si>
  <si>
    <t>Sleeve avec Mousse Mémoire de forme pour Macbook Pro 16 - Noir</t>
  </si>
  <si>
    <t>MW-480002P</t>
  </si>
  <si>
    <t>MW - Coque de protection transparente pour Macbook Air 13" M1 - Sans packaging</t>
  </si>
  <si>
    <t>MW</t>
  </si>
  <si>
    <t>MW-480003P</t>
  </si>
  <si>
    <t>MW - Coque de protection transparente pour Macbook Air 13" M2 et M3 - Sans packaging</t>
  </si>
  <si>
    <t>MW-480012</t>
  </si>
  <si>
    <t>MW - Coque de protection transparente pour Macbook Air 15" M2 et M3</t>
  </si>
  <si>
    <t>MW-480001P</t>
  </si>
  <si>
    <t>MW - Coque de protection transparente pour Macbook Pro 13" M1, M2 et M3 - Sans packaging</t>
  </si>
  <si>
    <t>MW-480004P</t>
  </si>
  <si>
    <t>MW-480011P</t>
  </si>
  <si>
    <t>D31275</t>
  </si>
  <si>
    <t>Dicota Secret 2-Way protection d'écran filtre de confidentialité pour iMac 21,5'' Retina</t>
  </si>
  <si>
    <t>DICOTA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</si>
  <si>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</si>
  <si>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</si>
  <si>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</si>
  <si>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</si>
  <si>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</si>
  <si>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</si>
  <si>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</si>
  <si>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</si>
  <si>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</si>
  <si>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</si>
  <si>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MW-410069</t>
  </si>
  <si>
    <t>MW Housse de protection pour MacBook Air/Pro 13" - Gris foncé</t>
  </si>
  <si>
    <t>MW-410139</t>
  </si>
  <si>
    <t>MW BASICS ²LIFE - Housse de protection à 99% en matériaux recyclés pour MacBook Air et Pro 13" - Noir</t>
  </si>
  <si>
    <t>MW-410140</t>
  </si>
  <si>
    <t>MW BASICS ²LIFE - Housse de protection à 99% en matériaux recyclés pour MacBook Air et Pro 13" - Gris</t>
  </si>
  <si>
    <t>MW-410143</t>
  </si>
  <si>
    <t>MW BASICS ²LIFE - Housse de protection à 99% en matériaux recyclés pour MacBook Air et Pro 13" - Bleu marine</t>
  </si>
  <si>
    <t>MW-410161</t>
  </si>
  <si>
    <t>MW BASICS ²LIFE - Housse de protection à 99% en matériaux recyclés pour MacBook Air 15" - Noir</t>
  </si>
  <si>
    <t>MW-410162</t>
  </si>
  <si>
    <t>MW BASICS ²LIFE - Housse de protection à 99% en matériaux recyclés pour MacBook Air 15" - Bleu marine</t>
  </si>
  <si>
    <t>MW-410141</t>
  </si>
  <si>
    <t>MW BASICS ²LIFE - Housse de protection à 99% en matériaux recyclés pour MacBook Pro 14" - Noir</t>
  </si>
  <si>
    <t>MW-410145</t>
  </si>
  <si>
    <t>MW BASICS ²LIFE - Housse de protection à 99% en matériaux recyclés pour MacBook Pro 14" - Bleu marine</t>
  </si>
  <si>
    <t>MW-410146</t>
  </si>
  <si>
    <t>BFC1011</t>
  </si>
  <si>
    <t>Tucano COLORE - Housse en plastique recyclé pour iPad jusqu'à 11" - Noir</t>
  </si>
  <si>
    <t>TUCANO</t>
  </si>
  <si>
    <t>MW-300049-P</t>
  </si>
  <si>
    <t>MW-300060</t>
  </si>
  <si>
    <t>MW-300072</t>
  </si>
  <si>
    <t>MW-200150</t>
  </si>
  <si>
    <t>MW-200118</t>
  </si>
  <si>
    <t>MW protection d'écran verre trempé pour iPad 10,2" (7,8 et 9ème gén.)</t>
  </si>
  <si>
    <t>MW-200178D</t>
  </si>
  <si>
    <t>MW protection d'écran verre trempé pour iPad 10,9" (10ème gén.)</t>
  </si>
  <si>
    <t>036257</t>
  </si>
  <si>
    <t>Mobilis Protection d'écran en silicone - Incassable et anti-chocs IK06 - Pour iPad mini 8,3“ (6ème gén.)</t>
  </si>
  <si>
    <t>036275</t>
  </si>
  <si>
    <t>Mobilis Protection d'écran en silicone - Incassable et anti-chocs IK06 - Pour iPad 10,9" (10ème gén.)</t>
  </si>
  <si>
    <t>PAPERLIKE</t>
  </si>
  <si>
    <t>PL2A-10-19</t>
  </si>
  <si>
    <t>Paperlike - Protection d'écran mat - Effet papier - Pour iPad 10.2" (7,8 et 9ème  gén.)</t>
  </si>
  <si>
    <t>PL2A-10-22</t>
  </si>
  <si>
    <t>Paperlike - Protection d'écran mat - Effet papier - Pour iPad 10.9" (10ème  gén.)</t>
  </si>
  <si>
    <t>PL2A-11-18</t>
  </si>
  <si>
    <t>Paperlike - Protection d'écran mat - Effet papier - Pour iPad Pro 11" (3 et 4ème gén) et iPad Air 10.9" (4 et 5ème  gén.)</t>
  </si>
  <si>
    <t>PL2A-12-18</t>
  </si>
  <si>
    <t>Paperlike - Protection d'écran mat - Effet papier - Pour iPad Pro 12.9" (3,4,5 et 6ème gén.)</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</si>
  <si>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</si>
  <si>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</si>
  <si>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</si>
  <si>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</si>
  <si>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</si>
  <si>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</si>
  <si>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</si>
  <si>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</si>
  <si>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</si>
  <si>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</si>
  <si>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</si>
  <si>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 8 et 9ème génération)  - Noire crystale</t>
  </si>
  <si>
    <t>77-81229</t>
  </si>
  <si>
    <t>OtterBox DEFENDER coque antichoc avec protection écran intégrée pour iPad Air 4e generation</t>
  </si>
  <si>
    <t>77-92191</t>
  </si>
  <si>
    <t>OtterBox React Folio avec porte stylet pour iPad 10th gen - Noir - Version eco sans emballage</t>
  </si>
  <si>
    <t>77-92192</t>
  </si>
  <si>
    <t>OtterBox React Folio avec porte stylet pour iPad 10th gen - Bleu - Version eco sans emballage</t>
  </si>
  <si>
    <t>77-92193</t>
  </si>
  <si>
    <t>OtterBox React Folio avec porte stylet pour iPad 10th gen - Rouge - Version eco sans emballage</t>
  </si>
  <si>
    <t>ST-222-341GX-01</t>
  </si>
  <si>
    <t>STM</t>
  </si>
  <si>
    <t>ST-222-341GX-02</t>
  </si>
  <si>
    <t>ST-222-237JU-01</t>
  </si>
  <si>
    <t>ST-222-237JU-02</t>
  </si>
  <si>
    <t>ST-222-387KX-01</t>
  </si>
  <si>
    <t>STM étui Dux Plus Duo pour iPad 10,9" (10 ème gén) - Emplacement stylet Apple Pencil ou Logitech Crayon - Noir et face arrière transparente</t>
  </si>
  <si>
    <t>ST-222-387KX-02</t>
  </si>
  <si>
    <t>STM étui Dux Plus Duo pour iPad 10,9" (10 ème gén) - Emplacement stylet Apple Pencil ou Logitech Crayon - Rouge et face arrière transparente</t>
  </si>
  <si>
    <t>ST-222-286JT-01</t>
  </si>
  <si>
    <t>ST-222-286JT-02</t>
  </si>
  <si>
    <t>ST-222-334LZ-01</t>
  </si>
  <si>
    <t>UA-12191IB14040</t>
  </si>
  <si>
    <t>UAG Etui folio SCOUT iPad 10.2 Noir - polybag</t>
  </si>
  <si>
    <t>UAG</t>
  </si>
  <si>
    <t>UA-121616114040</t>
  </si>
  <si>
    <t>UAG Metropolis coque folio pour iPad mini (4 et 5ème gén) - Porte Stylet - Noir</t>
  </si>
  <si>
    <t>UA-121916114040</t>
  </si>
  <si>
    <t>UAG Metropolis coque folio pour iPad 10,2" (7,8 et 9ème gén) - Porte Stylet - Noir</t>
  </si>
  <si>
    <t>UA-121916119393</t>
  </si>
  <si>
    <t>UAG Metropolis coque folio pour iPad 10,2" (7,8 et 9ème gén) - Porte Stylet - Rouge</t>
  </si>
  <si>
    <t>UA-123396114040</t>
  </si>
  <si>
    <t>UAG Metropolis coque folio pour iPad 10,9" (10 ème gén) - Porte Stylet - Noir</t>
  </si>
  <si>
    <t>UA-123296114040</t>
  </si>
  <si>
    <t>UAG Metropolis coque folio pour iPad Air (4 et 5ème gén) et iPad Pro 11" (4 et 5ème gén) - Porte Stylet - Noir</t>
  </si>
  <si>
    <t>UA-12339I114040</t>
  </si>
  <si>
    <t>061018</t>
  </si>
  <si>
    <t>Mobiilis coque de protection souple avec coins renforcés R-Séries - Pour iPad 10,9" (10ème gén.) - Transparent</t>
  </si>
  <si>
    <t>ASM133MBP6GL</t>
  </si>
  <si>
    <t>TARGUS Filtre de confidentialité magnétique pour MacBook Pro 13.3 pouces (2016-2022) et MacBook Air 13.3 pouces (2018-2020)</t>
  </si>
  <si>
    <t>ASM136MBAGL</t>
  </si>
  <si>
    <t>TARGUS Filtre de confidentialité magnétique pour MacBook Air 13" M2 et M3</t>
  </si>
  <si>
    <t>ASM15MBAGL</t>
  </si>
  <si>
    <t>TARGUS Filtre de confidentialité magnétique pour MacBook Air 15" M2 et M3</t>
  </si>
  <si>
    <t>ASM14MBPGL</t>
  </si>
  <si>
    <t>TARGUS Filtre de confidentialité magnétique pour MacBook Pro 14" M1, M2 et M3</t>
  </si>
  <si>
    <t>ASM16MBPGL</t>
  </si>
  <si>
    <t>TARGUS Filtre de confidentialité magnétique pour MacBook Pro 16" M1, M2 et M3</t>
  </si>
  <si>
    <t>Portdesigns YOSEMITE Eco - Pochette pour ordinateur portable 13 et 14" - Intérieur vert d'eau, extérieur gris</t>
  </si>
  <si>
    <t>Portdesigns YOSEMITE Eco - Pochette pour ordinateur portable 15 et 16" - Intérieur vert d'eau, extérieur gris</t>
  </si>
  <si>
    <t>Kensington filtre de confidentialité MagPro™ Elite pour MacBook Air 13" M2 et M3</t>
  </si>
  <si>
    <t>K58306WW</t>
  </si>
  <si>
    <t>Kensington filtre de confidentialité MagPro™ Elite pour MacBook Air 15" M2 et M3</t>
  </si>
  <si>
    <t>K58370WW</t>
  </si>
  <si>
    <t>Kensington filtre de confidentialité MagPro™ Elite pour MacBook Pro 14" M1, M2 et M3</t>
  </si>
  <si>
    <t>K58371WW</t>
  </si>
  <si>
    <t>Kensington filtre de confidentialité MagPro™ Elite pour MacBook Pro 16" M1, M2 et M3</t>
  </si>
  <si>
    <t xml:space="preserve">Logiciels </t>
  </si>
  <si>
    <t>Logiciels dématérialisés de virtualisation - Montage vidéo - Gestion de son - Administration à distance</t>
  </si>
  <si>
    <t>D6109ZM/A</t>
  </si>
  <si>
    <t>Apple Final Cut Pro X licence électronique monoposte</t>
  </si>
  <si>
    <t>Logiciels</t>
  </si>
  <si>
    <t>48219300-9</t>
  </si>
  <si>
    <t>IB02</t>
  </si>
  <si>
    <t>D6111ZM/A</t>
  </si>
  <si>
    <t>Apple Compressor licence électronique monoposte</t>
  </si>
  <si>
    <t>D6110ZM/A</t>
  </si>
  <si>
    <t>Apple Motion licence électronique monoposte</t>
  </si>
  <si>
    <t>D6105ZM/A</t>
  </si>
  <si>
    <t>Apple Remote Desktop 3 licence électronique monoposte</t>
  </si>
  <si>
    <t>D6626ZM/A</t>
  </si>
  <si>
    <t>Apple Logic Pro X licence électronique monoposte</t>
  </si>
  <si>
    <t>D6627ZM/A</t>
  </si>
  <si>
    <t>Apple MainStage licence électronique monoposte</t>
  </si>
  <si>
    <t>ESDPDA1YSUBEU</t>
  </si>
  <si>
    <t>Parallels Desktop pour Mac - Standard Edition - 1 licence - 1 an</t>
  </si>
  <si>
    <t>PARALLELS</t>
  </si>
  <si>
    <t>48213000-4</t>
  </si>
  <si>
    <t>IB01</t>
  </si>
  <si>
    <t>PDFM-AENTSUB-1Y-ML</t>
  </si>
  <si>
    <t>Parallels Desktop pour Mac - Business Edition - Première souscription académique - 1 utilisateur - 1 an</t>
  </si>
  <si>
    <t>PDFM-AENTSUB-3Y-ML</t>
  </si>
  <si>
    <t>Parallels Desktop pour Mac - Business Edition - Première souscription académique - 1 utilisateur - 3 ans</t>
  </si>
  <si>
    <t>PDFM-A-ENTSUB-REN-1Y-ML</t>
  </si>
  <si>
    <t>Parallels Desktop pour Mac - Business Edition - Renouvellement académique - 1 utilisateur - 1 an</t>
  </si>
  <si>
    <t>PDFM-A-ENTSUB-REN-3Y-ML</t>
  </si>
  <si>
    <t>Parallels Desktop pour Mac - Business Edition - Renouvellement académique - 1 utilisateur - 3 ans - Renouvellement possible jusqu'à maximum 25 jours après la date d'expiration - Numéro de contrat nécessaire à la commande</t>
  </si>
  <si>
    <t>Jamf Pro macOS éducation - Licence annuelle par poste avec installation sur site (tranche 100 à 9999) - Nouveaux clients</t>
  </si>
  <si>
    <t>JAMF</t>
  </si>
  <si>
    <t>72211000-7</t>
  </si>
  <si>
    <t>Jamf Pro iOS éducation - Licence annuelle par poste avec installation sur site (tranche 100 à 9999) - Nouveaux clients</t>
  </si>
  <si>
    <t>Jamf Pro tvOS éducation - Licence annuelle par poste avec installation sur site (tranche 100 à 9999) - Nouveaux clients</t>
  </si>
  <si>
    <t>Jamf Pro macOS éducation - Licence cloud annuelle par poste (tranche 100 à 9999) - Nouveaux clients</t>
  </si>
  <si>
    <t>Jamf Pro iOS éducation - Licence cloud annuelle par poste (tranche 100 à 9999) - Nouveaux clients</t>
  </si>
  <si>
    <t>Jamf Pro tvOS éducation - Licence cloud annuelle par poste (tranche 100 à 9999) - Nouveaux clients</t>
  </si>
  <si>
    <t>Jamf Pro macOS éducation - Renouvellement licence annuelle par poste avec installation sur site (tranche 100 à 9999)</t>
  </si>
  <si>
    <t>Jamf Pro iOS éducation - Renouvellement licence annuelle par poste avec installation sur site (tranche 100 à 9999)</t>
  </si>
  <si>
    <t>Jamf Pro tvOS éducation - Renouvellement licence annuelle par poste avec installation sur site (tranche 100 à 9999)</t>
  </si>
  <si>
    <t>Jamf Pro macOS éducation - Renouvellement licence cloud annuelle par poste (tranche 100 à 9999)</t>
  </si>
  <si>
    <t>Jamf Pro iOS éducation - Renouvellement licence cloud annuelle par poste (tranche 100 à 9999)</t>
  </si>
  <si>
    <t>Jamf Pro tvOS éducation - Renouvellement licence cloud annuelle par poste (tranche 100 à 9999)</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</si>
  <si>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</si>
  <si>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</si>
  <si>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</si>
  <si>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</si>
  <si>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</si>
  <si>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</si>
  <si>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</si>
  <si>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</si>
  <si>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J-CONN-EDU-T1-C</t>
  </si>
  <si>
    <t>Jamf Connect licence - education 1 à 9999</t>
  </si>
  <si>
    <t>J-CONN-EDU-T1-C-R</t>
  </si>
  <si>
    <t>Jamf Connect licence - education 1 à 9999 - Renouvellement</t>
  </si>
  <si>
    <t>7768328-EDU</t>
  </si>
  <si>
    <t>Jamf Protect licence - education - macOS</t>
  </si>
  <si>
    <t>7768328-EDU-1</t>
  </si>
  <si>
    <t>Jamf Protect licence - education - macOS - Renouvellement</t>
  </si>
  <si>
    <t>Périphériques de sortie</t>
  </si>
  <si>
    <t>Enceintes filaire - Enceintes sans fil - Écouteurs - Casques</t>
  </si>
  <si>
    <t>JBL</t>
  </si>
  <si>
    <t>JBLT500BLK</t>
  </si>
  <si>
    <t>JBL casque Tune 500 noir (casque filaire supra auriculaire - microphone intégré - connecteur audio 3,5 mm)</t>
  </si>
  <si>
    <t>JBLT500BLU</t>
  </si>
  <si>
    <t>JBL casque Tune 500 bleu (casque filaire supra auriculaire - microphone intégré - connecteur audio 3,5 mm)</t>
  </si>
  <si>
    <t>JBLT520BTBLK</t>
  </si>
  <si>
    <t>JBL Tune 520 BT - Casque sans fil - Bluetooth 5.3 - Supra auriculaire - Microphone intégré - Noir</t>
  </si>
  <si>
    <t>JBLLIVE670NC</t>
  </si>
  <si>
    <t>JBL Live 670 NC - Casque sans fil - Bluetooth 5.3 - Supra auriculaire - Jusqu'à 65 h d'autonomie - USB-C - Prise Jack 3,5 mm - Noir</t>
  </si>
  <si>
    <t>JBLFLIP6BLK</t>
  </si>
  <si>
    <t>JBL Flip 6 - Enceinte sans fil Bluetooth - Étanche à l’eau et la poussière IP67 - 12 h d’autonomie</t>
  </si>
  <si>
    <t>AUD005btBLK</t>
  </si>
  <si>
    <t>Belkin SoundForm Adapt - Casque sans fil - Circum-aural - Bluetooth 5.2 - ENC - USB-C - Jack 3,5mm - Composé de matériaux recyclés - Noir</t>
  </si>
  <si>
    <t>Epos Micro-casque filaire duo prise jack 3,5 mm et USB-A, micro ultra anti-bruit, garantie 3 ans</t>
  </si>
  <si>
    <t>EPOS</t>
  </si>
  <si>
    <t>76U50AA</t>
  </si>
  <si>
    <t>POLY</t>
  </si>
  <si>
    <t>981-001219</t>
  </si>
  <si>
    <t>Logitech Zone Vibe 100 - Casque-micro - Sans fil - Port de charge USB-C - Jusqu'à 20h d'autonomie - Blanc cassé</t>
  </si>
  <si>
    <t>980-000814</t>
  </si>
  <si>
    <t>Logitech Kit enceintes 2.0 Z150 - noir</t>
  </si>
  <si>
    <t>980-000010</t>
  </si>
  <si>
    <t>Logitech Kit enceintes 2.0 S120 - noir</t>
  </si>
  <si>
    <t>980-001054</t>
  </si>
  <si>
    <t>Logitech Kit enceintes 2.1 Z533 - noir</t>
  </si>
  <si>
    <t>981-000519</t>
  </si>
  <si>
    <t>Logitech casque microphone Headset stéréo H650e - filaire - Plug &amp; Play USB</t>
  </si>
  <si>
    <t>K83452WW</t>
  </si>
  <si>
    <t>Kensington H3000 Micro-casque - Bluetooth 5.2 multipoint - Circum-aural - USB-C - Câble de charge USB-C, aptateur USB-C vers USB-A et étuit rigide inclus - Noir</t>
  </si>
  <si>
    <t>Protection réseau électrique</t>
  </si>
  <si>
    <t>Onduleurs - Prises parafoudre - Multiprises parafoudre</t>
  </si>
  <si>
    <t>AP9870</t>
  </si>
  <si>
    <t>APC câble alimentation IEC 320 C13 femelle &lt;--&gt; IEC 320 C14 male 2,4 m</t>
  </si>
  <si>
    <t>APC</t>
  </si>
  <si>
    <t>BE650G2-FR</t>
  </si>
  <si>
    <t>APC Back-UPS - Onduleur 650VA - 400 W max -230 V - 8 prises type E - 1xport USB-A</t>
  </si>
  <si>
    <t>BX950MI-FR</t>
  </si>
  <si>
    <t>APC Back-UPS - Onduleur 950VA - 480 W max - 230 V - 4 prises type E</t>
  </si>
  <si>
    <t>BX1200MI-FR</t>
  </si>
  <si>
    <t>APC Back-UPS - Onduleur 1200VA - 650 W max -230 V - 4 prises type E</t>
  </si>
  <si>
    <t>BX2200MI-FR</t>
  </si>
  <si>
    <t>APC Back-UPS - Onduleur 2200VA - 1200 W max - 230 V - 4 prises type E</t>
  </si>
  <si>
    <t>BSV400ca2M</t>
  </si>
  <si>
    <t>Belkin multiprise parafoudre - 4 prises - Blanc et gris</t>
  </si>
  <si>
    <t>BSV603ca2M</t>
  </si>
  <si>
    <t>Belkin multiprise parafoudre - 6 prises - Blanc et gris</t>
  </si>
  <si>
    <t>SRB001ca2M</t>
  </si>
  <si>
    <t>Belkin multiprise parafoudre - 4 prises + 1 port USB-C et 1 port USB-A - Câble 2 m - Blanc</t>
  </si>
  <si>
    <t>SRB004ca2M</t>
  </si>
  <si>
    <t>Belkin multiprise parafoudre - 8 prises + 2 ports USB-C - Câble 2 m - Blanc</t>
  </si>
  <si>
    <t>Fixations - Supports</t>
  </si>
  <si>
    <t>Bras ergonomiques pour moniteur - Fixations antivol - Câbles antivol - Supports pour portables - Supports pour présentation iPad</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</si>
  <si>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</si>
  <si>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</si>
  <si>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</si>
  <si>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</si>
  <si>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</si>
  <si>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</si>
  <si>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</si>
  <si>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</si>
  <si>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</si>
  <si>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K55512WW</t>
  </si>
  <si>
    <t>Kensington Support SmartFit à faible encombrement pour écran - Jusqu'à 32 pouces ou 8 Kg - Noir</t>
  </si>
  <si>
    <t>K59600WW</t>
  </si>
  <si>
    <t>Kensginton Bras articulé SmartFit One-Touch pour écran - Jusqu'à 34 pouces ou 9 Kg - Noir</t>
  </si>
  <si>
    <t>K64453WW</t>
  </si>
  <si>
    <t>Kensington station de verrouillage 2.0 avec kit antivol MicroSaver 2.0 à clé (compatible tout portable de 12" à 16")</t>
  </si>
  <si>
    <t>MBPRLDGTB01KL</t>
  </si>
  <si>
    <t>MacLocks The Ledge - Adaptateur antivol pour MacBook Pro 13" et 15" Touch Bar 4 port Thunderbolt + câble de sécurité à clé</t>
  </si>
  <si>
    <t>COMPULOCKS</t>
  </si>
  <si>
    <t>MBPRLDGTB01CL</t>
  </si>
  <si>
    <t>MacLocks The Ledge - Adaptateur antivol pour MacBook Pro 13" et 15" Touch Bar 4 port Thunderbolt + câble de sécurité à code</t>
  </si>
  <si>
    <t>UNVMBPRLDG01</t>
  </si>
  <si>
    <t>MacLocks The Ledge - Adaptateur antivol pour MacBook Pro 13" M1 et M2</t>
  </si>
  <si>
    <t>UNVMBPRLDG01KL</t>
  </si>
  <si>
    <t>MacLocks The Ledge - Adaptateur antivol pour MacBook Pro 13" M1 et M2 + câble de sécurité à clé</t>
  </si>
  <si>
    <t>UNVMBPRLDG01CL</t>
  </si>
  <si>
    <t>MacLocks The Ledge - Adaptateur antivol pour MacBook Pro 13" M1 et M2 + câble de sécurité à code</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</si>
  <si>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</si>
  <si>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</si>
  <si>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</si>
  <si>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</si>
  <si>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</si>
  <si>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</si>
  <si>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MBALDG03</t>
  </si>
  <si>
    <t>MacLocks The Ledge - Adaptateur antivol pour MacBook Air 13“ M1 et Intel fin-2018 à fin-2020</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</si>
  <si>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</si>
  <si>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</si>
  <si>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</si>
  <si>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</si>
  <si>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MBALDG04</t>
  </si>
  <si>
    <t>MBALDG04KL</t>
  </si>
  <si>
    <t>MBALDG04CL</t>
  </si>
  <si>
    <t>MBALDG05</t>
  </si>
  <si>
    <t>MBALDG05KL</t>
  </si>
  <si>
    <t>MBALDG05CL</t>
  </si>
  <si>
    <t>MBPR14LDG01</t>
  </si>
  <si>
    <t>MacLocks The Ledge - Adaptateur antivol pour MacBook Pro 14" M1, M2 et M3</t>
  </si>
  <si>
    <t>MBPR14LDG01KL</t>
  </si>
  <si>
    <t>MacLocks The Ledge - Adaptateur antivol pour MacBook Pro 14" M1, M2 et M3 + câble de sécurité à clef</t>
  </si>
  <si>
    <t>MBPR14LDG01CL</t>
  </si>
  <si>
    <t>MacLocks The Ledge - Adaptateur antivol pour MacBook Pro 14" M1, M2 et M3 + câble de sécurité à code</t>
  </si>
  <si>
    <t>MBPR16LDG02</t>
  </si>
  <si>
    <t>MacLocks The Ledge - Adaptateur antivol pour MacBook Pro 16" M1, M2 et M3</t>
  </si>
  <si>
    <t>MBPR16LDG02KL</t>
  </si>
  <si>
    <t>MacLocks The Ledge - Adaptateur antivol pour MacBook Pro 16" M1, M2 et M3 + câble de sécurité à clef</t>
  </si>
  <si>
    <t>MBPR16LDG02CL</t>
  </si>
  <si>
    <t>MacLocks The Ledge - Adaptateur antivol pour MacBook Pro 16" M1, M2 et M3 + câble de sécurité à code</t>
  </si>
  <si>
    <t>MSLDG01</t>
  </si>
  <si>
    <t>MacLocks The Ledge - Adaptateur antivol pour Mac Studio</t>
  </si>
  <si>
    <t>MSLDG01KL</t>
  </si>
  <si>
    <t>MacLocks The Ledge - Adaptateur antivol pour Mac Studio + câble de sécurité à clef</t>
  </si>
  <si>
    <t>MSLDG01CL</t>
  </si>
  <si>
    <t>MacLocks The Ledge - Adaptateur antivol pour Mac Studio + câble de sécurité à code</t>
  </si>
  <si>
    <t>MMEN76</t>
  </si>
  <si>
    <t>MacLocks - Support VESA (75 x 75 - 100 x 100)  antivol pour Mac mini M1 et Intel mi-2010 à fin-2018 + kit de sécurité à clé</t>
  </si>
  <si>
    <t>ATVEN35</t>
  </si>
  <si>
    <t>MacLocks - Support antivol pour Apple TV HD et 4K 2017 à 2021 - VESA (75x75 - 100 x 100) + kit de sécurité à clé</t>
  </si>
  <si>
    <t>ATVEN43</t>
  </si>
  <si>
    <t>MacLocks - Support antivol pour Apple TV 4K 2022 - VESA (75x75 - 100 x 100) + kit de sécurité à clé</t>
  </si>
  <si>
    <t>BLD01CL</t>
  </si>
  <si>
    <t>MacLocks The Blade - Adaptateur antivol adhésif universel + câble de sécurité à code</t>
  </si>
  <si>
    <t>BLD01KL</t>
  </si>
  <si>
    <t>MacLocks The Blade - Adaptateur antivol adhésif universel + câble de sécurité à clé</t>
  </si>
  <si>
    <t>CL15</t>
  </si>
  <si>
    <t>MacLocks - Câble de sécurité à clef - 1,8m - Noir</t>
  </si>
  <si>
    <t>CL15W</t>
  </si>
  <si>
    <t>MacLocks - Câble de sécurité à clef - 1,8m - Blanc</t>
  </si>
  <si>
    <t>CL37</t>
  </si>
  <si>
    <t>MacLocks - Câble de sécurité à code - 1,8m - Noir</t>
  </si>
  <si>
    <t>CL15C</t>
  </si>
  <si>
    <t>MacLocks - Câble de sécurité spiralée à clef - 1,52m - Noir</t>
  </si>
  <si>
    <t>CL02H</t>
  </si>
  <si>
    <t>MacLocks - Câble de sécurité spiralée double tête à clef - Noir</t>
  </si>
  <si>
    <t>TBRPLT</t>
  </si>
  <si>
    <t>MacLocks - Adaptateur antivol adhésif universel</t>
  </si>
  <si>
    <t>CL15UTL</t>
  </si>
  <si>
    <t>MacLocks - Adaptateur antivol adhésif universel + câble de sécurité à clé</t>
  </si>
  <si>
    <t>CL37UTL</t>
  </si>
  <si>
    <t>MacLocks - Adaptateur antivol adhésif universel + câble de sécurité à code</t>
  </si>
  <si>
    <t>CL15CUTL</t>
  </si>
  <si>
    <t>MacLocks - Adaptateur antivol adhésif universel + câble de sécurité spiralée à clef</t>
  </si>
  <si>
    <t>EK1-AU50G</t>
  </si>
  <si>
    <t>MacLocks - Ancre de fixation pour cable antivol</t>
  </si>
  <si>
    <t>FOLD-STAND-RP-BLK</t>
  </si>
  <si>
    <t xml:space="preserve">Native Union Fold Laptop Stand - Support en aluminium pour ordinateur ou tablette - Ultra fin - Pliable - Noir </t>
  </si>
  <si>
    <t>NATIVE UNION</t>
  </si>
  <si>
    <t>EDC001</t>
  </si>
  <si>
    <t>Belkin Tablet Stage - Support pour iPad 7" à 12,9" - Avec application de capture vidéo et de présentation Stage</t>
  </si>
  <si>
    <t>B2B118</t>
  </si>
  <si>
    <t>Belkin Portable Tablet Stage - Support pour iPad 7" à 12,9"</t>
  </si>
  <si>
    <t>12-1708</t>
  </si>
  <si>
    <t>Twelve South Curve - Socle de bureau - Noir mat</t>
  </si>
  <si>
    <t>TWELVE SOUTH</t>
  </si>
  <si>
    <t>12-1915</t>
  </si>
  <si>
    <t>Twelve South Curve - Socle de bureau - Blanc mat</t>
  </si>
  <si>
    <t>K50424WW</t>
  </si>
  <si>
    <t>Kensington Support pour ordinateur portable - Hauteur réglable de 151 à 200 mm - Inclinaison réglable de 0° à 45° - Aluminium et acier - Gris</t>
  </si>
  <si>
    <t>Batteries externes</t>
  </si>
  <si>
    <t>78-80836</t>
  </si>
  <si>
    <t>78-80690</t>
  </si>
  <si>
    <t>78-80691</t>
  </si>
  <si>
    <t>XTORM</t>
  </si>
  <si>
    <t>XB403</t>
  </si>
  <si>
    <t>CY4131PBCHE</t>
  </si>
  <si>
    <t>CYGNETT</t>
  </si>
  <si>
    <t>HJ245B</t>
  </si>
  <si>
    <t>Bagagerie</t>
  </si>
  <si>
    <t>Sacs à dos - Sacoches - Pochettes pour accessoires</t>
  </si>
  <si>
    <t>BKTED1314-BK</t>
  </si>
  <si>
    <t>Tucano TED 14" - Sac à dos en plastique recyclé pour Mac 13" et 14" - Intérieur orange, extérieur gris foncé</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</si>
  <si>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</si>
  <si>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</si>
  <si>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</si>
  <si>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</si>
  <si>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</si>
  <si>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</si>
  <si>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BSBTK21516-BK</t>
  </si>
  <si>
    <t>Tucano GLOBAL - Sacoche en plastique recyclé pour Mac 15" et 16" - Intérieur gris, extérieur noir</t>
  </si>
  <si>
    <t>BSBTK21516-B</t>
  </si>
  <si>
    <t>Tucano GLOBAL - Sacoche en plastique recyclé pour Mac 15" et 16" - Intérieur gris, extérieur bleu</t>
  </si>
  <si>
    <t>BSBTK21314-BK</t>
  </si>
  <si>
    <t>Tucano GLOBAL - Sacoche en plastique recyclé pour Mac 13" et 14" - Intérieur gris, extérieur noir</t>
  </si>
  <si>
    <t>BGOM15-BK</t>
  </si>
  <si>
    <t>Tucano GOMMO - Sacoche en plastique recyclé pour Mac 15" et 16" - Intérieur noir, extérieur noir</t>
  </si>
  <si>
    <t>WO4-MB16-AX</t>
  </si>
  <si>
    <t>Tucano WORK OUT 4 - Sacoche mince en plastique recyclé pour Mac 15" et 16" - Intérieur kaki, extérieur anthracite</t>
  </si>
  <si>
    <t>WO4-MB14-AX</t>
  </si>
  <si>
    <t>Tucano WORK OUT 4 - Sacoche mince en plastique recyclé pour Mac 13" et 14" - Intérieur kaki, extérieur anthracite</t>
  </si>
  <si>
    <t>BFMCO-BK</t>
  </si>
  <si>
    <t>Tucano MELANGE ORGANIZER - Pochette en plastique recyclé 25x19x2 pour accessoires - Intérieur noir, extérieur anthracite</t>
  </si>
  <si>
    <t>BFMCP-BK</t>
  </si>
  <si>
    <t>Tucano MELANGE POUCH - Housse en plastique recyclé 22x15x1,5 pour accessoires - Intérieur noir, extérieur anthracite</t>
  </si>
  <si>
    <t>ST-117-268M-01</t>
  </si>
  <si>
    <t>STM sacoche Gamechange brief pour MacBook Pro et Air 13" - Noir</t>
  </si>
  <si>
    <t>ST-117-268P-01</t>
  </si>
  <si>
    <t>STM sacoche Gamechange brief pour MacBook Pro 15 et 16" - Noir</t>
  </si>
  <si>
    <r>
      <t xml:space="preserve">Portdesigns YOSEMITE Eco - Sacoche pour ordinateur portable 13/14" - </t>
    </r>
    <r>
      <rPr>
        <sz val="10"/>
        <color theme="1"/>
        <rFont val="Calibri (Corps)"/>
      </rPr>
      <t>62</t>
    </r>
    <r>
      <rPr>
        <sz val="10"/>
        <color theme="1"/>
        <rFont val="Calibri"/>
        <family val="2"/>
        <scheme val="minor"/>
      </rPr>
      <t>% en matériaux recyclés - Intérieur vert d'eau, extérieur gris</t>
    </r>
  </si>
  <si>
    <t>Portdesigns YOSEMITE Eco - Sacoche pour ordinateur portable 13/14" - 62% en matériaux recyclés - Intérieur vert d'eau, extérieur gris</t>
  </si>
  <si>
    <r>
      <t xml:space="preserve">Portdesigns YOSEMITE Eco - Sacoche pour ordinateur portable YOSEMITE Eco 16" - </t>
    </r>
    <r>
      <rPr>
        <sz val="10"/>
        <color theme="1"/>
        <rFont val="Calibri (Corps)"/>
      </rPr>
      <t>62</t>
    </r>
    <r>
      <rPr>
        <sz val="10"/>
        <color theme="1"/>
        <rFont val="Calibri"/>
        <family val="2"/>
        <scheme val="minor"/>
      </rPr>
      <t>% en matériaux recyclés - Intérieur vert d'eau, extérieur gris</t>
    </r>
  </si>
  <si>
    <t>Portdesigns YOSEMITE Eco - Sacoche pour ordinateur portable YOSEMITE Eco 16" - 62% en matériaux recyclés - Intérieur vert d'eau, extérieur gris</t>
  </si>
  <si>
    <t>Portdesigns YOSEMITE Eco - Sac à dos pour ordinateur portable YOSEMITE Eco 13/14" - 58% en matériaux recyclés - Intérieur vert d'eau, extérieur gris</t>
  </si>
  <si>
    <t>Portdesigns YOSEMITE Eco - Sac à dos XL pour ordinateur portable YOSEMITE Eco 16" - 58% en matériaux recyclés - Intérieur vert d'eau, extérieur gris</t>
  </si>
  <si>
    <t>Portdesigns YOSEMITE Eco - Trolley pour ordinateur portable jusqu'à 16" - IATA - 58% matériaux recyclés - Intérieur vert d'eau, extérieur gris</t>
  </si>
  <si>
    <t>Portdesigns CHICAGO EVO - Sac à dos pour ordinateur portable 13/16" - Intérieur bleu, extérieur noir</t>
  </si>
  <si>
    <t>Portdesigns CHICAGO EVO - Trolley &amp; sac à dos pour ordinateur portable 16" - Intérieur bleu, extérieur noir</t>
  </si>
  <si>
    <t>HP20P2BKGL</t>
  </si>
  <si>
    <t>HyperPack Pro - Sac à dos pour ordinateur portable ou tablette jusqu'à 16" - Construction en Cordura 1260D - Fermetures YKK AquaGuard - Protection RFID - Module de localisation Apple Find My - Garantie limitée à vie - Intérieur gris, extérieur noir</t>
  </si>
  <si>
    <t>070001</t>
  </si>
  <si>
    <t>Mobilis Sac à dos et sacoche vélo pour ordinateur jusqu'à 16 pouces - Matière étanche - Adaptable à tous porte-bagages - Noir</t>
  </si>
  <si>
    <t>Apple TV</t>
  </si>
  <si>
    <t>MN873FD/A</t>
  </si>
  <si>
    <t>Apple TV 4K - Wi‑Fi - 64 Go</t>
  </si>
  <si>
    <t>MN893FD/A</t>
  </si>
  <si>
    <t>Apple TV 4K - Wi‑Fi + Ethernet - 128 Go</t>
  </si>
  <si>
    <t>Apple Siri Remote (3ème gén.) - Pour Apple TV 4K et HD</t>
  </si>
  <si>
    <t>Composants internes</t>
  </si>
  <si>
    <t>Module de mémoire vive (RAM)</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</si>
  <si>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</si>
  <si>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</si>
  <si>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</si>
  <si>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</si>
  <si>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</si>
  <si>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</si>
  <si>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</si>
  <si>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</si>
  <si>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</si>
  <si>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</si>
  <si>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</si>
  <si>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</si>
  <si>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</si>
  <si>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</si>
  <si>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</si>
  <si>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</si>
  <si>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</si>
  <si>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</si>
  <si>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</si>
  <si>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</si>
  <si>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Solutions de paiements dématérialisés</t>
  </si>
  <si>
    <t>Cartes iTunes Store - App Store - Crédits VPP</t>
  </si>
  <si>
    <t>CITUNES-25</t>
  </si>
  <si>
    <t>Arhtim - Carte iTunes 25€</t>
  </si>
  <si>
    <t>ARHTIM</t>
  </si>
  <si>
    <t>CITUNES-50</t>
  </si>
  <si>
    <t>Arhtim - Carte iTunes 50€</t>
  </si>
  <si>
    <t>D6701Z/A</t>
  </si>
  <si>
    <t>Apple crédit V.P.P. éducation d'un montant de 1,00 € - (À associer obligatoirement avec la référence VPP-FG)</t>
  </si>
  <si>
    <t>VPP-FG</t>
  </si>
  <si>
    <t>Frais de gestion crédit V.P.P. (5%)</t>
  </si>
  <si>
    <t>Solutions de sécurisation et transport</t>
  </si>
  <si>
    <t>Chariots - Malles - Casiers - Armoires</t>
  </si>
  <si>
    <t>CPCF-C32-iPD05-200</t>
  </si>
  <si>
    <t>Arhtim - Gamme Kallysta - Chariot Apollo 32 (chariot de transport, charge et synchronisation pour 32 iPad (7,9'', 9,7', 10,2'' ou 10,5'') - Nécéssite le kit câble KC-C32</t>
  </si>
  <si>
    <t>KC-C32</t>
  </si>
  <si>
    <t>Arhtim - Gamme Kallysta - Kit de 32 câbles Lightning Apple MFI - option obligatoire depuis les iPad 10.2'' (8ème génération)</t>
  </si>
  <si>
    <t>KCC-32</t>
  </si>
  <si>
    <t>Arhtim - Gamme Kallysta - Kit de 32 câbles USB-C - option obligatoire depuis les iPad 10.9'' (10ème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</si>
  <si>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</si>
  <si>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</si>
  <si>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</si>
  <si>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</si>
  <si>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</si>
  <si>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</si>
  <si>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</si>
  <si>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</si>
  <si>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</si>
  <si>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</si>
  <si>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</si>
  <si>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</si>
  <si>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</si>
  <si>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</si>
  <si>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</si>
  <si>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</si>
  <si>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KCS-ACX</t>
  </si>
  <si>
    <t>Arhtim - Gamme Kallysta - Câble d’alimentation (supplémentaire) pour chariots Apollo (16, 32, 64, 90,120)</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</si>
  <si>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</si>
  <si>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</si>
  <si>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</si>
  <si>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</si>
  <si>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KCC-48</t>
  </si>
  <si>
    <t>Arhtim - Gamme Kallysta - Kit de 48 câbles USB-C - option obligatoire depuis les iPad 10.9'' (10ème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</si>
  <si>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</si>
  <si>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</si>
  <si>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</si>
  <si>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</si>
  <si>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</si>
  <si>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</si>
  <si>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</si>
  <si>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</si>
  <si>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</si>
  <si>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</si>
  <si>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</si>
  <si>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</si>
  <si>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KCC-64</t>
  </si>
  <si>
    <t>Arhtim - Gamme Kallysta - Kit de 64 câbles USB-C - option obligatoire depuis les iPad 10.9'' (10ème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</si>
  <si>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</si>
  <si>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</si>
  <si>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</si>
  <si>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</si>
  <si>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</si>
  <si>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</si>
  <si>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</si>
  <si>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</si>
  <si>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</si>
  <si>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KCC-90</t>
  </si>
  <si>
    <t>Arhtim - Gamme Kallysta - Kit de 90 câbles USB-C - option obligatoire depuis les iPad 10.9'' (10ème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</si>
  <si>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</si>
  <si>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</si>
  <si>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</si>
  <si>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</si>
  <si>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</si>
  <si>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</si>
  <si>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</si>
  <si>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</si>
  <si>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</si>
  <si>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</si>
  <si>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</si>
  <si>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</si>
  <si>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</si>
  <si>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</si>
  <si>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KCC-120</t>
  </si>
  <si>
    <t>Arhtim - Gamme Kallysta - Kit de 120 câbles USB-C - option obligatoire depuis les iPad 10.9'' (10ème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</si>
  <si>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</si>
  <si>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</si>
  <si>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</si>
  <si>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</si>
  <si>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</si>
  <si>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</si>
  <si>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</si>
  <si>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</si>
  <si>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</si>
  <si>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</si>
  <si>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</si>
  <si>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</si>
  <si>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</si>
  <si>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</si>
  <si>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</si>
  <si>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</si>
  <si>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</si>
  <si>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</si>
  <si>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</si>
  <si>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</si>
  <si>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</si>
  <si>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</si>
  <si>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</si>
  <si>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</si>
  <si>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</si>
  <si>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</si>
  <si>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</si>
  <si>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</si>
  <si>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</si>
  <si>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</si>
  <si>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</si>
  <si>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</si>
  <si>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</si>
  <si>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</si>
  <si>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</si>
  <si>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</si>
  <si>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</si>
  <si>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</si>
  <si>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</si>
  <si>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</si>
  <si>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</si>
  <si>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</si>
  <si>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</si>
  <si>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</si>
  <si>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</si>
  <si>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</si>
  <si>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</si>
  <si>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</si>
  <si>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</si>
  <si>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</si>
  <si>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</si>
  <si>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</si>
  <si>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</si>
  <si>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</si>
  <si>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</si>
  <si>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</si>
  <si>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</si>
  <si>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</si>
  <si>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</si>
  <si>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</si>
  <si>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</si>
  <si>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</si>
  <si>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</si>
  <si>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</si>
  <si>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</si>
  <si>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</si>
  <si>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</si>
  <si>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</si>
  <si>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LNC10381</t>
  </si>
  <si>
    <t>LocknCharge Joey 40 v2. - charriot de charge universelle pour 40 iPads et MacBooks avec grands panier et sans câble USB - Lightning et garantie 10 ans inclus</t>
  </si>
  <si>
    <t>LOCK'N'CHARGE</t>
  </si>
  <si>
    <t>LNC10479</t>
  </si>
  <si>
    <t>LocknCharge iQ10 mk2 - Armoires de rechargement iQ™ 10 - 10 emplacements - USB-C Power Delivery - Garantie à vie</t>
  </si>
  <si>
    <t>LNC10472</t>
  </si>
  <si>
    <t>LocknCharge FUYL Tower Pro 15 Mk2 - Armoire connectée - 15 casiers individuels - Une prise secteur et un port USB-C Power Deivery par casier - Logiciel de gestion Saas Cloud LocknCharge (1 an) - Garantie à vie</t>
  </si>
  <si>
    <t>LNC10211</t>
  </si>
  <si>
    <t>LocknCharge FUYL Tower 5 Mk2 - Armoire connectée - 5 casiers individuels - Une prise secteur et un port USB-A par casier - Logiciel de gestion Saas Cloud LocknCharge (1 an) - Garantie à vie</t>
  </si>
  <si>
    <t>LNC10494</t>
  </si>
  <si>
    <t>LocknCharge CarryOn - Station de Charge ultra mobile - 5 emplacements - USB-C Power Delivery - Garantie à vie</t>
  </si>
  <si>
    <t>LNC10162</t>
  </si>
  <si>
    <t>LocknCharge Putnam 16 - Amoire de recharge - 16 emplacements - Avec indicateurs LED individuel de charge - Avec câbles USB Lightning MFI inclus - Garantie à vie</t>
  </si>
  <si>
    <t>LNC10178 </t>
  </si>
  <si>
    <t>LocknCharge Putnam 8 - Amoire de recharge - 8 emplacements - Avec indicateurs LED individuel de charge - Avec câbles USB Lightning MFI inclus - Garantie à vie</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</si>
  <si>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</si>
  <si>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</si>
  <si>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</si>
  <si>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</si>
  <si>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</si>
  <si>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</si>
  <si>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</si>
  <si>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</si>
  <si>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</si>
  <si>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</si>
  <si>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</si>
  <si>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</si>
  <si>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</si>
  <si>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</si>
  <si>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</si>
  <si>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</si>
  <si>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1-ZZARM064BOXC5</t>
  </si>
  <si>
    <t>Naotic Aliabox 5P Compact - Armoire connectée avec 5 emplacements individuels - Chacun équipé d'une prise électrique 230 V, d'un port USB-A et d'un port USB-C - Serrures électromagnétiques</t>
  </si>
  <si>
    <t>NAOTIC</t>
  </si>
  <si>
    <t>1-ZZARM064BOXC</t>
  </si>
  <si>
    <t>Naotic Aliabox 10P - Armoire connectée avec 10 emplacements individuels - Chacun équipé d'une prise électrique 230 V, d'un port USB-A et d'un port USB-C - Serrures électromagnétiques</t>
  </si>
  <si>
    <t>1-ZZARM068SAF6</t>
  </si>
  <si>
    <t>Naotic Tabisafe M6P Compact - Armoire avec 6 emplacements individuels - Chacun équipé d'une prise électrique 230 V, d'un port USB-A et d'un port USB-C - Serrures à codes</t>
  </si>
  <si>
    <t>1-ZZARM068SAFMU</t>
  </si>
  <si>
    <t>Naotic Tabisafe M10P - Armoire avec 10 emplacements individuels - Chacun équipé d'une prise électrique 230 V, d'un port USB-A et d'un port USB-C - Serrures à codes</t>
  </si>
  <si>
    <t>1-ZZXREC203PC5U</t>
  </si>
  <si>
    <t>Naotic Tabidock P5 - Station de charge compacte autonome en libre service avec 5 emplacements pour PC - Tabipower USB-C / USB-A</t>
  </si>
  <si>
    <t>1-ZZXREC207T10U</t>
  </si>
  <si>
    <t>Naotic Tabidock T10 - Station de charge compacte autonome en libre service avec 10 emplacements pour tablettes - Tabipower USB-C / USB-A</t>
  </si>
  <si>
    <t>1-ZZARM085FT1U</t>
  </si>
  <si>
    <t>Naotic Tabibox FT1 - Armoires collectives connectées avec 40 emplacements pour tablettes - Tabipower USB-C / USB-A</t>
  </si>
  <si>
    <t>1-ZZCHA026S2TU</t>
  </si>
  <si>
    <t>Naotic Tabicart S2 - Chariots connectés compacts avec sacoches de transport avec 40 emplacements pour tablettes - Avec 4 sacoches de transport - Tabipower USB-C / USB-A</t>
  </si>
  <si>
    <t>1-ZZVAL162M400S</t>
  </si>
  <si>
    <t xml:space="preserve">Naotic Naocase M400 - Valise de transport et de rechargement compacte et légère avec 16 emplacements pour tablettes et 1 emplacement pour un ordinateur portable - Smartypower 16 prises </t>
  </si>
  <si>
    <t>1-ZZVAL163M400U</t>
  </si>
  <si>
    <t>Naotic Naocase M400 - Valise de transport et de rechargement compacte et légère avec 16 emplacements pour tablettes et 1 emplacement pour un ordinateur portable - Tabipower USB-C / USB-A</t>
  </si>
  <si>
    <t>1-ZZVAL166M500TS</t>
  </si>
  <si>
    <t>Naotic Naocase M500 - Valise de transport haute résistance avec 16 emplacements pour tablettes - Smartypower 16 prises</t>
  </si>
  <si>
    <t>1-ZZVAL167M500TU</t>
  </si>
  <si>
    <t>Naotic Naocase M500 - Valise de transport haute résistance avec 16 emplacements pour tablettes - Tabipower USB-C / USB-A</t>
  </si>
  <si>
    <t>MI5-FRAIS-HORS-FR-METROP</t>
  </si>
  <si>
    <t xml:space="preserve">Cotation spécifique de frais de livraison hors France métropolitaine </t>
  </si>
  <si>
    <t>Sur devis</t>
  </si>
  <si>
    <t>Services</t>
  </si>
  <si>
    <t>30200000-29</t>
  </si>
  <si>
    <t>IA52</t>
  </si>
  <si>
    <t>MI5-TAXES-DOUANES-DDP</t>
  </si>
  <si>
    <t>Cotation spécifique de droit et taxe de douanes en Incoterm DDP</t>
  </si>
  <si>
    <t>MI5-FRAIS-DRI-VOY</t>
  </si>
  <si>
    <t>Cotation spécifique de frais de déplacement pour prestation sur site</t>
  </si>
  <si>
    <t>Prestations de marquage et étiquetage</t>
  </si>
  <si>
    <t>(Gravure, Etiquetage, Rapports, Marquage Antivol, …)</t>
  </si>
  <si>
    <t>MI5-ETIQUETTE</t>
  </si>
  <si>
    <t>Fourniture et pose d'une étiquette avec logo de l'établissement, numéro de série et adresse MAC</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</si>
  <si>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</si>
  <si>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</si>
  <si>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</si>
  <si>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</si>
  <si>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</si>
  <si>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</si>
  <si>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</si>
  <si>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</si>
  <si>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</si>
  <si>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</si>
  <si>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</si>
  <si>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</si>
  <si>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</si>
  <si>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Prestations d'installation agréées</t>
  </si>
  <si>
    <t>Attention : toute prestation annulée dans les 48h sera facturée en totalité</t>
  </si>
  <si>
    <t>MI5-MAIN-INST-BAS-1PST</t>
  </si>
  <si>
    <t>Installation basique sur site - 1 poste</t>
  </si>
  <si>
    <t>MAINTRONIC</t>
  </si>
  <si>
    <t>MI5-MAIN-INST-BAS-1PST+1</t>
  </si>
  <si>
    <t>Installation basique sur site - 1 poste supplémentaire - Référence à associer à la prestation MI5-MAIN-INST-BAS-1PST - Sur même site - Limitée à 8 postes par jour</t>
  </si>
  <si>
    <t>MI5-MAIN-INST-AV-TR1</t>
  </si>
  <si>
    <t>Installation avancée sur site - 1 poste</t>
  </si>
  <si>
    <t>MI5-MAIN-INST-AV-TR1+1</t>
  </si>
  <si>
    <t>Installation avancée sur site - 1 poste supplémentaire - Référence à associer à la prestation MI5-MAIN-INST-AV-TR1 - Sur même site - Limitée à 3 postes par jour</t>
  </si>
  <si>
    <t>MI5-MAIN-INST-SOFT-TR1</t>
  </si>
  <si>
    <t>Installation logicielle sur site - 1 poste</t>
  </si>
  <si>
    <t>MI5-MAIN-INST-SOFT-TR1+1</t>
  </si>
  <si>
    <t>Installation logicielle sur site - 1 poste supplémentaire - Référence à associer à la prestation MI5-MAIN-INST-LOG-NIV1-TR1 - Sur même site - Limitée à 12 postes par jour</t>
  </si>
  <si>
    <t>MI5-MAIN-INST-AV+SOFT-TR1</t>
  </si>
  <si>
    <t>Installation avancée + installation logicielle sur site - 1 poste</t>
  </si>
  <si>
    <t>MI5-MAIN-INST-AV+SOFT-TR1+1</t>
  </si>
  <si>
    <t>Installation avancée + installation logicielle sur site - 1 poste supplémentaire - Référence à associer à la prestation MI5-MAIN-INST-AV+SOFT-TR1 - Sur même site - Limitée à 2 postes par jour</t>
  </si>
  <si>
    <t>MI5-MAIN-DATATRANS-TR1</t>
  </si>
  <si>
    <t>Transfert de données utilisateur sur site - 256 Go pour 1 poste</t>
  </si>
  <si>
    <t>MI5-MAIN-DATATRANS-TR1+1</t>
  </si>
  <si>
    <t>Transfert de données utilisateur sur site - 256 Go supplémentaire pour le même poste - Référence à associer à la prestation MI5-MAIN-DATATRANS-TR1 - Sur même site - Limitée à 1000 Go par poste par jour</t>
  </si>
  <si>
    <t>MI5-MAIN-CLEAN-TR1</t>
  </si>
  <si>
    <t>Effacement sécurisé et formatage d'un périphérique de stockage sur site - Pour 1 disque</t>
  </si>
  <si>
    <t>MI5-MAIN-TRANSCOMP-IPADOS-2H</t>
  </si>
  <si>
    <t>﻿Transfert de compétence iPadOS - 2 heures sur site - 1 utilisateur</t>
  </si>
  <si>
    <t>MI5-MAIN-TRANSCOMP-IPADOS-1/2J</t>
  </si>
  <si>
    <t>﻿Transfert de compétence iPadOS - 1/2 journée sur site - 1 utilisateur</t>
  </si>
  <si>
    <t>MI5-MAIN-TRANSCOMP-IPADOS-1J</t>
  </si>
  <si>
    <t>﻿Transfert de compétence iPadOS  1 journée sur site - 1 utilisateur</t>
  </si>
  <si>
    <t>MI5-MAIN-TRANSCOMP-MACOS-2H</t>
  </si>
  <si>
    <t>﻿Transfert de compétence MacOS  2 heures sur site - 1 utilisateur</t>
  </si>
  <si>
    <t>MI5-MAIN-TRANSCOMP-MACOS-1/2J</t>
  </si>
  <si>
    <t>﻿Transfert de compétence MacOS  1/2 journée sur site - 1 utilisateur</t>
  </si>
  <si>
    <t>MI5-MAIN-TRANSCOMP-MACOS-1J</t>
  </si>
  <si>
    <t>﻿Transfert de compétence MacOS  1 journée sur site - 1 utilisateur</t>
  </si>
  <si>
    <t>PROTECTIMP</t>
  </si>
  <si>
    <t>Jamf Protect Implementation - Configuration pour nouvel utilisateur Jamf Protect - 1/2 journée à distance</t>
  </si>
  <si>
    <t>Jamf Formation par personne niveau 200, 300, or 400</t>
  </si>
  <si>
    <t>Jamf Connect for macOS configuration &amp; installation - Remote 4h</t>
  </si>
  <si>
    <t>SSD-ING-MI5-DRIVE-1J</t>
  </si>
  <si>
    <t>Forfait mise à disposition ingénieur technique niveau 3 - 1 journée sur site (frais de déplacement non inclus)</t>
  </si>
  <si>
    <t>SSD-ING-MI5-DRIVE-1/2J</t>
  </si>
  <si>
    <t>Forfait mise à disposition ingénieur technique niveau 3 – 1/2 journée sur site</t>
  </si>
  <si>
    <t>SSD-ING-MI5-DRIVE-1H-W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</si>
  <si>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</si>
  <si>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</si>
  <si>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</si>
  <si>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</si>
  <si>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</si>
  <si>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</si>
  <si>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</si>
  <si>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</si>
  <si>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</si>
  <si>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</si>
  <si>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</si>
  <si>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</si>
  <si>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</si>
  <si>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</si>
  <si>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</si>
  <si>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</si>
  <si>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</si>
  <si>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</si>
  <si>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</si>
  <si>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</si>
  <si>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</si>
  <si>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</si>
  <si>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</si>
  <si>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</si>
  <si>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</si>
  <si>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</si>
  <si>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</si>
  <si>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</si>
  <si>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</si>
  <si>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</si>
  <si>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</si>
  <si>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</si>
  <si>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</si>
  <si>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</si>
  <si>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</si>
  <si>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</si>
  <si>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</si>
  <si>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</si>
  <si>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</si>
  <si>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</si>
  <si>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</si>
  <si>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</si>
  <si>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</si>
  <si>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</si>
  <si>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</si>
  <si>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</si>
  <si>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</si>
  <si>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</si>
  <si>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</si>
  <si>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</si>
  <si>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</si>
  <si>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</si>
  <si>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</si>
  <si>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</si>
  <si>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</si>
  <si>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</si>
  <si>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</si>
  <si>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</si>
  <si>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</si>
  <si>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</si>
  <si>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</si>
  <si>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</si>
  <si>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</si>
  <si>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</si>
  <si>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</si>
  <si>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</si>
  <si>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</si>
  <si>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</si>
  <si>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</si>
  <si>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</si>
  <si>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</si>
  <si>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</si>
  <si>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</si>
  <si>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</si>
  <si>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</si>
  <si>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</si>
  <si>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</si>
  <si>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</si>
  <si>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</si>
  <si>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</si>
  <si>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</si>
  <si>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Extensions de garanties pour Mac MI4</t>
  </si>
  <si>
    <t>Formule PLUS ou PLATINE pour du matériel Apple acheté sur le marché MatInfo 4 encore sous garantie</t>
  </si>
  <si>
    <t>MI5-PROLMI4-MB-1-PLUS</t>
  </si>
  <si>
    <t>Extension de garantie +1 an - Formule Plus - Pour MacBook Air et Pro - Enlèvement à J+1 - Réparation à J+5 maximum - Mac de prêt si matériel non réparé à J+3</t>
  </si>
  <si>
    <t>MI5-PROLMI4-MB-2-PLUS</t>
  </si>
  <si>
    <t>Extension de garantie +2 ans - Formule Plus - Pour MacBook Air et Pro - Enlèvement à J+1 - Réparation à J+5 maximum - Mac de prêt si matériel non réparé à J+3</t>
  </si>
  <si>
    <t>MI5-PROLMI4-MB-3-PLUS</t>
  </si>
  <si>
    <t>Extension de garantie +3 ans - Formule Plus - Pour MacBook Air et Pro - Enlèvement à J+1 - Réparation à J+5 maximum - Mac de prêt si matériel non réparé à J+3</t>
  </si>
  <si>
    <t>MI5-PROLMI4-MB-1-PLAT</t>
  </si>
  <si>
    <t>Extension de garantie +1 an - Formule Platine - Pour MacBook Air et Pro - Réparation sur site de J+1 à J+3 maximum</t>
  </si>
  <si>
    <t>MI5-PROLMI4-MB-2-PLAT</t>
  </si>
  <si>
    <t>Extension de garantie +2 ans - Formule Platine - Pour MacBook Air et Pro - Réparation sur site de J+1 à J+3 maximum</t>
  </si>
  <si>
    <t>MI5-PROLMI4-MB-3-PLAT</t>
  </si>
  <si>
    <t>Extension de garantie +3 ans - Formule Platine - Pour MacBook Air et Pro - Réparation sur site de J+1 à J+3 maximum</t>
  </si>
  <si>
    <t>MI5-PROLMI4-MM-1-PLUS</t>
  </si>
  <si>
    <t>Extension de garantie +1 an - Formule Plus - Pour Mac mini - Enlèvement à J+1 - Réparation à J+5 maximum - Mac de prêt si matériel non réparé à J+3</t>
  </si>
  <si>
    <t>MI5-PROLMI4-MM-2-PLUS</t>
  </si>
  <si>
    <t>Extension de garantie +2 ans - Formule Plus - Pour Mac mini - Enlèvement à J+1 - Réparation à J+5 maximum - Mac de prêt si matériel non réparé à J+3</t>
  </si>
  <si>
    <t>MI5-PROLMI4-MM-3-PLUS</t>
  </si>
  <si>
    <t>Extension de garantie +3 ans - Formule Plus - Pour Mac mini - Enlèvement à J+1 - Réparation à J+5 maximum - Mac de prêt si matériel non réparé à J+3</t>
  </si>
  <si>
    <t>MI5-PROLMI4-MM-1-PLAT</t>
  </si>
  <si>
    <t>Extension de garantie +1 an - Formule Platine - Pour Mac mini - Réparation sur site de J+1 à J+3 maximum</t>
  </si>
  <si>
    <t>MI5-PROLMI4-MM-2-PLAT</t>
  </si>
  <si>
    <t>Extension de garantie +2 ans - Formule Platine - Pour Mac mini - Réparation sur site de J+1 à J+3 maximum</t>
  </si>
  <si>
    <t>MI5-PROLMI4-MM-3-PLAT</t>
  </si>
  <si>
    <t>Extension de garantie +3 ans - Formule Platine - Pour Mac mini - Réparation sur site de J+1 à J+3 maximum</t>
  </si>
  <si>
    <t>MI5-PROLMI4-IMAC-1-PLUS</t>
  </si>
  <si>
    <t>Extension de garantie +1 an - Formule Plus - Pour iMac - Enlèvement à J+1 - Réparation à J+5 maximum - Mac de prêt si matériel non réparé à J+3</t>
  </si>
  <si>
    <t>MI5-PROLMI4-IMAC-2-PLUS</t>
  </si>
  <si>
    <t>Extension de garantie +2 ans - Formule Plus - Pour iMac - Enlèvement à J+1 - Réparation à J+5 maximum - Mac de prêt si matériel non réparé à J+3</t>
  </si>
  <si>
    <t>MI5-PROLMI4-IMAC-3-PLUS</t>
  </si>
  <si>
    <t>Extension de garantie +3 ans - Formule Plus - Pour iMac - Enlèvement à J+1 - Réparation à J+5 maximum - Mac de prêt si matériel non réparé à J+3</t>
  </si>
  <si>
    <t>MI5-PROLMI4-IMAC-1-PLAT</t>
  </si>
  <si>
    <t>Extension de garantie +1 an - Formule Platine - Pour iMac - Réparation sur site de J+1 à J+3 maximum</t>
  </si>
  <si>
    <t>MI5-PROLMI4-IMAC-2-PLAT</t>
  </si>
  <si>
    <t>Extension de garantie +2 ans - Formule Platine - Pour iMac - Réparation sur site de J+1 à J+3 maximum</t>
  </si>
  <si>
    <t>MI5-PROLMI4-IMAC-3-PLAT</t>
  </si>
  <si>
    <t>Extension de garantie +3 ans - Formule Platine - Pour iMac - Réparation sur site de J+1 à J+3 maximum</t>
  </si>
  <si>
    <t>MI5-PROLMI4-IPAD-1-PLUS</t>
  </si>
  <si>
    <t>Extension de garantie +1 an - Formule Plus - Pour iPad - Enlèvement à J+1 - Réparation à J+5 maximum - Mac de prêt si matériel non réparé à J+3</t>
  </si>
  <si>
    <t>MI5-PROLMI4-IPAD-2-PLUS</t>
  </si>
  <si>
    <t>Extension de garantie +2 ans - Formule Plus - Pour iPad - Enlèvement à J+1 - Réparation à J+5 maximum - Mac de prêt si matériel non réparé à J+3</t>
  </si>
  <si>
    <t>MI5-PROLMI4-IPAD-3-PLUS</t>
  </si>
  <si>
    <t>Extension de garantie +3 ans - Formule Plus - Pour iPad - Enlèvement à J+1 - Réparation à J+5 maximum - Mac de prêt si matériel non réparé à J+3</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</si>
  <si>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</si>
  <si>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</si>
  <si>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</si>
  <si>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</si>
  <si>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</si>
  <si>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</si>
  <si>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</si>
  <si>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</si>
  <si>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</si>
  <si>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</si>
  <si>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cat1config1_MacBook Air 13“ M2</t>
  </si>
  <si>
    <t>MI5-MBA-13-1-E-CARE</t>
  </si>
  <si>
    <t>MI5-MBA-13-2-E-CARE</t>
  </si>
  <si>
    <t>cat1config3_MacBook Air 13“ M3</t>
  </si>
  <si>
    <t>cat1config2_MacBook Air 15“ M3</t>
  </si>
  <si>
    <t>cat2config1_MacBook Pro 14“ M3</t>
  </si>
  <si>
    <t>MI5-MBP-14-1-E-CARE</t>
  </si>
  <si>
    <t>MI5-MBP-14-2-E-CARE</t>
  </si>
  <si>
    <t>cat2config2_MacBook Pro 14“ M3 Pro</t>
  </si>
  <si>
    <t>cat2config4_MacBook Pro 16“ M3 Pro</t>
  </si>
  <si>
    <t>MI5-MBP-16-1-E-CARE</t>
  </si>
  <si>
    <t>MI5-MBP-16-2-E-CARE</t>
  </si>
  <si>
    <t>cat3config1_Mac mini M2</t>
  </si>
  <si>
    <t>MI5-MM-1-E-CARE</t>
  </si>
  <si>
    <t>MI5-MM-2-E-CARE</t>
  </si>
  <si>
    <t>cat4config1_iMac 24“ M3</t>
  </si>
  <si>
    <t>MI5-IMAC-24-1-E-CARE</t>
  </si>
  <si>
    <t>MI5-IMAC-24-2-E-CARE</t>
  </si>
  <si>
    <t>cat5config1_Mac Pro</t>
  </si>
  <si>
    <t>MI5-MACPRO-1-E-CARE</t>
  </si>
  <si>
    <t>MI5-MACPRO-2-E-CARE</t>
  </si>
  <si>
    <t xml:space="preserve">cat6config1_iPad mini </t>
  </si>
  <si>
    <t>MK7M3NF/A</t>
  </si>
  <si>
    <t>MI5-IPADMINI-1-E-CARE</t>
  </si>
  <si>
    <t>MI5-IPADMINI-2-E-CARE</t>
  </si>
  <si>
    <t>Mac Studio</t>
  </si>
  <si>
    <t>MI5-MS-1-E-CARE</t>
  </si>
  <si>
    <t>MI5-MS-2-E-CARE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</si>
  <si>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</si>
  <si>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</si>
  <si>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</si>
  <si>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</si>
  <si>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 xml:space="preserve">Libellé de l'article </t>
    <phoneticPr fontId="5" type="noConversion"/>
  </si>
  <si>
    <t>Réf. article fabricant</t>
  </si>
  <si>
    <t xml:space="preserve">Libellé de l'article </t>
  </si>
  <si>
    <t>Catégories - Configurations Statistiques Matinfo 5</t>
  </si>
  <si>
    <t>MI5-FRAIS-DROM-COM</t>
  </si>
  <si>
    <t>Cotation spécifique de transport Frais d'expédition DROM-COM</t>
  </si>
  <si>
    <t>Prestations de marquage et étiquetage (Gravure, Etiquetage, Rapports, Marquage Antivol, …)</t>
  </si>
  <si>
    <t>ABT-INST-C2I-BA-TR1</t>
  </si>
  <si>
    <t>Installation basique 1 poste</t>
  </si>
  <si>
    <t>C2I</t>
  </si>
  <si>
    <t>ABT-INST-C2I-BA-TR2-6</t>
  </si>
  <si>
    <t>Installation basique tranche 2 à 5 postes</t>
  </si>
  <si>
    <t>ABT-INST-C2I-BA-TR6-9</t>
  </si>
  <si>
    <t>Installation basique tranche  6 à 9 postes</t>
  </si>
  <si>
    <t>ABT-INST-C2I-BA-TR&gt;10</t>
  </si>
  <si>
    <t>Installation basique tranche 10 postes et plus</t>
  </si>
  <si>
    <t>MI5-INST-C2I-BA-TR&gt;10</t>
  </si>
  <si>
    <t>ABT-INST-C2I-AV-TR1</t>
  </si>
  <si>
    <t>Installation avancée 1 poste</t>
  </si>
  <si>
    <t>ABT-INST-C2I-AV-TR2-5</t>
  </si>
  <si>
    <t>Installation avancée tranche 2 à 5 postes</t>
  </si>
  <si>
    <t>ABT-INST-C2I-AV-TR6-9</t>
  </si>
  <si>
    <t>Installation avancée tranche  6 à 9 postes</t>
  </si>
  <si>
    <t>ABT-INST-C2I-AV-TR&gt;10</t>
  </si>
  <si>
    <t>Installation avancée tranche 10 postes et plus</t>
  </si>
  <si>
    <t>ABT-INST-C2I-LOG-NIV1-TR1</t>
  </si>
  <si>
    <t>Installation logicielle seule  1 poste</t>
  </si>
  <si>
    <t>ABT-INST-C2I-LOG-NIV1-TR2-5</t>
  </si>
  <si>
    <t>Installation logicielle seule tranche 2 à 5 postes</t>
  </si>
  <si>
    <t>ABT-INST-C2I-LOG-NIV1-TR6-9</t>
  </si>
  <si>
    <t>Installation logicielle seule tranche  6 à 9 postes</t>
  </si>
  <si>
    <t>MI5-C2I-LOG-NIV1-TR&gt;10</t>
  </si>
  <si>
    <t>Installation logicielle seule tranche 10 postes et plus</t>
  </si>
  <si>
    <t>MI5-C2I-LOG-NIV2-TR1</t>
  </si>
  <si>
    <t>Installation logicielle concomitante à une installation physique  1 poste</t>
  </si>
  <si>
    <t>MI5-C2I-LOG-NIV2-TR2-5</t>
  </si>
  <si>
    <t>Installation logicielle concomitante tranche 2 à 5 postes</t>
  </si>
  <si>
    <t>MI5-C2I-LOG-NIV2-TR6-9</t>
  </si>
  <si>
    <t>Installation logicielle concomitante tranche  6 à 9 postes</t>
  </si>
  <si>
    <t>MI5-C2I-LOG-NIV2-TR&gt;10</t>
  </si>
  <si>
    <t>Installation logicielle concomitante tranche 10 postes et plus</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</si>
  <si>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</si>
  <si>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</si>
  <si>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</si>
  <si>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</si>
  <si>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</si>
  <si>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</si>
  <si>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</si>
  <si>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</si>
  <si>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</si>
  <si>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</si>
  <si>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</si>
  <si>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</si>
  <si>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</si>
  <si>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</si>
  <si>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</si>
  <si>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Reprise machine pour mise à disposition</t>
  </si>
  <si>
    <t>ABT-REP-C2I-MAC-BL</t>
  </si>
  <si>
    <t>Reprise machine + blanchiment atelier</t>
  </si>
  <si>
    <t>ABT-EXP-C2I-MAC</t>
  </si>
  <si>
    <t>Expédition poste repris vers établissement (sur demande de devis)</t>
  </si>
  <si>
    <t>ABT-TCO-C2I-IPADOS-2H</t>
  </si>
  <si>
    <t>﻿Forfait transfert de compétence iPadOS  2 heures sur site - mono utilisateur</t>
  </si>
  <si>
    <t>ABT-TCO-C2I-IPADOS-1/2J</t>
  </si>
  <si>
    <t>﻿Forfait transfert de compétence iPadOS  1/2 journée sur site - mono utilisateur</t>
  </si>
  <si>
    <t>ABT-TCO-C2I-IPADOS-1J</t>
  </si>
  <si>
    <t>﻿Forfait transfert de compétence iPadOS  1 journée sur site - mono utilisateur</t>
  </si>
  <si>
    <t>ABT-TCO-C2I-MACOS-2H</t>
  </si>
  <si>
    <t>﻿Forfait transfert de compétence macOS  2 heures sur site - mono utilisateur</t>
  </si>
  <si>
    <t>ABT-TCO-C2I-MACOS-1/2J</t>
  </si>
  <si>
    <t>﻿Forfait transfert de compétence macOS  1/2 journée sur site - mono utilisateur</t>
  </si>
  <si>
    <t>ABT-TCO-C2I-MACOS-1J</t>
  </si>
  <si>
    <t>﻿Forfait transfert de compétence macOS  1 journée sur site - mono utilisateur</t>
  </si>
  <si>
    <t>ABT-TECH-C2I-SITE-2H</t>
  </si>
  <si>
    <t>﻿Forfait mise à disposition 2 heures sur site d'un technicien niveau 2</t>
  </si>
  <si>
    <t>ABT-TECH-C2I-SITE-1/2J</t>
  </si>
  <si>
    <t>﻿Forfait mise à disposition 1/2 journée sur site d'un technicien niveau 2</t>
  </si>
  <si>
    <t>ABT-TECH-C2I-SITE-1J</t>
  </si>
  <si>
    <t>﻿Forfait mise à disposition 1 journée sur site d'un technicien niveau 2</t>
  </si>
  <si>
    <t>SSD-ING-MI5-DRIVE -1H-W</t>
  </si>
  <si>
    <t>ABT-CDP-C2I-SITE-1J</t>
  </si>
  <si>
    <t>﻿Forfait mise à disposition 1 journée Chef de Projet</t>
  </si>
  <si>
    <t>ABT-COR-C2I-SITE-1J</t>
  </si>
  <si>
    <t>﻿Forfait mise à disposition 1 journée Coordinateur</t>
  </si>
  <si>
    <t>Manutention complexe collecte DEEE (uniquement sur devis)</t>
  </si>
  <si>
    <t>ATTENTION : POUR LES DROM-COM, LES CONFIGURATIONS INCLUENT UNIQUEMENT LA GARANTIE LIMITÉE D'UN AN APPLE</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</si>
  <si>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</si>
  <si>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</si>
  <si>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</si>
  <si>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</si>
  <si>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</si>
  <si>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</si>
  <si>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</si>
  <si>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</si>
  <si>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</si>
  <si>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</si>
  <si>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</si>
  <si>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</si>
  <si>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</si>
  <si>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</si>
  <si>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</si>
  <si>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</si>
  <si>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</si>
  <si>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</si>
  <si>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</si>
  <si>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</si>
  <si>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</si>
  <si>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</si>
  <si>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</si>
  <si>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</si>
  <si>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</si>
  <si>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</si>
  <si>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</si>
  <si>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</si>
  <si>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</si>
  <si>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</si>
  <si>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</si>
  <si>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</si>
  <si>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</si>
  <si>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</si>
  <si>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</si>
  <si>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</si>
  <si>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</si>
  <si>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</si>
  <si>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</si>
  <si>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</si>
  <si>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</si>
  <si>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</si>
  <si>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</si>
  <si>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</si>
  <si>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</si>
  <si>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</si>
  <si>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</si>
  <si>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</si>
  <si>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</si>
  <si>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</si>
  <si>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</si>
  <si>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</si>
  <si>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</si>
  <si>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</si>
  <si>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</si>
  <si>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</si>
  <si>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</si>
  <si>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</si>
  <si>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</si>
  <si>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</si>
  <si>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</si>
  <si>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</si>
  <si>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</si>
  <si>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</si>
  <si>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</si>
  <si>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</si>
  <si>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</si>
  <si>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</si>
  <si>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</si>
  <si>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</si>
  <si>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</si>
  <si>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</si>
  <si>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</si>
  <si>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</si>
  <si>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</si>
  <si>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</si>
  <si>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</si>
  <si>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</si>
  <si>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</si>
  <si>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</si>
  <si>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</si>
  <si>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</si>
  <si>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</si>
  <si>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Apple Magic Keyboard pour iPad Pro 11" (5ème gén) - Blanc - QWERTY</t>
  </si>
  <si>
    <t>Apple Magic Keyboard pour iPad Pro 11" (5ème gén) - Noir - QWERTY</t>
  </si>
  <si>
    <t>Apple Magic Keyboard pour iPad Pro 13" (7ème gén) - Blanc - QWERTY</t>
  </si>
  <si>
    <t>Apple Magic Keyboard pour iPad Pro 13" (7ème gén) - Noir - QWERTY</t>
  </si>
  <si>
    <t>Apple Magic Keyboard pour iPad Pro 11'' (1,2,3 et 4e gén) et iPad Air 11" (4,5 et 6e gén.) - Blanc - QWERTY</t>
  </si>
  <si>
    <t>Apple Magic Keyboard pour iPad Pro 11'' (1,2,3 et 4e gén) et iPad Air 11" (4,5 et 6e gén.) - Noir - QWERTY</t>
  </si>
  <si>
    <t>Apple Magic Keyboard pour iPad Pro 12,9'' (3,4,5 et 6e gén) et iPad Air 13" (1er gén) - Blanc - QWERTY</t>
  </si>
  <si>
    <t>Apple Magic Keyboard pour iPad Pro 12,9'' (3,4,5 et 6e gén) et iPad Air 13" (1er gén) - Noir - QWERTY</t>
  </si>
  <si>
    <t>K79810WW</t>
  </si>
  <si>
    <t>Catégorie 6 - Tablettes - Configuration 40</t>
  </si>
  <si>
    <t>MQDT3ZM/A</t>
  </si>
  <si>
    <t>Tarif n°13</t>
  </si>
  <si>
    <t/>
  </si>
  <si>
    <t>Apple Smart Folio pour iPad Pro 13" (7e gén.) - Blanc</t>
  </si>
  <si>
    <t>Apple Smart Folio pour iPad Pro 13" (7e gén.) - Noir</t>
  </si>
  <si>
    <t>Apple Smart Folio pour iPad Pro 13" (7e gén.) - Denim</t>
  </si>
  <si>
    <t>MW BASICS ²LIFE - Housse de protection à 99% en matériaux recyclés pour MacBook Pro 16" - Gris clair intérieur blanc</t>
  </si>
  <si>
    <t>iPad Pro 13" (7e gén.) - M4 - Wi-Fi - 256 Go</t>
  </si>
  <si>
    <t>iPad Pro 13" (7e gén.) - M4 - Wi-Fi - 512 Go</t>
  </si>
  <si>
    <t>iPad Pro 13" (7e gén.) - M4 - Wi-Fi - 1 To</t>
  </si>
  <si>
    <t>iPad Pro 13" (7e gén.) - M4 - Wi-Fi - Verre nano-texturé - 1 To</t>
  </si>
  <si>
    <t>iPad Pro 13" (7e gén.) - M4 - Wi‑Fi &amp; Cellulaire - 256 Go</t>
  </si>
  <si>
    <t>iPad Pro 13" (7e gén.) - M4 - Wi‑Fi &amp; Cellulaire - 512 Go</t>
  </si>
  <si>
    <t>iPad Pro 13" (7e gén.) - M4 - Wi‑Fi &amp; Cellulaire - 1 To</t>
  </si>
  <si>
    <t>iPad Pro 13" (7e gén.) - M4 - Wi‑Fi &amp; Cellulaire - Verre nano-texturé - 1 To</t>
  </si>
  <si>
    <t>ST-BTSX3M-FR</t>
  </si>
  <si>
    <t>MW Folio Slim noire coque arrière transparente - pour iPad Air 11" (6ème gén.) et iPad Air 10,9" (4 et 5ème gén.)</t>
  </si>
  <si>
    <t>MW-200235</t>
  </si>
  <si>
    <t>MW-200234</t>
  </si>
  <si>
    <t>MW-200236</t>
  </si>
  <si>
    <t>MW protection d'écran iPad Air 13" (1er gén.)</t>
  </si>
  <si>
    <t>MW protection d'écran iPad Air 11" (6ème gén.)</t>
  </si>
  <si>
    <t>MW protection d'écran iPad Pro 13" (7ème gén.)</t>
  </si>
  <si>
    <t>MW-200233</t>
  </si>
  <si>
    <t>MW protection d'écran iPad Pro 11" (5ème gén.)</t>
  </si>
  <si>
    <t>ST-222-445KW-01</t>
  </si>
  <si>
    <t>ST-222-445LX-01</t>
  </si>
  <si>
    <t>ST-222-445LY-01</t>
  </si>
  <si>
    <t>STM étui Dux Plus pour iPad Air 13" (1er gén.) - Emplacement Apple Pencil compatible recharge - Noir et face arrière transparente</t>
  </si>
  <si>
    <t>STM étui Dux Plus pour iPad Pro 11" (5ème gén.) - Emplacement Apple Pencil compatible recharge - Noir et face arrière transparente</t>
  </si>
  <si>
    <t>STM étui Dux Plus pour iPad Pro 13" (7ème gén.) - Emplacement Apple Pencil compatible recharge - Noir et face arrière transparente</t>
  </si>
  <si>
    <t>STM étui Dux Plus pour iPad Pro 11" (1, 2, 3 et 4ème gén.) - Emplacement Apple Pencil compatible recharge - Noir et face arrière transparente</t>
  </si>
  <si>
    <t>STM étui Dux Plus pour iPad Pro 12.9" (3, 4, 5 et 6ème gén.) - Emplacement Apple Pencil compatible recharge - Noir et face arrière transparente</t>
  </si>
  <si>
    <t>STM étui Dux Plus pour iPad Air 11" (6ème gén.) et 10,9" (4 et 5ème gén.) - Emplacement Apple Pencil compatible recharge - Noir et face arrière transparente</t>
  </si>
  <si>
    <t>STM étui Dux Plus pour iPad Air 11" (6ème gén.) et 10,9" (4 et 5ème gén.)  Emplacement Apple Pencil compatible recharge - Rouge et face arrière transparente</t>
  </si>
  <si>
    <t>ST-222-334KZ-01</t>
  </si>
  <si>
    <t>UA-124476114040</t>
  </si>
  <si>
    <t>UA-124475114040</t>
  </si>
  <si>
    <t>UA-124473114040</t>
  </si>
  <si>
    <t>UAG Coque Folio Scout pour iPad 10,9 (10ème gén.) - Porte stylet Pencil - Noir</t>
  </si>
  <si>
    <t>UA-124472114040</t>
  </si>
  <si>
    <t>Apple Smart Keyboard Folio pour ipad Air 13" (1er gén.) et iPad Pro 12,9'' (3, 4, 5 et 6e gén.) - Anthracite - QWERTY</t>
  </si>
  <si>
    <t>Apple Smart Keyboard Folio pour iPad Air 13" (1er gén.) et iPad Pro 12,9'' (3, 4, 5 et 6e gén.)  - Anthracite - AZERTY</t>
  </si>
  <si>
    <t>Apple Smart Keyboard Folio pour iPad Air 11" (4, 5 et 6e gén.) et iPad Pro 11'' (2,3 et 4e gén.) - Anthracite - AZERTY</t>
  </si>
  <si>
    <t>Apple Smart Keyboard Folio pour iPad Air 11" (4, 5 et 6e gén.) et iPad Pro 11'' (2,3 et 4e gén.) - Anthracite - QWERTY</t>
  </si>
  <si>
    <t>Belkin - Station d'accueil  CONNECT 11-in-1 Dock Pro - 1xUSB-C 3.2 PassThrough 100W - 1xUSB-C 3.2 - 2xUSB-A 3.2 - 1x2,5Gbit/s Ethernet - 1xHDMI 2.0 - 1xHDMI 1.4 - 1xVGA 1080p - 1xaudio jack 3,5mm TRSS - 1xlecteur SD 4.0 et micro-SD 3.0 - Verrou Kensington - Gris sidéral</t>
  </si>
  <si>
    <t>MW5H3ZM/A</t>
  </si>
  <si>
    <t>MW5M3ZM/A</t>
  </si>
  <si>
    <t>MW653ZM/A</t>
  </si>
  <si>
    <t>MW2Q3ZM/A</t>
  </si>
  <si>
    <t>MW2P3ZM/A</t>
  </si>
  <si>
    <t>MX5J3ZM/A</t>
  </si>
  <si>
    <t>MW2R3ZM/A</t>
  </si>
  <si>
    <t>MWML3ZM/A</t>
  </si>
  <si>
    <t>Apple adaptateur Lightning vers HDMI (AV numérique) + Lightning</t>
  </si>
  <si>
    <t>PL2A-10-24</t>
  </si>
  <si>
    <t>Paperlike - Protection d'écran mat - Effet papier - Pour iPad Air 11" (6ème gén.)</t>
  </si>
  <si>
    <t>Paperlike - Protection d'écran mat - Effet papier - Pour iPad Air 13" (1er gén.)</t>
  </si>
  <si>
    <t>PL2A-12-24</t>
  </si>
  <si>
    <t>PL2A-11-24</t>
  </si>
  <si>
    <t>PL2A-13-24</t>
  </si>
  <si>
    <t>Paperlike - Protection d'écran mat - Effet papier - Pour iPad Pro 11" (5ème gén.)</t>
  </si>
  <si>
    <t>Paperlike - Protection d'écran mat - Effet papier - Pour iPad Pro 13" (7ème gén.)</t>
  </si>
  <si>
    <t>MXN53ZM/A</t>
  </si>
  <si>
    <t>INC019btBK</t>
  </si>
  <si>
    <t>Belkin - Adaptateur USB-C vers ETHERNET + recharge 100W</t>
  </si>
  <si>
    <t>MI5-TAXES-DOUANES-DAP</t>
  </si>
  <si>
    <t>Cotation spécifique de droit et taxe de douanes en Incoterm DAP</t>
  </si>
  <si>
    <t>MWR03LB/A</t>
  </si>
  <si>
    <t>MWR23LB/A</t>
  </si>
  <si>
    <t>MWR43LB/A</t>
  </si>
  <si>
    <t>MWR53LB/A</t>
  </si>
  <si>
    <t>BBZ002fr-v2</t>
  </si>
  <si>
    <t>BBZ003fr-V2</t>
  </si>
  <si>
    <t>Belkin Étui-clavier Pro - Avec support magnétique - Bluetooth - Pour iPad Pro 13'' (7e gén) - Noir - AZERTY</t>
  </si>
  <si>
    <t>Belkin Étui-clavier Pro - Avec support magnétique - Bluetooth - Pour iPad Pro 11'' (5e gén)- Noir - AZERTY</t>
  </si>
  <si>
    <t>WCH015vfWH</t>
  </si>
  <si>
    <t>Belkin - BoostCharge Pro jusqu'à 200W - GaN - 4 ports USB-C - Blanc</t>
  </si>
  <si>
    <t>WCC002vfWH</t>
  </si>
  <si>
    <t>Belkin - BoostCharge Pro jusqu'à 67W - 3 ports USB-C - Blanc</t>
  </si>
  <si>
    <t>INC015btSGY-CZ</t>
  </si>
  <si>
    <t>Belkin CONNECT 8-in-1 USB-C Hub Multiport - 1xUSB-C 3.2 PassThrough 100W - 2xUSB-C 3.2 - 2xUSB-A 3.0 - 1 Gigabit Ethernet - 1xHDMI 1.4 4K 30 Hz - 1xHDMI 2.0 4K 60Hz - SiliconMotion écran multiple pour Mac M1, M2, M3 et Intel - Argent</t>
  </si>
  <si>
    <t>BPB020btBK</t>
  </si>
  <si>
    <t>MacLocks The Ledge - Adaptateur antivol pour MacBook Air 13“ M2 et M3</t>
  </si>
  <si>
    <t>MacLocks The Ledge - Adaptateur antivol pour MacBook Air 13“ M2 et M3 + câble de sécurité à clé</t>
  </si>
  <si>
    <t>MacLocks The Ledge - Adaptateur antivol pour MacBook Air 13“ M2 et M3 + câble de sécurité à code</t>
  </si>
  <si>
    <t>MacLocks The Ledge - Adaptateur antivol pour MacBook Air 15“ M2 et M3</t>
  </si>
  <si>
    <t>MacLocks The Ledge - Adaptateur antivol pour MacBook Air 15“ M2 et M3 + câble de sécurité à clé</t>
  </si>
  <si>
    <t>MacLocks The Ledge - Adaptateur antivol pour MacBook Air 15“ M2 et M3 + câble de sécurité à code</t>
  </si>
  <si>
    <t>MYQT3ZM/A</t>
  </si>
  <si>
    <t>MYH93ZM/A</t>
  </si>
  <si>
    <t>MW5L3ZM/A</t>
  </si>
  <si>
    <t>MW493ZM/A</t>
  </si>
  <si>
    <t>MW5G3Z/A</t>
  </si>
  <si>
    <t>Poly Voyager 4320 USB-C - Casque sans fil - Bluetooth 5.1 - Dongle BT700 - Câble de chargement USB-C - Sac de voyage - Supra-auriculaire (binaural) - Noir</t>
  </si>
  <si>
    <t>920-012663</t>
  </si>
  <si>
    <t>920-012768</t>
  </si>
  <si>
    <t>Jamf Premium Services - Remote service configuration - 1/2 Journée à distance</t>
  </si>
  <si>
    <t>LEGENDE</t>
  </si>
  <si>
    <t>UAG Metropolis coque folio pour iPad Pro 13" (7ème gén.) - Emplacement stylet - Noir</t>
  </si>
  <si>
    <t>UAG Metropolis coque folio pour iPad Pro 11" (5ème gén.) - Emplacement stylet - Noir</t>
  </si>
  <si>
    <t>UAG Metropolis coque folio pour iPad Air 13" (1er gén.) - Emplacement stylet - Noir</t>
  </si>
  <si>
    <t>UAG Metropolis coque folio pour iPad Air 11" (6ème gén.) - Emplacement stylet - Noir</t>
  </si>
  <si>
    <t>TARGUS Click-In™ Clear Case + Kickstand étui pour iPad 10,9" (10ème gén.) - Emplacement stylet - Transparent</t>
  </si>
  <si>
    <t>THD927GL</t>
  </si>
  <si>
    <t>THD935GL</t>
  </si>
  <si>
    <t>THZ935GL</t>
  </si>
  <si>
    <t>Targus Pro-Tek® Clear Case - Étui folio pour iPad 10,9" (10ème gén.) - Emplacement stylet - Gris et transparent</t>
  </si>
  <si>
    <t>THZ867GL</t>
  </si>
  <si>
    <t>THZ749GL</t>
  </si>
  <si>
    <t>THZ984GL</t>
  </si>
  <si>
    <t>THZ982GL</t>
  </si>
  <si>
    <t>Targus Pro-Tek® - Étui folio pour iPad Pro 11" (5ème gén.) - Emplacement stylet - Gris et transparent</t>
  </si>
  <si>
    <t>THZ985GL</t>
  </si>
  <si>
    <t>Targus VersaVu® - Étui folio rotatif pour iPad Pro 11" (5ème gén.) - Emplacement stylet - Gris et transparent</t>
  </si>
  <si>
    <t>Targus VersaVu® - Étui folio rotatif pour iPad Pro 13" (7ème gén.) - Emplacement stylet - Gris et transparent</t>
  </si>
  <si>
    <t>Targus VersaVu® - Étui folio rotatif pour iPad Air 13" (1er gén.) et iPad Pro 12,9" (3, 4, 5 et 6ème  gén.) - Sécurisation du stylet - Noir</t>
  </si>
  <si>
    <t>Targus VersaVu® - Étui folio rotatif pour iPad 10,9" (10ème gén.) - Emplacement stylet - Noir</t>
  </si>
  <si>
    <t>Targus VersaVu® Classic - Étui folio rotatif pour iPad Air 11" (4,5 et 6ème gén.) et iPad Pro 11" (1, 2, 3 et 4ème  gén.) - Sécurisation du stylet - Noir</t>
  </si>
  <si>
    <t>MW Folio Slim coque arrière transparente - pour iPad 10,9" (10ème gén.) - Noir et transparent</t>
  </si>
  <si>
    <t>MW Folio Slim coque arrière transparente - pour iPad 10,9" (10ème gén.) - Rouge et transparent</t>
  </si>
  <si>
    <t>MW-300073</t>
  </si>
  <si>
    <t>MW Folio Slim noir coque arrière transparente - pour iPad 10,2"</t>
  </si>
  <si>
    <t>920-012631</t>
  </si>
  <si>
    <t>920-012613</t>
  </si>
  <si>
    <t>Logitech Combo touch - Pour iPad Pro 12.9-inch (5th &amp; 6th gen) - Oxford grey - AZERTY</t>
  </si>
  <si>
    <t>Logitech Combo touch - Pour iPad Pro 11" (1st, 2nd, 3rd &amp; 4th gen) - Oxford grey - AZERTY</t>
  </si>
  <si>
    <t>Logitech Combo touch - Pour iPad Air (4th &amp; 5th gen) - Oxford grey - AZERTY</t>
  </si>
  <si>
    <t>Logitech Combo touch - Pour iPad (10th gen) - Oxford grey - AZERTY</t>
  </si>
  <si>
    <t>Logitech Combo touch - Pour iPad Air 11" (6 et 5ème gén.) - Oxford grey- AZERTY</t>
  </si>
  <si>
    <t>Logitech Combo touch - Pour iPad Air 13" (1er gén.) - Oxford grey - AZERTY</t>
  </si>
  <si>
    <t>Logitech Combo touch - Pour iPad Pro 11" (5ème gén.) - Graphite - AZERTY</t>
  </si>
  <si>
    <t>Logitech Combo touch - Pour iPad Pro 13" (7ème gén.) - Graphite - AZERTY</t>
  </si>
  <si>
    <t>iPad mini (7ème génération)</t>
  </si>
  <si>
    <t>MCM74NF/A - MCM84NF/A - MCMC4NF/A - MCM94NF/A</t>
  </si>
  <si>
    <t>MCMD4NF/A - MCMF4NF/A - MCMH4NF/A - MCMG4NF/A</t>
  </si>
  <si>
    <t>MCMJ4NF/A - MCMK4NF/A - MCMM4NF/A - MCML4NF/A</t>
  </si>
  <si>
    <t>MCMN4NF/A - MCMP4NF/A - MCMR4NF/A - MCMQ4NF/A</t>
  </si>
  <si>
    <t>Catégorie 6 - Tablettes - Configuration 41</t>
  </si>
  <si>
    <t>Catégorie 6 - Tablettes - Configuration 42</t>
  </si>
  <si>
    <t>iPad mini 8,3" (7ème gén.) - A17 Pro - Wi-Fi - 256 Go</t>
  </si>
  <si>
    <t>iPad mini 8,3" (7ème gén.) - A17 Pro - Wi-Fi - 512 Go</t>
  </si>
  <si>
    <t>iPad mini 8,3" (7ème gén.) - A17 Pro - Wi-Fi &amp; Cellulaire - 256 Go</t>
  </si>
  <si>
    <t>iPad mini 8,3" (7ème gén.) - A17 Pro - Wi-Fi &amp; Cellulaire - 512 Go</t>
  </si>
  <si>
    <t>iPad mini 8,3" (7ème gén.) - A17 Pro - Wi-Fi - 128 Go</t>
  </si>
  <si>
    <t>iPad mini 8,3" (7ème gén.) - A17 Pro - Wi-Fi &amp; Cellulaire - 128 Go</t>
  </si>
  <si>
    <t>MXN63NF/A - MXN83NF/A - MXN73NF/A - MXN93NF/A</t>
  </si>
  <si>
    <t>MXNA3NF/A - MXND3NF/A - MXNC3NF/A - MXNE3NF/A</t>
  </si>
  <si>
    <t>MYGY3NF/A - MYH23NF/A - MYH13NF/A - MYH33NF/A</t>
  </si>
  <si>
    <t>MXPN3NF/A - MXPQ3NF/A - MXPP3NF/A - MXPR3NF/A</t>
  </si>
  <si>
    <t>MXPT3NF/A - MXPX3NF/A - MXPW3NF/A - MXPY3NF/A</t>
  </si>
  <si>
    <t>MYHC3NF/A - MYHE3NF/A - MYHD3NF/A - MYHF3NF/A</t>
  </si>
  <si>
    <t>Ajout des nouvelles références d'iPad mini 8,3 pouces 7ème génération</t>
  </si>
  <si>
    <t>Retrait des références obsolètes</t>
  </si>
  <si>
    <t>MC2Q4ZM/A</t>
  </si>
  <si>
    <t>MC2T4ZM/A</t>
  </si>
  <si>
    <t>MC2U4ZM/A</t>
  </si>
  <si>
    <t>MC2V4ZM/A</t>
  </si>
  <si>
    <t>Apple Smart Folio pour iPad mini 8,3" (7ème gén.) - Anthracite</t>
  </si>
  <si>
    <t>Apple Smart Folio pour iPad mini 8,3" (7ème gén.) - Violet clair</t>
  </si>
  <si>
    <t>Apple Smart Folio pour iPad mini 8,3" (7ème gén.) - Denim</t>
  </si>
  <si>
    <t>Apple Smart Folio pour iPad mini 8,3" (7ème gén.) - Sauge</t>
  </si>
  <si>
    <t>BSM1516-BE</t>
  </si>
  <si>
    <t>BSM1516-BK</t>
  </si>
  <si>
    <t>BSM1314-BE</t>
  </si>
  <si>
    <t>BSM1314-BK</t>
  </si>
  <si>
    <t>Tucano SMILZA 14" - Sacoche fine en plastique recyclé pour Mac 13 et 14" - Interieur bleu, extérieur noir</t>
  </si>
  <si>
    <t>Tucano SMILZA 14" - Sacoche fine en plastique recyclé pour Mac 13 et 14" - Beige</t>
  </si>
  <si>
    <t>Tucano SMILZA 16" - Sacoche fine en plastique recyclé pour Mac 15 et 16" - Interieur bleu, extérieur noir</t>
  </si>
  <si>
    <t>Tucano SMILZA 16" - Sacoche fine en plastique recyclé pour Mac 15 et 16" - Beige</t>
  </si>
  <si>
    <t>BSTN1314-BK</t>
  </si>
  <si>
    <t>Tucano STAR - Sacoche en plastique recyclé pour Mac 13 et 14" - Intérieur bleu, extérieur noir</t>
  </si>
  <si>
    <t>BSTN-BK</t>
  </si>
  <si>
    <t>Tucano STAR - Sacoche en plastique recyclé pour Mac 15 et 16" - Intérieur bleu, extérieur noir</t>
  </si>
  <si>
    <t>BTRPIL15-BK</t>
  </si>
  <si>
    <t>Tucano PILOT - Trolley pour appareil jusqu'à 16" - Intérieur gris, extérieur noir</t>
  </si>
  <si>
    <t>BKROL15-BK</t>
  </si>
  <si>
    <t>Tucano ROLLO - Sac à dos pour en tissu enduit recyclé et résistant à l'eau pour Mac jusqu'à 16" - Noir</t>
  </si>
  <si>
    <t>BGOM15-VM</t>
  </si>
  <si>
    <t>Tucano GOMMO - Sacoche en plastique recyclé pour Mac 15" et 16" - Intérieur noir, extérieur vert kaki</t>
  </si>
  <si>
    <t>Tucano ROLLO - Sac à dos pour en tissu enduit recyclé et résistant à l'eau pour Mac jusqu'à 16" - Bleu Marine</t>
  </si>
  <si>
    <t>BKROL15-B</t>
  </si>
  <si>
    <t>JBLGO4BLK</t>
  </si>
  <si>
    <t>JBL Go 4 - Enceinte Bluetooth 5.3 - Autonomie 7h - IP67 - USB-C - Noir</t>
  </si>
  <si>
    <t>MW protection d'écran verre trempé pour iPad mini 8,3“ (6 et 7ème gén.)</t>
  </si>
  <si>
    <t>UA-12328X114040</t>
  </si>
  <si>
    <t>UAG Metropolis SE coque folio pour iPad mini (6 et 7ème gén) - Porte Stylet - Noir</t>
  </si>
  <si>
    <t>Belkin Étui-clavier Pro - Avec support magnétique - Bluetooth - Pour iPad Pro 12,9'' (3, 4, 5 et 6e gén) et iPad Air 13" (1er gén.) - Noir - AZERTY</t>
  </si>
  <si>
    <t>Belkin Étui-clavier Pro - Avec support magnétique - Bluetooth - Pour iPad Pro 11'' (1,2,3 et 4e gén) et iPad Air 11" (4 ,5 et 6e gén.) - Noir - AZERTY</t>
  </si>
  <si>
    <t>920-012967</t>
  </si>
  <si>
    <t>920-012968</t>
  </si>
  <si>
    <t>Logitech Keys to go 2 - Clavier fin - Bluetooth - Noir - AZERTY</t>
  </si>
  <si>
    <t>Logitech Keys to go 2 - Clavier fin - Bluetooth - Gris pâle et blanc - AZERTY</t>
  </si>
  <si>
    <t>Apple Pencil 1ère génération avec adaptateur USB-C vers ligthning femelle pour iPad (6,7,8,9 et 10e gén.), iPad mini (5e gén.), iPad Air (3e gén.), iPad Pro 9,7", 10,5" et iPad Pro 12,9" (1 et 2e gén.)</t>
  </si>
  <si>
    <t>MWUC3FN/A - MWUF3FN/A - MWUG3FN/A - MWUE3FN/A - Z1E7 - Z1E3 - Z1E8</t>
  </si>
  <si>
    <t>MWUU3FN/A - MWV13FN/A - MWV43FN/A - MWUY3FN/A - Z1ET - Z1EK - Z1EV</t>
  </si>
  <si>
    <t>MWUV3FN/A - MWV33FN/A - MWV53FN/A - MWV03FN/A - Z1EU - Z1EL - Z1EW</t>
  </si>
  <si>
    <t>iMac 24" M4 CPU 10 cœurs GPU 10 cœurs - 16 Go de mémoire unifiée - 512 Go de SSD - Écran Retina 4,5K - 4xThunderbolt 4/USB 4 - Gigabit Ethernet</t>
  </si>
  <si>
    <t>Passage à 512 Go de stockage SSD pour iMac 24" M4</t>
  </si>
  <si>
    <t>Passage à 1 To de stockage SSD pour iMac 24" M4</t>
  </si>
  <si>
    <t>Passage à Gigabit Ethernet pour iMac 24" M4</t>
  </si>
  <si>
    <t>Passage à un Magic Trackpad pour iMac 24" M4</t>
  </si>
  <si>
    <t>Passage à un Magic Keyboard - Anglais international pour iMac 24" M4</t>
  </si>
  <si>
    <t>Passage à un Magic Keyboard avec Touch ID - Anglais international pour iMac 24" M4</t>
  </si>
  <si>
    <t>Passage à un Magic Keyboard avec Touch ID et pavé numérique - Français pour iMac 24" M4</t>
  </si>
  <si>
    <t>Passage à un Magic Keyboard avec Touch ID et pavé numérique - Anglais international pour iMac 24" M4</t>
  </si>
  <si>
    <t>Passage à un Magic Keyboard - Anglais Américain pour iMac 24" M4</t>
  </si>
  <si>
    <t>Passage à un Magic Keyboard - Anglais Britannique pour iMac 24" M4</t>
  </si>
  <si>
    <t>Passage à un Magic Keyboard avec Touch ID - Anglais américain pour iMac 24" M4</t>
  </si>
  <si>
    <t>Passage à un Magic Keyboard avec Touch ID - Anglais britannique pour iMac 24" M4</t>
  </si>
  <si>
    <t>Passage à un Magic Keyboard avec Touch ID et pavé numérique - Anglais américain pour iMac 24" M4</t>
  </si>
  <si>
    <t>Passage à un Magic Keyboard avec Touch ID et pavé numérique - Anglais britannique pour iMac 24" M4</t>
  </si>
  <si>
    <t>Passage à 2 To de stockage SSD pour iMac 24" M4</t>
  </si>
  <si>
    <t>Passage à 24 Go de mémoire unifiée pour iMac 24" M4</t>
  </si>
  <si>
    <t>Passage à un verre nano-texturé</t>
  </si>
  <si>
    <t>Passage à 32 Go de mémoire unifiée pour iMac 24" M4</t>
  </si>
  <si>
    <t>CTO-MWUC3-24GB - CTO-MWUF3-24GB - CTO-MWUG3-24GB - CTO-MWUE3-24GB - CTO-Z1E7-24GB - CTO-Z1E3-24GB - CTO-Z1E8-24GB</t>
  </si>
  <si>
    <t>CTO-MWUC3-SSD1000 - CTO-MWUF3-SSD1000 - CTO-MWUG3-SSD1000 - CTO-MWUE3-SSD1000 - CTO-Z1E7-SSD1000 - CTO-Z1E3-SSD1000 - CTO-Z1E8-SSD1000</t>
  </si>
  <si>
    <t>CTO-MWUC3-ETH - CTO-MWUF3-ETH - CTO-MWUG3-ETH - CTO-MWUE3-ETH - CTO-Z1E7-ETH - CTO-Z1E3-ETH - CTO-Z1E8-ETH</t>
  </si>
  <si>
    <t>CTO-MWUC3-MTP - CTO-MWUF3-MTP - CTO-MWUG3-MTP - CTO-MWUE3-MTP - CTO-Z1E7-MTP - CTO-Z1E8-MTP</t>
  </si>
  <si>
    <t>CTO-MWUC3-MKE-QIE - CTO-MWUF3-MKE-QIE - CTO-MWUG3-MKE-QIE - CTO-MWUE3-MKE-QIE - CTO-Z1E7-MKE-QIE - CTO-Z1E3-MKE-QIE - CTO-Z1E8-MKE-QIE</t>
  </si>
  <si>
    <t>CTO-MWUC3-MKE-QUS - CTO-MWUF3-MKE-QUS - CTO-MWUG3-MKE-QUS - CTO-MWUE3-MKE-QUS - CTO-Z1E7-MKE-QUS - CTO-Z1E3-MKE-QUS - CTO-Z1E8-MKE-QUS</t>
  </si>
  <si>
    <t>CTO-MWUC3-MKE-QBR - CTO-MWUF3-MKE-QBR - CTO-MWUG3-MKE-QBR - CTO-MWUE3-MKE-QBR - CTO-Z1E7-MKE-QBR - CTO-Z1E3-MKE-QBR - CTO-Z1E8-MKE-QBR</t>
  </si>
  <si>
    <t>CTO-MWUC3-MKETIPV-FR - CTO-MWUF3-MKETIPV-FR - CTO-MWUG3-MKETIPV-FR - CTO-MWUE3-MKETIPV-FR - CTO-Z1E7-MKETIPV-FR - CTO-Z1E3-MKETIPV-FR - CTO-Z1E8-MKETIPV-FR</t>
  </si>
  <si>
    <t>CTO-MWUC3-MKETIPV-QBR - CTO-MWUF3-MKETIPV-QBR - CTO-MWUG3-MKETIPV-QBR - CTO-MWUE3-MKETIPV-QBR - CTO-Z1E7-MKETIPV-QBR - CTO-Z1E3-MKETIPV-QBR - CTO-Z1E8-MKETIPV-QBR</t>
  </si>
  <si>
    <t>CTO-MWUC3-MKETIPV-QIE - CTO-MWUF3-MKETIPV-QIE - CTO-MWUG3-MKETIPV-QIE - CTO-MWUE3-MKETIPV-QIE - CTO-Z1E7-MKETIPV-QIE - CTO-Z1E3-MKETIPV-QIE - CTO-Z1E8-MKETIPV-QIE</t>
  </si>
  <si>
    <t>CTO-MWUC3-MKETIPV-QUS - CTO-MWUF3-MKETIPV-QUS - CTO-MWUG3-MKETIPV-QUS - CTO-MWUE3-MKETIPV-QUS - CTO-Z1E7-MKETIPV-QUS - CTO-Z1E3-MKETIPV-QUS - CTO-Z1E8-MKETIPV-QUS</t>
  </si>
  <si>
    <t>CTO-MWUU3-24GB - CTO-MWV13-24GB - CTO-MWV43-24GB - CTO-MWUY3-24GB - CTO-Z1ET-24GB - CTO-Z1EK-24GB - CTO-Z1EV-24GB</t>
  </si>
  <si>
    <t>CTO-MWUU3-SSD512 - CTO-MWV13-SSD512 - CTO-MWV43-SSD512 - CTO-MWUY3-SSD512 - CTO-Z1ET-SSD512 - CTO-Z1EK-SSD512 - CTO-Z1EV-SSD512</t>
  </si>
  <si>
    <t>CTO-MWUU3-SSD1000 - CTO-MWV13-SSD1000 - CTO-MWV43-SSD1000 - CTO-MWUY3-SSD1000 - CTO-Z1ET-SSD1000 - CTO-Z1EK-SSD1000 - CTO-Z1EV-SSD1000</t>
  </si>
  <si>
    <t>CTO-MWUU3-SSD2000 - CTO-MWV13-SSD2000 - CTO-MWV43-SSD2000 - CTO-MWUY3-SSD2000 - CTO-Z1ET-SSD2000 - CTO-Z1EK-SSD2000 - CTO-Z1EV-SSD2000</t>
  </si>
  <si>
    <t>CTO-MWUU3-VERRENANOT - CTO-MWV13-VERRENANOT - CTO-MWV43-VERRENANOT - CTO-MWUY3-VERRENANOT - CTO-Z1ET-VERRENANOT - CTO-Z1EK-VERRENANOT - CTO-Z1EV-VERRENANOT</t>
  </si>
  <si>
    <t>CTO-MWUU3-MTP - CTO-MWV13-MTP - CTO-MWV43-MTP - CTO-MWUY3-MTP - CTO-Z1ET-MTP - CTO-Z1EK-MTP - CTO-Z1EV-MTP</t>
  </si>
  <si>
    <t>CTO-MWUU3-MKETI-QBR - CTO-MWV13-MKETI-QBR - CTO-MWV43-MKETI-QBR - CTO-MWUY3-MKETI-QBR - CTO-Z1ET-MKETI-QBR - CTO-Z1EK-MKETI-QBR - CTO-Z1EV-MKETI-QBR</t>
  </si>
  <si>
    <t>CTO-MWUU3-MKETI-QIE - CTO-MWV13-MKETI-QIE - CTO-MWV43-MKETI-QIE - CTO-MWUY3-MKETI-QIE - CTO-Z1ET-MKETI-QIE - CTO-Z1EK-MKETI-QIE - CTO-Z1EV-MKETI-QIE</t>
  </si>
  <si>
    <t>CTO-MWUU3-MKETI-QUS - CTO-MWV13-MKETI-QUS - CTO-MWV43-MKETI-QUS - CTO-MWUY3-MKETI-QUS - CTO-Z1ET-MKETI-QUS - CTO-Z1EK-MKETI-QUS - CTO-Z1EV-MKETI-QUS</t>
  </si>
  <si>
    <t>CTO-MWUU3-MKETIPV-FR - CTO-MWV13-MKETIPV-FR - CTO-MWV43-MKETIPV-FR - CTO-MWUY3-MKETIPV-FR - CTO-Z1ET-MKETIPV-FR - CTO-Z1EK-MKETIPV-FR - CTO-Z1EV-MKETIPV-FR</t>
  </si>
  <si>
    <t>CTO-MWUU3-MKETIPV-QBR - CTO-MWV13-MKETIPV-QBR - CTO-MWV43-MKETIPV-QBR - CTO-MWUY3-MKETIPV-QBR - CTO-Z1ET-MKETIPV-QBR - CTO-Z1EK-MKETIPV-QBR - CTO-Z1EV-MKETIPV-QBR</t>
  </si>
  <si>
    <t>CTO-MWUU3-MKETIPV-QIE - CTO-MWV13-MKETIPV-QIE - CTO-MWV43-MKETIPV-QIE - CTO-MWUY3-MKETIPV-QIE - CTO-Z1ET-MKETIPV-QIE - CTO-Z1EK-MKETIPV-QIE - CTO-Z1EV-MKETIPV-QIE</t>
  </si>
  <si>
    <t>CTO-MWUU3-MKETIPV-QUS - CTO-MWV13-MKETIPV-QUS - CTO-MWV43-MKETIPV-QUS - CTO-MWUY3-MKETIPV-QUS - CTO-Z1ET-MKETIPV-QUS - CTO-Z1EK-MKETIPV-QUS - CTO-Z1EV-MKETIPV-QUS</t>
  </si>
  <si>
    <t>CTO-MWUV3-VERRENANOT - CTO-MWV33-VERRENANOT - CTO-MWV53-VERRENANOT - CTO-MWV03-VERRENANOT - CTO-Z1EU-VERRENANOT - CTO-Z1EL-VERRENANOT - CTO-Z1EW-VERRENANOT</t>
  </si>
  <si>
    <t>CTO-MWUV3-24GB - CTO-MWV33-24GB - CTO-MWV53-24GB - CTO-MWV03-24GB - CTO-Z1EU-24GB - CTO-Z1EL-24GB - CTO-Z1EW-24GB</t>
  </si>
  <si>
    <t>CTO-MWUV3-32GB - CTO-MWV33-32GB - CTO-MWV53-32GB - CTO-MWV03-32GB - CTO-Z1EU-32GB - CTO-Z1EL-32GB - CTO-Z1EW-32GB</t>
  </si>
  <si>
    <t>CTO-MWUV3-SSD1000 - CTO-MWV33-SSD1000 - CTO-MWV53-SSD1000 - CTO-MWV03-SSD1000 - CTO-Z1EU-SSD1000 - CTO-Z1EL-SSD1000 - CTO-Z1EW-SSD1000</t>
  </si>
  <si>
    <t>CTO-MWUV3-SSD2000 - CTO-MWV33-SSD2000 - CTO-MWV53-SSD2000 - CTO-MWV03-SSD2000 - CTO-Z1EU-SSD2000 - CTO-Z1EL-SSD2000 - CTO-Z1EW-SSD2000</t>
  </si>
  <si>
    <t>CTO-MWUV3-MTP - CTO-MWV33-MTP - CTO-MWV53-MTP - CTO-MWV03-MTP - CTO-Z1EU-MTP - CTO-Z1EL-MTP - CTO-Z1EW-MTP</t>
  </si>
  <si>
    <t>CTO-MWUV3-MKETI-QBR - CTO-MWV33-MKETI-QBR - CTO-MWV53-MKETI-QBR - CTO-MWV03-MKETI-QBR - CTO-Z1EU-MKETI-QBR - CTO-Z1EL-MKETI-QBR - CTO-Z1EW-MKETI-QBR</t>
  </si>
  <si>
    <t>CTO-MWUV3-MKETI-QIE - CTO-MWV33-MKETI-QIE - CTO-MWV53-MKETI-QIE - CTO-MWV03-MKETI-QIE - CTO-Z1EU-MKETI-QIE - CTO-Z1EL-MKETI-QIE - CTO-Z1EW-MKETI-QIE</t>
  </si>
  <si>
    <t>CTO-MWUV3-MKETI-QUS - CTO-MWV33-MKETI-QUS - CTO-MWV53-MKETI-QUS - CTO-MWV03-MKETI-QUS - CTO-Z1EU-MKETI-QUS - CTO-Z1EL-MKETI-QUS - CTO-Z1EW-MKETI-QUS</t>
  </si>
  <si>
    <t>CTO-MWUV3-MKETIPV-FR - CTO-MWV33-MKETIPV-FR - CTO-MWV53-MKETIPV-FR - CTO-MWV03-MKETIPV-FR - CTO-Z1EU-MKETIPV-FR - CTO-Z1EL-MKETIPV-FR - CTO-Z1EW-MKETIPV-FR</t>
  </si>
  <si>
    <t>CTO-MWUV3-MKETIPV-QBR - CTO-MWV33-MKETIPV-QBR - CTO-MWV53-MKETIPV-QBR - CTO-MWV03-MKETIPV-QBR - CTO-Z1EU-MKETIPV-QBR - CTO-Z1EL-MKETIPV-QBR - CTO-Z1EW-MKETIPV-QBR</t>
  </si>
  <si>
    <t>CTO-MWUV3-MKETIPV-QIE - CTO-MWV33-MKETIPV-QIE - CTO-MWV53-MKETIPV-QIE - CTO-MWV03-MKETIPV-QIE - CTO-Z1EU-MKETIPV-QIE - CTO-Z1EL-MKETIPV-QIE - CTO-Z1EW-MKETIPV-QIE</t>
  </si>
  <si>
    <t>CTO-MWUV3-MKETIPV-QUS - CTO-MWV33-MKETIPV-QUS - CTO-MWV53-MKETIPV-QUS - CTO-MWV03-MKETIPV-QUS - CTO-Z1EU-MKETIPV-QUS - CTO-Z1EL-MKETIPV-QUS - CTO-Z1EW-MKETIPV-QUS</t>
  </si>
  <si>
    <t>MXCL3F/A</t>
  </si>
  <si>
    <t>MXCL3Z/A</t>
  </si>
  <si>
    <t>MXCL3LB/A</t>
  </si>
  <si>
    <t>MXCL3B/A</t>
  </si>
  <si>
    <t>MXCK3F/A</t>
  </si>
  <si>
    <t>MXCK3Z/A</t>
  </si>
  <si>
    <t>MXCK3LB/A</t>
  </si>
  <si>
    <t>MXCK3B/A</t>
  </si>
  <si>
    <t>Apple clavier Magic Keyboard sans pavé numérique - Bluetooth - Rechargeable USB-C - Argent - Français</t>
  </si>
  <si>
    <t>Apple clavier Magic Keyboard sans pavé numérique - Bluetooth - Rechargeable USB-C - Argent - Anglais international</t>
  </si>
  <si>
    <t>Apple clavier Magic Keyboard sans pavé numérique - Bluetooth - Rechargeable USB-C - Argent - Anglais américain</t>
  </si>
  <si>
    <t>Apple clavier Magic Keyboard sans pavé numérique - Bluetooth - Rechargeable USB-C - Argent - Anglais britanique</t>
  </si>
  <si>
    <t>Apple clavier Magic Keyboard sans pavé numérique - Touch ID (Mac puce Apple) - Bluetooth - Rechargeable USB-C - Argent - Français</t>
  </si>
  <si>
    <t xml:space="preserve">Apple clavier Magic Keyboard sans pavé numérique - Touch ID (Mac puce Apple) - Bluetooth - Rechargeable USB-C - Argent - Anglais international </t>
  </si>
  <si>
    <t>Apple clavier Magic Keyboard sans pavé numérique - Touch ID (Mac puce Apple) - Bluetooth - Rechargeable USB-C - Argent - Anglais britanique</t>
  </si>
  <si>
    <t>MXK73F/A</t>
  </si>
  <si>
    <t>Apple clavier Magic Keyboard avec pavé numérique - Touch ID (Mac puce Apple) - Bluetooth - Rechargeable USB-C - Argent - Français</t>
  </si>
  <si>
    <t>Apple clavier Magic Keyboard avec pavé numérique - Touch ID (Mac puce Apple) - Bluetooth - Rechargeable USB-C - Argent - Anglais international</t>
  </si>
  <si>
    <t>Apple clavier Magic Keyboard avec pavé numérique - Touch ID (Mac puce Apple) - Bluetooth - Rechargeable USB-C - Argent - Anglais britanique</t>
  </si>
  <si>
    <t>Apple clavier Magic Keyboard avec pavé numérique - Touch ID (Mac puce Apple) - Bluetooth - Rechargeable USB-C - Argent touches noires - français</t>
  </si>
  <si>
    <t>Apple clavier Magic Keyboard avec pavé numérique - Touch ID (Mac puce Apple) - Bluetooth - Rechargeable USB-C - Argent touches noires - Anglais international</t>
  </si>
  <si>
    <t>Apple clavier Magic Keyboard avec pavé numérique - Touch ID (Mac puce Apple) - Bluetooth - Rechargeable USB-C - Argent touches noires - Anglais britanique</t>
  </si>
  <si>
    <t>MXK73Z/A</t>
  </si>
  <si>
    <t>MXK73B/A</t>
  </si>
  <si>
    <t>MXK73LB/A</t>
  </si>
  <si>
    <t>MXK83F/A</t>
  </si>
  <si>
    <t>MXK83B/A</t>
  </si>
  <si>
    <t>MXK83Z/A</t>
  </si>
  <si>
    <t>MXK83LB/A</t>
  </si>
  <si>
    <t>Apple clavier Magic Keyboard avec pavé numérique - Bluetooth - Rechargeable Lightning - Argent - Anglais américain</t>
  </si>
  <si>
    <t>Apple clavier Magic Keyboard sans pavé numérique - Touch ID (Mac puce Apple) - Bluetooth - Rechargeable USB-C - Argent - Anglais américain</t>
  </si>
  <si>
    <t>Apple clavier Magic Keyboard avec pavé numérique - Touch ID (Mac puce Apple) - Bluetooth - Rechargeable USB-C - Argent - Anglais américain</t>
  </si>
  <si>
    <t>Apple clavier Magic Keyboard avec pavé numérique - Touch ID (Mac puce Apple) - Bluetooth - Rechargeable USB-C - Argent touches noires - Anglais américain</t>
  </si>
  <si>
    <t>MXK53Z/A</t>
  </si>
  <si>
    <t>MXK63Z/A</t>
  </si>
  <si>
    <t>MXK93Z/A</t>
  </si>
  <si>
    <t>Apple trackpad Magic Trackpad (3ème gén.) - Bluetooth - Rechargeable USB-C - Multi-Touch - Force Touch - Argent et blanc</t>
  </si>
  <si>
    <t>Apple souris Magic mouse (3ème gén.) - Bluetooth - Rechargeable USB-C - Multi-Touch - Argent et blanc</t>
  </si>
  <si>
    <t>Apple souris Magic mouse (3ème gén.) - Bluetooth - Rechargeable USB-C - Multi-Touch - Argent et noir</t>
  </si>
  <si>
    <t>Apple trackpad Magic Trackpad (3ème gén.) - Bluetooth - Rechargeable USB-C - Multi-Touch - Force Touch - Argent et noir</t>
  </si>
  <si>
    <t>MU9D3FN/A</t>
  </si>
  <si>
    <t>MCX44FN/A</t>
  </si>
  <si>
    <t>Passage à 24 Go de mémoire unifiée pour Mac mini M4</t>
  </si>
  <si>
    <t>Passage à 32 Go de mémoire unifiée pour Mac mini M4</t>
  </si>
  <si>
    <t>Passage à 512 Go de stockage SSD pour Mac mini M4</t>
  </si>
  <si>
    <t>Passage à 1 To de stockage SSD pour Mac mini M4</t>
  </si>
  <si>
    <t>Passage à 2 To de stockage SSD pour Mac mini M4</t>
  </si>
  <si>
    <t>Passage à 10 Gigabit Ethernet pour Mac mini M4</t>
  </si>
  <si>
    <t>CTO-MU9D3-24GB</t>
  </si>
  <si>
    <t>CTO-MU9D3-32GB</t>
  </si>
  <si>
    <t>CTO-MU9D3-SSD512</t>
  </si>
  <si>
    <t>CTO-MU9D3-SSD1000</t>
  </si>
  <si>
    <t>CTO-MU9D3-SSD2000</t>
  </si>
  <si>
    <t>CTO-MU9D3-10ETH</t>
  </si>
  <si>
    <t>Passage à un M4 Pro avec CPU 14 cœurs, GPU 20 cœurs pour Mac mini M4 Pro</t>
  </si>
  <si>
    <t>Passage à 1 To de stockage SSD pour Mac mini M4 Pro</t>
  </si>
  <si>
    <t>Passage à 2 To de stockage SSD pour Mac mini M4 Pro</t>
  </si>
  <si>
    <t>Passage à 4 To de stockage SSD pour Mac mini M4 Pro</t>
  </si>
  <si>
    <t>Passage à 8 To de stockage SSD pour Mac mini M4 Pro</t>
  </si>
  <si>
    <t>Passage à 10 Gigabit Ethernet pour Mac mini M4 Pro</t>
  </si>
  <si>
    <t>Passage à 48 Go de mémoire unifiée pour Mac mini M4 Pro</t>
  </si>
  <si>
    <t>Passage à 64 Go de mémoire unifiée pour Mac mini M4 Pro</t>
  </si>
  <si>
    <t>CTO-MCX44-M4PROCPU14</t>
  </si>
  <si>
    <t>CTO-MCX44-48GB</t>
  </si>
  <si>
    <t>CTO-MCX44-64GB</t>
  </si>
  <si>
    <t>CTO-MCX44-SSD1000</t>
  </si>
  <si>
    <t>CTO-MCX44-SSD4000</t>
  </si>
  <si>
    <t>CTO-MCX44-SSD8000</t>
  </si>
  <si>
    <t>CTO-MCX44-10ETH</t>
  </si>
  <si>
    <t>Z1JZ</t>
  </si>
  <si>
    <t>CTO-Z1JZ-M2ULTRA76</t>
  </si>
  <si>
    <t>CTO-Z1JZ-128GB</t>
  </si>
  <si>
    <t>CTO-Z1JZ-192GB</t>
  </si>
  <si>
    <t>CTO-Z1JZ-SSD2To</t>
  </si>
  <si>
    <t>CTO-Z1JZ-SSD4To</t>
  </si>
  <si>
    <t>CTO-Z1JZ-SSD8To</t>
  </si>
  <si>
    <t>CTO-Z1JZ-MTP</t>
  </si>
  <si>
    <t>CTO-Z1JZ-MMTP</t>
  </si>
  <si>
    <t>CTO-Z1JZ-ROUES</t>
  </si>
  <si>
    <t>CTO-Z1JZ-QIE</t>
  </si>
  <si>
    <t>CTO-Z1JZ-QUS</t>
  </si>
  <si>
    <t>CTO-Z1JZ-QBR</t>
  </si>
  <si>
    <t>Passage à un clavier Magic Keyboard avec Touch ID et pavé numérique anglais américain pour Mac Pro Tour</t>
  </si>
  <si>
    <t>Z1K0</t>
  </si>
  <si>
    <t>CTO Mac Pro Rack Apple M2 Ultra CPU 24 cœurs GPU 60 cœurs - 64 Go de mémoire unifiée - 1 To de SSD - 8xThunderbolt 4/USB 4 - Wi-Fi 6E (802.11ax) - Bluetooth 5.3 - 2x10 Gigabit Ethernet</t>
  </si>
  <si>
    <t>iMac 24" M4 CPU 10 cœurs GPU 10 cœurs - 16 Go de mémoire unifiée - 256 Go de SSD - Écran Retina 4,5K - 4xThunderbolt 4/USB 4 - Wi-Fi 6E (802.11ax) - Bluetooth 5.3 - 1x1 Gigabit Ethernet</t>
  </si>
  <si>
    <t>iMac 24" M4 CPU 8 cœurs GPU 8 cœurs - 16 Go de mémoire unifiée - 256 Go de SSD - Écran Retina 4,5K - 2xThunderbolt 4/USB 4 - Wi-Fi 6E (802.11ax) - Bluetooth 5.3</t>
  </si>
  <si>
    <t>CTO Mac Pro Tour Apple M2 Ultra CPU 24 cœurs GPU 60 cœurs - 64 Go de mémoire unifiée - 1 To Go de SSD - 8xThunderbolt 4/USB 4 - Wi-Fi 6E (802.11ax) - Bluetooth 5.3 - 2x10 Gigabit Ethernet</t>
  </si>
  <si>
    <t>Passage à une souris Magic Mouse et un Magic Trackpad pour Mac Pro Rack</t>
  </si>
  <si>
    <t>Passage à un clavier Magic Keyboard avec Touch ID et pavé numérique - Anglais international pour Mac Pro Rack</t>
  </si>
  <si>
    <t>Passage à un clavier Magic Keyboard avec Touch ID et pavé numérique - Anglais américain pour Mac Pro Rack</t>
  </si>
  <si>
    <t>Passage à un clavier Magic Keyboard avec Touch ID et pavé numérique - Anglais britannique pour Mac Pro Rack</t>
  </si>
  <si>
    <t>Mac Pro - Fin 2024</t>
  </si>
  <si>
    <t>CTO-Z1K0-M2ULTRA76</t>
  </si>
  <si>
    <t>CTO-Z1K0-128GB</t>
  </si>
  <si>
    <t>CTO-Z1K0-192GB</t>
  </si>
  <si>
    <t>CTO-Z1K0-SSD2To</t>
  </si>
  <si>
    <t>CTO-Z1K0-SSD4To</t>
  </si>
  <si>
    <t>CTO-Z1K0-SSD8To</t>
  </si>
  <si>
    <t>CTO-Z1K0-MTP</t>
  </si>
  <si>
    <t>CTO-Z1K0-MMTP</t>
  </si>
  <si>
    <t>CTO-Z1K0-QIE</t>
  </si>
  <si>
    <t>CTO-Z1K0-QUS</t>
  </si>
  <si>
    <t>CTO-Z1K0-QBR</t>
  </si>
  <si>
    <t>MacBook Pro 14" M4 - Fin 2024</t>
  </si>
  <si>
    <t>Références en coloris respectivement : argent, noir sidéral - Clavier disponible dans les langues : français, anglais IE, anglais US, anglais UK, allemand, espagnol, italien, suisse</t>
  </si>
  <si>
    <t>MacBook Pro 14,2" M4 CPU 10 cœurs GPU 10 cœurs - 16 Go de mémoire unifiée - 512 Go de SSD - 3xThunderbolt 4/USB 4 - Wi‑Fi 6E 802.11ax - Bluetooth 5.3</t>
  </si>
  <si>
    <t>Mac mini M4 CPU 10 cœurs GPU 10 cœurs - 16 Go de mémoire unifiée - 256 Go de SSD - 3xThunderbolt 4/USB 4 - 2xUSB-C 3.1 Gen 2 - Wi‑Fi 6E 802.11ax - Bluetooth 5.3 - 1xGigabit Ethernet</t>
  </si>
  <si>
    <t>Mac mini M4 Pro CPU 12 cœurs GPU 16 cœurs - 24 Go de mémoire unifiée - 512 Go de stockage - 3xThunderbolt 5/USB 4 - 2xUSB-C 3.1 Gen 2 - Wi‑Fi 6E 802.11ax - Bluetooth 5.3 - 1xGigabit Ethernet</t>
  </si>
  <si>
    <t>MW2W3FN/A - MW2U3FN/A</t>
  </si>
  <si>
    <t>Passage à 24 Go de mémoire unifiée pour MacBook Pro 14" M4</t>
  </si>
  <si>
    <t>Passage à 32 Go de mémoire unifiée pour MacBook Pro 14" M4</t>
  </si>
  <si>
    <t>Passage à 1 To de stockage SSD pour MacBook Pro 14" M4</t>
  </si>
  <si>
    <t>Passage à 2 To de stockage SSD pour MacBook Pro 14" M4</t>
  </si>
  <si>
    <t>Passage à un adaptateur secteur USB-C 96 W pour MacBook Pro 14" M4</t>
  </si>
  <si>
    <t>Passage à un clavier anglais international pour MacBook Pro 14" M4</t>
  </si>
  <si>
    <t>Passage à un clavier anglais américain pour MacBook Pro 14" M4</t>
  </si>
  <si>
    <t>Passage à un clavier anglais britannique pour MacBook Pro 14" M4</t>
  </si>
  <si>
    <t>CTO-MW2W3-ECRANNANOT - CTO-MW2U3-ECRANNANOT</t>
  </si>
  <si>
    <t>MX2E3FN/A - MX2H3FN/A</t>
  </si>
  <si>
    <t>MacBook Pro 14,2" M4 Pro CPU 12 cœurs GPU 16 cœurs - 24 Go de mémoire unifiée - 512 Go de SSD - 3xThunderbolt 5/USB 4 - Wi‑Fi 6E 802.11ax - Bluetooth 5.3</t>
  </si>
  <si>
    <t>MX2G3FN/A - MX2K3FN/A</t>
  </si>
  <si>
    <t>MacBook Pro 14,2" M4 Max CPU 14 cœurs GPU 32 cœurs - 36 Go de mémoire unifiée - 1To de SSD - 3xThunderbolt 5/USB 4 - Wi‑Fi 6E 802.11ax - Bluetooth 5.3</t>
  </si>
  <si>
    <t>LaCie Mobile SSD Secure - 500 Go - externe (portable) - USB 3.1 Gen 2 (USB-C connecteur)</t>
  </si>
  <si>
    <t>LaCie Mobile SSD Secure - 1To - externe (portable) - USB 3.1 Gen 2 (USB-C connecteur)</t>
  </si>
  <si>
    <t>LaCie Mobile SSD Secure - 2 To - externe (portable) - USB 3.1 Gen 2 (USB-C connecteur)</t>
  </si>
  <si>
    <t>CTO-MX2E3-M4PROCPU1496W - CTO-MX2H3-M4PROCPU1496W</t>
  </si>
  <si>
    <t>CTO-MX2E3-ECRANNANOT - CTO-MX2H3-ECRANNANOT</t>
  </si>
  <si>
    <t>CTO-MX2E3-SSD1000 - CTO-MX2H3-SSD1000</t>
  </si>
  <si>
    <t>CTO-MX2E3-SSD2000 - CTO-MX2H3-SSD2000</t>
  </si>
  <si>
    <t>CTO-MX2E3-SSD4000 - CTO-MX2H3-SSD4000</t>
  </si>
  <si>
    <t>CTO-MX2E3-96W - CTO-MX2H3-96W</t>
  </si>
  <si>
    <t>CTO-MX2E3-QIE - CTO-MX2H3-QIE</t>
  </si>
  <si>
    <t>CTO-MX2E3-QUS - CTO-MX2H3-QUS</t>
  </si>
  <si>
    <t>CTO-MX2E3-QBR - CTO-MX2H3-QBR</t>
  </si>
  <si>
    <t>CTO-MX2G3-QIE - CTO-MX2K3-QIE</t>
  </si>
  <si>
    <t>CTO-MX2G3-QUS - CTO-MX2K3-QUS</t>
  </si>
  <si>
    <t>CTO-MX2G3-QBR - CTO-MX2K3-QBR</t>
  </si>
  <si>
    <t>CTO-MX2G3-SSD2000 - CTO-MX2K3-SSD2000</t>
  </si>
  <si>
    <t>CTO-MX2G3-SSD4000 - CTO-MX2K3-SSD4000</t>
  </si>
  <si>
    <t>CTO-MX2G3-SSD8000 - CTO-MX2K3-SSD8000</t>
  </si>
  <si>
    <t>CTO-MX2G3-ECRANNANOT - CTO-MX2K3-ECRANNANOT</t>
  </si>
  <si>
    <t>CTO-MX2G3-M4MAXCPU16GPU40-48 - CTO-MX2K3-M4MAXCPU16GPU40-48</t>
  </si>
  <si>
    <t>CTO-MX2G3-M4MAXCPU16GPU40-64 - CTO-MX2K3-M4MAXCPU16GPU40-64</t>
  </si>
  <si>
    <t>CTO-MX2G3-M4MAXCPU16GPU40-128 - CTO-MX2K3-M4MAXCPU16GPU40-128</t>
  </si>
  <si>
    <t>MX2T3FN/A - MX2X3FN/A</t>
  </si>
  <si>
    <t>Passage à un écran nano-texturé pour Macbook Pro 14"</t>
  </si>
  <si>
    <t>CTO-MX2T3-ECRANNANOT - CTO-MX2X3-ECRANNANOT</t>
  </si>
  <si>
    <t>CTO-MX2T3-SSD1000 - CTO-MX2X3-SSD1000</t>
  </si>
  <si>
    <t>CTO-MX2T3-SSD2000 - CTO-MX2X3-SSD2000</t>
  </si>
  <si>
    <t>CTO-MX2T3-SSD4000 - CTO-MX2X3-SSD4000</t>
  </si>
  <si>
    <t>CTO-MX2T3-QIE - CTO-MX2X3-QIE</t>
  </si>
  <si>
    <t>CTO-MX2T3-QUS - CTO-MX2X3-QUS</t>
  </si>
  <si>
    <t>CTO-MX2T3-QBR - CTO-MX2X3-QBR</t>
  </si>
  <si>
    <t>MacBook Pro 16,2" M4 Pro CPU 14 cœurs GPU 20 cœurs - 24 Go de mémoire unifiée - 512 Go de SSD - 3xThunderbolt 5/USB 4 - Wi‑Fi 6E 802.11ax - Bluetooth 5.3</t>
  </si>
  <si>
    <t>CTO-MX2T3-48GB - CTO-MX2X3-48GB</t>
  </si>
  <si>
    <t>MX2V3FN/A - MX303FN/A</t>
  </si>
  <si>
    <t>CTO-MX2V3-QIE - CTO-MX303-QIE</t>
  </si>
  <si>
    <t>CTO-MX2V3-QUS - CTO-MX303-QUS</t>
  </si>
  <si>
    <t>CTO-MX2V3-QBR - CTO-MX303-QBR</t>
  </si>
  <si>
    <t>CTO-MX2V3-SSD2000 - CTO-MX303-SSD2000</t>
  </si>
  <si>
    <t>CTO-MX2V3-SSD4000 - CTO-MX303-SSD4000</t>
  </si>
  <si>
    <t>CTO-MX2V3-SSD8000 - CTO-MX303-SSD8000</t>
  </si>
  <si>
    <t>Passage à Puce Apple M4 Max avec CPU 16 cœurs GPU 40 cœurs + 48 Go de mémoire unifiée pour MacBook Pro 14" M4 Max</t>
  </si>
  <si>
    <t>Passage à Puce Apple M4 Max avec CPU 16 cœurs GPU 40 cœurs + 64 Go de mémoire unifiée pour MacBook Pro 14" M4 Max</t>
  </si>
  <si>
    <t>Passage à Puce Apple M4 Max avec CPU 16 cœurs GPU 40 cœurs + 128 Go de mémoire unifiée pour MacBook Pro 14" M4 Max</t>
  </si>
  <si>
    <t>Passage à 2 To de stockage SSD pour MacBook Pro 14" M4 Max</t>
  </si>
  <si>
    <t>Passage à 4 To de stockage SSD pour MacBook Pro 14" M4 Max</t>
  </si>
  <si>
    <t>Passage à 8 To de stockage SSD pour MacBook Pro 14" M4 Max</t>
  </si>
  <si>
    <t>Passage à un écran nano-texturé pour MacBook Pro 14" M4 Max</t>
  </si>
  <si>
    <t>Passage à un clavier anglais international pour MacBook Pro 14" M4 Max</t>
  </si>
  <si>
    <t>Passage à un clavier anglais américain pour MacBook Pro 14" M4 Max</t>
  </si>
  <si>
    <t>Passage à un clavier anglais britannique pour MacBook Pro 14" M4 Max</t>
  </si>
  <si>
    <t>Passage à 48 Go de mémoire unifiée pour MacBook Pro 14" M4 Pro</t>
  </si>
  <si>
    <t>Passage à 1 To de stockage SSD pour MacBook Pro 14" M4 Pro</t>
  </si>
  <si>
    <t>Passage à 2 To de stockage SSD pour MacBook Pro 14" M4 Pro</t>
  </si>
  <si>
    <t>Passage à 4 To de stockage SSD pour MacBook Pro 14" M4 Pro</t>
  </si>
  <si>
    <t>Passage à un écran nano-texturé pour MacBook Pro 14" M4 Pro</t>
  </si>
  <si>
    <t>Passage à un adaptateur secteur USB‑C 96 W pour MacBook Pro 14" M4 Pro</t>
  </si>
  <si>
    <t>Passage à un clavier anglais international pour MacBook Pro 14" M4 Pro</t>
  </si>
  <si>
    <t>Passage à un clavier anglais américain pour MacBook Pro 14" M4 Pro</t>
  </si>
  <si>
    <t>Passage à un clavier anglais britannique pour MacBook Pro 14" M4 Pro</t>
  </si>
  <si>
    <t>Passage à 48 Go de mémoire unifiée pour MacBook Pro 16" M4 Pro</t>
  </si>
  <si>
    <t>Passage à 1 To de stockage SSD pour MacBook Pro 16" M4 Pro</t>
  </si>
  <si>
    <t>Passage à 2 To de stockage SSD pour MacBook Pro 16" M4 Pro</t>
  </si>
  <si>
    <t>Passage à 4 To de stockage SSD pour MacBook Pro 16" M4 Pro</t>
  </si>
  <si>
    <t>Passage à un écran nano-texturé ppour MacBook Pro 16" M4 Pro</t>
  </si>
  <si>
    <t>Passage à un clavier anglais international pour MacBook Pro 16" M4 Pro</t>
  </si>
  <si>
    <t>Passage à un clavier anglais américain pour MacBook Pro 16" M4 Pro</t>
  </si>
  <si>
    <t>Passage à un clavier anglais britannique pour MacBook Pro 16" M4 Pro</t>
  </si>
  <si>
    <t>Passage à 2 To de stockage SSD pour MacBook Pro 16" M4 Max</t>
  </si>
  <si>
    <t>Passage à 4 To de stockage SSD pour MacBook Pro 16" M4 Max</t>
  </si>
  <si>
    <t>Passage à 8 To de stockage SSD pour MacBook Pro 16" M4 Max</t>
  </si>
  <si>
    <t>MacBook Pro 16,2" M4 Max CPU 14 cœurs GPU 32 cœurs - 36 Go de mémoire unifiée - 1 To de SSD - 3xThunderbolt 5/USB 4 - Wi‑Fi 6E 802.11ax - Bluetooth 5.3</t>
  </si>
  <si>
    <t>CTO-MX2V3-ECRANNANOT - CTO-MX303-ECRANNANOT</t>
  </si>
  <si>
    <t>Passage à un écran nano-texturé pour MacBook Pro 16" M4 Max</t>
  </si>
  <si>
    <t>Passage à un clavier anglais international pour MacBook Pro 16" M4 Max</t>
  </si>
  <si>
    <t>Passage à un clavier anglais américain pour MacBook Pro 16" M4 Max</t>
  </si>
  <si>
    <t>Passage à un clavier anglais britannique pour MacBook Pro 16" M4 Max</t>
  </si>
  <si>
    <t>MC7V4FN/A - MC7U4FN/A - MC7W4FN/A - MC7X4FN/A</t>
  </si>
  <si>
    <t>CTO-MC7V4-35W - CTO-MC7U4-35W - CTO-MC7W4-35W - CTO-MC7X4-35W</t>
  </si>
  <si>
    <t>CTO-MC7V4-70W - CTO-MC7U4-70W - CTO-MC7W4-70W - CTO-MC7X4-70W</t>
  </si>
  <si>
    <t>CTO-MC7V4-QUS - CTO-MC7U4-QUS - CTO-MC7W4-QUS - CTO-MC7X4-QUS</t>
  </si>
  <si>
    <t>CTO-MC7V4-QIE - CTO-MC7U4-QIE - CTO-MC7W4-QIE - CTO-MC7X4-QIE</t>
  </si>
  <si>
    <t>CTO-MC7V4-QBR - CTO-MC7U4-QBR - CTO-MC7W4-QBR - CTO-MC7X4-QBR</t>
  </si>
  <si>
    <t>MI5MC7V4FN/A - MI5MC7U4FN/A - MI5MC7W4FN/A - MI5MC7X4FN/A</t>
  </si>
  <si>
    <t>MC8H4FN/A - MC8G4FN/A - MC8J4FN/A - MC8K4FN/A</t>
  </si>
  <si>
    <t>MacBook Air 13,6" M3 CPU 8 cœurs GPU 8 cœurs - 16 Go de mémoire unifiée - 256 Go de SSD - 2xThunderbolt 3/USB 4 - Wi‑Fi 6E (802.11ax) - Bluetooth 5.3</t>
  </si>
  <si>
    <t>MacBook Air 13,6" M2 CPU 8 cœurs GPU 10 cœurs - 16 Go de mémoire unifiée - 512 Go de SSD - 2xThunderbolt 3/USB 4 - Wi‑Fi 6 (802.11ax) - Bluetooth 5.3</t>
  </si>
  <si>
    <t>MacBook Air 13,6" M2 CPU 8 cœurs GPU 8 cœurs - 16 Go de mémoire unifiée - 256 Go de SSD - 2xThunderbolt 3/USB 4 - Wi‑Fi 6 (802.11ax) - Bluetooth 5.3</t>
  </si>
  <si>
    <t>CTO-MC8H4-M3GPU10-16 - CTO-MC8G4-M3GPU10-16 - CTO-MC8J4-M3GPU10-16 - CTO-MC8K4-M3GPU10-16</t>
  </si>
  <si>
    <t>CTO-MC8H4-M3GPU10-24 - CTO-MC8G4-M3GPU10-24 - CTO-MC8J4-M3GPU10-24 - CTO-MC8K4-M3GPU10-24</t>
  </si>
  <si>
    <t>CTO-MC8H4-35W - CTO-MC8G4-35W - CTO-MC8J4-35W - CTO-MC8K4-35W</t>
  </si>
  <si>
    <t>CTO-MC8H4-70W - CTO-MC8G4-70W - CTO-MC8J4-70W - CTO-MC8K4-70W</t>
  </si>
  <si>
    <t>CTO-MC8H4-QUS - CTO-MC8G4-QUS - CTO-MC8J4-QUS - CTO-MC8K4-QUS</t>
  </si>
  <si>
    <t>CTO-MC8H4-QIE - CTO-MC8G4-QIE - CTO-MC8J4-QIE - CTO-MC8K4-QIE</t>
  </si>
  <si>
    <t>CTO-MC8H4-QBR - CTO-MC8G4-QBR - CTO-MC8J4-QBR - CTO-MC8K4-QBR</t>
  </si>
  <si>
    <t>Passage à un adaptateur secteur double port USB-C 35 W pour MacBook Air 13" M2</t>
  </si>
  <si>
    <t>Passage à un adaptateur secteur USB-C 70 W pour MacBook Air 13" M2</t>
  </si>
  <si>
    <t>Passage à un clavier rétro-éclairé américain pour MacBook Air 13" M2</t>
  </si>
  <si>
    <t>Passage à un clavier rétro-éclairé anglais international pour MacBook Air 13" M2</t>
  </si>
  <si>
    <t>Passage à un clavier rétro-éclairé anglais britannique pour MacBook Air 13" M2</t>
  </si>
  <si>
    <t>Passage à 24 Go de mémoire unifiée pour MacBook Air 13" M2</t>
  </si>
  <si>
    <t>Passage à 1 To de stockage SSD pour MacBook Air 13" M2</t>
  </si>
  <si>
    <t>Passage à 2 To de stockage SSD pour MacBook Air 13" M2</t>
  </si>
  <si>
    <t>Puce Apple M3 avec CPU 8 cœurs GPU 10 cœurs + 16 Go de mémmoire unifiée pour MacBook Air 13" M3</t>
  </si>
  <si>
    <t>Puce Apple M3 avec CPU 8 cœurs GPU 10 cœurs + 24 Go de mémoire unifiée pour MacBook Air 13" M3</t>
  </si>
  <si>
    <t>Passage à un adaptateur secteur double port USB-C 35 W pour MacBook Air 13" M3</t>
  </si>
  <si>
    <t>Passage à un adaptateur secteur USB-C 70 W pour MacBook Air 13" M3</t>
  </si>
  <si>
    <t>Passage à un clavier rétro-éclairé américain pour MacBook Air 13" M3</t>
  </si>
  <si>
    <t>Passage à un clavier rétro-éclairé anglais international pour MacBook Air 13" M3</t>
  </si>
  <si>
    <t>Passage à un clavier rétro-éclairé anglais britannique pour MacBook Air 13" M3</t>
  </si>
  <si>
    <t>Passage à 1 To de stockage SSD pour MacBook Air 13" M3</t>
  </si>
  <si>
    <t>Passage à 2 To de stockage SSD pour MacBook Air 13" M3</t>
  </si>
  <si>
    <t>MacBook Air 15,3" M3 CPU 8 cœurs GPU 10 cœurs - 16 Go de mémoire unifiée - 256 Go de SSD - 2xThunderbolt 3/USB 4 - Wi‑Fi 6E (802.11ax) - Bluetooth 5.3</t>
  </si>
  <si>
    <t>MC9E4FN/A - MC9D4FN/A - MC9F4FN/A - MC9G4FN/A</t>
  </si>
  <si>
    <t>CTO-MC9E4-24GB - CTO-MC9D4-24GB - CTO-MC9F4-24GB - CTO-MC9G4-24GB</t>
  </si>
  <si>
    <t>CTO-MC9E4-SSD512 - CTO-MC9D4-SSD512 - CTO-MC9F4-SSD512 - CTO-MC9G4-SSD512</t>
  </si>
  <si>
    <t>CTO-MC9E4-70W - CTO-MC9D4-70W - CTO-MC9F4-70W - CTO-MC9G4-70W</t>
  </si>
  <si>
    <t>CTO-MC9E4-QUS - CTO-MC9D4-QUS - CTO-MC9F4-QUS - CTO-MC9G4-QUS</t>
  </si>
  <si>
    <t>CTO-MC9E4-QIE - CTO-MC9D4-QIE - CTO-MC9F4-QIE - CTO-MC9G4-QIE</t>
  </si>
  <si>
    <t>CTO-MC9E4-QBR - CTO-MC9D4-QBR - CTO-MC9F4-QBR - CTO-MC9G4-QBR</t>
  </si>
  <si>
    <t>CTO-MC9E4-SSD1000 - CTO-MC9D4-SSD1000 - CTO-MC9F4-SSD1000 - CTO-MC9G4-SSD1000</t>
  </si>
  <si>
    <t>CTO-MC9E4-SSD2000 - CTO-MC9D4-SSD2000 - CTO-MC9F4-SSD2000 - CTO-MC9G4-SSD2000</t>
  </si>
  <si>
    <t>Passage à 24 Go de mémoire unifiée pour MacBook Air 15" M3</t>
  </si>
  <si>
    <t>Passage à 512 Go de stockage SSD pour MacBook Air 15" M3</t>
  </si>
  <si>
    <t>Passage à 1 To Go de stockage SSD pour MacBook Air 15" M3</t>
  </si>
  <si>
    <t>Passage à 2 To de stockage SSD pour MacBook Air 15" M3</t>
  </si>
  <si>
    <t>Passage à un adaptateur secteur USB-C 70 W pour MacBook Air 15" M3</t>
  </si>
  <si>
    <t>Passage à un clavier rétro-éclairé anglais américain pour MacBook Air 15" M3</t>
  </si>
  <si>
    <t>Passage à un clavier rétro-éclairé anglais international pour MacBook Air 15" M3</t>
  </si>
  <si>
    <t>Passage à un clavier rétro-éclairé anglais britannique pour MacBook Air 15" M3</t>
  </si>
  <si>
    <t>CTO-MW2W3-24GB - CTO-MW2U3-24GB</t>
  </si>
  <si>
    <t>CTO-MW2W3-32GB - CTO-MW2U3-32GB</t>
  </si>
  <si>
    <t>CTO-MW2W3-SSD1000 - CTO-MW2U3-SSD1000</t>
  </si>
  <si>
    <t>CTO-MW2W3-SSD2000 - CTO-MW2U3-SSD2000</t>
  </si>
  <si>
    <t>CTO-MW2W3-96W - CTO-MW2U3-96W</t>
  </si>
  <si>
    <t>CTO-MW2W3-QIE - CTO-MW2U3-QIE</t>
  </si>
  <si>
    <t>CTO-MW2W3-QUS - CTO-MW2U3-QUS</t>
  </si>
  <si>
    <t>CTO-MW2W3-QBR - CTO-MW2U3-QBR</t>
  </si>
  <si>
    <t>CTO-MI5MC7V4-24GB - CTO-MI5MC7U4-24GB - CTO-MI5MC7W4-24GB - CTO-MI5MC7X4-24GB</t>
  </si>
  <si>
    <t>CTO-MI5MC7V4-70W - CTO-MI5MC7U4-70W - CTO-MI5MC7W4-70W - CTO-MI5MC7X4-70W</t>
  </si>
  <si>
    <t>CTO-MI5MC7V4-QIE - CTO-MI5MC7U4-QIE - CTO-MI5MC7W4-QIE - CTO-MI5MC7X4-QIE</t>
  </si>
  <si>
    <t>CTO-MI5MC7V4-QUS - CTO-MI5MC7U4-QUS - CTO-MI5MC7W4-QUS - CTO-MI5MC7X4-QUS</t>
  </si>
  <si>
    <t>CTO-MI5MC7V4-QBR - CTO-MI5MC7U4-QBR - CTO-MI5MC7W4-QBR - CTO-MI5MC7X4-QBR</t>
  </si>
  <si>
    <t>CTO-MI5MC7V4-SSD1000 - CTO-MI5MC7U4-SSD1000 - CTO-MI5MC7W4-SSD1000 - CTO-MI5MC7X4-SSD1000</t>
  </si>
  <si>
    <t>CTO-MI5MC7V4-SSD2000 - CTO-MI5MC7U4-SSD2000 - CTO-MI5MC7W4-SSD2000 - CTO-MI5MC7X4-SSD2000</t>
  </si>
  <si>
    <t>CTO-MCX44-SSD2000</t>
  </si>
  <si>
    <t>CTO-MWUC3-SSD512 - CTO-MWUF3-SSD512 - CTO-MWUG3-SSD512 - CTO-MWUE3-SSD512 - CTO-Z1E7-SSD512 - CTO-Z1E3-SSD512 - CTO-Z1E8-SSD512</t>
  </si>
  <si>
    <t>MC9C4ZM/A</t>
  </si>
  <si>
    <t>Apple câble tissé Thunderbolt 5 Pro - Thunderbolt 5 jusqu'à 120 Gbit/s - Thunderbolt 3,4 et USB 4 jusqu'à 80 Gbit/s - USB 3.1 Gen 2 jusqu'à 10 Gbit/s - 240 W - 1 m - Noir</t>
  </si>
  <si>
    <t>ST-P7SK</t>
  </si>
  <si>
    <t>ST-P7SS</t>
  </si>
  <si>
    <t>Satechi station d'accueil USB-C avec 1x USB-C (PassThrough 80W) - 1x HDMI 2.0 4K 60 Hz - 1xGigabit Ethernet - 2x USB-A - 1x SD et 1x Micro SD - Argent</t>
  </si>
  <si>
    <t>Satechi station d'accueil USB-C avec 1x USB-C (PassThrough 80W) - 1x HDMI 2.0 4K 60 Hz - 1xGigabit Ethernet - 2x USB-A - 1x SD et 1x Micro SD - Noir</t>
  </si>
  <si>
    <t>MW - Coque de protection transparente pour Macbook Pro 14" M1, M2, M3 et M4 - Sans packaging</t>
  </si>
  <si>
    <t>MW - Coque de protection transparente pour Macbook Pro 16" M1, M2, M3 et M4 - Sans packaging</t>
  </si>
  <si>
    <t>Satechi Stand and Hub pour Mac mini M1 et M2 - 1xUSB-C 3.0- 3xUSB-A 3.0 - 1xlecteur SD et micro-SD - 1xaudio Jack 3,5mm - Gris sidéral</t>
  </si>
  <si>
    <t>Satechi Stand and Hub pour Mac mini M1 et M2 - 1xUSB-C 3.0- 3xUSB-A 3.0 - 1xlecteur SD et micro-SD - 1xaudio Jack 3,5mm - Argent</t>
  </si>
  <si>
    <t>Satechi Clamp hub pour iMac 24" M1, M3 et M4  - 1xUSB-C 3.0 - 3xUSB-A 3.0 - 1xlecteur SD et micro-SD - Argent</t>
  </si>
  <si>
    <t>STM étui Dux Plus pour iPad mini 8,3" (6 et 7ème gén.) - Emplacement Apple Pencil compatible recharge - Noir et face arrière transparente</t>
  </si>
  <si>
    <t>STM étui Dux Plus pour iPad mini 8,3" (6 et 7ème gén.) - Emplacement Apple Pencil compatible recharge - Rouge et face arrière transparente</t>
  </si>
  <si>
    <t>STM étui Dux Plus Duo pour iPad 10,2" (7,8 et 9ème gén.) - Emplacement stylet Apple Pencil ou Logitech Crayon - Noir et face arrière transparente - Polybag</t>
  </si>
  <si>
    <t>STM étui Dux Plus Duo pour iPad 10,2" (7,8 et 9ème gén.) - Emplacement stylet Apple Pencil ou Logitech Crayon - Rouge et face arrière transparente - Polybag</t>
  </si>
  <si>
    <t>Adonit SE2 - Stylet pour iPad - Fixation magnétique - Rejet du signal de la paume sur l'écran - Embout remplaçable - USB-C - Blanc</t>
  </si>
  <si>
    <t>Adonit SE2 - Stylet pour iPad - Fixation magnétique - Rejet du signal de la paume sur l'écran - Embout remplaçable - USB-C - Noir</t>
  </si>
  <si>
    <t>XWH-XPM-13</t>
  </si>
  <si>
    <t>XTREMEMAC</t>
  </si>
  <si>
    <t>Cygnett ChargeUp Pro - Batterie externe 25 000 mAh - Jusqu'à 118W - 1 x USB-C 100W, 1 x USB-C 18W - 1 x USB-A 18W - Noir</t>
  </si>
  <si>
    <t xml:space="preserve">XtremeMac X Power Max - Batterie externe 27 000 mAh - Jusqu'à 140W - 1xUSB-C 140W, 1x USB-C 20W - 1x USB-A 18W - Gris sidéral </t>
  </si>
  <si>
    <t>Xtorm Titan Ultra - Batterie externe 27 000 mAh - Jusqu'à 200W - 2 x USB-C PD 140W, 2 x USB-C PD 30W - Gris</t>
  </si>
  <si>
    <t>HyperJuice - Batterie externe 27 000 mAh - Jusqu'à 245W - 2x USB-C 100W PD 3.0 - 2x USB-C 65W PD 3.0 - Gris et noir</t>
  </si>
  <si>
    <t>OtterBox Power Bank Bundle 5 000 mAh USB A &amp; Micro USB 10W livrée avec cable 3 en 1 (micro, USB C, Lightning) - 1m - Blanc</t>
  </si>
  <si>
    <t>OtterBox Power Bank fast charge 10 000 mAh - 1 x USB-C 18W, 1 x USB A 18W - Noir</t>
  </si>
  <si>
    <t>Belkin - Batterie externe 20 000 mAh - 2x USB-C - 1xUSB-A - jusqu'à 65W - Noir</t>
  </si>
  <si>
    <t>OtterBox Power Bank fast charge 15 000 mAh - 1 x USB-C 18W, 1 x USB-A 18W</t>
  </si>
  <si>
    <t>XWH-SPC25-13</t>
  </si>
  <si>
    <t>XM-MPR-SLV</t>
  </si>
  <si>
    <t>XtremeMac - Tapis de souris en aluminium - Argent</t>
  </si>
  <si>
    <t>XWH-SPC30-03</t>
  </si>
  <si>
    <t>XtremeMac - Adaptateur secteur 30W USB-C - Plastique 100% recyclée - Blanc</t>
  </si>
  <si>
    <t>XtremeMac - Adaptateur secteur 25W USB-C - Plastique 100% recyclée - Noir</t>
  </si>
  <si>
    <t>XWH-SPC45-03</t>
  </si>
  <si>
    <t>XtremeMac - Adaptateur secteur 45W USB-C - Plastique 100% recyclée - Blanc</t>
  </si>
  <si>
    <t>XWH-XTW-03</t>
  </si>
  <si>
    <t>XtremeMac X-Twist - Écouteurs intra-auriculaires sans fil - Bluetooth 5.2 - USB-C - Réduction de bruit - Blanc</t>
  </si>
  <si>
    <t>XWH-AAE-13</t>
  </si>
  <si>
    <t>XtremeMac - Adaptateur USB-A vers Gigabit Ethernet - Gris</t>
  </si>
  <si>
    <t>XWH-UIM2-13</t>
  </si>
  <si>
    <t>XtremeMac- Hub USB-C 6 en 1 - Pour iMac 24" M1, M3 et M4 - 1xUSB-C 3.1 Gen 2 - 3xUSB-C 3.1 Gen 1 - 1xUSB-A 2.0 - 1xGigabit Ethernet - Blanc et argent</t>
  </si>
  <si>
    <t>XWH-SPC60-03</t>
  </si>
  <si>
    <t>XtremeMac - Adaptateur secteur 60W USB-C - Plastique 100% recyclée - Blanc</t>
  </si>
  <si>
    <t>XWH-ALM2-13</t>
  </si>
  <si>
    <t>XtremeMac - Souris sans fil Bluetooth multi connexions (3) - Nano-recepteur USB-A - Recharge USB-C - Transparent et noir</t>
  </si>
  <si>
    <t>K35201EU</t>
  </si>
  <si>
    <t>Kensington - Station d’accueil SD5000T5 EQ Thunderbolt 5 - 4xThunderbolt 5/USB-C - 3xUSB-A 3.2 Gen2 - 1 port Ethernet 2,5 Gbits/s - 1xaudio jack 3,5mm - PassThrough 140W - 3 écrans 4K à 144 Hz ou 2 écrans 8K à 60 Hz - Argent et noir</t>
  </si>
  <si>
    <t>Le 06/11/2024</t>
  </si>
  <si>
    <t>Ajout des nouvelles références de MacBook Air 13" M2 et M3 et 15" M3</t>
  </si>
  <si>
    <t>Ajout des nouvelles références d'iPad 10,9" 10ème génération et baisse de prix</t>
  </si>
  <si>
    <t>Ajout des nouvelles références de Macbook Pro 14" et 16" M4</t>
  </si>
  <si>
    <t>Ajout des nouvelles références de Mac mini M4</t>
  </si>
  <si>
    <t>Ajout des nouvelles références d'iMac 24" M4</t>
  </si>
  <si>
    <t>Optimisation de la désignation et du prix de plusieurs références d'accessoires</t>
  </si>
  <si>
    <t>Passage à un Magic Trackpad (Force Touch sans fil Bluetooth rechargeable USB-C) pour Mac Pro Rack</t>
  </si>
  <si>
    <t>Passage à un Magic Trackpad (Force Touch sans fil Bluetooth rechargeable USB-C) pour Mac Pro Tour</t>
  </si>
  <si>
    <t>Passage à une souris Magic Mouse et un Magic Trackpad (Force Touch sans fil Bluetooth rechargeable USB-C) pour Mac Pro Tour</t>
  </si>
  <si>
    <t>MacBook Air 13" M2 - Fin 2024</t>
  </si>
  <si>
    <t>MacBook Air 13" M3 - Fin 2024</t>
  </si>
  <si>
    <t>MacBook Air 15" M3 - Fin 2024</t>
  </si>
  <si>
    <t>MacBook Pro 14" M4 Pro et M4 Max - Fin 2024</t>
  </si>
  <si>
    <t>MacBook Pro 16" M4 Pro et M4 Max - Fin 2024</t>
  </si>
  <si>
    <t>Mac mini M4 et M4 Pro - Fin 2024</t>
  </si>
  <si>
    <t>iMac 24" M4 - Fin 2024</t>
  </si>
  <si>
    <t>Passage à puce Apple M4 Pro avec CPU 14 cœurs GPU 20 cœurs pour MacBook Pro 14" M4 Pro + adaptateur secteur 96W</t>
  </si>
  <si>
    <t>CTO-MX2V3-M4MAXCPU16GPU40-48 - CTO-MX303-M4MAXCPU16GPU40-48</t>
  </si>
  <si>
    <t>CTO-MX2V3-M4MAXCPU16GPU40-64 - CTO-MX303-M4MAXCPU16GPU40-64</t>
  </si>
  <si>
    <t>CTO-MX2V3-M4MAXCPU16GPU40-128 - CTO-MX303-M4MAXCPU16GPU40-128</t>
  </si>
  <si>
    <t>Puce Apple M4 Max avec CPU 16 coeurs, GPU 40 coeurs + 48 Go de mémoire unifiée pour MacBook Pro 16" M4 Max</t>
  </si>
  <si>
    <t>Puce Apple M4 Max avec CPU 16 coeurs, GPU 40 coeurs + 64 Go de mémoire unifiée pour MacBook Pro 16" M4 Max</t>
  </si>
  <si>
    <t>Puce Apple M4 Max avec CPU 16 coeurs, GPU 40 coeurs + 128 Go de mémoire unifiée pour MacBook Pro 16" M4 Max</t>
  </si>
  <si>
    <t>MXCT3FN/A - MXCR3FN/A - MXCU3FN/A - MXCV3FN/A</t>
  </si>
  <si>
    <t>MacBook Air 13,6" M3 CPU 8 cœurs GPU 10 cœurs - 16 Go de mémoire unifiée - 512 Go de SSD - 2xThunderbolt 3/USB 4 - Wi‑Fi 6E (802.11ax) - Bluetooth 5.3</t>
  </si>
  <si>
    <t>CTO-MXCT3-24GB - CTO-MXCR3-24GB - CTO-MXCU3-24GB - CTO-MXCV3-24GB</t>
  </si>
  <si>
    <t>Passage à 24 Go de mémoire unifiée pour MacBook Air 13" M3</t>
  </si>
  <si>
    <t>CTO-MXCT3-SSD1000 - CTO-MXCR3-SSD1000 - CTO-MXCU3-SSD1000 - CTO-MXCV3-SSD1000</t>
  </si>
  <si>
    <t>CTO-MXCT3-SSD2000 - CTO-MXCR3-SSD2000 - CTO-MXCU3-SSD2000 - CTO-MXCV3-SSD2000</t>
  </si>
  <si>
    <t>CTO-MXCT3-70W - CTO-MXCR3-70W - CTO-MXCU3-70W - CTO-MXCV3-70W</t>
  </si>
  <si>
    <t>CTO-MXCT3-QIE - CTO-MXCR3-QIE - CTO-MXCU3-QIE - CTO-MXCV3-QIE</t>
  </si>
  <si>
    <t>CTO-MXCT3-QUS - CTO-MXCR3-QUS - CTO-MXCU3-QUS - CTO-MXCV3-QUS</t>
  </si>
  <si>
    <t>CTO-MXCT3-QBR - CTO-MXCR3-QBR - CTO-MXCU3-QBR - CTO-MXCV3-QBR</t>
  </si>
  <si>
    <t>Tarif n°14</t>
  </si>
  <si>
    <t>TARIF N°14 - LOT5 - MATINFO5</t>
  </si>
  <si>
    <t>Apple Pencil Pro - Pour iPad Air 11" (6ème gén), iPad Air 13" (1er gén), iPad Pro 11 (5ème gén),  iPad Pro 13" (7ème gén) et iPad mini (7ème gén)</t>
  </si>
  <si>
    <t>Apple Pencil USB-C - Pour iPad Pro 12,9" (3,4,5 et 6ème gén), iPad Pro 11" (1,2,3 et 4ème gén), iPad Air (4 et 5ème gén), iPad 10,9" (10ème gén) et iPad mini (6 et 7ème gén)</t>
  </si>
  <si>
    <t>ADSE2W</t>
  </si>
  <si>
    <t>ADSE2B</t>
  </si>
  <si>
    <t>TARIF N°13 VALIDE AU 19/11/2024</t>
  </si>
  <si>
    <t xml:space="preserve">TARIF N°13 VALIDE AU 19/11/2024											</t>
  </si>
  <si>
    <t xml:space="preserve">TARIF N°13 VALIDE AU 19/11/2024					</t>
  </si>
  <si>
    <t>CTO-MX2E3-48GB - CTO-MX2H3-48GB</t>
  </si>
  <si>
    <t>45-490-216</t>
  </si>
  <si>
    <t>45-537-224</t>
  </si>
  <si>
    <t>45-537-216</t>
  </si>
  <si>
    <t>45-489-224</t>
  </si>
  <si>
    <t>45-489-216</t>
  </si>
  <si>
    <t>45-491-216</t>
  </si>
  <si>
    <t>45-248-026</t>
  </si>
  <si>
    <t>45-492-216</t>
  </si>
  <si>
    <t>45-509-224</t>
  </si>
  <si>
    <t>98-130-224</t>
  </si>
  <si>
    <t>45-475-224</t>
  </si>
  <si>
    <t>45-475-216</t>
  </si>
  <si>
    <t>45-476-224</t>
  </si>
  <si>
    <t>45-476-216</t>
  </si>
  <si>
    <t>45-631-224</t>
  </si>
  <si>
    <t>45-631-216</t>
  </si>
  <si>
    <t>45-630-224</t>
  </si>
  <si>
    <t>45-630-216</t>
  </si>
  <si>
    <t>Ergotron kit optionnel bras LX, extension et collier - Noir</t>
  </si>
  <si>
    <t>Ergotron kit optionnel bras LX, extension et collier - Blanc</t>
  </si>
  <si>
    <t>98-130-216</t>
  </si>
  <si>
    <t>MMEN24</t>
  </si>
  <si>
    <t>MacLocks The Ledge - Adaptateur antivol pour Mac mini M4</t>
  </si>
  <si>
    <t>MacLocks The Ledge - Adaptateur antivol pour MacBook Pro 16" M1, M2, M3 et M4</t>
  </si>
  <si>
    <t>MacLocks The Ledge - Adaptateur antivol pour MacBook Pro 16" M1, M2, M3 et M4 + câble de sécurité à clef</t>
  </si>
  <si>
    <t>MacLocks The Ledge - Adaptateur antivol pour MacBook Pro 16" M1, M2, M3 et M4 + câble de sécurité à code</t>
  </si>
  <si>
    <t>Ergotron bras LX mono-écran, fixation bureau - Jusqu'à 34" ou 11,3 Kg - Noir</t>
  </si>
  <si>
    <t>Ergotron bras LX mono-écran, fixation bureau - Jusqu'à 34" ou 11,3 Kg - Blanc</t>
  </si>
  <si>
    <t>Ergotron bras LX mono-écran, fixation bureau, colonne haute - Jusqu'à 34" ou 11,3 Kg - Noir</t>
  </si>
  <si>
    <t>Ergotron bras LX mono-écran fixation, bureau, colonne haute - Jusqu'à 34" ou 11,3 Kg - Blanc</t>
  </si>
  <si>
    <t>Ergotron bras LX Dual Direct bi-écrans, fixation bureau - Jusqu'à 25" ou 10 Kg - Noir</t>
  </si>
  <si>
    <t>Ergotron bras LX Dual Direct bi-écrans, fixation bureau - Jusqu'à 25" ou 10 Kg - Blanc</t>
  </si>
  <si>
    <t>Ergotron bras LX bi-écrans juxtaposés, fixation bureau - Jusqu'à 27" ou 18,1 Kg - Noir</t>
  </si>
  <si>
    <t>Ergotron bras LX bi-écrans juxtaposés, fixation bureau - Jusqu'à 27" ou 18,1 Kg - Blanc</t>
  </si>
  <si>
    <t>Ergotron bras LX bi-écrans superposes, fixation bureau - Jusqu'à 24" ou 18,1 Kg - Blanc</t>
  </si>
  <si>
    <t>Ergotron bras LX bi-écrans superposés, fixation bureau, colonne haute - Jusqu'à 40" ou 20 Kg - Noir</t>
  </si>
  <si>
    <t>Ergotron bras LX bi-écrans superposés, fixation bureau, colonne haute - Jusqu'à 40" ou 20 Kg - Blanc</t>
  </si>
  <si>
    <t>Ergotron bras HX mono-écran, fixation bureau - Jusqu'à 49" ou 19,1 Kg - Noir</t>
  </si>
  <si>
    <t>Ergotron bras HX mono-écran, fixation bureau - Jusqu'à 49" ou 19,1 Kg - Blanc</t>
  </si>
  <si>
    <t>Ergotron bras HX bi-écrans, fixation bureau - Jusqu'à 32" ou 15,9 Kg - Noir</t>
  </si>
  <si>
    <t>Ergotron bras HX bi-écrans, fixation bureau - Jusqu'à 32" ou 15,9 Kg - Blanc</t>
  </si>
  <si>
    <t>Ergotron support pour moniteur TRACE™ - Jusqu'à 38" ou 9,8 Kg - Noir</t>
  </si>
  <si>
    <t>Ergotron support pour moniteur TRACE™ - Jusqu'à 38" ou 9,8 Kg - Blanc</t>
  </si>
  <si>
    <t>Ergotron support pour moniteur TRACE™ bi-écrans - Jusqu'à 27" ou 9,8 Kg - Noir</t>
  </si>
  <si>
    <t>Ergotron support pour moniteur TRACE™ bi-écrans - Jusqu'à 27" ou 9,8 Kg - Blanc</t>
  </si>
  <si>
    <t>Ergotron Bureau assis debout Work Fit TL à poser - Jusqu'à 18,1 Kg - Noir</t>
  </si>
  <si>
    <t>MacLocks The Ledge - Adaptateur antivol pour MacBook Pro 14" M1, M2, M3 et M4</t>
  </si>
  <si>
    <t>MacLocks The Ledge - Adaptateur antivol pour MacBook Pro 14" M1, M2, M3 et M4 + câble de sécurité à clef</t>
  </si>
  <si>
    <t>MacLocks The Ledge - Adaptateur antivol pour MacBook Pro 14" M1, M2, M3 et M4 + câble de sécurité à code</t>
  </si>
  <si>
    <t>MXKA3Z/A</t>
  </si>
  <si>
    <t>Onduleurs - Multiprises parafoudre</t>
  </si>
  <si>
    <t>Catégorie 4 - Fixes bureautiques - Configuration 3</t>
  </si>
  <si>
    <t>Apple TV 4K - Wi‑Fi - HDMI 2.1 - Bluetooth 5.0 - 64 Go</t>
  </si>
  <si>
    <t>Apple TV 4K - Wi‑Fi + Gigabit Ethernet - HDMI 2.1 - Bluetooth 5.0 - 128 Go</t>
  </si>
  <si>
    <t>Apple Siri Remote (3ème gén.) - Bluetooth 5.0 - USB-C - Pour Apple TV 4K et HD</t>
  </si>
  <si>
    <t>STKH500800</t>
  </si>
  <si>
    <t>STKH1000800</t>
  </si>
  <si>
    <t>STKH2000800</t>
  </si>
  <si>
    <t>Ergotron bras LX bi-écrans superposés, fixation bureau - Jusqu'à 24" ou 18,1 Kg - Aluminum et noir</t>
  </si>
  <si>
    <t>HS5113GL</t>
  </si>
  <si>
    <t>HS5115GL</t>
  </si>
  <si>
    <t>HS5214GL</t>
  </si>
  <si>
    <t>HS5216GL</t>
  </si>
  <si>
    <t>HyperShield Filtre de confidentialité magnétique pour MacBook Air 13" M2 et M3</t>
  </si>
  <si>
    <t>HyperShield Filtre de confidentialité magnétique pour MacBook Air 15" M2 et M3</t>
  </si>
  <si>
    <t>HyperShield Filtre de confidentialité magnétique pour MacBook Pro 14" M1, M2, M3 et M4</t>
  </si>
  <si>
    <t>HyperShield Filtre de confidentialité magnétique pour MacBook Pro 16" M1, M2, M3 et M4</t>
  </si>
  <si>
    <t>1-ZZOPSPENAO</t>
  </si>
  <si>
    <t>Cotation spécifique de frais de personnalisation de chariot Naotic</t>
  </si>
  <si>
    <t>MI5-MARQ-NUM-INT-1</t>
  </si>
  <si>
    <t>MI5-MARQ-LOGO-INT-1</t>
  </si>
  <si>
    <t>Marquage par impression UV d'une numérotation - Minium 20 pièces</t>
  </si>
  <si>
    <t>Marquage par impression UV d'un logo - Minium 20 pièces</t>
  </si>
  <si>
    <t>BBZ002fr-v3</t>
  </si>
  <si>
    <t>Belkin Étui-clavier Pro - Avec support magnétique - Bluetooth - Pour iPad 10,9" (10e gén.) - Noir - AZERTY</t>
  </si>
  <si>
    <t>MYH83Z/A</t>
  </si>
  <si>
    <t>Apple câble USB-A vers lightning - 0,5 m - Blanc</t>
  </si>
  <si>
    <t>MX763ZM/A</t>
  </si>
  <si>
    <t>MW2N3Z/A</t>
  </si>
  <si>
    <t>MW613ZM/A</t>
  </si>
  <si>
    <t>VG2709U-2K</t>
  </si>
  <si>
    <t>VP2776T-4K</t>
  </si>
  <si>
    <t>Viewsonic moniteur 27" - IPS - LED - 2560x1440 - 100Hz - 16:9 - 350 cd/m²- 1000:1 - 4 ms - 8 bits - 1xHDMI 2.0 - 1xDisplayPort 1.2 - 1xGigabit Ethernet - 2xUSB-A 3.2 - 1xUSB-C 3.2 98W - Noir</t>
  </si>
  <si>
    <t>Viewsonic moniteur 27" Color Pro avec sonde de calibration - IPS - LED - 3840x2160 - 60Hz - 16:9 - 400 cd/m²- 2000:1 - 5 ms - 10 bits - HDR400 - Delta E &lt;2 - Adobe RGB 99% - DCI-P3 98% - Rec. 709 100% - 2xHDMI 2.1 - 1xDisplayPort 1.4 - 1xGigabit Ethernet - 2xThunderbolt 4 100W - 3xUSB-A 3.2 - 1xUSB-C 3.2 - Noir</t>
  </si>
  <si>
    <t>STLP4000400</t>
  </si>
  <si>
    <t>STLR4000400</t>
  </si>
  <si>
    <t>F3Y017bt5M-BLK</t>
  </si>
  <si>
    <t>Le 10/01/2025</t>
  </si>
  <si>
    <t>Éco-contribution en € HT</t>
  </si>
  <si>
    <t>Actualisation de l'éco-contribution (D3E) à la suite du nouveau barème officiel du 01/01/2025</t>
  </si>
  <si>
    <t>TARIF N°14 VALIDÉ AU 22/01/2025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</si>
</sst>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 #,##0\ &quot;€&quot;_-;\-* #,##0\ &quot;€&quot;_-;_-* &quot;-&quot;\ &quot;€&quot;_-;_-@_-"/>
    <numFmt numFmtId="44" formatCode="_-* #,##0.00\ &quot;€&quot;_-;\-* #,##0.00\ &quot;€&quot;_-;_-* &quot;-&quot;??\ &quot;€&quot;_-;_-@_-"/>
    <numFmt numFmtId="43" formatCode="_-* #,##0.00_-;\-* #,##0.00_-;_-* &quot;-&quot;??_-;_-@_-"/>
    <numFmt numFmtId="164" formatCode="_-* #,##0\ _€_-;\-* #,##0\ _€_-;_-* &quot;-&quot;\ _€_-;_-@_-"/>
    <numFmt numFmtId="165" formatCode="_-* #,##0.00\ _€_-;\-* #,##0.00\ _€_-;_-* &quot;-&quot;??\ _€_-;_-@_-"/>
    <numFmt numFmtId="166" formatCode="#,##0.00&quot; F&quot;;[Red]\-#,##0.00&quot; F&quot;"/>
    <numFmt numFmtId="167" formatCode="#,##0.00\ &quot;€&quot;"/>
    <numFmt numFmtId="168" formatCode="0.0%"/>
    <numFmt numFmtId="169" formatCode="#,##0.00\ &quot;€&quot;;[Red]#,##0.00\ &quot;€&quot;"/>
    <numFmt numFmtId="170" formatCode="0.000%"/>
    <numFmt numFmtId="171" formatCode="_-* #,##0_-;\-* #,##0_-;_-* &quot;-&quot;??_-;_-@_-"/>
  </numFmts>
  <fonts count="123">
    <font>
      <sz val="10"/>
      <name val="Geneva"/>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b/>
      <sz val="10"/>
      <name val="Calibri"/>
      <family val="2"/>
      <scheme val="minor"/>
    </font>
    <font>
      <b/>
      <sz val="10"/>
      <color rgb="FFE1641E"/>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color rgb="FF2CAB42"/>
      <name val="Calibri"/>
      <family val="2"/>
      <scheme val="minor"/>
    </font>
    <font>
      <sz val="24"/>
      <color rgb="FF2CAB42"/>
      <name val="Calibri"/>
      <family val="2"/>
      <scheme val="minor"/>
    </font>
    <font>
      <b/>
      <sz val="10"/>
      <color rgb="FF2CAB42"/>
      <name val="Calibri"/>
      <family val="2"/>
      <scheme val="minor"/>
    </font>
    <font>
      <b/>
      <sz val="22"/>
      <color rgb="FF240058"/>
      <name val="Calibri Light"/>
      <family val="2"/>
    </font>
    <font>
      <sz val="10"/>
      <color theme="1"/>
      <name val="Calibri"/>
      <family val="2"/>
      <scheme val="minor"/>
    </font>
    <font>
      <sz val="8"/>
      <name val="Geneva"/>
      <family val="2"/>
    </font>
    <font>
      <b/>
      <sz val="10"/>
      <color theme="1"/>
      <name val="Calibri"/>
      <family val="2"/>
      <scheme val="minor"/>
    </font>
    <font>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color theme="3"/>
      <name val="Calibri"/>
      <family val="2"/>
      <scheme val="minor"/>
    </font>
    <font>
      <sz val="10"/>
      <color theme="3"/>
      <name val="Calibri"/>
      <family val="2"/>
      <scheme val="minor"/>
    </font>
    <font>
      <sz val="11"/>
      <color theme="1"/>
      <name val="Calibri"/>
      <family val="2"/>
      <scheme val="minor"/>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10"/>
      <color rgb="FFC00000"/>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sz val="16"/>
      <name val="Calibri"/>
      <family val="2"/>
      <scheme val="minor"/>
    </font>
    <font>
      <sz val="11"/>
      <name val="Calibri (Corps)"/>
    </font>
    <font>
      <sz val="16"/>
      <color rgb="FFFF0000"/>
      <name val="Calibri"/>
      <family val="2"/>
      <scheme val="minor"/>
    </font>
    <font>
      <sz val="16"/>
      <color rgb="FF2CAB42"/>
      <name val="Calibri"/>
      <family val="2"/>
      <scheme val="minor"/>
    </font>
    <font>
      <sz val="16"/>
      <color rgb="FFFFC000"/>
      <name val="Calibri"/>
      <family val="2"/>
      <scheme val="minor"/>
    </font>
    <font>
      <b/>
      <sz val="12"/>
      <color rgb="FFCA1230"/>
      <name val="Calibri"/>
      <family val="2"/>
      <scheme val="minor"/>
    </font>
    <font>
      <sz val="10"/>
      <color rgb="FFFFC000"/>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sz val="11"/>
      <name val="Calibri"/>
      <family val="2"/>
      <scheme val="minor"/>
    </font>
    <font>
      <b/>
      <sz val="11"/>
      <color rgb="FF2CAB42"/>
      <name val="Calibri"/>
      <family val="2"/>
      <scheme val="minor"/>
    </font>
    <font>
      <sz val="11"/>
      <color rgb="FF2CAB42"/>
      <name val="Calibri"/>
      <family val="2"/>
      <scheme val="minor"/>
    </font>
    <font>
      <b/>
      <sz val="11"/>
      <name val="Calibri"/>
      <family val="2"/>
      <scheme val="minor"/>
    </font>
    <font>
      <sz val="12"/>
      <color rgb="FF0432FF"/>
      <name val="Calibri"/>
      <family val="2"/>
      <scheme val="minor"/>
    </font>
    <font>
      <sz val="14"/>
      <color theme="1"/>
      <name val="Calibri"/>
      <family val="2"/>
      <scheme val="minor"/>
    </font>
    <font>
      <b/>
      <sz val="14"/>
      <color rgb="FFFF0000"/>
      <name val="Calibri"/>
      <family val="2"/>
      <scheme val="minor"/>
    </font>
    <font>
      <sz val="10"/>
      <color rgb="FF00B050"/>
      <name val="Calibri"/>
      <family val="2"/>
      <scheme val="minor"/>
    </font>
    <font>
      <b/>
      <sz val="14"/>
      <color theme="0"/>
      <name val="Calibri"/>
      <family val="2"/>
      <scheme val="minor"/>
    </font>
    <font>
      <b/>
      <sz val="14"/>
      <color rgb="FF2CAB42"/>
      <name val="Calibri"/>
      <family val="2"/>
      <scheme val="minor"/>
    </font>
    <font>
      <b/>
      <sz val="14"/>
      <color rgb="FF000000"/>
      <name val="Calibri"/>
      <family val="2"/>
      <scheme val="minor"/>
    </font>
    <font>
      <b/>
      <sz val="14"/>
      <color rgb="FFFFC000"/>
      <name val="Calibri"/>
      <family val="2"/>
      <scheme val="minor"/>
    </font>
    <font>
      <sz val="11"/>
      <color theme="0"/>
      <name val="Calibri"/>
      <family val="2"/>
      <scheme val="minor"/>
    </font>
    <font>
      <b/>
      <sz val="16"/>
      <color theme="0"/>
      <name val="Calibri"/>
      <family val="2"/>
      <scheme val="minor"/>
    </font>
    <font>
      <b/>
      <sz val="24"/>
      <color theme="0"/>
      <name val="Calibri"/>
      <family val="2"/>
      <scheme val="minor"/>
    </font>
    <font>
      <sz val="16"/>
      <color theme="0"/>
      <name val="Calibri"/>
      <family val="2"/>
      <scheme val="minor"/>
    </font>
    <font>
      <i/>
      <sz val="12"/>
      <color theme="0"/>
      <name val="Calibri"/>
      <family val="2"/>
      <scheme val="minor"/>
    </font>
    <font>
      <b/>
      <sz val="14"/>
      <color rgb="FF2CAB42"/>
      <name val="Calibri (Corps)"/>
    </font>
    <font>
      <sz val="16"/>
      <color rgb="FF2CAB42"/>
      <name val="Calibri (Corps)"/>
    </font>
    <font>
      <sz val="14"/>
      <color theme="0"/>
      <name val="Calibri"/>
      <family val="2"/>
      <scheme val="minor"/>
    </font>
    <font>
      <sz val="16"/>
      <color rgb="FFFFC000"/>
      <name val="Calibri (Corps)"/>
    </font>
    <font>
      <sz val="10"/>
      <color theme="1"/>
      <name val="Calibri (Corps)"/>
    </font>
    <font>
      <b/>
      <sz val="11"/>
      <color rgb="FF0432FF"/>
      <name val="Calibri"/>
      <family val="2"/>
      <scheme val="minor"/>
    </font>
    <font>
      <b/>
      <sz val="12"/>
      <name val="Geneva"/>
      <family val="2"/>
    </font>
    <font>
      <sz val="16"/>
      <color rgb="FF0432FF"/>
      <name val="Calibri (Corps)"/>
    </font>
    <font>
      <b/>
      <sz val="10"/>
      <color rgb="FF0432FF"/>
      <name val="Calibri"/>
      <family val="2"/>
      <scheme val="minor"/>
    </font>
    <font>
      <sz val="16"/>
      <color rgb="FF0432FF"/>
      <name val="Calibri"/>
      <family val="2"/>
      <scheme val="minor"/>
    </font>
    <font>
      <sz val="10"/>
      <color theme="1"/>
      <name val="Geneva"/>
      <family val="2"/>
    </font>
    <font>
      <b/>
      <sz val="10"/>
      <color theme="1"/>
      <name val="Calibri (Corps)"/>
    </font>
    <font>
      <b/>
      <sz val="14"/>
      <color theme="1"/>
      <name val="Calibri"/>
      <family val="2"/>
      <scheme val="minor"/>
    </font>
    <font>
      <b/>
      <sz val="12"/>
      <color rgb="FF4F81BD"/>
      <name val="Calibri"/>
      <family val="2"/>
      <scheme val="minor"/>
    </font>
    <font>
      <sz val="12"/>
      <color rgb="FF4F81BD"/>
      <name val="Calibri"/>
      <family val="2"/>
      <scheme val="minor"/>
    </font>
    <font>
      <sz val="10"/>
      <color rgb="FF0432FF"/>
      <name val="Calibri"/>
      <family val="2"/>
    </font>
    <font>
      <b/>
      <sz val="10"/>
      <color rgb="FF4F81BD"/>
      <name val="Calibri (Corps)"/>
    </font>
    <font>
      <sz val="10"/>
      <color rgb="FF4F81BD"/>
      <name val="Calibri (Corps)"/>
    </font>
    <font>
      <sz val="10"/>
      <color rgb="FF2CAB42"/>
      <name val="Calibri (Corps)"/>
    </font>
    <font>
      <b/>
      <sz val="10"/>
      <color rgb="FF2CAB42"/>
      <name val="Calibri (Corps)"/>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rgb="FF573EEF"/>
        <bgColor indexed="64"/>
      </patternFill>
    </fill>
    <fill>
      <patternFill patternType="solid">
        <fgColor rgb="FF573EEF"/>
        <bgColor rgb="FF000000"/>
      </patternFill>
    </fill>
    <fill>
      <patternFill patternType="solid">
        <fgColor rgb="FFFF0000"/>
        <bgColor indexed="64"/>
      </patternFill>
    </fill>
  </fills>
  <borders count="16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CD0911"/>
      </left>
      <right/>
      <top/>
      <bottom/>
      <diagonal/>
    </border>
    <border>
      <left style="thick">
        <color rgb="FFE30613"/>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right/>
      <top style="medium">
        <color theme="1"/>
      </top>
      <bottom style="medium">
        <color theme="1"/>
      </bottom>
      <diagonal/>
    </border>
    <border>
      <left style="thin">
        <color rgb="FF6A6363"/>
      </left>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right/>
      <top/>
      <bottom style="thin">
        <color theme="1"/>
      </bottom>
      <diagonal/>
    </border>
    <border>
      <left style="thin">
        <color auto="1"/>
      </left>
      <right style="thin">
        <color auto="1"/>
      </right>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
      <left style="thick">
        <color rgb="FFC00000"/>
      </left>
      <right style="thin">
        <color rgb="FF6A6363"/>
      </right>
      <top style="thin">
        <color rgb="FF6A6363"/>
      </top>
      <bottom/>
      <diagonal/>
    </border>
    <border>
      <left/>
      <right/>
      <top style="thin">
        <color rgb="FF6A6363"/>
      </top>
      <bottom/>
      <diagonal/>
    </border>
    <border>
      <left style="thin">
        <color rgb="FF6A6363"/>
      </left>
      <right/>
      <top/>
      <bottom style="thin">
        <color rgb="FF6A6363"/>
      </bottom>
      <diagonal/>
    </border>
    <border>
      <left style="thick">
        <color rgb="FFC00000"/>
      </left>
      <right/>
      <top/>
      <bottom style="thick">
        <color rgb="FFC00000"/>
      </bottom>
      <diagonal/>
    </border>
    <border>
      <left/>
      <right/>
      <top/>
      <bottom style="thick">
        <color rgb="FFC00000"/>
      </bottom>
      <diagonal/>
    </border>
    <border>
      <left style="thin">
        <color auto="1"/>
      </left>
      <right/>
      <top/>
      <bottom style="thick">
        <color rgb="FFC00000"/>
      </bottom>
      <diagonal/>
    </border>
    <border>
      <left style="thick">
        <color rgb="FFCD0911"/>
      </left>
      <right style="thin">
        <color auto="1"/>
      </right>
      <top style="thin">
        <color theme="0" tint="-0.14999847407452621"/>
      </top>
      <bottom/>
      <diagonal/>
    </border>
    <border>
      <left style="thin">
        <color auto="1"/>
      </left>
      <right style="thin">
        <color auto="1"/>
      </right>
      <top style="thin">
        <color theme="0" tint="-0.14999847407452621"/>
      </top>
      <bottom/>
      <diagonal/>
    </border>
    <border>
      <left style="thin">
        <color auto="1"/>
      </left>
      <right style="thin">
        <color theme="1"/>
      </right>
      <top style="thin">
        <color theme="0" tint="-0.14999847407452621"/>
      </top>
      <bottom/>
      <diagonal/>
    </border>
    <border>
      <left style="thin">
        <color theme="1"/>
      </left>
      <right style="thin">
        <color theme="1"/>
      </right>
      <top style="thin">
        <color theme="0" tint="-0.14999847407452621"/>
      </top>
      <bottom/>
      <diagonal/>
    </border>
    <border>
      <left style="thin">
        <color theme="1"/>
      </left>
      <right style="thin">
        <color indexed="64"/>
      </right>
      <top style="thin">
        <color theme="0" tint="-0.14999847407452621"/>
      </top>
      <bottom/>
      <diagonal/>
    </border>
    <border>
      <left style="thick">
        <color rgb="FFC00000"/>
      </left>
      <right style="thin">
        <color indexed="64"/>
      </right>
      <top/>
      <bottom style="thin">
        <color theme="0" tint="-0.249977111117893"/>
      </bottom>
      <diagonal/>
    </border>
    <border>
      <left/>
      <right/>
      <top/>
      <bottom style="medium">
        <color theme="1"/>
      </bottom>
      <diagonal/>
    </border>
    <border>
      <left style="thin">
        <color theme="1"/>
      </left>
      <right/>
      <top/>
      <bottom style="medium">
        <color theme="1"/>
      </bottom>
      <diagonal/>
    </border>
    <border>
      <left/>
      <right style="thin">
        <color theme="1"/>
      </right>
      <top/>
      <bottom/>
      <diagonal/>
    </border>
    <border>
      <left/>
      <right style="thin">
        <color theme="1"/>
      </right>
      <top/>
      <bottom style="medium">
        <color theme="1"/>
      </bottom>
      <diagonal/>
    </border>
    <border>
      <left style="thick">
        <color rgb="FFC00000"/>
      </left>
      <right style="thin">
        <color auto="1"/>
      </right>
      <top/>
      <bottom style="medium">
        <color theme="1"/>
      </bottom>
      <diagonal/>
    </border>
    <border>
      <left style="thick">
        <color rgb="FFC00000"/>
      </left>
      <right style="thin">
        <color theme="1"/>
      </right>
      <top/>
      <bottom style="medium">
        <color theme="1"/>
      </bottom>
      <diagonal/>
    </border>
    <border>
      <left style="thick">
        <color rgb="FFC00000"/>
      </left>
      <right style="thin">
        <color theme="1"/>
      </right>
      <top/>
      <bottom/>
      <diagonal/>
    </border>
    <border>
      <left style="thin">
        <color auto="1"/>
      </left>
      <right style="thin">
        <color auto="1"/>
      </right>
      <top/>
      <bottom style="medium">
        <color theme="1"/>
      </bottom>
      <diagonal/>
    </border>
    <border>
      <left/>
      <right style="thin">
        <color auto="1"/>
      </right>
      <top/>
      <bottom style="medium">
        <color theme="1"/>
      </bottom>
      <diagonal/>
    </border>
    <border>
      <left style="thin">
        <color auto="1"/>
      </left>
      <right style="thin">
        <color auto="1"/>
      </right>
      <top style="thin">
        <color theme="1"/>
      </top>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top style="thin">
        <color theme="1"/>
      </top>
      <bottom style="thin">
        <color theme="0" tint="-0.14999847407452621"/>
      </bottom>
      <diagonal/>
    </border>
    <border>
      <left style="thin">
        <color auto="1"/>
      </left>
      <right style="thin">
        <color auto="1"/>
      </right>
      <top/>
      <bottom style="thin">
        <color theme="0" tint="-0.14999847407452621"/>
      </bottom>
      <diagonal/>
    </border>
    <border>
      <left style="thin">
        <color theme="1"/>
      </left>
      <right style="thick">
        <color theme="1"/>
      </right>
      <top style="thin">
        <color theme="1"/>
      </top>
      <bottom style="thin">
        <color indexed="64"/>
      </bottom>
      <diagonal/>
    </border>
    <border>
      <left style="thin">
        <color auto="1"/>
      </left>
      <right style="thin">
        <color theme="1"/>
      </right>
      <top style="thin">
        <color rgb="FFDDDDDD"/>
      </top>
      <bottom/>
      <diagonal/>
    </border>
    <border>
      <left/>
      <right/>
      <top style="thin">
        <color theme="0" tint="-0.14999847407452621"/>
      </top>
      <bottom style="thin">
        <color theme="0" tint="-0.14999847407452621"/>
      </bottom>
      <diagonal/>
    </border>
    <border>
      <left style="thin">
        <color theme="1"/>
      </left>
      <right style="thick">
        <color theme="1"/>
      </right>
      <top/>
      <bottom style="thick">
        <color theme="1"/>
      </bottom>
      <diagonal/>
    </border>
    <border>
      <left style="thin">
        <color rgb="FF6A6363"/>
      </left>
      <right style="thin">
        <color auto="1"/>
      </right>
      <top style="thin">
        <color theme="1"/>
      </top>
      <bottom style="medium">
        <color theme="1"/>
      </bottom>
      <diagonal/>
    </border>
    <border>
      <left style="thick">
        <color rgb="FFC00000"/>
      </left>
      <right/>
      <top style="thin">
        <color theme="1"/>
      </top>
      <bottom style="thick">
        <color rgb="FFC00000"/>
      </bottom>
      <diagonal/>
    </border>
    <border>
      <left/>
      <right style="thin">
        <color auto="1"/>
      </right>
      <top style="thin">
        <color theme="1"/>
      </top>
      <bottom style="thick">
        <color rgb="FFC00000"/>
      </bottom>
      <diagonal/>
    </border>
    <border>
      <left style="thin">
        <color auto="1"/>
      </left>
      <right style="thin">
        <color theme="1"/>
      </right>
      <top/>
      <bottom style="thin">
        <color theme="1"/>
      </bottom>
      <diagonal/>
    </border>
    <border>
      <left/>
      <right style="thin">
        <color auto="1"/>
      </right>
      <top/>
      <bottom style="thin">
        <color theme="1"/>
      </bottom>
      <diagonal/>
    </border>
    <border>
      <left style="thin">
        <color theme="1"/>
      </left>
      <right/>
      <top/>
      <bottom style="thin">
        <color theme="1"/>
      </bottom>
      <diagonal/>
    </border>
    <border>
      <left style="thick">
        <color rgb="FFC00000"/>
      </left>
      <right/>
      <top/>
      <bottom style="thin">
        <color theme="1"/>
      </bottom>
      <diagonal/>
    </border>
    <border>
      <left style="thin">
        <color auto="1"/>
      </left>
      <right style="thin">
        <color auto="1"/>
      </right>
      <top style="thin">
        <color theme="1"/>
      </top>
      <bottom style="thin">
        <color auto="1"/>
      </bottom>
      <diagonal/>
    </border>
    <border>
      <left style="thick">
        <color rgb="FFC00000"/>
      </left>
      <right style="thin">
        <color theme="1"/>
      </right>
      <top style="medium">
        <color theme="1"/>
      </top>
      <bottom/>
      <diagonal/>
    </border>
    <border>
      <left style="thin">
        <color theme="1"/>
      </left>
      <right style="thin">
        <color auto="1"/>
      </right>
      <top/>
      <bottom style="thick">
        <color rgb="FFC00000"/>
      </bottom>
      <diagonal/>
    </border>
    <border>
      <left style="thick">
        <color rgb="FFD90A12"/>
      </left>
      <right style="thin">
        <color rgb="FF6A6363"/>
      </right>
      <top/>
      <bottom/>
      <diagonal/>
    </border>
    <border>
      <left style="thin">
        <color auto="1"/>
      </left>
      <right/>
      <top style="thin">
        <color theme="1"/>
      </top>
      <bottom/>
      <diagonal/>
    </border>
    <border>
      <left style="thin">
        <color auto="1"/>
      </left>
      <right/>
      <top style="thin">
        <color theme="0" tint="-0.14999847407452621"/>
      </top>
      <bottom/>
      <diagonal/>
    </border>
    <border>
      <left style="thick">
        <color rgb="FFC00000"/>
      </left>
      <right style="thin">
        <color auto="1"/>
      </right>
      <top style="thin">
        <color auto="1"/>
      </top>
      <bottom style="thin">
        <color auto="1"/>
      </bottom>
      <diagonal/>
    </border>
    <border>
      <left style="thin">
        <color auto="1"/>
      </left>
      <right style="thin">
        <color auto="1"/>
      </right>
      <top/>
      <bottom style="thick">
        <color rgb="FFC00000"/>
      </bottom>
      <diagonal/>
    </border>
    <border>
      <left style="thin">
        <color theme="1"/>
      </left>
      <right/>
      <top/>
      <bottom style="thick">
        <color rgb="FFC00000"/>
      </bottom>
      <diagonal/>
    </border>
    <border>
      <left/>
      <right style="thin">
        <color auto="1"/>
      </right>
      <top/>
      <bottom style="thick">
        <color rgb="FFC00000"/>
      </bottom>
      <diagonal/>
    </border>
    <border>
      <left style="thick">
        <color rgb="FFE30613"/>
      </left>
      <right/>
      <top style="thin">
        <color theme="1"/>
      </top>
      <bottom style="thin">
        <color theme="1"/>
      </bottom>
      <diagonal/>
    </border>
    <border>
      <left style="thick">
        <color rgb="FFC00000"/>
      </left>
      <right style="thin">
        <color theme="1"/>
      </right>
      <top/>
      <bottom style="thick">
        <color rgb="FFC00000"/>
      </bottom>
      <diagonal/>
    </border>
    <border>
      <left style="thin">
        <color rgb="FF6A6363"/>
      </left>
      <right/>
      <top/>
      <bottom style="thick">
        <color rgb="FFC00000"/>
      </bottom>
      <diagonal/>
    </border>
    <border>
      <left style="thin">
        <color theme="1"/>
      </left>
      <right style="thin">
        <color theme="1"/>
      </right>
      <top style="thin">
        <color theme="0" tint="-0.14999847407452621"/>
      </top>
      <bottom style="thick">
        <color rgb="FFC00000"/>
      </bottom>
      <diagonal/>
    </border>
    <border>
      <left style="thick">
        <color rgb="FFC00000"/>
      </left>
      <right style="thin">
        <color theme="1"/>
      </right>
      <top style="thin">
        <color theme="1"/>
      </top>
      <bottom style="thin">
        <color theme="1"/>
      </bottom>
      <diagonal/>
    </border>
    <border>
      <left style="thick">
        <color rgb="FFC00000"/>
      </left>
      <right style="thin">
        <color indexed="64"/>
      </right>
      <top/>
      <bottom style="thin">
        <color indexed="64"/>
      </bottom>
      <diagonal/>
    </border>
    <border>
      <left style="thin">
        <color theme="1"/>
      </left>
      <right style="thick">
        <color theme="1"/>
      </right>
      <top style="thick">
        <color indexed="64"/>
      </top>
      <bottom/>
      <diagonal/>
    </border>
    <border>
      <left style="thin">
        <color theme="1"/>
      </left>
      <right style="thick">
        <color theme="1"/>
      </right>
      <top style="thick">
        <color theme="1"/>
      </top>
      <bottom style="thick">
        <color theme="1"/>
      </bottom>
      <diagonal/>
    </border>
    <border>
      <left style="thin">
        <color theme="1"/>
      </left>
      <right style="thick">
        <color theme="1"/>
      </right>
      <top/>
      <bottom style="thin">
        <color indexed="64"/>
      </bottom>
      <diagonal/>
    </border>
    <border>
      <left style="thin">
        <color theme="1"/>
      </left>
      <right style="thick">
        <color theme="1"/>
      </right>
      <top style="thin">
        <color indexed="64"/>
      </top>
      <bottom style="thick">
        <color theme="1"/>
      </bottom>
      <diagonal/>
    </border>
    <border>
      <left style="thin">
        <color auto="1"/>
      </left>
      <right/>
      <top style="thin">
        <color theme="1"/>
      </top>
      <bottom style="thick">
        <color rgb="FFC00000"/>
      </bottom>
      <diagonal/>
    </border>
    <border>
      <left/>
      <right/>
      <top style="thin">
        <color theme="1"/>
      </top>
      <bottom style="thick">
        <color rgb="FFC00000"/>
      </bottom>
      <diagonal/>
    </border>
    <border>
      <left style="thin">
        <color auto="1"/>
      </left>
      <right style="thick">
        <color rgb="FFC00000"/>
      </right>
      <top style="thin">
        <color rgb="FF6A6363"/>
      </top>
      <bottom/>
      <diagonal/>
    </border>
    <border>
      <left style="thin">
        <color theme="1"/>
      </left>
      <right style="thick">
        <color rgb="FFC00000"/>
      </right>
      <top/>
      <bottom/>
      <diagonal/>
    </border>
    <border>
      <left style="thin">
        <color auto="1"/>
      </left>
      <right style="thick">
        <color rgb="FFC00000"/>
      </right>
      <top/>
      <bottom style="thick">
        <color rgb="FFC00000"/>
      </bottom>
      <diagonal/>
    </border>
    <border>
      <left style="thick">
        <color rgb="FFCD0911"/>
      </left>
      <right/>
      <top/>
      <bottom style="thick">
        <color rgb="FFC00000"/>
      </bottom>
      <diagonal/>
    </border>
    <border>
      <left style="thin">
        <color auto="1"/>
      </left>
      <right style="thick">
        <color rgb="FFC00000"/>
      </right>
      <top style="thin">
        <color theme="1"/>
      </top>
      <bottom style="thin">
        <color theme="1"/>
      </bottom>
      <diagonal/>
    </border>
    <border>
      <left style="thin">
        <color theme="1"/>
      </left>
      <right style="thick">
        <color rgb="FFC00000"/>
      </right>
      <top style="thin">
        <color theme="1"/>
      </top>
      <bottom style="thin">
        <color theme="1"/>
      </bottom>
      <diagonal/>
    </border>
    <border>
      <left/>
      <right/>
      <top style="thick">
        <color rgb="FFC00000"/>
      </top>
      <bottom/>
      <diagonal/>
    </border>
    <border>
      <left style="thin">
        <color theme="1"/>
      </left>
      <right style="thick">
        <color rgb="FFC00000"/>
      </right>
      <top/>
      <bottom style="thick">
        <color rgb="FFC00000"/>
      </bottom>
      <diagonal/>
    </border>
  </borders>
  <cellStyleXfs count="24617">
    <xf numFmtId="0" fontId="0" fillId="0" borderId="0"/>
    <xf numFmtId="166" fontId="5" fillId="0" borderId="0" applyFont="0" applyFill="0" applyBorder="0" applyAlignment="0" applyProtection="0"/>
    <xf numFmtId="9" fontId="5"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42" fontId="5" fillId="0" borderId="0" applyFont="0" applyFill="0" applyBorder="0" applyAlignment="0" applyProtection="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5"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3" fillId="32" borderId="0" applyNumberFormat="0" applyBorder="0" applyAlignment="0" applyProtection="0"/>
    <xf numFmtId="0" fontId="30" fillId="0" borderId="15">
      <alignment horizontal="left" indent="5"/>
    </xf>
    <xf numFmtId="0" fontId="26"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7" fillId="0" borderId="0" applyNumberFormat="0" applyFill="0" applyBorder="0" applyAlignment="0" applyProtection="0"/>
    <xf numFmtId="0" fontId="27" fillId="0" borderId="0">
      <alignment horizontal="center"/>
    </xf>
    <xf numFmtId="9" fontId="31" fillId="0" borderId="0">
      <alignment horizontal="center"/>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28" fillId="0" borderId="14">
      <alignment horizontal="left" indent="5"/>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29" fillId="0" borderId="0">
      <alignment horizontal="left"/>
    </xf>
    <xf numFmtId="10" fontId="33" fillId="0" borderId="0">
      <alignment horizontal="center"/>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34" fillId="0" borderId="16">
      <alignment horizontal="left" indent="7"/>
    </xf>
    <xf numFmtId="0" fontId="32" fillId="0" borderId="0">
      <alignment horizontal="left" indent="1"/>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35" fillId="0" borderId="16">
      <alignment horizontal="left" indent="9"/>
    </xf>
    <xf numFmtId="0" fontId="36" fillId="0" borderId="0">
      <alignment horizontal="left" indent="2"/>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42"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167" fontId="6" fillId="0" borderId="0" applyNumberFormat="0" applyFill="0" applyBorder="0" applyAlignment="0" applyProtection="0"/>
    <xf numFmtId="167" fontId="7" fillId="0" borderId="0" applyNumberFormat="0" applyFill="0" applyBorder="0" applyAlignment="0" applyProtection="0"/>
    <xf numFmtId="9" fontId="65" fillId="0" borderId="0" applyFont="0" applyFill="0" applyBorder="0" applyAlignment="0" applyProtection="0"/>
    <xf numFmtId="43" fontId="65" fillId="0" borderId="0" applyFont="0" applyFill="0" applyBorder="0" applyAlignment="0" applyProtection="0"/>
    <xf numFmtId="0" fontId="5" fillId="0" borderId="0"/>
    <xf numFmtId="44" fontId="1" fillId="0" borderId="0" applyFont="0" applyFill="0" applyBorder="0" applyAlignment="0" applyProtection="0"/>
  </cellStyleXfs>
  <cellXfs count="846">
    <xf numFmtId="0" fontId="0" fillId="0" borderId="0" xfId="0"/>
    <xf numFmtId="167" fontId="39" fillId="0" borderId="0" xfId="0" applyNumberFormat="1" applyFont="1"/>
    <xf numFmtId="0" fontId="38" fillId="0" borderId="15" xfId="49" applyFont="1" applyAlignment="1">
      <alignment horizontal="left" vertical="center" indent="5"/>
    </xf>
    <xf numFmtId="167" fontId="40" fillId="0" borderId="0" xfId="0" applyNumberFormat="1" applyFont="1" applyAlignment="1">
      <alignment horizontal="center"/>
    </xf>
    <xf numFmtId="9" fontId="37" fillId="0" borderId="0" xfId="1154" applyFont="1">
      <alignment horizontal="center"/>
    </xf>
    <xf numFmtId="167" fontId="40" fillId="0" borderId="0" xfId="0" applyNumberFormat="1" applyFont="1" applyAlignment="1">
      <alignment horizontal="center" vertical="center"/>
    </xf>
    <xf numFmtId="0" fontId="40" fillId="0" borderId="0" xfId="50" applyFont="1">
      <alignment horizontal="center"/>
    </xf>
    <xf numFmtId="9" fontId="31" fillId="0" borderId="0" xfId="1154">
      <alignment horizontal="center"/>
    </xf>
    <xf numFmtId="0" fontId="28" fillId="0" borderId="14" xfId="3656">
      <alignment horizontal="left" indent="5"/>
    </xf>
    <xf numFmtId="0" fontId="43" fillId="33" borderId="18" xfId="0" applyFont="1" applyFill="1" applyBorder="1" applyAlignment="1">
      <alignment horizontal="center"/>
    </xf>
    <xf numFmtId="167" fontId="44" fillId="0" borderId="0" xfId="0" applyNumberFormat="1" applyFont="1"/>
    <xf numFmtId="0" fontId="43" fillId="0" borderId="18" xfId="0" applyFont="1" applyBorder="1" applyAlignment="1">
      <alignment horizontal="center"/>
    </xf>
    <xf numFmtId="2" fontId="39" fillId="0" borderId="13" xfId="0" applyNumberFormat="1" applyFont="1" applyBorder="1" applyAlignment="1">
      <alignment horizontal="center" vertical="top"/>
    </xf>
    <xf numFmtId="167" fontId="39" fillId="0" borderId="13" xfId="0" applyNumberFormat="1" applyFont="1" applyBorder="1" applyAlignment="1">
      <alignment horizontal="center" vertical="top"/>
    </xf>
    <xf numFmtId="167" fontId="39" fillId="0" borderId="0" xfId="0" applyNumberFormat="1" applyFont="1" applyAlignment="1">
      <alignment vertical="top"/>
    </xf>
    <xf numFmtId="0" fontId="55" fillId="0" borderId="16" xfId="3656" applyFont="1" applyBorder="1" applyAlignment="1">
      <alignment horizontal="left" vertical="top"/>
    </xf>
    <xf numFmtId="0" fontId="41" fillId="0" borderId="14" xfId="3656" applyFont="1" applyAlignment="1">
      <alignment horizontal="left" vertical="top" indent="1"/>
    </xf>
    <xf numFmtId="0" fontId="28" fillId="0" borderId="0" xfId="3656" applyBorder="1">
      <alignment horizontal="left" indent="5"/>
    </xf>
    <xf numFmtId="9" fontId="39" fillId="0" borderId="20" xfId="0" applyNumberFormat="1" applyFont="1" applyBorder="1" applyAlignment="1">
      <alignment horizontal="center"/>
    </xf>
    <xf numFmtId="167" fontId="39" fillId="0" borderId="13" xfId="0" applyNumberFormat="1" applyFont="1" applyBorder="1"/>
    <xf numFmtId="167" fontId="39" fillId="0" borderId="20" xfId="0" applyNumberFormat="1" applyFont="1" applyBorder="1"/>
    <xf numFmtId="0" fontId="39" fillId="0" borderId="13" xfId="0" applyFont="1" applyBorder="1" applyAlignment="1">
      <alignment horizontal="center"/>
    </xf>
    <xf numFmtId="167" fontId="39" fillId="0" borderId="20" xfId="0" applyNumberFormat="1" applyFont="1" applyBorder="1" applyAlignment="1">
      <alignment horizontal="center" vertical="top"/>
    </xf>
    <xf numFmtId="168" fontId="39" fillId="0" borderId="20" xfId="0" applyNumberFormat="1" applyFont="1" applyBorder="1"/>
    <xf numFmtId="168" fontId="39" fillId="0" borderId="23" xfId="0" applyNumberFormat="1" applyFont="1" applyBorder="1"/>
    <xf numFmtId="167" fontId="52" fillId="0" borderId="13" xfId="0" applyNumberFormat="1" applyFont="1" applyBorder="1" applyAlignment="1">
      <alignment horizontal="center"/>
    </xf>
    <xf numFmtId="10" fontId="31" fillId="0" borderId="0" xfId="1154" applyNumberFormat="1">
      <alignment horizontal="center"/>
    </xf>
    <xf numFmtId="167" fontId="39" fillId="0" borderId="0" xfId="0" applyNumberFormat="1" applyFont="1" applyAlignment="1">
      <alignment horizontal="center"/>
    </xf>
    <xf numFmtId="167" fontId="39" fillId="0" borderId="13" xfId="0" applyNumberFormat="1" applyFont="1" applyBorder="1" applyAlignment="1">
      <alignment horizontal="center"/>
    </xf>
    <xf numFmtId="10" fontId="37" fillId="0" borderId="0" xfId="1154" applyNumberFormat="1" applyFont="1">
      <alignment horizontal="center"/>
    </xf>
    <xf numFmtId="167" fontId="39" fillId="0" borderId="20" xfId="0" applyNumberFormat="1" applyFont="1" applyBorder="1" applyAlignment="1">
      <alignment horizontal="center" vertical="center"/>
    </xf>
    <xf numFmtId="167" fontId="39" fillId="0" borderId="0" xfId="0" applyNumberFormat="1" applyFont="1" applyAlignment="1">
      <alignment horizontal="center" vertical="center"/>
    </xf>
    <xf numFmtId="167" fontId="39" fillId="0" borderId="13" xfId="0" applyNumberFormat="1" applyFont="1" applyBorder="1" applyAlignment="1">
      <alignment horizontal="center" vertical="center"/>
    </xf>
    <xf numFmtId="167" fontId="44" fillId="0" borderId="13" xfId="0" applyNumberFormat="1" applyFont="1" applyBorder="1" applyAlignment="1">
      <alignment horizontal="center"/>
    </xf>
    <xf numFmtId="167" fontId="45" fillId="0" borderId="20" xfId="0" applyNumberFormat="1" applyFont="1" applyBorder="1" applyAlignment="1">
      <alignment horizontal="center"/>
    </xf>
    <xf numFmtId="9" fontId="39" fillId="0" borderId="20" xfId="0" applyNumberFormat="1" applyFont="1" applyBorder="1" applyAlignment="1">
      <alignment horizontal="center" vertical="center"/>
    </xf>
    <xf numFmtId="0" fontId="40" fillId="40" borderId="0" xfId="50" applyFont="1" applyFill="1">
      <alignment horizontal="center"/>
    </xf>
    <xf numFmtId="167" fontId="40" fillId="41" borderId="0" xfId="0" applyNumberFormat="1" applyFont="1" applyFill="1" applyAlignment="1">
      <alignment horizontal="center"/>
    </xf>
    <xf numFmtId="0" fontId="40" fillId="42" borderId="0" xfId="50" applyFont="1" applyFill="1">
      <alignment horizontal="center"/>
    </xf>
    <xf numFmtId="0" fontId="40" fillId="43" borderId="0" xfId="50" applyFont="1" applyFill="1">
      <alignment horizontal="center"/>
    </xf>
    <xf numFmtId="0" fontId="40" fillId="37" borderId="0" xfId="50" applyFont="1" applyFill="1">
      <alignment horizontal="center"/>
    </xf>
    <xf numFmtId="167" fontId="40" fillId="38" borderId="0" xfId="0" applyNumberFormat="1" applyFont="1" applyFill="1" applyAlignment="1">
      <alignment horizontal="center"/>
    </xf>
    <xf numFmtId="167" fontId="40" fillId="34" borderId="0" xfId="0" applyNumberFormat="1" applyFont="1" applyFill="1" applyAlignment="1">
      <alignment horizontal="center"/>
    </xf>
    <xf numFmtId="0" fontId="40" fillId="36" borderId="0" xfId="50" applyFont="1" applyFill="1">
      <alignment horizontal="center"/>
    </xf>
    <xf numFmtId="0" fontId="40" fillId="44" borderId="0" xfId="50" applyFont="1" applyFill="1">
      <alignment horizontal="center"/>
    </xf>
    <xf numFmtId="0" fontId="40" fillId="35" borderId="0" xfId="50" applyFont="1" applyFill="1">
      <alignment horizontal="center"/>
    </xf>
    <xf numFmtId="0" fontId="40" fillId="39" borderId="0" xfId="50" applyFont="1" applyFill="1">
      <alignment horizontal="center"/>
    </xf>
    <xf numFmtId="0" fontId="40" fillId="45" borderId="0" xfId="50" applyFont="1" applyFill="1">
      <alignment horizontal="center"/>
    </xf>
    <xf numFmtId="167" fontId="40" fillId="46" borderId="0" xfId="0" applyNumberFormat="1" applyFont="1" applyFill="1" applyAlignment="1">
      <alignment horizontal="center"/>
    </xf>
    <xf numFmtId="167" fontId="60" fillId="0" borderId="10" xfId="0" applyNumberFormat="1" applyFont="1" applyBorder="1" applyAlignment="1">
      <alignment horizontal="left"/>
    </xf>
    <xf numFmtId="0" fontId="60" fillId="0" borderId="13" xfId="0" applyFont="1" applyBorder="1" applyAlignment="1">
      <alignment horizontal="center"/>
    </xf>
    <xf numFmtId="167" fontId="60" fillId="0" borderId="20" xfId="0" applyNumberFormat="1" applyFont="1" applyBorder="1" applyAlignment="1">
      <alignment horizontal="center"/>
    </xf>
    <xf numFmtId="167" fontId="47" fillId="0" borderId="13" xfId="0" applyNumberFormat="1" applyFont="1" applyBorder="1" applyAlignment="1">
      <alignment horizontal="center" vertical="top"/>
    </xf>
    <xf numFmtId="167" fontId="47" fillId="0" borderId="10" xfId="0" applyNumberFormat="1" applyFont="1" applyBorder="1" applyAlignment="1">
      <alignment horizontal="left"/>
    </xf>
    <xf numFmtId="0" fontId="47" fillId="0" borderId="13" xfId="0" applyFont="1" applyBorder="1" applyAlignment="1">
      <alignment horizontal="center"/>
    </xf>
    <xf numFmtId="9" fontId="47" fillId="0" borderId="20" xfId="0" applyNumberFormat="1" applyFont="1" applyBorder="1" applyAlignment="1">
      <alignment horizontal="center"/>
    </xf>
    <xf numFmtId="167" fontId="60" fillId="0" borderId="0" xfId="0" applyNumberFormat="1" applyFont="1" applyAlignment="1">
      <alignment horizontal="center"/>
    </xf>
    <xf numFmtId="167" fontId="60" fillId="0" borderId="13" xfId="0" applyNumberFormat="1" applyFont="1" applyBorder="1" applyAlignment="1">
      <alignment horizontal="center"/>
    </xf>
    <xf numFmtId="167" fontId="60" fillId="0" borderId="13" xfId="0" applyNumberFormat="1" applyFont="1" applyBorder="1" applyAlignment="1">
      <alignment horizontal="center" vertical="top"/>
    </xf>
    <xf numFmtId="167" fontId="52" fillId="0" borderId="20" xfId="0" applyNumberFormat="1" applyFont="1" applyBorder="1" applyAlignment="1">
      <alignment horizontal="center" vertical="top"/>
    </xf>
    <xf numFmtId="167" fontId="60" fillId="0" borderId="10" xfId="0" applyNumberFormat="1" applyFont="1" applyBorder="1" applyAlignment="1">
      <alignment horizontal="center"/>
    </xf>
    <xf numFmtId="10" fontId="60" fillId="0" borderId="20" xfId="0" applyNumberFormat="1" applyFont="1" applyBorder="1" applyAlignment="1">
      <alignment horizontal="center"/>
    </xf>
    <xf numFmtId="167" fontId="56" fillId="0" borderId="20" xfId="0" applyNumberFormat="1" applyFont="1" applyBorder="1" applyAlignment="1">
      <alignment horizontal="center"/>
    </xf>
    <xf numFmtId="167" fontId="58" fillId="0" borderId="20" xfId="0" applyNumberFormat="1" applyFont="1" applyBorder="1" applyAlignment="1">
      <alignment horizontal="center" vertical="top"/>
    </xf>
    <xf numFmtId="167" fontId="39" fillId="0" borderId="10" xfId="0" applyNumberFormat="1" applyFont="1" applyBorder="1" applyAlignment="1">
      <alignment horizontal="left"/>
    </xf>
    <xf numFmtId="167" fontId="60" fillId="0" borderId="20" xfId="0" applyNumberFormat="1" applyFont="1" applyBorder="1" applyAlignment="1">
      <alignment horizontal="center" vertical="top"/>
    </xf>
    <xf numFmtId="167" fontId="47" fillId="0" borderId="20" xfId="0" applyNumberFormat="1" applyFont="1" applyBorder="1" applyAlignment="1">
      <alignment horizontal="center"/>
    </xf>
    <xf numFmtId="167" fontId="47" fillId="0" borderId="20" xfId="0" applyNumberFormat="1" applyFont="1" applyBorder="1" applyAlignment="1">
      <alignment horizontal="center" vertical="top"/>
    </xf>
    <xf numFmtId="167" fontId="52" fillId="0" borderId="13" xfId="0" applyNumberFormat="1" applyFont="1" applyBorder="1" applyAlignment="1">
      <alignment horizontal="center" vertical="top"/>
    </xf>
    <xf numFmtId="167" fontId="47" fillId="0" borderId="0" xfId="0" applyNumberFormat="1" applyFont="1" applyAlignment="1">
      <alignment horizontal="center"/>
    </xf>
    <xf numFmtId="167" fontId="39" fillId="0" borderId="0" xfId="0" applyNumberFormat="1" applyFont="1" applyAlignment="1">
      <alignment vertical="center"/>
    </xf>
    <xf numFmtId="167" fontId="63" fillId="0" borderId="13" xfId="0" applyNumberFormat="1" applyFont="1" applyBorder="1" applyAlignment="1">
      <alignment horizontal="center" vertical="top"/>
    </xf>
    <xf numFmtId="167" fontId="64" fillId="0" borderId="0" xfId="0" applyNumberFormat="1" applyFont="1"/>
    <xf numFmtId="9" fontId="37" fillId="0" borderId="31" xfId="1154" applyFont="1" applyBorder="1">
      <alignment horizontal="center"/>
    </xf>
    <xf numFmtId="167" fontId="39" fillId="0" borderId="31" xfId="0" applyNumberFormat="1" applyFont="1" applyBorder="1"/>
    <xf numFmtId="1" fontId="47" fillId="0" borderId="13" xfId="0" applyNumberFormat="1" applyFont="1" applyBorder="1" applyAlignment="1">
      <alignment horizontal="center"/>
    </xf>
    <xf numFmtId="167" fontId="39" fillId="0" borderId="23" xfId="0" applyNumberFormat="1" applyFont="1" applyBorder="1"/>
    <xf numFmtId="167" fontId="46" fillId="0" borderId="21" xfId="0" applyNumberFormat="1" applyFont="1" applyBorder="1"/>
    <xf numFmtId="167" fontId="52" fillId="0" borderId="21" xfId="0" applyNumberFormat="1" applyFont="1" applyBorder="1" applyAlignment="1">
      <alignment horizontal="center"/>
    </xf>
    <xf numFmtId="167" fontId="56" fillId="0" borderId="20" xfId="0" applyNumberFormat="1" applyFont="1" applyBorder="1" applyAlignment="1">
      <alignment horizontal="center" vertical="top"/>
    </xf>
    <xf numFmtId="0" fontId="39" fillId="0" borderId="0" xfId="0" applyFont="1"/>
    <xf numFmtId="167" fontId="56" fillId="0" borderId="20" xfId="0" applyNumberFormat="1" applyFont="1" applyBorder="1"/>
    <xf numFmtId="0" fontId="58" fillId="0" borderId="13" xfId="0" applyFont="1" applyBorder="1" applyAlignment="1">
      <alignment horizontal="center"/>
    </xf>
    <xf numFmtId="2" fontId="56" fillId="0" borderId="13" xfId="0" applyNumberFormat="1" applyFont="1" applyBorder="1" applyAlignment="1">
      <alignment horizontal="center" vertical="top"/>
    </xf>
    <xf numFmtId="167" fontId="47" fillId="0" borderId="0" xfId="0" applyNumberFormat="1" applyFont="1"/>
    <xf numFmtId="167" fontId="39" fillId="0" borderId="0" xfId="0" applyNumberFormat="1" applyFont="1" applyAlignment="1">
      <alignment vertical="center" wrapText="1"/>
    </xf>
    <xf numFmtId="167" fontId="56" fillId="0" borderId="13" xfId="0" applyNumberFormat="1" applyFont="1" applyBorder="1"/>
    <xf numFmtId="167" fontId="56" fillId="0" borderId="0" xfId="0" applyNumberFormat="1" applyFont="1"/>
    <xf numFmtId="167" fontId="51" fillId="0" borderId="0" xfId="0" applyNumberFormat="1" applyFont="1"/>
    <xf numFmtId="0" fontId="39" fillId="0" borderId="13" xfId="0" applyFont="1" applyBorder="1" applyAlignment="1">
      <alignment horizontal="center" vertical="center"/>
    </xf>
    <xf numFmtId="167" fontId="47" fillId="0" borderId="13" xfId="0" applyNumberFormat="1" applyFont="1" applyBorder="1" applyAlignment="1">
      <alignment horizontal="center" vertical="center"/>
    </xf>
    <xf numFmtId="167" fontId="56" fillId="0" borderId="20" xfId="0" applyNumberFormat="1" applyFont="1" applyBorder="1" applyAlignment="1">
      <alignment horizontal="center" vertical="center"/>
    </xf>
    <xf numFmtId="167" fontId="61" fillId="0" borderId="0" xfId="0" applyNumberFormat="1" applyFont="1"/>
    <xf numFmtId="167" fontId="52" fillId="0" borderId="0" xfId="0" applyNumberFormat="1" applyFont="1"/>
    <xf numFmtId="167" fontId="47" fillId="0" borderId="13" xfId="0" applyNumberFormat="1" applyFont="1" applyBorder="1" applyAlignment="1">
      <alignment horizontal="center"/>
    </xf>
    <xf numFmtId="167" fontId="58" fillId="0" borderId="10" xfId="0" applyNumberFormat="1" applyFont="1" applyBorder="1" applyAlignment="1">
      <alignment horizontal="left"/>
    </xf>
    <xf numFmtId="167" fontId="58" fillId="0" borderId="0" xfId="0" applyNumberFormat="1" applyFont="1" applyAlignment="1">
      <alignment horizontal="center"/>
    </xf>
    <xf numFmtId="167" fontId="58" fillId="0" borderId="20" xfId="0" applyNumberFormat="1" applyFont="1" applyBorder="1" applyAlignment="1">
      <alignment horizontal="center"/>
    </xf>
    <xf numFmtId="10" fontId="58" fillId="0" borderId="20" xfId="0" applyNumberFormat="1" applyFont="1" applyBorder="1" applyAlignment="1">
      <alignment horizontal="center"/>
    </xf>
    <xf numFmtId="167" fontId="52" fillId="0" borderId="13" xfId="0" applyNumberFormat="1" applyFont="1" applyBorder="1"/>
    <xf numFmtId="2" fontId="56" fillId="0" borderId="12" xfId="0" applyNumberFormat="1" applyFont="1" applyBorder="1" applyAlignment="1">
      <alignment horizontal="center" vertical="top"/>
    </xf>
    <xf numFmtId="167" fontId="52" fillId="0" borderId="13" xfId="0" applyNumberFormat="1" applyFont="1" applyBorder="1" applyAlignment="1">
      <alignment horizontal="center" vertical="center"/>
    </xf>
    <xf numFmtId="0" fontId="5" fillId="0" borderId="0" xfId="24615"/>
    <xf numFmtId="167" fontId="39" fillId="0" borderId="0" xfId="24615" applyNumberFormat="1" applyFont="1"/>
    <xf numFmtId="167" fontId="39" fillId="0" borderId="13" xfId="24615" applyNumberFormat="1" applyFont="1" applyBorder="1" applyAlignment="1">
      <alignment horizontal="center"/>
    </xf>
    <xf numFmtId="167" fontId="39" fillId="0" borderId="13" xfId="24615" applyNumberFormat="1" applyFont="1" applyBorder="1"/>
    <xf numFmtId="167" fontId="39" fillId="0" borderId="20" xfId="24615" applyNumberFormat="1" applyFont="1" applyBorder="1"/>
    <xf numFmtId="168" fontId="39" fillId="0" borderId="20" xfId="24615" applyNumberFormat="1" applyFont="1" applyBorder="1"/>
    <xf numFmtId="0" fontId="66" fillId="40" borderId="19" xfId="24615" applyFont="1" applyFill="1" applyBorder="1" applyAlignment="1">
      <alignment horizontal="center" vertical="center"/>
    </xf>
    <xf numFmtId="0" fontId="66" fillId="49" borderId="19" xfId="24615" applyFont="1" applyFill="1" applyBorder="1" applyAlignment="1">
      <alignment horizontal="center" vertical="center"/>
    </xf>
    <xf numFmtId="10" fontId="50" fillId="0" borderId="19" xfId="24615" applyNumberFormat="1" applyFont="1" applyBorder="1" applyAlignment="1">
      <alignment horizontal="center" vertical="center"/>
    </xf>
    <xf numFmtId="167" fontId="56" fillId="0" borderId="20" xfId="24615" applyNumberFormat="1" applyFont="1" applyBorder="1"/>
    <xf numFmtId="167" fontId="45" fillId="0" borderId="20" xfId="24615" applyNumberFormat="1" applyFont="1" applyBorder="1"/>
    <xf numFmtId="167" fontId="45" fillId="0" borderId="20" xfId="24615" applyNumberFormat="1" applyFont="1" applyBorder="1" applyAlignment="1">
      <alignment horizontal="center"/>
    </xf>
    <xf numFmtId="167" fontId="44" fillId="0" borderId="13" xfId="24615" applyNumberFormat="1" applyFont="1" applyBorder="1" applyAlignment="1">
      <alignment horizontal="center"/>
    </xf>
    <xf numFmtId="0" fontId="43" fillId="33" borderId="18" xfId="24615" applyFont="1" applyFill="1" applyBorder="1" applyAlignment="1">
      <alignment horizontal="center"/>
    </xf>
    <xf numFmtId="0" fontId="50" fillId="0" borderId="0" xfId="24615" applyFont="1" applyAlignment="1">
      <alignment horizontal="center" vertical="center"/>
    </xf>
    <xf numFmtId="0" fontId="66" fillId="0" borderId="19" xfId="24615" applyFont="1" applyBorder="1" applyAlignment="1">
      <alignment horizontal="center" vertical="center" wrapText="1"/>
    </xf>
    <xf numFmtId="0" fontId="66" fillId="0" borderId="19" xfId="24615" applyFont="1" applyBorder="1" applyAlignment="1">
      <alignment horizontal="center" vertical="center"/>
    </xf>
    <xf numFmtId="0" fontId="22" fillId="0" borderId="19" xfId="24615" applyFont="1" applyBorder="1" applyAlignment="1">
      <alignment horizontal="center" vertical="center"/>
    </xf>
    <xf numFmtId="0" fontId="24" fillId="0" borderId="0" xfId="24615" applyFont="1" applyAlignment="1">
      <alignment horizontal="center" vertical="center"/>
    </xf>
    <xf numFmtId="0" fontId="66" fillId="0" borderId="0" xfId="24615" applyFont="1" applyAlignment="1">
      <alignment horizontal="center" vertical="center"/>
    </xf>
    <xf numFmtId="167" fontId="56" fillId="0" borderId="13" xfId="24615" applyNumberFormat="1" applyFont="1" applyBorder="1"/>
    <xf numFmtId="167" fontId="44" fillId="0" borderId="0" xfId="24615" applyNumberFormat="1" applyFont="1" applyAlignment="1">
      <alignment horizontal="center"/>
    </xf>
    <xf numFmtId="0" fontId="39" fillId="0" borderId="13" xfId="24615" applyFont="1" applyBorder="1" applyAlignment="1">
      <alignment horizontal="left"/>
    </xf>
    <xf numFmtId="1" fontId="39" fillId="0" borderId="13" xfId="24615" applyNumberFormat="1" applyFont="1" applyBorder="1" applyAlignment="1">
      <alignment horizontal="center"/>
    </xf>
    <xf numFmtId="167" fontId="39" fillId="0" borderId="20" xfId="24615" applyNumberFormat="1" applyFont="1" applyBorder="1" applyAlignment="1">
      <alignment horizontal="center"/>
    </xf>
    <xf numFmtId="0" fontId="39" fillId="0" borderId="13" xfId="24615" applyFont="1" applyBorder="1" applyAlignment="1">
      <alignment horizontal="center" vertical="center"/>
    </xf>
    <xf numFmtId="167" fontId="39" fillId="0" borderId="20" xfId="24615" applyNumberFormat="1" applyFont="1" applyBorder="1" applyAlignment="1">
      <alignment horizontal="center" vertical="center"/>
    </xf>
    <xf numFmtId="9" fontId="39" fillId="0" borderId="20" xfId="24615" applyNumberFormat="1" applyFont="1" applyBorder="1" applyAlignment="1">
      <alignment horizontal="center"/>
    </xf>
    <xf numFmtId="167" fontId="40" fillId="50" borderId="0" xfId="0" applyNumberFormat="1" applyFont="1" applyFill="1" applyAlignment="1">
      <alignment horizontal="center"/>
    </xf>
    <xf numFmtId="167" fontId="54" fillId="0" borderId="20" xfId="0" applyNumberFormat="1" applyFont="1" applyBorder="1" applyAlignment="1">
      <alignment horizontal="center" vertical="top"/>
    </xf>
    <xf numFmtId="10" fontId="37" fillId="0" borderId="0" xfId="24613" applyNumberFormat="1" applyFont="1" applyAlignment="1">
      <alignment horizontal="center"/>
    </xf>
    <xf numFmtId="167" fontId="52" fillId="0" borderId="20" xfId="0" applyNumberFormat="1" applyFont="1" applyBorder="1" applyAlignment="1">
      <alignment horizontal="center" vertical="center"/>
    </xf>
    <xf numFmtId="167" fontId="54" fillId="0" borderId="13" xfId="0" applyNumberFormat="1" applyFont="1" applyBorder="1" applyAlignment="1">
      <alignment horizontal="center" vertical="top"/>
    </xf>
    <xf numFmtId="167" fontId="56" fillId="0" borderId="12" xfId="0" applyNumberFormat="1" applyFont="1" applyBorder="1"/>
    <xf numFmtId="0" fontId="40" fillId="38" borderId="0" xfId="50" applyFont="1" applyFill="1">
      <alignment horizontal="center"/>
    </xf>
    <xf numFmtId="167" fontId="50" fillId="0" borderId="0" xfId="24615" applyNumberFormat="1" applyFont="1" applyAlignment="1">
      <alignment horizontal="center" vertical="center" wrapText="1"/>
    </xf>
    <xf numFmtId="0" fontId="50" fillId="0" borderId="30" xfId="24615" applyFont="1" applyBorder="1" applyAlignment="1">
      <alignment horizontal="center" vertical="center"/>
    </xf>
    <xf numFmtId="0" fontId="50" fillId="0" borderId="13" xfId="24615" applyFont="1" applyBorder="1" applyAlignment="1">
      <alignment horizontal="center" vertical="center"/>
    </xf>
    <xf numFmtId="167" fontId="66" fillId="0" borderId="19" xfId="24615" applyNumberFormat="1" applyFont="1" applyBorder="1" applyAlignment="1">
      <alignment horizontal="center" vertical="center"/>
    </xf>
    <xf numFmtId="167" fontId="22" fillId="0" borderId="19" xfId="24615" applyNumberFormat="1" applyFont="1" applyBorder="1" applyAlignment="1">
      <alignment horizontal="center" vertical="center"/>
    </xf>
    <xf numFmtId="0" fontId="66" fillId="0" borderId="13" xfId="24615" applyFont="1" applyBorder="1" applyAlignment="1">
      <alignment horizontal="center" vertical="center"/>
    </xf>
    <xf numFmtId="167" fontId="39" fillId="0" borderId="0" xfId="24615" applyNumberFormat="1" applyFont="1" applyAlignment="1">
      <alignment horizontal="center"/>
    </xf>
    <xf numFmtId="167" fontId="49" fillId="0" borderId="13" xfId="24615" applyNumberFormat="1" applyFont="1" applyBorder="1" applyAlignment="1">
      <alignment horizontal="center" vertical="center"/>
    </xf>
    <xf numFmtId="2" fontId="39" fillId="0" borderId="13" xfId="24615" applyNumberFormat="1" applyFont="1" applyBorder="1" applyAlignment="1">
      <alignment horizontal="center" vertical="top"/>
    </xf>
    <xf numFmtId="167" fontId="59" fillId="0" borderId="13" xfId="24615" applyNumberFormat="1" applyFont="1" applyBorder="1" applyAlignment="1">
      <alignment horizontal="center"/>
    </xf>
    <xf numFmtId="0" fontId="59" fillId="0" borderId="12" xfId="24615" applyFont="1" applyBorder="1" applyAlignment="1">
      <alignment horizontal="center"/>
    </xf>
    <xf numFmtId="167" fontId="59" fillId="0" borderId="0" xfId="24615" applyNumberFormat="1" applyFont="1" applyAlignment="1">
      <alignment horizontal="center"/>
    </xf>
    <xf numFmtId="1" fontId="59" fillId="0" borderId="13" xfId="24615" applyNumberFormat="1" applyFont="1" applyBorder="1" applyAlignment="1">
      <alignment horizontal="center"/>
    </xf>
    <xf numFmtId="167" fontId="52" fillId="0" borderId="13" xfId="24615" applyNumberFormat="1" applyFont="1" applyBorder="1" applyAlignment="1">
      <alignment horizontal="center"/>
    </xf>
    <xf numFmtId="0" fontId="59" fillId="0" borderId="13" xfId="24615" applyFont="1" applyBorder="1" applyAlignment="1">
      <alignment horizontal="left"/>
    </xf>
    <xf numFmtId="0" fontId="39" fillId="0" borderId="13" xfId="24615" applyFont="1" applyBorder="1" applyAlignment="1">
      <alignment horizontal="center"/>
    </xf>
    <xf numFmtId="167" fontId="59" fillId="0" borderId="20" xfId="24615" applyNumberFormat="1" applyFont="1" applyBorder="1" applyAlignment="1">
      <alignment horizontal="center"/>
    </xf>
    <xf numFmtId="0" fontId="59" fillId="0" borderId="13" xfId="24615" applyFont="1" applyBorder="1" applyAlignment="1">
      <alignment horizontal="center"/>
    </xf>
    <xf numFmtId="167" fontId="39" fillId="0" borderId="23" xfId="24615" applyNumberFormat="1" applyFont="1" applyBorder="1"/>
    <xf numFmtId="168" fontId="39" fillId="0" borderId="23" xfId="24615" applyNumberFormat="1" applyFont="1" applyBorder="1"/>
    <xf numFmtId="167" fontId="45" fillId="0" borderId="23" xfId="24615" applyNumberFormat="1" applyFont="1" applyBorder="1"/>
    <xf numFmtId="167" fontId="45" fillId="0" borderId="23" xfId="24615" applyNumberFormat="1" applyFont="1" applyBorder="1" applyAlignment="1">
      <alignment horizontal="center"/>
    </xf>
    <xf numFmtId="167" fontId="44" fillId="0" borderId="21" xfId="24615" applyNumberFormat="1" applyFont="1" applyBorder="1" applyAlignment="1">
      <alignment horizontal="center"/>
    </xf>
    <xf numFmtId="167" fontId="46" fillId="0" borderId="13" xfId="24615" applyNumberFormat="1" applyFont="1" applyBorder="1"/>
    <xf numFmtId="167" fontId="52" fillId="0" borderId="0" xfId="24615" applyNumberFormat="1" applyFont="1"/>
    <xf numFmtId="167" fontId="73" fillId="0" borderId="10" xfId="24615" applyNumberFormat="1" applyFont="1" applyBorder="1" applyAlignment="1">
      <alignment horizontal="left" indent="5"/>
    </xf>
    <xf numFmtId="0" fontId="77" fillId="0" borderId="0" xfId="24615" applyFont="1" applyAlignment="1">
      <alignment horizontal="left"/>
    </xf>
    <xf numFmtId="0" fontId="77" fillId="0" borderId="13" xfId="24615" applyFont="1" applyBorder="1" applyAlignment="1">
      <alignment horizontal="center"/>
    </xf>
    <xf numFmtId="0" fontId="77" fillId="0" borderId="0" xfId="24615" applyFont="1" applyAlignment="1">
      <alignment horizontal="center"/>
    </xf>
    <xf numFmtId="0" fontId="77" fillId="0" borderId="13" xfId="24615" applyFont="1" applyBorder="1" applyAlignment="1">
      <alignment horizontal="left"/>
    </xf>
    <xf numFmtId="168" fontId="59" fillId="0" borderId="20" xfId="24615" applyNumberFormat="1" applyFont="1" applyBorder="1"/>
    <xf numFmtId="0" fontId="47" fillId="0" borderId="13" xfId="24615" applyFont="1" applyBorder="1" applyAlignment="1">
      <alignment horizontal="left"/>
    </xf>
    <xf numFmtId="167" fontId="52" fillId="0" borderId="21" xfId="24615" applyNumberFormat="1" applyFont="1" applyBorder="1" applyAlignment="1">
      <alignment horizontal="center"/>
    </xf>
    <xf numFmtId="167" fontId="46" fillId="0" borderId="21" xfId="24615" applyNumberFormat="1" applyFont="1" applyBorder="1"/>
    <xf numFmtId="0" fontId="47" fillId="0" borderId="13" xfId="24615" applyFont="1" applyBorder="1" applyAlignment="1">
      <alignment horizontal="center"/>
    </xf>
    <xf numFmtId="167" fontId="47" fillId="51" borderId="19" xfId="0" applyNumberFormat="1" applyFont="1" applyFill="1" applyBorder="1" applyAlignment="1">
      <alignment horizontal="center" vertical="center" wrapText="1"/>
    </xf>
    <xf numFmtId="170" fontId="39" fillId="0" borderId="19" xfId="24613" applyNumberFormat="1" applyFont="1" applyBorder="1" applyAlignment="1">
      <alignment horizontal="center" vertical="center"/>
    </xf>
    <xf numFmtId="167" fontId="60" fillId="0" borderId="33" xfId="0" applyNumberFormat="1" applyFont="1" applyBorder="1" applyAlignment="1">
      <alignment horizontal="left"/>
    </xf>
    <xf numFmtId="0" fontId="81" fillId="40" borderId="0" xfId="50" applyFont="1" applyFill="1">
      <alignment horizontal="center"/>
    </xf>
    <xf numFmtId="167" fontId="81" fillId="46" borderId="0" xfId="0" applyNumberFormat="1" applyFont="1" applyFill="1" applyAlignment="1">
      <alignment horizontal="center"/>
    </xf>
    <xf numFmtId="167" fontId="81" fillId="50" borderId="0" xfId="0" applyNumberFormat="1" applyFont="1" applyFill="1" applyAlignment="1">
      <alignment horizontal="center"/>
    </xf>
    <xf numFmtId="0" fontId="81" fillId="43" borderId="0" xfId="50" applyFont="1" applyFill="1">
      <alignment horizontal="center"/>
    </xf>
    <xf numFmtId="0" fontId="81" fillId="42" borderId="0" xfId="50" applyFont="1" applyFill="1">
      <alignment horizontal="center"/>
    </xf>
    <xf numFmtId="0" fontId="81" fillId="38" borderId="0" xfId="50" applyFont="1" applyFill="1">
      <alignment horizontal="center"/>
    </xf>
    <xf numFmtId="0" fontId="81" fillId="51" borderId="0" xfId="50" applyFont="1" applyFill="1">
      <alignment horizontal="center"/>
    </xf>
    <xf numFmtId="2" fontId="39" fillId="0" borderId="12" xfId="24615" applyNumberFormat="1" applyFont="1" applyBorder="1" applyAlignment="1">
      <alignment horizontal="center" vertical="top"/>
    </xf>
    <xf numFmtId="0" fontId="39" fillId="0" borderId="34" xfId="0" applyFont="1" applyBorder="1" applyAlignment="1">
      <alignment horizontal="left"/>
    </xf>
    <xf numFmtId="0" fontId="39" fillId="0" borderId="34" xfId="0" applyFont="1" applyBorder="1" applyAlignment="1">
      <alignment horizontal="left" vertical="center"/>
    </xf>
    <xf numFmtId="0" fontId="60" fillId="0" borderId="34" xfId="0" applyFont="1" applyBorder="1" applyAlignment="1">
      <alignment horizontal="left"/>
    </xf>
    <xf numFmtId="167" fontId="56" fillId="0" borderId="13" xfId="0" applyNumberFormat="1" applyFont="1" applyBorder="1" applyAlignment="1">
      <alignment horizontal="center"/>
    </xf>
    <xf numFmtId="167" fontId="82" fillId="0" borderId="13" xfId="0" applyNumberFormat="1" applyFont="1" applyBorder="1" applyAlignment="1">
      <alignment horizontal="center"/>
    </xf>
    <xf numFmtId="9" fontId="56" fillId="0" borderId="20" xfId="0" applyNumberFormat="1" applyFont="1" applyBorder="1" applyAlignment="1">
      <alignment horizontal="center"/>
    </xf>
    <xf numFmtId="167" fontId="39" fillId="0" borderId="10" xfId="0" applyNumberFormat="1" applyFont="1" applyBorder="1" applyAlignment="1">
      <alignment horizontal="left" vertical="center" wrapText="1"/>
    </xf>
    <xf numFmtId="167" fontId="54" fillId="0" borderId="13" xfId="0" applyNumberFormat="1" applyFont="1" applyBorder="1" applyAlignment="1">
      <alignment horizontal="center"/>
    </xf>
    <xf numFmtId="0" fontId="47" fillId="0" borderId="34" xfId="0" applyFont="1" applyBorder="1" applyAlignment="1">
      <alignment horizontal="left"/>
    </xf>
    <xf numFmtId="0" fontId="39" fillId="0" borderId="33" xfId="0" applyFont="1" applyBorder="1" applyAlignment="1">
      <alignment horizontal="left" vertical="center"/>
    </xf>
    <xf numFmtId="0" fontId="39" fillId="0" borderId="33" xfId="0" applyFont="1" applyBorder="1" applyAlignment="1">
      <alignment horizontal="left"/>
    </xf>
    <xf numFmtId="0" fontId="58" fillId="0" borderId="34" xfId="0" applyFont="1" applyBorder="1" applyAlignment="1">
      <alignment horizontal="left"/>
    </xf>
    <xf numFmtId="0" fontId="39" fillId="0" borderId="34" xfId="0" applyFont="1" applyBorder="1"/>
    <xf numFmtId="0" fontId="56" fillId="0" borderId="17" xfId="0" applyFont="1" applyBorder="1" applyAlignment="1">
      <alignment horizontal="left"/>
    </xf>
    <xf numFmtId="167" fontId="56" fillId="0" borderId="10" xfId="0" applyNumberFormat="1" applyFont="1" applyBorder="1" applyAlignment="1">
      <alignment horizontal="left"/>
    </xf>
    <xf numFmtId="0" fontId="56" fillId="0" borderId="13" xfId="0" applyFont="1" applyBorder="1" applyAlignment="1">
      <alignment horizontal="center"/>
    </xf>
    <xf numFmtId="0" fontId="56" fillId="0" borderId="34" xfId="0" applyFont="1" applyBorder="1" applyAlignment="1">
      <alignment horizontal="left"/>
    </xf>
    <xf numFmtId="170" fontId="50" fillId="0" borderId="19" xfId="24615" applyNumberFormat="1" applyFont="1" applyBorder="1" applyAlignment="1">
      <alignment horizontal="center" vertical="center"/>
    </xf>
    <xf numFmtId="168" fontId="56" fillId="0" borderId="20" xfId="0" applyNumberFormat="1" applyFont="1" applyBorder="1"/>
    <xf numFmtId="0" fontId="56" fillId="0" borderId="12" xfId="0" applyFont="1" applyBorder="1" applyAlignment="1">
      <alignment horizontal="left"/>
    </xf>
    <xf numFmtId="167" fontId="56" fillId="0" borderId="13" xfId="0" applyNumberFormat="1" applyFont="1" applyBorder="1" applyAlignment="1">
      <alignment horizontal="center" vertical="top"/>
    </xf>
    <xf numFmtId="167" fontId="56" fillId="0" borderId="13" xfId="0" applyNumberFormat="1" applyFont="1" applyBorder="1" applyAlignment="1">
      <alignment horizontal="center" vertical="center"/>
    </xf>
    <xf numFmtId="0" fontId="56" fillId="0" borderId="13" xfId="0" applyFont="1" applyBorder="1" applyAlignment="1">
      <alignment horizontal="left"/>
    </xf>
    <xf numFmtId="1" fontId="56" fillId="0" borderId="13" xfId="0" applyNumberFormat="1" applyFont="1" applyBorder="1" applyAlignment="1">
      <alignment horizontal="center"/>
    </xf>
    <xf numFmtId="0" fontId="56" fillId="0" borderId="12" xfId="0" applyFont="1" applyBorder="1" applyAlignment="1">
      <alignment horizontal="center"/>
    </xf>
    <xf numFmtId="9" fontId="56" fillId="0" borderId="20" xfId="0" applyNumberFormat="1" applyFont="1" applyBorder="1" applyAlignment="1">
      <alignment horizontal="center" vertical="center"/>
    </xf>
    <xf numFmtId="168" fontId="56" fillId="0" borderId="20" xfId="0" applyNumberFormat="1" applyFont="1" applyBorder="1" applyAlignment="1">
      <alignment horizontal="center"/>
    </xf>
    <xf numFmtId="1" fontId="56" fillId="0" borderId="13" xfId="0" applyNumberFormat="1" applyFont="1" applyBorder="1" applyAlignment="1">
      <alignment horizontal="center" vertical="center"/>
    </xf>
    <xf numFmtId="167" fontId="56" fillId="0" borderId="13" xfId="0" applyNumberFormat="1" applyFont="1" applyBorder="1" applyAlignment="1">
      <alignment vertical="center"/>
    </xf>
    <xf numFmtId="0" fontId="56" fillId="0" borderId="13" xfId="24615" applyFont="1" applyBorder="1" applyAlignment="1">
      <alignment horizontal="left"/>
    </xf>
    <xf numFmtId="1" fontId="56" fillId="0" borderId="13" xfId="24615" applyNumberFormat="1" applyFont="1" applyBorder="1" applyAlignment="1">
      <alignment horizontal="center"/>
    </xf>
    <xf numFmtId="0" fontId="56" fillId="0" borderId="13" xfId="24615" applyFont="1" applyBorder="1" applyAlignment="1">
      <alignment horizontal="center" vertical="center"/>
    </xf>
    <xf numFmtId="9" fontId="56" fillId="0" borderId="20" xfId="24615" applyNumberFormat="1" applyFont="1" applyBorder="1" applyAlignment="1">
      <alignment horizontal="center"/>
    </xf>
    <xf numFmtId="167" fontId="56" fillId="0" borderId="20" xfId="24615" applyNumberFormat="1" applyFont="1" applyBorder="1" applyAlignment="1">
      <alignment horizontal="center" vertical="center"/>
    </xf>
    <xf numFmtId="0" fontId="56" fillId="0" borderId="13" xfId="24615" applyFont="1" applyBorder="1" applyAlignment="1">
      <alignment horizontal="center"/>
    </xf>
    <xf numFmtId="0" fontId="56" fillId="0" borderId="12" xfId="24615" applyFont="1" applyBorder="1" applyAlignment="1">
      <alignment horizontal="center" vertical="center"/>
    </xf>
    <xf numFmtId="49" fontId="56" fillId="0" borderId="34" xfId="0" applyNumberFormat="1" applyFont="1" applyBorder="1" applyAlignment="1">
      <alignment horizontal="left"/>
    </xf>
    <xf numFmtId="0" fontId="56" fillId="0" borderId="12" xfId="24615" applyFont="1" applyBorder="1" applyAlignment="1">
      <alignment horizontal="center"/>
    </xf>
    <xf numFmtId="0" fontId="56" fillId="0" borderId="34" xfId="0" applyFont="1" applyBorder="1" applyAlignment="1">
      <alignment horizontal="left" vertical="center"/>
    </xf>
    <xf numFmtId="0" fontId="56" fillId="0" borderId="13" xfId="0" applyFont="1" applyBorder="1" applyAlignment="1">
      <alignment horizontal="left" wrapText="1"/>
    </xf>
    <xf numFmtId="0" fontId="58" fillId="0" borderId="13" xfId="0" applyFont="1" applyBorder="1" applyAlignment="1">
      <alignment horizontal="left"/>
    </xf>
    <xf numFmtId="1" fontId="58" fillId="0" borderId="13" xfId="0" applyNumberFormat="1" applyFont="1" applyBorder="1" applyAlignment="1">
      <alignment horizontal="center"/>
    </xf>
    <xf numFmtId="9" fontId="58" fillId="0" borderId="20" xfId="0" applyNumberFormat="1" applyFont="1" applyBorder="1" applyAlignment="1">
      <alignment horizontal="center"/>
    </xf>
    <xf numFmtId="167" fontId="56" fillId="0" borderId="0" xfId="0" applyNumberFormat="1" applyFont="1" applyAlignment="1">
      <alignment horizontal="center"/>
    </xf>
    <xf numFmtId="167" fontId="56" fillId="0" borderId="0" xfId="0" applyNumberFormat="1" applyFont="1" applyAlignment="1">
      <alignment horizontal="center" vertical="center"/>
    </xf>
    <xf numFmtId="167" fontId="58" fillId="0" borderId="13" xfId="0" applyNumberFormat="1" applyFont="1" applyBorder="1" applyAlignment="1">
      <alignment horizontal="center" vertical="center"/>
    </xf>
    <xf numFmtId="10" fontId="58" fillId="0" borderId="20" xfId="0" applyNumberFormat="1" applyFont="1" applyBorder="1" applyAlignment="1">
      <alignment horizontal="center" vertical="center"/>
    </xf>
    <xf numFmtId="167" fontId="58" fillId="0" borderId="20" xfId="0" applyNumberFormat="1" applyFont="1" applyBorder="1" applyAlignment="1">
      <alignment horizontal="center" vertical="center"/>
    </xf>
    <xf numFmtId="167" fontId="58" fillId="0" borderId="13" xfId="0" applyNumberFormat="1" applyFont="1" applyBorder="1" applyAlignment="1">
      <alignment horizontal="center"/>
    </xf>
    <xf numFmtId="10" fontId="58" fillId="0" borderId="0" xfId="0" applyNumberFormat="1" applyFont="1" applyAlignment="1">
      <alignment horizontal="center"/>
    </xf>
    <xf numFmtId="167" fontId="58" fillId="0" borderId="13" xfId="0" applyNumberFormat="1" applyFont="1" applyBorder="1" applyAlignment="1">
      <alignment horizontal="center" vertical="top"/>
    </xf>
    <xf numFmtId="10" fontId="56" fillId="0" borderId="20" xfId="0" applyNumberFormat="1" applyFont="1" applyBorder="1" applyAlignment="1">
      <alignment horizontal="center"/>
    </xf>
    <xf numFmtId="167" fontId="47" fillId="0" borderId="13" xfId="0" applyNumberFormat="1" applyFont="1" applyBorder="1"/>
    <xf numFmtId="167" fontId="54" fillId="0" borderId="13" xfId="0" applyNumberFormat="1" applyFont="1" applyBorder="1" applyAlignment="1">
      <alignment horizontal="center" vertical="center"/>
    </xf>
    <xf numFmtId="167" fontId="83" fillId="0" borderId="13" xfId="0" applyNumberFormat="1" applyFont="1" applyBorder="1"/>
    <xf numFmtId="167" fontId="83" fillId="0" borderId="13" xfId="0" applyNumberFormat="1" applyFont="1" applyBorder="1" applyAlignment="1">
      <alignment horizontal="center" vertical="center"/>
    </xf>
    <xf numFmtId="0" fontId="79" fillId="0" borderId="50" xfId="0" applyFont="1" applyBorder="1" applyAlignment="1">
      <alignment horizontal="center" vertical="center" wrapText="1"/>
    </xf>
    <xf numFmtId="0" fontId="80" fillId="0" borderId="50" xfId="0" applyFont="1" applyBorder="1" applyAlignment="1">
      <alignment horizontal="center" vertical="center" wrapText="1"/>
    </xf>
    <xf numFmtId="0" fontId="78" fillId="0" borderId="50" xfId="0" applyFont="1" applyBorder="1" applyAlignment="1">
      <alignment horizontal="center" vertical="center" wrapText="1"/>
    </xf>
    <xf numFmtId="0" fontId="76" fillId="0" borderId="50" xfId="0" applyFont="1" applyBorder="1" applyAlignment="1">
      <alignment horizontal="center" vertical="center" wrapText="1"/>
    </xf>
    <xf numFmtId="0" fontId="69" fillId="0" borderId="50" xfId="0" applyFont="1" applyBorder="1" applyAlignment="1">
      <alignment horizontal="center" vertical="center" wrapText="1"/>
    </xf>
    <xf numFmtId="0" fontId="69" fillId="0" borderId="53" xfId="0" applyFont="1" applyBorder="1" applyAlignment="1">
      <alignment horizontal="center" vertical="center" wrapText="1"/>
    </xf>
    <xf numFmtId="2" fontId="78" fillId="0" borderId="50" xfId="0" applyNumberFormat="1" applyFont="1" applyBorder="1" applyAlignment="1">
      <alignment horizontal="center" vertical="center" wrapText="1"/>
    </xf>
    <xf numFmtId="0" fontId="69" fillId="0" borderId="56" xfId="0" applyFont="1" applyBorder="1" applyAlignment="1">
      <alignment horizontal="center" vertical="center" wrapText="1"/>
    </xf>
    <xf numFmtId="0" fontId="69" fillId="0" borderId="48" xfId="0" applyFont="1" applyBorder="1" applyAlignment="1">
      <alignment horizontal="center" vertical="center" wrapText="1"/>
    </xf>
    <xf numFmtId="0" fontId="79" fillId="0" borderId="59" xfId="0" applyFont="1" applyBorder="1" applyAlignment="1">
      <alignment horizontal="center" vertical="center" wrapText="1"/>
    </xf>
    <xf numFmtId="0" fontId="79" fillId="0" borderId="53" xfId="0" applyFont="1" applyBorder="1" applyAlignment="1">
      <alignment horizontal="center" vertical="center" wrapText="1"/>
    </xf>
    <xf numFmtId="0" fontId="79" fillId="0" borderId="48" xfId="0" applyFont="1" applyBorder="1" applyAlignment="1">
      <alignment horizontal="center" vertical="center" wrapText="1"/>
    </xf>
    <xf numFmtId="167" fontId="47" fillId="0" borderId="66" xfId="0" applyNumberFormat="1" applyFont="1" applyBorder="1" applyAlignment="1">
      <alignment horizontal="left" vertical="top" wrapText="1"/>
    </xf>
    <xf numFmtId="2" fontId="47" fillId="0" borderId="25" xfId="0" applyNumberFormat="1" applyFont="1" applyBorder="1" applyAlignment="1">
      <alignment horizontal="center" vertical="top" wrapText="1"/>
    </xf>
    <xf numFmtId="168" fontId="47" fillId="0" borderId="25" xfId="0" applyNumberFormat="1" applyFont="1" applyBorder="1" applyAlignment="1">
      <alignment horizontal="center" vertical="top" wrapText="1"/>
    </xf>
    <xf numFmtId="167" fontId="54" fillId="0" borderId="45" xfId="24615" applyNumberFormat="1" applyFont="1" applyBorder="1" applyAlignment="1">
      <alignment horizontal="center"/>
    </xf>
    <xf numFmtId="167" fontId="52" fillId="0" borderId="45" xfId="24615" applyNumberFormat="1" applyFont="1" applyBorder="1"/>
    <xf numFmtId="167" fontId="58" fillId="0" borderId="45" xfId="24615" applyNumberFormat="1" applyFont="1" applyBorder="1" applyAlignment="1">
      <alignment horizontal="center" vertical="center"/>
    </xf>
    <xf numFmtId="167" fontId="47" fillId="0" borderId="66" xfId="24615" applyNumberFormat="1" applyFont="1" applyBorder="1" applyAlignment="1">
      <alignment horizontal="left" vertical="top" wrapText="1"/>
    </xf>
    <xf numFmtId="167" fontId="47" fillId="0" borderId="26" xfId="24615" applyNumberFormat="1" applyFont="1" applyBorder="1" applyAlignment="1">
      <alignment horizontal="center" vertical="top" wrapText="1"/>
    </xf>
    <xf numFmtId="167" fontId="47" fillId="0" borderId="25" xfId="24615" applyNumberFormat="1" applyFont="1" applyBorder="1" applyAlignment="1">
      <alignment horizontal="center" vertical="top" wrapText="1"/>
    </xf>
    <xf numFmtId="2" fontId="47" fillId="0" borderId="25" xfId="24615" applyNumberFormat="1" applyFont="1" applyBorder="1" applyAlignment="1">
      <alignment horizontal="center" vertical="top" wrapText="1"/>
    </xf>
    <xf numFmtId="168" fontId="47" fillId="0" borderId="25" xfId="24615" applyNumberFormat="1" applyFont="1" applyBorder="1" applyAlignment="1">
      <alignment horizontal="center" vertical="top" wrapText="1"/>
    </xf>
    <xf numFmtId="2" fontId="48" fillId="0" borderId="26" xfId="24615" applyNumberFormat="1" applyFont="1" applyBorder="1" applyAlignment="1">
      <alignment horizontal="center" vertical="top" wrapText="1"/>
    </xf>
    <xf numFmtId="2" fontId="54" fillId="0" borderId="26" xfId="24615" applyNumberFormat="1" applyFont="1" applyBorder="1" applyAlignment="1">
      <alignment horizontal="center" vertical="top" wrapText="1"/>
    </xf>
    <xf numFmtId="0" fontId="47" fillId="0" borderId="45" xfId="24615" applyFont="1" applyBorder="1" applyAlignment="1">
      <alignment horizontal="left"/>
    </xf>
    <xf numFmtId="1" fontId="47" fillId="0" borderId="45" xfId="24615" applyNumberFormat="1" applyFont="1" applyBorder="1" applyAlignment="1">
      <alignment horizontal="center"/>
    </xf>
    <xf numFmtId="167" fontId="47" fillId="0" borderId="45" xfId="24615" applyNumberFormat="1" applyFont="1" applyBorder="1" applyAlignment="1">
      <alignment horizontal="center"/>
    </xf>
    <xf numFmtId="167" fontId="47" fillId="0" borderId="45" xfId="24615" applyNumberFormat="1" applyFont="1" applyBorder="1" applyAlignment="1">
      <alignment horizontal="center" vertical="center"/>
    </xf>
    <xf numFmtId="168" fontId="47" fillId="0" borderId="45" xfId="24615" applyNumberFormat="1" applyFont="1" applyBorder="1" applyAlignment="1">
      <alignment horizontal="center" vertical="center"/>
    </xf>
    <xf numFmtId="0" fontId="56" fillId="0" borderId="20" xfId="0" applyFont="1" applyBorder="1" applyAlignment="1">
      <alignment horizontal="left"/>
    </xf>
    <xf numFmtId="167" fontId="86" fillId="0" borderId="0" xfId="0" applyNumberFormat="1" applyFont="1"/>
    <xf numFmtId="167" fontId="88" fillId="0" borderId="0" xfId="0" applyNumberFormat="1" applyFont="1"/>
    <xf numFmtId="2" fontId="79" fillId="0" borderId="48" xfId="0" applyNumberFormat="1" applyFont="1" applyBorder="1" applyAlignment="1">
      <alignment horizontal="center" vertical="center" wrapText="1"/>
    </xf>
    <xf numFmtId="2" fontId="79" fillId="0" borderId="50" xfId="0" applyNumberFormat="1" applyFont="1" applyBorder="1" applyAlignment="1">
      <alignment horizontal="center" vertical="center" wrapText="1"/>
    </xf>
    <xf numFmtId="2" fontId="80" fillId="0" borderId="50" xfId="0" applyNumberFormat="1" applyFont="1" applyBorder="1" applyAlignment="1">
      <alignment horizontal="center" vertical="center" wrapText="1"/>
    </xf>
    <xf numFmtId="0" fontId="79" fillId="0" borderId="71" xfId="0" applyFont="1" applyBorder="1" applyAlignment="1">
      <alignment horizontal="center" vertical="center"/>
    </xf>
    <xf numFmtId="167" fontId="39" fillId="0" borderId="76" xfId="0" applyNumberFormat="1" applyFont="1" applyBorder="1"/>
    <xf numFmtId="167" fontId="39" fillId="0" borderId="27" xfId="0" applyNumberFormat="1" applyFont="1" applyBorder="1"/>
    <xf numFmtId="167" fontId="39" fillId="0" borderId="78" xfId="0" applyNumberFormat="1" applyFont="1" applyBorder="1"/>
    <xf numFmtId="2" fontId="47" fillId="0" borderId="79" xfId="0" applyNumberFormat="1" applyFont="1" applyBorder="1" applyAlignment="1">
      <alignment horizontal="center" vertical="top" wrapText="1"/>
    </xf>
    <xf numFmtId="167" fontId="44" fillId="0" borderId="12" xfId="0" applyNumberFormat="1" applyFont="1" applyBorder="1" applyAlignment="1">
      <alignment horizontal="center"/>
    </xf>
    <xf numFmtId="167" fontId="44" fillId="0" borderId="81" xfId="0" applyNumberFormat="1" applyFont="1" applyBorder="1" applyAlignment="1">
      <alignment horizontal="center"/>
    </xf>
    <xf numFmtId="167" fontId="47" fillId="0" borderId="82" xfId="0" applyNumberFormat="1" applyFont="1" applyBorder="1" applyAlignment="1">
      <alignment horizontal="center" vertical="top" wrapText="1"/>
    </xf>
    <xf numFmtId="167" fontId="45" fillId="0" borderId="41" xfId="0" applyNumberFormat="1" applyFont="1" applyBorder="1" applyAlignment="1">
      <alignment horizontal="center"/>
    </xf>
    <xf numFmtId="167" fontId="45" fillId="0" borderId="84" xfId="0" applyNumberFormat="1" applyFont="1" applyBorder="1" applyAlignment="1">
      <alignment horizontal="center"/>
    </xf>
    <xf numFmtId="167" fontId="47" fillId="0" borderId="85" xfId="0" applyNumberFormat="1" applyFont="1" applyBorder="1" applyAlignment="1">
      <alignment horizontal="center" vertical="top" wrapText="1"/>
    </xf>
    <xf numFmtId="167" fontId="56" fillId="0" borderId="12" xfId="0" applyNumberFormat="1" applyFont="1" applyBorder="1" applyAlignment="1">
      <alignment horizontal="center" vertical="top"/>
    </xf>
    <xf numFmtId="167" fontId="56" fillId="0" borderId="27" xfId="0" applyNumberFormat="1" applyFont="1" applyBorder="1" applyAlignment="1">
      <alignment horizontal="center"/>
    </xf>
    <xf numFmtId="167" fontId="56" fillId="0" borderId="27" xfId="0" applyNumberFormat="1" applyFont="1" applyBorder="1" applyAlignment="1">
      <alignment horizontal="center" vertical="center"/>
    </xf>
    <xf numFmtId="167" fontId="56" fillId="0" borderId="27" xfId="24615" applyNumberFormat="1" applyFont="1" applyBorder="1" applyAlignment="1">
      <alignment horizontal="center" vertical="center"/>
    </xf>
    <xf numFmtId="169" fontId="56" fillId="0" borderId="27" xfId="0" applyNumberFormat="1" applyFont="1" applyBorder="1" applyAlignment="1">
      <alignment horizontal="center"/>
    </xf>
    <xf numFmtId="167" fontId="39" fillId="0" borderId="10" xfId="0" applyNumberFormat="1" applyFont="1" applyBorder="1" applyAlignment="1">
      <alignment horizontal="left" vertical="center"/>
    </xf>
    <xf numFmtId="2" fontId="56" fillId="0" borderId="88" xfId="0" applyNumberFormat="1" applyFont="1" applyBorder="1" applyAlignment="1">
      <alignment horizontal="center" vertical="center"/>
    </xf>
    <xf numFmtId="2" fontId="56" fillId="0" borderId="41" xfId="0" applyNumberFormat="1" applyFont="1" applyBorder="1" applyAlignment="1">
      <alignment horizontal="center" vertical="center"/>
    </xf>
    <xf numFmtId="2" fontId="39" fillId="0" borderId="41" xfId="0" applyNumberFormat="1" applyFont="1" applyBorder="1" applyAlignment="1">
      <alignment horizontal="center" vertical="center"/>
    </xf>
    <xf numFmtId="2" fontId="39" fillId="0" borderId="27" xfId="0" applyNumberFormat="1" applyFont="1" applyBorder="1" applyAlignment="1">
      <alignment horizontal="center" vertical="center"/>
    </xf>
    <xf numFmtId="2" fontId="56" fillId="0" borderId="89" xfId="0" applyNumberFormat="1" applyFont="1" applyBorder="1" applyAlignment="1">
      <alignment horizontal="center" vertical="top"/>
    </xf>
    <xf numFmtId="2" fontId="56" fillId="0" borderId="90" xfId="0" applyNumberFormat="1" applyFont="1" applyBorder="1" applyAlignment="1">
      <alignment horizontal="center" vertical="top"/>
    </xf>
    <xf numFmtId="2" fontId="56" fillId="0" borderId="90" xfId="0" applyNumberFormat="1" applyFont="1" applyBorder="1" applyAlignment="1">
      <alignment horizontal="center" vertical="center"/>
    </xf>
    <xf numFmtId="2" fontId="39" fillId="0" borderId="90" xfId="0" applyNumberFormat="1" applyFont="1" applyBorder="1" applyAlignment="1">
      <alignment horizontal="center" vertical="top"/>
    </xf>
    <xf numFmtId="2" fontId="39" fillId="0" borderId="90" xfId="0" applyNumberFormat="1" applyFont="1" applyBorder="1" applyAlignment="1">
      <alignment horizontal="center" vertical="center"/>
    </xf>
    <xf numFmtId="2" fontId="56" fillId="0" borderId="70" xfId="0" applyNumberFormat="1" applyFont="1" applyBorder="1" applyAlignment="1">
      <alignment horizontal="center" vertical="top"/>
    </xf>
    <xf numFmtId="2" fontId="56" fillId="0" borderId="57" xfId="0" applyNumberFormat="1" applyFont="1" applyBorder="1" applyAlignment="1">
      <alignment horizontal="center" vertical="top"/>
    </xf>
    <xf numFmtId="167" fontId="50" fillId="0" borderId="0" xfId="0" applyNumberFormat="1" applyFont="1"/>
    <xf numFmtId="0" fontId="56" fillId="0" borderId="0" xfId="0" applyFont="1"/>
    <xf numFmtId="2" fontId="58" fillId="0" borderId="41" xfId="0" applyNumberFormat="1" applyFont="1" applyBorder="1" applyAlignment="1">
      <alignment horizontal="center" vertical="center"/>
    </xf>
    <xf numFmtId="2" fontId="58" fillId="0" borderId="90" xfId="0" applyNumberFormat="1" applyFont="1" applyBorder="1" applyAlignment="1">
      <alignment horizontal="center" vertical="top"/>
    </xf>
    <xf numFmtId="2" fontId="58" fillId="0" borderId="88" xfId="0" applyNumberFormat="1" applyFont="1" applyBorder="1" applyAlignment="1">
      <alignment horizontal="center" vertical="center"/>
    </xf>
    <xf numFmtId="2" fontId="58" fillId="0" borderId="89" xfId="0" applyNumberFormat="1" applyFont="1" applyBorder="1" applyAlignment="1">
      <alignment horizontal="center" vertical="top"/>
    </xf>
    <xf numFmtId="2" fontId="58" fillId="0" borderId="70" xfId="0" applyNumberFormat="1" applyFont="1" applyBorder="1" applyAlignment="1">
      <alignment horizontal="center" vertical="top"/>
    </xf>
    <xf numFmtId="0" fontId="56" fillId="0" borderId="10" xfId="0" applyFont="1" applyBorder="1" applyAlignment="1">
      <alignment horizontal="left"/>
    </xf>
    <xf numFmtId="0" fontId="47" fillId="0" borderId="0" xfId="0" applyFont="1"/>
    <xf numFmtId="2" fontId="47" fillId="0" borderId="88" xfId="0" applyNumberFormat="1" applyFont="1" applyBorder="1" applyAlignment="1">
      <alignment horizontal="center" vertical="center"/>
    </xf>
    <xf numFmtId="2" fontId="47" fillId="0" borderId="41" xfId="0" applyNumberFormat="1" applyFont="1" applyBorder="1" applyAlignment="1">
      <alignment horizontal="center" vertical="center"/>
    </xf>
    <xf numFmtId="2" fontId="47" fillId="0" borderId="90" xfId="0" applyNumberFormat="1" applyFont="1" applyBorder="1" applyAlignment="1">
      <alignment horizontal="center" vertical="top"/>
    </xf>
    <xf numFmtId="2" fontId="39" fillId="0" borderId="89" xfId="0" applyNumberFormat="1" applyFont="1" applyBorder="1" applyAlignment="1">
      <alignment horizontal="center" vertical="top"/>
    </xf>
    <xf numFmtId="167" fontId="58" fillId="0" borderId="27" xfId="0" applyNumberFormat="1" applyFont="1" applyBorder="1" applyAlignment="1">
      <alignment horizontal="center"/>
    </xf>
    <xf numFmtId="0" fontId="94" fillId="33" borderId="0" xfId="0" applyFont="1" applyFill="1" applyAlignment="1">
      <alignment horizontal="center" vertical="center"/>
    </xf>
    <xf numFmtId="167" fontId="85" fillId="0" borderId="13" xfId="0" applyNumberFormat="1" applyFont="1" applyBorder="1" applyAlignment="1">
      <alignment vertical="center"/>
    </xf>
    <xf numFmtId="167" fontId="91" fillId="0" borderId="13" xfId="0" applyNumberFormat="1" applyFont="1" applyBorder="1" applyAlignment="1">
      <alignment vertical="center"/>
    </xf>
    <xf numFmtId="167" fontId="91" fillId="0" borderId="12" xfId="0" applyNumberFormat="1" applyFont="1" applyBorder="1" applyAlignment="1">
      <alignment vertical="center"/>
    </xf>
    <xf numFmtId="1" fontId="56" fillId="0" borderId="12" xfId="0" applyNumberFormat="1" applyFont="1" applyBorder="1" applyAlignment="1">
      <alignment horizontal="center"/>
    </xf>
    <xf numFmtId="167" fontId="93" fillId="0" borderId="0" xfId="0" applyNumberFormat="1" applyFont="1"/>
    <xf numFmtId="0" fontId="83" fillId="0" borderId="0" xfId="0" applyFont="1"/>
    <xf numFmtId="0" fontId="86" fillId="52" borderId="42" xfId="0" applyFont="1" applyFill="1" applyBorder="1" applyAlignment="1">
      <alignment horizontal="center"/>
    </xf>
    <xf numFmtId="167" fontId="86" fillId="52" borderId="42" xfId="0" applyNumberFormat="1" applyFont="1" applyFill="1" applyBorder="1" applyAlignment="1">
      <alignment horizontal="center"/>
    </xf>
    <xf numFmtId="9" fontId="86" fillId="52" borderId="42" xfId="0" applyNumberFormat="1" applyFont="1" applyFill="1" applyBorder="1" applyAlignment="1">
      <alignment horizontal="center"/>
    </xf>
    <xf numFmtId="167" fontId="86" fillId="52" borderId="42" xfId="0" applyNumberFormat="1" applyFont="1" applyFill="1" applyBorder="1" applyAlignment="1">
      <alignment horizontal="center" vertical="top"/>
    </xf>
    <xf numFmtId="167" fontId="65" fillId="52" borderId="42" xfId="0" applyNumberFormat="1" applyFont="1" applyFill="1" applyBorder="1" applyAlignment="1">
      <alignment horizontal="center" vertical="top"/>
    </xf>
    <xf numFmtId="167" fontId="89" fillId="52" borderId="42" xfId="0" applyNumberFormat="1" applyFont="1" applyFill="1" applyBorder="1" applyAlignment="1">
      <alignment horizontal="center" vertical="top"/>
    </xf>
    <xf numFmtId="167" fontId="87" fillId="52" borderId="42" xfId="0" applyNumberFormat="1" applyFont="1" applyFill="1" applyBorder="1" applyAlignment="1">
      <alignment horizontal="center" vertical="top"/>
    </xf>
    <xf numFmtId="167" fontId="87" fillId="52" borderId="42" xfId="0" applyNumberFormat="1" applyFont="1" applyFill="1" applyBorder="1" applyAlignment="1">
      <alignment horizontal="center" vertical="center"/>
    </xf>
    <xf numFmtId="0" fontId="94" fillId="52" borderId="44" xfId="0" applyFont="1" applyFill="1" applyBorder="1" applyAlignment="1">
      <alignment horizontal="left" vertical="center"/>
    </xf>
    <xf numFmtId="167" fontId="94" fillId="52" borderId="42" xfId="0" applyNumberFormat="1" applyFont="1" applyFill="1" applyBorder="1" applyAlignment="1">
      <alignment horizontal="left" vertical="center"/>
    </xf>
    <xf numFmtId="0" fontId="98" fillId="52" borderId="42" xfId="0" applyFont="1" applyFill="1" applyBorder="1" applyAlignment="1">
      <alignment horizontal="center"/>
    </xf>
    <xf numFmtId="167" fontId="98" fillId="52" borderId="42" xfId="0" applyNumberFormat="1" applyFont="1" applyFill="1" applyBorder="1" applyAlignment="1">
      <alignment horizontal="center"/>
    </xf>
    <xf numFmtId="9" fontId="98" fillId="52" borderId="42" xfId="0" applyNumberFormat="1" applyFont="1" applyFill="1" applyBorder="1" applyAlignment="1">
      <alignment horizontal="center"/>
    </xf>
    <xf numFmtId="167" fontId="98" fillId="52" borderId="42" xfId="0" applyNumberFormat="1" applyFont="1" applyFill="1" applyBorder="1" applyAlignment="1">
      <alignment horizontal="center" vertical="top"/>
    </xf>
    <xf numFmtId="167" fontId="43" fillId="52" borderId="42" xfId="0" applyNumberFormat="1" applyFont="1" applyFill="1" applyBorder="1" applyAlignment="1">
      <alignment horizontal="center" vertical="top"/>
    </xf>
    <xf numFmtId="167" fontId="43" fillId="52" borderId="42" xfId="0" applyNumberFormat="1" applyFont="1" applyFill="1" applyBorder="1" applyAlignment="1">
      <alignment horizontal="center" vertical="center"/>
    </xf>
    <xf numFmtId="167" fontId="19" fillId="52" borderId="65" xfId="0" applyNumberFormat="1" applyFont="1" applyFill="1" applyBorder="1" applyAlignment="1">
      <alignment horizontal="left" vertical="center"/>
    </xf>
    <xf numFmtId="2" fontId="23" fillId="52" borderId="65" xfId="0" applyNumberFormat="1" applyFont="1" applyFill="1" applyBorder="1" applyAlignment="1">
      <alignment horizontal="center" vertical="top"/>
    </xf>
    <xf numFmtId="167" fontId="100" fillId="52" borderId="60" xfId="0" applyNumberFormat="1" applyFont="1" applyFill="1" applyBorder="1" applyAlignment="1">
      <alignment horizontal="center" vertical="center"/>
    </xf>
    <xf numFmtId="167" fontId="100" fillId="52" borderId="61" xfId="0" applyNumberFormat="1" applyFont="1" applyFill="1" applyBorder="1" applyAlignment="1">
      <alignment horizontal="center" vertical="center"/>
    </xf>
    <xf numFmtId="2" fontId="100" fillId="52" borderId="62" xfId="0" applyNumberFormat="1" applyFont="1" applyFill="1" applyBorder="1" applyAlignment="1">
      <alignment horizontal="center" vertical="center" wrapText="1"/>
    </xf>
    <xf numFmtId="0" fontId="94" fillId="52" borderId="44" xfId="0" applyFont="1" applyFill="1" applyBorder="1" applyAlignment="1">
      <alignment vertical="center"/>
    </xf>
    <xf numFmtId="0" fontId="94" fillId="52" borderId="42" xfId="0" applyFont="1" applyFill="1" applyBorder="1" applyAlignment="1">
      <alignment vertical="center"/>
    </xf>
    <xf numFmtId="0" fontId="94" fillId="53" borderId="44" xfId="0" applyFont="1" applyFill="1" applyBorder="1" applyAlignment="1">
      <alignment horizontal="left" vertical="center"/>
    </xf>
    <xf numFmtId="0" fontId="56" fillId="0" borderId="13" xfId="0" applyFont="1" applyBorder="1" applyAlignment="1">
      <alignment horizontal="left" vertical="center"/>
    </xf>
    <xf numFmtId="167" fontId="56" fillId="0" borderId="41" xfId="0" applyNumberFormat="1" applyFont="1" applyBorder="1" applyAlignment="1">
      <alignment horizontal="center"/>
    </xf>
    <xf numFmtId="2" fontId="58" fillId="0" borderId="26" xfId="0" applyNumberFormat="1" applyFont="1" applyBorder="1" applyAlignment="1">
      <alignment horizontal="center" vertical="top" wrapText="1"/>
    </xf>
    <xf numFmtId="167" fontId="95" fillId="0" borderId="95" xfId="0" applyNumberFormat="1" applyFont="1" applyBorder="1" applyAlignment="1">
      <alignment vertical="center"/>
    </xf>
    <xf numFmtId="167" fontId="56" fillId="0" borderId="100" xfId="0" applyNumberFormat="1" applyFont="1" applyBorder="1"/>
    <xf numFmtId="167" fontId="83" fillId="0" borderId="41" xfId="0" applyNumberFormat="1" applyFont="1" applyBorder="1" applyAlignment="1">
      <alignment horizontal="center" vertical="center"/>
    </xf>
    <xf numFmtId="167" fontId="83" fillId="0" borderId="106" xfId="0" applyNumberFormat="1" applyFont="1" applyBorder="1" applyAlignment="1">
      <alignment horizontal="center" vertical="center"/>
    </xf>
    <xf numFmtId="2" fontId="56" fillId="0" borderId="41" xfId="0" applyNumberFormat="1" applyFont="1" applyBorder="1" applyAlignment="1">
      <alignment horizontal="center" vertical="top"/>
    </xf>
    <xf numFmtId="2" fontId="23" fillId="52" borderId="105" xfId="0" applyNumberFormat="1" applyFont="1" applyFill="1" applyBorder="1" applyAlignment="1">
      <alignment horizontal="center" vertical="top"/>
    </xf>
    <xf numFmtId="2" fontId="56" fillId="0" borderId="106" xfId="0" applyNumberFormat="1" applyFont="1" applyBorder="1" applyAlignment="1">
      <alignment horizontal="center" vertical="top"/>
    </xf>
    <xf numFmtId="167" fontId="19" fillId="52" borderId="105" xfId="0" applyNumberFormat="1" applyFont="1" applyFill="1" applyBorder="1" applyAlignment="1">
      <alignment horizontal="left" vertical="center"/>
    </xf>
    <xf numFmtId="167" fontId="56" fillId="0" borderId="0" xfId="0" applyNumberFormat="1" applyFont="1" applyAlignment="1">
      <alignment horizontal="left"/>
    </xf>
    <xf numFmtId="167" fontId="56" fillId="0" borderId="70" xfId="24615" applyNumberFormat="1" applyFont="1" applyBorder="1"/>
    <xf numFmtId="167" fontId="58" fillId="0" borderId="70" xfId="24615" applyNumberFormat="1" applyFont="1" applyBorder="1" applyAlignment="1">
      <alignment horizontal="center"/>
    </xf>
    <xf numFmtId="0" fontId="56" fillId="0" borderId="72" xfId="24615" applyFont="1" applyBorder="1" applyAlignment="1">
      <alignment horizontal="left"/>
    </xf>
    <xf numFmtId="2" fontId="39" fillId="0" borderId="114" xfId="0" applyNumberFormat="1" applyFont="1" applyBorder="1" applyAlignment="1">
      <alignment horizontal="center" vertical="top"/>
    </xf>
    <xf numFmtId="0" fontId="56" fillId="0" borderId="115" xfId="24615" applyFont="1" applyBorder="1" applyAlignment="1">
      <alignment horizontal="left"/>
    </xf>
    <xf numFmtId="1" fontId="56" fillId="0" borderId="117" xfId="24615" applyNumberFormat="1" applyFont="1" applyBorder="1" applyAlignment="1">
      <alignment horizontal="center"/>
    </xf>
    <xf numFmtId="167" fontId="56" fillId="0" borderId="117" xfId="24615" applyNumberFormat="1" applyFont="1" applyBorder="1" applyAlignment="1">
      <alignment horizontal="center"/>
    </xf>
    <xf numFmtId="167" fontId="56" fillId="0" borderId="115" xfId="24615" applyNumberFormat="1" applyFont="1" applyBorder="1" applyAlignment="1">
      <alignment horizontal="center" vertical="center"/>
    </xf>
    <xf numFmtId="168" fontId="56" fillId="0" borderId="115" xfId="24615" applyNumberFormat="1" applyFont="1" applyBorder="1" applyAlignment="1">
      <alignment horizontal="center" vertical="center"/>
    </xf>
    <xf numFmtId="167" fontId="56" fillId="0" borderId="115" xfId="24615" applyNumberFormat="1" applyFont="1" applyBorder="1"/>
    <xf numFmtId="167" fontId="58" fillId="0" borderId="115" xfId="24615" applyNumberFormat="1" applyFont="1" applyBorder="1" applyAlignment="1">
      <alignment horizontal="center"/>
    </xf>
    <xf numFmtId="167" fontId="56" fillId="0" borderId="118" xfId="0" applyNumberFormat="1" applyFont="1" applyBorder="1" applyAlignment="1">
      <alignment horizontal="center"/>
    </xf>
    <xf numFmtId="1" fontId="56" fillId="52" borderId="83" xfId="0" applyNumberFormat="1" applyFont="1" applyFill="1" applyBorder="1" applyAlignment="1">
      <alignment horizontal="center"/>
    </xf>
    <xf numFmtId="167" fontId="56" fillId="52" borderId="86" xfId="0" applyNumberFormat="1" applyFont="1" applyFill="1" applyBorder="1" applyAlignment="1">
      <alignment horizontal="center"/>
    </xf>
    <xf numFmtId="167" fontId="56" fillId="52" borderId="80" xfId="0" applyNumberFormat="1" applyFont="1" applyFill="1" applyBorder="1" applyAlignment="1">
      <alignment horizontal="center"/>
    </xf>
    <xf numFmtId="168" fontId="56" fillId="52" borderId="75" xfId="0" applyNumberFormat="1" applyFont="1" applyFill="1" applyBorder="1"/>
    <xf numFmtId="167" fontId="56" fillId="52" borderId="75" xfId="0" applyNumberFormat="1" applyFont="1" applyFill="1" applyBorder="1" applyAlignment="1">
      <alignment horizontal="center"/>
    </xf>
    <xf numFmtId="167" fontId="56" fillId="52" borderId="74" xfId="0" applyNumberFormat="1" applyFont="1" applyFill="1" applyBorder="1"/>
    <xf numFmtId="167" fontId="56" fillId="52" borderId="74" xfId="0" applyNumberFormat="1" applyFont="1" applyFill="1" applyBorder="1" applyAlignment="1">
      <alignment horizontal="center"/>
    </xf>
    <xf numFmtId="2" fontId="39" fillId="52" borderId="74" xfId="0" applyNumberFormat="1" applyFont="1" applyFill="1" applyBorder="1" applyAlignment="1">
      <alignment horizontal="center" vertical="top"/>
    </xf>
    <xf numFmtId="167" fontId="95" fillId="0" borderId="10" xfId="0" applyNumberFormat="1" applyFont="1" applyBorder="1"/>
    <xf numFmtId="167" fontId="99" fillId="52" borderId="19" xfId="0" applyNumberFormat="1" applyFont="1" applyFill="1" applyBorder="1" applyAlignment="1">
      <alignment vertical="center" wrapText="1"/>
    </xf>
    <xf numFmtId="167" fontId="101" fillId="52" borderId="0" xfId="0" applyNumberFormat="1" applyFont="1" applyFill="1"/>
    <xf numFmtId="1" fontId="101" fillId="52" borderId="12" xfId="0" applyNumberFormat="1" applyFont="1" applyFill="1" applyBorder="1" applyAlignment="1">
      <alignment horizontal="center"/>
    </xf>
    <xf numFmtId="167" fontId="101" fillId="52" borderId="41" xfId="0" applyNumberFormat="1" applyFont="1" applyFill="1" applyBorder="1" applyAlignment="1">
      <alignment horizontal="center"/>
    </xf>
    <xf numFmtId="167" fontId="101" fillId="52" borderId="27" xfId="0" applyNumberFormat="1" applyFont="1" applyFill="1" applyBorder="1"/>
    <xf numFmtId="168" fontId="101" fillId="52" borderId="20" xfId="0" applyNumberFormat="1" applyFont="1" applyFill="1" applyBorder="1"/>
    <xf numFmtId="167" fontId="101" fillId="52" borderId="20" xfId="0" applyNumberFormat="1" applyFont="1" applyFill="1" applyBorder="1"/>
    <xf numFmtId="167" fontId="101" fillId="52" borderId="13" xfId="0" applyNumberFormat="1" applyFont="1" applyFill="1" applyBorder="1"/>
    <xf numFmtId="167" fontId="101" fillId="52" borderId="13" xfId="0" applyNumberFormat="1" applyFont="1" applyFill="1" applyBorder="1" applyAlignment="1">
      <alignment horizontal="center"/>
    </xf>
    <xf numFmtId="2" fontId="101" fillId="52" borderId="13" xfId="0" applyNumberFormat="1" applyFont="1" applyFill="1" applyBorder="1" applyAlignment="1">
      <alignment horizontal="center" vertical="top"/>
    </xf>
    <xf numFmtId="167" fontId="99" fillId="52" borderId="73" xfId="0" applyNumberFormat="1" applyFont="1" applyFill="1" applyBorder="1" applyAlignment="1">
      <alignment horizontal="left" vertical="center" wrapText="1"/>
    </xf>
    <xf numFmtId="0" fontId="102" fillId="52" borderId="74" xfId="0" applyFont="1" applyFill="1" applyBorder="1" applyAlignment="1">
      <alignment horizontal="left" vertical="center"/>
    </xf>
    <xf numFmtId="167" fontId="105" fillId="52" borderId="42" xfId="0" applyNumberFormat="1" applyFont="1" applyFill="1" applyBorder="1" applyAlignment="1">
      <alignment horizontal="left" vertical="center"/>
    </xf>
    <xf numFmtId="0" fontId="105" fillId="52" borderId="42" xfId="0" applyFont="1" applyFill="1" applyBorder="1" applyAlignment="1">
      <alignment horizontal="left" vertical="center"/>
    </xf>
    <xf numFmtId="0" fontId="105" fillId="53" borderId="42" xfId="0" applyFont="1" applyFill="1" applyBorder="1" applyAlignment="1">
      <alignment horizontal="left" vertical="center"/>
    </xf>
    <xf numFmtId="167" fontId="54" fillId="0" borderId="13" xfId="0" applyNumberFormat="1" applyFont="1" applyBorder="1"/>
    <xf numFmtId="167" fontId="52" fillId="0" borderId="20" xfId="0" applyNumberFormat="1" applyFont="1" applyBorder="1"/>
    <xf numFmtId="2" fontId="79" fillId="0" borderId="119" xfId="0" applyNumberFormat="1" applyFont="1" applyBorder="1" applyAlignment="1">
      <alignment horizontal="center" vertical="center" wrapText="1"/>
    </xf>
    <xf numFmtId="2" fontId="56" fillId="0" borderId="120" xfId="0" applyNumberFormat="1" applyFont="1" applyBorder="1" applyAlignment="1">
      <alignment horizontal="center" vertical="center"/>
    </xf>
    <xf numFmtId="2" fontId="56" fillId="0" borderId="120" xfId="0" applyNumberFormat="1" applyFont="1" applyBorder="1" applyAlignment="1">
      <alignment horizontal="center" vertical="top"/>
    </xf>
    <xf numFmtId="2" fontId="104" fillId="0" borderId="71" xfId="0" applyNumberFormat="1" applyFont="1" applyBorder="1" applyAlignment="1">
      <alignment horizontal="center" vertical="center" wrapText="1"/>
    </xf>
    <xf numFmtId="167" fontId="69" fillId="0" borderId="61" xfId="0" applyNumberFormat="1" applyFont="1" applyBorder="1" applyAlignment="1">
      <alignment horizontal="center" vertical="center"/>
    </xf>
    <xf numFmtId="167" fontId="69" fillId="0" borderId="60" xfId="0" applyNumberFormat="1" applyFont="1" applyBorder="1" applyAlignment="1">
      <alignment horizontal="center" vertical="center"/>
    </xf>
    <xf numFmtId="1" fontId="60" fillId="0" borderId="10" xfId="0" applyNumberFormat="1" applyFont="1" applyBorder="1" applyAlignment="1">
      <alignment horizontal="center"/>
    </xf>
    <xf numFmtId="10" fontId="60" fillId="0" borderId="0" xfId="0" applyNumberFormat="1" applyFont="1" applyAlignment="1">
      <alignment horizontal="center"/>
    </xf>
    <xf numFmtId="167" fontId="60" fillId="0" borderId="13" xfId="0" applyNumberFormat="1" applyFont="1" applyBorder="1" applyAlignment="1">
      <alignment horizontal="center" vertical="center"/>
    </xf>
    <xf numFmtId="167" fontId="60" fillId="0" borderId="13" xfId="0" applyNumberFormat="1" applyFont="1" applyBorder="1"/>
    <xf numFmtId="167" fontId="60" fillId="0" borderId="20" xfId="0" applyNumberFormat="1" applyFont="1" applyBorder="1" applyAlignment="1">
      <alignment horizontal="center" vertical="center"/>
    </xf>
    <xf numFmtId="167" fontId="56" fillId="0" borderId="33" xfId="0" applyNumberFormat="1" applyFont="1" applyBorder="1" applyAlignment="1">
      <alignment horizontal="left"/>
    </xf>
    <xf numFmtId="167" fontId="56" fillId="0" borderId="34" xfId="0" applyNumberFormat="1" applyFont="1" applyBorder="1" applyAlignment="1">
      <alignment horizontal="left"/>
    </xf>
    <xf numFmtId="167" fontId="56" fillId="0" borderId="27" xfId="0" applyNumberFormat="1" applyFont="1" applyBorder="1" applyAlignment="1">
      <alignment horizontal="left"/>
    </xf>
    <xf numFmtId="10" fontId="56" fillId="0" borderId="0" xfId="0" applyNumberFormat="1" applyFont="1" applyAlignment="1">
      <alignment horizontal="center"/>
    </xf>
    <xf numFmtId="167" fontId="56" fillId="0" borderId="10" xfId="0" applyNumberFormat="1" applyFont="1" applyBorder="1" applyAlignment="1">
      <alignment horizontal="center"/>
    </xf>
    <xf numFmtId="167" fontId="56" fillId="0" borderId="10" xfId="0" applyNumberFormat="1" applyFont="1" applyBorder="1" applyAlignment="1">
      <alignment horizontal="left" vertical="center"/>
    </xf>
    <xf numFmtId="0" fontId="56" fillId="0" borderId="13" xfId="0" applyFont="1" applyBorder="1" applyAlignment="1">
      <alignment horizontal="center" vertical="center"/>
    </xf>
    <xf numFmtId="0" fontId="107" fillId="0" borderId="13" xfId="0" applyFont="1" applyBorder="1" applyAlignment="1">
      <alignment horizontal="left"/>
    </xf>
    <xf numFmtId="9" fontId="56" fillId="0" borderId="41" xfId="0" applyNumberFormat="1" applyFont="1" applyBorder="1" applyAlignment="1">
      <alignment horizontal="center"/>
    </xf>
    <xf numFmtId="0" fontId="56" fillId="0" borderId="105" xfId="0" applyFont="1" applyBorder="1" applyAlignment="1">
      <alignment horizontal="left"/>
    </xf>
    <xf numFmtId="1" fontId="56" fillId="0" borderId="112" xfId="0" applyNumberFormat="1" applyFont="1" applyBorder="1" applyAlignment="1">
      <alignment horizontal="center"/>
    </xf>
    <xf numFmtId="167" fontId="56" fillId="0" borderId="106" xfId="0" applyNumberFormat="1" applyFont="1" applyBorder="1" applyAlignment="1">
      <alignment horizontal="center"/>
    </xf>
    <xf numFmtId="9" fontId="56" fillId="0" borderId="106" xfId="0" applyNumberFormat="1" applyFont="1" applyBorder="1" applyAlignment="1">
      <alignment horizontal="center"/>
    </xf>
    <xf numFmtId="167" fontId="56" fillId="0" borderId="113" xfId="0" applyNumberFormat="1" applyFont="1" applyBorder="1" applyAlignment="1">
      <alignment horizontal="center"/>
    </xf>
    <xf numFmtId="0" fontId="22" fillId="0" borderId="93" xfId="0" applyFont="1" applyBorder="1" applyAlignment="1">
      <alignment horizontal="left" vertical="top" wrapText="1"/>
    </xf>
    <xf numFmtId="167" fontId="66" fillId="0" borderId="0" xfId="0" applyNumberFormat="1" applyFont="1" applyAlignment="1">
      <alignment horizontal="left" vertical="top"/>
    </xf>
    <xf numFmtId="167" fontId="22" fillId="0" borderId="22" xfId="0" applyNumberFormat="1" applyFont="1" applyBorder="1" applyAlignment="1">
      <alignment horizontal="left" vertical="top" wrapText="1"/>
    </xf>
    <xf numFmtId="167" fontId="22" fillId="0" borderId="11" xfId="0" applyNumberFormat="1" applyFont="1" applyBorder="1" applyAlignment="1">
      <alignment horizontal="left" vertical="top" wrapText="1"/>
    </xf>
    <xf numFmtId="2" fontId="22" fillId="0" borderId="87" xfId="0" applyNumberFormat="1" applyFont="1" applyBorder="1" applyAlignment="1">
      <alignment horizontal="left" vertical="top" wrapText="1"/>
    </xf>
    <xf numFmtId="168" fontId="22" fillId="0" borderId="24" xfId="0" applyNumberFormat="1" applyFont="1" applyBorder="1" applyAlignment="1">
      <alignment horizontal="left" vertical="top" wrapText="1"/>
    </xf>
    <xf numFmtId="2" fontId="22" fillId="0" borderId="24" xfId="0" applyNumberFormat="1" applyFont="1" applyBorder="1" applyAlignment="1">
      <alignment horizontal="left" vertical="top" wrapText="1"/>
    </xf>
    <xf numFmtId="2" fontId="22" fillId="0" borderId="22" xfId="0" applyNumberFormat="1" applyFont="1" applyBorder="1" applyAlignment="1">
      <alignment horizontal="left" vertical="top" wrapText="1"/>
    </xf>
    <xf numFmtId="0" fontId="66" fillId="0" borderId="93" xfId="0" applyFont="1" applyBorder="1" applyAlignment="1">
      <alignment horizontal="left" vertical="top" wrapText="1"/>
    </xf>
    <xf numFmtId="167" fontId="66" fillId="0" borderId="66" xfId="0" applyNumberFormat="1" applyFont="1" applyBorder="1" applyAlignment="1">
      <alignment horizontal="left" vertical="top" wrapText="1"/>
    </xf>
    <xf numFmtId="167" fontId="66" fillId="0" borderId="26" xfId="0" applyNumberFormat="1" applyFont="1" applyBorder="1" applyAlignment="1">
      <alignment horizontal="left" vertical="top" wrapText="1"/>
    </xf>
    <xf numFmtId="167" fontId="66" fillId="0" borderId="25" xfId="0" applyNumberFormat="1" applyFont="1" applyBorder="1" applyAlignment="1">
      <alignment horizontal="left" vertical="top" wrapText="1"/>
    </xf>
    <xf numFmtId="2" fontId="66" fillId="0" borderId="26" xfId="0" applyNumberFormat="1" applyFont="1" applyBorder="1" applyAlignment="1">
      <alignment horizontal="left" vertical="top" wrapText="1"/>
    </xf>
    <xf numFmtId="168" fontId="66" fillId="0" borderId="25" xfId="0" applyNumberFormat="1" applyFont="1" applyBorder="1" applyAlignment="1">
      <alignment horizontal="left" vertical="top" wrapText="1"/>
    </xf>
    <xf numFmtId="2" fontId="66" fillId="0" borderId="25" xfId="0" applyNumberFormat="1" applyFont="1" applyBorder="1" applyAlignment="1">
      <alignment horizontal="left" vertical="top" wrapText="1"/>
    </xf>
    <xf numFmtId="2" fontId="22" fillId="0" borderId="67" xfId="0" applyNumberFormat="1" applyFont="1" applyBorder="1" applyAlignment="1">
      <alignment horizontal="left" vertical="top" wrapText="1"/>
    </xf>
    <xf numFmtId="2" fontId="66" fillId="0" borderId="30" xfId="0" applyNumberFormat="1" applyFont="1" applyBorder="1" applyAlignment="1">
      <alignment horizontal="left" vertical="top" wrapText="1"/>
    </xf>
    <xf numFmtId="171" fontId="66" fillId="0" borderId="30" xfId="24614" applyNumberFormat="1" applyFont="1" applyBorder="1" applyAlignment="1">
      <alignment horizontal="left" vertical="top"/>
    </xf>
    <xf numFmtId="167" fontId="39" fillId="0" borderId="121" xfId="0" applyNumberFormat="1" applyFont="1" applyBorder="1"/>
    <xf numFmtId="0" fontId="56" fillId="0" borderId="111" xfId="24615" applyFont="1" applyBorder="1" applyAlignment="1">
      <alignment horizontal="left"/>
    </xf>
    <xf numFmtId="0" fontId="56" fillId="0" borderId="102" xfId="24615" applyFont="1" applyBorder="1" applyAlignment="1">
      <alignment horizontal="left"/>
    </xf>
    <xf numFmtId="1" fontId="56" fillId="0" borderId="41" xfId="24615" applyNumberFormat="1" applyFont="1" applyBorder="1" applyAlignment="1">
      <alignment horizontal="center"/>
    </xf>
    <xf numFmtId="167" fontId="56" fillId="0" borderId="102" xfId="24615" applyNumberFormat="1" applyFont="1" applyBorder="1" applyAlignment="1">
      <alignment horizontal="center"/>
    </xf>
    <xf numFmtId="167" fontId="56" fillId="0" borderId="102" xfId="24615" applyNumberFormat="1" applyFont="1" applyBorder="1" applyAlignment="1">
      <alignment horizontal="center" vertical="center"/>
    </xf>
    <xf numFmtId="168" fontId="56" fillId="0" borderId="102" xfId="24615" applyNumberFormat="1" applyFont="1" applyBorder="1" applyAlignment="1">
      <alignment horizontal="center" vertical="center"/>
    </xf>
    <xf numFmtId="167" fontId="23" fillId="52" borderId="42" xfId="0" applyNumberFormat="1" applyFont="1" applyFill="1" applyBorder="1" applyAlignment="1">
      <alignment horizontal="left" vertical="center"/>
    </xf>
    <xf numFmtId="167" fontId="56" fillId="52" borderId="80" xfId="0" applyNumberFormat="1" applyFont="1" applyFill="1" applyBorder="1"/>
    <xf numFmtId="0" fontId="56" fillId="0" borderId="70" xfId="24615" applyFont="1" applyBorder="1" applyAlignment="1">
      <alignment horizontal="left"/>
    </xf>
    <xf numFmtId="167" fontId="56" fillId="0" borderId="41" xfId="24615" applyNumberFormat="1" applyFont="1" applyBorder="1" applyAlignment="1">
      <alignment horizontal="center"/>
    </xf>
    <xf numFmtId="167" fontId="56" fillId="0" borderId="70" xfId="24615" applyNumberFormat="1" applyFont="1" applyBorder="1" applyAlignment="1">
      <alignment horizontal="center" vertical="center"/>
    </xf>
    <xf numFmtId="168" fontId="56" fillId="0" borderId="70" xfId="24615" applyNumberFormat="1" applyFont="1" applyBorder="1" applyAlignment="1">
      <alignment horizontal="center" vertical="center"/>
    </xf>
    <xf numFmtId="167" fontId="56" fillId="0" borderId="116" xfId="24615" applyNumberFormat="1" applyFont="1" applyBorder="1"/>
    <xf numFmtId="167" fontId="58" fillId="0" borderId="116" xfId="24615" applyNumberFormat="1" applyFont="1" applyBorder="1" applyAlignment="1">
      <alignment horizontal="center"/>
    </xf>
    <xf numFmtId="167" fontId="108" fillId="52" borderId="42" xfId="0" applyNumberFormat="1" applyFont="1" applyFill="1" applyBorder="1" applyAlignment="1">
      <alignment horizontal="center" vertical="top"/>
    </xf>
    <xf numFmtId="167" fontId="111" fillId="0" borderId="12" xfId="0" applyNumberFormat="1" applyFont="1" applyBorder="1" applyAlignment="1">
      <alignment horizontal="center" vertical="center"/>
    </xf>
    <xf numFmtId="167" fontId="83" fillId="0" borderId="12" xfId="0" applyNumberFormat="1" applyFont="1" applyBorder="1" applyAlignment="1">
      <alignment horizontal="center" vertical="center"/>
    </xf>
    <xf numFmtId="167" fontId="90" fillId="52" borderId="65" xfId="0" applyNumberFormat="1" applyFont="1" applyFill="1" applyBorder="1" applyAlignment="1">
      <alignment horizontal="center" vertical="center"/>
    </xf>
    <xf numFmtId="167" fontId="90" fillId="52" borderId="105" xfId="0" applyNumberFormat="1" applyFont="1" applyFill="1" applyBorder="1" applyAlignment="1">
      <alignment horizontal="center" vertical="center"/>
    </xf>
    <xf numFmtId="167" fontId="83" fillId="0" borderId="43" xfId="0" applyNumberFormat="1" applyFont="1" applyBorder="1" applyAlignment="1">
      <alignment horizontal="center" vertical="center"/>
    </xf>
    <xf numFmtId="167" fontId="83" fillId="52" borderId="74" xfId="0" applyNumberFormat="1" applyFont="1" applyFill="1" applyBorder="1" applyAlignment="1">
      <alignment horizontal="center" vertical="center"/>
    </xf>
    <xf numFmtId="167" fontId="112" fillId="52" borderId="13" xfId="0" applyNumberFormat="1" applyFont="1" applyFill="1" applyBorder="1"/>
    <xf numFmtId="167" fontId="58" fillId="0" borderId="13" xfId="0" applyNumberFormat="1" applyFont="1" applyBorder="1"/>
    <xf numFmtId="49" fontId="99" fillId="52" borderId="64" xfId="0" applyNumberFormat="1" applyFont="1" applyFill="1" applyBorder="1" applyAlignment="1">
      <alignment horizontal="left" vertical="center"/>
    </xf>
    <xf numFmtId="49" fontId="56" fillId="0" borderId="34" xfId="0" applyNumberFormat="1" applyFont="1" applyBorder="1" applyAlignment="1">
      <alignment horizontal="left" vertical="center"/>
    </xf>
    <xf numFmtId="49" fontId="99" fillId="52" borderId="92" xfId="0" applyNumberFormat="1" applyFont="1" applyFill="1" applyBorder="1" applyAlignment="1">
      <alignment vertical="center"/>
    </xf>
    <xf numFmtId="49" fontId="99" fillId="52" borderId="92" xfId="0" applyNumberFormat="1" applyFont="1" applyFill="1" applyBorder="1" applyAlignment="1">
      <alignment horizontal="left" vertical="center"/>
    </xf>
    <xf numFmtId="49" fontId="56" fillId="0" borderId="104" xfId="0" applyNumberFormat="1" applyFont="1" applyBorder="1" applyAlignment="1">
      <alignment horizontal="left"/>
    </xf>
    <xf numFmtId="49" fontId="56" fillId="0" borderId="32" xfId="0" applyNumberFormat="1" applyFont="1" applyBorder="1" applyAlignment="1">
      <alignment horizontal="left"/>
    </xf>
    <xf numFmtId="49" fontId="58" fillId="0" borderId="34" xfId="0" applyNumberFormat="1" applyFont="1" applyBorder="1" applyAlignment="1">
      <alignment horizontal="left" vertical="center"/>
    </xf>
    <xf numFmtId="49" fontId="56" fillId="0" borderId="111" xfId="0" applyNumberFormat="1" applyFont="1" applyBorder="1" applyAlignment="1">
      <alignment horizontal="left"/>
    </xf>
    <xf numFmtId="49" fontId="56" fillId="0" borderId="110" xfId="0" applyNumberFormat="1" applyFont="1" applyBorder="1" applyAlignment="1">
      <alignment horizontal="left"/>
    </xf>
    <xf numFmtId="49" fontId="99" fillId="52" borderId="109" xfId="0" applyNumberFormat="1" applyFont="1" applyFill="1" applyBorder="1" applyAlignment="1">
      <alignment horizontal="left" vertical="center"/>
    </xf>
    <xf numFmtId="49" fontId="58" fillId="0" borderId="34" xfId="0" applyNumberFormat="1" applyFont="1" applyBorder="1" applyAlignment="1">
      <alignment horizontal="left"/>
    </xf>
    <xf numFmtId="49" fontId="56" fillId="0" borderId="0" xfId="0" applyNumberFormat="1" applyFont="1"/>
    <xf numFmtId="167" fontId="56" fillId="0" borderId="10" xfId="0" applyNumberFormat="1" applyFont="1" applyBorder="1" applyAlignment="1">
      <alignment horizontal="left" vertical="center" wrapText="1"/>
    </xf>
    <xf numFmtId="2" fontId="79" fillId="0" borderId="71" xfId="0" applyNumberFormat="1" applyFont="1" applyBorder="1" applyAlignment="1">
      <alignment horizontal="center" vertical="center" wrapText="1"/>
    </xf>
    <xf numFmtId="2" fontId="80" fillId="0" borderId="71" xfId="0" applyNumberFormat="1" applyFont="1" applyBorder="1" applyAlignment="1">
      <alignment horizontal="center" vertical="center" wrapText="1"/>
    </xf>
    <xf numFmtId="2" fontId="78" fillId="0" borderId="122" xfId="0" applyNumberFormat="1" applyFont="1" applyBorder="1" applyAlignment="1">
      <alignment horizontal="center" vertical="center" wrapText="1"/>
    </xf>
    <xf numFmtId="0" fontId="107" fillId="0" borderId="34" xfId="0" applyFont="1" applyBorder="1" applyAlignment="1">
      <alignment horizontal="left"/>
    </xf>
    <xf numFmtId="0" fontId="107" fillId="0" borderId="13" xfId="0" applyFont="1" applyBorder="1" applyAlignment="1">
      <alignment horizontal="center"/>
    </xf>
    <xf numFmtId="167" fontId="107" fillId="0" borderId="20" xfId="0" applyNumberFormat="1" applyFont="1" applyBorder="1" applyAlignment="1">
      <alignment horizontal="center"/>
    </xf>
    <xf numFmtId="167" fontId="107" fillId="0" borderId="13" xfId="0" applyNumberFormat="1" applyFont="1" applyBorder="1" applyAlignment="1">
      <alignment horizontal="center"/>
    </xf>
    <xf numFmtId="10" fontId="107" fillId="0" borderId="20" xfId="0" applyNumberFormat="1" applyFont="1" applyBorder="1" applyAlignment="1">
      <alignment horizontal="center"/>
    </xf>
    <xf numFmtId="167" fontId="107" fillId="0" borderId="20" xfId="0" applyNumberFormat="1" applyFont="1" applyBorder="1" applyAlignment="1">
      <alignment horizontal="center" vertical="top"/>
    </xf>
    <xf numFmtId="167" fontId="114" fillId="0" borderId="13" xfId="0" applyNumberFormat="1" applyFont="1" applyBorder="1" applyAlignment="1">
      <alignment horizontal="center" vertical="top"/>
    </xf>
    <xf numFmtId="167" fontId="107" fillId="0" borderId="13" xfId="0" applyNumberFormat="1" applyFont="1" applyBorder="1" applyAlignment="1">
      <alignment horizontal="center" vertical="top"/>
    </xf>
    <xf numFmtId="167" fontId="115" fillId="0" borderId="40" xfId="0" applyNumberFormat="1" applyFont="1" applyBorder="1" applyAlignment="1">
      <alignment vertical="center"/>
    </xf>
    <xf numFmtId="167" fontId="115" fillId="0" borderId="23" xfId="0" applyNumberFormat="1" applyFont="1" applyBorder="1" applyAlignment="1">
      <alignment vertical="center"/>
    </xf>
    <xf numFmtId="167" fontId="56" fillId="0" borderId="107" xfId="0" applyNumberFormat="1" applyFont="1" applyBorder="1"/>
    <xf numFmtId="167" fontId="56" fillId="0" borderId="107" xfId="0" applyNumberFormat="1" applyFont="1" applyBorder="1" applyAlignment="1">
      <alignment horizontal="center"/>
    </xf>
    <xf numFmtId="167" fontId="56" fillId="0" borderId="108" xfId="0" applyNumberFormat="1" applyFont="1" applyBorder="1"/>
    <xf numFmtId="167" fontId="56" fillId="0" borderId="108" xfId="0" applyNumberFormat="1" applyFont="1" applyBorder="1" applyAlignment="1">
      <alignment horizontal="center"/>
    </xf>
    <xf numFmtId="0" fontId="113" fillId="0" borderId="0" xfId="24615" applyFont="1"/>
    <xf numFmtId="0" fontId="116" fillId="0" borderId="0" xfId="24615" applyFont="1" applyAlignment="1">
      <alignment horizontal="left" vertical="center"/>
    </xf>
    <xf numFmtId="0" fontId="117" fillId="0" borderId="0" xfId="24615" applyFont="1" applyAlignment="1">
      <alignment horizontal="center" vertical="center"/>
    </xf>
    <xf numFmtId="0" fontId="116" fillId="0" borderId="35" xfId="24615" applyFont="1" applyBorder="1" applyAlignment="1">
      <alignment horizontal="left" vertical="center"/>
    </xf>
    <xf numFmtId="0" fontId="116" fillId="0" borderId="36" xfId="24615" applyFont="1" applyBorder="1" applyAlignment="1">
      <alignment horizontal="center" vertical="center"/>
    </xf>
    <xf numFmtId="0" fontId="116" fillId="0" borderId="37" xfId="24615" applyFont="1" applyBorder="1" applyAlignment="1">
      <alignment horizontal="center" vertical="center"/>
    </xf>
    <xf numFmtId="167" fontId="116" fillId="0" borderId="37" xfId="24615" applyNumberFormat="1" applyFont="1" applyBorder="1" applyAlignment="1">
      <alignment horizontal="center" vertical="center" wrapText="1"/>
    </xf>
    <xf numFmtId="49" fontId="56" fillId="0" borderId="34" xfId="24615" applyNumberFormat="1" applyFont="1" applyBorder="1" applyAlignment="1">
      <alignment horizontal="left"/>
    </xf>
    <xf numFmtId="167" fontId="118" fillId="0" borderId="12" xfId="0" applyNumberFormat="1" applyFont="1" applyBorder="1" applyAlignment="1">
      <alignment horizontal="center" vertical="center"/>
    </xf>
    <xf numFmtId="0" fontId="109" fillId="0" borderId="123" xfId="0" applyFont="1" applyBorder="1" applyAlignment="1">
      <alignment horizontal="left" vertical="top"/>
    </xf>
    <xf numFmtId="167" fontId="84" fillId="0" borderId="30" xfId="0" applyNumberFormat="1" applyFont="1" applyBorder="1" applyAlignment="1">
      <alignment vertical="center" wrapText="1"/>
    </xf>
    <xf numFmtId="167" fontId="71" fillId="0" borderId="26" xfId="0" applyNumberFormat="1" applyFont="1" applyBorder="1" applyAlignment="1">
      <alignment vertical="center" textRotation="90" wrapText="1"/>
    </xf>
    <xf numFmtId="167" fontId="71" fillId="0" borderId="26" xfId="0" applyNumberFormat="1" applyFont="1" applyBorder="1" applyAlignment="1">
      <alignment horizontal="center" vertical="center" wrapText="1"/>
    </xf>
    <xf numFmtId="167" fontId="56" fillId="0" borderId="127" xfId="0" applyNumberFormat="1" applyFont="1" applyBorder="1" applyAlignment="1">
      <alignment horizontal="center" vertical="top"/>
    </xf>
    <xf numFmtId="167" fontId="83" fillId="0" borderId="126" xfId="0" applyNumberFormat="1" applyFont="1" applyBorder="1" applyAlignment="1">
      <alignment horizontal="center" vertical="center"/>
    </xf>
    <xf numFmtId="2" fontId="56" fillId="0" borderId="128" xfId="0" applyNumberFormat="1" applyFont="1" applyBorder="1" applyAlignment="1">
      <alignment horizontal="center" vertical="center"/>
    </xf>
    <xf numFmtId="0" fontId="94" fillId="53" borderId="124" xfId="0" applyFont="1" applyFill="1" applyBorder="1" applyAlignment="1">
      <alignment vertical="center"/>
    </xf>
    <xf numFmtId="0" fontId="94" fillId="53" borderId="125" xfId="0" applyFont="1" applyFill="1" applyBorder="1" applyAlignment="1">
      <alignment vertical="center"/>
    </xf>
    <xf numFmtId="167" fontId="52" fillId="0" borderId="130" xfId="0" applyNumberFormat="1" applyFont="1" applyBorder="1"/>
    <xf numFmtId="167" fontId="112" fillId="0" borderId="30" xfId="0" applyNumberFormat="1" applyFont="1" applyBorder="1" applyAlignment="1">
      <alignment horizontal="center" vertical="center" wrapText="1"/>
    </xf>
    <xf numFmtId="167" fontId="71" fillId="0" borderId="82" xfId="0" applyNumberFormat="1" applyFont="1" applyBorder="1" applyAlignment="1">
      <alignment vertical="center" textRotation="90" wrapText="1"/>
    </xf>
    <xf numFmtId="167" fontId="71" fillId="0" borderId="82" xfId="0" applyNumberFormat="1" applyFont="1" applyBorder="1" applyAlignment="1">
      <alignment horizontal="center" vertical="center" wrapText="1"/>
    </xf>
    <xf numFmtId="49" fontId="56" fillId="0" borderId="111" xfId="0" applyNumberFormat="1" applyFont="1" applyBorder="1" applyAlignment="1">
      <alignment horizontal="left" vertical="center"/>
    </xf>
    <xf numFmtId="167" fontId="56" fillId="0" borderId="20" xfId="0" applyNumberFormat="1" applyFont="1" applyBorder="1" applyAlignment="1">
      <alignment horizontal="left"/>
    </xf>
    <xf numFmtId="49" fontId="56" fillId="0" borderId="131" xfId="0" applyNumberFormat="1" applyFont="1" applyBorder="1" applyAlignment="1">
      <alignment horizontal="left"/>
    </xf>
    <xf numFmtId="0" fontId="56" fillId="0" borderId="27" xfId="0" applyFont="1" applyBorder="1" applyAlignment="1">
      <alignment horizontal="left"/>
    </xf>
    <xf numFmtId="2" fontId="56" fillId="0" borderId="91" xfId="0" applyNumberFormat="1" applyFont="1" applyBorder="1" applyAlignment="1">
      <alignment horizontal="center" vertical="top"/>
    </xf>
    <xf numFmtId="0" fontId="47" fillId="0" borderId="133" xfId="0" applyFont="1" applyBorder="1" applyAlignment="1">
      <alignment horizontal="left" vertical="top" wrapText="1"/>
    </xf>
    <xf numFmtId="167" fontId="47" fillId="0" borderId="10" xfId="0" applyNumberFormat="1" applyFont="1" applyBorder="1" applyAlignment="1">
      <alignment horizontal="left" vertical="top" wrapText="1"/>
    </xf>
    <xf numFmtId="167" fontId="47" fillId="0" borderId="12" xfId="0" applyNumberFormat="1" applyFont="1" applyBorder="1" applyAlignment="1">
      <alignment horizontal="center" vertical="top" wrapText="1"/>
    </xf>
    <xf numFmtId="167" fontId="47" fillId="0" borderId="41" xfId="0" applyNumberFormat="1" applyFont="1" applyBorder="1" applyAlignment="1">
      <alignment horizontal="center" vertical="top" wrapText="1"/>
    </xf>
    <xf numFmtId="2" fontId="47" fillId="0" borderId="27" xfId="0" applyNumberFormat="1" applyFont="1" applyBorder="1" applyAlignment="1">
      <alignment horizontal="center" vertical="top" wrapText="1"/>
    </xf>
    <xf numFmtId="168" fontId="47" fillId="0" borderId="20" xfId="0" applyNumberFormat="1" applyFont="1" applyBorder="1" applyAlignment="1">
      <alignment horizontal="center" vertical="top" wrapText="1"/>
    </xf>
    <xf numFmtId="2" fontId="47" fillId="0" borderId="20" xfId="0" applyNumberFormat="1" applyFont="1" applyBorder="1" applyAlignment="1">
      <alignment horizontal="center" vertical="top" wrapText="1"/>
    </xf>
    <xf numFmtId="2" fontId="58" fillId="0" borderId="13" xfId="0" applyNumberFormat="1" applyFont="1" applyBorder="1" applyAlignment="1">
      <alignment horizontal="center" vertical="top" wrapText="1"/>
    </xf>
    <xf numFmtId="167" fontId="39" fillId="0" borderId="12" xfId="0" applyNumberFormat="1" applyFont="1" applyBorder="1"/>
    <xf numFmtId="2" fontId="39" fillId="0" borderId="134" xfId="0" applyNumberFormat="1" applyFont="1" applyBorder="1" applyAlignment="1">
      <alignment horizontal="center" vertical="top"/>
    </xf>
    <xf numFmtId="2" fontId="39" fillId="0" borderId="12" xfId="0" applyNumberFormat="1" applyFont="1" applyBorder="1" applyAlignment="1">
      <alignment horizontal="center" vertical="top"/>
    </xf>
    <xf numFmtId="2" fontId="39" fillId="52" borderId="83" xfId="0" applyNumberFormat="1" applyFont="1" applyFill="1" applyBorder="1" applyAlignment="1">
      <alignment horizontal="center" vertical="top"/>
    </xf>
    <xf numFmtId="2" fontId="101" fillId="52" borderId="12" xfId="0" applyNumberFormat="1" applyFont="1" applyFill="1" applyBorder="1" applyAlignment="1">
      <alignment horizontal="center" vertical="top"/>
    </xf>
    <xf numFmtId="0" fontId="43" fillId="33" borderId="34" xfId="0" applyFont="1" applyFill="1" applyBorder="1" applyAlignment="1">
      <alignment horizontal="center"/>
    </xf>
    <xf numFmtId="0" fontId="43" fillId="0" borderId="34" xfId="0" applyFont="1" applyBorder="1" applyAlignment="1">
      <alignment horizontal="center"/>
    </xf>
    <xf numFmtId="9" fontId="56" fillId="0" borderId="139" xfId="0" applyNumberFormat="1" applyFont="1" applyBorder="1" applyAlignment="1">
      <alignment horizontal="center"/>
    </xf>
    <xf numFmtId="167" fontId="56" fillId="0" borderId="139" xfId="0" applyNumberFormat="1" applyFont="1" applyBorder="1" applyAlignment="1">
      <alignment horizontal="center" vertical="center"/>
    </xf>
    <xf numFmtId="167" fontId="56" fillId="0" borderId="137" xfId="0" applyNumberFormat="1" applyFont="1" applyBorder="1"/>
    <xf numFmtId="167" fontId="56" fillId="0" borderId="137" xfId="0" applyNumberFormat="1" applyFont="1" applyBorder="1" applyAlignment="1">
      <alignment horizontal="center"/>
    </xf>
    <xf numFmtId="49" fontId="56" fillId="0" borderId="96" xfId="0" applyNumberFormat="1" applyFont="1" applyBorder="1" applyAlignment="1">
      <alignment horizontal="left"/>
    </xf>
    <xf numFmtId="1" fontId="56" fillId="0" borderId="137" xfId="0" applyNumberFormat="1" applyFont="1" applyBorder="1" applyAlignment="1">
      <alignment horizontal="center"/>
    </xf>
    <xf numFmtId="167" fontId="56" fillId="0" borderId="97" xfId="0" applyNumberFormat="1" applyFont="1" applyBorder="1" applyAlignment="1">
      <alignment horizontal="center"/>
    </xf>
    <xf numFmtId="167" fontId="56" fillId="0" borderId="132" xfId="0" applyNumberFormat="1" applyFont="1" applyBorder="1" applyAlignment="1">
      <alignment horizontal="center"/>
    </xf>
    <xf numFmtId="167" fontId="56" fillId="0" borderId="139" xfId="0" applyNumberFormat="1" applyFont="1" applyBorder="1" applyAlignment="1">
      <alignment horizontal="center"/>
    </xf>
    <xf numFmtId="0" fontId="94" fillId="33" borderId="34" xfId="0" applyFont="1" applyFill="1" applyBorder="1" applyAlignment="1">
      <alignment horizontal="center" vertical="center"/>
    </xf>
    <xf numFmtId="167" fontId="46" fillId="0" borderId="13" xfId="0" applyNumberFormat="1" applyFont="1" applyBorder="1"/>
    <xf numFmtId="0" fontId="47" fillId="0" borderId="93" xfId="0" applyFont="1" applyBorder="1" applyAlignment="1">
      <alignment horizontal="left" vertical="top" wrapText="1"/>
    </xf>
    <xf numFmtId="0" fontId="56" fillId="0" borderId="141" xfId="24615" applyFont="1" applyBorder="1" applyAlignment="1">
      <alignment horizontal="left"/>
    </xf>
    <xf numFmtId="167" fontId="56" fillId="0" borderId="142" xfId="0" applyNumberFormat="1" applyFont="1" applyBorder="1" applyAlignment="1">
      <alignment horizontal="left"/>
    </xf>
    <xf numFmtId="1" fontId="56" fillId="0" borderId="138" xfId="24615" applyNumberFormat="1" applyFont="1" applyBorder="1" applyAlignment="1">
      <alignment horizontal="center"/>
    </xf>
    <xf numFmtId="167" fontId="56" fillId="0" borderId="143" xfId="24615" applyNumberFormat="1" applyFont="1" applyBorder="1" applyAlignment="1">
      <alignment horizontal="center"/>
    </xf>
    <xf numFmtId="167" fontId="56" fillId="0" borderId="143" xfId="24615" applyNumberFormat="1" applyFont="1" applyBorder="1" applyAlignment="1">
      <alignment horizontal="center" vertical="center"/>
    </xf>
    <xf numFmtId="0" fontId="43" fillId="33" borderId="34" xfId="24615" applyFont="1" applyFill="1" applyBorder="1" applyAlignment="1">
      <alignment horizontal="center"/>
    </xf>
    <xf numFmtId="167" fontId="44" fillId="0" borderId="0" xfId="24615" applyNumberFormat="1" applyFont="1"/>
    <xf numFmtId="0" fontId="43" fillId="0" borderId="34" xfId="24615" applyFont="1" applyBorder="1" applyAlignment="1">
      <alignment horizontal="center"/>
    </xf>
    <xf numFmtId="0" fontId="47" fillId="0" borderId="93" xfId="24615" applyFont="1" applyBorder="1" applyAlignment="1">
      <alignment horizontal="left" vertical="top" wrapText="1"/>
    </xf>
    <xf numFmtId="0" fontId="47" fillId="0" borderId="144" xfId="24615" applyFont="1" applyBorder="1" applyAlignment="1">
      <alignment horizontal="left"/>
    </xf>
    <xf numFmtId="167" fontId="62" fillId="0" borderId="145" xfId="24615" applyNumberFormat="1" applyFont="1" applyBorder="1" applyAlignment="1">
      <alignment vertical="center" wrapText="1"/>
    </xf>
    <xf numFmtId="0" fontId="39" fillId="0" borderId="34" xfId="24615" applyFont="1" applyBorder="1" applyAlignment="1">
      <alignment horizontal="left"/>
    </xf>
    <xf numFmtId="0" fontId="56" fillId="0" borderId="34" xfId="24615" applyFont="1" applyBorder="1" applyAlignment="1">
      <alignment horizontal="left"/>
    </xf>
    <xf numFmtId="0" fontId="47" fillId="0" borderId="34" xfId="24615" applyFont="1" applyBorder="1" applyAlignment="1">
      <alignment horizontal="left"/>
    </xf>
    <xf numFmtId="0" fontId="59" fillId="0" borderId="34" xfId="24615" applyFont="1" applyBorder="1" applyAlignment="1">
      <alignment horizontal="left"/>
    </xf>
    <xf numFmtId="167" fontId="62" fillId="0" borderId="136" xfId="24615" applyNumberFormat="1" applyFont="1" applyBorder="1" applyAlignment="1">
      <alignment vertical="center" wrapText="1"/>
    </xf>
    <xf numFmtId="167" fontId="56" fillId="0" borderId="12" xfId="24615" applyNumberFormat="1" applyFont="1" applyBorder="1"/>
    <xf numFmtId="167" fontId="39" fillId="0" borderId="12" xfId="24615" applyNumberFormat="1" applyFont="1" applyBorder="1"/>
    <xf numFmtId="167" fontId="52" fillId="0" borderId="86" xfId="24615" applyNumberFormat="1" applyFont="1" applyBorder="1"/>
    <xf numFmtId="1" fontId="56" fillId="0" borderId="0" xfId="0" applyNumberFormat="1" applyFont="1" applyAlignment="1">
      <alignment horizontal="center"/>
    </xf>
    <xf numFmtId="0" fontId="56" fillId="0" borderId="0" xfId="0" applyFont="1" applyAlignment="1">
      <alignment horizontal="left"/>
    </xf>
    <xf numFmtId="167" fontId="56" fillId="0" borderId="0" xfId="24615" applyNumberFormat="1" applyFont="1" applyAlignment="1">
      <alignment horizontal="center"/>
    </xf>
    <xf numFmtId="167" fontId="56" fillId="0" borderId="0" xfId="0" applyNumberFormat="1" applyFont="1" applyAlignment="1">
      <alignment horizontal="center" vertical="top"/>
    </xf>
    <xf numFmtId="167" fontId="107" fillId="0" borderId="0" xfId="0" applyNumberFormat="1" applyFont="1" applyAlignment="1">
      <alignment horizontal="center"/>
    </xf>
    <xf numFmtId="0" fontId="56" fillId="0" borderId="137" xfId="0" applyFont="1" applyBorder="1" applyAlignment="1">
      <alignment horizontal="left"/>
    </xf>
    <xf numFmtId="2" fontId="56" fillId="0" borderId="13" xfId="0" applyNumberFormat="1" applyFont="1" applyBorder="1" applyAlignment="1">
      <alignment horizontal="center" vertical="center"/>
    </xf>
    <xf numFmtId="2" fontId="56" fillId="0" borderId="12" xfId="0" applyNumberFormat="1" applyFont="1" applyBorder="1" applyAlignment="1">
      <alignment horizontal="center" vertical="center"/>
    </xf>
    <xf numFmtId="2" fontId="56" fillId="0" borderId="27" xfId="0" applyNumberFormat="1" applyFont="1" applyBorder="1" applyAlignment="1">
      <alignment horizontal="center" vertical="center"/>
    </xf>
    <xf numFmtId="0" fontId="3" fillId="0" borderId="30" xfId="24615" applyFont="1" applyBorder="1" applyAlignment="1">
      <alignment horizontal="center" vertical="center"/>
    </xf>
    <xf numFmtId="0" fontId="3" fillId="0" borderId="13" xfId="24615" applyFont="1" applyBorder="1" applyAlignment="1">
      <alignment horizontal="center" vertical="center"/>
    </xf>
    <xf numFmtId="0" fontId="3" fillId="0" borderId="19" xfId="24615" applyFont="1" applyBorder="1" applyAlignment="1">
      <alignment horizontal="center" vertical="center"/>
    </xf>
    <xf numFmtId="167" fontId="3" fillId="0" borderId="19" xfId="24615" applyNumberFormat="1" applyFont="1" applyBorder="1" applyAlignment="1">
      <alignment horizontal="center" vertical="center"/>
    </xf>
    <xf numFmtId="2" fontId="79" fillId="0" borderId="146" xfId="0" applyNumberFormat="1" applyFont="1" applyBorder="1" applyAlignment="1">
      <alignment horizontal="center" vertical="center" wrapText="1"/>
    </xf>
    <xf numFmtId="2" fontId="106" fillId="0" borderId="71" xfId="0" applyNumberFormat="1" applyFont="1" applyBorder="1" applyAlignment="1">
      <alignment horizontal="center" vertical="center" wrapText="1"/>
    </xf>
    <xf numFmtId="2" fontId="79" fillId="0" borderId="62" xfId="0" applyNumberFormat="1" applyFont="1" applyBorder="1" applyAlignment="1">
      <alignment horizontal="center" vertical="center" wrapText="1"/>
    </xf>
    <xf numFmtId="2" fontId="79" fillId="0" borderId="147" xfId="0" applyNumberFormat="1" applyFont="1" applyBorder="1" applyAlignment="1">
      <alignment horizontal="center" vertical="center" wrapText="1"/>
    </xf>
    <xf numFmtId="2" fontId="79" fillId="0" borderId="148" xfId="0" applyNumberFormat="1" applyFont="1" applyBorder="1" applyAlignment="1">
      <alignment horizontal="center" vertical="center" wrapText="1"/>
    </xf>
    <xf numFmtId="2" fontId="106" fillId="0" borderId="148" xfId="0" applyNumberFormat="1" applyFont="1" applyBorder="1" applyAlignment="1">
      <alignment horizontal="center" vertical="center" wrapText="1"/>
    </xf>
    <xf numFmtId="0" fontId="78" fillId="0" borderId="149" xfId="0" applyFont="1" applyBorder="1" applyAlignment="1">
      <alignment horizontal="center" vertical="center"/>
    </xf>
    <xf numFmtId="0" fontId="98" fillId="52" borderId="150" xfId="0" applyFont="1" applyFill="1" applyBorder="1" applyAlignment="1">
      <alignment horizontal="center"/>
    </xf>
    <xf numFmtId="167" fontId="98" fillId="52" borderId="151" xfId="0" applyNumberFormat="1" applyFont="1" applyFill="1" applyBorder="1" applyAlignment="1">
      <alignment horizontal="center"/>
    </xf>
    <xf numFmtId="9" fontId="98" fillId="52" borderId="151" xfId="0" applyNumberFormat="1" applyFont="1" applyFill="1" applyBorder="1" applyAlignment="1">
      <alignment horizontal="center"/>
    </xf>
    <xf numFmtId="167" fontId="98" fillId="52" borderId="151" xfId="0" applyNumberFormat="1" applyFont="1" applyFill="1" applyBorder="1" applyAlignment="1">
      <alignment horizontal="center" vertical="top"/>
    </xf>
    <xf numFmtId="167" fontId="43" fillId="52" borderId="151" xfId="0" applyNumberFormat="1" applyFont="1" applyFill="1" applyBorder="1" applyAlignment="1">
      <alignment horizontal="center" vertical="top"/>
    </xf>
    <xf numFmtId="167" fontId="108" fillId="52" borderId="151" xfId="0" applyNumberFormat="1" applyFont="1" applyFill="1" applyBorder="1" applyAlignment="1">
      <alignment horizontal="center" vertical="top"/>
    </xf>
    <xf numFmtId="167" fontId="43" fillId="52" borderId="151" xfId="0" applyNumberFormat="1" applyFont="1" applyFill="1" applyBorder="1" applyAlignment="1">
      <alignment horizontal="center" vertical="center"/>
    </xf>
    <xf numFmtId="167" fontId="56" fillId="0" borderId="91" xfId="0" applyNumberFormat="1" applyFont="1" applyBorder="1"/>
    <xf numFmtId="167" fontId="71" fillId="0" borderId="152" xfId="0" applyNumberFormat="1" applyFont="1" applyBorder="1" applyAlignment="1">
      <alignment vertical="center" textRotation="90" wrapText="1"/>
    </xf>
    <xf numFmtId="167" fontId="71" fillId="0" borderId="152" xfId="0" applyNumberFormat="1" applyFont="1" applyBorder="1" applyAlignment="1">
      <alignment horizontal="center" vertical="center" wrapText="1"/>
    </xf>
    <xf numFmtId="2" fontId="56" fillId="0" borderId="153" xfId="0" applyNumberFormat="1" applyFont="1" applyBorder="1" applyAlignment="1">
      <alignment horizontal="center" vertical="top"/>
    </xf>
    <xf numFmtId="167" fontId="83" fillId="0" borderId="137" xfId="0" applyNumberFormat="1" applyFont="1" applyBorder="1" applyAlignment="1">
      <alignment horizontal="center" vertical="center"/>
    </xf>
    <xf numFmtId="2" fontId="56" fillId="0" borderId="137" xfId="0" applyNumberFormat="1" applyFont="1" applyBorder="1" applyAlignment="1">
      <alignment horizontal="center" vertical="top"/>
    </xf>
    <xf numFmtId="2" fontId="56" fillId="0" borderId="98" xfId="0" applyNumberFormat="1" applyFont="1" applyBorder="1" applyAlignment="1">
      <alignment horizontal="center" vertical="top"/>
    </xf>
    <xf numFmtId="0" fontId="56" fillId="0" borderId="155" xfId="0" applyFont="1" applyBorder="1" applyAlignment="1">
      <alignment horizontal="left"/>
    </xf>
    <xf numFmtId="1" fontId="56" fillId="0" borderId="98" xfId="0" applyNumberFormat="1" applyFont="1" applyBorder="1" applyAlignment="1">
      <alignment horizontal="center"/>
    </xf>
    <xf numFmtId="167" fontId="56" fillId="0" borderId="138" xfId="0" applyNumberFormat="1" applyFont="1" applyBorder="1" applyAlignment="1">
      <alignment horizontal="center"/>
    </xf>
    <xf numFmtId="167" fontId="56" fillId="0" borderId="132" xfId="0" applyNumberFormat="1" applyFont="1" applyBorder="1" applyAlignment="1">
      <alignment horizontal="center" vertical="center"/>
    </xf>
    <xf numFmtId="2" fontId="39" fillId="0" borderId="137" xfId="0" applyNumberFormat="1" applyFont="1" applyBorder="1" applyAlignment="1">
      <alignment horizontal="center" vertical="top"/>
    </xf>
    <xf numFmtId="2" fontId="39" fillId="0" borderId="98" xfId="0" applyNumberFormat="1" applyFont="1" applyBorder="1" applyAlignment="1">
      <alignment horizontal="center" vertical="top"/>
    </xf>
    <xf numFmtId="167" fontId="39" fillId="0" borderId="91" xfId="0" applyNumberFormat="1" applyFont="1" applyBorder="1"/>
    <xf numFmtId="2" fontId="39" fillId="52" borderId="156" xfId="0" applyNumberFormat="1" applyFont="1" applyFill="1" applyBorder="1" applyAlignment="1">
      <alignment horizontal="center" vertical="top"/>
    </xf>
    <xf numFmtId="0" fontId="115" fillId="0" borderId="129" xfId="0" applyFont="1" applyBorder="1" applyAlignment="1">
      <alignment vertical="center"/>
    </xf>
    <xf numFmtId="0" fontId="115" fillId="0" borderId="127" xfId="0" applyFont="1" applyBorder="1" applyAlignment="1">
      <alignment vertical="center"/>
    </xf>
    <xf numFmtId="0" fontId="39" fillId="0" borderId="96" xfId="24615" applyFont="1" applyBorder="1" applyAlignment="1">
      <alignment horizontal="left"/>
    </xf>
    <xf numFmtId="0" fontId="39" fillId="0" borderId="137" xfId="24615" applyFont="1" applyBorder="1" applyAlignment="1">
      <alignment horizontal="left"/>
    </xf>
    <xf numFmtId="1" fontId="39" fillId="0" borderId="137" xfId="24615" applyNumberFormat="1" applyFont="1" applyBorder="1" applyAlignment="1">
      <alignment horizontal="center"/>
    </xf>
    <xf numFmtId="167" fontId="39" fillId="0" borderId="139" xfId="24615" applyNumberFormat="1" applyFont="1" applyBorder="1" applyAlignment="1">
      <alignment horizontal="center"/>
    </xf>
    <xf numFmtId="0" fontId="39" fillId="0" borderId="137" xfId="24615" applyFont="1" applyBorder="1" applyAlignment="1">
      <alignment horizontal="center"/>
    </xf>
    <xf numFmtId="167" fontId="39" fillId="0" borderId="139" xfId="24615" applyNumberFormat="1" applyFont="1" applyBorder="1" applyAlignment="1">
      <alignment horizontal="center" vertical="center"/>
    </xf>
    <xf numFmtId="9" fontId="39" fillId="0" borderId="139" xfId="24615" applyNumberFormat="1" applyFont="1" applyBorder="1" applyAlignment="1">
      <alignment horizontal="center"/>
    </xf>
    <xf numFmtId="167" fontId="46" fillId="0" borderId="137" xfId="24615" applyNumberFormat="1" applyFont="1" applyBorder="1"/>
    <xf numFmtId="167" fontId="39" fillId="0" borderId="137" xfId="24615" applyNumberFormat="1" applyFont="1" applyBorder="1" applyAlignment="1">
      <alignment horizontal="center"/>
    </xf>
    <xf numFmtId="167" fontId="49" fillId="0" borderId="137" xfId="24615" applyNumberFormat="1" applyFont="1" applyBorder="1" applyAlignment="1">
      <alignment horizontal="center" vertical="center"/>
    </xf>
    <xf numFmtId="2" fontId="39" fillId="0" borderId="137" xfId="24615" applyNumberFormat="1" applyFont="1" applyBorder="1" applyAlignment="1">
      <alignment horizontal="center" vertical="top"/>
    </xf>
    <xf numFmtId="2" fontId="39" fillId="0" borderId="98" xfId="24615" applyNumberFormat="1" applyFont="1" applyBorder="1" applyAlignment="1">
      <alignment horizontal="center" vertical="top"/>
    </xf>
    <xf numFmtId="167" fontId="56" fillId="0" borderId="91" xfId="24615" applyNumberFormat="1" applyFont="1" applyBorder="1"/>
    <xf numFmtId="167" fontId="39" fillId="0" borderId="91" xfId="24615" applyNumberFormat="1" applyFont="1" applyBorder="1"/>
    <xf numFmtId="167" fontId="52" fillId="0" borderId="157" xfId="24615" applyNumberFormat="1" applyFont="1" applyBorder="1"/>
    <xf numFmtId="2" fontId="39" fillId="0" borderId="91" xfId="24615" applyNumberFormat="1" applyFont="1" applyBorder="1" applyAlignment="1">
      <alignment horizontal="center" vertical="top"/>
    </xf>
    <xf numFmtId="2" fontId="39" fillId="0" borderId="154" xfId="24615" applyNumberFormat="1" applyFont="1" applyBorder="1" applyAlignment="1">
      <alignment horizontal="center" vertical="top"/>
    </xf>
    <xf numFmtId="1" fontId="3" fillId="52" borderId="65" xfId="0" applyNumberFormat="1" applyFont="1" applyFill="1" applyBorder="1" applyAlignment="1">
      <alignment horizontal="center"/>
    </xf>
    <xf numFmtId="167" fontId="3" fillId="52" borderId="65" xfId="0" applyNumberFormat="1" applyFont="1" applyFill="1" applyBorder="1" applyAlignment="1">
      <alignment horizontal="center"/>
    </xf>
    <xf numFmtId="9" fontId="3" fillId="52" borderId="65" xfId="0" applyNumberFormat="1" applyFont="1" applyFill="1" applyBorder="1" applyAlignment="1">
      <alignment horizontal="center"/>
    </xf>
    <xf numFmtId="1" fontId="3" fillId="52" borderId="105" xfId="0" applyNumberFormat="1" applyFont="1" applyFill="1" applyBorder="1" applyAlignment="1">
      <alignment horizontal="center"/>
    </xf>
    <xf numFmtId="167" fontId="3" fillId="52" borderId="105" xfId="0" applyNumberFormat="1" applyFont="1" applyFill="1" applyBorder="1" applyAlignment="1">
      <alignment horizontal="center"/>
    </xf>
    <xf numFmtId="9" fontId="3" fillId="52" borderId="105" xfId="0" applyNumberFormat="1" applyFont="1" applyFill="1" applyBorder="1" applyAlignment="1">
      <alignment horizontal="center"/>
    </xf>
    <xf numFmtId="0" fontId="3" fillId="0" borderId="19" xfId="0" applyFont="1" applyBorder="1" applyAlignment="1">
      <alignment horizontal="center"/>
    </xf>
    <xf numFmtId="168" fontId="39" fillId="0" borderId="0" xfId="0" applyNumberFormat="1" applyFont="1"/>
    <xf numFmtId="167" fontId="83" fillId="0" borderId="0" xfId="0" applyNumberFormat="1" applyFont="1"/>
    <xf numFmtId="167" fontId="39" fillId="0" borderId="158" xfId="0" applyNumberFormat="1" applyFont="1" applyBorder="1" applyAlignment="1">
      <alignment horizontal="center"/>
    </xf>
    <xf numFmtId="167" fontId="39" fillId="0" borderId="158" xfId="0" applyNumberFormat="1" applyFont="1" applyBorder="1"/>
    <xf numFmtId="167" fontId="56" fillId="0" borderId="158" xfId="0" applyNumberFormat="1" applyFont="1" applyBorder="1"/>
    <xf numFmtId="167" fontId="47" fillId="0" borderId="158" xfId="0" applyNumberFormat="1" applyFont="1" applyBorder="1"/>
    <xf numFmtId="167" fontId="47" fillId="0" borderId="158" xfId="0" applyNumberFormat="1" applyFont="1" applyBorder="1" applyAlignment="1">
      <alignment horizontal="center"/>
    </xf>
    <xf numFmtId="167" fontId="83" fillId="0" borderId="158" xfId="0" applyNumberFormat="1" applyFont="1" applyBorder="1"/>
    <xf numFmtId="167" fontId="56" fillId="0" borderId="158" xfId="0" applyNumberFormat="1" applyFont="1" applyBorder="1" applyAlignment="1">
      <alignment horizontal="center" vertical="center"/>
    </xf>
    <xf numFmtId="168" fontId="39" fillId="0" borderId="158" xfId="0" applyNumberFormat="1" applyFont="1" applyBorder="1"/>
    <xf numFmtId="167" fontId="83" fillId="0" borderId="98" xfId="0" applyNumberFormat="1" applyFont="1" applyBorder="1" applyAlignment="1">
      <alignment horizontal="center" vertical="center"/>
    </xf>
    <xf numFmtId="2" fontId="56" fillId="0" borderId="138" xfId="0" applyNumberFormat="1" applyFont="1" applyBorder="1" applyAlignment="1">
      <alignment horizontal="center" vertical="center"/>
    </xf>
    <xf numFmtId="2" fontId="56" fillId="0" borderId="159" xfId="0" applyNumberFormat="1" applyFont="1" applyBorder="1" applyAlignment="1">
      <alignment horizontal="center" vertical="top"/>
    </xf>
    <xf numFmtId="0" fontId="5" fillId="0" borderId="41" xfId="24615" applyBorder="1"/>
    <xf numFmtId="167" fontId="61" fillId="0" borderId="10" xfId="0" applyNumberFormat="1" applyFont="1" applyBorder="1" applyAlignment="1">
      <alignment horizontal="left"/>
    </xf>
    <xf numFmtId="167" fontId="119" fillId="0" borderId="33" xfId="0" applyNumberFormat="1" applyFont="1" applyBorder="1" applyAlignment="1">
      <alignment horizontal="left"/>
    </xf>
    <xf numFmtId="167" fontId="119" fillId="0" borderId="10" xfId="0" applyNumberFormat="1" applyFont="1" applyBorder="1" applyAlignment="1">
      <alignment horizontal="left"/>
    </xf>
    <xf numFmtId="0" fontId="119" fillId="0" borderId="13" xfId="0" applyFont="1" applyBorder="1" applyAlignment="1">
      <alignment horizontal="center"/>
    </xf>
    <xf numFmtId="167" fontId="119" fillId="0" borderId="0" xfId="0" applyNumberFormat="1" applyFont="1" applyAlignment="1">
      <alignment horizontal="center"/>
    </xf>
    <xf numFmtId="167" fontId="119" fillId="0" borderId="13" xfId="0" applyNumberFormat="1" applyFont="1" applyBorder="1" applyAlignment="1">
      <alignment horizontal="center"/>
    </xf>
    <xf numFmtId="10" fontId="119" fillId="0" borderId="20" xfId="0" applyNumberFormat="1" applyFont="1" applyBorder="1" applyAlignment="1">
      <alignment horizontal="center"/>
    </xf>
    <xf numFmtId="167" fontId="119" fillId="0" borderId="20" xfId="0" applyNumberFormat="1" applyFont="1" applyBorder="1" applyAlignment="1">
      <alignment horizontal="center" vertical="top"/>
    </xf>
    <xf numFmtId="167" fontId="119" fillId="0" borderId="13" xfId="0" applyNumberFormat="1" applyFont="1" applyBorder="1" applyAlignment="1">
      <alignment horizontal="center" vertical="top"/>
    </xf>
    <xf numFmtId="167" fontId="120" fillId="0" borderId="13" xfId="0" applyNumberFormat="1" applyFont="1" applyBorder="1" applyAlignment="1">
      <alignment horizontal="center" vertical="top"/>
    </xf>
    <xf numFmtId="0" fontId="119" fillId="0" borderId="34" xfId="0" applyFont="1" applyBorder="1" applyAlignment="1">
      <alignment horizontal="left"/>
    </xf>
    <xf numFmtId="0" fontId="119" fillId="0" borderId="27" xfId="0" applyFont="1" applyBorder="1" applyAlignment="1">
      <alignment horizontal="left"/>
    </xf>
    <xf numFmtId="0" fontId="58" fillId="0" borderId="32" xfId="0" applyFont="1" applyBorder="1" applyAlignment="1">
      <alignment horizontal="left"/>
    </xf>
    <xf numFmtId="0" fontId="56" fillId="0" borderId="77" xfId="0" applyFont="1" applyBorder="1" applyAlignment="1">
      <alignment horizontal="center"/>
    </xf>
    <xf numFmtId="167" fontId="56" fillId="0" borderId="76" xfId="0" applyNumberFormat="1" applyFont="1" applyBorder="1" applyAlignment="1">
      <alignment horizontal="center"/>
    </xf>
    <xf numFmtId="167" fontId="56" fillId="0" borderId="77" xfId="0" applyNumberFormat="1" applyFont="1" applyBorder="1" applyAlignment="1">
      <alignment horizontal="center"/>
    </xf>
    <xf numFmtId="9" fontId="56" fillId="0" borderId="127" xfId="0" applyNumberFormat="1" applyFont="1" applyBorder="1" applyAlignment="1">
      <alignment horizontal="center"/>
    </xf>
    <xf numFmtId="167" fontId="58" fillId="0" borderId="77" xfId="0" applyNumberFormat="1" applyFont="1" applyBorder="1" applyAlignment="1">
      <alignment horizontal="center" vertical="top"/>
    </xf>
    <xf numFmtId="167" fontId="56" fillId="0" borderId="77" xfId="0" applyNumberFormat="1" applyFont="1" applyBorder="1" applyAlignment="1">
      <alignment horizontal="center" vertical="top"/>
    </xf>
    <xf numFmtId="2" fontId="56" fillId="0" borderId="126" xfId="0" applyNumberFormat="1" applyFont="1" applyBorder="1" applyAlignment="1">
      <alignment horizontal="center" vertical="top"/>
    </xf>
    <xf numFmtId="167" fontId="2" fillId="0" borderId="19" xfId="24615" applyNumberFormat="1" applyFont="1" applyBorder="1" applyAlignment="1">
      <alignment horizontal="center" vertical="center"/>
    </xf>
    <xf numFmtId="167" fontId="121" fillId="0" borderId="20" xfId="0" applyNumberFormat="1" applyFont="1" applyBorder="1" applyAlignment="1">
      <alignment horizontal="center" vertical="top"/>
    </xf>
    <xf numFmtId="167" fontId="122" fillId="0" borderId="13" xfId="0" applyNumberFormat="1" applyFont="1" applyBorder="1" applyAlignment="1">
      <alignment horizontal="center" vertical="top"/>
    </xf>
    <xf numFmtId="167" fontId="121" fillId="0" borderId="13" xfId="0" applyNumberFormat="1" applyFont="1" applyBorder="1" applyAlignment="1">
      <alignment horizontal="center" vertical="top"/>
    </xf>
    <xf numFmtId="2" fontId="47" fillId="0" borderId="89" xfId="0" applyNumberFormat="1" applyFont="1" applyBorder="1" applyAlignment="1">
      <alignment horizontal="center" vertical="center"/>
    </xf>
    <xf numFmtId="167" fontId="47" fillId="0" borderId="0" xfId="0" applyNumberFormat="1" applyFont="1" applyAlignment="1">
      <alignment vertical="center"/>
    </xf>
    <xf numFmtId="167" fontId="121" fillId="0" borderId="20" xfId="0" applyNumberFormat="1" applyFont="1" applyBorder="1" applyAlignment="1">
      <alignment horizontal="center" vertical="center"/>
    </xf>
    <xf numFmtId="167" fontId="121" fillId="0" borderId="13" xfId="0" applyNumberFormat="1" applyFont="1" applyBorder="1" applyAlignment="1">
      <alignment horizontal="center" vertical="center"/>
    </xf>
    <xf numFmtId="167" fontId="122" fillId="0" borderId="13" xfId="0" applyNumberFormat="1" applyFont="1" applyBorder="1" applyAlignment="1">
      <alignment horizontal="center" vertical="center"/>
    </xf>
    <xf numFmtId="167" fontId="107" fillId="0" borderId="13" xfId="0" applyNumberFormat="1" applyFont="1" applyBorder="1" applyAlignment="1">
      <alignment horizontal="center" vertical="center"/>
    </xf>
    <xf numFmtId="10" fontId="107" fillId="0" borderId="20" xfId="0" applyNumberFormat="1" applyFont="1" applyBorder="1" applyAlignment="1">
      <alignment horizontal="center" vertical="center"/>
    </xf>
    <xf numFmtId="167" fontId="107" fillId="0" borderId="20" xfId="0" applyNumberFormat="1" applyFont="1" applyBorder="1" applyAlignment="1">
      <alignment horizontal="center" vertical="center"/>
    </xf>
    <xf numFmtId="2" fontId="47" fillId="0" borderId="90" xfId="0" applyNumberFormat="1" applyFont="1" applyBorder="1" applyAlignment="1">
      <alignment horizontal="center" vertical="center"/>
    </xf>
    <xf numFmtId="0" fontId="47" fillId="0" borderId="34" xfId="0" applyFont="1" applyBorder="1" applyAlignment="1">
      <alignment horizontal="left" vertical="center"/>
    </xf>
    <xf numFmtId="167" fontId="58" fillId="0" borderId="10" xfId="0" applyNumberFormat="1" applyFont="1" applyBorder="1" applyAlignment="1">
      <alignment horizontal="left" vertical="center"/>
    </xf>
    <xf numFmtId="0" fontId="47" fillId="0" borderId="13" xfId="0" applyFont="1" applyBorder="1" applyAlignment="1">
      <alignment horizontal="center" vertical="center"/>
    </xf>
    <xf numFmtId="167" fontId="47" fillId="0" borderId="0" xfId="0" applyNumberFormat="1" applyFont="1" applyAlignment="1">
      <alignment horizontal="center" vertical="center"/>
    </xf>
    <xf numFmtId="167" fontId="47" fillId="0" borderId="20" xfId="0" applyNumberFormat="1" applyFont="1" applyBorder="1" applyAlignment="1">
      <alignment horizontal="center" vertical="center"/>
    </xf>
    <xf numFmtId="0" fontId="56" fillId="0" borderId="0" xfId="0" applyFont="1" applyAlignment="1">
      <alignment horizontal="left" vertical="center"/>
    </xf>
    <xf numFmtId="0" fontId="107" fillId="0" borderId="27" xfId="0" applyFont="1" applyBorder="1"/>
    <xf numFmtId="49" fontId="56" fillId="0" borderId="109" xfId="0" applyNumberFormat="1" applyFont="1" applyBorder="1" applyAlignment="1">
      <alignment horizontal="left"/>
    </xf>
    <xf numFmtId="49" fontId="56" fillId="0" borderId="0" xfId="0" applyNumberFormat="1" applyFont="1" applyAlignment="1">
      <alignment horizontal="left"/>
    </xf>
    <xf numFmtId="0" fontId="60" fillId="0" borderId="13" xfId="0" applyFont="1" applyBorder="1" applyAlignment="1">
      <alignment horizontal="left"/>
    </xf>
    <xf numFmtId="0" fontId="60" fillId="0" borderId="34" xfId="0" applyFont="1" applyBorder="1" applyAlignment="1">
      <alignment horizontal="left" wrapText="1"/>
    </xf>
    <xf numFmtId="0" fontId="60" fillId="0" borderId="20" xfId="0" applyFont="1" applyBorder="1" applyAlignment="1">
      <alignment horizontal="center"/>
    </xf>
    <xf numFmtId="167" fontId="60" fillId="0" borderId="10" xfId="0" applyNumberFormat="1" applyFont="1" applyBorder="1" applyAlignment="1">
      <alignment horizontal="left" vertical="center"/>
    </xf>
    <xf numFmtId="0" fontId="60" fillId="0" borderId="13" xfId="0" applyFont="1" applyBorder="1" applyAlignment="1">
      <alignment horizontal="center" vertical="center"/>
    </xf>
    <xf numFmtId="10" fontId="60" fillId="0" borderId="20" xfId="0" applyNumberFormat="1" applyFont="1" applyBorder="1" applyAlignment="1">
      <alignment horizontal="center" vertical="center"/>
    </xf>
    <xf numFmtId="167" fontId="60" fillId="0" borderId="34" xfId="0" applyNumberFormat="1" applyFont="1" applyBorder="1" applyAlignment="1">
      <alignment horizontal="left"/>
    </xf>
    <xf numFmtId="0" fontId="60" fillId="0" borderId="10" xfId="0" applyFont="1" applyBorder="1" applyAlignment="1">
      <alignment horizontal="center"/>
    </xf>
    <xf numFmtId="167" fontId="60" fillId="0" borderId="33" xfId="0" applyNumberFormat="1" applyFont="1" applyBorder="1" applyAlignment="1">
      <alignment horizontal="left" wrapText="1"/>
    </xf>
    <xf numFmtId="167" fontId="60" fillId="0" borderId="0" xfId="0" applyNumberFormat="1" applyFont="1" applyAlignment="1">
      <alignment horizontal="center" vertical="top"/>
    </xf>
    <xf numFmtId="167" fontId="60" fillId="0" borderId="12" xfId="0" applyNumberFormat="1" applyFont="1" applyBorder="1" applyAlignment="1">
      <alignment horizontal="center" vertical="top"/>
    </xf>
    <xf numFmtId="0" fontId="107" fillId="0" borderId="13" xfId="0" applyFont="1" applyBorder="1" applyAlignment="1">
      <alignment horizontal="center" vertical="center"/>
    </xf>
    <xf numFmtId="9" fontId="107" fillId="0" borderId="20" xfId="0" applyNumberFormat="1" applyFont="1" applyBorder="1" applyAlignment="1">
      <alignment horizontal="center"/>
    </xf>
    <xf numFmtId="167" fontId="54" fillId="0" borderId="0" xfId="0" applyNumberFormat="1" applyFont="1" applyAlignment="1">
      <alignment horizontal="center" vertical="top"/>
    </xf>
    <xf numFmtId="167" fontId="54" fillId="0" borderId="12" xfId="0" applyNumberFormat="1" applyFont="1" applyBorder="1" applyAlignment="1">
      <alignment horizontal="center" vertical="top"/>
    </xf>
    <xf numFmtId="167" fontId="52" fillId="0" borderId="27" xfId="0" applyNumberFormat="1" applyFont="1" applyBorder="1" applyAlignment="1">
      <alignment horizontal="center" vertical="top"/>
    </xf>
    <xf numFmtId="167" fontId="54" fillId="0" borderId="27" xfId="0" applyNumberFormat="1" applyFont="1" applyBorder="1" applyAlignment="1">
      <alignment horizontal="center" vertical="top"/>
    </xf>
    <xf numFmtId="0" fontId="60" fillId="0" borderId="0" xfId="0" applyFont="1" applyAlignment="1">
      <alignment horizontal="left"/>
    </xf>
    <xf numFmtId="1" fontId="60" fillId="0" borderId="13" xfId="0" applyNumberFormat="1" applyFont="1" applyBorder="1" applyAlignment="1">
      <alignment horizontal="center"/>
    </xf>
    <xf numFmtId="49" fontId="56" fillId="54" borderId="34" xfId="0" applyNumberFormat="1" applyFont="1" applyFill="1" applyBorder="1" applyAlignment="1">
      <alignment horizontal="left"/>
    </xf>
    <xf numFmtId="0" fontId="56" fillId="54" borderId="13" xfId="0" applyFont="1" applyFill="1" applyBorder="1" applyAlignment="1">
      <alignment horizontal="left"/>
    </xf>
    <xf numFmtId="1" fontId="56" fillId="54" borderId="13" xfId="0" applyNumberFormat="1" applyFont="1" applyFill="1" applyBorder="1" applyAlignment="1">
      <alignment horizontal="center"/>
    </xf>
    <xf numFmtId="167" fontId="56" fillId="54" borderId="0" xfId="0" applyNumberFormat="1" applyFont="1" applyFill="1" applyAlignment="1">
      <alignment horizontal="center" vertical="center"/>
    </xf>
    <xf numFmtId="167" fontId="56" fillId="54" borderId="27" xfId="0" applyNumberFormat="1" applyFont="1" applyFill="1" applyBorder="1" applyAlignment="1">
      <alignment horizontal="center" vertical="center"/>
    </xf>
    <xf numFmtId="9" fontId="56" fillId="54" borderId="20" xfId="0" applyNumberFormat="1" applyFont="1" applyFill="1" applyBorder="1" applyAlignment="1">
      <alignment horizontal="center"/>
    </xf>
    <xf numFmtId="167" fontId="56" fillId="54" borderId="20" xfId="0" applyNumberFormat="1" applyFont="1" applyFill="1" applyBorder="1" applyAlignment="1">
      <alignment horizontal="center"/>
    </xf>
    <xf numFmtId="167" fontId="56" fillId="54" borderId="13" xfId="0" applyNumberFormat="1" applyFont="1" applyFill="1" applyBorder="1"/>
    <xf numFmtId="167" fontId="56" fillId="54" borderId="13" xfId="0" applyNumberFormat="1" applyFont="1" applyFill="1" applyBorder="1" applyAlignment="1">
      <alignment horizontal="center"/>
    </xf>
    <xf numFmtId="0" fontId="56" fillId="0" borderId="99" xfId="0" applyFont="1" applyBorder="1" applyAlignment="1">
      <alignment horizontal="left"/>
    </xf>
    <xf numFmtId="0" fontId="56" fillId="0" borderId="100" xfId="0" applyFont="1" applyBorder="1" applyAlignment="1">
      <alignment horizontal="left"/>
    </xf>
    <xf numFmtId="1" fontId="56" fillId="0" borderId="101" xfId="0" applyNumberFormat="1" applyFont="1" applyBorder="1" applyAlignment="1">
      <alignment horizontal="center"/>
    </xf>
    <xf numFmtId="167" fontId="56" fillId="0" borderId="102" xfId="0" applyNumberFormat="1" applyFont="1" applyBorder="1" applyAlignment="1">
      <alignment horizontal="center"/>
    </xf>
    <xf numFmtId="167" fontId="56" fillId="0" borderId="103" xfId="0" applyNumberFormat="1" applyFont="1" applyBorder="1" applyAlignment="1">
      <alignment horizontal="center"/>
    </xf>
    <xf numFmtId="168" fontId="56" fillId="0" borderId="100" xfId="0" applyNumberFormat="1" applyFont="1" applyBorder="1"/>
    <xf numFmtId="167" fontId="56" fillId="0" borderId="100" xfId="0" applyNumberFormat="1" applyFont="1" applyBorder="1" applyAlignment="1">
      <alignment horizontal="center"/>
    </xf>
    <xf numFmtId="167" fontId="83" fillId="0" borderId="100" xfId="0" applyNumberFormat="1" applyFont="1" applyBorder="1" applyAlignment="1">
      <alignment horizontal="center" vertical="center"/>
    </xf>
    <xf numFmtId="2" fontId="39" fillId="0" borderId="100" xfId="0" applyNumberFormat="1" applyFont="1" applyBorder="1" applyAlignment="1">
      <alignment horizontal="center" vertical="top"/>
    </xf>
    <xf numFmtId="2" fontId="39" fillId="0" borderId="135" xfId="0" applyNumberFormat="1" applyFont="1" applyBorder="1" applyAlignment="1">
      <alignment horizontal="center" vertical="top"/>
    </xf>
    <xf numFmtId="0" fontId="65" fillId="0" borderId="0" xfId="0" applyFont="1" applyAlignment="1">
      <alignment horizontal="center"/>
    </xf>
    <xf numFmtId="0" fontId="65" fillId="0" borderId="0" xfId="0" applyFont="1" applyAlignment="1">
      <alignment horizontal="left"/>
    </xf>
    <xf numFmtId="1" fontId="93" fillId="0" borderId="13" xfId="0" applyNumberFormat="1" applyFont="1" applyBorder="1" applyAlignment="1">
      <alignment horizontal="center"/>
    </xf>
    <xf numFmtId="167" fontId="93" fillId="0" borderId="0" xfId="0" applyNumberFormat="1" applyFont="1" applyAlignment="1">
      <alignment horizontal="center"/>
    </xf>
    <xf numFmtId="167" fontId="93" fillId="0" borderId="13" xfId="0" applyNumberFormat="1" applyFont="1" applyBorder="1"/>
    <xf numFmtId="167" fontId="93" fillId="0" borderId="13" xfId="0" applyNumberFormat="1" applyFont="1" applyBorder="1" applyAlignment="1">
      <alignment horizontal="center"/>
    </xf>
    <xf numFmtId="167" fontId="56" fillId="54" borderId="0" xfId="0" applyNumberFormat="1" applyFont="1" applyFill="1" applyAlignment="1">
      <alignment horizontal="center"/>
    </xf>
    <xf numFmtId="167" fontId="56" fillId="54" borderId="27" xfId="0" applyNumberFormat="1" applyFont="1" applyFill="1" applyBorder="1" applyAlignment="1">
      <alignment horizontal="center"/>
    </xf>
    <xf numFmtId="0" fontId="56" fillId="0" borderId="0" xfId="24615" applyFont="1" applyAlignment="1">
      <alignment horizontal="left"/>
    </xf>
    <xf numFmtId="1" fontId="56" fillId="0" borderId="0" xfId="24615" applyNumberFormat="1" applyFont="1" applyAlignment="1">
      <alignment horizontal="center"/>
    </xf>
    <xf numFmtId="167" fontId="56" fillId="0" borderId="41" xfId="24615" applyNumberFormat="1" applyFont="1" applyBorder="1" applyAlignment="1">
      <alignment horizontal="center" vertical="center"/>
    </xf>
    <xf numFmtId="168" fontId="56" fillId="0" borderId="0" xfId="24615" applyNumberFormat="1" applyFont="1" applyAlignment="1">
      <alignment horizontal="center" vertical="center"/>
    </xf>
    <xf numFmtId="167" fontId="56" fillId="0" borderId="0" xfId="24615" applyNumberFormat="1" applyFont="1" applyAlignment="1">
      <alignment horizontal="center" vertical="center"/>
    </xf>
    <xf numFmtId="167" fontId="56" fillId="0" borderId="0" xfId="24615" applyNumberFormat="1" applyFont="1"/>
    <xf numFmtId="167" fontId="58" fillId="0" borderId="0" xfId="24615" applyNumberFormat="1" applyFont="1" applyAlignment="1">
      <alignment horizontal="center"/>
    </xf>
    <xf numFmtId="0" fontId="56" fillId="54" borderId="17" xfId="0" applyFont="1" applyFill="1" applyBorder="1" applyAlignment="1">
      <alignment horizontal="left"/>
    </xf>
    <xf numFmtId="1" fontId="56" fillId="54" borderId="12" xfId="0" applyNumberFormat="1" applyFont="1" applyFill="1" applyBorder="1" applyAlignment="1">
      <alignment horizontal="center"/>
    </xf>
    <xf numFmtId="167" fontId="56" fillId="54" borderId="41" xfId="0" applyNumberFormat="1" applyFont="1" applyFill="1" applyBorder="1" applyAlignment="1">
      <alignment horizontal="center"/>
    </xf>
    <xf numFmtId="168" fontId="56" fillId="54" borderId="20" xfId="0" applyNumberFormat="1" applyFont="1" applyFill="1" applyBorder="1"/>
    <xf numFmtId="167" fontId="56" fillId="54" borderId="20" xfId="0" applyNumberFormat="1" applyFont="1" applyFill="1" applyBorder="1" applyAlignment="1">
      <alignment horizontal="center" vertical="center"/>
    </xf>
    <xf numFmtId="9" fontId="56" fillId="54" borderId="20" xfId="0" applyNumberFormat="1" applyFont="1" applyFill="1" applyBorder="1" applyAlignment="1">
      <alignment horizontal="center" vertical="center"/>
    </xf>
    <xf numFmtId="168" fontId="56" fillId="54" borderId="20" xfId="0" applyNumberFormat="1" applyFont="1" applyFill="1" applyBorder="1" applyAlignment="1">
      <alignment horizontal="center"/>
    </xf>
    <xf numFmtId="0" fontId="56" fillId="54" borderId="27" xfId="0" applyFont="1" applyFill="1" applyBorder="1" applyAlignment="1">
      <alignment horizontal="left"/>
    </xf>
    <xf numFmtId="0" fontId="60" fillId="0" borderId="34" xfId="0" applyFont="1" applyBorder="1" applyAlignment="1">
      <alignment horizontal="left" vertical="center"/>
    </xf>
    <xf numFmtId="49" fontId="56" fillId="54" borderId="111" xfId="0" applyNumberFormat="1" applyFont="1" applyFill="1" applyBorder="1" applyAlignment="1">
      <alignment horizontal="left"/>
    </xf>
    <xf numFmtId="167" fontId="56" fillId="54" borderId="0" xfId="0" applyNumberFormat="1" applyFont="1" applyFill="1" applyAlignment="1">
      <alignment horizontal="left"/>
    </xf>
    <xf numFmtId="1" fontId="56" fillId="54" borderId="0" xfId="0" applyNumberFormat="1" applyFont="1" applyFill="1" applyAlignment="1">
      <alignment horizontal="center"/>
    </xf>
    <xf numFmtId="167" fontId="82" fillId="0" borderId="13" xfId="0" applyNumberFormat="1" applyFont="1" applyBorder="1"/>
    <xf numFmtId="0" fontId="56" fillId="54" borderId="12" xfId="0" applyFont="1" applyFill="1" applyBorder="1" applyAlignment="1">
      <alignment horizontal="center"/>
    </xf>
    <xf numFmtId="167" fontId="56" fillId="54" borderId="13" xfId="0" applyNumberFormat="1" applyFont="1" applyFill="1" applyBorder="1" applyAlignment="1">
      <alignment horizontal="center" vertical="top"/>
    </xf>
    <xf numFmtId="167" fontId="60" fillId="0" borderId="20" xfId="0" applyNumberFormat="1" applyFont="1" applyFill="1" applyBorder="1" applyAlignment="1">
      <alignment horizontal="center" vertical="top"/>
    </xf>
    <xf numFmtId="167" fontId="60" fillId="0" borderId="13" xfId="0" applyNumberFormat="1" applyFont="1" applyFill="1" applyBorder="1" applyAlignment="1">
      <alignment horizontal="center" vertical="top"/>
    </xf>
    <xf numFmtId="167" fontId="54" fillId="0" borderId="13" xfId="0" applyNumberFormat="1" applyFont="1" applyFill="1" applyBorder="1" applyAlignment="1">
      <alignment horizontal="center" vertical="top"/>
    </xf>
    <xf numFmtId="167" fontId="52" fillId="0" borderId="13" xfId="0" applyNumberFormat="1" applyFont="1" applyFill="1" applyBorder="1" applyAlignment="1">
      <alignment horizontal="center" vertical="top"/>
    </xf>
    <xf numFmtId="167" fontId="54" fillId="0" borderId="20" xfId="0" applyNumberFormat="1" applyFont="1" applyFill="1" applyBorder="1" applyAlignment="1">
      <alignment horizontal="center" vertical="top"/>
    </xf>
    <xf numFmtId="167" fontId="52" fillId="0" borderId="20" xfId="0" applyNumberFormat="1" applyFont="1" applyFill="1" applyBorder="1" applyAlignment="1">
      <alignment horizontal="center" vertical="top"/>
    </xf>
    <xf numFmtId="167" fontId="60" fillId="0" borderId="13" xfId="0" applyNumberFormat="1" applyFont="1" applyFill="1" applyBorder="1" applyAlignment="1">
      <alignment horizontal="center"/>
    </xf>
    <xf numFmtId="167" fontId="39" fillId="0" borderId="27" xfId="0" applyNumberFormat="1" applyFont="1" applyBorder="1" applyAlignment="1">
      <alignment horizontal="center"/>
    </xf>
    <xf numFmtId="167" fontId="39" fillId="0" borderId="20" xfId="0" applyNumberFormat="1" applyFont="1" applyBorder="1" applyAlignment="1">
      <alignment horizontal="center"/>
    </xf>
    <xf numFmtId="49" fontId="39" fillId="0" borderId="111" xfId="0" applyNumberFormat="1" applyFont="1" applyBorder="1" applyAlignment="1">
      <alignment horizontal="left" vertical="center"/>
    </xf>
    <xf numFmtId="1" fontId="39" fillId="0" borderId="13" xfId="0" applyNumberFormat="1" applyFont="1" applyBorder="1" applyAlignment="1">
      <alignment horizontal="center"/>
    </xf>
    <xf numFmtId="1" fontId="39" fillId="0" borderId="0" xfId="0" applyNumberFormat="1" applyFont="1" applyAlignment="1">
      <alignment horizontal="center"/>
    </xf>
    <xf numFmtId="49" fontId="39" fillId="0" borderId="111" xfId="0" applyNumberFormat="1" applyFont="1" applyBorder="1" applyAlignment="1">
      <alignment horizontal="left"/>
    </xf>
    <xf numFmtId="167" fontId="39" fillId="0" borderId="0" xfId="0" applyNumberFormat="1" applyFont="1" applyAlignment="1">
      <alignment horizontal="left"/>
    </xf>
    <xf numFmtId="49" fontId="39" fillId="0" borderId="34" xfId="0" applyNumberFormat="1" applyFont="1" applyBorder="1" applyAlignment="1">
      <alignment horizontal="left"/>
    </xf>
    <xf numFmtId="0" fontId="39" fillId="0" borderId="13" xfId="0" applyFont="1" applyBorder="1" applyAlignment="1">
      <alignment horizontal="left"/>
    </xf>
    <xf numFmtId="0" fontId="39" fillId="0" borderId="0" xfId="0" applyFont="1" applyAlignment="1">
      <alignment horizontal="left" vertical="center"/>
    </xf>
    <xf numFmtId="167" fontId="39" fillId="0" borderId="27" xfId="0" applyNumberFormat="1" applyFont="1" applyBorder="1" applyAlignment="1">
      <alignment horizontal="center" vertical="center"/>
    </xf>
    <xf numFmtId="168" fontId="39" fillId="0" borderId="20" xfId="0" applyNumberFormat="1" applyFont="1" applyBorder="1" applyAlignment="1">
      <alignment horizontal="center"/>
    </xf>
    <xf numFmtId="0" fontId="39" fillId="0" borderId="0" xfId="0" applyFont="1" applyAlignment="1">
      <alignment horizontal="left"/>
    </xf>
    <xf numFmtId="49" fontId="39" fillId="0" borderId="34" xfId="0" applyNumberFormat="1" applyFont="1" applyBorder="1" applyAlignment="1">
      <alignment horizontal="left" vertical="center"/>
    </xf>
    <xf numFmtId="49" fontId="39" fillId="0" borderId="13" xfId="0" applyNumberFormat="1" applyFont="1" applyBorder="1" applyAlignment="1">
      <alignment horizontal="left" vertical="center"/>
    </xf>
    <xf numFmtId="167" fontId="39" fillId="0" borderId="13" xfId="0" applyNumberFormat="1" applyFont="1" applyBorder="1" applyAlignment="1">
      <alignment vertical="center"/>
    </xf>
    <xf numFmtId="167" fontId="59" fillId="0" borderId="0" xfId="0" applyNumberFormat="1" applyFont="1" applyAlignment="1">
      <alignment horizontal="center"/>
    </xf>
    <xf numFmtId="49" fontId="39" fillId="0" borderId="32" xfId="0" applyNumberFormat="1" applyFont="1" applyBorder="1" applyAlignment="1">
      <alignment horizontal="left"/>
    </xf>
    <xf numFmtId="0" fontId="39" fillId="0" borderId="13" xfId="0" applyFont="1" applyBorder="1" applyAlignment="1">
      <alignment horizontal="left" wrapText="1"/>
    </xf>
    <xf numFmtId="0" fontId="39" fillId="0" borderId="111" xfId="24615" applyFont="1" applyBorder="1" applyAlignment="1">
      <alignment horizontal="left"/>
    </xf>
    <xf numFmtId="0" fontId="39" fillId="0" borderId="102" xfId="24615" applyFont="1" applyBorder="1" applyAlignment="1">
      <alignment horizontal="left"/>
    </xf>
    <xf numFmtId="1" fontId="39" fillId="0" borderId="41" xfId="24615" applyNumberFormat="1" applyFont="1" applyBorder="1" applyAlignment="1">
      <alignment horizontal="center"/>
    </xf>
    <xf numFmtId="167" fontId="39" fillId="0" borderId="102" xfId="24615" applyNumberFormat="1" applyFont="1" applyBorder="1" applyAlignment="1">
      <alignment horizontal="center"/>
    </xf>
    <xf numFmtId="167" fontId="39" fillId="0" borderId="102" xfId="24615" applyNumberFormat="1" applyFont="1" applyBorder="1" applyAlignment="1">
      <alignment horizontal="center" vertical="center"/>
    </xf>
    <xf numFmtId="168" fontId="39" fillId="0" borderId="102" xfId="24615" applyNumberFormat="1" applyFont="1" applyBorder="1" applyAlignment="1">
      <alignment horizontal="center" vertical="center"/>
    </xf>
    <xf numFmtId="0" fontId="39" fillId="0" borderId="17" xfId="0" applyFont="1" applyBorder="1" applyAlignment="1">
      <alignment horizontal="left"/>
    </xf>
    <xf numFmtId="1" fontId="39" fillId="0" borderId="12" xfId="0" applyNumberFormat="1" applyFont="1" applyBorder="1" applyAlignment="1">
      <alignment horizontal="center"/>
    </xf>
    <xf numFmtId="167" fontId="39" fillId="0" borderId="41" xfId="0" applyNumberFormat="1" applyFont="1" applyBorder="1" applyAlignment="1">
      <alignment horizontal="center"/>
    </xf>
    <xf numFmtId="0" fontId="0" fillId="0" borderId="0" xfId="0" applyAlignment="1">
      <alignment horizontal="center"/>
    </xf>
    <xf numFmtId="167" fontId="67" fillId="0" borderId="0" xfId="0" applyNumberFormat="1" applyFont="1" applyAlignment="1">
      <alignment horizontal="center"/>
    </xf>
    <xf numFmtId="0" fontId="70" fillId="0" borderId="0" xfId="0" applyFont="1" applyAlignment="1">
      <alignment horizontal="center" vertical="center"/>
    </xf>
    <xf numFmtId="167" fontId="76" fillId="0" borderId="46" xfId="0" applyNumberFormat="1" applyFont="1" applyBorder="1" applyAlignment="1">
      <alignment horizontal="center" vertical="center"/>
    </xf>
    <xf numFmtId="167" fontId="76" fillId="0" borderId="49" xfId="0" applyNumberFormat="1" applyFont="1" applyBorder="1" applyAlignment="1">
      <alignment horizontal="center" vertical="center"/>
    </xf>
    <xf numFmtId="167" fontId="76" fillId="0" borderId="51" xfId="0" applyNumberFormat="1" applyFont="1" applyBorder="1" applyAlignment="1">
      <alignment horizontal="center" vertical="center"/>
    </xf>
    <xf numFmtId="167" fontId="76" fillId="0" borderId="47" xfId="0" applyNumberFormat="1" applyFont="1" applyBorder="1" applyAlignment="1">
      <alignment horizontal="center" vertical="center"/>
    </xf>
    <xf numFmtId="167" fontId="76" fillId="0" borderId="45" xfId="0" applyNumberFormat="1" applyFont="1" applyBorder="1" applyAlignment="1">
      <alignment horizontal="center" vertical="center"/>
    </xf>
    <xf numFmtId="167" fontId="76" fillId="0" borderId="52" xfId="0" applyNumberFormat="1" applyFont="1" applyBorder="1" applyAlignment="1">
      <alignment horizontal="center" vertical="center"/>
    </xf>
    <xf numFmtId="167" fontId="69" fillId="0" borderId="60" xfId="0" applyNumberFormat="1" applyFont="1" applyBorder="1" applyAlignment="1">
      <alignment horizontal="center" vertical="center"/>
    </xf>
    <xf numFmtId="167" fontId="69" fillId="0" borderId="68" xfId="0" applyNumberFormat="1" applyFont="1" applyBorder="1" applyAlignment="1">
      <alignment horizontal="center" vertical="center"/>
    </xf>
    <xf numFmtId="167" fontId="69" fillId="0" borderId="61" xfId="0" applyNumberFormat="1" applyFont="1" applyBorder="1" applyAlignment="1">
      <alignment horizontal="center" vertical="center"/>
    </xf>
    <xf numFmtId="167" fontId="69" fillId="0" borderId="70" xfId="0" applyNumberFormat="1" applyFont="1" applyBorder="1" applyAlignment="1">
      <alignment horizontal="center" vertical="center"/>
    </xf>
    <xf numFmtId="167" fontId="69" fillId="0" borderId="69" xfId="0" applyNumberFormat="1" applyFont="1" applyBorder="1" applyAlignment="1">
      <alignment horizontal="center" vertical="center"/>
    </xf>
    <xf numFmtId="167" fontId="69" fillId="0" borderId="63" xfId="0" applyNumberFormat="1" applyFont="1" applyBorder="1" applyAlignment="1">
      <alignment horizontal="center" vertical="center"/>
    </xf>
    <xf numFmtId="0" fontId="76" fillId="0" borderId="60" xfId="0" applyFont="1" applyBorder="1" applyAlignment="1">
      <alignment horizontal="center" vertical="center"/>
    </xf>
    <xf numFmtId="0" fontId="76" fillId="0" borderId="68" xfId="0" applyFont="1" applyBorder="1" applyAlignment="1">
      <alignment horizontal="center" vertical="center"/>
    </xf>
    <xf numFmtId="0" fontId="76" fillId="0" borderId="69" xfId="0" applyFont="1" applyBorder="1" applyAlignment="1">
      <alignment horizontal="center" vertical="center"/>
    </xf>
    <xf numFmtId="0" fontId="76" fillId="0" borderId="61" xfId="0" applyFont="1" applyBorder="1" applyAlignment="1">
      <alignment horizontal="center" vertical="center"/>
    </xf>
    <xf numFmtId="0" fontId="76" fillId="0" borderId="70" xfId="0" applyFont="1" applyBorder="1" applyAlignment="1">
      <alignment horizontal="center" vertical="center"/>
    </xf>
    <xf numFmtId="0" fontId="76" fillId="0" borderId="63" xfId="0" applyFont="1" applyBorder="1" applyAlignment="1">
      <alignment horizontal="center" vertical="center"/>
    </xf>
    <xf numFmtId="0" fontId="76" fillId="0" borderId="51" xfId="0" applyFont="1" applyBorder="1"/>
    <xf numFmtId="0" fontId="76" fillId="0" borderId="52" xfId="0" applyFont="1" applyBorder="1"/>
    <xf numFmtId="0" fontId="76" fillId="0" borderId="49" xfId="0" applyFont="1" applyBorder="1" applyAlignment="1">
      <alignment horizontal="center" vertical="center"/>
    </xf>
    <xf numFmtId="0" fontId="76" fillId="0" borderId="51" xfId="0" applyFont="1" applyBorder="1" applyAlignment="1">
      <alignment horizontal="center" vertical="center"/>
    </xf>
    <xf numFmtId="167" fontId="76" fillId="0" borderId="57" xfId="0" applyNumberFormat="1" applyFont="1" applyBorder="1" applyAlignment="1">
      <alignment horizontal="center" vertical="center"/>
    </xf>
    <xf numFmtId="0" fontId="76" fillId="0" borderId="45" xfId="0" applyFont="1" applyBorder="1" applyAlignment="1">
      <alignment horizontal="center" vertical="center"/>
    </xf>
    <xf numFmtId="0" fontId="76" fillId="0" borderId="52" xfId="0" applyFont="1" applyBorder="1" applyAlignment="1">
      <alignment horizontal="center" vertical="center"/>
    </xf>
    <xf numFmtId="0" fontId="76" fillId="0" borderId="55" xfId="0" applyFont="1" applyBorder="1" applyAlignment="1">
      <alignment horizontal="center" vertical="center"/>
    </xf>
    <xf numFmtId="167" fontId="76" fillId="0" borderId="58" xfId="0" applyNumberFormat="1" applyFont="1" applyBorder="1" applyAlignment="1">
      <alignment horizontal="center" vertical="center"/>
    </xf>
    <xf numFmtId="0" fontId="76" fillId="0" borderId="54" xfId="0" applyFont="1" applyBorder="1" applyAlignment="1">
      <alignment horizontal="center" vertical="center"/>
    </xf>
    <xf numFmtId="167" fontId="95" fillId="0" borderId="40" xfId="0" applyNumberFormat="1" applyFont="1" applyBorder="1" applyAlignment="1">
      <alignment horizontal="left" vertical="center"/>
    </xf>
    <xf numFmtId="167" fontId="95" fillId="0" borderId="23" xfId="0" applyNumberFormat="1" applyFont="1" applyBorder="1" applyAlignment="1">
      <alignment horizontal="left" vertical="center"/>
    </xf>
    <xf numFmtId="167" fontId="58" fillId="0" borderId="19" xfId="0" applyNumberFormat="1" applyFont="1" applyBorder="1" applyAlignment="1">
      <alignment horizontal="center"/>
    </xf>
    <xf numFmtId="2" fontId="53" fillId="0" borderId="18" xfId="0" applyNumberFormat="1" applyFont="1" applyBorder="1" applyAlignment="1">
      <alignment horizontal="center" vertical="center"/>
    </xf>
    <xf numFmtId="2" fontId="53" fillId="0" borderId="94" xfId="0" applyNumberFormat="1" applyFont="1" applyBorder="1" applyAlignment="1">
      <alignment horizontal="center" vertical="center"/>
    </xf>
    <xf numFmtId="2" fontId="53" fillId="0" borderId="25" xfId="0" applyNumberFormat="1" applyFont="1" applyBorder="1" applyAlignment="1">
      <alignment horizontal="center" vertical="center"/>
    </xf>
    <xf numFmtId="2" fontId="53" fillId="0" borderId="34" xfId="0" applyNumberFormat="1" applyFont="1" applyBorder="1" applyAlignment="1">
      <alignment horizontal="center" vertical="center"/>
    </xf>
    <xf numFmtId="2" fontId="53" fillId="0" borderId="0" xfId="0" applyNumberFormat="1" applyFont="1" applyAlignment="1">
      <alignment horizontal="center" vertical="center"/>
    </xf>
    <xf numFmtId="2" fontId="53" fillId="0" borderId="140" xfId="0" applyNumberFormat="1" applyFont="1" applyBorder="1" applyAlignment="1">
      <alignment horizontal="center" vertical="center"/>
    </xf>
    <xf numFmtId="2" fontId="53" fillId="0" borderId="42" xfId="0" applyNumberFormat="1" applyFont="1" applyBorder="1" applyAlignment="1">
      <alignment horizontal="center" vertical="center"/>
    </xf>
    <xf numFmtId="0" fontId="117" fillId="0" borderId="38" xfId="24615" applyFont="1" applyBorder="1" applyAlignment="1">
      <alignment horizontal="left" vertical="center" wrapText="1"/>
    </xf>
    <xf numFmtId="0" fontId="117" fillId="0" borderId="39" xfId="24615" applyFont="1" applyBorder="1" applyAlignment="1">
      <alignment horizontal="left" vertical="center" wrapText="1"/>
    </xf>
    <xf numFmtId="0" fontId="66" fillId="47" borderId="28" xfId="24615" applyFont="1" applyFill="1" applyBorder="1" applyAlignment="1">
      <alignment horizontal="center" vertical="center"/>
    </xf>
    <xf numFmtId="0" fontId="66" fillId="47" borderId="29" xfId="24615" applyFont="1" applyFill="1" applyBorder="1" applyAlignment="1">
      <alignment horizontal="center" vertical="center"/>
    </xf>
    <xf numFmtId="0" fontId="66" fillId="48" borderId="28" xfId="24615" applyFont="1" applyFill="1" applyBorder="1" applyAlignment="1">
      <alignment horizontal="center" vertical="center"/>
    </xf>
    <xf numFmtId="0" fontId="66" fillId="48" borderId="29" xfId="24615" applyFont="1" applyFill="1" applyBorder="1" applyAlignment="1">
      <alignment horizontal="center" vertical="center"/>
    </xf>
    <xf numFmtId="0" fontId="68" fillId="0" borderId="0" xfId="24615" applyFont="1" applyAlignment="1">
      <alignment horizontal="center" vertical="center"/>
    </xf>
    <xf numFmtId="0" fontId="0" fillId="0" borderId="0" xfId="24615" applyFont="1" applyAlignment="1">
      <alignment horizontal="center" vertical="center"/>
    </xf>
    <xf numFmtId="167" fontId="73" fillId="0" borderId="10" xfId="24615" applyNumberFormat="1" applyFont="1" applyBorder="1" applyAlignment="1">
      <alignment horizontal="center"/>
    </xf>
    <xf numFmtId="167" fontId="73" fillId="0" borderId="0" xfId="24615" applyNumberFormat="1" applyFont="1" applyAlignment="1">
      <alignment horizontal="center"/>
    </xf>
  </cellXfs>
  <cellStyles count="24617">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Currency 2" xfId="24616" xr:uid="{A33F0255-AF10-F84A-97C9-1B09BD3AC105}"/>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22023" builtinId="8" hidden="1"/>
    <cellStyle name="Lien hypertexte" xfId="18080" builtinId="8" hidden="1"/>
    <cellStyle name="Lien hypertexte" xfId="19861" builtinId="8" hidden="1"/>
    <cellStyle name="Lien hypertexte" xfId="15728" builtinId="8" hidden="1"/>
    <cellStyle name="Lien hypertexte" xfId="810" builtinId="8" hidden="1"/>
    <cellStyle name="Lien hypertexte" xfId="19667" builtinId="8" hidden="1"/>
    <cellStyle name="Lien hypertexte" xfId="17876" builtinId="8" hidden="1"/>
    <cellStyle name="Lien hypertexte" xfId="22227" builtinId="8" hidden="1"/>
    <cellStyle name="Lien hypertexte" xfId="24495" builtinId="8" hidden="1"/>
    <cellStyle name="Lien hypertexte" xfId="16894" builtinId="8" hidden="1"/>
    <cellStyle name="Lien hypertexte" xfId="23777" builtinId="8" hidden="1"/>
    <cellStyle name="Lien hypertexte" xfId="21993" builtinId="8" hidden="1"/>
    <cellStyle name="Lien hypertexte" xfId="18110" builtinId="8" hidden="1"/>
    <cellStyle name="Lien hypertexte" xfId="19887" builtinId="8" hidden="1"/>
    <cellStyle name="Lien hypertexte" xfId="15912" builtinId="8" hidden="1"/>
    <cellStyle name="Lien hypertexte" xfId="840" builtinId="8" hidden="1"/>
    <cellStyle name="Lien hypertexte" xfId="19639" builtinId="8" hidden="1"/>
    <cellStyle name="Lien hypertexte" xfId="17848" builtinId="8" hidden="1"/>
    <cellStyle name="Lien hypertexte" xfId="22255" builtinId="8" hidden="1"/>
    <cellStyle name="Lien hypertexte" xfId="24469" builtinId="8" hidden="1"/>
    <cellStyle name="Lien hypertexte" xfId="19041" builtinId="8" hidden="1"/>
    <cellStyle name="Lien hypertexte" xfId="23569" builtinId="8" hidden="1"/>
    <cellStyle name="Lien hypertexte" xfId="21963" builtinId="8" hidden="1"/>
    <cellStyle name="Lien hypertexte" xfId="18140" builtinId="8" hidden="1"/>
    <cellStyle name="Lien hypertexte" xfId="19917" builtinId="8" hidden="1"/>
    <cellStyle name="Lien hypertexte" xfId="15886" builtinId="8" hidden="1"/>
    <cellStyle name="Lien hypertexte" xfId="866" builtinId="8" hidden="1"/>
    <cellStyle name="Lien hypertexte" xfId="19611" builtinId="8" hidden="1"/>
    <cellStyle name="Lien hypertexte" xfId="17818" builtinId="8" hidden="1"/>
    <cellStyle name="Lien hypertexte" xfId="22285" builtinId="8" hidden="1"/>
    <cellStyle name="Lien hypertexte" xfId="24439" builtinId="8" hidden="1"/>
    <cellStyle name="Lien hypertexte" xfId="16250" builtinId="8" hidden="1"/>
    <cellStyle name="Lien hypertexte" xfId="23377" builtinId="8" hidden="1"/>
    <cellStyle name="Lien hypertexte" xfId="21933" builtinId="8" hidden="1"/>
    <cellStyle name="Lien hypertexte" xfId="18168" builtinId="8" hidden="1"/>
    <cellStyle name="Lien hypertexte" xfId="19945" builtinId="8" hidden="1"/>
    <cellStyle name="Lien hypertexte" xfId="15858" builtinId="8" hidden="1"/>
    <cellStyle name="Lien hypertexte" xfId="894" builtinId="8" hidden="1"/>
    <cellStyle name="Lien hypertexte" xfId="19581" builtinId="8" hidden="1"/>
    <cellStyle name="Lien hypertexte" xfId="17788" builtinId="8" hidden="1"/>
    <cellStyle name="Lien hypertexte" xfId="22315" builtinId="8" hidden="1"/>
    <cellStyle name="Lien hypertexte" xfId="24409" builtinId="8" hidden="1"/>
    <cellStyle name="Lien hypertexte" xfId="19265" builtinId="8" hidden="1"/>
    <cellStyle name="Lien hypertexte" xfId="23169" builtinId="8" hidden="1"/>
    <cellStyle name="Lien hypertexte" xfId="21903" builtinId="8" hidden="1"/>
    <cellStyle name="Lien hypertexte" xfId="18198" builtinId="8" hidden="1"/>
    <cellStyle name="Lien hypertexte" xfId="19973" builtinId="8" hidden="1"/>
    <cellStyle name="Lien hypertexte" xfId="15828" builtinId="8" hidden="1"/>
    <cellStyle name="Lien hypertexte" xfId="922" builtinId="8" hidden="1"/>
    <cellStyle name="Lien hypertexte" xfId="19555" builtinId="8" hidden="1"/>
    <cellStyle name="Lien hypertexte" xfId="17758" builtinId="8" hidden="1"/>
    <cellStyle name="Lien hypertexte" xfId="22343" builtinId="8" hidden="1"/>
    <cellStyle name="Lien hypertexte" xfId="24379" builtinId="8" hidden="1"/>
    <cellStyle name="Lien hypertexte" xfId="18298" builtinId="8" hidden="1"/>
    <cellStyle name="Lien hypertexte" xfId="22961" builtinId="8" hidden="1"/>
    <cellStyle name="Lien hypertexte" xfId="21877" builtinId="8" hidden="1"/>
    <cellStyle name="Lien hypertexte" xfId="18228" builtinId="8" hidden="1"/>
    <cellStyle name="Lien hypertexte" xfId="19999" builtinId="8" hidden="1"/>
    <cellStyle name="Lien hypertexte" xfId="15800" builtinId="8" hidden="1"/>
    <cellStyle name="Lien hypertexte" xfId="950" builtinId="8" hidden="1"/>
    <cellStyle name="Lien hypertexte" xfId="20479" builtinId="8" hidden="1"/>
    <cellStyle name="Lien hypertexte" xfId="17730" builtinId="8" hidden="1"/>
    <cellStyle name="Lien hypertexte" xfId="22373" builtinId="8" hidden="1"/>
    <cellStyle name="Lien hypertexte" xfId="24349" builtinId="8" hidden="1"/>
    <cellStyle name="Lien hypertexte" xfId="16026" builtinId="8" hidden="1"/>
    <cellStyle name="Lien hypertexte" xfId="22753" builtinId="8" hidden="1"/>
    <cellStyle name="Lien hypertexte" xfId="21847" builtinId="8" hidden="1"/>
    <cellStyle name="Lien hypertexte" xfId="18258" builtinId="8" hidden="1"/>
    <cellStyle name="Lien hypertexte" xfId="20027" builtinId="8" hidden="1"/>
    <cellStyle name="Lien hypertexte" xfId="15772" builtinId="8" hidden="1"/>
    <cellStyle name="Lien hypertexte" xfId="978" builtinId="8" hidden="1"/>
    <cellStyle name="Lien hypertexte" xfId="21357" builtinId="8" hidden="1"/>
    <cellStyle name="Lien hypertexte" xfId="17700" builtinId="8" hidden="1"/>
    <cellStyle name="Lien hypertexte" xfId="22403" builtinId="8" hidden="1"/>
    <cellStyle name="Lien hypertexte" xfId="24323" builtinId="8" hidden="1"/>
    <cellStyle name="Lien hypertexte" xfId="16328" builtinId="8" hidden="1"/>
    <cellStyle name="Lien hypertexte" xfId="22545" builtinId="8" hidden="1"/>
    <cellStyle name="Lien hypertexte" xfId="21817" builtinId="8" hidden="1"/>
    <cellStyle name="Lien hypertexte" xfId="18284" builtinId="8" hidden="1"/>
    <cellStyle name="Lien hypertexte" xfId="20057" builtinId="8" hidden="1"/>
    <cellStyle name="Lien hypertexte" xfId="15744" builtinId="8" hidden="1"/>
    <cellStyle name="Lien hypertexte" xfId="1006" builtinId="8" hidden="1"/>
    <cellStyle name="Lien hypertexte" xfId="21725" builtinId="8" hidden="1"/>
    <cellStyle name="Lien hypertexte" xfId="17670" builtinId="8" hidden="1"/>
    <cellStyle name="Lien hypertexte" xfId="22431" builtinId="8" hidden="1"/>
    <cellStyle name="Lien hypertexte" xfId="24293" builtinId="8" hidden="1"/>
    <cellStyle name="Lien hypertexte" xfId="16142" builtinId="8" hidden="1"/>
    <cellStyle name="Lien hypertexte" xfId="22353" builtinId="8" hidden="1"/>
    <cellStyle name="Lien hypertexte" xfId="21787" builtinId="8" hidden="1"/>
    <cellStyle name="Lien hypertexte" xfId="18331" builtinId="8" hidden="1"/>
    <cellStyle name="Lien hypertexte" xfId="20085" builtinId="8" hidden="1"/>
    <cellStyle name="Lien hypertexte" xfId="15714" builtinId="8" hidden="1"/>
    <cellStyle name="Lien hypertexte" xfId="1034" builtinId="8" hidden="1"/>
    <cellStyle name="Lien hypertexte" xfId="21695" builtinId="8" hidden="1"/>
    <cellStyle name="Lien hypertexte" xfId="17642" builtinId="8" hidden="1"/>
    <cellStyle name="Lien hypertexte" xfId="22461" builtinId="8" hidden="1"/>
    <cellStyle name="Lien hypertexte" xfId="24263" builtinId="8" hidden="1"/>
    <cellStyle name="Lien hypertexte" xfId="17012" builtinId="8" hidden="1"/>
    <cellStyle name="Lien hypertexte" xfId="22145" builtinId="8" hidden="1"/>
    <cellStyle name="Lien hypertexte" xfId="21757" builtinId="8" hidden="1"/>
    <cellStyle name="Lien hypertexte" xfId="18361" builtinId="8" hidden="1"/>
    <cellStyle name="Lien hypertexte" xfId="20111" builtinId="8" hidden="1"/>
    <cellStyle name="Lien hypertexte" xfId="15688" builtinId="8" hidden="1"/>
    <cellStyle name="Lien hypertexte" xfId="1060" builtinId="8" hidden="1"/>
    <cellStyle name="Lien hypertexte" xfId="21669" builtinId="8" hidden="1"/>
    <cellStyle name="Lien hypertexte" xfId="17612" builtinId="8" hidden="1"/>
    <cellStyle name="Lien hypertexte" xfId="22489" builtinId="8" hidden="1"/>
    <cellStyle name="Lien hypertexte" xfId="24233" builtinId="8" hidden="1"/>
    <cellStyle name="Lien hypertexte" xfId="16124" builtinId="8" hidden="1"/>
    <cellStyle name="Lien hypertexte" xfId="21937" builtinId="8" hidden="1"/>
    <cellStyle name="Lien hypertexte" xfId="21025" builtinId="8" hidden="1"/>
    <cellStyle name="Lien hypertexte" xfId="18389" builtinId="8" hidden="1"/>
    <cellStyle name="Lien hypertexte" xfId="20139" builtinId="8" hidden="1"/>
    <cellStyle name="Lien hypertexte" xfId="15658" builtinId="8" hidden="1"/>
    <cellStyle name="Lien hypertexte" xfId="1088" builtinId="8" hidden="1"/>
    <cellStyle name="Lien hypertexte" xfId="21639" builtinId="8" hidden="1"/>
    <cellStyle name="Lien hypertexte" xfId="17582" builtinId="8" hidden="1"/>
    <cellStyle name="Lien hypertexte" xfId="22519" builtinId="8" hidden="1"/>
    <cellStyle name="Lien hypertexte" xfId="24203" builtinId="8" hidden="1"/>
    <cellStyle name="Lien hypertexte" xfId="16268" builtinId="8" hidden="1"/>
    <cellStyle name="Lien hypertexte" xfId="21729" builtinId="8" hidden="1"/>
    <cellStyle name="Lien hypertexte" xfId="19489" builtinId="8" hidden="1"/>
    <cellStyle name="Lien hypertexte" xfId="18419" builtinId="8" hidden="1"/>
    <cellStyle name="Lien hypertexte" xfId="20167" builtinId="8" hidden="1"/>
    <cellStyle name="Lien hypertexte" xfId="15630" builtinId="8" hidden="1"/>
    <cellStyle name="Lien hypertexte" xfId="1118" builtinId="8" hidden="1"/>
    <cellStyle name="Lien hypertexte" xfId="21611" builtinId="8" hidden="1"/>
    <cellStyle name="Lien hypertexte" xfId="17554" builtinId="8" hidden="1"/>
    <cellStyle name="Lien hypertexte" xfId="22549" builtinId="8" hidden="1"/>
    <cellStyle name="Lien hypertexte" xfId="24175" builtinId="8" hidden="1"/>
    <cellStyle name="Lien hypertexte" xfId="16084" builtinId="8" hidden="1"/>
    <cellStyle name="Lien hypertexte" xfId="22049" builtinId="8" hidden="1"/>
    <cellStyle name="Lien hypertexte" xfId="16054" builtinId="8" hidden="1"/>
    <cellStyle name="Lien hypertexte" xfId="18449" builtinId="8" hidden="1"/>
    <cellStyle name="Lien hypertexte" xfId="20197" builtinId="8" hidden="1"/>
    <cellStyle name="Lien hypertexte" xfId="15602" builtinId="8" hidden="1"/>
    <cellStyle name="Lien hypertexte" xfId="1146" builtinId="8" hidden="1"/>
    <cellStyle name="Lien hypertexte" xfId="21583" builtinId="8" hidden="1"/>
    <cellStyle name="Lien hypertexte" xfId="17526" builtinId="8" hidden="1"/>
    <cellStyle name="Lien hypertexte" xfId="22579" builtinId="8" hidden="1"/>
    <cellStyle name="Lien hypertexte" xfId="22429" builtinId="8" hidden="1"/>
    <cellStyle name="Lien hypertexte" xfId="372" builtinId="8" hidden="1"/>
    <cellStyle name="Lien hypertexte" xfId="21805" builtinId="8" hidden="1"/>
    <cellStyle name="Lien hypertexte" xfId="16258" builtinId="8" hidden="1"/>
    <cellStyle name="Lien hypertexte" xfId="18479" builtinId="8" hidden="1"/>
    <cellStyle name="Lien hypertexte" xfId="20223" builtinId="8" hidden="1"/>
    <cellStyle name="Lien hypertexte" xfId="15574" builtinId="8" hidden="1"/>
    <cellStyle name="Lien hypertexte" xfId="14526" builtinId="8" hidden="1"/>
    <cellStyle name="Lien hypertexte" xfId="21555" builtinId="8" hidden="1"/>
    <cellStyle name="Lien hypertexte" xfId="17496" builtinId="8" hidden="1"/>
    <cellStyle name="Lien hypertexte" xfId="22607" builtinId="8" hidden="1"/>
    <cellStyle name="Lien hypertexte" xfId="24117" builtinId="8" hidden="1"/>
    <cellStyle name="Lien hypertexte" xfId="16044" builtinId="8" hidden="1"/>
    <cellStyle name="Lien hypertexte" xfId="24101" builtinId="8" hidden="1"/>
    <cellStyle name="Lien hypertexte" xfId="16462" builtinId="8" hidden="1"/>
    <cellStyle name="Lien hypertexte" xfId="18507" builtinId="8" hidden="1"/>
    <cellStyle name="Lien hypertexte" xfId="19895" builtinId="8" hidden="1"/>
    <cellStyle name="Lien hypertexte" xfId="15546" builtinId="8" hidden="1"/>
    <cellStyle name="Lien hypertexte" xfId="14554" builtinId="8" hidden="1"/>
    <cellStyle name="Lien hypertexte" xfId="21527" builtinId="8" hidden="1"/>
    <cellStyle name="Lien hypertexte" xfId="17466" builtinId="8" hidden="1"/>
    <cellStyle name="Lien hypertexte" xfId="22635" builtinId="8" hidden="1"/>
    <cellStyle name="Lien hypertexte" xfId="24087" builtinId="8" hidden="1"/>
    <cellStyle name="Lien hypertexte" xfId="16562" builtinId="8" hidden="1"/>
    <cellStyle name="Lien hypertexte" xfId="23661" builtinId="8" hidden="1"/>
    <cellStyle name="Lien hypertexte" xfId="16668" builtinId="8" hidden="1"/>
    <cellStyle name="Lien hypertexte" xfId="18537" builtinId="8" hidden="1"/>
    <cellStyle name="Lien hypertexte" xfId="19209" builtinId="8" hidden="1"/>
    <cellStyle name="Lien hypertexte" xfId="15516" builtinId="8" hidden="1"/>
    <cellStyle name="Lien hypertexte" xfId="14584" builtinId="8" hidden="1"/>
    <cellStyle name="Lien hypertexte" xfId="21497" builtinId="8" hidden="1"/>
    <cellStyle name="Lien hypertexte" xfId="17438" builtinId="8" hidden="1"/>
    <cellStyle name="Lien hypertexte" xfId="22665" builtinId="8" hidden="1"/>
    <cellStyle name="Lien hypertexte" xfId="24057" builtinId="8" hidden="1"/>
    <cellStyle name="Lien hypertexte" xfId="16006" builtinId="8" hidden="1"/>
    <cellStyle name="Lien hypertexte" xfId="23223" builtinId="8" hidden="1"/>
    <cellStyle name="Lien hypertexte" xfId="16872" builtinId="8" hidden="1"/>
    <cellStyle name="Lien hypertexte" xfId="18567" builtinId="8" hidden="1"/>
    <cellStyle name="Lien hypertexte" xfId="19237" builtinId="8" hidden="1"/>
    <cellStyle name="Lien hypertexte" xfId="15490" builtinId="8" hidden="1"/>
    <cellStyle name="Lien hypertexte" xfId="14610" builtinId="8" hidden="1"/>
    <cellStyle name="Lien hypertexte" xfId="21469" builtinId="8" hidden="1"/>
    <cellStyle name="Lien hypertexte" xfId="17408" builtinId="8" hidden="1"/>
    <cellStyle name="Lien hypertexte" xfId="22695" builtinId="8" hidden="1"/>
    <cellStyle name="Lien hypertexte" xfId="24029" builtinId="8" hidden="1"/>
    <cellStyle name="Lien hypertexte" xfId="17166" builtinId="8" hidden="1"/>
    <cellStyle name="Lien hypertexte" xfId="22783" builtinId="8" hidden="1"/>
    <cellStyle name="Lien hypertexte" xfId="17078" builtinId="8" hidden="1"/>
    <cellStyle name="Lien hypertexte" xfId="18595" builtinId="8" hidden="1"/>
    <cellStyle name="Lien hypertexte" xfId="19263" builtinId="8" hidden="1"/>
    <cellStyle name="Lien hypertexte" xfId="15460" builtinId="8" hidden="1"/>
    <cellStyle name="Lien hypertexte" xfId="348" builtinId="8" hidden="1"/>
    <cellStyle name="Lien hypertexte" xfId="21443" builtinId="8" hidden="1"/>
    <cellStyle name="Lien hypertexte" xfId="17378" builtinId="8" hidden="1"/>
    <cellStyle name="Lien hypertexte" xfId="22725" builtinId="8" hidden="1"/>
    <cellStyle name="Lien hypertexte" xfId="23999" builtinId="8" hidden="1"/>
    <cellStyle name="Lien hypertexte" xfId="15966" builtinId="8" hidden="1"/>
    <cellStyle name="Lien hypertexte" xfId="22345" builtinId="8" hidden="1"/>
    <cellStyle name="Lien hypertexte" xfId="17282" builtinId="8" hidden="1"/>
    <cellStyle name="Lien hypertexte" xfId="18623" builtinId="8" hidden="1"/>
    <cellStyle name="Lien hypertexte" xfId="19291" builtinId="8" hidden="1"/>
    <cellStyle name="Lien hypertexte" xfId="15432" builtinId="8" hidden="1"/>
    <cellStyle name="Lien hypertexte" xfId="376" builtinId="8" hidden="1"/>
    <cellStyle name="Lien hypertexte" xfId="21413" builtinId="8" hidden="1"/>
    <cellStyle name="Lien hypertexte" xfId="17348" builtinId="8" hidden="1"/>
    <cellStyle name="Lien hypertexte" xfId="22755" builtinId="8" hidden="1"/>
    <cellStyle name="Lien hypertexte" xfId="23971" builtinId="8" hidden="1"/>
    <cellStyle name="Lien hypertexte" xfId="16796" builtinId="8" hidden="1"/>
    <cellStyle name="Lien hypertexte" xfId="21907" builtinId="8" hidden="1"/>
    <cellStyle name="Lien hypertexte" xfId="17486" builtinId="8" hidden="1"/>
    <cellStyle name="Lien hypertexte" xfId="18653" builtinId="8" hidden="1"/>
    <cellStyle name="Lien hypertexte" xfId="19321" builtinId="8" hidden="1"/>
    <cellStyle name="Lien hypertexte" xfId="15402" builtinId="8" hidden="1"/>
    <cellStyle name="Lien hypertexte" xfId="404" builtinId="8" hidden="1"/>
    <cellStyle name="Lien hypertexte" xfId="21385" builtinId="8" hidden="1"/>
    <cellStyle name="Lien hypertexte" xfId="17320" builtinId="8" hidden="1"/>
    <cellStyle name="Lien hypertexte" xfId="22781" builtinId="8" hidden="1"/>
    <cellStyle name="Lien hypertexte" xfId="23941" builtinId="8" hidden="1"/>
    <cellStyle name="Lien hypertexte" xfId="16162" builtinId="8" hidden="1"/>
    <cellStyle name="Lien hypertexte" xfId="20265" builtinId="8" hidden="1"/>
    <cellStyle name="Lien hypertexte" xfId="17692" builtinId="8" hidden="1"/>
    <cellStyle name="Lien hypertexte" xfId="18683" builtinId="8" hidden="1"/>
    <cellStyle name="Lien hypertexte" xfId="19349" builtinId="8" hidden="1"/>
    <cellStyle name="Lien hypertexte" xfId="15376" builtinId="8" hidden="1"/>
    <cellStyle name="Lien hypertexte" xfId="430" builtinId="8" hidden="1"/>
    <cellStyle name="Lien hypertexte" xfId="21355" builtinId="8" hidden="1"/>
    <cellStyle name="Lien hypertexte" xfId="17290" builtinId="8" hidden="1"/>
    <cellStyle name="Lien hypertexte" xfId="22811" builtinId="8" hidden="1"/>
    <cellStyle name="Lien hypertexte" xfId="23911" builtinId="8" hidden="1"/>
    <cellStyle name="Lien hypertexte" xfId="18549" builtinId="8" hidden="1"/>
    <cellStyle name="Lien hypertexte" xfId="20293" builtinId="8" hidden="1"/>
    <cellStyle name="Lien hypertexte" xfId="17896" builtinId="8" hidden="1"/>
    <cellStyle name="Lien hypertexte" xfId="18711" builtinId="8" hidden="1"/>
    <cellStyle name="Lien hypertexte" xfId="19375" builtinId="8" hidden="1"/>
    <cellStyle name="Lien hypertexte" xfId="15348" builtinId="8" hidden="1"/>
    <cellStyle name="Lien hypertexte" xfId="460" builtinId="8" hidden="1"/>
    <cellStyle name="Lien hypertexte" xfId="21327" builtinId="8" hidden="1"/>
    <cellStyle name="Lien hypertexte" xfId="17260" builtinId="8" hidden="1"/>
    <cellStyle name="Lien hypertexte" xfId="22841" builtinId="8" hidden="1"/>
    <cellStyle name="Lien hypertexte" xfId="23883" builtinId="8" hidden="1"/>
    <cellStyle name="Lien hypertexte" xfId="16220" builtinId="8" hidden="1"/>
    <cellStyle name="Lien hypertexte" xfId="20319" builtinId="8" hidden="1"/>
    <cellStyle name="Lien hypertexte" xfId="18102" builtinId="8" hidden="1"/>
    <cellStyle name="Lien hypertexte" xfId="18741" builtinId="8" hidden="1"/>
    <cellStyle name="Lien hypertexte" xfId="19403" builtinId="8" hidden="1"/>
    <cellStyle name="Lien hypertexte" xfId="15318" builtinId="8" hidden="1"/>
    <cellStyle name="Lien hypertexte" xfId="488" builtinId="8" hidden="1"/>
    <cellStyle name="Lien hypertexte" xfId="21301" builtinId="8" hidden="1"/>
    <cellStyle name="Lien hypertexte" xfId="17234" builtinId="8" hidden="1"/>
    <cellStyle name="Lien hypertexte" xfId="22871" builtinId="8" hidden="1"/>
    <cellStyle name="Lien hypertexte" xfId="23853" builtinId="8" hidden="1"/>
    <cellStyle name="Lien hypertexte" xfId="16758" builtinId="8" hidden="1"/>
    <cellStyle name="Lien hypertexte" xfId="20349" builtinId="8" hidden="1"/>
    <cellStyle name="Lien hypertexte" xfId="18306" builtinId="8" hidden="1"/>
    <cellStyle name="Lien hypertexte" xfId="18771" builtinId="8" hidden="1"/>
    <cellStyle name="Lien hypertexte" xfId="19431" builtinId="8" hidden="1"/>
    <cellStyle name="Lien hypertexte" xfId="15292" builtinId="8" hidden="1"/>
    <cellStyle name="Lien hypertexte" xfId="514" builtinId="8" hidden="1"/>
    <cellStyle name="Lien hypertexte" xfId="21271" builtinId="8" hidden="1"/>
    <cellStyle name="Lien hypertexte" xfId="17204" builtinId="8" hidden="1"/>
    <cellStyle name="Lien hypertexte" xfId="22901" builtinId="8" hidden="1"/>
    <cellStyle name="Lien hypertexte" xfId="23823" builtinId="8" hidden="1"/>
    <cellStyle name="Lien hypertexte" xfId="16280" builtinId="8" hidden="1"/>
    <cellStyle name="Lien hypertexte" xfId="20377" builtinId="8" hidden="1"/>
    <cellStyle name="Lien hypertexte" xfId="18527" builtinId="8" hidden="1"/>
    <cellStyle name="Lien hypertexte" xfId="18799" builtinId="8" hidden="1"/>
    <cellStyle name="Lien hypertexte" xfId="19459" builtinId="8" hidden="1"/>
    <cellStyle name="Lien hypertexte" xfId="15262" builtinId="8" hidden="1"/>
    <cellStyle name="Lien hypertexte" xfId="542" builtinId="8" hidden="1"/>
    <cellStyle name="Lien hypertexte" xfId="21243" builtinId="8" hidden="1"/>
    <cellStyle name="Lien hypertexte" xfId="17174" builtinId="8" hidden="1"/>
    <cellStyle name="Lien hypertexte" xfId="22927" builtinId="8" hidden="1"/>
    <cellStyle name="Lien hypertexte" xfId="23795" builtinId="8" hidden="1"/>
    <cellStyle name="Lien hypertexte" xfId="17050" builtinId="8" hidden="1"/>
    <cellStyle name="Lien hypertexte" xfId="20405" builtinId="8" hidden="1"/>
    <cellStyle name="Lien hypertexte" xfId="18733" builtinId="8" hidden="1"/>
    <cellStyle name="Lien hypertexte" xfId="18829" builtinId="8" hidden="1"/>
    <cellStyle name="Lien hypertexte" xfId="19485" builtinId="8" hidden="1"/>
    <cellStyle name="Lien hypertexte" xfId="15234" builtinId="8" hidden="1"/>
    <cellStyle name="Lien hypertexte" xfId="570" builtinId="8" hidden="1"/>
    <cellStyle name="Lien hypertexte" xfId="21215" builtinId="8" hidden="1"/>
    <cellStyle name="Lien hypertexte" xfId="17144" builtinId="8" hidden="1"/>
    <cellStyle name="Lien hypertexte" xfId="22957" builtinId="8" hidden="1"/>
    <cellStyle name="Lien hypertexte" xfId="23765" builtinId="8" hidden="1"/>
    <cellStyle name="Lien hypertexte" xfId="16338" builtinId="8" hidden="1"/>
    <cellStyle name="Lien hypertexte" xfId="20435" builtinId="8" hidden="1"/>
    <cellStyle name="Lien hypertexte" xfId="17456" builtinId="8" hidden="1"/>
    <cellStyle name="Lien hypertexte" xfId="18657" builtinId="8" hidden="1"/>
    <cellStyle name="Lien hypertexte" xfId="19513" builtinId="8" hidden="1"/>
    <cellStyle name="Lien hypertexte" xfId="15204" builtinId="8" hidden="1"/>
    <cellStyle name="Lien hypertexte" xfId="598" builtinId="8" hidden="1"/>
    <cellStyle name="Lien hypertexte" xfId="21187" builtinId="8" hidden="1"/>
    <cellStyle name="Lien hypertexte" xfId="17116" builtinId="8" hidden="1"/>
    <cellStyle name="Lien hypertexte" xfId="22987" builtinId="8" hidden="1"/>
    <cellStyle name="Lien hypertexte" xfId="23737" builtinId="8" hidden="1"/>
    <cellStyle name="Lien hypertexte" xfId="16678" builtinId="8" hidden="1"/>
    <cellStyle name="Lien hypertexte" xfId="20461" builtinId="8" hidden="1"/>
    <cellStyle name="Lien hypertexte" xfId="14728" builtinId="8" hidden="1"/>
    <cellStyle name="Lien hypertexte" xfId="18192" builtinId="8" hidden="1"/>
    <cellStyle name="Lien hypertexte" xfId="19019" builtinId="8" hidden="1"/>
    <cellStyle name="Lien hypertexte" xfId="15178" builtinId="8" hidden="1"/>
    <cellStyle name="Lien hypertexte" xfId="624" builtinId="8" hidden="1"/>
    <cellStyle name="Lien hypertexte" xfId="21159" builtinId="8" hidden="1"/>
    <cellStyle name="Lien hypertexte" xfId="17086" builtinId="8" hidden="1"/>
    <cellStyle name="Lien hypertexte" xfId="23017" builtinId="8" hidden="1"/>
    <cellStyle name="Lien hypertexte" xfId="23707" builtinId="8" hidden="1"/>
    <cellStyle name="Lien hypertexte" xfId="16396" builtinId="8" hidden="1"/>
    <cellStyle name="Lien hypertexte" xfId="20491" builtinId="8" hidden="1"/>
    <cellStyle name="Lien hypertexte" xfId="14926" builtinId="8" hidden="1"/>
    <cellStyle name="Lien hypertexte" xfId="17776" builtinId="8" hidden="1"/>
    <cellStyle name="Lien hypertexte" xfId="19047" builtinId="8" hidden="1"/>
    <cellStyle name="Lien hypertexte" xfId="15148" builtinId="8" hidden="1"/>
    <cellStyle name="Lien hypertexte" xfId="454" builtinId="8" hidden="1"/>
    <cellStyle name="Lien hypertexte" xfId="21129" builtinId="8" hidden="1"/>
    <cellStyle name="Lien hypertexte" xfId="17056" builtinId="8" hidden="1"/>
    <cellStyle name="Lien hypertexte" xfId="21417" builtinId="8" hidden="1"/>
    <cellStyle name="Lien hypertexte" xfId="23671" builtinId="8" hidden="1"/>
    <cellStyle name="Lien hypertexte" xfId="20821" builtinId="8" hidden="1"/>
    <cellStyle name="Lien hypertexte" xfId="52" builtinId="8" hidden="1"/>
    <cellStyle name="Lien hypertexte" xfId="19287" builtinId="8" hidden="1"/>
    <cellStyle name="Lien hypertexte" xfId="17328" builtinId="8" hidden="1"/>
    <cellStyle name="Lien hypertexte" xfId="19075" builtinId="8" hidden="1"/>
    <cellStyle name="Lien hypertexte" xfId="15120" builtinId="8" hidden="1"/>
    <cellStyle name="Lien hypertexte" xfId="224" builtinId="8" hidden="1"/>
    <cellStyle name="Lien hypertexte" xfId="21101" builtinId="8" hidden="1"/>
    <cellStyle name="Lien hypertexte" xfId="17028" builtinId="8" hidden="1"/>
    <cellStyle name="Lien hypertexte" xfId="23075" builtinId="8" hidden="1"/>
    <cellStyle name="Lien hypertexte" xfId="23647" builtinId="8" hidden="1"/>
    <cellStyle name="Lien hypertexte" xfId="16454" builtinId="8" hidden="1"/>
    <cellStyle name="Lien hypertexte" xfId="20547" builtinId="8" hidden="1"/>
    <cellStyle name="Lien hypertexte" xfId="15322" builtinId="8" hidden="1"/>
    <cellStyle name="Lien hypertexte" xfId="16880" builtinId="8" hidden="1"/>
    <cellStyle name="Lien hypertexte" xfId="19101" builtinId="8" hidden="1"/>
    <cellStyle name="Lien hypertexte" xfId="15094" builtinId="8" hidden="1"/>
    <cellStyle name="Lien hypertexte" xfId="250" builtinId="8" hidden="1"/>
    <cellStyle name="Lien hypertexte" xfId="21075" builtinId="8" hidden="1"/>
    <cellStyle name="Lien hypertexte" xfId="16998" builtinId="8" hidden="1"/>
    <cellStyle name="Lien hypertexte" xfId="23103" builtinId="8" hidden="1"/>
    <cellStyle name="Lien hypertexte" xfId="23619" builtinId="8" hidden="1"/>
    <cellStyle name="Lien hypertexte" xfId="16602" builtinId="8" hidden="1"/>
    <cellStyle name="Lien hypertexte" xfId="20575" builtinId="8" hidden="1"/>
    <cellStyle name="Lien hypertexte" xfId="15520" builtinId="8" hidden="1"/>
    <cellStyle name="Lien hypertexte" xfId="16464" builtinId="8" hidden="1"/>
    <cellStyle name="Lien hypertexte" xfId="19129" builtinId="8" hidden="1"/>
    <cellStyle name="Lien hypertexte" xfId="15064" builtinId="8" hidden="1"/>
    <cellStyle name="Lien hypertexte" xfId="278" builtinId="8" hidden="1"/>
    <cellStyle name="Lien hypertexte" xfId="21045" builtinId="8" hidden="1"/>
    <cellStyle name="Lien hypertexte" xfId="16968" builtinId="8" hidden="1"/>
    <cellStyle name="Lien hypertexte" xfId="23133" builtinId="8" hidden="1"/>
    <cellStyle name="Lien hypertexte" xfId="23591" builtinId="8" hidden="1"/>
    <cellStyle name="Lien hypertexte" xfId="16512" builtinId="8" hidden="1"/>
    <cellStyle name="Lien hypertexte" xfId="20603" builtinId="8" hidden="1"/>
    <cellStyle name="Lien hypertexte" xfId="15718" builtinId="8" hidden="1"/>
    <cellStyle name="Lien hypertexte" xfId="16016" builtinId="8" hidden="1"/>
    <cellStyle name="Lien hypertexte" xfId="19157" builtinId="8" hidden="1"/>
    <cellStyle name="Lien hypertexte" xfId="15036" builtinId="8" hidden="1"/>
    <cellStyle name="Lien hypertexte" xfId="306" builtinId="8" hidden="1"/>
    <cellStyle name="Lien hypertexte" xfId="21017" builtinId="8" hidden="1"/>
    <cellStyle name="Lien hypertexte" xfId="16938" builtinId="8" hidden="1"/>
    <cellStyle name="Lien hypertexte" xfId="23163" builtinId="8" hidden="1"/>
    <cellStyle name="Lien hypertexte" xfId="23561" builtinId="8" hidden="1"/>
    <cellStyle name="Lien hypertexte" xfId="17634" builtinId="8" hidden="1"/>
    <cellStyle name="Lien hypertexte" xfId="20633" builtinId="8" hidden="1"/>
    <cellStyle name="Lien hypertexte" xfId="15916" builtinId="8" hidden="1"/>
    <cellStyle name="Lien hypertexte" xfId="14652" builtinId="8" hidden="1"/>
    <cellStyle name="Lien hypertexte" xfId="19183" builtinId="8" hidden="1"/>
    <cellStyle name="Lien hypertexte" xfId="15006" builtinId="8" hidden="1"/>
    <cellStyle name="Lien hypertexte" xfId="334" builtinId="8" hidden="1"/>
    <cellStyle name="Lien hypertexte" xfId="20987" builtinId="8" hidden="1"/>
    <cellStyle name="Lien hypertexte" xfId="16910" builtinId="8" hidden="1"/>
    <cellStyle name="Lien hypertexte" xfId="23193" builtinId="8" hidden="1"/>
    <cellStyle name="Lien hypertexte" xfId="23531" builtinId="8" hidden="1"/>
    <cellStyle name="Lien hypertexte" xfId="16572" builtinId="8" hidden="1"/>
    <cellStyle name="Lien hypertexte" xfId="20661" builtinId="8" hidden="1"/>
    <cellStyle name="Lien hypertexte" xfId="786" builtinId="8" hidden="1"/>
    <cellStyle name="Lien hypertexte" xfId="14680" builtinId="8" hidden="1"/>
    <cellStyle name="Lien hypertexte" xfId="18955" builtinId="8" hidden="1"/>
    <cellStyle name="Lien hypertexte" xfId="14980" builtinId="8" hidden="1"/>
    <cellStyle name="Lien hypertexte" xfId="136" builtinId="8" hidden="1"/>
    <cellStyle name="Lien hypertexte" xfId="20959" builtinId="8" hidden="1"/>
    <cellStyle name="Lien hypertexte" xfId="16882" builtinId="8" hidden="1"/>
    <cellStyle name="Lien hypertexte" xfId="23221" builtinId="8" hidden="1"/>
    <cellStyle name="Lien hypertexte" xfId="23501" builtinId="8" hidden="1"/>
    <cellStyle name="Lien hypertexte" xfId="16522" builtinId="8" hidden="1"/>
    <cellStyle name="Lien hypertexte" xfId="20687" builtinId="8" hidden="1"/>
    <cellStyle name="Lien hypertexte" xfId="982" builtinId="8" hidden="1"/>
    <cellStyle name="Lien hypertexte" xfId="14708" builtinId="8" hidden="1"/>
    <cellStyle name="Lien hypertexte" xfId="18983" builtinId="8" hidden="1"/>
    <cellStyle name="Lien hypertexte" xfId="14950" builtinId="8" hidden="1"/>
    <cellStyle name="Lien hypertexte" xfId="164" builtinId="8" hidden="1"/>
    <cellStyle name="Lien hypertexte" xfId="20933" builtinId="8" hidden="1"/>
    <cellStyle name="Lien hypertexte" xfId="16852" builtinId="8" hidden="1"/>
    <cellStyle name="Lien hypertexte" xfId="23251" builtinId="8" hidden="1"/>
    <cellStyle name="Lien hypertexte" xfId="23471" builtinId="8" hidden="1"/>
    <cellStyle name="Lien hypertexte" xfId="16630" builtinId="8" hidden="1"/>
    <cellStyle name="Lien hypertexte" xfId="20717" builtinId="8" hidden="1"/>
    <cellStyle name="Lien hypertexte" xfId="14530" builtinId="8" hidden="1"/>
    <cellStyle name="Lien hypertexte" xfId="14736" builtinId="8" hidden="1"/>
    <cellStyle name="Lien hypertexte" xfId="19011" builtinId="8" hidden="1"/>
    <cellStyle name="Lien hypertexte" xfId="14922" builtinId="8" hidden="1"/>
    <cellStyle name="Lien hypertexte" xfId="192" builtinId="8" hidden="1"/>
    <cellStyle name="Lien hypertexte" xfId="20903" builtinId="8" hidden="1"/>
    <cellStyle name="Lien hypertexte" xfId="16824" builtinId="8" hidden="1"/>
    <cellStyle name="Lien hypertexte" xfId="23279" builtinId="8" hidden="1"/>
    <cellStyle name="Lien hypertexte" xfId="23445" builtinId="8" hidden="1"/>
    <cellStyle name="Lien hypertexte" xfId="18625" builtinId="8" hidden="1"/>
    <cellStyle name="Lien hypertexte" xfId="20745" builtinId="8" hidden="1"/>
    <cellStyle name="Lien hypertexte" xfId="434" builtinId="8" hidden="1"/>
    <cellStyle name="Lien hypertexte" xfId="14764" builtinId="8" hidden="1"/>
    <cellStyle name="Lien hypertexte" xfId="18909" builtinId="8" hidden="1"/>
    <cellStyle name="Lien hypertexte" xfId="14894" builtinId="8" hidden="1"/>
    <cellStyle name="Lien hypertexte" xfId="106" builtinId="8" hidden="1"/>
    <cellStyle name="Lien hypertexte" xfId="20875" builtinId="8" hidden="1"/>
    <cellStyle name="Lien hypertexte" xfId="16794" builtinId="8" hidden="1"/>
    <cellStyle name="Lien hypertexte" xfId="23309" builtinId="8" hidden="1"/>
    <cellStyle name="Lien hypertexte" xfId="23415" builtinId="8" hidden="1"/>
    <cellStyle name="Lien hypertexte" xfId="16690" builtinId="8" hidden="1"/>
    <cellStyle name="Lien hypertexte" xfId="20775" builtinId="8" hidden="1"/>
    <cellStyle name="Lien hypertexte" xfId="628" builtinId="8" hidden="1"/>
    <cellStyle name="Lien hypertexte" xfId="14792" builtinId="8" hidden="1"/>
    <cellStyle name="Lien hypertexte" xfId="18873" builtinId="8" hidden="1"/>
    <cellStyle name="Lien hypertexte" xfId="14866" builtinId="8" hidden="1"/>
    <cellStyle name="Lien hypertexte" xfId="78" builtinId="8" hidden="1"/>
    <cellStyle name="Lien hypertexte" xfId="20847" builtinId="8" hidden="1"/>
    <cellStyle name="Lien hypertexte" xfId="16764" builtinId="8" hidden="1"/>
    <cellStyle name="Lien hypertexte" xfId="23339" builtinId="8" hidden="1"/>
    <cellStyle name="Lien hypertexte" xfId="23385" builtinId="8" hidden="1"/>
    <cellStyle name="Lien hypertexte" xfId="16444" builtinId="8" hidden="1"/>
    <cellStyle name="Lien hypertexte" xfId="20803" builtinId="8" hidden="1"/>
    <cellStyle name="Lien hypertexte" xfId="140" builtinId="8" hidden="1"/>
    <cellStyle name="Lien hypertexte" xfId="14820" builtinId="8" hidden="1"/>
    <cellStyle name="Lien hypertexte" xfId="18853" builtinId="8" hidden="1"/>
    <cellStyle name="Lien hypertexte" xfId="14838" builtinId="8" hidden="1"/>
    <cellStyle name="Lien hypertexte" xfId="84" builtinId="8" hidden="1"/>
    <cellStyle name="Lien hypertexte" xfId="20819" builtinId="8" hidden="1"/>
    <cellStyle name="Lien hypertexte" xfId="16734" builtinId="8" hidden="1"/>
    <cellStyle name="Lien hypertexte" xfId="23367" builtinId="8" hidden="1"/>
    <cellStyle name="Lien hypertexte" xfId="23355" builtinId="8" hidden="1"/>
    <cellStyle name="Lien hypertexte" xfId="16746" builtinId="8" hidden="1"/>
    <cellStyle name="Lien hypertexte" xfId="20829" builtinId="8" hidden="1"/>
    <cellStyle name="Lien hypertexte" xfId="66" builtinId="8" hidden="1"/>
    <cellStyle name="Lien hypertexte" xfId="14850" builtinId="8" hidden="1"/>
    <cellStyle name="Lien hypertexte" xfId="18857" builtinId="8" hidden="1"/>
    <cellStyle name="Lien hypertexte" xfId="14808" builtinId="8" hidden="1"/>
    <cellStyle name="Lien hypertexte" xfId="284" builtinId="8" hidden="1"/>
    <cellStyle name="Lien hypertexte" xfId="20791" builtinId="8" hidden="1"/>
    <cellStyle name="Lien hypertexte" xfId="16706" builtinId="8" hidden="1"/>
    <cellStyle name="Lien hypertexte" xfId="23397" builtinId="8" hidden="1"/>
    <cellStyle name="Lien hypertexte" xfId="23325" builtinId="8" hidden="1"/>
    <cellStyle name="Lien hypertexte" xfId="18104" builtinId="8" hidden="1"/>
    <cellStyle name="Lien hypertexte" xfId="20859" builtinId="8" hidden="1"/>
    <cellStyle name="Lien hypertexte" xfId="122" builtinId="8" hidden="1"/>
    <cellStyle name="Lien hypertexte" xfId="14878" builtinId="8" hidden="1"/>
    <cellStyle name="Lien hypertexte" xfId="18925" builtinId="8" hidden="1"/>
    <cellStyle name="Lien hypertexte" xfId="14782" builtinId="8" hidden="1"/>
    <cellStyle name="Lien hypertexte" xfId="548" builtinId="8" hidden="1"/>
    <cellStyle name="Lien hypertexte" xfId="20761" builtinId="8" hidden="1"/>
    <cellStyle name="Lien hypertexte" xfId="16676" builtinId="8" hidden="1"/>
    <cellStyle name="Lien hypertexte" xfId="23427" builtinId="8" hidden="1"/>
    <cellStyle name="Lien hypertexte" xfId="23299" builtinId="8" hidden="1"/>
    <cellStyle name="Lien hypertexte" xfId="16806" builtinId="8" hidden="1"/>
    <cellStyle name="Lien hypertexte" xfId="20887" builtinId="8" hidden="1"/>
    <cellStyle name="Lien hypertexte" xfId="96" builtinId="8" hidden="1"/>
    <cellStyle name="Lien hypertexte" xfId="14906" builtinId="8" hidden="1"/>
    <cellStyle name="Lien hypertexte" xfId="18899" builtinId="8" hidden="1"/>
    <cellStyle name="Lien hypertexte" xfId="14752" builtinId="8" hidden="1"/>
    <cellStyle name="Lien hypertexte" xfId="354" builtinId="8" hidden="1"/>
    <cellStyle name="Lien hypertexte" xfId="20733" builtinId="8" hidden="1"/>
    <cellStyle name="Lien hypertexte" xfId="16646" builtinId="8" hidden="1"/>
    <cellStyle name="Lien hypertexte" xfId="23455" builtinId="8" hidden="1"/>
    <cellStyle name="Lien hypertexte" xfId="23269" builtinId="8" hidden="1"/>
    <cellStyle name="Lien hypertexte" xfId="16834" builtinId="8" hidden="1"/>
    <cellStyle name="Lien hypertexte" xfId="20915" builtinId="8" hidden="1"/>
    <cellStyle name="Lien hypertexte" xfId="180" builtinId="8" hidden="1"/>
    <cellStyle name="Lien hypertexte" xfId="14934" builtinId="8" hidden="1"/>
    <cellStyle name="Lien hypertexte" xfId="18999" builtinId="8" hidden="1"/>
    <cellStyle name="Lien hypertexte" xfId="14724" builtinId="8" hidden="1"/>
    <cellStyle name="Lien hypertexte" xfId="1096" builtinId="8" hidden="1"/>
    <cellStyle name="Lien hypertexte" xfId="20707" builtinId="8" hidden="1"/>
    <cellStyle name="Lien hypertexte" xfId="16618" builtinId="8" hidden="1"/>
    <cellStyle name="Lien hypertexte" xfId="23485" builtinId="8" hidden="1"/>
    <cellStyle name="Lien hypertexte" xfId="23239" builtinId="8" hidden="1"/>
    <cellStyle name="Lien hypertexte" xfId="16864" builtinId="8" hidden="1"/>
    <cellStyle name="Lien hypertexte" xfId="20943" builtinId="8" hidden="1"/>
    <cellStyle name="Lien hypertexte" xfId="152" builtinId="8" hidden="1"/>
    <cellStyle name="Lien hypertexte" xfId="14964" builtinId="8" hidden="1"/>
    <cellStyle name="Lien hypertexte" xfId="18971" builtinId="8" hidden="1"/>
    <cellStyle name="Lien hypertexte" xfId="14696" builtinId="8" hidden="1"/>
    <cellStyle name="Lien hypertexte" xfId="900" builtinId="8" hidden="1"/>
    <cellStyle name="Lien hypertexte" xfId="20677" builtinId="8" hidden="1"/>
    <cellStyle name="Lien hypertexte" xfId="16588" builtinId="8" hidden="1"/>
    <cellStyle name="Lien hypertexte" xfId="23513" builtinId="8" hidden="1"/>
    <cellStyle name="Lien hypertexte" xfId="23053" builtinId="8" hidden="1"/>
    <cellStyle name="Lien hypertexte" xfId="132" builtinId="8" hidden="1"/>
    <cellStyle name="Lien hypertexte" xfId="20971" builtinId="8" hidden="1"/>
    <cellStyle name="Lien hypertexte" xfId="126" builtinId="8" hidden="1"/>
    <cellStyle name="Lien hypertexte" xfId="14990" builtinId="8" hidden="1"/>
    <cellStyle name="Lien hypertexte" xfId="18943" builtinId="8" hidden="1"/>
    <cellStyle name="Lien hypertexte" xfId="14668" builtinId="8" hidden="1"/>
    <cellStyle name="Lien hypertexte" xfId="704" builtinId="8" hidden="1"/>
    <cellStyle name="Lien hypertexte" xfId="20649" builtinId="8" hidden="1"/>
    <cellStyle name="Lien hypertexte" xfId="16558" builtinId="8" hidden="1"/>
    <cellStyle name="Lien hypertexte" xfId="23543" builtinId="8" hidden="1"/>
    <cellStyle name="Lien hypertexte" xfId="23179" builtinId="8" hidden="1"/>
    <cellStyle name="Lien hypertexte" xfId="16922" builtinId="8" hidden="1"/>
    <cellStyle name="Lien hypertexte" xfId="21001" builtinId="8" hidden="1"/>
    <cellStyle name="Lien hypertexte" xfId="322" builtinId="8" hidden="1"/>
    <cellStyle name="Lien hypertexte" xfId="15018" builtinId="8" hidden="1"/>
    <cellStyle name="Lien hypertexte" xfId="19173" builtinId="8" hidden="1"/>
    <cellStyle name="Lien hypertexte" xfId="14638" builtinId="8" hidden="1"/>
    <cellStyle name="Lien hypertexte" xfId="15834" builtinId="8" hidden="1"/>
    <cellStyle name="Lien hypertexte" xfId="20619" builtinId="8" hidden="1"/>
    <cellStyle name="Lien hypertexte" xfId="16530" builtinId="8" hidden="1"/>
    <cellStyle name="Lien hypertexte" xfId="23573" builtinId="8" hidden="1"/>
    <cellStyle name="Lien hypertexte" xfId="23151" builtinId="8" hidden="1"/>
    <cellStyle name="Lien hypertexte" xfId="16952" builtinId="8" hidden="1"/>
    <cellStyle name="Lien hypertexte" xfId="21029" builtinId="8" hidden="1"/>
    <cellStyle name="Lien hypertexte" xfId="294" builtinId="8" hidden="1"/>
    <cellStyle name="Lien hypertexte" xfId="15048" builtinId="8" hidden="1"/>
    <cellStyle name="Lien hypertexte" xfId="19145" builtinId="8" hidden="1"/>
    <cellStyle name="Lien hypertexte" xfId="16208" builtinId="8" hidden="1"/>
    <cellStyle name="Lien hypertexte" xfId="15636" builtinId="8" hidden="1"/>
    <cellStyle name="Lien hypertexte" xfId="20591" builtinId="8" hidden="1"/>
    <cellStyle name="Lien hypertexte" xfId="16502" builtinId="8" hidden="1"/>
    <cellStyle name="Lien hypertexte" xfId="23603" builtinId="8" hidden="1"/>
    <cellStyle name="Lien hypertexte" xfId="23123" builtinId="8" hidden="1"/>
    <cellStyle name="Lien hypertexte" xfId="16982" builtinId="8" hidden="1"/>
    <cellStyle name="Lien hypertexte" xfId="21055" builtinId="8" hidden="1"/>
    <cellStyle name="Lien hypertexte" xfId="266" builtinId="8" hidden="1"/>
    <cellStyle name="Lien hypertexte" xfId="15076" builtinId="8" hidden="1"/>
    <cellStyle name="Lien hypertexte" xfId="19117" builtinId="8" hidden="1"/>
    <cellStyle name="Lien hypertexte" xfId="16624" builtinId="8" hidden="1"/>
    <cellStyle name="Lien hypertexte" xfId="15438" builtinId="8" hidden="1"/>
    <cellStyle name="Lien hypertexte" xfId="20565" builtinId="8" hidden="1"/>
    <cellStyle name="Lien hypertexte" xfId="16472" builtinId="8" hidden="1"/>
    <cellStyle name="Lien hypertexte" xfId="23631" builtinId="8" hidden="1"/>
    <cellStyle name="Lien hypertexte" xfId="23093" builtinId="8" hidden="1"/>
    <cellStyle name="Lien hypertexte" xfId="18024" builtinId="8" hidden="1"/>
    <cellStyle name="Lien hypertexte" xfId="21085" builtinId="8" hidden="1"/>
    <cellStyle name="Lien hypertexte" xfId="240" builtinId="8" hidden="1"/>
    <cellStyle name="Lien hypertexte" xfId="15104" builtinId="8" hidden="1"/>
    <cellStyle name="Lien hypertexte" xfId="19091" builtinId="8" hidden="1"/>
    <cellStyle name="Lien hypertexte" xfId="17072" builtinId="8" hidden="1"/>
    <cellStyle name="Lien hypertexte" xfId="15240" builtinId="8" hidden="1"/>
    <cellStyle name="Lien hypertexte" xfId="20535" builtinId="8" hidden="1"/>
    <cellStyle name="Lien hypertexte" xfId="16442" builtinId="8" hidden="1"/>
    <cellStyle name="Lien hypertexte" xfId="23659" builtinId="8" hidden="1"/>
    <cellStyle name="Lien hypertexte" xfId="23063" builtinId="8" hidden="1"/>
    <cellStyle name="Lien hypertexte" xfId="17038" builtinId="8" hidden="1"/>
    <cellStyle name="Lien hypertexte" xfId="21113" builtinId="8" hidden="1"/>
    <cellStyle name="Lien hypertexte" xfId="212" builtinId="8" hidden="1"/>
    <cellStyle name="Lien hypertexte" xfId="15132" builtinId="8" hidden="1"/>
    <cellStyle name="Lien hypertexte" xfId="19063" builtinId="8" hidden="1"/>
    <cellStyle name="Lien hypertexte" xfId="17520" builtinId="8" hidden="1"/>
    <cellStyle name="Lien hypertexte" xfId="15042" builtinId="8" hidden="1"/>
    <cellStyle name="Lien hypertexte" xfId="20507" builtinId="8" hidden="1"/>
    <cellStyle name="Lien hypertexte" xfId="16414" builtinId="8" hidden="1"/>
    <cellStyle name="Lien hypertexte" xfId="23689" builtinId="8" hidden="1"/>
    <cellStyle name="Lien hypertexte" xfId="23033" builtinId="8" hidden="1"/>
    <cellStyle name="Lien hypertexte" xfId="17068" builtinId="8" hidden="1"/>
    <cellStyle name="Lien hypertexte" xfId="21143" builtinId="8" hidden="1"/>
    <cellStyle name="Lien hypertexte" xfId="640" builtinId="8" hidden="1"/>
    <cellStyle name="Lien hypertexte" xfId="15162" builtinId="8" hidden="1"/>
    <cellStyle name="Lien hypertexte" xfId="19035" builtinId="8" hidden="1"/>
    <cellStyle name="Lien hypertexte" xfId="17936" builtinId="8" hidden="1"/>
    <cellStyle name="Lien hypertexte" xfId="14844" builtinId="8" hidden="1"/>
    <cellStyle name="Lien hypertexte" xfId="20477" builtinId="8" hidden="1"/>
    <cellStyle name="Lien hypertexte" xfId="16384" builtinId="8" hidden="1"/>
    <cellStyle name="Lien hypertexte" xfId="23719" builtinId="8" hidden="1"/>
    <cellStyle name="Lien hypertexte" xfId="23005" builtinId="8" hidden="1"/>
    <cellStyle name="Lien hypertexte" xfId="17098" builtinId="8" hidden="1"/>
    <cellStyle name="Lien hypertexte" xfId="21171" builtinId="8" hidden="1"/>
    <cellStyle name="Lien hypertexte" xfId="614" builtinId="8" hidden="1"/>
    <cellStyle name="Lien hypertexte" xfId="15188" builtinId="8" hidden="1"/>
    <cellStyle name="Lien hypertexte" xfId="19529" builtinId="8" hidden="1"/>
    <cellStyle name="Lien hypertexte" xfId="18401" builtinId="8" hidden="1"/>
    <cellStyle name="Lien hypertexte" xfId="14646" builtinId="8" hidden="1"/>
    <cellStyle name="Lien hypertexte" xfId="20451" builtinId="8" hidden="1"/>
    <cellStyle name="Lien hypertexte" xfId="16354" builtinId="8" hidden="1"/>
    <cellStyle name="Lien hypertexte" xfId="23749" builtinId="8" hidden="1"/>
    <cellStyle name="Lien hypertexte" xfId="22975" builtinId="8" hidden="1"/>
    <cellStyle name="Lien hypertexte" xfId="18627" builtinId="8" hidden="1"/>
    <cellStyle name="Lien hypertexte" xfId="21197" builtinId="8" hidden="1"/>
    <cellStyle name="Lien hypertexte" xfId="586" builtinId="8" hidden="1"/>
    <cellStyle name="Lien hypertexte" xfId="15218" builtinId="8" hidden="1"/>
    <cellStyle name="Lien hypertexte" xfId="19501" builtinId="8" hidden="1"/>
    <cellStyle name="Lien hypertexte" xfId="18845" builtinId="8" hidden="1"/>
    <cellStyle name="Lien hypertexte" xfId="18753" builtinId="8" hidden="1"/>
    <cellStyle name="Lien hypertexte" xfId="20423" builtinId="8" hidden="1"/>
    <cellStyle name="Lien hypertexte" xfId="16324" builtinId="8" hidden="1"/>
    <cellStyle name="Lien hypertexte" xfId="23779" builtinId="8" hidden="1"/>
    <cellStyle name="Lien hypertexte" xfId="22947" builtinId="8" hidden="1"/>
    <cellStyle name="Lien hypertexte" xfId="17156" builtinId="8" hidden="1"/>
    <cellStyle name="Lien hypertexte" xfId="21227" builtinId="8" hidden="1"/>
    <cellStyle name="Lien hypertexte" xfId="558" builtinId="8" hidden="1"/>
    <cellStyle name="Lien hypertexte" xfId="15246" builtinId="8" hidden="1"/>
    <cellStyle name="Lien hypertexte" xfId="19475" builtinId="8" hidden="1"/>
    <cellStyle name="Lien hypertexte" xfId="18815" builtinId="8" hidden="1"/>
    <cellStyle name="Lien hypertexte" xfId="18647" builtinId="8" hidden="1"/>
    <cellStyle name="Lien hypertexte" xfId="20393" builtinId="8" hidden="1"/>
    <cellStyle name="Lien hypertexte" xfId="16296" builtinId="8" hidden="1"/>
    <cellStyle name="Lien hypertexte" xfId="23805" builtinId="8" hidden="1"/>
    <cellStyle name="Lien hypertexte" xfId="22917" builtinId="8" hidden="1"/>
    <cellStyle name="Lien hypertexte" xfId="17186" builtinId="8" hidden="1"/>
    <cellStyle name="Lien hypertexte" xfId="21255" builtinId="8" hidden="1"/>
    <cellStyle name="Lien hypertexte" xfId="530" builtinId="8" hidden="1"/>
    <cellStyle name="Lien hypertexte" xfId="15274" builtinId="8" hidden="1"/>
    <cellStyle name="Lien hypertexte" xfId="19447" builtinId="8" hidden="1"/>
    <cellStyle name="Lien hypertexte" xfId="18789" builtinId="8" hidden="1"/>
    <cellStyle name="Lien hypertexte" xfId="18443" builtinId="8" hidden="1"/>
    <cellStyle name="Lien hypertexte" xfId="20365" builtinId="8" hidden="1"/>
    <cellStyle name="Lien hypertexte" xfId="16266" builtinId="8" hidden="1"/>
    <cellStyle name="Lien hypertexte" xfId="23835" builtinId="8" hidden="1"/>
    <cellStyle name="Lien hypertexte" xfId="22887" builtinId="8" hidden="1"/>
    <cellStyle name="Lien hypertexte" xfId="17216" builtinId="8" hidden="1"/>
    <cellStyle name="Lien hypertexte" xfId="21283" builtinId="8" hidden="1"/>
    <cellStyle name="Lien hypertexte" xfId="504" builtinId="8" hidden="1"/>
    <cellStyle name="Lien hypertexte" xfId="15302" builtinId="8" hidden="1"/>
    <cellStyle name="Lien hypertexte" xfId="19419" builtinId="8" hidden="1"/>
    <cellStyle name="Lien hypertexte" xfId="18759" builtinId="8" hidden="1"/>
    <cellStyle name="Lien hypertexte" xfId="18220" builtinId="8" hidden="1"/>
    <cellStyle name="Lien hypertexte" xfId="20339" builtinId="8" hidden="1"/>
    <cellStyle name="Lien hypertexte" xfId="16236" builtinId="8" hidden="1"/>
    <cellStyle name="Lien hypertexte" xfId="23865" builtinId="8" hidden="1"/>
    <cellStyle name="Lien hypertexte" xfId="22859" builtinId="8" hidden="1"/>
    <cellStyle name="Lien hypertexte" xfId="17868" builtinId="8" hidden="1"/>
    <cellStyle name="Lien hypertexte" xfId="21311" builtinId="8" hidden="1"/>
    <cellStyle name="Lien hypertexte" xfId="476" builtinId="8" hidden="1"/>
    <cellStyle name="Lien hypertexte" xfId="15330" builtinId="8" hidden="1"/>
    <cellStyle name="Lien hypertexte" xfId="19391" builtinId="8" hidden="1"/>
    <cellStyle name="Lien hypertexte" xfId="18729" builtinId="8" hidden="1"/>
    <cellStyle name="Lien hypertexte" xfId="18016" builtinId="8" hidden="1"/>
    <cellStyle name="Lien hypertexte" xfId="20309" builtinId="8" hidden="1"/>
    <cellStyle name="Lien hypertexte" xfId="16210" builtinId="8" hidden="1"/>
    <cellStyle name="Lien hypertexte" xfId="23895" builtinId="8" hidden="1"/>
    <cellStyle name="Lien hypertexte" xfId="22829" builtinId="8" hidden="1"/>
    <cellStyle name="Lien hypertexte" xfId="17274" builtinId="8" hidden="1"/>
    <cellStyle name="Lien hypertexte" xfId="21339" builtinId="8" hidden="1"/>
    <cellStyle name="Lien hypertexte" xfId="446" builtinId="8" hidden="1"/>
    <cellStyle name="Lien hypertexte" xfId="15360" builtinId="8" hidden="1"/>
    <cellStyle name="Lien hypertexte" xfId="19365" builtinId="8" hidden="1"/>
    <cellStyle name="Lien hypertexte" xfId="18701" builtinId="8" hidden="1"/>
    <cellStyle name="Lien hypertexte" xfId="17812" builtinId="8" hidden="1"/>
    <cellStyle name="Lien hypertexte" xfId="20281" builtinId="8" hidden="1"/>
    <cellStyle name="Lien hypertexte" xfId="16180" builtinId="8" hidden="1"/>
    <cellStyle name="Lien hypertexte" xfId="23925" builtinId="8" hidden="1"/>
    <cellStyle name="Lien hypertexte" xfId="22799" builtinId="8" hidden="1"/>
    <cellStyle name="Lien hypertexte" xfId="17304" builtinId="8" hidden="1"/>
    <cellStyle name="Lien hypertexte" xfId="21369" builtinId="8" hidden="1"/>
    <cellStyle name="Lien hypertexte" xfId="420" builtinId="8" hidden="1"/>
    <cellStyle name="Lien hypertexte" xfId="15386" builtinId="8" hidden="1"/>
    <cellStyle name="Lien hypertexte" xfId="19337" builtinId="8" hidden="1"/>
    <cellStyle name="Lien hypertexte" xfId="18671" builtinId="8" hidden="1"/>
    <cellStyle name="Lien hypertexte" xfId="17606" builtinId="8" hidden="1"/>
    <cellStyle name="Lien hypertexte" xfId="20251" builtinId="8" hidden="1"/>
    <cellStyle name="Lien hypertexte" xfId="16150" builtinId="8" hidden="1"/>
    <cellStyle name="Lien hypertexte" xfId="23951" builtinId="8" hidden="1"/>
    <cellStyle name="Lien hypertexte" xfId="22771" builtinId="8" hidden="1"/>
    <cellStyle name="Lien hypertexte" xfId="17332" builtinId="8" hidden="1"/>
    <cellStyle name="Lien hypertexte" xfId="21397" builtinId="8" hidden="1"/>
    <cellStyle name="Lien hypertexte" xfId="392" builtinId="8" hidden="1"/>
    <cellStyle name="Lien hypertexte" xfId="15416" builtinId="8" hidden="1"/>
    <cellStyle name="Lien hypertexte" xfId="19307" builtinId="8" hidden="1"/>
    <cellStyle name="Lien hypertexte" xfId="18641" builtinId="8" hidden="1"/>
    <cellStyle name="Lien hypertexte" xfId="17402" builtinId="8" hidden="1"/>
    <cellStyle name="Lien hypertexte" xfId="14840" builtinId="8" hidden="1"/>
    <cellStyle name="Lien hypertexte" xfId="22089" builtinId="8" hidden="1"/>
    <cellStyle name="Lien hypertexte" xfId="23997" builtinId="8" hidden="1"/>
    <cellStyle name="Lien hypertexte" xfId="21521" builtinId="8" hidden="1"/>
    <cellStyle name="Lien hypertexte" xfId="706" builtinId="8" hidden="1"/>
    <cellStyle name="Lien hypertexte" xfId="17354" builtinId="8" hidden="1"/>
    <cellStyle name="Lien hypertexte" xfId="19757" builtinId="8" hidden="1"/>
    <cellStyle name="Lien hypertexte" xfId="22749" builtinId="8" hidden="1"/>
    <cellStyle name="Lien hypertexte" xfId="16744" builtinId="8" hidden="1"/>
    <cellStyle name="Lien hypertexte" xfId="18611" builtinId="8" hidden="1"/>
    <cellStyle name="Lien hypertexte" xfId="17196" builtinId="8" hidden="1"/>
    <cellStyle name="Lien hypertexte" xfId="22527" builtinId="8" hidden="1"/>
    <cellStyle name="Lien hypertexte" xfId="16092" builtinId="8" hidden="1"/>
    <cellStyle name="Lien hypertexte" xfId="24011" builtinId="8" hidden="1"/>
    <cellStyle name="Lien hypertexte" xfId="22713" builtinId="8" hidden="1"/>
    <cellStyle name="Lien hypertexte" xfId="17390" builtinId="8" hidden="1"/>
    <cellStyle name="Lien hypertexte" xfId="21453" builtinId="8" hidden="1"/>
    <cellStyle name="Lien hypertexte" xfId="14626" builtinId="8" hidden="1"/>
    <cellStyle name="Lien hypertexte" xfId="15474" builtinId="8" hidden="1"/>
    <cellStyle name="Lien hypertexte" xfId="19253" builtinId="8" hidden="1"/>
    <cellStyle name="Lien hypertexte" xfId="18583" builtinId="8" hidden="1"/>
    <cellStyle name="Lien hypertexte" xfId="16992" builtinId="8" hidden="1"/>
    <cellStyle name="Lien hypertexte" xfId="22967" builtinId="8" hidden="1"/>
    <cellStyle name="Lien hypertexte" xfId="16062" builtinId="8" hidden="1"/>
    <cellStyle name="Lien hypertexte" xfId="24041" builtinId="8" hidden="1"/>
    <cellStyle name="Lien hypertexte" xfId="22683" builtinId="8" hidden="1"/>
    <cellStyle name="Lien hypertexte" xfId="17420" builtinId="8" hidden="1"/>
    <cellStyle name="Lien hypertexte" xfId="21481" builtinId="8" hidden="1"/>
    <cellStyle name="Lien hypertexte" xfId="14600" builtinId="8" hidden="1"/>
    <cellStyle name="Lien hypertexte" xfId="15500" builtinId="8" hidden="1"/>
    <cellStyle name="Lien hypertexte" xfId="19225" builtinId="8" hidden="1"/>
    <cellStyle name="Lien hypertexte" xfId="18553" builtinId="8" hidden="1"/>
    <cellStyle name="Lien hypertexte" xfId="16788" builtinId="8" hidden="1"/>
    <cellStyle name="Lien hypertexte" xfId="23405" builtinId="8" hidden="1"/>
    <cellStyle name="Lien hypertexte" xfId="16032" builtinId="8" hidden="1"/>
    <cellStyle name="Lien hypertexte" xfId="24071" builtinId="8" hidden="1"/>
    <cellStyle name="Lien hypertexte" xfId="22653" builtinId="8" hidden="1"/>
    <cellStyle name="Lien hypertexte" xfId="17448" builtinId="8" hidden="1"/>
    <cellStyle name="Lien hypertexte" xfId="21511" builtinId="8" hidden="1"/>
    <cellStyle name="Lien hypertexte" xfId="14570" builtinId="8" hidden="1"/>
    <cellStyle name="Lien hypertexte" xfId="15528" builtinId="8" hidden="1"/>
    <cellStyle name="Lien hypertexte" xfId="19197" builtinId="8" hidden="1"/>
    <cellStyle name="Lien hypertexte" xfId="18523" builtinId="8" hidden="1"/>
    <cellStyle name="Lien hypertexte" xfId="16582" builtinId="8" hidden="1"/>
    <cellStyle name="Lien hypertexte" xfId="23845" builtinId="8" hidden="1"/>
    <cellStyle name="Lien hypertexte" xfId="16004" builtinId="8" hidden="1"/>
    <cellStyle name="Lien hypertexte" xfId="24099" builtinId="8" hidden="1"/>
    <cellStyle name="Lien hypertexte" xfId="22623" builtinId="8" hidden="1"/>
    <cellStyle name="Lien hypertexte" xfId="17714" builtinId="8" hidden="1"/>
    <cellStyle name="Lien hypertexte" xfId="21539" builtinId="8" hidden="1"/>
    <cellStyle name="Lien hypertexte" xfId="14542" builtinId="8" hidden="1"/>
    <cellStyle name="Lien hypertexte" xfId="15558" builtinId="8" hidden="1"/>
    <cellStyle name="Lien hypertexte" xfId="20239" builtinId="8" hidden="1"/>
    <cellStyle name="Lien hypertexte" xfId="18495" builtinId="8" hidden="1"/>
    <cellStyle name="Lien hypertexte" xfId="16378" builtinId="8" hidden="1"/>
    <cellStyle name="Lien hypertexte" xfId="24283" builtinId="8" hidden="1"/>
    <cellStyle name="Lien hypertexte" xfId="15974" builtinId="8" hidden="1"/>
    <cellStyle name="Lien hypertexte" xfId="24127" builtinId="8" hidden="1"/>
    <cellStyle name="Lien hypertexte" xfId="22595" builtinId="8" hidden="1"/>
    <cellStyle name="Lien hypertexte" xfId="17508" builtinId="8" hidden="1"/>
    <cellStyle name="Lien hypertexte" xfId="21565" builtinId="8" hidden="1"/>
    <cellStyle name="Lien hypertexte" xfId="14516" builtinId="8" hidden="1"/>
    <cellStyle name="Lien hypertexte" xfId="15584" builtinId="8" hidden="1"/>
    <cellStyle name="Lien hypertexte" xfId="20213" builtinId="8" hidden="1"/>
    <cellStyle name="Lien hypertexte" xfId="18467" builtinId="8" hidden="1"/>
    <cellStyle name="Lien hypertexte" xfId="16172" builtinId="8" hidden="1"/>
    <cellStyle name="Lien hypertexte" xfId="23841" builtinId="8" hidden="1"/>
    <cellStyle name="Lien hypertexte" xfId="15944" builtinId="8" hidden="1"/>
    <cellStyle name="Lien hypertexte" xfId="24157" builtinId="8" hidden="1"/>
    <cellStyle name="Lien hypertexte" xfId="22567" builtinId="8" hidden="1"/>
    <cellStyle name="Lien hypertexte" xfId="17536" builtinId="8" hidden="1"/>
    <cellStyle name="Lien hypertexte" xfId="21595" builtinId="8" hidden="1"/>
    <cellStyle name="Lien hypertexte" xfId="1134" builtinId="8" hidden="1"/>
    <cellStyle name="Lien hypertexte" xfId="15614" builtinId="8" hidden="1"/>
    <cellStyle name="Lien hypertexte" xfId="20183" builtinId="8" hidden="1"/>
    <cellStyle name="Lien hypertexte" xfId="18437" builtinId="8" hidden="1"/>
    <cellStyle name="Lien hypertexte" xfId="15968" builtinId="8" hidden="1"/>
    <cellStyle name="Lien hypertexte" xfId="21617" builtinId="8" hidden="1"/>
    <cellStyle name="Lien hypertexte" xfId="18993" builtinId="8" hidden="1"/>
    <cellStyle name="Lien hypertexte" xfId="24187" builtinId="8" hidden="1"/>
    <cellStyle name="Lien hypertexte" xfId="22537" builtinId="8" hidden="1"/>
    <cellStyle name="Lien hypertexte" xfId="17566" builtinId="8" hidden="1"/>
    <cellStyle name="Lien hypertexte" xfId="21623" builtinId="8" hidden="1"/>
    <cellStyle name="Lien hypertexte" xfId="1106" builtinId="8" hidden="1"/>
    <cellStyle name="Lien hypertexte" xfId="15642" builtinId="8" hidden="1"/>
    <cellStyle name="Lien hypertexte" xfId="20155" builtinId="8" hidden="1"/>
    <cellStyle name="Lien hypertexte" xfId="18407" builtinId="8" hidden="1"/>
    <cellStyle name="Lien hypertexte" xfId="20129" builtinId="8" hidden="1"/>
    <cellStyle name="Lien hypertexte" xfId="21825" builtinId="8" hidden="1"/>
    <cellStyle name="Lien hypertexte" xfId="19201" builtinId="8" hidden="1"/>
    <cellStyle name="Lien hypertexte" xfId="24217" builtinId="8" hidden="1"/>
    <cellStyle name="Lien hypertexte" xfId="22507" builtinId="8" hidden="1"/>
    <cellStyle name="Lien hypertexte" xfId="15362" builtinId="8" hidden="1"/>
    <cellStyle name="Lien hypertexte" xfId="21653" builtinId="8" hidden="1"/>
    <cellStyle name="Lien hypertexte" xfId="1076" builtinId="8" hidden="1"/>
    <cellStyle name="Lien hypertexte" xfId="15672" builtinId="8" hidden="1"/>
    <cellStyle name="Lien hypertexte" xfId="20127" builtinId="8" hidden="1"/>
    <cellStyle name="Lien hypertexte" xfId="18379" builtinId="8" hidden="1"/>
    <cellStyle name="Lien hypertexte" xfId="21741" builtinId="8" hidden="1"/>
    <cellStyle name="Lien hypertexte" xfId="22017" builtinId="8" hidden="1"/>
    <cellStyle name="Lien hypertexte" xfId="19425" builtinId="8" hidden="1"/>
    <cellStyle name="Lien hypertexte" xfId="24245" builtinId="8" hidden="1"/>
    <cellStyle name="Lien hypertexte" xfId="22477" builtinId="8" hidden="1"/>
    <cellStyle name="Lien hypertexte" xfId="17626" builtinId="8" hidden="1"/>
    <cellStyle name="Lien hypertexte" xfId="21679" builtinId="8" hidden="1"/>
    <cellStyle name="Lien hypertexte" xfId="1050" builtinId="8" hidden="1"/>
    <cellStyle name="Lien hypertexte" xfId="15698" builtinId="8" hidden="1"/>
    <cellStyle name="Lien hypertexte" xfId="20101" builtinId="8" hidden="1"/>
    <cellStyle name="Lien hypertexte" xfId="18349" builtinId="8" hidden="1"/>
    <cellStyle name="Lien hypertexte" xfId="21771" builtinId="8" hidden="1"/>
    <cellStyle name="Lien hypertexte" xfId="22225" builtinId="8" hidden="1"/>
    <cellStyle name="Lien hypertexte" xfId="19649" builtinId="8" hidden="1"/>
    <cellStyle name="Lien hypertexte" xfId="24275" builtinId="8" hidden="1"/>
    <cellStyle name="Lien hypertexte" xfId="22447" builtinId="8" hidden="1"/>
    <cellStyle name="Lien hypertexte" xfId="17654" builtinId="8" hidden="1"/>
    <cellStyle name="Lien hypertexte" xfId="21707" builtinId="8" hidden="1"/>
    <cellStyle name="Lien hypertexte" xfId="1022" builtinId="8" hidden="1"/>
    <cellStyle name="Lien hypertexte" xfId="15726" builtinId="8" hidden="1"/>
    <cellStyle name="Lien hypertexte" xfId="20073" builtinId="8" hidden="1"/>
    <cellStyle name="Lien hypertexte" xfId="18302" builtinId="8" hidden="1"/>
    <cellStyle name="Lien hypertexte" xfId="21801" builtinId="8" hidden="1"/>
    <cellStyle name="Lien hypertexte" xfId="22433" builtinId="8" hidden="1"/>
    <cellStyle name="Lien hypertexte" xfId="19857" builtinId="8" hidden="1"/>
    <cellStyle name="Lien hypertexte" xfId="24303" builtinId="8" hidden="1"/>
    <cellStyle name="Lien hypertexte" xfId="22421" builtinId="8" hidden="1"/>
    <cellStyle name="Lien hypertexte" xfId="17684" builtinId="8" hidden="1"/>
    <cellStyle name="Lien hypertexte" xfId="21737" builtinId="8" hidden="1"/>
    <cellStyle name="Lien hypertexte" xfId="994" builtinId="8" hidden="1"/>
    <cellStyle name="Lien hypertexte" xfId="15756" builtinId="8" hidden="1"/>
    <cellStyle name="Lien hypertexte" xfId="20045" builtinId="8" hidden="1"/>
    <cellStyle name="Lien hypertexte" xfId="18274" builtinId="8" hidden="1"/>
    <cellStyle name="Lien hypertexte" xfId="21829" builtinId="8" hidden="1"/>
    <cellStyle name="Lien hypertexte" xfId="22641" builtinId="8" hidden="1"/>
    <cellStyle name="Lien hypertexte" xfId="20081" builtinId="8" hidden="1"/>
    <cellStyle name="Lien hypertexte" xfId="24333" builtinId="8" hidden="1"/>
    <cellStyle name="Lien hypertexte" xfId="22391" builtinId="8" hidden="1"/>
    <cellStyle name="Lien hypertexte" xfId="17558" builtinId="8" hidden="1"/>
    <cellStyle name="Lien hypertexte" xfId="20991" builtinId="8" hidden="1"/>
    <cellStyle name="Lien hypertexte" xfId="968" builtinId="8" hidden="1"/>
    <cellStyle name="Lien hypertexte" xfId="15782" builtinId="8" hidden="1"/>
    <cellStyle name="Lien hypertexte" xfId="20015" builtinId="8" hidden="1"/>
    <cellStyle name="Lien hypertexte" xfId="18244" builtinId="8" hidden="1"/>
    <cellStyle name="Lien hypertexte" xfId="21859" builtinId="8" hidden="1"/>
    <cellStyle name="Lien hypertexte" xfId="22849" builtinId="8" hidden="1"/>
    <cellStyle name="Lien hypertexte" xfId="20305" builtinId="8" hidden="1"/>
    <cellStyle name="Lien hypertexte" xfId="24363" builtinId="8" hidden="1"/>
    <cellStyle name="Lien hypertexte" xfId="22361" builtinId="8" hidden="1"/>
    <cellStyle name="Lien hypertexte" xfId="17740" builtinId="8" hidden="1"/>
    <cellStyle name="Lien hypertexte" xfId="19539" builtinId="8" hidden="1"/>
    <cellStyle name="Lien hypertexte" xfId="938" builtinId="8" hidden="1"/>
    <cellStyle name="Lien hypertexte" xfId="15812" builtinId="8" hidden="1"/>
    <cellStyle name="Lien hypertexte" xfId="19989" builtinId="8" hidden="1"/>
    <cellStyle name="Lien hypertexte" xfId="18214" builtinId="8" hidden="1"/>
    <cellStyle name="Lien hypertexte" xfId="21887" builtinId="8" hidden="1"/>
    <cellStyle name="Lien hypertexte" xfId="23041" builtinId="8" hidden="1"/>
    <cellStyle name="Lien hypertexte" xfId="20529" builtinId="8" hidden="1"/>
    <cellStyle name="Lien hypertexte" xfId="24391" builtinId="8" hidden="1"/>
    <cellStyle name="Lien hypertexte" xfId="22331" builtinId="8" hidden="1"/>
    <cellStyle name="Lien hypertexte" xfId="17770" builtinId="8" hidden="1"/>
    <cellStyle name="Lien hypertexte" xfId="19565" builtinId="8" hidden="1"/>
    <cellStyle name="Lien hypertexte" xfId="910" builtinId="8" hidden="1"/>
    <cellStyle name="Lien hypertexte" xfId="15840" builtinId="8" hidden="1"/>
    <cellStyle name="Lien hypertexte" xfId="19961" builtinId="8" hidden="1"/>
    <cellStyle name="Lien hypertexte" xfId="18184" builtinId="8" hidden="1"/>
    <cellStyle name="Lien hypertexte" xfId="21917" builtinId="8" hidden="1"/>
    <cellStyle name="Lien hypertexte" xfId="23249" builtinId="8" hidden="1"/>
    <cellStyle name="Lien hypertexte" xfId="20737" builtinId="8" hidden="1"/>
    <cellStyle name="Lien hypertexte" xfId="24421" builtinId="8" hidden="1"/>
    <cellStyle name="Lien hypertexte" xfId="22301" builtinId="8" hidden="1"/>
    <cellStyle name="Lien hypertexte" xfId="17800" builtinId="8" hidden="1"/>
    <cellStyle name="Lien hypertexte" xfId="19593" builtinId="8" hidden="1"/>
    <cellStyle name="Lien hypertexte" xfId="882" builtinId="8" hidden="1"/>
    <cellStyle name="Lien hypertexte" xfId="15870" builtinId="8" hidden="1"/>
    <cellStyle name="Lien hypertexte" xfId="19933" builtinId="8" hidden="1"/>
    <cellStyle name="Lien hypertexte" xfId="18156" builtinId="8" hidden="1"/>
    <cellStyle name="Lien hypertexte" xfId="21947" builtinId="8" hidden="1"/>
    <cellStyle name="Lien hypertexte" xfId="23457" builtinId="8" hidden="1"/>
    <cellStyle name="Lien hypertexte" xfId="21345" builtinId="8" hidden="1"/>
    <cellStyle name="Lien hypertexte" xfId="24451" builtinId="8" hidden="1"/>
    <cellStyle name="Lien hypertexte" xfId="23677" builtinId="8" hidden="1"/>
    <cellStyle name="Lien hypertexte" xfId="18409" builtinId="8" hidden="1"/>
    <cellStyle name="Lien hypertexte" xfId="19623" builtinId="8" hidden="1"/>
    <cellStyle name="Lien hypertexte" xfId="856" builtinId="8" hidden="1"/>
    <cellStyle name="Lien hypertexte" xfId="15896" builtinId="8" hidden="1"/>
    <cellStyle name="Lien hypertexte" xfId="19907" builtinId="8" hidden="1"/>
    <cellStyle name="Lien hypertexte" xfId="18126" builtinId="8" hidden="1"/>
    <cellStyle name="Lien hypertexte" xfId="21975" builtinId="8" hidden="1"/>
    <cellStyle name="Lien hypertexte" xfId="23665" builtinId="8" hidden="1"/>
    <cellStyle name="Lien hypertexte" xfId="21201" builtinId="8" hidden="1"/>
    <cellStyle name="Lien hypertexte" xfId="24479" builtinId="8" hidden="1"/>
    <cellStyle name="Lien hypertexte" xfId="22245" builtinId="8" hidden="1"/>
    <cellStyle name="Lien hypertexte" xfId="17858" builtinId="8" hidden="1"/>
    <cellStyle name="Lien hypertexte" xfId="19651" builtinId="8" hidden="1"/>
    <cellStyle name="Lien hypertexte" xfId="826" builtinId="8" hidden="1"/>
    <cellStyle name="Lien hypertexte" xfId="15926" builtinId="8" hidden="1"/>
    <cellStyle name="Lien hypertexte" xfId="19877" builtinId="8" hidden="1"/>
    <cellStyle name="Lien hypertexte" xfId="18098" builtinId="8" hidden="1"/>
    <cellStyle name="Lien hypertexte" xfId="22005" builtinId="8" hidden="1"/>
    <cellStyle name="Lien hypertexte" xfId="23873" builtinId="8" hidden="1"/>
    <cellStyle name="Lien hypertexte" xfId="21057" builtinId="8" hidden="1"/>
    <cellStyle name="Lien hypertexte" xfId="24509" builtinId="8" hidden="1"/>
    <cellStyle name="Lien hypertexte" xfId="22215" builtinId="8" hidden="1"/>
    <cellStyle name="Lien hypertexte" xfId="17888" builtinId="8" hidden="1"/>
    <cellStyle name="Lien hypertexte" xfId="19677" builtinId="8" hidden="1"/>
    <cellStyle name="Lien hypertexte" xfId="798" builtinId="8" hidden="1"/>
    <cellStyle name="Lien hypertexte" xfId="15344" builtinId="8" hidden="1"/>
    <cellStyle name="Lien hypertexte" xfId="19849" builtinId="8" hidden="1"/>
    <cellStyle name="Lien hypertexte" xfId="18070" builtinId="8" hidden="1"/>
    <cellStyle name="Lien hypertexte" xfId="22035" builtinId="8" hidden="1"/>
    <cellStyle name="Lien hypertexte" xfId="24065" builtinId="8" hidden="1"/>
    <cellStyle name="Lien hypertexte" xfId="21041" builtinId="8" hidden="1"/>
    <cellStyle name="Lien hypertexte" xfId="24537" builtinId="8" hidden="1"/>
    <cellStyle name="Lien hypertexte" xfId="22185" builtinId="8" hidden="1"/>
    <cellStyle name="Lien hypertexte" xfId="17918" builtinId="8" hidden="1"/>
    <cellStyle name="Lien hypertexte" xfId="19705" builtinId="8" hidden="1"/>
    <cellStyle name="Lien hypertexte" xfId="772" builtinId="8" hidden="1"/>
    <cellStyle name="Lien hypertexte" xfId="654" builtinId="8" hidden="1"/>
    <cellStyle name="Lien hypertexte" xfId="19821" builtinId="8" hidden="1"/>
    <cellStyle name="Lien hypertexte" xfId="18040" builtinId="8" hidden="1"/>
    <cellStyle name="Lien hypertexte" xfId="22063" builtinId="8" hidden="1"/>
    <cellStyle name="Lien hypertexte" xfId="24273" builtinId="8" hidden="1"/>
    <cellStyle name="Lien hypertexte" xfId="21441" builtinId="8" hidden="1"/>
    <cellStyle name="Lien hypertexte" xfId="24567" builtinId="8" hidden="1"/>
    <cellStyle name="Lien hypertexte" xfId="22155" builtinId="8" hidden="1"/>
    <cellStyle name="Lien hypertexte" xfId="17400" builtinId="8" hidden="1"/>
    <cellStyle name="Lien hypertexte" xfId="19733" builtinId="8" hidden="1"/>
    <cellStyle name="Lien hypertexte" xfId="744" builtinId="8" hidden="1"/>
    <cellStyle name="Lien hypertexte" xfId="682" builtinId="8" hidden="1"/>
    <cellStyle name="Lien hypertexte" xfId="19795" builtinId="8" hidden="1"/>
    <cellStyle name="Lien hypertexte" xfId="18010" builtinId="8" hidden="1"/>
    <cellStyle name="Lien hypertexte" xfId="22093" builtinId="8" hidden="1"/>
    <cellStyle name="Lien hypertexte" xfId="24481" builtinId="8" hidden="1"/>
    <cellStyle name="Lien hypertexte" xfId="21505" builtinId="8" hidden="1"/>
    <cellStyle name="Lien hypertexte" xfId="24597" builtinId="8" hidden="1"/>
    <cellStyle name="Lien hypertexte" xfId="22127" builtinId="8" hidden="1"/>
    <cellStyle name="Lien hypertexte" xfId="17976" builtinId="8" hidden="1"/>
    <cellStyle name="Lien hypertexte" xfId="19763" builtinId="8" hidden="1"/>
    <cellStyle name="Lien hypertexte" xfId="716" builtinId="8" hidden="1"/>
    <cellStyle name="Lien hypertexte" xfId="712" builtinId="8" hidden="1"/>
    <cellStyle name="Lien hypertexte" xfId="19767" builtinId="8" hidden="1"/>
    <cellStyle name="Lien hypertexte" xfId="17980" builtinId="8" hidden="1"/>
    <cellStyle name="Lien hypertexte" xfId="22121" builtinId="8" hidden="1"/>
    <cellStyle name="Lien hypertexte" xfId="24601" builtinId="8" hidden="1"/>
    <cellStyle name="Lien hypertexte" xfId="21489" builtinId="8" hidden="1"/>
    <cellStyle name="Lien hypertexte" xfId="24513" builtinId="8" hidden="1"/>
    <cellStyle name="Lien hypertexte" xfId="22099" builtinId="8" hidden="1"/>
    <cellStyle name="Lien hypertexte" xfId="18006" builtinId="8" hidden="1"/>
    <cellStyle name="Lien hypertexte" xfId="19789" builtinId="8" hidden="1"/>
    <cellStyle name="Lien hypertexte" xfId="686" builtinId="8" hidden="1"/>
    <cellStyle name="Lien hypertexte" xfId="740" builtinId="8" hidden="1"/>
    <cellStyle name="Lien hypertexte" xfId="19737" builtinId="8" hidden="1"/>
    <cellStyle name="Lien hypertexte" xfId="17952" builtinId="8" hidden="1"/>
    <cellStyle name="Lien hypertexte" xfId="22151" builtinId="8" hidden="1"/>
    <cellStyle name="Lien hypertexte" xfId="24571" builtinId="8" hidden="1"/>
    <cellStyle name="Lien hypertexte" xfId="21425" builtinId="8" hidden="1"/>
    <cellStyle name="Lien hypertexte" xfId="24305" builtinId="8" hidden="1"/>
    <cellStyle name="Lien hypertexte" xfId="22069" builtinId="8" hidden="1"/>
    <cellStyle name="Lien hypertexte" xfId="18036" builtinId="8" hidden="1"/>
    <cellStyle name="Lien hypertexte" xfId="19817" builtinId="8" hidden="1"/>
    <cellStyle name="Lien hypertexte" xfId="660" builtinId="8" hidden="1"/>
    <cellStyle name="Lien hypertexte" xfId="766" builtinId="8" hidden="1"/>
    <cellStyle name="Lien hypertexte" xfId="19709" builtinId="8" hidden="1"/>
    <cellStyle name="Lien hypertexte" xfId="17922" builtinId="8" hidden="1"/>
    <cellStyle name="Lien hypertexte" xfId="22181" builtinId="8" hidden="1"/>
    <cellStyle name="Lien hypertexte" xfId="24543" builtinId="8" hidden="1"/>
    <cellStyle name="Lien hypertexte" xfId="21105" builtinId="8" hidden="1"/>
    <cellStyle name="Lien hypertexte" xfId="24113" builtinId="8" hidden="1"/>
    <cellStyle name="Lien hypertexte" xfId="22039" builtinId="8" hidden="1"/>
    <cellStyle name="Lien hypertexte" xfId="936" builtinId="8" hidden="1"/>
    <cellStyle name="Lien hypertexte" xfId="19845" builtinId="8" hidden="1"/>
    <cellStyle name="Lien hypertexte" xfId="15216" builtinId="8" hidden="1"/>
    <cellStyle name="Lien hypertexte" xfId="794" builtinId="8" hidden="1"/>
    <cellStyle name="Lien hypertexte" xfId="19683" builtinId="8" hidden="1"/>
    <cellStyle name="Lien hypertexte" xfId="17892" builtinId="8" hidden="1"/>
    <cellStyle name="Lien hypertexte" xfId="22211" builtinId="8" hidden="1"/>
    <cellStyle name="Lien hypertexte" xfId="24515" builtinId="8" hidden="1"/>
    <cellStyle name="Lien hypertexte" xfId="21009" builtinId="8" hidden="1"/>
    <cellStyle name="Lien hypertexte" xfId="23905" builtinId="8" hidden="1"/>
    <cellStyle name="Lien hypertexte" xfId="22009" builtinId="8" hidden="1"/>
    <cellStyle name="Lien hypertexte" xfId="18092" builtinId="8" hidden="1"/>
    <cellStyle name="Lien hypertexte" xfId="19871" builtinId="8" hidden="1"/>
    <cellStyle name="Lien hypertexte" xfId="15930" builtinId="8" hidden="1"/>
    <cellStyle name="Lien hypertexte" xfId="822" builtinId="8" hidden="1"/>
    <cellStyle name="Lien hypertexte" xfId="19655" builtinId="8" hidden="1"/>
    <cellStyle name="Lien hypertexte" xfId="17864" builtinId="8" hidden="1"/>
    <cellStyle name="Lien hypertexte" xfId="22239" builtinId="8" hidden="1"/>
    <cellStyle name="Lien hypertexte" xfId="24485" builtinId="8" hidden="1"/>
    <cellStyle name="Lien hypertexte" xfId="21169" builtinId="8" hidden="1"/>
    <cellStyle name="Lien hypertexte" xfId="23697" builtinId="8" hidden="1"/>
    <cellStyle name="Lien hypertexte" xfId="21981" builtinId="8" hidden="1"/>
    <cellStyle name="Lien hypertexte" xfId="18122" builtinId="8" hidden="1"/>
    <cellStyle name="Lien hypertexte" xfId="19901" builtinId="8" hidden="1"/>
    <cellStyle name="Lien hypertexte" xfId="15902" builtinId="8" hidden="1"/>
    <cellStyle name="Lien hypertexte" xfId="850" builtinId="8" hidden="1"/>
    <cellStyle name="Lien hypertexte" xfId="19627" builtinId="8" hidden="1"/>
    <cellStyle name="Lien hypertexte" xfId="17834" builtinId="8" hidden="1"/>
    <cellStyle name="Lien hypertexte" xfId="22267" builtinId="8" hidden="1"/>
    <cellStyle name="Lien hypertexte" xfId="24455" builtinId="8" hidden="1"/>
    <cellStyle name="Lien hypertexte" xfId="21313" builtinId="8" hidden="1"/>
    <cellStyle name="Lien hypertexte" xfId="23489" builtinId="8" hidden="1"/>
    <cellStyle name="Lien hypertexte" xfId="21951" builtinId="8" hidden="1"/>
    <cellStyle name="Lien hypertexte" xfId="18150" builtinId="8" hidden="1"/>
    <cellStyle name="Lien hypertexte" xfId="19929" builtinId="8" hidden="1"/>
    <cellStyle name="Lien hypertexte" xfId="15874" builtinId="8" hidden="1"/>
    <cellStyle name="Lien hypertexte" xfId="878" builtinId="8" hidden="1"/>
    <cellStyle name="Lien hypertexte" xfId="19597" builtinId="8" hidden="1"/>
    <cellStyle name="Lien hypertexte" xfId="17804" builtinId="8" hidden="1"/>
    <cellStyle name="Lien hypertexte" xfId="22297" builtinId="8" hidden="1"/>
    <cellStyle name="Lien hypertexte" xfId="24425" builtinId="8" hidden="1"/>
    <cellStyle name="Lien hypertexte" xfId="20785" builtinId="8" hidden="1"/>
    <cellStyle name="Lien hypertexte" xfId="23281" builtinId="8" hidden="1"/>
    <cellStyle name="Lien hypertexte" xfId="21923" builtinId="8" hidden="1"/>
    <cellStyle name="Lien hypertexte" xfId="18180" builtinId="8" hidden="1"/>
    <cellStyle name="Lien hypertexte" xfId="19957" builtinId="8" hidden="1"/>
    <cellStyle name="Lien hypertexte" xfId="15844" builtinId="8" hidden="1"/>
    <cellStyle name="Lien hypertexte" xfId="906" builtinId="8" hidden="1"/>
    <cellStyle name="Lien hypertexte" xfId="19571" builtinId="8" hidden="1"/>
    <cellStyle name="Lien hypertexte" xfId="17774" builtinId="8" hidden="1"/>
    <cellStyle name="Lien hypertexte" xfId="22327" builtinId="8" hidden="1"/>
    <cellStyle name="Lien hypertexte" xfId="24397" builtinId="8" hidden="1"/>
    <cellStyle name="Lien hypertexte" xfId="20561" builtinId="8" hidden="1"/>
    <cellStyle name="Lien hypertexte" xfId="23089" builtinId="8" hidden="1"/>
    <cellStyle name="Lien hypertexte" xfId="21893" builtinId="8" hidden="1"/>
    <cellStyle name="Lien hypertexte" xfId="18210" builtinId="8" hidden="1"/>
    <cellStyle name="Lien hypertexte" xfId="19983" builtinId="8" hidden="1"/>
    <cellStyle name="Lien hypertexte" xfId="15816" builtinId="8" hidden="1"/>
    <cellStyle name="Lien hypertexte" xfId="934" builtinId="8" hidden="1"/>
    <cellStyle name="Lien hypertexte" xfId="19543" builtinId="8" hidden="1"/>
    <cellStyle name="Lien hypertexte" xfId="17748" builtinId="8" hidden="1"/>
    <cellStyle name="Lien hypertexte" xfId="22357" builtinId="8" hidden="1"/>
    <cellStyle name="Lien hypertexte" xfId="24367" builtinId="8" hidden="1"/>
    <cellStyle name="Lien hypertexte" xfId="20337" builtinId="8" hidden="1"/>
    <cellStyle name="Lien hypertexte" xfId="22881" builtinId="8" hidden="1"/>
    <cellStyle name="Lien hypertexte" xfId="21863" builtinId="8" hidden="1"/>
    <cellStyle name="Lien hypertexte" xfId="18240" builtinId="8" hidden="1"/>
    <cellStyle name="Lien hypertexte" xfId="20011" builtinId="8" hidden="1"/>
    <cellStyle name="Lien hypertexte" xfId="15788" builtinId="8" hidden="1"/>
    <cellStyle name="Lien hypertexte" xfId="960" builtinId="8" hidden="1"/>
    <cellStyle name="Lien hypertexte" xfId="20845" builtinId="8" hidden="1"/>
    <cellStyle name="Lien hypertexte" xfId="17718" builtinId="8" hidden="1"/>
    <cellStyle name="Lien hypertexte" xfId="22387" builtinId="8" hidden="1"/>
    <cellStyle name="Lien hypertexte" xfId="24339" builtinId="8" hidden="1"/>
    <cellStyle name="Lien hypertexte" xfId="20113" builtinId="8" hidden="1"/>
    <cellStyle name="Lien hypertexte" xfId="22673" builtinId="8" hidden="1"/>
    <cellStyle name="Lien hypertexte" xfId="21835" builtinId="8" hidden="1"/>
    <cellStyle name="Lien hypertexte" xfId="18268" builtinId="8" hidden="1"/>
    <cellStyle name="Lien hypertexte" xfId="20039" builtinId="8" hidden="1"/>
    <cellStyle name="Lien hypertexte" xfId="15760" builtinId="8" hidden="1"/>
    <cellStyle name="Lien hypertexte" xfId="990" builtinId="8" hidden="1"/>
    <cellStyle name="Lien hypertexte" xfId="21723" builtinId="8" hidden="1"/>
    <cellStyle name="Lien hypertexte" xfId="17688" builtinId="8" hidden="1"/>
    <cellStyle name="Lien hypertexte" xfId="22413" builtinId="8" hidden="1"/>
    <cellStyle name="Lien hypertexte" xfId="24309" builtinId="8" hidden="1"/>
    <cellStyle name="Lien hypertexte" xfId="19905" builtinId="8" hidden="1"/>
    <cellStyle name="Lien hypertexte" xfId="22309" builtinId="8" hidden="1"/>
    <cellStyle name="Lien hypertexte" xfId="20061" builtinId="8" hidden="1"/>
    <cellStyle name="Lien hypertexte" xfId="21727" builtinId="8" hidden="1"/>
    <cellStyle name="Lien hypertexte" xfId="22109" builtinId="8" hidden="1"/>
    <cellStyle name="Lien hypertexte" xfId="15732" builtinId="8" hidden="1"/>
    <cellStyle name="Lien hypertexte" xfId="1018" builtinId="8" hidden="1"/>
    <cellStyle name="Lien hypertexte" xfId="21711" builtinId="8" hidden="1"/>
    <cellStyle name="Lien hypertexte" xfId="17660" builtinId="8" hidden="1"/>
    <cellStyle name="Lien hypertexte" xfId="22443" builtinId="8" hidden="1"/>
    <cellStyle name="Lien hypertexte" xfId="24279" builtinId="8" hidden="1"/>
    <cellStyle name="Lien hypertexte" xfId="19681" builtinId="8" hidden="1"/>
    <cellStyle name="Lien hypertexte" xfId="22257" builtinId="8" hidden="1"/>
    <cellStyle name="Lien hypertexte" xfId="21775" builtinId="8" hidden="1"/>
    <cellStyle name="Lien hypertexte" xfId="18345" builtinId="8" hidden="1"/>
    <cellStyle name="Lien hypertexte" xfId="20095" builtinId="8" hidden="1"/>
    <cellStyle name="Lien hypertexte" xfId="15704" builtinId="8" hidden="1"/>
    <cellStyle name="Lien hypertexte" xfId="1044" builtinId="8" hidden="1"/>
    <cellStyle name="Lien hypertexte" xfId="21685" builtinId="8" hidden="1"/>
    <cellStyle name="Lien hypertexte" xfId="17630" builtinId="8" hidden="1"/>
    <cellStyle name="Lien hypertexte" xfId="22473" builtinId="8" hidden="1"/>
    <cellStyle name="Lien hypertexte" xfId="24251" builtinId="8" hidden="1"/>
    <cellStyle name="Lien hypertexte" xfId="19457" builtinId="8" hidden="1"/>
    <cellStyle name="Lien hypertexte" xfId="22065" builtinId="8" hidden="1"/>
    <cellStyle name="Lien hypertexte" xfId="21747" builtinId="8" hidden="1"/>
    <cellStyle name="Lien hypertexte" xfId="18373" builtinId="8" hidden="1"/>
    <cellStyle name="Lien hypertexte" xfId="20123" builtinId="8" hidden="1"/>
    <cellStyle name="Lien hypertexte" xfId="15676" builtinId="8" hidden="1"/>
    <cellStyle name="Lien hypertexte" xfId="1072" builtinId="8" hidden="1"/>
    <cellStyle name="Lien hypertexte" xfId="21657" builtinId="8" hidden="1"/>
    <cellStyle name="Lien hypertexte" xfId="17600" builtinId="8" hidden="1"/>
    <cellStyle name="Lien hypertexte" xfId="22503" builtinId="8" hidden="1"/>
    <cellStyle name="Lien hypertexte" xfId="24221" builtinId="8" hidden="1"/>
    <cellStyle name="Lien hypertexte" xfId="19249" builtinId="8" hidden="1"/>
    <cellStyle name="Lien hypertexte" xfId="21857" builtinId="8" hidden="1"/>
    <cellStyle name="Lien hypertexte" xfId="20385" builtinId="8" hidden="1"/>
    <cellStyle name="Lien hypertexte" xfId="18403" builtinId="8" hidden="1"/>
    <cellStyle name="Lien hypertexte" xfId="20151" builtinId="8" hidden="1"/>
    <cellStyle name="Lien hypertexte" xfId="15646" builtinId="8" hidden="1"/>
    <cellStyle name="Lien hypertexte" xfId="1102" builtinId="8" hidden="1"/>
    <cellStyle name="Lien hypertexte" xfId="21627" builtinId="8" hidden="1"/>
    <cellStyle name="Lien hypertexte" xfId="17570" builtinId="8" hidden="1"/>
    <cellStyle name="Lien hypertexte" xfId="22533" builtinId="8" hidden="1"/>
    <cellStyle name="Lien hypertexte" xfId="24191" builtinId="8" hidden="1"/>
    <cellStyle name="Lien hypertexte" xfId="19025" builtinId="8" hidden="1"/>
    <cellStyle name="Lien hypertexte" xfId="21649" builtinId="8" hidden="1"/>
    <cellStyle name="Lien hypertexte" xfId="18849" builtinId="8" hidden="1"/>
    <cellStyle name="Lien hypertexte" xfId="18431" builtinId="8" hidden="1"/>
    <cellStyle name="Lien hypertexte" xfId="20179" builtinId="8" hidden="1"/>
    <cellStyle name="Lien hypertexte" xfId="15618" builtinId="8" hidden="1"/>
    <cellStyle name="Lien hypertexte" xfId="1130" builtinId="8" hidden="1"/>
    <cellStyle name="Lien hypertexte" xfId="21599" builtinId="8" hidden="1"/>
    <cellStyle name="Lien hypertexte" xfId="17542" builtinId="8" hidden="1"/>
    <cellStyle name="Lien hypertexte" xfId="22559" builtinId="8" hidden="1"/>
    <cellStyle name="Lien hypertexte" xfId="24163" builtinId="8" hidden="1"/>
    <cellStyle name="Lien hypertexte" xfId="15940" builtinId="8" hidden="1"/>
    <cellStyle name="Lien hypertexte" xfId="23329" builtinId="8" hidden="1"/>
    <cellStyle name="Lien hypertexte" xfId="16138" builtinId="8" hidden="1"/>
    <cellStyle name="Lien hypertexte" xfId="18461" builtinId="8" hidden="1"/>
    <cellStyle name="Lien hypertexte" xfId="20207" builtinId="8" hidden="1"/>
    <cellStyle name="Lien hypertexte" xfId="15590" builtinId="8" hidden="1"/>
    <cellStyle name="Lien hypertexte" xfId="3655" builtinId="8" hidden="1"/>
    <cellStyle name="Lien hypertexte" xfId="21571" builtinId="8" hidden="1"/>
    <cellStyle name="Lien hypertexte" xfId="17512" builtinId="8" hidden="1"/>
    <cellStyle name="Lien hypertexte" xfId="22589" builtinId="8" hidden="1"/>
    <cellStyle name="Lien hypertexte" xfId="24133" builtinId="8" hidden="1"/>
    <cellStyle name="Lien hypertexte" xfId="15970" builtinId="8" hidden="1"/>
    <cellStyle name="Lien hypertexte" xfId="24357" builtinId="8" hidden="1"/>
    <cellStyle name="Lien hypertexte" xfId="16344" builtinId="8" hidden="1"/>
    <cellStyle name="Lien hypertexte" xfId="18489" builtinId="8" hidden="1"/>
    <cellStyle name="Lien hypertexte" xfId="20235" builtinId="8" hidden="1"/>
    <cellStyle name="Lien hypertexte" xfId="15562" builtinId="8" hidden="1"/>
    <cellStyle name="Lien hypertexte" xfId="14538" builtinId="8" hidden="1"/>
    <cellStyle name="Lien hypertexte" xfId="21543" builtinId="8" hidden="1"/>
    <cellStyle name="Lien hypertexte" xfId="17482" builtinId="8" hidden="1"/>
    <cellStyle name="Lien hypertexte" xfId="22619" builtinId="8" hidden="1"/>
    <cellStyle name="Lien hypertexte" xfId="24105" builtinId="8" hidden="1"/>
    <cellStyle name="Lien hypertexte" xfId="15998" builtinId="8" hidden="1"/>
    <cellStyle name="Lien hypertexte" xfId="23917" builtinId="8" hidden="1"/>
    <cellStyle name="Lien hypertexte" xfId="16548" builtinId="8" hidden="1"/>
    <cellStyle name="Lien hypertexte" xfId="18519" builtinId="8" hidden="1"/>
    <cellStyle name="Lien hypertexte" xfId="19193" builtinId="8" hidden="1"/>
    <cellStyle name="Lien hypertexte" xfId="15532" builtinId="8" hidden="1"/>
    <cellStyle name="Lien hypertexte" xfId="14566" builtinId="8" hidden="1"/>
    <cellStyle name="Lien hypertexte" xfId="21515" builtinId="8" hidden="1"/>
    <cellStyle name="Lien hypertexte" xfId="17454" builtinId="8" hidden="1"/>
    <cellStyle name="Lien hypertexte" xfId="22649" builtinId="8" hidden="1"/>
    <cellStyle name="Lien hypertexte" xfId="24075" builtinId="8" hidden="1"/>
    <cellStyle name="Lien hypertexte" xfId="16028" builtinId="8" hidden="1"/>
    <cellStyle name="Lien hypertexte" xfId="23479" builtinId="8" hidden="1"/>
    <cellStyle name="Lien hypertexte" xfId="16754" builtinId="8" hidden="1"/>
    <cellStyle name="Lien hypertexte" xfId="788" builtinId="8" hidden="1"/>
    <cellStyle name="Lien hypertexte" xfId="19221" builtinId="8" hidden="1"/>
    <cellStyle name="Lien hypertexte" xfId="15506" builtinId="8" hidden="1"/>
    <cellStyle name="Lien hypertexte" xfId="14594" builtinId="8" hidden="1"/>
    <cellStyle name="Lien hypertexte" xfId="21485" builtinId="8" hidden="1"/>
    <cellStyle name="Lien hypertexte" xfId="17426" builtinId="8" hidden="1"/>
    <cellStyle name="Lien hypertexte" xfId="22679" builtinId="8" hidden="1"/>
    <cellStyle name="Lien hypertexte" xfId="24045" builtinId="8" hidden="1"/>
    <cellStyle name="Lien hypertexte" xfId="16058" builtinId="8" hidden="1"/>
    <cellStyle name="Lien hypertexte" xfId="23039" builtinId="8" hidden="1"/>
    <cellStyle name="Lien hypertexte" xfId="16958" builtinId="8" hidden="1"/>
    <cellStyle name="Lien hypertexte" xfId="18577" builtinId="8" hidden="1"/>
    <cellStyle name="Lien hypertexte" xfId="19247" builtinId="8" hidden="1"/>
    <cellStyle name="Lien hypertexte" xfId="15478" builtinId="8" hidden="1"/>
    <cellStyle name="Lien hypertexte" xfId="14622" builtinId="8" hidden="1"/>
    <cellStyle name="Lien hypertexte" xfId="21459" builtinId="8" hidden="1"/>
    <cellStyle name="Lien hypertexte" xfId="17396" builtinId="8" hidden="1"/>
    <cellStyle name="Lien hypertexte" xfId="22707" builtinId="8" hidden="1"/>
    <cellStyle name="Lien hypertexte" xfId="24015" builtinId="8" hidden="1"/>
    <cellStyle name="Lien hypertexte" xfId="16086" builtinId="8" hidden="1"/>
    <cellStyle name="Lien hypertexte" xfId="22601" builtinId="8" hidden="1"/>
    <cellStyle name="Lien hypertexte" xfId="17162" builtinId="8" hidden="1"/>
    <cellStyle name="Lien hypertexte" xfId="18607" builtinId="8" hidden="1"/>
    <cellStyle name="Lien hypertexte" xfId="19275" builtinId="8" hidden="1"/>
    <cellStyle name="Lien hypertexte" xfId="15448" builtinId="8" hidden="1"/>
    <cellStyle name="Lien hypertexte" xfId="360" builtinId="8" hidden="1"/>
    <cellStyle name="Lien hypertexte" xfId="21429" builtinId="8" hidden="1"/>
    <cellStyle name="Lien hypertexte" xfId="17366" builtinId="8" hidden="1"/>
    <cellStyle name="Lien hypertexte" xfId="22735" builtinId="8" hidden="1"/>
    <cellStyle name="Lien hypertexte" xfId="23987" builtinId="8" hidden="1"/>
    <cellStyle name="Lien hypertexte" xfId="16116" builtinId="8" hidden="1"/>
    <cellStyle name="Lien hypertexte" xfId="22163" builtinId="8" hidden="1"/>
    <cellStyle name="Lien hypertexte" xfId="17368" builtinId="8" hidden="1"/>
    <cellStyle name="Lien hypertexte" xfId="18637" builtinId="8" hidden="1"/>
    <cellStyle name="Lien hypertexte" xfId="19303" builtinId="8" hidden="1"/>
    <cellStyle name="Lien hypertexte" xfId="15420" builtinId="8" hidden="1"/>
    <cellStyle name="Lien hypertexte" xfId="388" builtinId="8" hidden="1"/>
    <cellStyle name="Lien hypertexte" xfId="21401" builtinId="8" hidden="1"/>
    <cellStyle name="Lien hypertexte" xfId="17338" builtinId="8" hidden="1"/>
    <cellStyle name="Lien hypertexte" xfId="22765" builtinId="8" hidden="1"/>
    <cellStyle name="Lien hypertexte" xfId="23959" builtinId="8" hidden="1"/>
    <cellStyle name="Lien hypertexte" xfId="16146" builtinId="8" hidden="1"/>
    <cellStyle name="Lien hypertexte" xfId="20247" builtinId="8" hidden="1"/>
    <cellStyle name="Lien hypertexte" xfId="17572" builtinId="8" hidden="1"/>
    <cellStyle name="Lien hypertexte" xfId="18667" builtinId="8" hidden="1"/>
    <cellStyle name="Lien hypertexte" xfId="19333" builtinId="8" hidden="1"/>
    <cellStyle name="Lien hypertexte" xfId="15392" builtinId="8" hidden="1"/>
    <cellStyle name="Lien hypertexte" xfId="414" builtinId="8" hidden="1"/>
    <cellStyle name="Lien hypertexte" xfId="21373" builtinId="8" hidden="1"/>
    <cellStyle name="Lien hypertexte" xfId="17308" builtinId="8" hidden="1"/>
    <cellStyle name="Lien hypertexte" xfId="22795" builtinId="8" hidden="1"/>
    <cellStyle name="Lien hypertexte" xfId="23929" builtinId="8" hidden="1"/>
    <cellStyle name="Lien hypertexte" xfId="16174" builtinId="8" hidden="1"/>
    <cellStyle name="Lien hypertexte" xfId="20277" builtinId="8" hidden="1"/>
    <cellStyle name="Lien hypertexte" xfId="17778" builtinId="8" hidden="1"/>
    <cellStyle name="Lien hypertexte" xfId="18695" builtinId="8" hidden="1"/>
    <cellStyle name="Lien hypertexte" xfId="19359" builtinId="8" hidden="1"/>
    <cellStyle name="Lien hypertexte" xfId="15364" builtinId="8" hidden="1"/>
    <cellStyle name="Lien hypertexte" xfId="442" builtinId="8" hidden="1"/>
    <cellStyle name="Lien hypertexte" xfId="21343" builtinId="8" hidden="1"/>
    <cellStyle name="Lien hypertexte" xfId="17278" builtinId="8" hidden="1"/>
    <cellStyle name="Lien hypertexte" xfId="22825" builtinId="8" hidden="1"/>
    <cellStyle name="Lien hypertexte" xfId="23899" builtinId="8" hidden="1"/>
    <cellStyle name="Lien hypertexte" xfId="16202" builtinId="8" hidden="1"/>
    <cellStyle name="Lien hypertexte" xfId="20303" builtinId="8" hidden="1"/>
    <cellStyle name="Lien hypertexte" xfId="17982" builtinId="8" hidden="1"/>
    <cellStyle name="Lien hypertexte" xfId="18725" builtinId="8" hidden="1"/>
    <cellStyle name="Lien hypertexte" xfId="19387" builtinId="8" hidden="1"/>
    <cellStyle name="Lien hypertexte" xfId="15334" builtinId="8" hidden="1"/>
    <cellStyle name="Lien hypertexte" xfId="472" builtinId="8" hidden="1"/>
    <cellStyle name="Lien hypertexte" xfId="21317" builtinId="8" hidden="1"/>
    <cellStyle name="Lien hypertexte" xfId="17250" builtinId="8" hidden="1"/>
    <cellStyle name="Lien hypertexte" xfId="22853" builtinId="8" hidden="1"/>
    <cellStyle name="Lien hypertexte" xfId="23869" builtinId="8" hidden="1"/>
    <cellStyle name="Lien hypertexte" xfId="16232" builtinId="8" hidden="1"/>
    <cellStyle name="Lien hypertexte" xfId="20331" builtinId="8" hidden="1"/>
    <cellStyle name="Lien hypertexte" xfId="18186" builtinId="8" hidden="1"/>
    <cellStyle name="Lien hypertexte" xfId="18755" builtinId="8" hidden="1"/>
    <cellStyle name="Lien hypertexte" xfId="19415" builtinId="8" hidden="1"/>
    <cellStyle name="Lien hypertexte" xfId="15308" builtinId="8" hidden="1"/>
    <cellStyle name="Lien hypertexte" xfId="498" builtinId="8" hidden="1"/>
    <cellStyle name="Lien hypertexte" xfId="21289" builtinId="8" hidden="1"/>
    <cellStyle name="Lien hypertexte" xfId="17220" builtinId="8" hidden="1"/>
    <cellStyle name="Lien hypertexte" xfId="22883" builtinId="8" hidden="1"/>
    <cellStyle name="Lien hypertexte" xfId="23839" builtinId="8" hidden="1"/>
    <cellStyle name="Lien hypertexte" xfId="16262" builtinId="8" hidden="1"/>
    <cellStyle name="Lien hypertexte" xfId="20361" builtinId="8" hidden="1"/>
    <cellStyle name="Lien hypertexte" xfId="24301" builtinId="8" hidden="1"/>
    <cellStyle name="Lien hypertexte" xfId="108" builtinId="8" hidden="1"/>
    <cellStyle name="Lien hypertexte" xfId="19443" builtinId="8" hidden="1"/>
    <cellStyle name="Lien hypertexte" xfId="15278" builtinId="8" hidden="1"/>
    <cellStyle name="Lien hypertexte" xfId="526" builtinId="8" hidden="1"/>
    <cellStyle name="Lien hypertexte" xfId="21259" builtinId="8" hidden="1"/>
    <cellStyle name="Lien hypertexte" xfId="17190" builtinId="8" hidden="1"/>
    <cellStyle name="Lien hypertexte" xfId="22911" builtinId="8" hidden="1"/>
    <cellStyle name="Lien hypertexte" xfId="23813" builtinId="8" hidden="1"/>
    <cellStyle name="Lien hypertexte" xfId="16290" builtinId="8" hidden="1"/>
    <cellStyle name="Lien hypertexte" xfId="20389" builtinId="8" hidden="1"/>
    <cellStyle name="Lien hypertexte" xfId="18613" builtinId="8" hidden="1"/>
    <cellStyle name="Lien hypertexte" xfId="18811" builtinId="8" hidden="1"/>
    <cellStyle name="Lien hypertexte" xfId="19469" builtinId="8" hidden="1"/>
    <cellStyle name="Lien hypertexte" xfId="15250" builtinId="8" hidden="1"/>
    <cellStyle name="Lien hypertexte" xfId="554" builtinId="8" hidden="1"/>
    <cellStyle name="Lien hypertexte" xfId="21231" builtinId="8" hidden="1"/>
    <cellStyle name="Lien hypertexte" xfId="17160" builtinId="8" hidden="1"/>
    <cellStyle name="Lien hypertexte" xfId="22941" builtinId="8" hidden="1"/>
    <cellStyle name="Lien hypertexte" xfId="23783" builtinId="8" hidden="1"/>
    <cellStyle name="Lien hypertexte" xfId="16320" builtinId="8" hidden="1"/>
    <cellStyle name="Lien hypertexte" xfId="20419" builtinId="8" hidden="1"/>
    <cellStyle name="Lien hypertexte" xfId="18819" builtinId="8" hidden="1"/>
    <cellStyle name="Lien hypertexte" xfId="18841" builtinId="8" hidden="1"/>
    <cellStyle name="Lien hypertexte" xfId="19497" builtinId="8" hidden="1"/>
    <cellStyle name="Lien hypertexte" xfId="15222" builtinId="8" hidden="1"/>
    <cellStyle name="Lien hypertexte" xfId="582" builtinId="8" hidden="1"/>
    <cellStyle name="Lien hypertexte" xfId="21203" builtinId="8" hidden="1"/>
    <cellStyle name="Lien hypertexte" xfId="17132" builtinId="8" hidden="1"/>
    <cellStyle name="Lien hypertexte" xfId="22971" builtinId="8" hidden="1"/>
    <cellStyle name="Lien hypertexte" xfId="23753" builtinId="8" hidden="1"/>
    <cellStyle name="Lien hypertexte" xfId="16350" builtinId="8" hidden="1"/>
    <cellStyle name="Lien hypertexte" xfId="20445" builtinId="8" hidden="1"/>
    <cellStyle name="Lien hypertexte" xfId="16176" builtinId="8" hidden="1"/>
    <cellStyle name="Lien hypertexte" xfId="18465" builtinId="8" hidden="1"/>
    <cellStyle name="Lien hypertexte" xfId="19525" builtinId="8" hidden="1"/>
    <cellStyle name="Lien hypertexte" xfId="15194" builtinId="8" hidden="1"/>
    <cellStyle name="Lien hypertexte" xfId="608" builtinId="8" hidden="1"/>
    <cellStyle name="Lien hypertexte" xfId="21175" builtinId="8" hidden="1"/>
    <cellStyle name="Lien hypertexte" xfId="17102" builtinId="8" hidden="1"/>
    <cellStyle name="Lien hypertexte" xfId="22999" builtinId="8" hidden="1"/>
    <cellStyle name="Lien hypertexte" xfId="23723" builtinId="8" hidden="1"/>
    <cellStyle name="Lien hypertexte" xfId="16380" builtinId="8" hidden="1"/>
    <cellStyle name="Lien hypertexte" xfId="20473" builtinId="8" hidden="1"/>
    <cellStyle name="Lien hypertexte" xfId="14810" builtinId="8" hidden="1"/>
    <cellStyle name="Lien hypertexte" xfId="18032" builtinId="8" hidden="1"/>
    <cellStyle name="Lien hypertexte" xfId="19031" builtinId="8" hidden="1"/>
    <cellStyle name="Lien hypertexte" xfId="15166" builtinId="8" hidden="1"/>
    <cellStyle name="Lien hypertexte" xfId="636" builtinId="8" hidden="1"/>
    <cellStyle name="Lien hypertexte" xfId="21147" builtinId="8" hidden="1"/>
    <cellStyle name="Lien hypertexte" xfId="17074" builtinId="8" hidden="1"/>
    <cellStyle name="Lien hypertexte" xfId="23029" builtinId="8" hidden="1"/>
    <cellStyle name="Lien hypertexte" xfId="23693" builtinId="8" hidden="1"/>
    <cellStyle name="Lien hypertexte" xfId="16408" builtinId="8" hidden="1"/>
    <cellStyle name="Lien hypertexte" xfId="20503" builtinId="8" hidden="1"/>
    <cellStyle name="Lien hypertexte" xfId="15008" builtinId="8" hidden="1"/>
    <cellStyle name="Lien hypertexte" xfId="17584" builtinId="8" hidden="1"/>
    <cellStyle name="Lien hypertexte" xfId="19059" builtinId="8" hidden="1"/>
    <cellStyle name="Lien hypertexte" xfId="15136" builtinId="8" hidden="1"/>
    <cellStyle name="Lien hypertexte" xfId="208" builtinId="8" hidden="1"/>
    <cellStyle name="Lien hypertexte" xfId="21117" builtinId="8" hidden="1"/>
    <cellStyle name="Lien hypertexte" xfId="17046" builtinId="8" hidden="1"/>
    <cellStyle name="Lien hypertexte" xfId="23059" builtinId="8" hidden="1"/>
    <cellStyle name="Lien hypertexte" xfId="23667" builtinId="8" hidden="1"/>
    <cellStyle name="Lien hypertexte" xfId="16438" builtinId="8" hidden="1"/>
    <cellStyle name="Lien hypertexte" xfId="20531" builtinId="8" hidden="1"/>
    <cellStyle name="Lien hypertexte" xfId="15206" builtinId="8" hidden="1"/>
    <cellStyle name="Lien hypertexte" xfId="17136" builtinId="8" hidden="1"/>
    <cellStyle name="Lien hypertexte" xfId="19085" builtinId="8" hidden="1"/>
    <cellStyle name="Lien hypertexte" xfId="15110" builtinId="8" hidden="1"/>
    <cellStyle name="Lien hypertexte" xfId="234" builtinId="8" hidden="1"/>
    <cellStyle name="Lien hypertexte" xfId="21091" builtinId="8" hidden="1"/>
    <cellStyle name="Lien hypertexte" xfId="17016" builtinId="8" hidden="1"/>
    <cellStyle name="Lien hypertexte" xfId="23087" builtinId="8" hidden="1"/>
    <cellStyle name="Lien hypertexte" xfId="23637" builtinId="8" hidden="1"/>
    <cellStyle name="Lien hypertexte" xfId="16468" builtinId="8" hidden="1"/>
    <cellStyle name="Lien hypertexte" xfId="20559" builtinId="8" hidden="1"/>
    <cellStyle name="Lien hypertexte" xfId="15404" builtinId="8" hidden="1"/>
    <cellStyle name="Lien hypertexte" xfId="16720" builtinId="8" hidden="1"/>
    <cellStyle name="Lien hypertexte" xfId="19113" builtinId="8" hidden="1"/>
    <cellStyle name="Lien hypertexte" xfId="15080" builtinId="8" hidden="1"/>
    <cellStyle name="Lien hypertexte" xfId="262" builtinId="8" hidden="1"/>
    <cellStyle name="Lien hypertexte" xfId="21061" builtinId="8" hidden="1"/>
    <cellStyle name="Lien hypertexte" xfId="16986" builtinId="8" hidden="1"/>
    <cellStyle name="Lien hypertexte" xfId="23117" builtinId="8" hidden="1"/>
    <cellStyle name="Lien hypertexte" xfId="23607" builtinId="8" hidden="1"/>
    <cellStyle name="Lien hypertexte" xfId="16494" builtinId="8" hidden="1"/>
    <cellStyle name="Lien hypertexte" xfId="20587" builtinId="8" hidden="1"/>
    <cellStyle name="Lien hypertexte" xfId="15604" builtinId="8" hidden="1"/>
    <cellStyle name="Lien hypertexte" xfId="15814" builtinId="8" hidden="1"/>
    <cellStyle name="Lien hypertexte" xfId="19141" builtinId="8" hidden="1"/>
    <cellStyle name="Lien hypertexte" xfId="15052" builtinId="8" hidden="1"/>
    <cellStyle name="Lien hypertexte" xfId="290" builtinId="8" hidden="1"/>
    <cellStyle name="Lien hypertexte" xfId="21033" builtinId="8" hidden="1"/>
    <cellStyle name="Lien hypertexte" xfId="16956" builtinId="8" hidden="1"/>
    <cellStyle name="Lien hypertexte" xfId="23145" builtinId="8" hidden="1"/>
    <cellStyle name="Lien hypertexte" xfId="23577" builtinId="8" hidden="1"/>
    <cellStyle name="Lien hypertexte" xfId="16524" builtinId="8" hidden="1"/>
    <cellStyle name="Lien hypertexte" xfId="20615" builtinId="8" hidden="1"/>
    <cellStyle name="Lien hypertexte" xfId="15802" builtinId="8" hidden="1"/>
    <cellStyle name="Lien hypertexte" xfId="14634" builtinId="8" hidden="1"/>
    <cellStyle name="Lien hypertexte" xfId="19167" builtinId="8" hidden="1"/>
    <cellStyle name="Lien hypertexte" xfId="15022" builtinId="8" hidden="1"/>
    <cellStyle name="Lien hypertexte" xfId="318" builtinId="8" hidden="1"/>
    <cellStyle name="Lien hypertexte" xfId="21005" builtinId="8" hidden="1"/>
    <cellStyle name="Lien hypertexte" xfId="16928" builtinId="8" hidden="1"/>
    <cellStyle name="Lien hypertexte" xfId="23175" builtinId="8" hidden="1"/>
    <cellStyle name="Lien hypertexte" xfId="23547" builtinId="8" hidden="1"/>
    <cellStyle name="Lien hypertexte" xfId="16554" builtinId="8" hidden="1"/>
    <cellStyle name="Lien hypertexte" xfId="20645" builtinId="8" hidden="1"/>
    <cellStyle name="Lien hypertexte" xfId="672" builtinId="8" hidden="1"/>
    <cellStyle name="Lien hypertexte" xfId="14664" builtinId="8" hidden="1"/>
    <cellStyle name="Lien hypertexte" xfId="18939" builtinId="8" hidden="1"/>
    <cellStyle name="Lien hypertexte" xfId="14996" builtinId="8" hidden="1"/>
    <cellStyle name="Lien hypertexte" xfId="344" builtinId="8" hidden="1"/>
    <cellStyle name="Lien hypertexte" xfId="20975" builtinId="8" hidden="1"/>
    <cellStyle name="Lien hypertexte" xfId="16898" builtinId="8" hidden="1"/>
    <cellStyle name="Lien hypertexte" xfId="23205" builtinId="8" hidden="1"/>
    <cellStyle name="Lien hypertexte" xfId="23519" builtinId="8" hidden="1"/>
    <cellStyle name="Lien hypertexte" xfId="16584" builtinId="8" hidden="1"/>
    <cellStyle name="Lien hypertexte" xfId="20671" builtinId="8" hidden="1"/>
    <cellStyle name="Lien hypertexte" xfId="868" builtinId="8" hidden="1"/>
    <cellStyle name="Lien hypertexte" xfId="14690" builtinId="8" hidden="1"/>
    <cellStyle name="Lien hypertexte" xfId="18967" builtinId="8" hidden="1"/>
    <cellStyle name="Lien hypertexte" xfId="14968" builtinId="8" hidden="1"/>
    <cellStyle name="Lien hypertexte" xfId="148" builtinId="8" hidden="1"/>
    <cellStyle name="Lien hypertexte" xfId="20949" builtinId="8" hidden="1"/>
    <cellStyle name="Lien hypertexte" xfId="16868" builtinId="8" hidden="1"/>
    <cellStyle name="Lien hypertexte" xfId="23235" builtinId="8" hidden="1"/>
    <cellStyle name="Lien hypertexte" xfId="23491" builtinId="8" hidden="1"/>
    <cellStyle name="Lien hypertexte" xfId="16612" builtinId="8" hidden="1"/>
    <cellStyle name="Lien hypertexte" xfId="20701" builtinId="8" hidden="1"/>
    <cellStyle name="Lien hypertexte" xfId="1062" builtinId="8" hidden="1"/>
    <cellStyle name="Lien hypertexte" xfId="14720" builtinId="8" hidden="1"/>
    <cellStyle name="Lien hypertexte" xfId="18995" builtinId="8" hidden="1"/>
    <cellStyle name="Lien hypertexte" xfId="14938" builtinId="8" hidden="1"/>
    <cellStyle name="Lien hypertexte" xfId="176" builtinId="8" hidden="1"/>
    <cellStyle name="Lien hypertexte" xfId="20921" builtinId="8" hidden="1"/>
    <cellStyle name="Lien hypertexte" xfId="16840" builtinId="8" hidden="1"/>
    <cellStyle name="Lien hypertexte" xfId="23263" builtinId="8" hidden="1"/>
    <cellStyle name="Lien hypertexte" xfId="23461" builtinId="8" hidden="1"/>
    <cellStyle name="Lien hypertexte" xfId="16642" builtinId="8" hidden="1"/>
    <cellStyle name="Lien hypertexte" xfId="20729" builtinId="8" hidden="1"/>
    <cellStyle name="Lien hypertexte" xfId="14612" builtinId="8" hidden="1"/>
    <cellStyle name="Lien hypertexte" xfId="14748" builtinId="8" hidden="1"/>
    <cellStyle name="Lien hypertexte" xfId="18893" builtinId="8" hidden="1"/>
    <cellStyle name="Lien hypertexte" xfId="14912" builtinId="8" hidden="1"/>
    <cellStyle name="Lien hypertexte" xfId="90" builtinId="8" hidden="1"/>
    <cellStyle name="Lien hypertexte" xfId="20891" builtinId="8" hidden="1"/>
    <cellStyle name="Lien hypertexte" xfId="16810" builtinId="8" hidden="1"/>
    <cellStyle name="Lien hypertexte" xfId="23291" builtinId="8" hidden="1"/>
    <cellStyle name="Lien hypertexte" xfId="23431" builtinId="8" hidden="1"/>
    <cellStyle name="Lien hypertexte" xfId="16672" builtinId="8" hidden="1"/>
    <cellStyle name="Lien hypertexte" xfId="20757" builtinId="8" hidden="1"/>
    <cellStyle name="Lien hypertexte" xfId="516" builtinId="8" hidden="1"/>
    <cellStyle name="Lien hypertexte" xfId="14776" builtinId="8" hidden="1"/>
    <cellStyle name="Lien hypertexte" xfId="18921" builtinId="8" hidden="1"/>
    <cellStyle name="Lien hypertexte" xfId="14882" builtinId="8" hidden="1"/>
    <cellStyle name="Lien hypertexte" xfId="118" builtinId="8" hidden="1"/>
    <cellStyle name="Lien hypertexte" xfId="20863" builtinId="8" hidden="1"/>
    <cellStyle name="Lien hypertexte" xfId="16780" builtinId="8" hidden="1"/>
    <cellStyle name="Lien hypertexte" xfId="23321" builtinId="8" hidden="1"/>
    <cellStyle name="Lien hypertexte" xfId="23401" builtinId="8" hidden="1"/>
    <cellStyle name="Lien hypertexte" xfId="16700" builtinId="8" hidden="1"/>
    <cellStyle name="Lien hypertexte" xfId="20787" builtinId="8" hidden="1"/>
    <cellStyle name="Lien hypertexte" xfId="252" builtinId="8" hidden="1"/>
    <cellStyle name="Lien hypertexte" xfId="14804" builtinId="8" hidden="1"/>
    <cellStyle name="Lien hypertexte" xfId="18885" builtinId="8" hidden="1"/>
    <cellStyle name="Lien hypertexte" xfId="14854" builtinId="8" hidden="1"/>
    <cellStyle name="Lien hypertexte" xfId="22133" builtinId="8" hidden="1"/>
    <cellStyle name="Lien hypertexte" xfId="19751" builtinId="8" hidden="1"/>
    <cellStyle name="Lien hypertexte" xfId="62" builtinId="8" hidden="1"/>
    <cellStyle name="Lien hypertexte" xfId="21473" builtinId="8" hidden="1"/>
    <cellStyle name="Lien hypertexte" xfId="23343" builtinId="8" hidden="1"/>
    <cellStyle name="Lien hypertexte" xfId="698" builtinId="8" hidden="1"/>
    <cellStyle name="Lien hypertexte" xfId="20865" builtinId="8" hidden="1"/>
    <cellStyle name="Lien hypertexte" xfId="22103" builtinId="8" hidden="1"/>
    <cellStyle name="Lien hypertexte" xfId="24599" builtinId="8" hidden="1"/>
    <cellStyle name="Lien hypertexte" xfId="16750" builtinId="8" hidden="1"/>
    <cellStyle name="Lien hypertexte" xfId="14818" builtinId="8" hidden="1"/>
    <cellStyle name="Lien hypertexte" xfId="18859" builtinId="8" hidden="1"/>
    <cellStyle name="Lien hypertexte" xfId="18008" builtinId="8" hidden="1"/>
    <cellStyle name="Lien hypertexte" xfId="692" builtinId="8" hidden="1"/>
    <cellStyle name="Lien hypertexte" xfId="20799" builtinId="8" hidden="1"/>
    <cellStyle name="Lien hypertexte" xfId="24497" builtinId="8" hidden="1"/>
    <cellStyle name="Lien hypertexte" xfId="18002" builtinId="8" hidden="1"/>
    <cellStyle name="Lien hypertexte" xfId="20841" builtinId="8" hidden="1"/>
    <cellStyle name="Lien hypertexte" xfId="82" builtinId="8" hidden="1"/>
    <cellStyle name="Lien hypertexte" xfId="14862" builtinId="8" hidden="1"/>
    <cellStyle name="Lien hypertexte" xfId="18877" builtinId="8" hidden="1"/>
    <cellStyle name="Lien hypertexte" xfId="14798" builtinId="8" hidden="1"/>
    <cellStyle name="Lien hypertexte" xfId="204" builtinId="8" hidden="1"/>
    <cellStyle name="Lien hypertexte" xfId="20779" builtinId="8" hidden="1"/>
    <cellStyle name="Lien hypertexte" xfId="16694" builtinId="8" hidden="1"/>
    <cellStyle name="Lien hypertexte" xfId="23411" builtinId="8" hidden="1"/>
    <cellStyle name="Lien hypertexte" xfId="23315" builtinId="8" hidden="1"/>
    <cellStyle name="Lien hypertexte" xfId="16790" builtinId="8" hidden="1"/>
    <cellStyle name="Lien hypertexte" xfId="20871" builtinId="8" hidden="1"/>
    <cellStyle name="Lien hypertexte" xfId="112" builtinId="8" hidden="1"/>
    <cellStyle name="Lien hypertexte" xfId="14888" builtinId="8" hidden="1"/>
    <cellStyle name="Lien hypertexte" xfId="18915" builtinId="8" hidden="1"/>
    <cellStyle name="Lien hypertexte" xfId="14770" builtinId="8" hidden="1"/>
    <cellStyle name="Lien hypertexte" xfId="468" builtinId="8" hidden="1"/>
    <cellStyle name="Lien hypertexte" xfId="20749" builtinId="8" hidden="1"/>
    <cellStyle name="Lien hypertexte" xfId="16664" builtinId="8" hidden="1"/>
    <cellStyle name="Lien hypertexte" xfId="23437" builtinId="8" hidden="1"/>
    <cellStyle name="Lien hypertexte" xfId="23285" builtinId="8" hidden="1"/>
    <cellStyle name="Lien hypertexte" xfId="16818" builtinId="8" hidden="1"/>
    <cellStyle name="Lien hypertexte" xfId="20899" builtinId="8" hidden="1"/>
    <cellStyle name="Lien hypertexte" xfId="196" builtinId="8" hidden="1"/>
    <cellStyle name="Lien hypertexte" xfId="14918" builtinId="8" hidden="1"/>
    <cellStyle name="Lien hypertexte" xfId="19015" builtinId="8" hidden="1"/>
    <cellStyle name="Lien hypertexte" xfId="14740" builtinId="8" hidden="1"/>
    <cellStyle name="Lien hypertexte" xfId="14562" builtinId="8" hidden="1"/>
    <cellStyle name="Lien hypertexte" xfId="20723" builtinId="8" hidden="1"/>
    <cellStyle name="Lien hypertexte" xfId="16636" builtinId="8" hidden="1"/>
    <cellStyle name="Lien hypertexte" xfId="23467" builtinId="8" hidden="1"/>
    <cellStyle name="Lien hypertexte" xfId="23255" builtinId="8" hidden="1"/>
    <cellStyle name="Lien hypertexte" xfId="16846" builtinId="8" hidden="1"/>
    <cellStyle name="Lien hypertexte" xfId="20927" builtinId="8" hidden="1"/>
    <cellStyle name="Lien hypertexte" xfId="168" builtinId="8" hidden="1"/>
    <cellStyle name="Lien hypertexte" xfId="14946" builtinId="8" hidden="1"/>
    <cellStyle name="Lien hypertexte" xfId="18987" builtinId="8" hidden="1"/>
    <cellStyle name="Lien hypertexte" xfId="14714" builtinId="8" hidden="1"/>
    <cellStyle name="Lien hypertexte" xfId="1014" builtinId="8" hidden="1"/>
    <cellStyle name="Lien hypertexte" xfId="20693" builtinId="8" hidden="1"/>
    <cellStyle name="Lien hypertexte" xfId="16606" builtinId="8" hidden="1"/>
    <cellStyle name="Lien hypertexte" xfId="23497" builtinId="8" hidden="1"/>
    <cellStyle name="Lien hypertexte" xfId="23227" builtinId="8" hidden="1"/>
    <cellStyle name="Lien hypertexte" xfId="16876" builtinId="8" hidden="1"/>
    <cellStyle name="Lien hypertexte" xfId="20955" builtinId="8" hidden="1"/>
    <cellStyle name="Lien hypertexte" xfId="142" builtinId="8" hidden="1"/>
    <cellStyle name="Lien hypertexte" xfId="14974" builtinId="8" hidden="1"/>
    <cellStyle name="Lien hypertexte" xfId="18959" builtinId="8" hidden="1"/>
    <cellStyle name="Lien hypertexte" xfId="14684" builtinId="8" hidden="1"/>
    <cellStyle name="Lien hypertexte" xfId="818" builtinId="8" hidden="1"/>
    <cellStyle name="Lien hypertexte" xfId="20665" builtinId="8" hidden="1"/>
    <cellStyle name="Lien hypertexte" xfId="16576" builtinId="8" hidden="1"/>
    <cellStyle name="Lien hypertexte" xfId="23527" builtinId="8" hidden="1"/>
    <cellStyle name="Lien hypertexte" xfId="23197" builtinId="8" hidden="1"/>
    <cellStyle name="Lien hypertexte" xfId="16904" builtinId="8" hidden="1"/>
    <cellStyle name="Lien hypertexte" xfId="20983" builtinId="8" hidden="1"/>
    <cellStyle name="Lien hypertexte" xfId="338" builtinId="8" hidden="1"/>
    <cellStyle name="Lien hypertexte" xfId="15002" builtinId="8" hidden="1"/>
    <cellStyle name="Lien hypertexte" xfId="18933" builtinId="8" hidden="1"/>
    <cellStyle name="Lien hypertexte" xfId="14656" builtinId="8" hidden="1"/>
    <cellStyle name="Lien hypertexte" xfId="15472" builtinId="8" hidden="1"/>
    <cellStyle name="Lien hypertexte" xfId="20637" builtinId="8" hidden="1"/>
    <cellStyle name="Lien hypertexte" xfId="16546" builtinId="8" hidden="1"/>
    <cellStyle name="Lien hypertexte" xfId="23557" builtinId="8" hidden="1"/>
    <cellStyle name="Lien hypertexte" xfId="23167" builtinId="8" hidden="1"/>
    <cellStyle name="Lien hypertexte" xfId="16934" builtinId="8" hidden="1"/>
    <cellStyle name="Lien hypertexte" xfId="21013" builtinId="8" hidden="1"/>
    <cellStyle name="Lien hypertexte" xfId="310" builtinId="8" hidden="1"/>
    <cellStyle name="Lien hypertexte" xfId="15032" builtinId="8" hidden="1"/>
    <cellStyle name="Lien hypertexte" xfId="19161" builtinId="8" hidden="1"/>
    <cellStyle name="Lien hypertexte" xfId="15952" builtinId="8" hidden="1"/>
    <cellStyle name="Lien hypertexte" xfId="15752" builtinId="8" hidden="1"/>
    <cellStyle name="Lien hypertexte" xfId="20607" builtinId="8" hidden="1"/>
    <cellStyle name="Lien hypertexte" xfId="16518" builtinId="8" hidden="1"/>
    <cellStyle name="Lien hypertexte" xfId="23583" builtinId="8" hidden="1"/>
    <cellStyle name="Lien hypertexte" xfId="23139" builtinId="8" hidden="1"/>
    <cellStyle name="Lien hypertexte" xfId="16964" builtinId="8" hidden="1"/>
    <cellStyle name="Lien hypertexte" xfId="21039" builtinId="8" hidden="1"/>
    <cellStyle name="Lien hypertexte" xfId="282" builtinId="8" hidden="1"/>
    <cellStyle name="Lien hypertexte" xfId="15512" builtinId="8" hidden="1"/>
    <cellStyle name="Lien hypertexte" xfId="19133" builtinId="8" hidden="1"/>
    <cellStyle name="Lien hypertexte" xfId="16368" builtinId="8" hidden="1"/>
    <cellStyle name="Lien hypertexte" xfId="15554" builtinId="8" hidden="1"/>
    <cellStyle name="Lien hypertexte" xfId="20581" builtinId="8" hidden="1"/>
    <cellStyle name="Lien hypertexte" xfId="16488" builtinId="8" hidden="1"/>
    <cellStyle name="Lien hypertexte" xfId="23613" builtinId="8" hidden="1"/>
    <cellStyle name="Lien hypertexte" xfId="23109" builtinId="8" hidden="1"/>
    <cellStyle name="Lien hypertexte" xfId="16994" builtinId="8" hidden="1"/>
    <cellStyle name="Lien hypertexte" xfId="21069" builtinId="8" hidden="1"/>
    <cellStyle name="Lien hypertexte" xfId="256" builtinId="8" hidden="1"/>
    <cellStyle name="Lien hypertexte" xfId="15086" builtinId="8" hidden="1"/>
    <cellStyle name="Lien hypertexte" xfId="19107" builtinId="8" hidden="1"/>
    <cellStyle name="Lien hypertexte" xfId="16816" builtinId="8" hidden="1"/>
    <cellStyle name="Lien hypertexte" xfId="15356" builtinId="8" hidden="1"/>
    <cellStyle name="Lien hypertexte" xfId="20551" builtinId="8" hidden="1"/>
    <cellStyle name="Lien hypertexte" xfId="16458" builtinId="8" hidden="1"/>
    <cellStyle name="Lien hypertexte" xfId="23643" builtinId="8" hidden="1"/>
    <cellStyle name="Lien hypertexte" xfId="23081" builtinId="8" hidden="1"/>
    <cellStyle name="Lien hypertexte" xfId="17022" builtinId="8" hidden="1"/>
    <cellStyle name="Lien hypertexte" xfId="21097" builtinId="8" hidden="1"/>
    <cellStyle name="Lien hypertexte" xfId="228" builtinId="8" hidden="1"/>
    <cellStyle name="Lien hypertexte" xfId="15116" builtinId="8" hidden="1"/>
    <cellStyle name="Lien hypertexte" xfId="19079" builtinId="8" hidden="1"/>
    <cellStyle name="Lien hypertexte" xfId="17264" builtinId="8" hidden="1"/>
    <cellStyle name="Lien hypertexte" xfId="15158" builtinId="8" hidden="1"/>
    <cellStyle name="Lien hypertexte" xfId="20523" builtinId="8" hidden="1"/>
    <cellStyle name="Lien hypertexte" xfId="16430" builtinId="8" hidden="1"/>
    <cellStyle name="Lien hypertexte" xfId="23673" builtinId="8" hidden="1"/>
    <cellStyle name="Lien hypertexte" xfId="23051" builtinId="8" hidden="1"/>
    <cellStyle name="Lien hypertexte" xfId="17052" builtinId="8" hidden="1"/>
    <cellStyle name="Lien hypertexte" xfId="21125" builtinId="8" hidden="1"/>
    <cellStyle name="Lien hypertexte" xfId="200" builtinId="8" hidden="1"/>
    <cellStyle name="Lien hypertexte" xfId="15144" builtinId="8" hidden="1"/>
    <cellStyle name="Lien hypertexte" xfId="19051" builtinId="8" hidden="1"/>
    <cellStyle name="Lien hypertexte" xfId="17680" builtinId="8" hidden="1"/>
    <cellStyle name="Lien hypertexte" xfId="14958" builtinId="8" hidden="1"/>
    <cellStyle name="Lien hypertexte" xfId="20495" builtinId="8" hidden="1"/>
    <cellStyle name="Lien hypertexte" xfId="16402" builtinId="8" hidden="1"/>
    <cellStyle name="Lien hypertexte" xfId="23703" builtinId="8" hidden="1"/>
    <cellStyle name="Lien hypertexte" xfId="23021" builtinId="8" hidden="1"/>
    <cellStyle name="Lien hypertexte" xfId="17082" builtinId="8" hidden="1"/>
    <cellStyle name="Lien hypertexte" xfId="21155" builtinId="8" hidden="1"/>
    <cellStyle name="Lien hypertexte" xfId="630" builtinId="8" hidden="1"/>
    <cellStyle name="Lien hypertexte" xfId="15172" builtinId="8" hidden="1"/>
    <cellStyle name="Lien hypertexte" xfId="19023" builtinId="8" hidden="1"/>
    <cellStyle name="Lien hypertexte" xfId="18128" builtinId="8" hidden="1"/>
    <cellStyle name="Lien hypertexte" xfId="14760" builtinId="8" hidden="1"/>
    <cellStyle name="Lien hypertexte" xfId="20467" builtinId="8" hidden="1"/>
    <cellStyle name="Lien hypertexte" xfId="16372" builtinId="8" hidden="1"/>
    <cellStyle name="Lien hypertexte" xfId="23731" builtinId="8" hidden="1"/>
    <cellStyle name="Lien hypertexte" xfId="22991" builtinId="8" hidden="1"/>
    <cellStyle name="Lien hypertexte" xfId="17110" builtinId="8" hidden="1"/>
    <cellStyle name="Lien hypertexte" xfId="21181" builtinId="8" hidden="1"/>
    <cellStyle name="Lien hypertexte" xfId="602" builtinId="8" hidden="1"/>
    <cellStyle name="Lien hypertexte" xfId="15200" builtinId="8" hidden="1"/>
    <cellStyle name="Lien hypertexte" xfId="19517" builtinId="8" hidden="1"/>
    <cellStyle name="Lien hypertexte" xfId="18593" builtinId="8" hidden="1"/>
    <cellStyle name="Lien hypertexte" xfId="16944" builtinId="8" hidden="1"/>
    <cellStyle name="Lien hypertexte" xfId="20439" builtinId="8" hidden="1"/>
    <cellStyle name="Lien hypertexte" xfId="16342" builtinId="8" hidden="1"/>
    <cellStyle name="Lien hypertexte" xfId="23759" builtinId="8" hidden="1"/>
    <cellStyle name="Lien hypertexte" xfId="22963" builtinId="8" hidden="1"/>
    <cellStyle name="Lien hypertexte" xfId="17140" builtinId="8" hidden="1"/>
    <cellStyle name="Lien hypertexte" xfId="21209" builtinId="8" hidden="1"/>
    <cellStyle name="Lien hypertexte" xfId="574" builtinId="8" hidden="1"/>
    <cellStyle name="Lien hypertexte" xfId="15230" builtinId="8" hidden="1"/>
    <cellStyle name="Lien hypertexte" xfId="19491" builtinId="8" hidden="1"/>
    <cellStyle name="Lien hypertexte" xfId="18833" builtinId="8" hidden="1"/>
    <cellStyle name="Lien hypertexte" xfId="18767" builtinId="8" hidden="1"/>
    <cellStyle name="Lien hypertexte" xfId="20411" builtinId="8" hidden="1"/>
    <cellStyle name="Lien hypertexte" xfId="16314" builtinId="8" hidden="1"/>
    <cellStyle name="Lien hypertexte" xfId="23789" builtinId="8" hidden="1"/>
    <cellStyle name="Lien hypertexte" xfId="22935" builtinId="8" hidden="1"/>
    <cellStyle name="Lien hypertexte" xfId="17170" builtinId="8" hidden="1"/>
    <cellStyle name="Lien hypertexte" xfId="21239" builtinId="8" hidden="1"/>
    <cellStyle name="Lien hypertexte" xfId="546" builtinId="8" hidden="1"/>
    <cellStyle name="Lien hypertexte" xfId="15258" builtinId="8" hidden="1"/>
    <cellStyle name="Lien hypertexte" xfId="19463" builtinId="8" hidden="1"/>
    <cellStyle name="Lien hypertexte" xfId="18805" builtinId="8" hidden="1"/>
    <cellStyle name="Lien hypertexte" xfId="18563" builtinId="8" hidden="1"/>
    <cellStyle name="Lien hypertexte" xfId="20381" builtinId="8" hidden="1"/>
    <cellStyle name="Lien hypertexte" xfId="16284" builtinId="8" hidden="1"/>
    <cellStyle name="Lien hypertexte" xfId="23819" builtinId="8" hidden="1"/>
    <cellStyle name="Lien hypertexte" xfId="22905" builtinId="8" hidden="1"/>
    <cellStyle name="Lien hypertexte" xfId="17198" builtinId="8" hidden="1"/>
    <cellStyle name="Lien hypertexte" xfId="21267" builtinId="8" hidden="1"/>
    <cellStyle name="Lien hypertexte" xfId="22417" builtinId="8" hidden="1"/>
    <cellStyle name="Lien hypertexte" xfId="23209" builtinId="8" hidden="1"/>
    <cellStyle name="Lien hypertexte" xfId="19435" builtinId="8" hidden="1"/>
    <cellStyle name="Lien hypertexte" xfId="18775" builtinId="8" hidden="1"/>
    <cellStyle name="Lien hypertexte" xfId="18357" builtinId="8" hidden="1"/>
    <cellStyle name="Lien hypertexte" xfId="20355" builtinId="8" hidden="1"/>
    <cellStyle name="Lien hypertexte" xfId="16254" builtinId="8" hidden="1"/>
    <cellStyle name="Lien hypertexte" xfId="23849" builtinId="8" hidden="1"/>
    <cellStyle name="Lien hypertexte" xfId="22875" builtinId="8" hidden="1"/>
    <cellStyle name="Lien hypertexte" xfId="17226" builtinId="8" hidden="1"/>
    <cellStyle name="Lien hypertexte" xfId="21295" builtinId="8" hidden="1"/>
    <cellStyle name="Lien hypertexte" xfId="492" builtinId="8" hidden="1"/>
    <cellStyle name="Lien hypertexte" xfId="15314" builtinId="8" hidden="1"/>
    <cellStyle name="Lien hypertexte" xfId="19407" builtinId="8" hidden="1"/>
    <cellStyle name="Lien hypertexte" xfId="18745" builtinId="8" hidden="1"/>
    <cellStyle name="Lien hypertexte" xfId="18136" builtinId="8" hidden="1"/>
    <cellStyle name="Lien hypertexte" xfId="20325" builtinId="8" hidden="1"/>
    <cellStyle name="Lien hypertexte" xfId="16226" builtinId="8" hidden="1"/>
    <cellStyle name="Lien hypertexte" xfId="23877" builtinId="8" hidden="1"/>
    <cellStyle name="Lien hypertexte" xfId="22845" builtinId="8" hidden="1"/>
    <cellStyle name="Lien hypertexte" xfId="17256" builtinId="8" hidden="1"/>
    <cellStyle name="Lien hypertexte" xfId="21323" builtinId="8" hidden="1"/>
    <cellStyle name="Lien hypertexte" xfId="464" builtinId="8" hidden="1"/>
    <cellStyle name="Lien hypertexte" xfId="15342" builtinId="8" hidden="1"/>
    <cellStyle name="Lien hypertexte" xfId="19381" builtinId="8" hidden="1"/>
    <cellStyle name="Lien hypertexte" xfId="18717" builtinId="8" hidden="1"/>
    <cellStyle name="Lien hypertexte" xfId="17930" builtinId="8" hidden="1"/>
    <cellStyle name="Lien hypertexte" xfId="20297" builtinId="8" hidden="1"/>
    <cellStyle name="Lien hypertexte" xfId="16196" builtinId="8" hidden="1"/>
    <cellStyle name="Lien hypertexte" xfId="23907" builtinId="8" hidden="1"/>
    <cellStyle name="Lien hypertexte" xfId="22815" builtinId="8" hidden="1"/>
    <cellStyle name="Lien hypertexte" xfId="17286" builtinId="8" hidden="1"/>
    <cellStyle name="Lien hypertexte" xfId="21351" builtinId="8" hidden="1"/>
    <cellStyle name="Lien hypertexte" xfId="436" builtinId="8" hidden="1"/>
    <cellStyle name="Lien hypertexte" xfId="15370" builtinId="8" hidden="1"/>
    <cellStyle name="Lien hypertexte" xfId="19353" builtinId="8" hidden="1"/>
    <cellStyle name="Lien hypertexte" xfId="18687" builtinId="8" hidden="1"/>
    <cellStyle name="Lien hypertexte" xfId="17726" builtinId="8" hidden="1"/>
    <cellStyle name="Lien hypertexte" xfId="20269" builtinId="8" hidden="1"/>
    <cellStyle name="Lien hypertexte" xfId="16166" builtinId="8" hidden="1"/>
    <cellStyle name="Lien hypertexte" xfId="23935" builtinId="8" hidden="1"/>
    <cellStyle name="Lien hypertexte" xfId="22789" builtinId="8" hidden="1"/>
    <cellStyle name="Lien hypertexte" xfId="17314" builtinId="8" hidden="1"/>
    <cellStyle name="Lien hypertexte" xfId="21381" builtinId="8" hidden="1"/>
    <cellStyle name="Lien hypertexte" xfId="408" builtinId="8" hidden="1"/>
    <cellStyle name="Lien hypertexte" xfId="15398" builtinId="8" hidden="1"/>
    <cellStyle name="Lien hypertexte" xfId="19325" builtinId="8" hidden="1"/>
    <cellStyle name="Lien hypertexte" xfId="18659" builtinId="8" hidden="1"/>
    <cellStyle name="Lien hypertexte" xfId="17522" builtinId="8" hidden="1"/>
    <cellStyle name="Lien hypertexte" xfId="21833" builtinId="8" hidden="1"/>
    <cellStyle name="Lien hypertexte" xfId="16136" builtinId="8" hidden="1"/>
    <cellStyle name="Lien hypertexte" xfId="23965" builtinId="8" hidden="1"/>
    <cellStyle name="Lien hypertexte" xfId="22759" builtinId="8" hidden="1"/>
    <cellStyle name="Lien hypertexte" xfId="17344" builtinId="8" hidden="1"/>
    <cellStyle name="Lien hypertexte" xfId="21407" builtinId="8" hidden="1"/>
    <cellStyle name="Lien hypertexte" xfId="380" builtinId="8" hidden="1"/>
    <cellStyle name="Lien hypertexte" xfId="15428" builtinId="8" hidden="1"/>
    <cellStyle name="Lien hypertexte" xfId="19295" builtinId="8" hidden="1"/>
    <cellStyle name="Lien hypertexte" xfId="18629" builtinId="8" hidden="1"/>
    <cellStyle name="Lien hypertexte" xfId="17316" builtinId="8" hidden="1"/>
    <cellStyle name="Lien hypertexte" xfId="22271" builtinId="8" hidden="1"/>
    <cellStyle name="Lien hypertexte" xfId="16108" builtinId="8" hidden="1"/>
    <cellStyle name="Lien hypertexte" xfId="23995" builtinId="8" hidden="1"/>
    <cellStyle name="Lien hypertexte" xfId="22729" builtinId="8" hidden="1"/>
    <cellStyle name="Lien hypertexte" xfId="17374" builtinId="8" hidden="1"/>
    <cellStyle name="Lien hypertexte" xfId="21437" builtinId="8" hidden="1"/>
    <cellStyle name="Lien hypertexte" xfId="352" builtinId="8" hidden="1"/>
    <cellStyle name="Lien hypertexte" xfId="15456" builtinId="8" hidden="1"/>
    <cellStyle name="Lien hypertexte" xfId="19269" builtinId="8" hidden="1"/>
    <cellStyle name="Lien hypertexte" xfId="18601" builtinId="8" hidden="1"/>
    <cellStyle name="Lien hypertexte" xfId="17112" builtinId="8" hidden="1"/>
    <cellStyle name="Lien hypertexte" xfId="22711" builtinId="8" hidden="1"/>
    <cellStyle name="Lien hypertexte" xfId="16078" builtinId="8" hidden="1"/>
    <cellStyle name="Lien hypertexte" xfId="24023" builtinId="8" hidden="1"/>
    <cellStyle name="Lien hypertexte" xfId="22699" builtinId="8" hidden="1"/>
    <cellStyle name="Lien hypertexte" xfId="17404" builtinId="8" hidden="1"/>
    <cellStyle name="Lien hypertexte" xfId="21465" builtinId="8" hidden="1"/>
    <cellStyle name="Lien hypertexte" xfId="14616" builtinId="8" hidden="1"/>
    <cellStyle name="Lien hypertexte" xfId="15484" builtinId="8" hidden="1"/>
    <cellStyle name="Lien hypertexte" xfId="19241" builtinId="8" hidden="1"/>
    <cellStyle name="Lien hypertexte" xfId="18571" builtinId="8" hidden="1"/>
    <cellStyle name="Lien hypertexte" xfId="16906" builtinId="8" hidden="1"/>
    <cellStyle name="Lien hypertexte" xfId="23149" builtinId="8" hidden="1"/>
    <cellStyle name="Lien hypertexte" xfId="16050" builtinId="8" hidden="1"/>
    <cellStyle name="Lien hypertexte" xfId="24053" builtinId="8" hidden="1"/>
    <cellStyle name="Lien hypertexte" xfId="22669" builtinId="8" hidden="1"/>
    <cellStyle name="Lien hypertexte" xfId="17432" builtinId="8" hidden="1"/>
    <cellStyle name="Lien hypertexte" xfId="21493" builtinId="8" hidden="1"/>
    <cellStyle name="Lien hypertexte" xfId="14588" builtinId="8" hidden="1"/>
    <cellStyle name="Lien hypertexte" xfId="15210" builtinId="8" hidden="1"/>
    <cellStyle name="Lien hypertexte" xfId="19213" builtinId="8" hidden="1"/>
    <cellStyle name="Lien hypertexte" xfId="18541" builtinId="8" hidden="1"/>
    <cellStyle name="Lien hypertexte" xfId="16702" builtinId="8" hidden="1"/>
    <cellStyle name="Lien hypertexte" xfId="23589" builtinId="8" hidden="1"/>
    <cellStyle name="Lien hypertexte" xfId="16022" builtinId="8" hidden="1"/>
    <cellStyle name="Lien hypertexte" xfId="24083" builtinId="8" hidden="1"/>
    <cellStyle name="Lien hypertexte" xfId="22643" builtinId="8" hidden="1"/>
    <cellStyle name="Lien hypertexte" xfId="17462" builtinId="8" hidden="1"/>
    <cellStyle name="Lien hypertexte" xfId="21523" builtinId="8" hidden="1"/>
    <cellStyle name="Lien hypertexte" xfId="14558" builtinId="8" hidden="1"/>
    <cellStyle name="Lien hypertexte" xfId="15542" builtinId="8" hidden="1"/>
    <cellStyle name="Lien hypertexte" xfId="19603" builtinId="8" hidden="1"/>
    <cellStyle name="Lien hypertexte" xfId="18513" builtinId="8" hidden="1"/>
    <cellStyle name="Lien hypertexte" xfId="16498" builtinId="8" hidden="1"/>
    <cellStyle name="Lien hypertexte" xfId="24027" builtinId="8" hidden="1"/>
    <cellStyle name="Lien hypertexte" xfId="15992" builtinId="8" hidden="1"/>
    <cellStyle name="Lien hypertexte" xfId="24111" builtinId="8" hidden="1"/>
    <cellStyle name="Lien hypertexte" xfId="22613" builtinId="8" hidden="1"/>
    <cellStyle name="Lien hypertexte" xfId="17492" builtinId="8" hidden="1"/>
    <cellStyle name="Lien hypertexte" xfId="21549" builtinId="8" hidden="1"/>
    <cellStyle name="Lien hypertexte" xfId="14532" builtinId="8" hidden="1"/>
    <cellStyle name="Lien hypertexte" xfId="15568" builtinId="8" hidden="1"/>
    <cellStyle name="Lien hypertexte" xfId="20229" builtinId="8" hidden="1"/>
    <cellStyle name="Lien hypertexte" xfId="18483" builtinId="8" hidden="1"/>
    <cellStyle name="Lien hypertexte" xfId="16292" builtinId="8" hidden="1"/>
    <cellStyle name="Lien hypertexte" xfId="24467" builtinId="8" hidden="1"/>
    <cellStyle name="Lien hypertexte" xfId="15962" builtinId="8" hidden="1"/>
    <cellStyle name="Lien hypertexte" xfId="24141" builtinId="8" hidden="1"/>
    <cellStyle name="Lien hypertexte" xfId="22583" builtinId="8" hidden="1"/>
    <cellStyle name="Lien hypertexte" xfId="17518" builtinId="8" hidden="1"/>
    <cellStyle name="Lien hypertexte" xfId="21579" builtinId="8" hidden="1"/>
    <cellStyle name="Lien hypertexte" xfId="1150" builtinId="8" hidden="1" customBuiltin="1"/>
    <cellStyle name="Lien hypertexte" xfId="15596" builtinId="8" hidden="1"/>
    <cellStyle name="Lien hypertexte" xfId="20201" builtinId="8" hidden="1"/>
    <cellStyle name="Lien hypertexte" xfId="18453" builtinId="8" hidden="1"/>
    <cellStyle name="Lien hypertexte" xfId="16088" builtinId="8" hidden="1"/>
    <cellStyle name="Lien hypertexte" xfId="22561" builtinId="8" hidden="1"/>
    <cellStyle name="Lien hypertexte" xfId="18865" builtinId="8" hidden="1"/>
    <cellStyle name="Lien hypertexte" xfId="24169" builtinId="8" hidden="1"/>
    <cellStyle name="Lien hypertexte" xfId="22553" builtinId="8" hidden="1"/>
    <cellStyle name="Lien hypertexte" xfId="17548" builtinId="8" hidden="1"/>
    <cellStyle name="Lien hypertexte" xfId="21607" builtinId="8" hidden="1"/>
    <cellStyle name="Lien hypertexte" xfId="1122" builtinId="8" hidden="1"/>
    <cellStyle name="Lien hypertexte" xfId="15626" builtinId="8" hidden="1"/>
    <cellStyle name="Lien hypertexte" xfId="20171" builtinId="8" hidden="1"/>
    <cellStyle name="Lien hypertexte" xfId="18423" builtinId="8" hidden="1"/>
    <cellStyle name="Lien hypertexte" xfId="19233" builtinId="8" hidden="1"/>
    <cellStyle name="Lien hypertexte" xfId="21697" builtinId="8" hidden="1"/>
    <cellStyle name="Lien hypertexte" xfId="19073" builtinId="8" hidden="1"/>
    <cellStyle name="Lien hypertexte" xfId="24199" builtinId="8" hidden="1"/>
    <cellStyle name="Lien hypertexte" xfId="22523" builtinId="8" hidden="1"/>
    <cellStyle name="Lien hypertexte" xfId="17578" builtinId="8" hidden="1"/>
    <cellStyle name="Lien hypertexte" xfId="21635" builtinId="8" hidden="1"/>
    <cellStyle name="Lien hypertexte" xfId="1092" builtinId="8" hidden="1"/>
    <cellStyle name="Lien hypertexte" xfId="15654" builtinId="8" hidden="1"/>
    <cellStyle name="Lien hypertexte" xfId="20143" builtinId="8" hidden="1"/>
    <cellStyle name="Lien hypertexte" xfId="18395" builtinId="8" hidden="1"/>
    <cellStyle name="Lien hypertexte" xfId="20769" builtinId="8" hidden="1"/>
    <cellStyle name="Lien hypertexte" xfId="21905" builtinId="8" hidden="1"/>
    <cellStyle name="Lien hypertexte" xfId="19297" builtinId="8" hidden="1"/>
    <cellStyle name="Lien hypertexte" xfId="24229" builtinId="8" hidden="1"/>
    <cellStyle name="Lien hypertexte" xfId="22495" builtinId="8" hidden="1"/>
    <cellStyle name="Lien hypertexte" xfId="17608" builtinId="8" hidden="1"/>
    <cellStyle name="Lien hypertexte" xfId="21663" builtinId="8" hidden="1"/>
    <cellStyle name="Lien hypertexte" xfId="1066" builtinId="8" hidden="1"/>
    <cellStyle name="Lien hypertexte" xfId="15682" builtinId="8" hidden="1"/>
    <cellStyle name="Lien hypertexte" xfId="20117" builtinId="8" hidden="1"/>
    <cellStyle name="Lien hypertexte" xfId="18365" builtinId="8" hidden="1"/>
    <cellStyle name="Lien hypertexte" xfId="21753" builtinId="8" hidden="1"/>
    <cellStyle name="Lien hypertexte" xfId="22113" builtinId="8" hidden="1"/>
    <cellStyle name="Lien hypertexte" xfId="19521" builtinId="8" hidden="1"/>
    <cellStyle name="Lien hypertexte" xfId="24259" builtinId="8" hidden="1"/>
    <cellStyle name="Lien hypertexte" xfId="22467" builtinId="8" hidden="1"/>
    <cellStyle name="Lien hypertexte" xfId="17636" builtinId="8" hidden="1"/>
    <cellStyle name="Lien hypertexte" xfId="21691" builtinId="8" hidden="1"/>
    <cellStyle name="Lien hypertexte" xfId="1038" builtinId="8" hidden="1"/>
    <cellStyle name="Lien hypertexte" xfId="15710" builtinId="8" hidden="1"/>
    <cellStyle name="Lien hypertexte" xfId="20089" builtinId="8" hidden="1"/>
    <cellStyle name="Lien hypertexte" xfId="18335" builtinId="8" hidden="1"/>
    <cellStyle name="Lien hypertexte" xfId="21783" builtinId="8" hidden="1"/>
    <cellStyle name="Lien hypertexte" xfId="22321" builtinId="8" hidden="1"/>
    <cellStyle name="Lien hypertexte" xfId="20497" builtinId="8" hidden="1"/>
    <cellStyle name="Lien hypertexte" xfId="24287" builtinId="8" hidden="1"/>
    <cellStyle name="Lien hypertexte" xfId="22437" builtinId="8" hidden="1"/>
    <cellStyle name="Lien hypertexte" xfId="17666" builtinId="8" hidden="1"/>
    <cellStyle name="Lien hypertexte" xfId="23981" builtinId="8" hidden="1"/>
    <cellStyle name="Lien hypertexte" xfId="19293" builtinId="8" hidden="1"/>
    <cellStyle name="Lien hypertexte" xfId="19067" builtinId="8" hidden="1"/>
    <cellStyle name="Lien hypertexte" xfId="23357" builtinId="8" hidden="1"/>
    <cellStyle name="Lien hypertexte" xfId="18292" builtinId="8" hidden="1"/>
    <cellStyle name="Lien hypertexte" xfId="21813" builtinId="8" hidden="1"/>
    <cellStyle name="Lien hypertexte" xfId="22513" builtinId="8" hidden="1"/>
    <cellStyle name="Lien hypertexte" xfId="20353" builtinId="8" hidden="1"/>
    <cellStyle name="Lien hypertexte" xfId="24315" builtinId="8" hidden="1"/>
    <cellStyle name="Lien hypertexte" xfId="22407" builtinId="8" hidden="1"/>
    <cellStyle name="Lien hypertexte" xfId="17696" builtinId="8" hidden="1"/>
    <cellStyle name="Lien hypertexte" xfId="21503" builtinId="8" hidden="1"/>
    <cellStyle name="Lien hypertexte" xfId="984" builtinId="8" hidden="1"/>
    <cellStyle name="Lien hypertexte" xfId="15766" builtinId="8" hidden="1"/>
    <cellStyle name="Lien hypertexte" xfId="20031" builtinId="8" hidden="1"/>
    <cellStyle name="Lien hypertexte" xfId="18262" builtinId="8" hidden="1"/>
    <cellStyle name="Lien hypertexte" xfId="21843" builtinId="8" hidden="1"/>
    <cellStyle name="Lien hypertexte" xfId="22721" builtinId="8" hidden="1"/>
    <cellStyle name="Lien hypertexte" xfId="20209" builtinId="8" hidden="1"/>
    <cellStyle name="Lien hypertexte" xfId="24345" builtinId="8" hidden="1"/>
    <cellStyle name="Lien hypertexte" xfId="22377" builtinId="8" hidden="1"/>
    <cellStyle name="Lien hypertexte" xfId="17724" builtinId="8" hidden="1"/>
    <cellStyle name="Lien hypertexte" xfId="20627" builtinId="8" hidden="1"/>
    <cellStyle name="Lien hypertexte" xfId="954" builtinId="8" hidden="1"/>
    <cellStyle name="Lien hypertexte" xfId="15796" builtinId="8" hidden="1"/>
    <cellStyle name="Lien hypertexte" xfId="20005" builtinId="8" hidden="1"/>
    <cellStyle name="Lien hypertexte" xfId="18232" builtinId="8" hidden="1"/>
    <cellStyle name="Lien hypertexte" xfId="21871" builtinId="8" hidden="1"/>
    <cellStyle name="Lien hypertexte" xfId="22929" builtinId="8" hidden="1"/>
    <cellStyle name="Lien hypertexte" xfId="20065" builtinId="8" hidden="1"/>
    <cellStyle name="Lien hypertexte" xfId="24375" builtinId="8" hidden="1"/>
    <cellStyle name="Lien hypertexte" xfId="22349" builtinId="8" hidden="1"/>
    <cellStyle name="Lien hypertexte" xfId="17754" builtinId="8" hidden="1"/>
    <cellStyle name="Lien hypertexte" xfId="19549" builtinId="8" hidden="1"/>
    <cellStyle name="Lien hypertexte" xfId="926" builtinId="8" hidden="1"/>
    <cellStyle name="Lien hypertexte" xfId="15824" builtinId="8" hidden="1"/>
    <cellStyle name="Lien hypertexte" xfId="19977" builtinId="8" hidden="1"/>
    <cellStyle name="Lien hypertexte" xfId="18202" builtinId="8" hidden="1"/>
    <cellStyle name="Lien hypertexte" xfId="21899" builtinId="8" hidden="1"/>
    <cellStyle name="Lien hypertexte" xfId="23137" builtinId="8" hidden="1"/>
    <cellStyle name="Lien hypertexte" xfId="19921" builtinId="8" hidden="1"/>
    <cellStyle name="Lien hypertexte" xfId="24405" builtinId="8" hidden="1"/>
    <cellStyle name="Lien hypertexte" xfId="22319" builtinId="8" hidden="1"/>
    <cellStyle name="Lien hypertexte" xfId="17784" builtinId="8" hidden="1"/>
    <cellStyle name="Lien hypertexte" xfId="19577" builtinId="8" hidden="1"/>
    <cellStyle name="Lien hypertexte" xfId="898" builtinId="8" hidden="1"/>
    <cellStyle name="Lien hypertexte" xfId="15852" builtinId="8" hidden="1"/>
    <cellStyle name="Lien hypertexte" xfId="19949" builtinId="8" hidden="1"/>
    <cellStyle name="Lien hypertexte" xfId="18174" builtinId="8" hidden="1"/>
    <cellStyle name="Lien hypertexte" xfId="21929" builtinId="8" hidden="1"/>
    <cellStyle name="Lien hypertexte" xfId="23345" builtinId="8" hidden="1"/>
    <cellStyle name="Lien hypertexte" xfId="19777" builtinId="8" hidden="1"/>
    <cellStyle name="Lien hypertexte" xfId="24435" builtinId="8" hidden="1"/>
    <cellStyle name="Lien hypertexte" xfId="22291" builtinId="8" hidden="1"/>
    <cellStyle name="Lien hypertexte" xfId="17814" builtinId="8" hidden="1"/>
    <cellStyle name="Lien hypertexte" xfId="19607" builtinId="8" hidden="1"/>
    <cellStyle name="Lien hypertexte" xfId="872" builtinId="8" hidden="1"/>
    <cellStyle name="Lien hypertexte" xfId="15880" builtinId="8" hidden="1"/>
    <cellStyle name="Lien hypertexte" xfId="19923" builtinId="8" hidden="1"/>
    <cellStyle name="Lien hypertexte" xfId="18144" builtinId="8" hidden="1"/>
    <cellStyle name="Lien hypertexte" xfId="21959" builtinId="8" hidden="1"/>
    <cellStyle name="Lien hypertexte" xfId="23537" builtinId="8" hidden="1"/>
    <cellStyle name="Lien hypertexte" xfId="19889" builtinId="8" hidden="1"/>
    <cellStyle name="Lien hypertexte" xfId="24461" builtinId="8" hidden="1"/>
    <cellStyle name="Lien hypertexte" xfId="22261" builtinId="8" hidden="1"/>
    <cellStyle name="Lien hypertexte" xfId="17842" builtinId="8" hidden="1"/>
    <cellStyle name="Lien hypertexte" xfId="19635" builtinId="8" hidden="1"/>
    <cellStyle name="Lien hypertexte" xfId="844" builtinId="8" hidden="1"/>
    <cellStyle name="Lien hypertexte" xfId="15908" builtinId="8" hidden="1"/>
    <cellStyle name="Lien hypertexte" xfId="19893" builtinId="8" hidden="1"/>
    <cellStyle name="Lien hypertexte" xfId="18114" builtinId="8" hidden="1"/>
    <cellStyle name="Lien hypertexte" xfId="21989" builtinId="8" hidden="1"/>
    <cellStyle name="Lien hypertexte" xfId="23745" builtinId="8" hidden="1"/>
    <cellStyle name="Lien hypertexte" xfId="20321" builtinId="8" hidden="1"/>
    <cellStyle name="Lien hypertexte" xfId="24491" builtinId="8" hidden="1"/>
    <cellStyle name="Lien hypertexte" xfId="22231" builtinId="8" hidden="1"/>
    <cellStyle name="Lien hypertexte" xfId="17870" builtinId="8" hidden="1"/>
    <cellStyle name="Lien hypertexte" xfId="19661" builtinId="8" hidden="1"/>
    <cellStyle name="Lien hypertexte" xfId="814" builtinId="8" hidden="1"/>
    <cellStyle name="Lien hypertexte" xfId="15856" builtinId="8" hidden="1"/>
    <cellStyle name="Lien hypertexte" xfId="19865" builtinId="8" hidden="1"/>
    <cellStyle name="Lien hypertexte" xfId="18086" builtinId="8" hidden="1"/>
    <cellStyle name="Lien hypertexte" xfId="22019" builtinId="8" hidden="1"/>
    <cellStyle name="Lien hypertexte" xfId="23953" builtinId="8" hidden="1"/>
    <cellStyle name="Lien hypertexte" xfId="20689" builtinId="8" hidden="1"/>
    <cellStyle name="Lien hypertexte" xfId="24521" builtinId="8" hidden="1"/>
    <cellStyle name="Lien hypertexte" xfId="22203" builtinId="8" hidden="1"/>
    <cellStyle name="Lien hypertexte" xfId="17900" builtinId="8" hidden="1"/>
    <cellStyle name="Lien hypertexte" xfId="19689" builtinId="8" hidden="1"/>
    <cellStyle name="Lien hypertexte" xfId="14834" builtinId="8" hidden="1"/>
    <cellStyle name="Lien hypertexte" xfId="14908" builtinId="8" hidden="1"/>
    <cellStyle name="Lien hypertexte" xfId="19837" builtinId="8" hidden="1"/>
    <cellStyle name="Lien hypertexte" xfId="18056" builtinId="8" hidden="1"/>
    <cellStyle name="Lien hypertexte" xfId="22045" builtinId="8" hidden="1"/>
    <cellStyle name="Lien hypertexte" xfId="24161" builtinId="8" hidden="1"/>
    <cellStyle name="Lien hypertexte" xfId="20577" builtinId="8" hidden="1"/>
    <cellStyle name="Lien hypertexte" xfId="24551" builtinId="8" hidden="1"/>
    <cellStyle name="Lien hypertexte" xfId="22173" builtinId="8" hidden="1"/>
    <cellStyle name="Lien hypertexte" xfId="17928" builtinId="8" hidden="1"/>
    <cellStyle name="Lien hypertexte" xfId="19717" builtinId="8" hidden="1"/>
    <cellStyle name="Lien hypertexte" xfId="760" builtinId="8" hidden="1"/>
    <cellStyle name="Lien hypertexte" xfId="666" builtinId="8" hidden="1"/>
    <cellStyle name="Lien hypertexte" xfId="19811" builtinId="8" hidden="1"/>
    <cellStyle name="Lien hypertexte" xfId="18026" builtinId="8" hidden="1"/>
    <cellStyle name="Lien hypertexte" xfId="22075" builtinId="8" hidden="1"/>
    <cellStyle name="Lien hypertexte" xfId="24369" builtinId="8" hidden="1"/>
    <cellStyle name="Lien hypertexte" xfId="20833" builtinId="8" hidden="1"/>
    <cellStyle name="Lien hypertexte" xfId="24581" builtinId="8" hidden="1"/>
    <cellStyle name="Lien hypertexte" xfId="22143" builtinId="8" hidden="1"/>
    <cellStyle name="Lien hypertexte" xfId="17958" builtinId="8" hidden="1"/>
    <cellStyle name="Lien hypertexte" xfId="19743" builtinId="8" hidden="1"/>
    <cellStyle name="Lien hypertexte" xfId="732" builtinId="8" hidden="1"/>
    <cellStyle name="Lien hypertexte" xfId="694" builtinId="8" hidden="1"/>
    <cellStyle name="Lien hypertexte" xfId="19783" builtinId="8" hidden="1"/>
    <cellStyle name="Lien hypertexte" xfId="17996" builtinId="8" hidden="1"/>
    <cellStyle name="Lien hypertexte" xfId="22105" builtinId="8" hidden="1"/>
    <cellStyle name="Lien hypertexte" xfId="24561" builtinId="8" hidden="1"/>
    <cellStyle name="Lien hypertexte" xfId="20913" builtinId="8" hidden="1"/>
    <cellStyle name="Lien hypertexte" xfId="24607" builtinId="8" hidden="1"/>
    <cellStyle name="Lien hypertexte" xfId="22115" builtinId="8" hidden="1"/>
    <cellStyle name="Lien hypertexte" xfId="17988" builtinId="8" hidden="1"/>
    <cellStyle name="Lien hypertexte" xfId="19773" builtinId="8" hidden="1"/>
    <cellStyle name="Lien hypertexte" xfId="702" builtinId="8" hidden="1"/>
    <cellStyle name="Lien hypertexte" xfId="724" builtinId="8" hidden="1"/>
    <cellStyle name="Lien hypertexte" xfId="19755" builtinId="8" hidden="1"/>
    <cellStyle name="Lien hypertexte" xfId="17970" builtinId="8" hidden="1"/>
    <cellStyle name="Lien hypertexte" xfId="22135" builtinId="8" hidden="1"/>
    <cellStyle name="Lien hypertexte" xfId="24589" builtinId="8" hidden="1"/>
    <cellStyle name="Lien hypertexte" xfId="20801" builtinId="8" hidden="1"/>
    <cellStyle name="Lien hypertexte" xfId="24433" builtinId="8" hidden="1"/>
    <cellStyle name="Lien hypertexte" xfId="22085" builtinId="8" hidden="1"/>
    <cellStyle name="Lien hypertexte" xfId="18018" builtinId="8" hidden="1"/>
    <cellStyle name="Lien hypertexte" xfId="19801" builtinId="8" hidden="1"/>
    <cellStyle name="Lien hypertexte" xfId="676" builtinId="8" hidden="1"/>
    <cellStyle name="Lien hypertexte" xfId="750" builtinId="8" hidden="1"/>
    <cellStyle name="Lien hypertexte" xfId="19725" builtinId="8" hidden="1"/>
    <cellStyle name="Lien hypertexte" xfId="17940" builtinId="8" hidden="1"/>
    <cellStyle name="Lien hypertexte" xfId="22165" builtinId="8" hidden="1"/>
    <cellStyle name="Lien hypertexte" xfId="24559" builtinId="8" hidden="1"/>
    <cellStyle name="Lien hypertexte" xfId="20545" builtinId="8" hidden="1"/>
    <cellStyle name="Lien hypertexte" xfId="24225" builtinId="8" hidden="1"/>
    <cellStyle name="Lien hypertexte" xfId="22057" builtinId="8" hidden="1"/>
    <cellStyle name="Lien hypertexte" xfId="18046" builtinId="8" hidden="1"/>
    <cellStyle name="Lien hypertexte" xfId="19829" builtinId="8" hidden="1"/>
    <cellStyle name="Lien hypertexte" xfId="14704" builtinId="8" hidden="1"/>
    <cellStyle name="Lien hypertexte" xfId="778" builtinId="8" hidden="1"/>
    <cellStyle name="Lien hypertexte" xfId="19699" builtinId="8" hidden="1"/>
    <cellStyle name="Lien hypertexte" xfId="17910" builtinId="8" hidden="1"/>
    <cellStyle name="Lien hypertexte" xfId="22191" builtinId="8" hidden="1"/>
    <cellStyle name="Lien hypertexte" xfId="24531" builtinId="8" hidden="1"/>
    <cellStyle name="Lien hypertexte" xfId="20657" builtinId="8" hidden="1"/>
    <cellStyle name="Lien hypertexte" xfId="24017" builtinId="8" hidden="1"/>
    <cellStyle name="Lien hypertexte" xfId="22027" builtinId="8" hidden="1"/>
    <cellStyle name="Lien hypertexte" xfId="18076" builtinId="8" hidden="1"/>
    <cellStyle name="Lien hypertexte" xfId="19855" builtinId="8" hidden="1"/>
    <cellStyle name="Lien hypertexte" xfId="15600" builtinId="8" hidden="1"/>
    <cellStyle name="Lien hypertexte" xfId="806" builtinId="8" hidden="1"/>
    <cellStyle name="Lien hypertexte" xfId="19671" builtinId="8" hidden="1"/>
    <cellStyle name="Lien hypertexte" xfId="17882" builtinId="8" hidden="1"/>
    <cellStyle name="Lien hypertexte" xfId="22221" builtinId="8" hidden="1"/>
    <cellStyle name="Lien hypertexte" xfId="24501" builtinId="8" hidden="1"/>
    <cellStyle name="Lien hypertexte" xfId="20465" builtinId="8" hidden="1"/>
    <cellStyle name="Lien hypertexte" xfId="23809" builtinId="8" hidden="1"/>
    <cellStyle name="Lien hypertexte" xfId="21997" builtinId="8" hidden="1"/>
    <cellStyle name="Lien hypertexte" xfId="18106" builtinId="8" hidden="1"/>
    <cellStyle name="Lien hypertexte" xfId="19883" builtinId="8" hidden="1"/>
    <cellStyle name="Lien hypertexte" xfId="15918" builtinId="8" hidden="1"/>
    <cellStyle name="Lien hypertexte" xfId="832" builtinId="8" hidden="1"/>
    <cellStyle name="Lien hypertexte" xfId="19643" builtinId="8" hidden="1"/>
    <cellStyle name="Lien hypertexte" xfId="17852" builtinId="8" hidden="1"/>
    <cellStyle name="Lien hypertexte" xfId="22251" builtinId="8" hidden="1"/>
    <cellStyle name="Lien hypertexte" xfId="24473" builtinId="8" hidden="1"/>
    <cellStyle name="Lien hypertexte" xfId="20033" builtinId="8" hidden="1"/>
    <cellStyle name="Lien hypertexte" xfId="23617" builtinId="8" hidden="1"/>
    <cellStyle name="Lien hypertexte" xfId="21967" builtinId="8" hidden="1"/>
    <cellStyle name="Lien hypertexte" xfId="18134" builtinId="8" hidden="1"/>
    <cellStyle name="Lien hypertexte" xfId="19913" builtinId="8" hidden="1"/>
    <cellStyle name="Lien hypertexte" xfId="24457" builtinId="8" hidden="1"/>
    <cellStyle name="Lien hypertexte" xfId="24539" builtinId="8" hidden="1"/>
    <cellStyle name="Lien hypertexte" xfId="19615" builtinId="8" hidden="1"/>
    <cellStyle name="Lien hypertexte" xfId="17822" builtinId="8" hidden="1"/>
    <cellStyle name="Lien hypertexte" xfId="22281" builtinId="8" hidden="1"/>
    <cellStyle name="Lien hypertexte" xfId="24443" builtinId="8" hidden="1"/>
    <cellStyle name="Lien hypertexte" xfId="19697" builtinId="8" hidden="1"/>
    <cellStyle name="Lien hypertexte" xfId="23409" builtinId="8" hidden="1"/>
    <cellStyle name="Lien hypertexte" xfId="21939" builtinId="8" hidden="1"/>
    <cellStyle name="Lien hypertexte" xfId="18164" builtinId="8" hidden="1"/>
    <cellStyle name="Lien hypertexte" xfId="19941" builtinId="8" hidden="1"/>
    <cellStyle name="Lien hypertexte" xfId="15862" builtinId="8" hidden="1"/>
    <cellStyle name="Lien hypertexte" xfId="890" builtinId="8" hidden="1"/>
    <cellStyle name="Lien hypertexte" xfId="19587" builtinId="8" hidden="1"/>
    <cellStyle name="Lien hypertexte" xfId="17792" builtinId="8" hidden="1"/>
    <cellStyle name="Lien hypertexte" xfId="22311" builtinId="8" hidden="1"/>
    <cellStyle name="Lien hypertexte" xfId="24413" builtinId="8" hidden="1"/>
    <cellStyle name="Lien hypertexte" xfId="19841" builtinId="8" hidden="1"/>
    <cellStyle name="Lien hypertexte" xfId="23201" builtinId="8" hidden="1"/>
    <cellStyle name="Lien hypertexte" xfId="21911" builtinId="8" hidden="1"/>
    <cellStyle name="Lien hypertexte" xfId="18194" builtinId="8" hidden="1"/>
    <cellStyle name="Lien hypertexte" xfId="19967" builtinId="8" hidden="1"/>
    <cellStyle name="Lien hypertexte" xfId="15832" builtinId="8" hidden="1"/>
    <cellStyle name="Lien hypertexte" xfId="918" builtinId="8" hidden="1"/>
    <cellStyle name="Lien hypertexte" xfId="19559" builtinId="8" hidden="1"/>
    <cellStyle name="Lien hypertexte" xfId="17764" builtinId="8" hidden="1"/>
    <cellStyle name="Lien hypertexte" xfId="22339" builtinId="8" hidden="1"/>
    <cellStyle name="Lien hypertexte" xfId="24383" builtinId="8" hidden="1"/>
    <cellStyle name="Lien hypertexte" xfId="19985" builtinId="8" hidden="1"/>
    <cellStyle name="Lien hypertexte" xfId="22993" builtinId="8" hidden="1"/>
    <cellStyle name="Lien hypertexte" xfId="21881" builtinId="8" hidden="1"/>
    <cellStyle name="Lien hypertexte" xfId="18222" builtinId="8" hidden="1"/>
    <cellStyle name="Lien hypertexte" xfId="19995" builtinId="8" hidden="1"/>
    <cellStyle name="Lien hypertexte" xfId="15806" builtinId="8" hidden="1"/>
    <cellStyle name="Lien hypertexte" xfId="944" builtinId="8" hidden="1"/>
    <cellStyle name="Lien hypertexte" xfId="20333" builtinId="8" hidden="1"/>
    <cellStyle name="Lien hypertexte" xfId="17734" builtinId="8" hidden="1"/>
    <cellStyle name="Lien hypertexte" xfId="22367" builtinId="8" hidden="1"/>
    <cellStyle name="Lien hypertexte" xfId="24355" builtinId="8" hidden="1"/>
    <cellStyle name="Lien hypertexte" xfId="20145" builtinId="8" hidden="1"/>
    <cellStyle name="Lien hypertexte" xfId="22785" builtinId="8" hidden="1"/>
    <cellStyle name="Lien hypertexte" xfId="21851" builtinId="8" hidden="1"/>
    <cellStyle name="Lien hypertexte" xfId="18250" builtinId="8" hidden="1"/>
    <cellStyle name="Lien hypertexte" xfId="20023" builtinId="8" hidden="1"/>
    <cellStyle name="Lien hypertexte" xfId="15776" builtinId="8" hidden="1"/>
    <cellStyle name="Lien hypertexte" xfId="974" builtinId="8" hidden="1"/>
    <cellStyle name="Lien hypertexte" xfId="21211" builtinId="8" hidden="1"/>
    <cellStyle name="Lien hypertexte" xfId="17704" builtinId="8" hidden="1"/>
    <cellStyle name="Lien hypertexte" xfId="22397" builtinId="8" hidden="1"/>
    <cellStyle name="Lien hypertexte" xfId="24327" builtinId="8" hidden="1"/>
    <cellStyle name="Lien hypertexte" xfId="20289" builtinId="8" hidden="1"/>
    <cellStyle name="Lien hypertexte" xfId="22593" builtinId="8" hidden="1"/>
    <cellStyle name="Lien hypertexte" xfId="21821" builtinId="8" hidden="1"/>
    <cellStyle name="Lien hypertexte" xfId="18280" builtinId="8" hidden="1"/>
    <cellStyle name="Lien hypertexte" xfId="20053" builtinId="8" hidden="1"/>
    <cellStyle name="Lien hypertexte" xfId="15748" builtinId="8" hidden="1"/>
    <cellStyle name="Lien hypertexte" xfId="1002" builtinId="8" hidden="1"/>
    <cellStyle name="Lien hypertexte" xfId="21731" builtinId="8" hidden="1"/>
    <cellStyle name="Lien hypertexte" xfId="17676" builtinId="8" hidden="1"/>
    <cellStyle name="Lien hypertexte" xfId="22427" builtinId="8" hidden="1"/>
    <cellStyle name="Lien hypertexte" xfId="24297" builtinId="8" hidden="1"/>
    <cellStyle name="Lien hypertexte" xfId="20433" builtinId="8" hidden="1"/>
    <cellStyle name="Lien hypertexte" xfId="22385" builtinId="8" hidden="1"/>
    <cellStyle name="Lien hypertexte" xfId="21791" builtinId="8" hidden="1"/>
    <cellStyle name="Lien hypertexte" xfId="18327" builtinId="8" hidden="1"/>
    <cellStyle name="Lien hypertexte" xfId="20079" builtinId="8" hidden="1"/>
    <cellStyle name="Lien hypertexte" xfId="15720" builtinId="8" hidden="1"/>
    <cellStyle name="Lien hypertexte" xfId="1028" builtinId="8" hidden="1"/>
    <cellStyle name="Lien hypertexte" xfId="21701" builtinId="8" hidden="1"/>
    <cellStyle name="Lien hypertexte" xfId="17646" builtinId="8" hidden="1"/>
    <cellStyle name="Lien hypertexte" xfId="22457" builtinId="8" hidden="1"/>
    <cellStyle name="Lien hypertexte" xfId="24267" builtinId="8" hidden="1"/>
    <cellStyle name="Lien hypertexte" xfId="19585" builtinId="8" hidden="1"/>
    <cellStyle name="Lien hypertexte" xfId="22177" builtinId="8" hidden="1"/>
    <cellStyle name="Lien hypertexte" xfId="21765" builtinId="8" hidden="1"/>
    <cellStyle name="Lien hypertexte" xfId="18355" builtinId="8" hidden="1"/>
    <cellStyle name="Lien hypertexte" xfId="20107" builtinId="8" hidden="1"/>
    <cellStyle name="Lien hypertexte" xfId="15692" builtinId="8" hidden="1"/>
    <cellStyle name="Lien hypertexte" xfId="1056" builtinId="8" hidden="1"/>
    <cellStyle name="Lien hypertexte" xfId="21673" builtinId="8" hidden="1"/>
    <cellStyle name="Lien hypertexte" xfId="17618" builtinId="8" hidden="1"/>
    <cellStyle name="Lien hypertexte" xfId="22485" builtinId="8" hidden="1"/>
    <cellStyle name="Lien hypertexte" xfId="24237" builtinId="8" hidden="1"/>
    <cellStyle name="Lien hypertexte" xfId="19377" builtinId="8" hidden="1"/>
    <cellStyle name="Lien hypertexte" xfId="21969" builtinId="8" hidden="1"/>
    <cellStyle name="Lien hypertexte" xfId="21281" builtinId="8" hidden="1"/>
    <cellStyle name="Lien hypertexte" xfId="18385" builtinId="8" hidden="1"/>
    <cellStyle name="Lien hypertexte" xfId="20135" builtinId="8" hidden="1"/>
    <cellStyle name="Lien hypertexte" xfId="15134" builtinId="8" hidden="1"/>
    <cellStyle name="Lien hypertexte" xfId="1084" builtinId="8" hidden="1"/>
    <cellStyle name="Lien hypertexte" xfId="21643" builtinId="8" hidden="1"/>
    <cellStyle name="Lien hypertexte" xfId="17588" builtinId="8" hidden="1"/>
    <cellStyle name="Lien hypertexte" xfId="22515" builtinId="8" hidden="1"/>
    <cellStyle name="Lien hypertexte" xfId="24207" builtinId="8" hidden="1"/>
    <cellStyle name="Lien hypertexte" xfId="19153" builtinId="8" hidden="1"/>
    <cellStyle name="Lien hypertexte" xfId="21761" builtinId="8" hidden="1"/>
    <cellStyle name="Lien hypertexte" xfId="19745" builtinId="8" hidden="1"/>
    <cellStyle name="Lien hypertexte" xfId="18415" builtinId="8" hidden="1"/>
    <cellStyle name="Lien hypertexte" xfId="20163" builtinId="8" hidden="1"/>
    <cellStyle name="Lien hypertexte" xfId="15634" builtinId="8" hidden="1"/>
    <cellStyle name="Lien hypertexte" xfId="1114" builtinId="8" hidden="1"/>
    <cellStyle name="Lien hypertexte" xfId="21615" builtinId="8" hidden="1"/>
    <cellStyle name="Lien hypertexte" xfId="17560" builtinId="8" hidden="1"/>
    <cellStyle name="Lien hypertexte" xfId="22543" builtinId="8" hidden="1"/>
    <cellStyle name="Lien hypertexte" xfId="24181" builtinId="8" hidden="1"/>
    <cellStyle name="Lien hypertexte" xfId="18929" builtinId="8" hidden="1"/>
    <cellStyle name="Lien hypertexte" xfId="21569" builtinId="8" hidden="1"/>
    <cellStyle name="Lien hypertexte" xfId="16020" builtinId="8" hidden="1"/>
    <cellStyle name="Lien hypertexte" xfId="18445" builtinId="8" hidden="1"/>
    <cellStyle name="Lien hypertexte" xfId="20191" builtinId="8" hidden="1"/>
    <cellStyle name="Lien hypertexte" xfId="15608" builtinId="8" hidden="1"/>
    <cellStyle name="Lien hypertexte" xfId="1140" builtinId="8" hidden="1"/>
    <cellStyle name="Lien hypertexte" xfId="21589" builtinId="8" hidden="1"/>
    <cellStyle name="Lien hypertexte" xfId="17530" builtinId="8" hidden="1"/>
    <cellStyle name="Lien hypertexte" xfId="22573" builtinId="8" hidden="1"/>
    <cellStyle name="Lien hypertexte" xfId="24151" builtinId="8" hidden="1"/>
    <cellStyle name="Lien hypertexte" xfId="15954" builtinId="8" hidden="1"/>
    <cellStyle name="Lien hypertexte" xfId="24609" builtinId="8" hidden="1"/>
    <cellStyle name="Lien hypertexte" xfId="16224" builtinId="8" hidden="1"/>
    <cellStyle name="Lien hypertexte" xfId="18473" builtinId="8" hidden="1"/>
    <cellStyle name="Lien hypertexte" xfId="20219" builtinId="8" hidden="1"/>
    <cellStyle name="Lien hypertexte" xfId="15578" builtinId="8" hidden="1"/>
    <cellStyle name="Lien hypertexte" xfId="14522" builtinId="8" hidden="1"/>
    <cellStyle name="Lien hypertexte" xfId="21559" builtinId="8" hidden="1"/>
    <cellStyle name="Lien hypertexte" xfId="17500" builtinId="8" hidden="1"/>
    <cellStyle name="Lien hypertexte" xfId="22603" builtinId="8" hidden="1"/>
    <cellStyle name="Lien hypertexte" xfId="24121" builtinId="8" hidden="1"/>
    <cellStyle name="Lien hypertexte" xfId="15980" builtinId="8" hidden="1"/>
    <cellStyle name="Lien hypertexte" xfId="24173" builtinId="8" hidden="1"/>
    <cellStyle name="Lien hypertexte" xfId="16428" builtinId="8" hidden="1"/>
    <cellStyle name="Lien hypertexte" xfId="18503" builtinId="8" hidden="1"/>
    <cellStyle name="Lien hypertexte" xfId="20187" builtinId="8" hidden="1"/>
    <cellStyle name="Lien hypertexte" xfId="15550" builtinId="8" hidden="1"/>
    <cellStyle name="Lien hypertexte" xfId="14550" builtinId="8" hidden="1"/>
    <cellStyle name="Lien hypertexte" xfId="21531" builtinId="8" hidden="1"/>
    <cellStyle name="Lien hypertexte" xfId="17472" builtinId="8" hidden="1"/>
    <cellStyle name="Lien hypertexte" xfId="22631" builtinId="8" hidden="1"/>
    <cellStyle name="Lien hypertexte" xfId="24091" builtinId="8" hidden="1"/>
    <cellStyle name="Lien hypertexte" xfId="16010" builtinId="8" hidden="1"/>
    <cellStyle name="Lien hypertexte" xfId="23735" builtinId="8" hidden="1"/>
    <cellStyle name="Lien hypertexte" xfId="16634" builtinId="8" hidden="1"/>
    <cellStyle name="Lien hypertexte" xfId="18533" builtinId="8" hidden="1"/>
    <cellStyle name="Lien hypertexte" xfId="19205" builtinId="8" hidden="1"/>
    <cellStyle name="Lien hypertexte" xfId="15522" builtinId="8" hidden="1"/>
    <cellStyle name="Lien hypertexte" xfId="14578" builtinId="8" hidden="1"/>
    <cellStyle name="Lien hypertexte" xfId="21501" builtinId="8" hidden="1"/>
    <cellStyle name="Lien hypertexte" xfId="17442" builtinId="8" hidden="1"/>
    <cellStyle name="Lien hypertexte" xfId="22661" builtinId="8" hidden="1"/>
    <cellStyle name="Lien hypertexte" xfId="24061" builtinId="8" hidden="1"/>
    <cellStyle name="Lien hypertexte" xfId="16040" builtinId="8" hidden="1"/>
    <cellStyle name="Lien hypertexte" xfId="23295" builtinId="8" hidden="1"/>
    <cellStyle name="Lien hypertexte" xfId="16838" builtinId="8" hidden="1"/>
    <cellStyle name="Lien hypertexte" xfId="18559" builtinId="8" hidden="1"/>
    <cellStyle name="Lien hypertexte" xfId="19231" builtinId="8" hidden="1"/>
    <cellStyle name="Lien hypertexte" xfId="15494" builtinId="8" hidden="1"/>
    <cellStyle name="Lien hypertexte" xfId="14606" builtinId="8" hidden="1"/>
    <cellStyle name="Lien hypertexte" xfId="21475" builtinId="8" hidden="1"/>
    <cellStyle name="Lien hypertexte" xfId="17412" builtinId="8" hidden="1"/>
    <cellStyle name="Lien hypertexte" xfId="22691" builtinId="8" hidden="1"/>
    <cellStyle name="Lien hypertexte" xfId="24035" builtinId="8" hidden="1"/>
    <cellStyle name="Lien hypertexte" xfId="16068" builtinId="8" hidden="1"/>
    <cellStyle name="Lien hypertexte" xfId="22857" builtinId="8" hidden="1"/>
    <cellStyle name="Lien hypertexte" xfId="17044" builtinId="8" hidden="1"/>
    <cellStyle name="Lien hypertexte" xfId="18589" builtinId="8" hidden="1"/>
    <cellStyle name="Lien hypertexte" xfId="19259" builtinId="8" hidden="1"/>
    <cellStyle name="Lien hypertexte" xfId="15464" builtinId="8" hidden="1"/>
    <cellStyle name="Lien hypertexte" xfId="838" builtinId="8" hidden="1"/>
    <cellStyle name="Lien hypertexte" xfId="21447" builtinId="8" hidden="1"/>
    <cellStyle name="Lien hypertexte" xfId="17382" builtinId="8" hidden="1"/>
    <cellStyle name="Lien hypertexte" xfId="22719" builtinId="8" hidden="1"/>
    <cellStyle name="Lien hypertexte" xfId="24005" builtinId="8" hidden="1"/>
    <cellStyle name="Lien hypertexte" xfId="16098" builtinId="8" hidden="1"/>
    <cellStyle name="Lien hypertexte" xfId="22419" builtinId="8" hidden="1"/>
    <cellStyle name="Lien hypertexte" xfId="172" builtinId="8" hidden="1"/>
    <cellStyle name="Lien hypertexte" xfId="19301" builtinId="8" hidden="1"/>
    <cellStyle name="Lien hypertexte" xfId="17370" builtinId="8" hidden="1"/>
    <cellStyle name="Lien hypertexte" xfId="15430" builtinId="8" hidden="1"/>
    <cellStyle name="Lien hypertexte" xfId="18619" builtinId="8" hidden="1"/>
    <cellStyle name="Lien hypertexte" xfId="15444" builtinId="8" hidden="1"/>
    <cellStyle name="Lien hypertexte" xfId="19779" builtinId="8" hidden="1"/>
    <cellStyle name="Lien hypertexte" xfId="378" builtinId="8" hidden="1"/>
    <cellStyle name="Lien hypertexte" xfId="23975" builtinId="8" hidden="1"/>
    <cellStyle name="Lien hypertexte" xfId="16128" builtinId="8" hidden="1"/>
    <cellStyle name="Lien hypertexte" xfId="21979" builtinId="8" hidden="1"/>
    <cellStyle name="Lien hypertexte" xfId="17452" builtinId="8" hidden="1"/>
    <cellStyle name="Lien hypertexte" xfId="18649" builtinId="8" hidden="1"/>
    <cellStyle name="Lien hypertexte" xfId="19317" builtinId="8" hidden="1"/>
    <cellStyle name="Lien hypertexte" xfId="15410" builtinId="8" hidden="1"/>
    <cellStyle name="Lien hypertexte" xfId="398" builtinId="8" hidden="1"/>
    <cellStyle name="Lien hypertexte" xfId="21389" builtinId="8" hidden="1"/>
    <cellStyle name="Lien hypertexte" xfId="17324" builtinId="8" hidden="1"/>
    <cellStyle name="Lien hypertexte" xfId="22777" builtinId="8" hidden="1"/>
    <cellStyle name="Lien hypertexte" xfId="23945" builtinId="8" hidden="1"/>
    <cellStyle name="Lien hypertexte" xfId="16158" builtinId="8" hidden="1"/>
    <cellStyle name="Lien hypertexte" xfId="20259" builtinId="8" hidden="1"/>
    <cellStyle name="Lien hypertexte" xfId="17658" builtinId="8" hidden="1"/>
    <cellStyle name="Lien hypertexte" xfId="18677" builtinId="8" hidden="1"/>
    <cellStyle name="Lien hypertexte" xfId="19343" builtinId="8" hidden="1"/>
    <cellStyle name="Lien hypertexte" xfId="15380" builtinId="8" hidden="1"/>
    <cellStyle name="Lien hypertexte" xfId="426" builtinId="8" hidden="1"/>
    <cellStyle name="Lien hypertexte" xfId="21363" builtinId="8" hidden="1"/>
    <cellStyle name="Lien hypertexte" xfId="17294" builtinId="8" hidden="1"/>
    <cellStyle name="Lien hypertexte" xfId="22807" builtinId="8" hidden="1"/>
    <cellStyle name="Lien hypertexte" xfId="23915" builtinId="8" hidden="1"/>
    <cellStyle name="Lien hypertexte" xfId="16186" builtinId="8" hidden="1"/>
    <cellStyle name="Lien hypertexte" xfId="20287" builtinId="8" hidden="1"/>
    <cellStyle name="Lien hypertexte" xfId="17862" builtinId="8" hidden="1"/>
    <cellStyle name="Lien hypertexte" xfId="18707" builtinId="8" hidden="1"/>
    <cellStyle name="Lien hypertexte" xfId="19371" builtinId="8" hidden="1"/>
    <cellStyle name="Lien hypertexte" xfId="15352" builtinId="8" hidden="1"/>
    <cellStyle name="Lien hypertexte" xfId="456" builtinId="8" hidden="1"/>
    <cellStyle name="Lien hypertexte" xfId="21333" builtinId="8" hidden="1"/>
    <cellStyle name="Lien hypertexte" xfId="17268" builtinId="8" hidden="1"/>
    <cellStyle name="Lien hypertexte" xfId="22837" builtinId="8" hidden="1"/>
    <cellStyle name="Lien hypertexte" xfId="23887" builtinId="8" hidden="1"/>
    <cellStyle name="Lien hypertexte" xfId="16216" builtinId="8" hidden="1"/>
    <cellStyle name="Lien hypertexte" xfId="20315" builtinId="8" hidden="1"/>
    <cellStyle name="Lien hypertexte" xfId="18068" builtinId="8" hidden="1"/>
    <cellStyle name="Lien hypertexte" xfId="18737" builtinId="8" hidden="1"/>
    <cellStyle name="Lien hypertexte" xfId="19399" builtinId="8" hidden="1"/>
    <cellStyle name="Lien hypertexte" xfId="15324" builtinId="8" hidden="1"/>
    <cellStyle name="Lien hypertexte" xfId="482" builtinId="8" hidden="1"/>
    <cellStyle name="Lien hypertexte" xfId="21305" builtinId="8" hidden="1"/>
    <cellStyle name="Lien hypertexte" xfId="17238" builtinId="8" hidden="1"/>
    <cellStyle name="Lien hypertexte" xfId="22867" builtinId="8" hidden="1"/>
    <cellStyle name="Lien hypertexte" xfId="23859" builtinId="8" hidden="1"/>
    <cellStyle name="Lien hypertexte" xfId="16246" builtinId="8" hidden="1"/>
    <cellStyle name="Lien hypertexte" xfId="20345" builtinId="8" hidden="1"/>
    <cellStyle name="Lien hypertexte" xfId="18272" builtinId="8" hidden="1"/>
    <cellStyle name="Lien hypertexte" xfId="18765" builtinId="8" hidden="1"/>
    <cellStyle name="Lien hypertexte" xfId="19427" builtinId="8" hidden="1"/>
    <cellStyle name="Lien hypertexte" xfId="15296" builtinId="8" hidden="1"/>
    <cellStyle name="Lien hypertexte" xfId="510" builtinId="8" hidden="1"/>
    <cellStyle name="Lien hypertexte" xfId="21275" builtinId="8" hidden="1"/>
    <cellStyle name="Lien hypertexte" xfId="17208" builtinId="8" hidden="1"/>
    <cellStyle name="Lien hypertexte" xfId="22895" builtinId="8" hidden="1"/>
    <cellStyle name="Lien hypertexte" xfId="23829" builtinId="8" hidden="1"/>
    <cellStyle name="Lien hypertexte" xfId="16274" builtinId="8" hidden="1"/>
    <cellStyle name="Lien hypertexte" xfId="20373" builtinId="8" hidden="1"/>
    <cellStyle name="Lien hypertexte" xfId="18493" builtinId="8" hidden="1"/>
    <cellStyle name="Lien hypertexte" xfId="18795" builtinId="8" hidden="1"/>
    <cellStyle name="Lien hypertexte" xfId="19453" builtinId="8" hidden="1"/>
    <cellStyle name="Lien hypertexte" xfId="15266" builtinId="8" hidden="1"/>
    <cellStyle name="Lien hypertexte" xfId="538" builtinId="8" hidden="1"/>
    <cellStyle name="Lien hypertexte" xfId="21247" builtinId="8" hidden="1"/>
    <cellStyle name="Lien hypertexte" xfId="17178" builtinId="8" hidden="1"/>
    <cellStyle name="Lien hypertexte" xfId="22923" builtinId="8" hidden="1"/>
    <cellStyle name="Lien hypertexte" xfId="23799" builtinId="8" hidden="1"/>
    <cellStyle name="Lien hypertexte" xfId="16302" builtinId="8" hidden="1"/>
    <cellStyle name="Lien hypertexte" xfId="20399" builtinId="8" hidden="1"/>
    <cellStyle name="Lien hypertexte" xfId="18699" builtinId="8" hidden="1"/>
    <cellStyle name="Lien hypertexte" xfId="18825" builtinId="8" hidden="1"/>
    <cellStyle name="Lien hypertexte" xfId="19481" builtinId="8" hidden="1"/>
    <cellStyle name="Lien hypertexte" xfId="15238" builtinId="8" hidden="1"/>
    <cellStyle name="Lien hypertexte" xfId="566" builtinId="8" hidden="1"/>
    <cellStyle name="Lien hypertexte" xfId="21221" builtinId="8" hidden="1"/>
    <cellStyle name="Lien hypertexte" xfId="17150" builtinId="8" hidden="1"/>
    <cellStyle name="Lien hypertexte" xfId="22953" builtinId="8" hidden="1"/>
    <cellStyle name="Lien hypertexte" xfId="23769" builtinId="8" hidden="1"/>
    <cellStyle name="Lien hypertexte" xfId="16332" builtinId="8" hidden="1"/>
    <cellStyle name="Lien hypertexte" xfId="20429" builtinId="8" hidden="1"/>
    <cellStyle name="Lien hypertexte" xfId="17968" builtinId="8" hidden="1"/>
    <cellStyle name="Lien hypertexte" xfId="18721" builtinId="8" hidden="1"/>
    <cellStyle name="Lien hypertexte" xfId="19509" builtinId="8" hidden="1"/>
    <cellStyle name="Lien hypertexte" xfId="15436" builtinId="8" hidden="1"/>
    <cellStyle name="Lien hypertexte" xfId="592" builtinId="8" hidden="1"/>
    <cellStyle name="Lien hypertexte" xfId="21191" builtinId="8" hidden="1"/>
    <cellStyle name="Lien hypertexte" xfId="17120" builtinId="8" hidden="1"/>
    <cellStyle name="Lien hypertexte" xfId="22983" builtinId="8" hidden="1"/>
    <cellStyle name="Lien hypertexte" xfId="23741" builtinId="8" hidden="1"/>
    <cellStyle name="Lien hypertexte" xfId="16362" builtinId="8" hidden="1"/>
    <cellStyle name="Lien hypertexte" xfId="20457" builtinId="8" hidden="1"/>
    <cellStyle name="Lien hypertexte" xfId="14694" builtinId="8" hidden="1"/>
    <cellStyle name="Lien hypertexte" xfId="18288" builtinId="8" hidden="1"/>
    <cellStyle name="Lien hypertexte" xfId="19309" builtinId="8" hidden="1"/>
    <cellStyle name="Lien hypertexte" xfId="15182" builtinId="8" hidden="1"/>
    <cellStyle name="Lien hypertexte" xfId="620" builtinId="8" hidden="1"/>
    <cellStyle name="Lien hypertexte" xfId="21163" builtinId="8" hidden="1"/>
    <cellStyle name="Lien hypertexte" xfId="17090" builtinId="8" hidden="1"/>
    <cellStyle name="Lien hypertexte" xfId="23013" builtinId="8" hidden="1"/>
    <cellStyle name="Lien hypertexte" xfId="23711" builtinId="8" hidden="1"/>
    <cellStyle name="Lien hypertexte" xfId="16390" builtinId="8" hidden="1"/>
    <cellStyle name="Lien hypertexte" xfId="20487" builtinId="8" hidden="1"/>
    <cellStyle name="Lien hypertexte" xfId="14892" builtinId="8" hidden="1"/>
    <cellStyle name="Lien hypertexte" xfId="17840" builtinId="8" hidden="1"/>
    <cellStyle name="Lien hypertexte" xfId="19043" builtinId="8" hidden="1"/>
    <cellStyle name="Lien hypertexte" xfId="15154" builtinId="8" hidden="1"/>
    <cellStyle name="Lien hypertexte" xfId="648" builtinId="8" hidden="1"/>
    <cellStyle name="Lien hypertexte" xfId="21133" builtinId="8" hidden="1"/>
    <cellStyle name="Lien hypertexte" xfId="17062" builtinId="8" hidden="1"/>
    <cellStyle name="Lien hypertexte" xfId="23043" builtinId="8" hidden="1"/>
    <cellStyle name="Lien hypertexte" xfId="23683" builtinId="8" hidden="1"/>
    <cellStyle name="Lien hypertexte" xfId="16420" builtinId="8" hidden="1"/>
    <cellStyle name="Lien hypertexte" xfId="20515" builtinId="8" hidden="1"/>
    <cellStyle name="Lien hypertexte" xfId="15092" builtinId="8" hidden="1"/>
    <cellStyle name="Lien hypertexte" xfId="17392" builtinId="8" hidden="1"/>
    <cellStyle name="Lien hypertexte" xfId="19069" builtinId="8" hidden="1"/>
    <cellStyle name="Lien hypertexte" xfId="15126" builtinId="8" hidden="1"/>
    <cellStyle name="Lien hypertexte" xfId="218" builtinId="8" hidden="1"/>
    <cellStyle name="Lien hypertexte" xfId="21107" builtinId="8" hidden="1"/>
    <cellStyle name="Lien hypertexte" xfId="17032" builtinId="8" hidden="1"/>
    <cellStyle name="Lien hypertexte" xfId="23069" builtinId="8" hidden="1"/>
    <cellStyle name="Lien hypertexte" xfId="23653" builtinId="8" hidden="1"/>
    <cellStyle name="Lien hypertexte" xfId="16450" builtinId="8" hidden="1"/>
    <cellStyle name="Lien hypertexte" xfId="20541" builtinId="8" hidden="1"/>
    <cellStyle name="Lien hypertexte" xfId="15290" builtinId="8" hidden="1"/>
    <cellStyle name="Lien hypertexte" xfId="16976" builtinId="8" hidden="1"/>
    <cellStyle name="Lien hypertexte" xfId="19097" builtinId="8" hidden="1"/>
    <cellStyle name="Lien hypertexte" xfId="15098" builtinId="8" hidden="1"/>
    <cellStyle name="Lien hypertexte" xfId="246" builtinId="8" hidden="1"/>
    <cellStyle name="Lien hypertexte" xfId="21079" builtinId="8" hidden="1"/>
    <cellStyle name="Lien hypertexte" xfId="17002" builtinId="8" hidden="1"/>
    <cellStyle name="Lien hypertexte" xfId="23099" builtinId="8" hidden="1"/>
    <cellStyle name="Lien hypertexte" xfId="23623" builtinId="8" hidden="1"/>
    <cellStyle name="Lien hypertexte" xfId="16478" builtinId="8" hidden="1"/>
    <cellStyle name="Lien hypertexte" xfId="20571" builtinId="8" hidden="1"/>
    <cellStyle name="Lien hypertexte" xfId="15488" builtinId="8" hidden="1"/>
    <cellStyle name="Lien hypertexte" xfId="16528" builtinId="8" hidden="1"/>
    <cellStyle name="Lien hypertexte" xfId="19125" builtinId="8" hidden="1"/>
    <cellStyle name="Lien hypertexte" xfId="15068" builtinId="8" hidden="1"/>
    <cellStyle name="Lien hypertexte" xfId="274" builtinId="8" hidden="1"/>
    <cellStyle name="Lien hypertexte" xfId="21049" builtinId="8" hidden="1"/>
    <cellStyle name="Lien hypertexte" xfId="16972" builtinId="8" hidden="1"/>
    <cellStyle name="Lien hypertexte" xfId="23129" builtinId="8" hidden="1"/>
    <cellStyle name="Lien hypertexte" xfId="23595" builtinId="8" hidden="1"/>
    <cellStyle name="Lien hypertexte" xfId="16508" builtinId="8" hidden="1"/>
    <cellStyle name="Lien hypertexte" xfId="20599" builtinId="8" hidden="1"/>
    <cellStyle name="Lien hypertexte" xfId="15686" builtinId="8" hidden="1"/>
    <cellStyle name="Lien hypertexte" xfId="16080" builtinId="8" hidden="1"/>
    <cellStyle name="Lien hypertexte" xfId="19151" builtinId="8" hidden="1"/>
    <cellStyle name="Lien hypertexte" xfId="15040" builtinId="8" hidden="1"/>
    <cellStyle name="Lien hypertexte" xfId="302" builtinId="8" hidden="1"/>
    <cellStyle name="Lien hypertexte" xfId="21021" builtinId="8" hidden="1"/>
    <cellStyle name="Lien hypertexte" xfId="16946" builtinId="8" hidden="1"/>
    <cellStyle name="Lien hypertexte" xfId="23159" builtinId="8" hidden="1"/>
    <cellStyle name="Lien hypertexte" xfId="23565" builtinId="8" hidden="1"/>
    <cellStyle name="Lien hypertexte" xfId="16538" builtinId="8" hidden="1"/>
    <cellStyle name="Lien hypertexte" xfId="20629" builtinId="8" hidden="1"/>
    <cellStyle name="Lien hypertexte" xfId="15884" builtinId="8" hidden="1"/>
    <cellStyle name="Lien hypertexte" xfId="14648" builtinId="8" hidden="1"/>
    <cellStyle name="Lien hypertexte" xfId="19179" builtinId="8" hidden="1"/>
    <cellStyle name="Lien hypertexte" xfId="15012" builtinId="8" hidden="1"/>
    <cellStyle name="Lien hypertexte" xfId="328" builtinId="8" hidden="1"/>
    <cellStyle name="Lien hypertexte" xfId="20995" builtinId="8" hidden="1"/>
    <cellStyle name="Lien hypertexte" xfId="16916" builtinId="8" hidden="1"/>
    <cellStyle name="Lien hypertexte" xfId="23189" builtinId="8" hidden="1"/>
    <cellStyle name="Lien hypertexte" xfId="23535" builtinId="8" hidden="1"/>
    <cellStyle name="Lien hypertexte" xfId="16568" builtinId="8" hidden="1"/>
    <cellStyle name="Lien hypertexte" xfId="20655" builtinId="8" hidden="1"/>
    <cellStyle name="Lien hypertexte" xfId="754" builtinId="8" hidden="1"/>
    <cellStyle name="Lien hypertexte" xfId="14674" builtinId="8" hidden="1"/>
    <cellStyle name="Lien hypertexte" xfId="18951" builtinId="8" hidden="1"/>
    <cellStyle name="Lien hypertexte" xfId="22585" builtinId="8" hidden="1"/>
    <cellStyle name="Lien hypertexte" xfId="23505" builtinId="8" hidden="1"/>
    <cellStyle name="Lien hypertexte" xfId="20965" builtinId="8" hidden="1"/>
    <cellStyle name="Lien hypertexte" xfId="16886" builtinId="8" hidden="1"/>
    <cellStyle name="Lien hypertexte" xfId="23215" builtinId="8" hidden="1"/>
    <cellStyle name="Lien hypertexte" xfId="23507" builtinId="8" hidden="1"/>
    <cellStyle name="Lien hypertexte" xfId="16596" builtinId="8" hidden="1"/>
    <cellStyle name="Lien hypertexte" xfId="20683" builtinId="8" hidden="1"/>
    <cellStyle name="Lien hypertexte" xfId="948" builtinId="8" hidden="1"/>
    <cellStyle name="Lien hypertexte" xfId="14702" builtinId="8" hidden="1"/>
    <cellStyle name="Lien hypertexte" xfId="18979" builtinId="8" hidden="1"/>
    <cellStyle name="Lien hypertexte" xfId="14954" builtinId="8" hidden="1"/>
    <cellStyle name="Lien hypertexte" xfId="160" builtinId="8" hidden="1"/>
    <cellStyle name="Lien hypertexte" xfId="20937" builtinId="8" hidden="1"/>
    <cellStyle name="Lien hypertexte" xfId="16858" builtinId="8" hidden="1"/>
    <cellStyle name="Lien hypertexte" xfId="23245" builtinId="8" hidden="1"/>
    <cellStyle name="Lien hypertexte" xfId="23477" builtinId="8" hidden="1"/>
    <cellStyle name="Lien hypertexte" xfId="16626" builtinId="8" hidden="1"/>
    <cellStyle name="Lien hypertexte" xfId="20713" builtinId="8" hidden="1"/>
    <cellStyle name="Lien hypertexte" xfId="1144" builtinId="8" hidden="1"/>
    <cellStyle name="Lien hypertexte" xfId="14732" builtinId="8" hidden="1"/>
    <cellStyle name="Lien hypertexte" xfId="19005" builtinId="8" hidden="1"/>
    <cellStyle name="Lien hypertexte" xfId="14928" builtinId="8" hidden="1"/>
    <cellStyle name="Lien hypertexte" xfId="186" builtinId="8" hidden="1"/>
    <cellStyle name="Lien hypertexte" xfId="20907" builtinId="8" hidden="1"/>
    <cellStyle name="Lien hypertexte" xfId="16828" builtinId="8" hidden="1"/>
    <cellStyle name="Lien hypertexte" xfId="23275" builtinId="8" hidden="1"/>
    <cellStyle name="Lien hypertexte" xfId="23449" builtinId="8" hidden="1"/>
    <cellStyle name="Lien hypertexte" xfId="16654" builtinId="8" hidden="1"/>
    <cellStyle name="Lien hypertexte" xfId="20741" builtinId="8" hidden="1"/>
    <cellStyle name="Lien hypertexte" xfId="402" builtinId="8" hidden="1"/>
    <cellStyle name="Lien hypertexte" xfId="14758" builtinId="8" hidden="1"/>
    <cellStyle name="Lien hypertexte" xfId="18905" builtinId="8" hidden="1"/>
    <cellStyle name="Lien hypertexte" xfId="14900" builtinId="8" hidden="1"/>
    <cellStyle name="Lien hypertexte" xfId="102" builtinId="8" hidden="1"/>
    <cellStyle name="Lien hypertexte" xfId="20879" builtinId="8" hidden="1"/>
    <cellStyle name="Lien hypertexte" xfId="16798" builtinId="8" hidden="1"/>
    <cellStyle name="Lien hypertexte" xfId="23305" builtinId="8" hidden="1"/>
    <cellStyle name="Lien hypertexte" xfId="23419" builtinId="8" hidden="1"/>
    <cellStyle name="Lien hypertexte" xfId="16682" builtinId="8" hidden="1"/>
    <cellStyle name="Lien hypertexte" xfId="20767" builtinId="8" hidden="1"/>
    <cellStyle name="Lien hypertexte" xfId="596" builtinId="8" hidden="1"/>
    <cellStyle name="Lien hypertexte" xfId="14788" builtinId="8" hidden="1"/>
    <cellStyle name="Lien hypertexte" xfId="18869" builtinId="8" hidden="1"/>
    <cellStyle name="Lien hypertexte" xfId="14870" builtinId="8" hidden="1"/>
    <cellStyle name="Lien hypertexte" xfId="74" builtinId="8" hidden="1"/>
    <cellStyle name="Lien hypertexte" xfId="20853" builtinId="8" hidden="1"/>
    <cellStyle name="Lien hypertexte" xfId="16768" builtinId="8" hidden="1"/>
    <cellStyle name="Lien hypertexte" xfId="23335" builtinId="8" hidden="1"/>
    <cellStyle name="Lien hypertexte" xfId="23389" builtinId="8" hidden="1"/>
    <cellStyle name="Lien hypertexte" xfId="16712" builtinId="8" hidden="1"/>
    <cellStyle name="Lien hypertexte" xfId="20797" builtinId="8" hidden="1"/>
    <cellStyle name="Lien hypertexte" xfId="332" builtinId="8" hidden="1"/>
    <cellStyle name="Lien hypertexte" xfId="14816" builtinId="8" hidden="1"/>
    <cellStyle name="Lien hypertexte" xfId="18863" builtinId="8" hidden="1"/>
    <cellStyle name="Lien hypertexte" xfId="14842" builtinId="8" hidden="1"/>
    <cellStyle name="Lien hypertexte" xfId="3" builtinId="8" hidden="1"/>
    <cellStyle name="Lien hypertexte" xfId="20823" builtinId="8" hidden="1"/>
    <cellStyle name="Lien hypertexte" xfId="16740" builtinId="8" hidden="1"/>
    <cellStyle name="Lien hypertexte" xfId="23363" builtinId="8" hidden="1"/>
    <cellStyle name="Lien hypertexte" xfId="23359" builtinId="8" hidden="1"/>
    <cellStyle name="Lien hypertexte" xfId="16742" builtinId="8" hidden="1"/>
    <cellStyle name="Lien hypertexte" xfId="20825" builtinId="8" hidden="1"/>
    <cellStyle name="Lien hypertexte" xfId="56" builtinId="8" hidden="1"/>
    <cellStyle name="Lien hypertexte" xfId="14846" builtinId="8" hidden="1"/>
    <cellStyle name="Lien hypertexte" xfId="18861" builtinId="8" hidden="1"/>
    <cellStyle name="Lien hypertexte" xfId="14814" builtinId="8" hidden="1"/>
    <cellStyle name="Lien hypertexte" xfId="316" builtinId="8" hidden="1"/>
    <cellStyle name="Lien hypertexte" xfId="20795" builtinId="8" hidden="1"/>
    <cellStyle name="Lien hypertexte" xfId="16710" builtinId="8" hidden="1"/>
    <cellStyle name="Lien hypertexte" xfId="23391" builtinId="8" hidden="1"/>
    <cellStyle name="Lien hypertexte" xfId="23331" builtinId="8" hidden="1"/>
    <cellStyle name="Lien hypertexte" xfId="16772" builtinId="8" hidden="1"/>
    <cellStyle name="Lien hypertexte" xfId="20855" builtinId="8" hidden="1"/>
    <cellStyle name="Lien hypertexte" xfId="72" builtinId="8" hidden="1"/>
    <cellStyle name="Lien hypertexte" xfId="14872" builtinId="8" hidden="1"/>
    <cellStyle name="Lien hypertexte" xfId="18931" builtinId="8" hidden="1"/>
    <cellStyle name="Lien hypertexte" xfId="14786" builtinId="8" hidden="1"/>
    <cellStyle name="Lien hypertexte" xfId="580" builtinId="8" hidden="1"/>
    <cellStyle name="Lien hypertexte" xfId="20765" builtinId="8" hidden="1"/>
    <cellStyle name="Lien hypertexte" xfId="16680" builtinId="8" hidden="1"/>
    <cellStyle name="Lien hypertexte" xfId="23421" builtinId="8" hidden="1"/>
    <cellStyle name="Lien hypertexte" xfId="23303" builtinId="8" hidden="1"/>
    <cellStyle name="Lien hypertexte" xfId="16800" builtinId="8" hidden="1"/>
    <cellStyle name="Lien hypertexte" xfId="20883" builtinId="8" hidden="1"/>
    <cellStyle name="Lien hypertexte" xfId="100" builtinId="8" hidden="1"/>
    <cellStyle name="Lien hypertexte" xfId="14902" builtinId="8" hidden="1"/>
    <cellStyle name="Lien hypertexte" xfId="18903" builtinId="8" hidden="1"/>
    <cellStyle name="Lien hypertexte" xfId="15740" builtinId="8" hidden="1"/>
    <cellStyle name="Lien hypertexte" xfId="386" builtinId="8" hidden="1"/>
    <cellStyle name="Lien hypertexte" xfId="20739" builtinId="8" hidden="1"/>
    <cellStyle name="Lien hypertexte" xfId="16652" builtinId="8" hidden="1"/>
    <cellStyle name="Lien hypertexte" xfId="23451" builtinId="8" hidden="1"/>
    <cellStyle name="Lien hypertexte" xfId="23273" builtinId="8" hidden="1"/>
    <cellStyle name="Lien hypertexte" xfId="16830" builtinId="8" hidden="1"/>
    <cellStyle name="Lien hypertexte" xfId="20909" builtinId="8" hidden="1"/>
    <cellStyle name="Lien hypertexte" xfId="184" builtinId="8" hidden="1"/>
    <cellStyle name="Lien hypertexte" xfId="14930" builtinId="8" hidden="1"/>
    <cellStyle name="Lien hypertexte" xfId="19003" builtinId="8" hidden="1"/>
    <cellStyle name="Lien hypertexte" xfId="14730" builtinId="8" hidden="1"/>
    <cellStyle name="Lien hypertexte" xfId="1128" builtinId="8" hidden="1"/>
    <cellStyle name="Lien hypertexte" xfId="20711" builtinId="8" hidden="1"/>
    <cellStyle name="Lien hypertexte" xfId="16622" builtinId="8" hidden="1"/>
    <cellStyle name="Lien hypertexte" xfId="23481" builtinId="8" hidden="1"/>
    <cellStyle name="Lien hypertexte" xfId="23243" builtinId="8" hidden="1"/>
    <cellStyle name="Lien hypertexte" xfId="16860" builtinId="8" hidden="1"/>
    <cellStyle name="Lien hypertexte" xfId="20939" builtinId="8" hidden="1"/>
    <cellStyle name="Lien hypertexte" xfId="158" builtinId="8" hidden="1"/>
    <cellStyle name="Lien hypertexte" xfId="14956" builtinId="8" hidden="1"/>
    <cellStyle name="Lien hypertexte" xfId="18975" builtinId="8" hidden="1"/>
    <cellStyle name="Lien hypertexte" xfId="14700" builtinId="8" hidden="1"/>
    <cellStyle name="Lien hypertexte" xfId="932" builtinId="8" hidden="1"/>
    <cellStyle name="Lien hypertexte" xfId="20681" builtinId="8" hidden="1"/>
    <cellStyle name="Lien hypertexte" xfId="16594" builtinId="8" hidden="1"/>
    <cellStyle name="Lien hypertexte" xfId="23509" builtinId="8" hidden="1"/>
    <cellStyle name="Lien hypertexte" xfId="23213" builtinId="8" hidden="1"/>
    <cellStyle name="Lien hypertexte" xfId="16888" builtinId="8" hidden="1"/>
    <cellStyle name="Lien hypertexte" xfId="20967" builtinId="8" hidden="1"/>
    <cellStyle name="Lien hypertexte" xfId="130" builtinId="8" hidden="1"/>
    <cellStyle name="Lien hypertexte" xfId="14986" builtinId="8" hidden="1"/>
    <cellStyle name="Lien hypertexte" xfId="18949" builtinId="8" hidden="1"/>
    <cellStyle name="Lien hypertexte" xfId="14672" builtinId="8" hidden="1"/>
    <cellStyle name="Lien hypertexte" xfId="738" builtinId="8" hidden="1"/>
    <cellStyle name="Lien hypertexte" xfId="20653" builtinId="8" hidden="1"/>
    <cellStyle name="Lien hypertexte" xfId="16564" builtinId="8" hidden="1"/>
    <cellStyle name="Lien hypertexte" xfId="23539" builtinId="8" hidden="1"/>
    <cellStyle name="Lien hypertexte" xfId="23183" builtinId="8" hidden="1"/>
    <cellStyle name="Lien hypertexte" xfId="16918" builtinId="8" hidden="1"/>
    <cellStyle name="Lien hypertexte" xfId="20997" builtinId="8" hidden="1"/>
    <cellStyle name="Lien hypertexte" xfId="326" builtinId="8" hidden="1"/>
    <cellStyle name="Lien hypertexte" xfId="15014" builtinId="8" hidden="1"/>
    <cellStyle name="Lien hypertexte" xfId="19177" builtinId="8" hidden="1"/>
    <cellStyle name="Lien hypertexte" xfId="14644" builtinId="8" hidden="1"/>
    <cellStyle name="Lien hypertexte" xfId="15868" builtinId="8" hidden="1"/>
    <cellStyle name="Lien hypertexte" xfId="20623" builtinId="8" hidden="1"/>
    <cellStyle name="Lien hypertexte" xfId="16536" builtinId="8" hidden="1"/>
    <cellStyle name="Lien hypertexte" xfId="23567" builtinId="8" hidden="1"/>
    <cellStyle name="Lien hypertexte" xfId="23157" builtinId="8" hidden="1"/>
    <cellStyle name="Lien hypertexte" xfId="16948" builtinId="8" hidden="1"/>
    <cellStyle name="Lien hypertexte" xfId="21023" builtinId="8" hidden="1"/>
    <cellStyle name="Lien hypertexte" xfId="298" builtinId="8" hidden="1"/>
    <cellStyle name="Lien hypertexte" xfId="15044" builtinId="8" hidden="1"/>
    <cellStyle name="Lien hypertexte" xfId="19149" builtinId="8" hidden="1"/>
    <cellStyle name="Lien hypertexte" xfId="16112" builtinId="8" hidden="1"/>
    <cellStyle name="Lien hypertexte" xfId="15670" builtinId="8" hidden="1"/>
    <cellStyle name="Lien hypertexte" xfId="20597" builtinId="8" hidden="1"/>
    <cellStyle name="Lien hypertexte" xfId="16506" builtinId="8" hidden="1"/>
    <cellStyle name="Lien hypertexte" xfId="23597" builtinId="8" hidden="1"/>
    <cellStyle name="Lien hypertexte" xfId="23127" builtinId="8" hidden="1"/>
    <cellStyle name="Lien hypertexte" xfId="16978" builtinId="8" hidden="1"/>
    <cellStyle name="Lien hypertexte" xfId="21051" builtinId="8" hidden="1"/>
    <cellStyle name="Lien hypertexte" xfId="272" builtinId="8" hidden="1"/>
    <cellStyle name="Lien hypertexte" xfId="15070" builtinId="8" hidden="1"/>
    <cellStyle name="Lien hypertexte" xfId="19123" builtinId="8" hidden="1"/>
    <cellStyle name="Lien hypertexte" xfId="16560" builtinId="8" hidden="1"/>
    <cellStyle name="Lien hypertexte" xfId="15470" builtinId="8" hidden="1"/>
    <cellStyle name="Lien hypertexte" xfId="20569" builtinId="8" hidden="1"/>
    <cellStyle name="Lien hypertexte" xfId="16476" builtinId="8" hidden="1"/>
    <cellStyle name="Lien hypertexte" xfId="23627" builtinId="8" hidden="1"/>
    <cellStyle name="Lien hypertexte" xfId="23097" builtinId="8" hidden="1"/>
    <cellStyle name="Lien hypertexte" xfId="17004" builtinId="8" hidden="1"/>
    <cellStyle name="Lien hypertexte" xfId="21081" builtinId="8" hidden="1"/>
    <cellStyle name="Lien hypertexte" xfId="244" builtinId="8" hidden="1"/>
    <cellStyle name="Lien hypertexte" xfId="15100" builtinId="8" hidden="1"/>
    <cellStyle name="Lien hypertexte" xfId="19095" builtinId="8" hidden="1"/>
    <cellStyle name="Lien hypertexte" xfId="17008" builtinId="8" hidden="1"/>
    <cellStyle name="Lien hypertexte" xfId="15272" builtinId="8" hidden="1"/>
    <cellStyle name="Lien hypertexte" xfId="20539" builtinId="8" hidden="1"/>
    <cellStyle name="Lien hypertexte" xfId="16448" builtinId="8" hidden="1"/>
    <cellStyle name="Lien hypertexte" xfId="23655" builtinId="8" hidden="1"/>
    <cellStyle name="Lien hypertexte" xfId="23067" builtinId="8" hidden="1"/>
    <cellStyle name="Lien hypertexte" xfId="17034" builtinId="8" hidden="1"/>
    <cellStyle name="Lien hypertexte" xfId="21109" builtinId="8" hidden="1"/>
    <cellStyle name="Lien hypertexte" xfId="216" builtinId="8" hidden="1"/>
    <cellStyle name="Lien hypertexte" xfId="15128" builtinId="8" hidden="1"/>
    <cellStyle name="Lien hypertexte" xfId="22733" builtinId="8" hidden="1"/>
    <cellStyle name="Lien hypertexte" xfId="19061" builtinId="8" hidden="1"/>
    <cellStyle name="Lien hypertexte" xfId="19771" builtinId="8" hidden="1"/>
    <cellStyle name="Lien hypertexte" xfId="24605" builtinId="8" hidden="1"/>
    <cellStyle name="Lien hypertexte" xfId="16418" builtinId="8" hidden="1"/>
    <cellStyle name="Lien hypertexte" xfId="23685" builtinId="8" hidden="1"/>
    <cellStyle name="Lien hypertexte" xfId="23037" builtinId="8" hidden="1"/>
    <cellStyle name="Lien hypertexte" xfId="17064" builtinId="8" hidden="1"/>
    <cellStyle name="Lien hypertexte" xfId="21135" builtinId="8" hidden="1"/>
    <cellStyle name="Lien hypertexte" xfId="646" builtinId="8" hidden="1"/>
    <cellStyle name="Lien hypertexte" xfId="15156" builtinId="8" hidden="1"/>
    <cellStyle name="Lien hypertexte" xfId="19039" builtinId="8" hidden="1"/>
    <cellStyle name="Lien hypertexte" xfId="17872" builtinId="8" hidden="1"/>
    <cellStyle name="Lien hypertexte" xfId="14876" builtinId="8" hidden="1"/>
    <cellStyle name="Lien hypertexte" xfId="20485" builtinId="8" hidden="1"/>
    <cellStyle name="Lien hypertexte" xfId="16388" builtinId="8" hidden="1"/>
    <cellStyle name="Lien hypertexte" xfId="23715" builtinId="8" hidden="1"/>
    <cellStyle name="Lien hypertexte" xfId="23011" builtinId="8" hidden="1"/>
    <cellStyle name="Lien hypertexte" xfId="17092" builtinId="8" hidden="1"/>
    <cellStyle name="Lien hypertexte" xfId="21165" builtinId="8" hidden="1"/>
    <cellStyle name="Lien hypertexte" xfId="618" builtinId="8" hidden="1"/>
    <cellStyle name="Lien hypertexte" xfId="15184" builtinId="8" hidden="1"/>
    <cellStyle name="Lien hypertexte" xfId="19533" builtinId="8" hidden="1"/>
    <cellStyle name="Lien hypertexte" xfId="18337" builtinId="8" hidden="1"/>
    <cellStyle name="Lien hypertexte" xfId="14678" builtinId="8" hidden="1"/>
    <cellStyle name="Lien hypertexte" xfId="20455" builtinId="8" hidden="1"/>
    <cellStyle name="Lien hypertexte" xfId="16358" builtinId="8" hidden="1"/>
    <cellStyle name="Lien hypertexte" xfId="23743" builtinId="8" hidden="1"/>
    <cellStyle name="Lien hypertexte" xfId="22981" builtinId="8" hidden="1"/>
    <cellStyle name="Lien hypertexte" xfId="17122" builtinId="8" hidden="1"/>
    <cellStyle name="Lien hypertexte" xfId="21193" builtinId="8" hidden="1"/>
    <cellStyle name="Lien hypertexte" xfId="590" builtinId="8" hidden="1"/>
    <cellStyle name="Lien hypertexte" xfId="15212" builtinId="8" hidden="1"/>
    <cellStyle name="Lien hypertexte" xfId="19507" builtinId="8" hidden="1"/>
    <cellStyle name="Lien hypertexte" xfId="18785" builtinId="8" hidden="1"/>
    <cellStyle name="Lien hypertexte" xfId="18224" builtinId="8" hidden="1"/>
    <cellStyle name="Lien hypertexte" xfId="20427" builtinId="8" hidden="1"/>
    <cellStyle name="Lien hypertexte" xfId="16330" builtinId="8" hidden="1"/>
    <cellStyle name="Lien hypertexte" xfId="23773" builtinId="8" hidden="1"/>
    <cellStyle name="Lien hypertexte" xfId="22951" builtinId="8" hidden="1"/>
    <cellStyle name="Lien hypertexte" xfId="17152" builtinId="8" hidden="1"/>
    <cellStyle name="Lien hypertexte" xfId="21223" builtinId="8" hidden="1"/>
    <cellStyle name="Lien hypertexte" xfId="562" builtinId="8" hidden="1"/>
    <cellStyle name="Lien hypertexte" xfId="15242" builtinId="8" hidden="1"/>
    <cellStyle name="Lien hypertexte" xfId="19479" builtinId="8" hidden="1"/>
    <cellStyle name="Lien hypertexte" xfId="18823" builtinId="8" hidden="1"/>
    <cellStyle name="Lien hypertexte" xfId="18681" builtinId="8" hidden="1"/>
    <cellStyle name="Lien hypertexte" xfId="20397" builtinId="8" hidden="1"/>
    <cellStyle name="Lien hypertexte" xfId="16300" builtinId="8" hidden="1"/>
    <cellStyle name="Lien hypertexte" xfId="23801" builtinId="8" hidden="1"/>
    <cellStyle name="Lien hypertexte" xfId="22921" builtinId="8" hidden="1"/>
    <cellStyle name="Lien hypertexte" xfId="17182" builtinId="8" hidden="1"/>
    <cellStyle name="Lien hypertexte" xfId="21251" builtinId="8" hidden="1"/>
    <cellStyle name="Lien hypertexte" xfId="536" builtinId="8" hidden="1"/>
    <cellStyle name="Lien hypertexte" xfId="15268" builtinId="8" hidden="1"/>
    <cellStyle name="Lien hypertexte" xfId="19451" builtinId="8" hidden="1"/>
    <cellStyle name="Lien hypertexte" xfId="18793" builtinId="8" hidden="1"/>
    <cellStyle name="Lien hypertexte" xfId="18477" builtinId="8" hidden="1"/>
    <cellStyle name="Lien hypertexte" xfId="20371" builtinId="8" hidden="1"/>
    <cellStyle name="Lien hypertexte" xfId="16270" builtinId="8" hidden="1"/>
    <cellStyle name="Lien hypertexte" xfId="23831" builtinId="8" hidden="1"/>
    <cellStyle name="Lien hypertexte" xfId="22891" builtinId="8" hidden="1"/>
    <cellStyle name="Lien hypertexte" xfId="17210" builtinId="8" hidden="1"/>
    <cellStyle name="Lien hypertexte" xfId="21277" builtinId="8" hidden="1"/>
    <cellStyle name="Lien hypertexte" xfId="508" builtinId="8" hidden="1"/>
    <cellStyle name="Lien hypertexte" xfId="15298" builtinId="8" hidden="1"/>
    <cellStyle name="Lien hypertexte" xfId="19423" builtinId="8" hidden="1"/>
    <cellStyle name="Lien hypertexte" xfId="18763" builtinId="8" hidden="1"/>
    <cellStyle name="Lien hypertexte" xfId="18254" builtinId="8" hidden="1"/>
    <cellStyle name="Lien hypertexte" xfId="20343" builtinId="8" hidden="1"/>
    <cellStyle name="Lien hypertexte" xfId="16244" builtinId="8" hidden="1"/>
    <cellStyle name="Lien hypertexte" xfId="23861" builtinId="8" hidden="1"/>
    <cellStyle name="Lien hypertexte" xfId="22863" builtinId="8" hidden="1"/>
    <cellStyle name="Lien hypertexte" xfId="17240" builtinId="8" hidden="1"/>
    <cellStyle name="Lien hypertexte" xfId="21307" builtinId="8" hidden="1"/>
    <cellStyle name="Lien hypertexte" xfId="480" builtinId="8" hidden="1"/>
    <cellStyle name="Lien hypertexte" xfId="15326" builtinId="8" hidden="1"/>
    <cellStyle name="Lien hypertexte" xfId="19397" builtinId="8" hidden="1"/>
    <cellStyle name="Lien hypertexte" xfId="18735" builtinId="8" hidden="1"/>
    <cellStyle name="Lien hypertexte" xfId="18050" builtinId="8" hidden="1"/>
    <cellStyle name="Lien hypertexte" xfId="20313" builtinId="8" hidden="1"/>
    <cellStyle name="Lien hypertexte" xfId="16214" builtinId="8" hidden="1"/>
    <cellStyle name="Lien hypertexte" xfId="23891" builtinId="8" hidden="1"/>
    <cellStyle name="Lien hypertexte" xfId="22835" builtinId="8" hidden="1"/>
    <cellStyle name="Lien hypertexte" xfId="17270" builtinId="8" hidden="1"/>
    <cellStyle name="Lien hypertexte" xfId="21335" builtinId="8" hidden="1"/>
    <cellStyle name="Lien hypertexte" xfId="452" builtinId="8" hidden="1"/>
    <cellStyle name="Lien hypertexte" xfId="15354" builtinId="8" hidden="1"/>
    <cellStyle name="Lien hypertexte" xfId="19369" builtinId="8" hidden="1"/>
    <cellStyle name="Lien hypertexte" xfId="714" builtinId="8" hidden="1"/>
    <cellStyle name="Lien hypertexte" xfId="17846" builtinId="8" hidden="1"/>
    <cellStyle name="Lien hypertexte" xfId="20285" builtinId="8" hidden="1"/>
    <cellStyle name="Lien hypertexte" xfId="16184" builtinId="8" hidden="1"/>
    <cellStyle name="Lien hypertexte" xfId="23919" builtinId="8" hidden="1"/>
    <cellStyle name="Lien hypertexte" xfId="22805" builtinId="8" hidden="1"/>
    <cellStyle name="Lien hypertexte" xfId="17298" builtinId="8" hidden="1"/>
    <cellStyle name="Lien hypertexte" xfId="21365" builtinId="8" hidden="1"/>
    <cellStyle name="Lien hypertexte" xfId="424" builtinId="8" hidden="1"/>
    <cellStyle name="Lien hypertexte" xfId="15382" builtinId="8" hidden="1"/>
    <cellStyle name="Lien hypertexte" xfId="19341" builtinId="8" hidden="1"/>
    <cellStyle name="Lien hypertexte" xfId="18675" builtinId="8" hidden="1"/>
    <cellStyle name="Lien hypertexte" xfId="17640" builtinId="8" hidden="1"/>
    <cellStyle name="Lien hypertexte" xfId="20255" builtinId="8" hidden="1"/>
    <cellStyle name="Lien hypertexte" xfId="16154" builtinId="8" hidden="1"/>
    <cellStyle name="Lien hypertexte" xfId="23947" builtinId="8" hidden="1"/>
    <cellStyle name="Lien hypertexte" xfId="22775" builtinId="8" hidden="1"/>
    <cellStyle name="Lien hypertexte" xfId="17326" builtinId="8" hidden="1"/>
    <cellStyle name="Lien hypertexte" xfId="21391" builtinId="8" hidden="1"/>
    <cellStyle name="Lien hypertexte" xfId="396" builtinId="8" hidden="1"/>
    <cellStyle name="Lien hypertexte" xfId="15412" builtinId="8" hidden="1"/>
    <cellStyle name="Lien hypertexte" xfId="19315" builtinId="8" hidden="1"/>
    <cellStyle name="Lien hypertexte" xfId="18645" builtinId="8" hidden="1"/>
    <cellStyle name="Lien hypertexte" xfId="17436" builtinId="8" hidden="1"/>
    <cellStyle name="Lien hypertexte" xfId="22015" builtinId="8" hidden="1"/>
    <cellStyle name="Lien hypertexte" xfId="16126" builtinId="8" hidden="1"/>
    <cellStyle name="Lien hypertexte" xfId="23977" builtinId="8" hidden="1"/>
    <cellStyle name="Lien hypertexte" xfId="22745" builtinId="8" hidden="1"/>
    <cellStyle name="Lien hypertexte" xfId="17356" builtinId="8" hidden="1"/>
    <cellStyle name="Lien hypertexte" xfId="21419" builtinId="8" hidden="1"/>
    <cellStyle name="Lien hypertexte" xfId="368" builtinId="8" hidden="1"/>
    <cellStyle name="Lien hypertexte" xfId="15440" builtinId="8" hidden="1"/>
    <cellStyle name="Lien hypertexte" xfId="19285" builtinId="8" hidden="1"/>
    <cellStyle name="Lien hypertexte" xfId="18617" builtinId="8" hidden="1"/>
    <cellStyle name="Lien hypertexte" xfId="17230" builtinId="8" hidden="1"/>
    <cellStyle name="Lien hypertexte" xfId="22455" builtinId="8" hidden="1"/>
    <cellStyle name="Lien hypertexte" xfId="16096" builtinId="8" hidden="1"/>
    <cellStyle name="Lien hypertexte" xfId="24007" builtinId="8" hidden="1"/>
    <cellStyle name="Lien hypertexte" xfId="22717" builtinId="8" hidden="1"/>
    <cellStyle name="Lien hypertexte" xfId="17386" builtinId="8" hidden="1"/>
    <cellStyle name="Lien hypertexte" xfId="21449" builtinId="8" hidden="1"/>
    <cellStyle name="Lien hypertexte" xfId="966" builtinId="8" hidden="1"/>
    <cellStyle name="Lien hypertexte" xfId="15466" builtinId="8" hidden="1"/>
    <cellStyle name="Lien hypertexte" xfId="19257" builtinId="8" hidden="1"/>
    <cellStyle name="Lien hypertexte" xfId="18587" builtinId="8" hidden="1"/>
    <cellStyle name="Lien hypertexte" xfId="17026" builtinId="8" hidden="1"/>
    <cellStyle name="Lien hypertexte" xfId="22893" builtinId="8" hidden="1"/>
    <cellStyle name="Lien hypertexte" xfId="16066" builtinId="8" hidden="1"/>
    <cellStyle name="Lien hypertexte" xfId="24037" builtinId="8" hidden="1"/>
    <cellStyle name="Lien hypertexte" xfId="22687" builtinId="8" hidden="1"/>
    <cellStyle name="Lien hypertexte" xfId="17414" builtinId="8" hidden="1"/>
    <cellStyle name="Lien hypertexte" xfId="21477" builtinId="8" hidden="1"/>
    <cellStyle name="Lien hypertexte" xfId="14604" builtinId="8" hidden="1"/>
    <cellStyle name="Lien hypertexte" xfId="15496" builtinId="8" hidden="1"/>
    <cellStyle name="Lien hypertexte" xfId="19229" builtinId="8" hidden="1"/>
    <cellStyle name="Lien hypertexte" xfId="18557" builtinId="8" hidden="1"/>
    <cellStyle name="Lien hypertexte" xfId="16822" builtinId="8" hidden="1"/>
    <cellStyle name="Lien hypertexte" xfId="23333" builtinId="8" hidden="1"/>
    <cellStyle name="Lien hypertexte" xfId="16038" builtinId="8" hidden="1"/>
    <cellStyle name="Lien hypertexte" xfId="24067" builtinId="8" hidden="1"/>
    <cellStyle name="Lien hypertexte" xfId="22659" builtinId="8" hidden="1"/>
    <cellStyle name="Lien hypertexte" xfId="17444" builtinId="8" hidden="1"/>
    <cellStyle name="Lien hypertexte" xfId="21507" builtinId="8" hidden="1"/>
    <cellStyle name="Lien hypertexte" xfId="14574" builtinId="8" hidden="1"/>
    <cellStyle name="Lien hypertexte" xfId="15524" builtinId="8" hidden="1"/>
    <cellStyle name="Lien hypertexte" xfId="19203" builtinId="8" hidden="1"/>
    <cellStyle name="Lien hypertexte" xfId="18531" builtinId="8" hidden="1"/>
    <cellStyle name="Lien hypertexte" xfId="16616" builtinId="8" hidden="1"/>
    <cellStyle name="Lien hypertexte" xfId="23771" builtinId="8" hidden="1"/>
    <cellStyle name="Lien hypertexte" xfId="16008" builtinId="8" hidden="1"/>
    <cellStyle name="Lien hypertexte" xfId="24093" builtinId="8" hidden="1"/>
    <cellStyle name="Lien hypertexte" xfId="22629" builtinId="8" hidden="1"/>
    <cellStyle name="Lien hypertexte" xfId="17474" builtinId="8" hidden="1"/>
    <cellStyle name="Lien hypertexte" xfId="21533" builtinId="8" hidden="1"/>
    <cellStyle name="Lien hypertexte" xfId="14548" builtinId="8" hidden="1"/>
    <cellStyle name="Lien hypertexte" xfId="15552" builtinId="8" hidden="1"/>
    <cellStyle name="Lien hypertexte" xfId="20245" builtinId="8" hidden="1"/>
    <cellStyle name="Lien hypertexte" xfId="18501" builtinId="8" hidden="1"/>
    <cellStyle name="Lien hypertexte" xfId="16412" builtinId="8" hidden="1"/>
    <cellStyle name="Lien hypertexte" xfId="24211" builtinId="8" hidden="1"/>
    <cellStyle name="Lien hypertexte" xfId="15978" builtinId="8" hidden="1"/>
    <cellStyle name="Lien hypertexte" xfId="24123" builtinId="8" hidden="1"/>
    <cellStyle name="Lien hypertexte" xfId="22599" builtinId="8" hidden="1"/>
    <cellStyle name="Lien hypertexte" xfId="17502" builtinId="8" hidden="1"/>
    <cellStyle name="Lien hypertexte" xfId="21561" builtinId="8" hidden="1"/>
    <cellStyle name="Lien hypertexte" xfId="14520" builtinId="8" hidden="1"/>
    <cellStyle name="Lien hypertexte" xfId="15580" builtinId="8" hidden="1"/>
    <cellStyle name="Lien hypertexte" xfId="20217" builtinId="8" hidden="1"/>
    <cellStyle name="Lien hypertexte" xfId="802" builtinId="8" hidden="1"/>
    <cellStyle name="Lien hypertexte" xfId="24147" builtinId="8" hidden="1"/>
    <cellStyle name="Lien hypertexte" xfId="24353" builtinId="8" hidden="1"/>
    <cellStyle name="Lien hypertexte" xfId="15948" builtinId="8" hidden="1"/>
    <cellStyle name="Lien hypertexte" xfId="24153" builtinId="8" hidden="1"/>
    <cellStyle name="Lien hypertexte" xfId="22571" builtinId="8" hidden="1"/>
    <cellStyle name="Lien hypertexte" xfId="17532" builtinId="8" hidden="1"/>
    <cellStyle name="Lien hypertexte" xfId="21591" builtinId="8" hidden="1"/>
    <cellStyle name="Lien hypertexte" xfId="1138" builtinId="8" hidden="1"/>
    <cellStyle name="Lien hypertexte" xfId="15610" builtinId="8" hidden="1"/>
    <cellStyle name="Lien hypertexte" xfId="20189" builtinId="8" hidden="1"/>
    <cellStyle name="Lien hypertexte" xfId="18441" builtinId="8" hidden="1"/>
    <cellStyle name="Lien hypertexte" xfId="16002" builtinId="8" hidden="1"/>
    <cellStyle name="Lien hypertexte" xfId="21585" builtinId="8" hidden="1"/>
    <cellStyle name="Lien hypertexte" xfId="18945" builtinId="8" hidden="1"/>
    <cellStyle name="Lien hypertexte" xfId="24183" builtinId="8" hidden="1"/>
    <cellStyle name="Lien hypertexte" xfId="22541" builtinId="8" hidden="1"/>
    <cellStyle name="Lien hypertexte" xfId="17562" builtinId="8" hidden="1"/>
    <cellStyle name="Lien hypertexte" xfId="21619" builtinId="8" hidden="1"/>
    <cellStyle name="Lien hypertexte" xfId="1110" builtinId="8" hidden="1"/>
    <cellStyle name="Lien hypertexte" xfId="15638" builtinId="8" hidden="1"/>
    <cellStyle name="Lien hypertexte" xfId="20159" builtinId="8" hidden="1"/>
    <cellStyle name="Lien hypertexte" xfId="18413" builtinId="8" hidden="1"/>
    <cellStyle name="Lien hypertexte" xfId="19873" builtinId="8" hidden="1"/>
    <cellStyle name="Lien hypertexte" xfId="21777" builtinId="8" hidden="1"/>
    <cellStyle name="Lien hypertexte" xfId="19169" builtinId="8" hidden="1"/>
    <cellStyle name="Lien hypertexte" xfId="24213" builtinId="8" hidden="1"/>
    <cellStyle name="Lien hypertexte" xfId="22511" builtinId="8" hidden="1"/>
    <cellStyle name="Lien hypertexte" xfId="17592" builtinId="8" hidden="1"/>
    <cellStyle name="Lien hypertexte" xfId="21645" builtinId="8" hidden="1"/>
    <cellStyle name="Lien hypertexte" xfId="1082" builtinId="8" hidden="1"/>
    <cellStyle name="Lien hypertexte" xfId="15666" builtinId="8" hidden="1"/>
    <cellStyle name="Lien hypertexte" xfId="20133" builtinId="8" hidden="1"/>
    <cellStyle name="Lien hypertexte" xfId="18383" builtinId="8" hidden="1"/>
    <cellStyle name="Lien hypertexte" xfId="21409" builtinId="8" hidden="1"/>
    <cellStyle name="Lien hypertexte" xfId="21985" builtinId="8" hidden="1"/>
    <cellStyle name="Lien hypertexte" xfId="19393" builtinId="8" hidden="1"/>
    <cellStyle name="Lien hypertexte" xfId="24239" builtinId="8" hidden="1"/>
    <cellStyle name="Lien hypertexte" xfId="22483" builtinId="8" hidden="1"/>
    <cellStyle name="Lien hypertexte" xfId="17620" builtinId="8" hidden="1"/>
    <cellStyle name="Lien hypertexte" xfId="21675" builtinId="8" hidden="1"/>
    <cellStyle name="Lien hypertexte" xfId="1054" builtinId="8" hidden="1"/>
    <cellStyle name="Lien hypertexte" xfId="15694" builtinId="8" hidden="1"/>
    <cellStyle name="Lien hypertexte" xfId="20105" builtinId="8" hidden="1"/>
    <cellStyle name="Lien hypertexte" xfId="18353" builtinId="8" hidden="1"/>
    <cellStyle name="Lien hypertexte" xfId="21767" builtinId="8" hidden="1"/>
    <cellStyle name="Lien hypertexte" xfId="22193" builtinId="8" hidden="1"/>
    <cellStyle name="Lien hypertexte" xfId="19601" builtinId="8" hidden="1"/>
    <cellStyle name="Lien hypertexte" xfId="24269" builtinId="8" hidden="1"/>
    <cellStyle name="Lien hypertexte" xfId="22453" builtinId="8" hidden="1"/>
    <cellStyle name="Lien hypertexte" xfId="17650" builtinId="8" hidden="1"/>
    <cellStyle name="Lien hypertexte" xfId="21703" builtinId="8" hidden="1"/>
    <cellStyle name="Lien hypertexte" xfId="1026" builtinId="8" hidden="1"/>
    <cellStyle name="Lien hypertexte" xfId="15722" builtinId="8" hidden="1"/>
    <cellStyle name="Lien hypertexte" xfId="20077" builtinId="8" hidden="1"/>
    <cellStyle name="Lien hypertexte" xfId="18308" builtinId="8" hidden="1"/>
    <cellStyle name="Lien hypertexte" xfId="21795" builtinId="8" hidden="1"/>
    <cellStyle name="Lien hypertexte" xfId="22401" builtinId="8" hidden="1"/>
    <cellStyle name="Lien hypertexte" xfId="19825" builtinId="8" hidden="1"/>
    <cellStyle name="Lien hypertexte" xfId="24299" builtinId="8" hidden="1"/>
    <cellStyle name="Lien hypertexte" xfId="22425" builtinId="8" hidden="1"/>
    <cellStyle name="Lien hypertexte" xfId="17678" builtinId="8" hidden="1"/>
    <cellStyle name="Lien hypertexte" xfId="21733" builtinId="8" hidden="1"/>
    <cellStyle name="Lien hypertexte" xfId="1000" builtinId="8" hidden="1"/>
    <cellStyle name="Lien hypertexte" xfId="15750" builtinId="8" hidden="1"/>
    <cellStyle name="Lien hypertexte" xfId="20051" builtinId="8" hidden="1"/>
    <cellStyle name="Lien hypertexte" xfId="18278" builtinId="8" hidden="1"/>
    <cellStyle name="Lien hypertexte" xfId="21823" builtinId="8" hidden="1"/>
    <cellStyle name="Lien hypertexte" xfId="22609" builtinId="8" hidden="1"/>
    <cellStyle name="Lien hypertexte" xfId="20049" builtinId="8" hidden="1"/>
    <cellStyle name="Lien hypertexte" xfId="24329" builtinId="8" hidden="1"/>
    <cellStyle name="Lien hypertexte" xfId="22395" builtinId="8" hidden="1"/>
    <cellStyle name="Lien hypertexte" xfId="17706" builtinId="8" hidden="1"/>
    <cellStyle name="Lien hypertexte" xfId="21139" builtinId="8" hidden="1"/>
    <cellStyle name="Lien hypertexte" xfId="972" builtinId="8" hidden="1"/>
    <cellStyle name="Lien hypertexte" xfId="15778" builtinId="8" hidden="1"/>
    <cellStyle name="Lien hypertexte" xfId="20021" builtinId="8" hidden="1"/>
    <cellStyle name="Lien hypertexte" xfId="18248" builtinId="8" hidden="1"/>
    <cellStyle name="Lien hypertexte" xfId="21853" builtinId="8" hidden="1"/>
    <cellStyle name="Lien hypertexte" xfId="22801" builtinId="8" hidden="1"/>
    <cellStyle name="Lien hypertexte" xfId="20273" builtinId="8" hidden="1"/>
    <cellStyle name="Lien hypertexte" xfId="24359" builtinId="8" hidden="1"/>
    <cellStyle name="Lien hypertexte" xfId="22365" builtinId="8" hidden="1"/>
    <cellStyle name="Lien hypertexte" xfId="17736" builtinId="8" hidden="1"/>
    <cellStyle name="Lien hypertexte" xfId="20261" builtinId="8" hidden="1"/>
    <cellStyle name="Lien hypertexte" xfId="942" builtinId="8" hidden="1"/>
    <cellStyle name="Lien hypertexte" xfId="15808" builtinId="8" hidden="1"/>
    <cellStyle name="Lien hypertexte" xfId="19993" builtinId="8" hidden="1"/>
    <cellStyle name="Lien hypertexte" xfId="1010" builtinId="8" hidden="1"/>
    <cellStyle name="Lien hypertexte" xfId="21883" builtinId="8" hidden="1"/>
    <cellStyle name="Lien hypertexte" xfId="23009" builtinId="8" hidden="1"/>
    <cellStyle name="Lien hypertexte" xfId="20481" builtinId="8" hidden="1"/>
    <cellStyle name="Lien hypertexte" xfId="24387" builtinId="8" hidden="1"/>
    <cellStyle name="Lien hypertexte" xfId="22335" builtinId="8" hidden="1"/>
    <cellStyle name="Lien hypertexte" xfId="17766" builtinId="8" hidden="1"/>
    <cellStyle name="Lien hypertexte" xfId="19561" builtinId="8" hidden="1"/>
    <cellStyle name="Lien hypertexte" xfId="914" builtinId="8" hidden="1"/>
    <cellStyle name="Lien hypertexte" xfId="15836" builtinId="8" hidden="1"/>
    <cellStyle name="Lien hypertexte" xfId="19965" builtinId="8" hidden="1"/>
    <cellStyle name="Lien hypertexte" xfId="18190" builtinId="8" hidden="1"/>
    <cellStyle name="Lien hypertexte" xfId="21913" builtinId="8" hidden="1"/>
    <cellStyle name="Lien hypertexte" xfId="23217" builtinId="8" hidden="1"/>
    <cellStyle name="Lien hypertexte" xfId="20705" builtinId="8" hidden="1"/>
    <cellStyle name="Lien hypertexte" xfId="24415" builtinId="8" hidden="1"/>
    <cellStyle name="Lien hypertexte" xfId="22307" builtinId="8" hidden="1"/>
    <cellStyle name="Lien hypertexte" xfId="17796" builtinId="8" hidden="1"/>
    <cellStyle name="Lien hypertexte" xfId="19589" builtinId="8" hidden="1"/>
    <cellStyle name="Lien hypertexte" xfId="888" builtinId="8" hidden="1"/>
    <cellStyle name="Lien hypertexte" xfId="15864" builtinId="8" hidden="1"/>
    <cellStyle name="Lien hypertexte" xfId="19939" builtinId="8" hidden="1"/>
    <cellStyle name="Lien hypertexte" xfId="18162" builtinId="8" hidden="1"/>
    <cellStyle name="Lien hypertexte" xfId="21941" builtinId="8" hidden="1"/>
    <cellStyle name="Lien hypertexte" xfId="23425" builtinId="8" hidden="1"/>
    <cellStyle name="Lien hypertexte" xfId="20929" builtinId="8" hidden="1"/>
    <cellStyle name="Lien hypertexte" xfId="24445" builtinId="8" hidden="1"/>
    <cellStyle name="Lien hypertexte" xfId="22279" builtinId="8" hidden="1"/>
    <cellStyle name="Lien hypertexte" xfId="17824" builtinId="8" hidden="1"/>
    <cellStyle name="Lien hypertexte" xfId="19619" builtinId="8" hidden="1"/>
    <cellStyle name="Lien hypertexte" xfId="860" builtinId="8" hidden="1"/>
    <cellStyle name="Lien hypertexte" xfId="15892" builtinId="8" hidden="1"/>
    <cellStyle name="Lien hypertexte" xfId="19911" builtinId="8" hidden="1"/>
    <cellStyle name="Lien hypertexte" xfId="18132" builtinId="8" hidden="1"/>
    <cellStyle name="Lien hypertexte" xfId="21971" builtinId="8" hidden="1"/>
    <cellStyle name="Lien hypertexte" xfId="23633" builtinId="8" hidden="1"/>
    <cellStyle name="Lien hypertexte" xfId="21217" builtinId="8" hidden="1"/>
    <cellStyle name="Lien hypertexte" xfId="24475" builtinId="8" hidden="1"/>
    <cellStyle name="Lien hypertexte" xfId="22249" builtinId="8" hidden="1"/>
    <cellStyle name="Lien hypertexte" xfId="17854" builtinId="8" hidden="1"/>
    <cellStyle name="Lien hypertexte" xfId="19645" builtinId="8" hidden="1"/>
    <cellStyle name="Lien hypertexte" xfId="830" builtinId="8" hidden="1"/>
    <cellStyle name="Lien hypertexte" xfId="15922" builtinId="8" hidden="1"/>
    <cellStyle name="Lien hypertexte" xfId="19881" builtinId="8" hidden="1"/>
    <cellStyle name="Lien hypertexte" xfId="17284" builtinId="8" hidden="1"/>
    <cellStyle name="Lien hypertexte" xfId="21999" builtinId="8" hidden="1"/>
    <cellStyle name="Lien hypertexte" xfId="23825" builtinId="8" hidden="1"/>
    <cellStyle name="Lien hypertexte" xfId="21073" builtinId="8" hidden="1"/>
    <cellStyle name="Lien hypertexte" xfId="24505" builtinId="8" hidden="1"/>
    <cellStyle name="Lien hypertexte" xfId="22219" builtinId="8" hidden="1"/>
    <cellStyle name="Lien hypertexte" xfId="17884" builtinId="8" hidden="1"/>
    <cellStyle name="Lien hypertexte" xfId="19673" builtinId="8" hidden="1"/>
    <cellStyle name="Lien hypertexte" xfId="804" builtinId="8" hidden="1"/>
    <cellStyle name="Lien hypertexte" xfId="15536" builtinId="8" hidden="1"/>
    <cellStyle name="Lien hypertexte" xfId="19853" builtinId="8" hidden="1"/>
    <cellStyle name="Lien hypertexte" xfId="18074" builtinId="8" hidden="1"/>
    <cellStyle name="Lien hypertexte" xfId="22029" builtinId="8" hidden="1"/>
    <cellStyle name="Lien hypertexte" xfId="24033" builtinId="8" hidden="1"/>
    <cellStyle name="Lien hypertexte" xfId="20961" builtinId="8" hidden="1"/>
    <cellStyle name="Lien hypertexte" xfId="24533" builtinId="8" hidden="1"/>
    <cellStyle name="Lien hypertexte" xfId="22189" builtinId="8" hidden="1"/>
    <cellStyle name="Lien hypertexte" xfId="17912" builtinId="8" hidden="1"/>
    <cellStyle name="Lien hypertexte" xfId="19701" builtinId="8" hidden="1"/>
    <cellStyle name="Lien hypertexte" xfId="776" builtinId="8" hidden="1"/>
    <cellStyle name="Lien hypertexte" xfId="14640" builtinId="8" hidden="1"/>
    <cellStyle name="Lien hypertexte" xfId="19827" builtinId="8" hidden="1"/>
    <cellStyle name="Lien hypertexte" xfId="18044" builtinId="8" hidden="1"/>
    <cellStyle name="Lien hypertexte" xfId="22059" builtinId="8" hidden="1"/>
    <cellStyle name="Lien hypertexte" xfId="24241" builtinId="8" hidden="1"/>
    <cellStyle name="Lien hypertexte" xfId="21457" builtinId="8" hidden="1"/>
    <cellStyle name="Lien hypertexte" xfId="24563" builtinId="8" hidden="1"/>
    <cellStyle name="Lien hypertexte" xfId="22159" builtinId="8" hidden="1"/>
    <cellStyle name="Lien hypertexte" xfId="24401" builtinId="8" hidden="1"/>
    <cellStyle name="Lien hypertexte" xfId="19735" builtinId="8" hidden="1"/>
    <cellStyle name="Lien hypertexte" xfId="678" builtinId="8" hidden="1"/>
    <cellStyle name="Lien hypertexte" xfId="18022" builtinId="8" hidden="1"/>
    <cellStyle name="Lien hypertexte" xfId="22153" builtinId="8" hidden="1"/>
    <cellStyle name="Lien hypertexte" xfId="19727" builtinId="8" hidden="1"/>
    <cellStyle name="Lien hypertexte" xfId="670" builtinId="8" hidden="1"/>
    <cellStyle name="Lien hypertexte" xfId="20753" builtinId="8" hidden="1"/>
    <cellStyle name="Lien hypertexte" xfId="18028" builtinId="8" hidden="1"/>
    <cellStyle name="Lien hypertexte" xfId="24337" builtinId="8" hidden="1"/>
    <cellStyle name="Lien hypertexte" xfId="24579" builtinId="8" hidden="1"/>
    <cellStyle name="Lien hypertexte" xfId="24585" builtinId="8" hidden="1"/>
    <cellStyle name="Lien hypertexte" xfId="684" builtinId="8" hidden="1"/>
    <cellStyle name="Lien hypertexte" xfId="19553" builtinId="8" hidden="1"/>
    <cellStyle name="Lien hypertexte" xfId="19741" builtinId="8" hidden="1"/>
    <cellStyle name="Lien hypertexte" xfId="19791" builtinId="8" hidden="1"/>
    <cellStyle name="Lien hypertexte" xfId="734" builtinId="8" hidden="1"/>
    <cellStyle name="Lien hypertexte" xfId="22139" builtinId="8" hidden="1"/>
    <cellStyle name="Lien hypertexte" xfId="24449" builtinId="8" hidden="1"/>
    <cellStyle name="Lien hypertexte" xfId="18014" builtinId="8" hidden="1"/>
    <cellStyle name="Lien hypertexte" xfId="17956" builtinId="8" hidden="1"/>
    <cellStyle name="Lien hypertexte" xfId="22087" builtinId="8" hidden="1"/>
    <cellStyle name="Lien hypertexte" xfId="22147" builtinId="8" hidden="1"/>
    <cellStyle name="Lien hypertexte" xfId="21393" builtinId="8" hidden="1"/>
    <cellStyle name="Lien hypertexte" xfId="22073" builtinId="8" hidden="1"/>
    <cellStyle name="Lien hypertexte" xfId="756" builtinId="8" hidden="1"/>
    <cellStyle name="Lien hypertexte" xfId="17942" builtinId="8" hidden="1"/>
    <cellStyle name="Lien hypertexte" xfId="24569" builtinId="8" hidden="1"/>
    <cellStyle name="Lien hypertexte" xfId="19805" builtinId="8" hidden="1"/>
    <cellStyle name="Lien hypertexte" xfId="748" builtinId="8" hidden="1"/>
    <cellStyle name="Lien hypertexte" xfId="17950" builtinId="8" hidden="1"/>
    <cellStyle name="Lien hypertexte" xfId="22079" builtinId="8" hidden="1"/>
    <cellStyle name="Lien hypertexte" xfId="19799" builtinId="8" hidden="1"/>
    <cellStyle name="Lien hypertexte" xfId="742" builtinId="8" hidden="1"/>
    <cellStyle name="Lien hypertexte" xfId="19813" builtinId="8" hidden="1"/>
    <cellStyle name="Lien hypertexte" xfId="664" builtinId="8" hidden="1"/>
    <cellStyle name="Lien hypertexte" xfId="762" builtinId="8" hidden="1"/>
    <cellStyle name="Lien hypertexte" xfId="19715" builtinId="8" hidden="1"/>
    <cellStyle name="Lien hypertexte" xfId="17926" builtinId="8" hidden="1"/>
    <cellStyle name="Lien hypertexte" xfId="22175" builtinId="8" hidden="1"/>
    <cellStyle name="Lien hypertexte" xfId="24549" builtinId="8" hidden="1"/>
    <cellStyle name="Lien hypertexte" xfId="21185" builtinId="8" hidden="1"/>
    <cellStyle name="Lien hypertexte" xfId="24145" builtinId="8" hidden="1"/>
    <cellStyle name="Lien hypertexte" xfId="22043" builtinId="8" hidden="1"/>
    <cellStyle name="Lien hypertexte" xfId="18058" builtinId="8" hidden="1"/>
    <cellStyle name="Lien hypertexte" xfId="19839" builtinId="8" hidden="1"/>
    <cellStyle name="Lien hypertexte" xfId="15088" builtinId="8" hidden="1"/>
    <cellStyle name="Lien hypertexte" xfId="790" builtinId="8" hidden="1"/>
    <cellStyle name="Lien hypertexte" xfId="19687" builtinId="8" hidden="1"/>
    <cellStyle name="Lien hypertexte" xfId="17898" builtinId="8" hidden="1"/>
    <cellStyle name="Lien hypertexte" xfId="22205" builtinId="8" hidden="1"/>
    <cellStyle name="Lien hypertexte" xfId="24519" builtinId="8" hidden="1"/>
    <cellStyle name="Lien hypertexte" xfId="20993" builtinId="8" hidden="1"/>
    <cellStyle name="Lien hypertexte" xfId="23937" builtinId="8" hidden="1"/>
    <cellStyle name="Lien hypertexte" xfId="22013" builtinId="8" hidden="1"/>
    <cellStyle name="Lien hypertexte" xfId="18088" builtinId="8" hidden="1"/>
    <cellStyle name="Lien hypertexte" xfId="19867" builtinId="8" hidden="1"/>
    <cellStyle name="Lien hypertexte" xfId="15920" builtinId="8" hidden="1"/>
    <cellStyle name="Lien hypertexte" xfId="816" builtinId="8" hidden="1"/>
    <cellStyle name="Lien hypertexte" xfId="19659" builtinId="8" hidden="1"/>
    <cellStyle name="Lien hypertexte" xfId="17440" builtinId="8" hidden="1"/>
    <cellStyle name="Lien hypertexte" xfId="22233" builtinId="8" hidden="1"/>
    <cellStyle name="Lien hypertexte" xfId="24489" builtinId="8" hidden="1"/>
    <cellStyle name="Lien hypertexte" xfId="21137" builtinId="8" hidden="1"/>
    <cellStyle name="Lien hypertexte" xfId="23729" builtinId="8" hidden="1"/>
    <cellStyle name="Lien hypertexte" xfId="21987" builtinId="8" hidden="1"/>
    <cellStyle name="Lien hypertexte" xfId="18116" builtinId="8" hidden="1"/>
    <cellStyle name="Lien hypertexte" xfId="19897" builtinId="8" hidden="1"/>
    <cellStyle name="Lien hypertexte" xfId="15906" builtinId="8" hidden="1"/>
    <cellStyle name="Lien hypertexte" xfId="846" builtinId="8" hidden="1"/>
    <cellStyle name="Lien hypertexte" xfId="19631" builtinId="8" hidden="1"/>
    <cellStyle name="Lien hypertexte" xfId="17838" builtinId="8" hidden="1"/>
    <cellStyle name="Lien hypertexte" xfId="22263" builtinId="8" hidden="1"/>
    <cellStyle name="Lien hypertexte" xfId="24459" builtinId="8" hidden="1"/>
    <cellStyle name="Lien hypertexte" xfId="21297" builtinId="8" hidden="1"/>
    <cellStyle name="Lien hypertexte" xfId="23521" builtinId="8" hidden="1"/>
    <cellStyle name="Lien hypertexte" xfId="21957" builtinId="8" hidden="1"/>
    <cellStyle name="Lien hypertexte" xfId="18146" builtinId="8" hidden="1"/>
    <cellStyle name="Lien hypertexte" xfId="19925" builtinId="8" hidden="1"/>
    <cellStyle name="Lien hypertexte" xfId="15878" builtinId="8" hidden="1"/>
    <cellStyle name="Lien hypertexte" xfId="874" builtinId="8" hidden="1"/>
    <cellStyle name="Lien hypertexte" xfId="19605" builtinId="8" hidden="1"/>
    <cellStyle name="Lien hypertexte" xfId="17810" builtinId="8" hidden="1"/>
    <cellStyle name="Lien hypertexte" xfId="22293" builtinId="8" hidden="1"/>
    <cellStyle name="Lien hypertexte" xfId="24431" builtinId="8" hidden="1"/>
    <cellStyle name="Lien hypertexte" xfId="20817" builtinId="8" hidden="1"/>
    <cellStyle name="Lien hypertexte" xfId="23313" builtinId="8" hidden="1"/>
    <cellStyle name="Lien hypertexte" xfId="21927" builtinId="8" hidden="1"/>
    <cellStyle name="Lien hypertexte" xfId="18176" builtinId="8" hidden="1"/>
    <cellStyle name="Lien hypertexte" xfId="19951" builtinId="8" hidden="1"/>
    <cellStyle name="Lien hypertexte" xfId="15848" builtinId="8" hidden="1"/>
    <cellStyle name="Lien hypertexte" xfId="902" builtinId="8" hidden="1"/>
    <cellStyle name="Lien hypertexte" xfId="19575" builtinId="8" hidden="1"/>
    <cellStyle name="Lien hypertexte" xfId="17782" builtinId="8" hidden="1"/>
    <cellStyle name="Lien hypertexte" xfId="22323" builtinId="8" hidden="1"/>
    <cellStyle name="Lien hypertexte" xfId="24403" builtinId="8" hidden="1"/>
    <cellStyle name="Lien hypertexte" xfId="20593" builtinId="8" hidden="1"/>
    <cellStyle name="Lien hypertexte" xfId="23121" builtinId="8" hidden="1"/>
    <cellStyle name="Lien hypertexte" xfId="21897" builtinId="8" hidden="1"/>
    <cellStyle name="Lien hypertexte" xfId="18206" builtinId="8" hidden="1"/>
    <cellStyle name="Lien hypertexte" xfId="19979" builtinId="8" hidden="1"/>
    <cellStyle name="Lien hypertexte" xfId="15822" builtinId="8" hidden="1"/>
    <cellStyle name="Lien hypertexte" xfId="928" builtinId="8" hidden="1"/>
    <cellStyle name="Lien hypertexte" xfId="19547" builtinId="8" hidden="1"/>
    <cellStyle name="Lien hypertexte" xfId="15662" builtinId="8" hidden="1"/>
    <cellStyle name="Lien hypertexte" xfId="22351" builtinId="8" hidden="1"/>
    <cellStyle name="Lien hypertexte" xfId="24373" builtinId="8" hidden="1"/>
    <cellStyle name="Lien hypertexte" xfId="20369" builtinId="8" hidden="1"/>
    <cellStyle name="Lien hypertexte" xfId="22913" builtinId="8" hidden="1"/>
    <cellStyle name="Lien hypertexte" xfId="21867" builtinId="8" hidden="1"/>
    <cellStyle name="Lien hypertexte" xfId="18234" builtinId="8" hidden="1"/>
    <cellStyle name="Lien hypertexte" xfId="20007" builtinId="8" hidden="1"/>
    <cellStyle name="Lien hypertexte" xfId="15794" builtinId="8" hidden="1"/>
    <cellStyle name="Lien hypertexte" xfId="956" builtinId="8" hidden="1"/>
    <cellStyle name="Lien hypertexte" xfId="20699" builtinId="8" hidden="1"/>
    <cellStyle name="Lien hypertexte" xfId="17722" builtinId="8" hidden="1"/>
    <cellStyle name="Lien hypertexte" xfId="22379" builtinId="8" hidden="1"/>
    <cellStyle name="Lien hypertexte" xfId="24343" builtinId="8" hidden="1"/>
    <cellStyle name="Lien hypertexte" xfId="20161" builtinId="8" hidden="1"/>
    <cellStyle name="Lien hypertexte" xfId="22705" builtinId="8" hidden="1"/>
    <cellStyle name="Lien hypertexte" xfId="21839" builtinId="8" hidden="1"/>
    <cellStyle name="Lien hypertexte" xfId="18264" builtinId="8" hidden="1"/>
    <cellStyle name="Lien hypertexte" xfId="20035" builtinId="8" hidden="1"/>
    <cellStyle name="Lien hypertexte" xfId="15764" builtinId="8" hidden="1"/>
    <cellStyle name="Lien hypertexte" xfId="986" builtinId="8" hidden="1"/>
    <cellStyle name="Lien hypertexte" xfId="21577" builtinId="8" hidden="1"/>
    <cellStyle name="Lien hypertexte" xfId="17694" builtinId="8" hidden="1"/>
    <cellStyle name="Lien hypertexte" xfId="22409" builtinId="8" hidden="1"/>
    <cellStyle name="Lien hypertexte" xfId="24313" builtinId="8" hidden="1"/>
    <cellStyle name="Lien hypertexte" xfId="19937" builtinId="8" hidden="1"/>
    <cellStyle name="Lien hypertexte" xfId="22497" builtinId="8" hidden="1"/>
    <cellStyle name="Lien hypertexte" xfId="21811" builtinId="8" hidden="1"/>
    <cellStyle name="Lien hypertexte" xfId="18294" builtinId="8" hidden="1"/>
    <cellStyle name="Lien hypertexte" xfId="20063" builtinId="8" hidden="1"/>
    <cellStyle name="Lien hypertexte" xfId="15738" builtinId="8" hidden="1"/>
    <cellStyle name="Lien hypertexte" xfId="1012" builtinId="8" hidden="1"/>
    <cellStyle name="Lien hypertexte" xfId="21717" builtinId="8" hidden="1"/>
    <cellStyle name="Lien hypertexte" xfId="17664" builtinId="8" hidden="1"/>
    <cellStyle name="Lien hypertexte" xfId="22439" builtinId="8" hidden="1"/>
    <cellStyle name="Lien hypertexte" xfId="24285" builtinId="8" hidden="1"/>
    <cellStyle name="Lien hypertexte" xfId="19713" builtinId="8" hidden="1"/>
    <cellStyle name="Lien hypertexte" xfId="22289" builtinId="8" hidden="1"/>
    <cellStyle name="Lien hypertexte" xfId="21781" builtinId="8" hidden="1"/>
    <cellStyle name="Lien hypertexte" xfId="18339" builtinId="8" hidden="1"/>
    <cellStyle name="Lien hypertexte" xfId="20091" builtinId="8" hidden="1"/>
    <cellStyle name="Lien hypertexte" xfId="15708" builtinId="8" hidden="1"/>
    <cellStyle name="Lien hypertexte" xfId="1040" builtinId="8" hidden="1"/>
    <cellStyle name="Lien hypertexte" xfId="21689" builtinId="8" hidden="1"/>
    <cellStyle name="Lien hypertexte" xfId="17596" builtinId="8" hidden="1"/>
    <cellStyle name="Lien hypertexte" xfId="22469" builtinId="8" hidden="1"/>
    <cellStyle name="Lien hypertexte" xfId="24255" builtinId="8" hidden="1"/>
    <cellStyle name="Lien hypertexte" xfId="19505" builtinId="8" hidden="1"/>
    <cellStyle name="Lien hypertexte" xfId="22097" builtinId="8" hidden="1"/>
    <cellStyle name="Lien hypertexte" xfId="21751" builtinId="8" hidden="1"/>
    <cellStyle name="Lien hypertexte" xfId="18367" builtinId="8" hidden="1"/>
    <cellStyle name="Lien hypertexte" xfId="20119" builtinId="8" hidden="1"/>
    <cellStyle name="Lien hypertexte" xfId="15680" builtinId="8" hidden="1"/>
    <cellStyle name="Lien hypertexte" xfId="1068" builtinId="8" hidden="1"/>
    <cellStyle name="Lien hypertexte" xfId="21661" builtinId="8" hidden="1"/>
    <cellStyle name="Lien hypertexte" xfId="17604" builtinId="8" hidden="1"/>
    <cellStyle name="Lien hypertexte" xfId="22499" builtinId="8" hidden="1"/>
    <cellStyle name="Lien hypertexte" xfId="24227" builtinId="8" hidden="1"/>
    <cellStyle name="Lien hypertexte" xfId="19281" builtinId="8" hidden="1"/>
    <cellStyle name="Lien hypertexte" xfId="21889" builtinId="8" hidden="1"/>
    <cellStyle name="Lien hypertexte" xfId="20641" builtinId="8" hidden="1"/>
    <cellStyle name="Lien hypertexte" xfId="18397" builtinId="8" hidden="1"/>
    <cellStyle name="Lien hypertexte" xfId="20147" builtinId="8" hidden="1"/>
    <cellStyle name="Lien hypertexte" xfId="15650" builtinId="8" hidden="1"/>
    <cellStyle name="Lien hypertexte" xfId="1098" builtinId="8" hidden="1"/>
    <cellStyle name="Lien hypertexte" xfId="21631" builtinId="8" hidden="1"/>
    <cellStyle name="Lien hypertexte" xfId="17576" builtinId="8" hidden="1"/>
    <cellStyle name="Lien hypertexte" xfId="22525" builtinId="8" hidden="1"/>
    <cellStyle name="Lien hypertexte" xfId="24197" builtinId="8" hidden="1"/>
    <cellStyle name="Lien hypertexte" xfId="19057" builtinId="8" hidden="1"/>
    <cellStyle name="Lien hypertexte" xfId="21681" builtinId="8" hidden="1"/>
    <cellStyle name="Lien hypertexte" xfId="19105" builtinId="8" hidden="1"/>
    <cellStyle name="Lien hypertexte" xfId="18427" builtinId="8" hidden="1"/>
    <cellStyle name="Lien hypertexte" xfId="20173" builtinId="8" hidden="1"/>
    <cellStyle name="Lien hypertexte" xfId="15624" builtinId="8" hidden="1"/>
    <cellStyle name="Lien hypertexte" xfId="1124" builtinId="8" hidden="1"/>
    <cellStyle name="Lien hypertexte" xfId="21605" builtinId="8" hidden="1"/>
    <cellStyle name="Lien hypertexte" xfId="17546" builtinId="8" hidden="1"/>
    <cellStyle name="Lien hypertexte" xfId="22555" builtinId="8" hidden="1"/>
    <cellStyle name="Lien hypertexte" xfId="24167" builtinId="8" hidden="1"/>
    <cellStyle name="Lien hypertexte" xfId="15936" builtinId="8" hidden="1"/>
    <cellStyle name="Lien hypertexte" xfId="22817" builtinId="8" hidden="1"/>
    <cellStyle name="Lien hypertexte" xfId="16104" builtinId="8" hidden="1"/>
    <cellStyle name="Lien hypertexte" xfId="18455" builtinId="8" hidden="1"/>
    <cellStyle name="Lien hypertexte" xfId="20203" builtinId="8" hidden="1"/>
    <cellStyle name="Lien hypertexte" xfId="15594" builtinId="8" hidden="1"/>
    <cellStyle name="Lien hypertexte" xfId="51" builtinId="8" hidden="1"/>
    <cellStyle name="Lien hypertexte" xfId="21575" builtinId="8" hidden="1"/>
    <cellStyle name="Lien hypertexte" xfId="17300" builtinId="8" hidden="1"/>
    <cellStyle name="Lien hypertexte" xfId="23523" builtinId="8" hidden="1"/>
    <cellStyle name="Lien hypertexte" xfId="24139" builtinId="8" hidden="1"/>
    <cellStyle name="Lien hypertexte" xfId="15964" builtinId="8" hidden="1"/>
    <cellStyle name="Lien hypertexte" xfId="24429" builtinId="8" hidden="1"/>
    <cellStyle name="Lien hypertexte" xfId="16310" builtinId="8" hidden="1"/>
    <cellStyle name="Lien hypertexte" xfId="18485" builtinId="8" hidden="1"/>
    <cellStyle name="Lien hypertexte" xfId="20231" builtinId="8" hidden="1"/>
    <cellStyle name="Lien hypertexte" xfId="15566" builtinId="8" hidden="1"/>
    <cellStyle name="Lien hypertexte" xfId="14534" builtinId="8" hidden="1"/>
    <cellStyle name="Lien hypertexte" xfId="21547" builtinId="8" hidden="1"/>
    <cellStyle name="Lien hypertexte" xfId="17490" builtinId="8" hidden="1"/>
    <cellStyle name="Lien hypertexte" xfId="22615" builtinId="8" hidden="1"/>
    <cellStyle name="Lien hypertexte" xfId="24109" builtinId="8" hidden="1"/>
    <cellStyle name="Lien hypertexte" xfId="15994" builtinId="8" hidden="1"/>
    <cellStyle name="Lien hypertexte" xfId="23991" builtinId="8" hidden="1"/>
    <cellStyle name="Lien hypertexte" xfId="16514" builtinId="8" hidden="1"/>
    <cellStyle name="Lien hypertexte" xfId="18515" builtinId="8" hidden="1"/>
    <cellStyle name="Lien hypertexte" xfId="19189" builtinId="8" hidden="1"/>
    <cellStyle name="Lien hypertexte" xfId="15540" builtinId="8" hidden="1"/>
    <cellStyle name="Lien hypertexte" xfId="14560" builtinId="8" hidden="1"/>
    <cellStyle name="Lien hypertexte" xfId="21519" builtinId="8" hidden="1"/>
    <cellStyle name="Lien hypertexte" xfId="17460" builtinId="8" hidden="1"/>
    <cellStyle name="Lien hypertexte" xfId="22645" builtinId="8" hidden="1"/>
    <cellStyle name="Lien hypertexte" xfId="24079" builtinId="8" hidden="1"/>
    <cellStyle name="Lien hypertexte" xfId="16024" builtinId="8" hidden="1"/>
    <cellStyle name="Lien hypertexte" xfId="23551" builtinId="8" hidden="1"/>
    <cellStyle name="Lien hypertexte" xfId="16718" builtinId="8" hidden="1"/>
    <cellStyle name="Lien hypertexte" xfId="18543" builtinId="8" hidden="1"/>
    <cellStyle name="Lien hypertexte" xfId="19215" builtinId="8" hidden="1"/>
    <cellStyle name="Lien hypertexte" xfId="15510" builtinId="8" hidden="1"/>
    <cellStyle name="Lien hypertexte" xfId="14590" builtinId="8" hidden="1"/>
    <cellStyle name="Lien hypertexte" xfId="21491" builtinId="8" hidden="1"/>
    <cellStyle name="Lien hypertexte" xfId="17430" builtinId="8" hidden="1"/>
    <cellStyle name="Lien hypertexte" xfId="22671" builtinId="8" hidden="1"/>
    <cellStyle name="Lien hypertexte" xfId="24051" builtinId="8" hidden="1"/>
    <cellStyle name="Lien hypertexte" xfId="16052" builtinId="8" hidden="1"/>
    <cellStyle name="Lien hypertexte" xfId="23113" builtinId="8" hidden="1"/>
    <cellStyle name="Lien hypertexte" xfId="16924" builtinId="8" hidden="1"/>
    <cellStyle name="Lien hypertexte" xfId="18573" builtinId="8" hidden="1"/>
    <cellStyle name="Lien hypertexte" xfId="19243" builtinId="8" hidden="1"/>
    <cellStyle name="Lien hypertexte" xfId="15482" builtinId="8" hidden="1"/>
    <cellStyle name="Lien hypertexte" xfId="14618" builtinId="8" hidden="1"/>
    <cellStyle name="Lien hypertexte" xfId="21463" builtinId="8" hidden="1"/>
    <cellStyle name="Lien hypertexte" xfId="17752" builtinId="8" hidden="1"/>
    <cellStyle name="Lien hypertexte" xfId="22701" builtinId="8" hidden="1"/>
    <cellStyle name="Lien hypertexte" xfId="24021" builtinId="8" hidden="1"/>
    <cellStyle name="Lien hypertexte" xfId="16082" builtinId="8" hidden="1"/>
    <cellStyle name="Lien hypertexte" xfId="22675" builtinId="8" hidden="1"/>
    <cellStyle name="Lien hypertexte" xfId="17128" builtinId="8" hidden="1"/>
    <cellStyle name="Lien hypertexte" xfId="18603" builtinId="8" hidden="1"/>
    <cellStyle name="Lien hypertexte" xfId="19271" builtinId="8" hidden="1"/>
    <cellStyle name="Lien hypertexte" xfId="15452" builtinId="8" hidden="1"/>
    <cellStyle name="Lien hypertexte" xfId="356" builtinId="8" hidden="1"/>
    <cellStyle name="Lien hypertexte" xfId="21435" builtinId="8" hidden="1"/>
    <cellStyle name="Lien hypertexte" xfId="17372" builtinId="8" hidden="1"/>
    <cellStyle name="Lien hypertexte" xfId="22731" builtinId="8" hidden="1"/>
    <cellStyle name="Lien hypertexte" xfId="23993" builtinId="8" hidden="1"/>
    <cellStyle name="Lien hypertexte" xfId="16110" builtinId="8" hidden="1"/>
    <cellStyle name="Lien hypertexte" xfId="22235" builtinId="8" hidden="1"/>
    <cellStyle name="Lien hypertexte" xfId="17334" builtinId="8" hidden="1"/>
    <cellStyle name="Lien hypertexte" xfId="18633" builtinId="8" hidden="1"/>
    <cellStyle name="Lien hypertexte" xfId="19299" builtinId="8" hidden="1"/>
    <cellStyle name="Lien hypertexte" xfId="15426" builtinId="8" hidden="1"/>
    <cellStyle name="Lien hypertexte" xfId="382" builtinId="8" hidden="1"/>
    <cellStyle name="Lien hypertexte" xfId="21405" builtinId="8" hidden="1"/>
    <cellStyle name="Lien hypertexte" xfId="17342" builtinId="8" hidden="1"/>
    <cellStyle name="Lien hypertexte" xfId="22761" builtinId="8" hidden="1"/>
    <cellStyle name="Lien hypertexte" xfId="23963" builtinId="8" hidden="1"/>
    <cellStyle name="Lien hypertexte" xfId="16140" builtinId="8" hidden="1"/>
    <cellStyle name="Lien hypertexte" xfId="21797" builtinId="8" hidden="1"/>
    <cellStyle name="Lien hypertexte" xfId="17538" builtinId="8" hidden="1"/>
    <cellStyle name="Lien hypertexte" xfId="18661" builtinId="8" hidden="1"/>
    <cellStyle name="Lien hypertexte" xfId="19327" builtinId="8" hidden="1"/>
    <cellStyle name="Lien hypertexte" xfId="15396" builtinId="8" hidden="1"/>
    <cellStyle name="Lien hypertexte" xfId="410" builtinId="8" hidden="1"/>
    <cellStyle name="Lien hypertexte" xfId="21379" builtinId="8" hidden="1"/>
    <cellStyle name="Lien hypertexte" xfId="17312" builtinId="8" hidden="1"/>
    <cellStyle name="Lien hypertexte" xfId="22791" builtinId="8" hidden="1"/>
    <cellStyle name="Lien hypertexte" xfId="23933" builtinId="8" hidden="1"/>
    <cellStyle name="Lien hypertexte" xfId="16168" builtinId="8" hidden="1"/>
    <cellStyle name="Lien hypertexte" xfId="20271" builtinId="8" hidden="1"/>
    <cellStyle name="Lien hypertexte" xfId="17742" builtinId="8" hidden="1"/>
    <cellStyle name="Lien hypertexte" xfId="18691" builtinId="8" hidden="1"/>
    <cellStyle name="Lien hypertexte" xfId="19355" builtinId="8" hidden="1"/>
    <cellStyle name="Lien hypertexte" xfId="15368" builtinId="8" hidden="1"/>
    <cellStyle name="Lien hypertexte" xfId="438" builtinId="8" hidden="1"/>
    <cellStyle name="Lien hypertexte" xfId="21349" builtinId="8" hidden="1"/>
    <cellStyle name="Lien hypertexte" xfId="14756" builtinId="8" hidden="1"/>
    <cellStyle name="Lien hypertexte" xfId="22819" builtinId="8" hidden="1"/>
    <cellStyle name="Lien hypertexte" xfId="23903" builtinId="8" hidden="1"/>
    <cellStyle name="Lien hypertexte" xfId="16198" builtinId="8" hidden="1"/>
    <cellStyle name="Lien hypertexte" xfId="20299" builtinId="8" hidden="1"/>
    <cellStyle name="Lien hypertexte" xfId="17948" builtinId="8" hidden="1"/>
    <cellStyle name="Lien hypertexte" xfId="18719" builtinId="8" hidden="1"/>
    <cellStyle name="Lien hypertexte" xfId="19383" builtinId="8" hidden="1"/>
    <cellStyle name="Lien hypertexte" xfId="15340" builtinId="8" hidden="1"/>
    <cellStyle name="Lien hypertexte" xfId="466" builtinId="8" hidden="1"/>
    <cellStyle name="Lien hypertexte" xfId="21321" builtinId="8" hidden="1"/>
    <cellStyle name="Lien hypertexte" xfId="17254" builtinId="8" hidden="1"/>
    <cellStyle name="Lien hypertexte" xfId="22847" builtinId="8" hidden="1"/>
    <cellStyle name="Lien hypertexte" xfId="23875" builtinId="8" hidden="1"/>
    <cellStyle name="Lien hypertexte" xfId="16228" builtinId="8" hidden="1"/>
    <cellStyle name="Lien hypertexte" xfId="20327" builtinId="8" hidden="1"/>
    <cellStyle name="Lien hypertexte" xfId="18152" builtinId="8" hidden="1"/>
    <cellStyle name="Lien hypertexte" xfId="18747" builtinId="8" hidden="1"/>
    <cellStyle name="Lien hypertexte" xfId="19411" builtinId="8" hidden="1"/>
    <cellStyle name="Lien hypertexte" xfId="15312" builtinId="8" hidden="1"/>
    <cellStyle name="Lien hypertexte" xfId="494" builtinId="8" hidden="1"/>
    <cellStyle name="Lien hypertexte" xfId="21293" builtinId="8" hidden="1"/>
    <cellStyle name="Lien hypertexte" xfId="17224" builtinId="8" hidden="1"/>
    <cellStyle name="Lien hypertexte" xfId="22877" builtinId="8" hidden="1"/>
    <cellStyle name="Lien hypertexte" xfId="23847" builtinId="8" hidden="1"/>
    <cellStyle name="Lien hypertexte" xfId="16256" builtinId="8" hidden="1"/>
    <cellStyle name="Lien hypertexte" xfId="20357" builtinId="8" hidden="1"/>
    <cellStyle name="Lien hypertexte" xfId="18375" builtinId="8" hidden="1"/>
    <cellStyle name="Lien hypertexte" xfId="18777" builtinId="8" hidden="1"/>
    <cellStyle name="Lien hypertexte" xfId="19437" builtinId="8" hidden="1"/>
    <cellStyle name="Lien hypertexte" xfId="15284" builtinId="8" hidden="1"/>
    <cellStyle name="Lien hypertexte" xfId="522" builtinId="8" hidden="1"/>
    <cellStyle name="Lien hypertexte" xfId="21263" builtinId="8" hidden="1"/>
    <cellStyle name="Lien hypertexte" xfId="17194" builtinId="8" hidden="1"/>
    <cellStyle name="Lien hypertexte" xfId="22907" builtinId="8" hidden="1"/>
    <cellStyle name="Lien hypertexte" xfId="23817" builtinId="8" hidden="1"/>
    <cellStyle name="Lien hypertexte" xfId="16286" builtinId="8" hidden="1"/>
    <cellStyle name="Lien hypertexte" xfId="20383" builtinId="8" hidden="1"/>
    <cellStyle name="Lien hypertexte" xfId="18579" builtinId="8" hidden="1"/>
    <cellStyle name="Lien hypertexte" xfId="18807" builtinId="8" hidden="1"/>
    <cellStyle name="Lien hypertexte" xfId="19465" builtinId="8" hidden="1"/>
    <cellStyle name="Lien hypertexte" xfId="15254" builtinId="8" hidden="1"/>
    <cellStyle name="Lien hypertexte" xfId="550" builtinId="8" hidden="1"/>
    <cellStyle name="Lien hypertexte" xfId="21237" builtinId="8" hidden="1"/>
    <cellStyle name="Lien hypertexte" xfId="17908" builtinId="8" hidden="1"/>
    <cellStyle name="Lien hypertexte" xfId="22937" builtinId="8" hidden="1"/>
    <cellStyle name="Lien hypertexte" xfId="23787" builtinId="8" hidden="1"/>
    <cellStyle name="Lien hypertexte" xfId="16316" builtinId="8" hidden="1"/>
    <cellStyle name="Lien hypertexte" xfId="20413" builtinId="8" hidden="1"/>
    <cellStyle name="Lien hypertexte" xfId="18783" builtinId="8" hidden="1"/>
    <cellStyle name="Lien hypertexte" xfId="18837" builtinId="8" hidden="1"/>
    <cellStyle name="Lien hypertexte" xfId="19493" builtinId="8" hidden="1"/>
    <cellStyle name="Lien hypertexte" xfId="15228" builtinId="8" hidden="1"/>
    <cellStyle name="Lien hypertexte" xfId="576" builtinId="8" hidden="1"/>
    <cellStyle name="Lien hypertexte" xfId="21207" builtinId="8" hidden="1"/>
    <cellStyle name="Lien hypertexte" xfId="17138" builtinId="8" hidden="1"/>
    <cellStyle name="Lien hypertexte" xfId="22965" builtinId="8" hidden="1"/>
    <cellStyle name="Lien hypertexte" xfId="23757" builtinId="8" hidden="1"/>
    <cellStyle name="Lien hypertexte" xfId="16346" builtinId="8" hidden="1"/>
    <cellStyle name="Lien hypertexte" xfId="20441" builtinId="8" hidden="1"/>
    <cellStyle name="Lien hypertexte" xfId="16688" builtinId="8" hidden="1"/>
    <cellStyle name="Lien hypertexte" xfId="18561" builtinId="8" hidden="1"/>
    <cellStyle name="Lien hypertexte" xfId="19519" builtinId="8" hidden="1"/>
    <cellStyle name="Lien hypertexte" xfId="15198" builtinId="8" hidden="1"/>
    <cellStyle name="Lien hypertexte" xfId="604" builtinId="8" hidden="1"/>
    <cellStyle name="Lien hypertexte" xfId="21179" builtinId="8" hidden="1"/>
    <cellStyle name="Lien hypertexte" xfId="17108" builtinId="8" hidden="1"/>
    <cellStyle name="Lien hypertexte" xfId="22995" builtinId="8" hidden="1"/>
    <cellStyle name="Lien hypertexte" xfId="23727" builtinId="8" hidden="1"/>
    <cellStyle name="Lien hypertexte" xfId="16374" builtinId="8" hidden="1"/>
    <cellStyle name="Lien hypertexte" xfId="20469" builtinId="8" hidden="1"/>
    <cellStyle name="Lien hypertexte" xfId="14778" builtinId="8" hidden="1"/>
    <cellStyle name="Lien hypertexte" xfId="18096" builtinId="8" hidden="1"/>
    <cellStyle name="Lien hypertexte" xfId="19027" builtinId="8" hidden="1"/>
    <cellStyle name="Lien hypertexte" xfId="15170" builtinId="8" hidden="1"/>
    <cellStyle name="Lien hypertexte" xfId="632" builtinId="8" hidden="1"/>
    <cellStyle name="Lien hypertexte" xfId="21151" builtinId="8" hidden="1"/>
    <cellStyle name="Lien hypertexte" xfId="17080" builtinId="8" hidden="1"/>
    <cellStyle name="Lien hypertexte" xfId="23023" builtinId="8" hidden="1"/>
    <cellStyle name="Lien hypertexte" xfId="23701" builtinId="8" hidden="1"/>
    <cellStyle name="Lien hypertexte" xfId="16404" builtinId="8" hidden="1"/>
    <cellStyle name="Lien hypertexte" xfId="20499" builtinId="8" hidden="1"/>
    <cellStyle name="Lien hypertexte" xfId="14976" builtinId="8" hidden="1"/>
    <cellStyle name="Lien hypertexte" xfId="17648" builtinId="8" hidden="1"/>
    <cellStyle name="Lien hypertexte" xfId="19053" builtinId="8" hidden="1"/>
    <cellStyle name="Lien hypertexte" xfId="15142" builtinId="8" hidden="1"/>
    <cellStyle name="Lien hypertexte" xfId="202" builtinId="8" hidden="1"/>
    <cellStyle name="Lien hypertexte" xfId="17350" builtinId="8" hidden="1"/>
    <cellStyle name="Lien hypertexte" xfId="21423" builtinId="8" hidden="1"/>
    <cellStyle name="Lien hypertexte" xfId="22465" builtinId="8" hidden="1"/>
    <cellStyle name="Lien hypertexte" xfId="20813" builtinId="8" hidden="1"/>
    <cellStyle name="Lien hypertexte" xfId="16434" builtinId="8" hidden="1"/>
    <cellStyle name="Lien hypertexte" xfId="20525" builtinId="8" hidden="1"/>
    <cellStyle name="Lien hypertexte" xfId="15174" builtinId="8" hidden="1"/>
    <cellStyle name="Lien hypertexte" xfId="17232" builtinId="8" hidden="1"/>
    <cellStyle name="Lien hypertexte" xfId="19081" builtinId="8" hidden="1"/>
    <cellStyle name="Lien hypertexte" xfId="15114" builtinId="8" hidden="1"/>
    <cellStyle name="Lien hypertexte" xfId="230" builtinId="8" hidden="1"/>
    <cellStyle name="Lien hypertexte" xfId="21095" builtinId="8" hidden="1"/>
    <cellStyle name="Lien hypertexte" xfId="17020" builtinId="8" hidden="1"/>
    <cellStyle name="Lien hypertexte" xfId="23083" builtinId="8" hidden="1"/>
    <cellStyle name="Lien hypertexte" xfId="23641" builtinId="8" hidden="1"/>
    <cellStyle name="Lien hypertexte" xfId="16460" builtinId="8" hidden="1"/>
    <cellStyle name="Lien hypertexte" xfId="20555" builtinId="8" hidden="1"/>
    <cellStyle name="Lien hypertexte" xfId="15372" builtinId="8" hidden="1"/>
    <cellStyle name="Lien hypertexte" xfId="16784" builtinId="8" hidden="1"/>
    <cellStyle name="Lien hypertexte" xfId="19109" builtinId="8" hidden="1"/>
    <cellStyle name="Lien hypertexte" xfId="15084" builtinId="8" hidden="1"/>
    <cellStyle name="Lien hypertexte" xfId="258" builtinId="8" hidden="1"/>
    <cellStyle name="Lien hypertexte" xfId="21067" builtinId="8" hidden="1"/>
    <cellStyle name="Lien hypertexte" xfId="16990" builtinId="8" hidden="1"/>
    <cellStyle name="Lien hypertexte" xfId="23111" builtinId="8" hidden="1"/>
    <cellStyle name="Lien hypertexte" xfId="23611" builtinId="8" hidden="1"/>
    <cellStyle name="Lien hypertexte" xfId="16490" builtinId="8" hidden="1"/>
    <cellStyle name="Lien hypertexte" xfId="20583" builtinId="8" hidden="1"/>
    <cellStyle name="Lien hypertexte" xfId="15570" builtinId="8" hidden="1"/>
    <cellStyle name="Lien hypertexte" xfId="16336" builtinId="8" hidden="1"/>
    <cellStyle name="Lien hypertexte" xfId="19135" builtinId="8" hidden="1"/>
    <cellStyle name="Lien hypertexte" xfId="15056" builtinId="8" hidden="1"/>
    <cellStyle name="Lien hypertexte" xfId="286" builtinId="8" hidden="1"/>
    <cellStyle name="Lien hypertexte" xfId="21037" builtinId="8" hidden="1"/>
    <cellStyle name="Lien hypertexte" xfId="16962" builtinId="8" hidden="1"/>
    <cellStyle name="Lien hypertexte" xfId="23141" builtinId="8" hidden="1"/>
    <cellStyle name="Lien hypertexte" xfId="23581" builtinId="8" hidden="1"/>
    <cellStyle name="Lien hypertexte" xfId="16520" builtinId="8" hidden="1"/>
    <cellStyle name="Lien hypertexte" xfId="20611" builtinId="8" hidden="1"/>
    <cellStyle name="Lien hypertexte" xfId="15768" builtinId="8" hidden="1"/>
    <cellStyle name="Lien hypertexte" xfId="14630" builtinId="8" hidden="1"/>
    <cellStyle name="Lien hypertexte" xfId="19163" builtinId="8" hidden="1"/>
    <cellStyle name="Lien hypertexte" xfId="15030" builtinId="8" hidden="1"/>
    <cellStyle name="Lien hypertexte" xfId="312" builtinId="8" hidden="1"/>
    <cellStyle name="Lien hypertexte" xfId="21011" builtinId="8" hidden="1"/>
    <cellStyle name="Lien hypertexte" xfId="18062" builtinId="8" hidden="1"/>
    <cellStyle name="Lien hypertexte" xfId="23171" builtinId="8" hidden="1"/>
    <cellStyle name="Lien hypertexte" xfId="23555" builtinId="8" hidden="1"/>
    <cellStyle name="Lien hypertexte" xfId="16550" builtinId="8" hidden="1"/>
    <cellStyle name="Lien hypertexte" xfId="20639" builtinId="8" hidden="1"/>
    <cellStyle name="Lien hypertexte" xfId="14960" builtinId="8" hidden="1"/>
    <cellStyle name="Lien hypertexte" xfId="14658" builtinId="8" hidden="1"/>
    <cellStyle name="Lien hypertexte" xfId="18935" builtinId="8" hidden="1"/>
    <cellStyle name="Lien hypertexte" xfId="15000" builtinId="8" hidden="1"/>
    <cellStyle name="Lien hypertexte" xfId="340" builtinId="8" hidden="1"/>
    <cellStyle name="Lien hypertexte" xfId="20981" builtinId="8" hidden="1"/>
    <cellStyle name="Lien hypertexte" xfId="16902" builtinId="8" hidden="1"/>
    <cellStyle name="Lien hypertexte" xfId="23199" builtinId="8" hidden="1"/>
    <cellStyle name="Lien hypertexte" xfId="23525" builtinId="8" hidden="1"/>
    <cellStyle name="Lien hypertexte" xfId="16578" builtinId="8" hidden="1"/>
    <cellStyle name="Lien hypertexte" xfId="20667" builtinId="8" hidden="1"/>
    <cellStyle name="Lien hypertexte" xfId="834" builtinId="8" hidden="1"/>
    <cellStyle name="Lien hypertexte" xfId="14686" builtinId="8" hidden="1"/>
    <cellStyle name="Lien hypertexte" xfId="18963" builtinId="8" hidden="1"/>
    <cellStyle name="Lien hypertexte" xfId="14972" builtinId="8" hidden="1"/>
    <cellStyle name="Lien hypertexte" xfId="144" builtinId="8" hidden="1"/>
    <cellStyle name="Lien hypertexte" xfId="20953" builtinId="8" hidden="1"/>
    <cellStyle name="Lien hypertexte" xfId="16874" builtinId="8" hidden="1"/>
    <cellStyle name="Lien hypertexte" xfId="23229" builtinId="8" hidden="1"/>
    <cellStyle name="Lien hypertexte" xfId="23495" builtinId="8" hidden="1"/>
    <cellStyle name="Lien hypertexte" xfId="16608" builtinId="8" hidden="1"/>
    <cellStyle name="Lien hypertexte" xfId="20695" builtinId="8" hidden="1"/>
    <cellStyle name="Lien hypertexte" xfId="1030" builtinId="8" hidden="1"/>
    <cellStyle name="Lien hypertexte" xfId="14716" builtinId="8" hidden="1"/>
    <cellStyle name="Lien hypertexte" xfId="18989" builtinId="8" hidden="1"/>
    <cellStyle name="Lien hypertexte" xfId="14944" builtinId="8" hidden="1"/>
    <cellStyle name="Lien hypertexte" xfId="170" builtinId="8" hidden="1"/>
    <cellStyle name="Lien hypertexte" xfId="20925" builtinId="8" hidden="1"/>
    <cellStyle name="Lien hypertexte" xfId="16844" builtinId="8" hidden="1"/>
    <cellStyle name="Lien hypertexte" xfId="23257" builtinId="8" hidden="1"/>
    <cellStyle name="Lien hypertexte" xfId="23465" builtinId="8" hidden="1"/>
    <cellStyle name="Lien hypertexte" xfId="16638" builtinId="8" hidden="1"/>
    <cellStyle name="Lien hypertexte" xfId="20725" builtinId="8" hidden="1"/>
    <cellStyle name="Lien hypertexte" xfId="14580" builtinId="8" hidden="1"/>
    <cellStyle name="Lien hypertexte" xfId="14742" builtinId="8" hidden="1"/>
    <cellStyle name="Lien hypertexte" xfId="18889" builtinId="8" hidden="1"/>
    <cellStyle name="Lien hypertexte" xfId="14916" builtinId="8" hidden="1"/>
    <cellStyle name="Lien hypertexte" xfId="86" builtinId="8" hidden="1"/>
    <cellStyle name="Lien hypertexte" xfId="20895" builtinId="8" hidden="1"/>
    <cellStyle name="Lien hypertexte" xfId="18781" builtinId="8" hidden="1"/>
    <cellStyle name="Lien hypertexte" xfId="23287" builtinId="8" hidden="1"/>
    <cellStyle name="Lien hypertexte" xfId="23435" builtinId="8" hidden="1"/>
    <cellStyle name="Lien hypertexte" xfId="16666" builtinId="8" hidden="1"/>
    <cellStyle name="Lien hypertexte" xfId="20751" builtinId="8" hidden="1"/>
    <cellStyle name="Lien hypertexte" xfId="484" builtinId="8" hidden="1"/>
    <cellStyle name="Lien hypertexte" xfId="14772" builtinId="8" hidden="1"/>
    <cellStyle name="Lien hypertexte" xfId="18917" builtinId="8" hidden="1"/>
    <cellStyle name="Lien hypertexte" xfId="14886" builtinId="8" hidden="1"/>
    <cellStyle name="Lien hypertexte" xfId="114" builtinId="8" hidden="1"/>
    <cellStyle name="Lien hypertexte" xfId="20869" builtinId="8" hidden="1"/>
    <cellStyle name="Lien hypertexte" xfId="16786" builtinId="8" hidden="1"/>
    <cellStyle name="Lien hypertexte" xfId="23317" builtinId="8" hidden="1"/>
    <cellStyle name="Lien hypertexte" xfId="23407" builtinId="8" hidden="1"/>
    <cellStyle name="Lien hypertexte" xfId="16696" builtinId="8" hidden="1"/>
    <cellStyle name="Lien hypertexte" xfId="20781" builtinId="8" hidden="1"/>
    <cellStyle name="Lien hypertexte" xfId="220" builtinId="8" hidden="1"/>
    <cellStyle name="Lien hypertexte" xfId="14800" builtinId="8" hidden="1"/>
    <cellStyle name="Lien hypertexte" xfId="18879" builtinId="8" hidden="1"/>
    <cellStyle name="Lien hypertexte" xfId="14858" builtinId="8" hidden="1"/>
    <cellStyle name="Lien hypertexte" xfId="58" builtinId="8" hidden="1"/>
    <cellStyle name="Lien hypertexte" xfId="20839" builtinId="8" hidden="1"/>
    <cellStyle name="Lien hypertexte" xfId="16424" builtinId="8" hidden="1"/>
    <cellStyle name="Lien hypertexte" xfId="23347" builtinId="8" hidden="1"/>
    <cellStyle name="Lien hypertexte" xfId="23379" builtinId="8" hidden="1"/>
    <cellStyle name="Lien hypertexte" xfId="16726" builtinId="8" hidden="1"/>
    <cellStyle name="Lien hypertexte" xfId="20809" builtinId="8" hidden="1"/>
    <cellStyle name="Lien hypertexte" xfId="188" builtinId="8" hidden="1"/>
    <cellStyle name="Lien hypertexte" xfId="14828" builtinId="8" hidden="1"/>
    <cellStyle name="Lien hypertexte" xfId="18847" builtinId="8" hidden="1"/>
    <cellStyle name="Lien hypertexte" xfId="14830" builtinId="8" hidden="1"/>
    <cellStyle name="Lien hypertexte" xfId="92" builtinId="8" hidden="1"/>
    <cellStyle name="Lien hypertexte" xfId="20811" builtinId="8" hidden="1"/>
    <cellStyle name="Lien hypertexte" xfId="16728" builtinId="8" hidden="1"/>
    <cellStyle name="Lien hypertexte" xfId="23375" builtinId="8" hidden="1"/>
    <cellStyle name="Lien hypertexte" xfId="23349" builtinId="8" hidden="1"/>
    <cellStyle name="Lien hypertexte" xfId="16756" builtinId="8" hidden="1"/>
    <cellStyle name="Lien hypertexte" xfId="20837" builtinId="8" hidden="1"/>
    <cellStyle name="Lien hypertexte" xfId="60" builtinId="8" hidden="1"/>
    <cellStyle name="Lien hypertexte" xfId="14856" builtinId="8" hidden="1"/>
    <cellStyle name="Lien hypertexte" xfId="18883" builtinId="8" hidden="1"/>
    <cellStyle name="Lien hypertexte" xfId="14802" builtinId="8" hidden="1"/>
    <cellStyle name="Lien hypertexte" xfId="236" builtinId="8" hidden="1"/>
    <cellStyle name="Lien hypertexte" xfId="20783" builtinId="8" hidden="1"/>
    <cellStyle name="Lien hypertexte" xfId="17946" builtinId="8" hidden="1"/>
    <cellStyle name="Lien hypertexte" xfId="23403" builtinId="8" hidden="1"/>
    <cellStyle name="Lien hypertexte" xfId="23319" builtinId="8" hidden="1"/>
    <cellStyle name="Lien hypertexte" xfId="16782" builtinId="8" hidden="1"/>
    <cellStyle name="Lien hypertexte" xfId="20867" builtinId="8" hidden="1"/>
    <cellStyle name="Lien hypertexte" xfId="116" builtinId="8" hidden="1"/>
    <cellStyle name="Lien hypertexte" xfId="14884" builtinId="8" hidden="1"/>
    <cellStyle name="Lien hypertexte" xfId="18919" builtinId="8" hidden="1"/>
    <cellStyle name="Lien hypertexte" xfId="14774" builtinId="8" hidden="1"/>
    <cellStyle name="Lien hypertexte" xfId="500" builtinId="8" hidden="1"/>
    <cellStyle name="Lien hypertexte" xfId="20755" builtinId="8" hidden="1"/>
    <cellStyle name="Lien hypertexte" xfId="16670" builtinId="8" hidden="1"/>
    <cellStyle name="Lien hypertexte" xfId="23433" builtinId="8" hidden="1"/>
    <cellStyle name="Lien hypertexte" xfId="23289" builtinId="8" hidden="1"/>
    <cellStyle name="Lien hypertexte" xfId="16812" builtinId="8" hidden="1"/>
    <cellStyle name="Lien hypertexte" xfId="20893" builtinId="8" hidden="1"/>
    <cellStyle name="Lien hypertexte" xfId="88" builtinId="8" hidden="1"/>
    <cellStyle name="Lien hypertexte" xfId="14914" builtinId="8" hidden="1"/>
    <cellStyle name="Lien hypertexte" xfId="18891" builtinId="8" hidden="1"/>
    <cellStyle name="Lien hypertexte" xfId="14746" builtinId="8" hidden="1"/>
    <cellStyle name="Lien hypertexte" xfId="14596" builtinId="8" hidden="1"/>
    <cellStyle name="Lien hypertexte" xfId="20727" builtinId="8" hidden="1"/>
    <cellStyle name="Lien hypertexte" xfId="16504" builtinId="8" hidden="1"/>
    <cellStyle name="Lien hypertexte" xfId="23463" builtinId="8" hidden="1"/>
    <cellStyle name="Lien hypertexte" xfId="23261" builtinId="8" hidden="1"/>
    <cellStyle name="Lien hypertexte" xfId="16842" builtinId="8" hidden="1"/>
    <cellStyle name="Lien hypertexte" xfId="20923" builtinId="8" hidden="1"/>
    <cellStyle name="Lien hypertexte" xfId="174" builtinId="8" hidden="1"/>
    <cellStyle name="Lien hypertexte" xfId="14940" builtinId="8" hidden="1"/>
    <cellStyle name="Lien hypertexte" xfId="18991" builtinId="8" hidden="1"/>
    <cellStyle name="Lien hypertexte" xfId="14718" builtinId="8" hidden="1"/>
    <cellStyle name="Lien hypertexte" xfId="1046" builtinId="8" hidden="1"/>
    <cellStyle name="Lien hypertexte" xfId="20697" builtinId="8" hidden="1"/>
    <cellStyle name="Lien hypertexte" xfId="16610" builtinId="8" hidden="1"/>
    <cellStyle name="Lien hypertexte" xfId="23493" builtinId="8" hidden="1"/>
    <cellStyle name="Lien hypertexte" xfId="23231" builtinId="8" hidden="1"/>
    <cellStyle name="Lien hypertexte" xfId="16870" builtinId="8" hidden="1"/>
    <cellStyle name="Lien hypertexte" xfId="20951" builtinId="8" hidden="1"/>
    <cellStyle name="Lien hypertexte" xfId="146" builtinId="8" hidden="1"/>
    <cellStyle name="Lien hypertexte" xfId="14970" builtinId="8" hidden="1"/>
    <cellStyle name="Lien hypertexte" xfId="18965" builtinId="8" hidden="1"/>
    <cellStyle name="Lien hypertexte" xfId="14688" builtinId="8" hidden="1"/>
    <cellStyle name="Lien hypertexte" xfId="852" builtinId="8" hidden="1"/>
    <cellStyle name="Lien hypertexte" xfId="20669" builtinId="8" hidden="1"/>
    <cellStyle name="Lien hypertexte" xfId="520" builtinId="8" hidden="1"/>
    <cellStyle name="Lien hypertexte" xfId="22899" builtinId="8" hidden="1"/>
    <cellStyle name="Lien hypertexte" xfId="23203" builtinId="8" hidden="1"/>
    <cellStyle name="Lien hypertexte" xfId="16900" builtinId="8" hidden="1"/>
    <cellStyle name="Lien hypertexte" xfId="20979" builtinId="8" hidden="1"/>
    <cellStyle name="Lien hypertexte" xfId="342" builtinId="8" hidden="1"/>
    <cellStyle name="Lien hypertexte" xfId="14998" builtinId="8" hidden="1"/>
    <cellStyle name="Lien hypertexte" xfId="18937" builtinId="8" hidden="1"/>
    <cellStyle name="Lien hypertexte" xfId="14660" builtinId="8" hidden="1"/>
    <cellStyle name="Lien hypertexte" xfId="656" builtinId="8" hidden="1"/>
    <cellStyle name="Lien hypertexte" xfId="20643" builtinId="8" hidden="1"/>
    <cellStyle name="Lien hypertexte" xfId="16552" builtinId="8" hidden="1"/>
    <cellStyle name="Lien hypertexte" xfId="23549" builtinId="8" hidden="1"/>
    <cellStyle name="Lien hypertexte" xfId="23173" builtinId="8" hidden="1"/>
    <cellStyle name="Lien hypertexte" xfId="16930" builtinId="8" hidden="1"/>
    <cellStyle name="Lien hypertexte" xfId="21007" builtinId="8" hidden="1"/>
    <cellStyle name="Lien hypertexte" xfId="314" builtinId="8" hidden="1"/>
    <cellStyle name="Lien hypertexte" xfId="15028" builtinId="8" hidden="1"/>
    <cellStyle name="Lien hypertexte" xfId="19165" builtinId="8" hidden="1"/>
    <cellStyle name="Lien hypertexte" xfId="14632" builtinId="8" hidden="1"/>
    <cellStyle name="Lien hypertexte" xfId="15784" builtinId="8" hidden="1"/>
    <cellStyle name="Lien hypertexte" xfId="20613" builtinId="8" hidden="1"/>
    <cellStyle name="Lien hypertexte" xfId="16580" builtinId="8" hidden="1"/>
    <cellStyle name="Lien hypertexte" xfId="23579" builtinId="8" hidden="1"/>
    <cellStyle name="Lien hypertexte" xfId="23143" builtinId="8" hidden="1"/>
    <cellStyle name="Lien hypertexte" xfId="16960" builtinId="8" hidden="1"/>
    <cellStyle name="Lien hypertexte" xfId="21035" builtinId="8" hidden="1"/>
    <cellStyle name="Lien hypertexte" xfId="288" builtinId="8" hidden="1"/>
    <cellStyle name="Lien hypertexte" xfId="15054" builtinId="8" hidden="1"/>
    <cellStyle name="Lien hypertexte" xfId="19139" builtinId="8" hidden="1"/>
    <cellStyle name="Lien hypertexte" xfId="16304" builtinId="8" hidden="1"/>
    <cellStyle name="Lien hypertexte" xfId="15586" builtinId="8" hidden="1"/>
    <cellStyle name="Lien hypertexte" xfId="20585" builtinId="8" hidden="1"/>
    <cellStyle name="Lien hypertexte" xfId="16492" builtinId="8" hidden="1"/>
    <cellStyle name="Lien hypertexte" xfId="23609" builtinId="8" hidden="1"/>
    <cellStyle name="Lien hypertexte" xfId="23115" builtinId="8" hidden="1"/>
    <cellStyle name="Lien hypertexte" xfId="16988" builtinId="8" hidden="1"/>
    <cellStyle name="Lien hypertexte" xfId="21063" builtinId="8" hidden="1"/>
    <cellStyle name="Lien hypertexte" xfId="260" builtinId="8" hidden="1"/>
    <cellStyle name="Lien hypertexte" xfId="15082" builtinId="8" hidden="1"/>
    <cellStyle name="Lien hypertexte" xfId="19111" builtinId="8" hidden="1"/>
    <cellStyle name="Lien hypertexte" xfId="16752" builtinId="8" hidden="1"/>
    <cellStyle name="Lien hypertexte" xfId="15388" builtinId="8" hidden="1"/>
    <cellStyle name="Lien hypertexte" xfId="20557" builtinId="8" hidden="1"/>
    <cellStyle name="Lien hypertexte" xfId="17478" builtinId="8" hidden="1"/>
    <cellStyle name="Lien hypertexte" xfId="23639" builtinId="8" hidden="1"/>
    <cellStyle name="Lien hypertexte" xfId="23085" builtinId="8" hidden="1"/>
    <cellStyle name="Lien hypertexte" xfId="17018" builtinId="8" hidden="1"/>
    <cellStyle name="Lien hypertexte" xfId="21093" builtinId="8" hidden="1"/>
    <cellStyle name="Lien hypertexte" xfId="232" builtinId="8" hidden="1"/>
    <cellStyle name="Lien hypertexte" xfId="15112" builtinId="8" hidden="1"/>
    <cellStyle name="Lien hypertexte" xfId="19083" builtinId="8" hidden="1"/>
    <cellStyle name="Lien hypertexte" xfId="17168" builtinId="8" hidden="1"/>
    <cellStyle name="Lien hypertexte" xfId="15190" builtinId="8" hidden="1"/>
    <cellStyle name="Lien hypertexte" xfId="20527" builtinId="8" hidden="1"/>
    <cellStyle name="Lien hypertexte" xfId="16436" builtinId="8" hidden="1"/>
    <cellStyle name="Lien hypertexte" xfId="23669" builtinId="8" hidden="1"/>
    <cellStyle name="Lien hypertexte" xfId="23055" builtinId="8" hidden="1"/>
    <cellStyle name="Lien hypertexte" xfId="17048" builtinId="8" hidden="1"/>
    <cellStyle name="Lien hypertexte" xfId="21119" builtinId="8" hidden="1"/>
    <cellStyle name="Lien hypertexte" xfId="206" builtinId="8" hidden="1"/>
    <cellStyle name="Lien hypertexte" xfId="15138" builtinId="8" hidden="1"/>
    <cellStyle name="Lien hypertexte" xfId="19055" builtinId="8" hidden="1"/>
    <cellStyle name="Lien hypertexte" xfId="17616" builtinId="8" hidden="1"/>
    <cellStyle name="Lien hypertexte" xfId="14992" builtinId="8" hidden="1"/>
    <cellStyle name="Lien hypertexte" xfId="20501" builtinId="8" hidden="1"/>
    <cellStyle name="Lien hypertexte" xfId="16660" builtinId="8" hidden="1"/>
    <cellStyle name="Lien hypertexte" xfId="23695" builtinId="8" hidden="1"/>
    <cellStyle name="Lien hypertexte" xfId="23027" builtinId="8" hidden="1"/>
    <cellStyle name="Lien hypertexte" xfId="17076" builtinId="8" hidden="1"/>
    <cellStyle name="Lien hypertexte" xfId="21149" builtinId="8" hidden="1"/>
    <cellStyle name="Lien hypertexte" xfId="634" builtinId="8" hidden="1"/>
    <cellStyle name="Lien hypertexte" xfId="15168" builtinId="8" hidden="1"/>
    <cellStyle name="Lien hypertexte" xfId="19029" builtinId="8" hidden="1"/>
    <cellStyle name="Lien hypertexte" xfId="18064" builtinId="8" hidden="1"/>
    <cellStyle name="Lien hypertexte" xfId="14794" builtinId="8" hidden="1"/>
    <cellStyle name="Lien hypertexte" xfId="20471" builtinId="8" hidden="1"/>
    <cellStyle name="Lien hypertexte" xfId="16376" builtinId="8" hidden="1"/>
    <cellStyle name="Lien hypertexte" xfId="23725" builtinId="8" hidden="1"/>
    <cellStyle name="Lien hypertexte" xfId="22997" builtinId="8" hidden="1"/>
    <cellStyle name="Lien hypertexte" xfId="17106" builtinId="8" hidden="1"/>
    <cellStyle name="Lien hypertexte" xfId="21177" builtinId="8" hidden="1"/>
    <cellStyle name="Lien hypertexte" xfId="606" builtinId="8" hidden="1"/>
    <cellStyle name="Lien hypertexte" xfId="15196" builtinId="8" hidden="1"/>
    <cellStyle name="Lien hypertexte" xfId="19523" builtinId="8" hidden="1"/>
    <cellStyle name="Lien hypertexte" xfId="18529" builtinId="8" hidden="1"/>
    <cellStyle name="Lien hypertexte" xfId="16432" builtinId="8" hidden="1"/>
    <cellStyle name="Lien hypertexte" xfId="20443" builtinId="8" hidden="1"/>
    <cellStyle name="Lien hypertexte" xfId="16272" builtinId="8" hidden="1"/>
    <cellStyle name="Lien hypertexte" xfId="23755" builtinId="8" hidden="1"/>
    <cellStyle name="Lien hypertexte" xfId="22969" builtinId="8" hidden="1"/>
    <cellStyle name="Lien hypertexte" xfId="17134" builtinId="8" hidden="1"/>
    <cellStyle name="Lien hypertexte" xfId="21205" builtinId="8" hidden="1"/>
    <cellStyle name="Lien hypertexte" xfId="578" builtinId="8" hidden="1"/>
    <cellStyle name="Lien hypertexte" xfId="15226" builtinId="8" hidden="1"/>
    <cellStyle name="Lien hypertexte" xfId="19495" builtinId="8" hidden="1"/>
    <cellStyle name="Lien hypertexte" xfId="18839" builtinId="8" hidden="1"/>
    <cellStyle name="Lien hypertexte" xfId="18801" builtinId="8" hidden="1"/>
    <cellStyle name="Lien hypertexte" xfId="20415" builtinId="8" hidden="1"/>
    <cellStyle name="Lien hypertexte" xfId="16318" builtinId="8" hidden="1"/>
    <cellStyle name="Lien hypertexte" xfId="23785" builtinId="8" hidden="1"/>
    <cellStyle name="Lien hypertexte" xfId="22939" builtinId="8" hidden="1"/>
    <cellStyle name="Lien hypertexte" xfId="17164" builtinId="8" hidden="1"/>
    <cellStyle name="Lien hypertexte" xfId="21235" builtinId="8" hidden="1"/>
    <cellStyle name="Lien hypertexte" xfId="552" builtinId="8" hidden="1"/>
    <cellStyle name="Lien hypertexte" xfId="15252" builtinId="8" hidden="1"/>
    <cellStyle name="Lien hypertexte" xfId="19467" builtinId="8" hidden="1"/>
    <cellStyle name="Lien hypertexte" xfId="18809" builtinId="8" hidden="1"/>
    <cellStyle name="Lien hypertexte" xfId="18597" builtinId="8" hidden="1"/>
    <cellStyle name="Lien hypertexte" xfId="20387" builtinId="8" hidden="1"/>
    <cellStyle name="Lien hypertexte" xfId="16738" builtinId="8" hidden="1"/>
    <cellStyle name="Lien hypertexte" xfId="23815" builtinId="8" hidden="1"/>
    <cellStyle name="Lien hypertexte" xfId="22909" builtinId="8" hidden="1"/>
    <cellStyle name="Lien hypertexte" xfId="17192" builtinId="8" hidden="1"/>
    <cellStyle name="Lien hypertexte" xfId="21261" builtinId="8" hidden="1"/>
    <cellStyle name="Lien hypertexte" xfId="524" builtinId="8" hidden="1"/>
    <cellStyle name="Lien hypertexte" xfId="15282" builtinId="8" hidden="1"/>
    <cellStyle name="Lien hypertexte" xfId="19439" builtinId="8" hidden="1"/>
    <cellStyle name="Lien hypertexte" xfId="18779" builtinId="8" hidden="1"/>
    <cellStyle name="Lien hypertexte" xfId="18391" builtinId="8" hidden="1"/>
    <cellStyle name="Lien hypertexte" xfId="20359" builtinId="8" hidden="1"/>
    <cellStyle name="Lien hypertexte" xfId="16260" builtinId="8" hidden="1"/>
    <cellStyle name="Lien hypertexte" xfId="23843" builtinId="8" hidden="1"/>
    <cellStyle name="Lien hypertexte" xfId="22879" builtinId="8" hidden="1"/>
    <cellStyle name="Lien hypertexte" xfId="17222" builtinId="8" hidden="1"/>
    <cellStyle name="Lien hypertexte" xfId="21291" builtinId="8" hidden="1"/>
    <cellStyle name="Lien hypertexte" xfId="496" builtinId="8" hidden="1"/>
    <cellStyle name="Lien hypertexte" xfId="15310" builtinId="8" hidden="1"/>
    <cellStyle name="Lien hypertexte" xfId="19413" builtinId="8" hidden="1"/>
    <cellStyle name="Lien hypertexte" xfId="18751" builtinId="8" hidden="1"/>
    <cellStyle name="Lien hypertexte" xfId="18170" builtinId="8" hidden="1"/>
    <cellStyle name="Lien hypertexte" xfId="20329" builtinId="8" hidden="1"/>
    <cellStyle name="Lien hypertexte" xfId="17088" builtinId="8" hidden="1"/>
    <cellStyle name="Lien hypertexte" xfId="23871" builtinId="8" hidden="1"/>
    <cellStyle name="Lien hypertexte" xfId="22851" builtinId="8" hidden="1"/>
    <cellStyle name="Lien hypertexte" xfId="17252" builtinId="8" hidden="1"/>
    <cellStyle name="Lien hypertexte" xfId="21319" builtinId="8" hidden="1"/>
    <cellStyle name="Lien hypertexte" xfId="470" builtinId="8" hidden="1"/>
    <cellStyle name="Lien hypertexte" xfId="15336" builtinId="8" hidden="1"/>
    <cellStyle name="Lien hypertexte" xfId="19385" builtinId="8" hidden="1"/>
    <cellStyle name="Lien hypertexte" xfId="18723" builtinId="8" hidden="1"/>
    <cellStyle name="Lien hypertexte" xfId="17964" builtinId="8" hidden="1"/>
    <cellStyle name="Lien hypertexte" xfId="20301" builtinId="8" hidden="1"/>
    <cellStyle name="Lien hypertexte" xfId="16200" builtinId="8" hidden="1"/>
    <cellStyle name="Lien hypertexte" xfId="23901" builtinId="8" hidden="1"/>
    <cellStyle name="Lien hypertexte" xfId="22823" builtinId="8" hidden="1"/>
    <cellStyle name="Lien hypertexte" xfId="17280" builtinId="8" hidden="1"/>
    <cellStyle name="Lien hypertexte" xfId="21347" builtinId="8" hidden="1"/>
    <cellStyle name="Lien hypertexte" xfId="440" builtinId="8" hidden="1"/>
    <cellStyle name="Lien hypertexte" xfId="15366" builtinId="8" hidden="1"/>
    <cellStyle name="Lien hypertexte" xfId="19357" builtinId="8" hidden="1"/>
    <cellStyle name="Lien hypertexte" xfId="18693" builtinId="8" hidden="1"/>
    <cellStyle name="Lien hypertexte" xfId="17760" builtinId="8" hidden="1"/>
    <cellStyle name="Lien hypertexte" xfId="20275" builtinId="8" hidden="1"/>
    <cellStyle name="Lien hypertexte" xfId="16814" builtinId="8" hidden="1"/>
    <cellStyle name="Lien hypertexte" xfId="23931" builtinId="8" hidden="1"/>
    <cellStyle name="Lien hypertexte" xfId="22793" builtinId="8" hidden="1"/>
    <cellStyle name="Lien hypertexte" xfId="17310" builtinId="8" hidden="1"/>
    <cellStyle name="Lien hypertexte" xfId="21375" builtinId="8" hidden="1"/>
    <cellStyle name="Lien hypertexte" xfId="412" builtinId="8" hidden="1"/>
    <cellStyle name="Lien hypertexte" xfId="15394" builtinId="8" hidden="1"/>
    <cellStyle name="Lien hypertexte" xfId="19331" builtinId="8" hidden="1"/>
    <cellStyle name="Lien hypertexte" xfId="18663" builtinId="8" hidden="1"/>
    <cellStyle name="Lien hypertexte" xfId="17556" builtinId="8" hidden="1"/>
    <cellStyle name="Lien hypertexte" xfId="21759" builtinId="8" hidden="1"/>
    <cellStyle name="Lien hypertexte" xfId="15938" builtinId="8" hidden="1"/>
    <cellStyle name="Lien hypertexte" xfId="23961" builtinId="8" hidden="1"/>
    <cellStyle name="Lien hypertexte" xfId="22763" builtinId="8" hidden="1"/>
    <cellStyle name="Lien hypertexte" xfId="17340" builtinId="8" hidden="1"/>
    <cellStyle name="Lien hypertexte" xfId="21403" builtinId="8" hidden="1"/>
    <cellStyle name="Lien hypertexte" xfId="384" builtinId="8" hidden="1"/>
    <cellStyle name="Lien hypertexte" xfId="15424" builtinId="8" hidden="1"/>
    <cellStyle name="Lien hypertexte" xfId="17992" builtinId="8" hidden="1"/>
    <cellStyle name="Lien hypertexte" xfId="23373" builtinId="8" hidden="1"/>
    <cellStyle name="Lien hypertexte" xfId="19279" builtinId="8" hidden="1"/>
    <cellStyle name="Lien hypertexte" xfId="16730" builtinId="8" hidden="1"/>
    <cellStyle name="Lien hypertexte" xfId="364" builtinId="8" hidden="1"/>
    <cellStyle name="Lien hypertexte" xfId="16106" builtinId="8" hidden="1"/>
    <cellStyle name="Lien hypertexte" xfId="21433" builtinId="8" hidden="1"/>
    <cellStyle name="Lien hypertexte" xfId="24545" builtinId="8" hidden="1"/>
    <cellStyle name="Lien hypertexte" xfId="18635" builtinId="8" hidden="1"/>
    <cellStyle name="Lien hypertexte" xfId="358" builtinId="8" hidden="1"/>
    <cellStyle name="Lien hypertexte" xfId="15450" builtinId="8" hidden="1"/>
    <cellStyle name="Lien hypertexte" xfId="19273" builtinId="8" hidden="1"/>
    <cellStyle name="Lien hypertexte" xfId="18605" builtinId="8" hidden="1"/>
    <cellStyle name="Lien hypertexte" xfId="17146" builtinId="8" hidden="1"/>
    <cellStyle name="Lien hypertexte" xfId="22637" builtinId="8" hidden="1"/>
    <cellStyle name="Lien hypertexte" xfId="15976" builtinId="8" hidden="1"/>
    <cellStyle name="Lien hypertexte" xfId="24019" builtinId="8" hidden="1"/>
    <cellStyle name="Lien hypertexte" xfId="22703" builtinId="8" hidden="1"/>
    <cellStyle name="Lien hypertexte" xfId="17398" builtinId="8" hidden="1"/>
    <cellStyle name="Lien hypertexte" xfId="21461" builtinId="8" hidden="1"/>
    <cellStyle name="Lien hypertexte" xfId="14620" builtinId="8" hidden="1"/>
    <cellStyle name="Lien hypertexte" xfId="15480" builtinId="8" hidden="1"/>
    <cellStyle name="Lien hypertexte" xfId="19245" builtinId="8" hidden="1"/>
    <cellStyle name="Lien hypertexte" xfId="18575" builtinId="8" hidden="1"/>
    <cellStyle name="Lien hypertexte" xfId="16940" builtinId="8" hidden="1"/>
    <cellStyle name="Lien hypertexte" xfId="23077" builtinId="8" hidden="1"/>
    <cellStyle name="Lien hypertexte" xfId="16640" builtinId="8" hidden="1"/>
    <cellStyle name="Lien hypertexte" xfId="24047" builtinId="8" hidden="1"/>
    <cellStyle name="Lien hypertexte" xfId="22677" builtinId="8" hidden="1"/>
    <cellStyle name="Lien hypertexte" xfId="17428" builtinId="8" hidden="1"/>
    <cellStyle name="Lien hypertexte" xfId="21487" builtinId="8" hidden="1"/>
    <cellStyle name="Lien hypertexte" xfId="14592" builtinId="8" hidden="1"/>
    <cellStyle name="Lien hypertexte" xfId="15508" builtinId="8" hidden="1"/>
    <cellStyle name="Lien hypertexte" xfId="19219" builtinId="8" hidden="1"/>
    <cellStyle name="Lien hypertexte" xfId="18547" builtinId="8" hidden="1"/>
    <cellStyle name="Lien hypertexte" xfId="16736" builtinId="8" hidden="1"/>
    <cellStyle name="Lien hypertexte" xfId="23515" builtinId="8" hidden="1"/>
    <cellStyle name="Lien hypertexte" xfId="16014" builtinId="8" hidden="1"/>
    <cellStyle name="Lien hypertexte" xfId="24077" builtinId="8" hidden="1"/>
    <cellStyle name="Lien hypertexte" xfId="22647" builtinId="8" hidden="1"/>
    <cellStyle name="Lien hypertexte" xfId="17458" builtinId="8" hidden="1"/>
    <cellStyle name="Lien hypertexte" xfId="21517" builtinId="8" hidden="1"/>
    <cellStyle name="Lien hypertexte" xfId="14564" builtinId="8" hidden="1"/>
    <cellStyle name="Lien hypertexte" xfId="15534" builtinId="8" hidden="1"/>
    <cellStyle name="Lien hypertexte" xfId="19191" builtinId="8" hidden="1"/>
    <cellStyle name="Lien hypertexte" xfId="18517" builtinId="8" hidden="1"/>
    <cellStyle name="Lien hypertexte" xfId="16532" builtinId="8" hidden="1"/>
    <cellStyle name="Lien hypertexte" xfId="23955" builtinId="8" hidden="1"/>
    <cellStyle name="Lien hypertexte" xfId="17206" builtinId="8" hidden="1"/>
    <cellStyle name="Lien hypertexte" xfId="24107" builtinId="8" hidden="1"/>
    <cellStyle name="Lien hypertexte" xfId="22617" builtinId="8" hidden="1"/>
    <cellStyle name="Lien hypertexte" xfId="17484" builtinId="8" hidden="1"/>
    <cellStyle name="Lien hypertexte" xfId="21545" builtinId="8" hidden="1"/>
    <cellStyle name="Lien hypertexte" xfId="14536" builtinId="8" hidden="1"/>
    <cellStyle name="Lien hypertexte" xfId="15564" builtinId="8" hidden="1"/>
    <cellStyle name="Lien hypertexte" xfId="20233" builtinId="8" hidden="1"/>
    <cellStyle name="Lien hypertexte" xfId="18487" builtinId="8" hidden="1"/>
    <cellStyle name="Lien hypertexte" xfId="16326" builtinId="8" hidden="1"/>
    <cellStyle name="Lien hypertexte" xfId="24393" builtinId="8" hidden="1"/>
    <cellStyle name="Lien hypertexte" xfId="16056" builtinId="8" hidden="1"/>
    <cellStyle name="Lien hypertexte" xfId="24135" builtinId="8" hidden="1"/>
    <cellStyle name="Lien hypertexte" xfId="22587" builtinId="8" hidden="1"/>
    <cellStyle name="Lien hypertexte" xfId="17514" builtinId="8" hidden="1"/>
    <cellStyle name="Lien hypertexte" xfId="21573" builtinId="8" hidden="1"/>
    <cellStyle name="Lien hypertexte" xfId="2201" builtinId="8" hidden="1"/>
    <cellStyle name="Lien hypertexte" xfId="15592" builtinId="8" hidden="1"/>
    <cellStyle name="Lien hypertexte" xfId="20205" builtinId="8" hidden="1"/>
    <cellStyle name="Lien hypertexte" xfId="18457" builtinId="8" hidden="1"/>
    <cellStyle name="Lien hypertexte" xfId="16122" builtinId="8" hidden="1"/>
    <cellStyle name="Lien hypertexte" xfId="23073" builtinId="8" hidden="1"/>
    <cellStyle name="Lien hypertexte" xfId="16406" builtinId="8" hidden="1"/>
    <cellStyle name="Lien hypertexte" xfId="24165" builtinId="8" hidden="1"/>
    <cellStyle name="Lien hypertexte" xfId="22557" builtinId="8" hidden="1"/>
    <cellStyle name="Lien hypertexte" xfId="17544" builtinId="8" hidden="1"/>
    <cellStyle name="Lien hypertexte" xfId="21603" builtinId="8" hidden="1"/>
    <cellStyle name="Lien hypertexte" xfId="1126" builtinId="8" hidden="1"/>
    <cellStyle name="Lien hypertexte" xfId="15622" builtinId="8" hidden="1"/>
    <cellStyle name="Lien hypertexte" xfId="20175" builtinId="8" hidden="1"/>
    <cellStyle name="Lien hypertexte" xfId="18429" builtinId="8" hidden="1"/>
    <cellStyle name="Lien hypertexte" xfId="18977" builtinId="8" hidden="1"/>
    <cellStyle name="Lien hypertexte" xfId="21665" builtinId="8" hidden="1"/>
    <cellStyle name="Lien hypertexte" xfId="16094" builtinId="8" hidden="1"/>
    <cellStyle name="Lien hypertexte" xfId="24195" builtinId="8" hidden="1"/>
    <cellStyle name="Lien hypertexte" xfId="22531" builtinId="8" hidden="1"/>
    <cellStyle name="Lien hypertexte" xfId="17574" builtinId="8" hidden="1"/>
    <cellStyle name="Lien hypertexte" xfId="21629" builtinId="8" hidden="1"/>
    <cellStyle name="Lien hypertexte" xfId="1100" builtinId="8" hidden="1"/>
    <cellStyle name="Lien hypertexte" xfId="15648" builtinId="8" hidden="1"/>
    <cellStyle name="Lien hypertexte" xfId="20149" builtinId="8" hidden="1"/>
    <cellStyle name="Lien hypertexte" xfId="18399" builtinId="8" hidden="1"/>
    <cellStyle name="Lien hypertexte" xfId="20513" builtinId="8" hidden="1"/>
    <cellStyle name="Lien hypertexte" xfId="21873" builtinId="8" hidden="1"/>
    <cellStyle name="Lien hypertexte" xfId="18471" builtinId="8" hidden="1"/>
    <cellStyle name="Lien hypertexte" xfId="24223" builtinId="8" hidden="1"/>
    <cellStyle name="Lien hypertexte" xfId="22501" builtinId="8" hidden="1"/>
    <cellStyle name="Lien hypertexte" xfId="17602" builtinId="8" hidden="1"/>
    <cellStyle name="Lien hypertexte" xfId="21659" builtinId="8" hidden="1"/>
    <cellStyle name="Lien hypertexte" xfId="1070" builtinId="8" hidden="1"/>
    <cellStyle name="Lien hypertexte" xfId="15678" builtinId="8" hidden="1"/>
    <cellStyle name="Lien hypertexte" xfId="20121" builtinId="8" hidden="1"/>
    <cellStyle name="Lien hypertexte" xfId="18371" builtinId="8" hidden="1"/>
    <cellStyle name="Lien hypertexte" xfId="21749" builtinId="8" hidden="1"/>
    <cellStyle name="Lien hypertexte" xfId="22081" builtinId="8" hidden="1"/>
    <cellStyle name="Lien hypertexte" xfId="16132" builtinId="8" hidden="1"/>
    <cellStyle name="Lien hypertexte" xfId="24253" builtinId="8" hidden="1"/>
    <cellStyle name="Lien hypertexte" xfId="22471" builtinId="8" hidden="1"/>
    <cellStyle name="Lien hypertexte" xfId="17632" builtinId="8" hidden="1"/>
    <cellStyle name="Lien hypertexte" xfId="21687" builtinId="8" hidden="1"/>
    <cellStyle name="Lien hypertexte" xfId="1042" builtinId="8" hidden="1"/>
    <cellStyle name="Lien hypertexte" xfId="15706" builtinId="8" hidden="1"/>
    <cellStyle name="Lien hypertexte" xfId="20093" builtinId="8" hidden="1"/>
    <cellStyle name="Lien hypertexte" xfId="18343" builtinId="8" hidden="1"/>
    <cellStyle name="Lien hypertexte" xfId="21779" builtinId="8" hidden="1"/>
    <cellStyle name="Lien hypertexte" xfId="22273" builtinId="8" hidden="1"/>
    <cellStyle name="Lien hypertexte" xfId="16308" builtinId="8" hidden="1"/>
    <cellStyle name="Lien hypertexte" xfId="24281" builtinId="8" hidden="1"/>
    <cellStyle name="Lien hypertexte" xfId="22441" builtinId="8" hidden="1"/>
    <cellStyle name="Lien hypertexte" xfId="17662" builtinId="8" hidden="1"/>
    <cellStyle name="Lien hypertexte" xfId="21715" builtinId="8" hidden="1"/>
    <cellStyle name="Lien hypertexte" xfId="1016" builtinId="8" hidden="1"/>
    <cellStyle name="Lien hypertexte" xfId="15734" builtinId="8" hidden="1"/>
    <cellStyle name="Lien hypertexte" xfId="20067" builtinId="8" hidden="1"/>
    <cellStyle name="Lien hypertexte" xfId="18296" builtinId="8" hidden="1"/>
    <cellStyle name="Lien hypertexte" xfId="21807" builtinId="8" hidden="1"/>
    <cellStyle name="Lien hypertexte" xfId="22481" builtinId="8" hidden="1"/>
    <cellStyle name="Lien hypertexte" xfId="16102" builtinId="8" hidden="1"/>
    <cellStyle name="Lien hypertexte" xfId="24311" builtinId="8" hidden="1"/>
    <cellStyle name="Lien hypertexte" xfId="22411" builtinId="8" hidden="1"/>
    <cellStyle name="Lien hypertexte" xfId="17690" builtinId="8" hidden="1"/>
    <cellStyle name="Lien hypertexte" xfId="21651" builtinId="8" hidden="1"/>
    <cellStyle name="Lien hypertexte" xfId="988" builtinId="8" hidden="1"/>
    <cellStyle name="Lien hypertexte" xfId="15762" builtinId="8" hidden="1"/>
    <cellStyle name="Lien hypertexte" xfId="20037" builtinId="8" hidden="1"/>
    <cellStyle name="Lien hypertexte" xfId="18266" builtinId="8" hidden="1"/>
    <cellStyle name="Lien hypertexte" xfId="21837" builtinId="8" hidden="1"/>
    <cellStyle name="Lien hypertexte" xfId="22689" builtinId="8" hidden="1"/>
    <cellStyle name="Lien hypertexte" xfId="16932" builtinId="8" hidden="1"/>
    <cellStyle name="Lien hypertexte" xfId="24341" builtinId="8" hidden="1"/>
    <cellStyle name="Lien hypertexte" xfId="22383" builtinId="8" hidden="1"/>
    <cellStyle name="Lien hypertexte" xfId="17720" builtinId="8" hidden="1"/>
    <cellStyle name="Lien hypertexte" xfId="20773" builtinId="8" hidden="1"/>
    <cellStyle name="Lien hypertexte" xfId="958" builtinId="8" hidden="1"/>
    <cellStyle name="Lien hypertexte" xfId="15790" builtinId="8" hidden="1"/>
    <cellStyle name="Lien hypertexte" xfId="20009" builtinId="8" hidden="1"/>
    <cellStyle name="Lien hypertexte" xfId="18236" builtinId="8" hidden="1"/>
    <cellStyle name="Lien hypertexte" xfId="21865" builtinId="8" hidden="1"/>
    <cellStyle name="Lien hypertexte" xfId="22897" builtinId="8" hidden="1"/>
    <cellStyle name="Lien hypertexte" xfId="15988" builtinId="8" hidden="1"/>
    <cellStyle name="Lien hypertexte" xfId="24371" builtinId="8" hidden="1"/>
    <cellStyle name="Lien hypertexte" xfId="22355" builtinId="8" hidden="1"/>
    <cellStyle name="Lien hypertexte" xfId="17750" builtinId="8" hidden="1"/>
    <cellStyle name="Lien hypertexte" xfId="19545" builtinId="8" hidden="1"/>
    <cellStyle name="Lien hypertexte" xfId="930" builtinId="8" hidden="1"/>
    <cellStyle name="Lien hypertexte" xfId="15820" builtinId="8" hidden="1"/>
    <cellStyle name="Lien hypertexte" xfId="19981" builtinId="8" hidden="1"/>
    <cellStyle name="Lien hypertexte" xfId="18208" builtinId="8" hidden="1"/>
    <cellStyle name="Lien hypertexte" xfId="21895" builtinId="8" hidden="1"/>
    <cellStyle name="Lien hypertexte" xfId="23105" builtinId="8" hidden="1"/>
    <cellStyle name="Lien hypertexte" xfId="16366" builtinId="8" hidden="1"/>
    <cellStyle name="Lien hypertexte" xfId="24399" builtinId="8" hidden="1"/>
    <cellStyle name="Lien hypertexte" xfId="22325" builtinId="8" hidden="1"/>
    <cellStyle name="Lien hypertexte" xfId="17780" builtinId="8" hidden="1"/>
    <cellStyle name="Lien hypertexte" xfId="19573" builtinId="8" hidden="1"/>
    <cellStyle name="Lien hypertexte" xfId="904" builtinId="8" hidden="1"/>
    <cellStyle name="Lien hypertexte" xfId="15846" builtinId="8" hidden="1"/>
    <cellStyle name="Lien hypertexte" xfId="19955" builtinId="8" hidden="1"/>
    <cellStyle name="Lien hypertexte" xfId="18178" builtinId="8" hidden="1"/>
    <cellStyle name="Lien hypertexte" xfId="21925" builtinId="8" hidden="1"/>
    <cellStyle name="Lien hypertexte" xfId="23297" builtinId="8" hidden="1"/>
    <cellStyle name="Lien hypertexte" xfId="19185" builtinId="8" hidden="1"/>
    <cellStyle name="Lien hypertexte" xfId="24427" builtinId="8" hidden="1"/>
    <cellStyle name="Lien hypertexte" xfId="22295" builtinId="8" hidden="1"/>
    <cellStyle name="Lien hypertexte" xfId="17806" builtinId="8" hidden="1"/>
    <cellStyle name="Lien hypertexte" xfId="19599" builtinId="8" hidden="1"/>
    <cellStyle name="Lien hypertexte" xfId="876" builtinId="8" hidden="1"/>
    <cellStyle name="Lien hypertexte" xfId="15876" builtinId="8" hidden="1"/>
    <cellStyle name="Lien hypertexte" xfId="19927" builtinId="8" hidden="1"/>
    <cellStyle name="Lien hypertexte" xfId="18148" builtinId="8" hidden="1"/>
    <cellStyle name="Lien hypertexte" xfId="21955" builtinId="8" hidden="1"/>
    <cellStyle name="Lien hypertexte" xfId="22117" builtinId="8" hidden="1"/>
    <cellStyle name="Lien hypertexte" xfId="3661" builtinId="8" hidden="1"/>
    <cellStyle name="Lien hypertexte" xfId="22275" builtinId="8" hidden="1"/>
    <cellStyle name="Lien hypertexte" xfId="22265" builtinId="8" hidden="1"/>
    <cellStyle name="Lien hypertexte" xfId="17836" builtinId="8" hidden="1"/>
    <cellStyle name="Lien hypertexte" xfId="19629" builtinId="8" hidden="1"/>
    <cellStyle name="Lien hypertexte" xfId="848" builtinId="8" hidden="1"/>
    <cellStyle name="Lien hypertexte" xfId="15904" builtinId="8" hidden="1"/>
    <cellStyle name="Lien hypertexte" xfId="19899" builtinId="8" hidden="1"/>
    <cellStyle name="Lien hypertexte" xfId="18120" builtinId="8" hidden="1"/>
    <cellStyle name="Lien hypertexte" xfId="21983" builtinId="8" hidden="1"/>
    <cellStyle name="Lien hypertexte" xfId="23713" builtinId="8" hidden="1"/>
    <cellStyle name="Lien hypertexte" xfId="18961" builtinId="8" hidden="1"/>
    <cellStyle name="Lien hypertexte" xfId="24487" builtinId="8" hidden="1"/>
    <cellStyle name="Lien hypertexte" xfId="22237" builtinId="8" hidden="1"/>
    <cellStyle name="Lien hypertexte" xfId="17866" builtinId="8" hidden="1"/>
    <cellStyle name="Lien hypertexte" xfId="19657" builtinId="8" hidden="1"/>
    <cellStyle name="Lien hypertexte" xfId="820" builtinId="8" hidden="1"/>
    <cellStyle name="Lien hypertexte" xfId="15932" builtinId="8" hidden="1"/>
    <cellStyle name="Lien hypertexte" xfId="19869" builtinId="8" hidden="1"/>
    <cellStyle name="Lien hypertexte" xfId="18090" builtinId="8" hidden="1"/>
    <cellStyle name="Lien hypertexte" xfId="22011" builtinId="8" hidden="1"/>
    <cellStyle name="Lien hypertexte" xfId="23921" builtinId="8" hidden="1"/>
    <cellStyle name="Lien hypertexte" xfId="16230" builtinId="8" hidden="1"/>
    <cellStyle name="Lien hypertexte" xfId="24517" builtinId="8" hidden="1"/>
    <cellStyle name="Lien hypertexte" xfId="22207" builtinId="8" hidden="1"/>
    <cellStyle name="Lien hypertexte" xfId="17894" builtinId="8" hidden="1"/>
    <cellStyle name="Lien hypertexte" xfId="19685" builtinId="8" hidden="1"/>
    <cellStyle name="Lien hypertexte" xfId="792" builtinId="8" hidden="1"/>
    <cellStyle name="Lien hypertexte" xfId="15152" builtinId="8" hidden="1"/>
    <cellStyle name="Lien hypertexte" xfId="19843" builtinId="8" hidden="1"/>
    <cellStyle name="Lien hypertexte" xfId="18060" builtinId="8" hidden="1"/>
    <cellStyle name="Lien hypertexte" xfId="22041" builtinId="8" hidden="1"/>
    <cellStyle name="Lien hypertexte" xfId="24129" builtinId="8" hidden="1"/>
    <cellStyle name="Lien hypertexte" xfId="19473" builtinId="8" hidden="1"/>
    <cellStyle name="Lien hypertexte" xfId="24547" builtinId="8" hidden="1"/>
    <cellStyle name="Lien hypertexte" xfId="22179" builtinId="8" hidden="1"/>
    <cellStyle name="Lien hypertexte" xfId="17924" builtinId="8" hidden="1"/>
    <cellStyle name="Lien hypertexte" xfId="19711" builtinId="8" hidden="1"/>
    <cellStyle name="Lien hypertexte" xfId="764" builtinId="8" hidden="1"/>
    <cellStyle name="Lien hypertexte" xfId="662" builtinId="8" hidden="1"/>
    <cellStyle name="Lien hypertexte" xfId="19815" builtinId="8" hidden="1"/>
    <cellStyle name="Lien hypertexte" xfId="18030" builtinId="8" hidden="1"/>
    <cellStyle name="Lien hypertexte" xfId="22071" builtinId="8" hidden="1"/>
    <cellStyle name="Lien hypertexte" xfId="24321" builtinId="8" hidden="1"/>
    <cellStyle name="Lien hypertexte" xfId="16854" builtinId="8" hidden="1"/>
    <cellStyle name="Lien hypertexte" xfId="24573" builtinId="8" hidden="1"/>
    <cellStyle name="Lien hypertexte" xfId="22149" builtinId="8" hidden="1"/>
    <cellStyle name="Lien hypertexte" xfId="17954" builtinId="8" hidden="1"/>
    <cellStyle name="Lien hypertexte" xfId="19739" builtinId="8" hidden="1"/>
    <cellStyle name="Lien hypertexte" xfId="736" builtinId="8" hidden="1"/>
    <cellStyle name="Lien hypertexte" xfId="690" builtinId="8" hidden="1"/>
    <cellStyle name="Lien hypertexte" xfId="19787" builtinId="8" hidden="1"/>
    <cellStyle name="Lien hypertexte" xfId="18004" builtinId="8" hidden="1"/>
    <cellStyle name="Lien hypertexte" xfId="22101" builtinId="8" hidden="1"/>
    <cellStyle name="Lien hypertexte" xfId="24529" builtinId="8" hidden="1"/>
    <cellStyle name="Lien hypertexte" xfId="19633" builtinId="8" hidden="1"/>
    <cellStyle name="Lien hypertexte" xfId="24603" builtinId="8" hidden="1"/>
    <cellStyle name="Lien hypertexte" xfId="22119" builtinId="8" hidden="1"/>
    <cellStyle name="Lien hypertexte" xfId="17984" builtinId="8" hidden="1"/>
    <cellStyle name="Lien hypertexte" xfId="19769" builtinId="8" hidden="1"/>
    <cellStyle name="Lien hypertexte" xfId="708" builtinId="8" hidden="1"/>
    <cellStyle name="Lien hypertexte" xfId="718" builtinId="8" hidden="1"/>
    <cellStyle name="Lien hypertexte" xfId="19759" builtinId="8" hidden="1"/>
    <cellStyle name="Lien hypertexte" xfId="17974" builtinId="8" hidden="1"/>
    <cellStyle name="Lien hypertexte" xfId="22131" builtinId="8" hidden="1"/>
    <cellStyle name="Lien hypertexte" xfId="24595" builtinId="8" hidden="1"/>
    <cellStyle name="Lien hypertexte" xfId="16170" builtinId="8" hidden="1"/>
    <cellStyle name="Lien hypertexte" xfId="24465" builtinId="8" hidden="1"/>
    <cellStyle name="Lien hypertexte" xfId="22091" builtinId="8" hidden="1"/>
    <cellStyle name="Lien hypertexte" xfId="18012" builtinId="8" hidden="1"/>
    <cellStyle name="Lien hypertexte" xfId="19797" builtinId="8" hidden="1"/>
    <cellStyle name="Lien hypertexte" xfId="680" builtinId="8" hidden="1"/>
    <cellStyle name="Lien hypertexte" xfId="746" builtinId="8" hidden="1"/>
    <cellStyle name="Lien hypertexte" xfId="19731" builtinId="8" hidden="1"/>
    <cellStyle name="Lien hypertexte" xfId="17944" builtinId="8" hidden="1"/>
    <cellStyle name="Lien hypertexte" xfId="22157" builtinId="8" hidden="1"/>
    <cellStyle name="Lien hypertexte" xfId="24565" builtinId="8" hidden="1"/>
    <cellStyle name="Lien hypertexte" xfId="19409" builtinId="8" hidden="1"/>
    <cellStyle name="Lien hypertexte" xfId="24257" builtinId="8" hidden="1"/>
    <cellStyle name="Lien hypertexte" xfId="22061" builtinId="8" hidden="1"/>
    <cellStyle name="Lien hypertexte" xfId="18042" builtinId="8" hidden="1"/>
    <cellStyle name="Lien hypertexte" xfId="19823" builtinId="8" hidden="1"/>
    <cellStyle name="Lien hypertexte" xfId="652" builtinId="8" hidden="1"/>
    <cellStyle name="Lien hypertexte" xfId="774" builtinId="8" hidden="1"/>
    <cellStyle name="Lien hypertexte" xfId="19703" builtinId="8" hidden="1"/>
    <cellStyle name="Lien hypertexte" xfId="17916" builtinId="8" hidden="1"/>
    <cellStyle name="Lien hypertexte" xfId="22187" builtinId="8" hidden="1"/>
    <cellStyle name="Lien hypertexte" xfId="24535" builtinId="8" hidden="1"/>
    <cellStyle name="Lien hypertexte" xfId="18218" builtinId="8" hidden="1"/>
    <cellStyle name="Lien hypertexte" xfId="24049" builtinId="8" hidden="1"/>
    <cellStyle name="Lien hypertexte" xfId="22031" builtinId="8" hidden="1"/>
    <cellStyle name="Lien hypertexte" xfId="18072" builtinId="8" hidden="1"/>
    <cellStyle name="Lien hypertexte" xfId="19851" builtinId="8" hidden="1"/>
    <cellStyle name="Lien hypertexte" xfId="15408" builtinId="8" hidden="1"/>
    <cellStyle name="Lien hypertexte" xfId="800" builtinId="8" hidden="1"/>
    <cellStyle name="Lien hypertexte" xfId="19675" builtinId="8" hidden="1"/>
    <cellStyle name="Lien hypertexte" xfId="17886" builtinId="8" hidden="1"/>
    <cellStyle name="Lien hypertexte" xfId="22217" builtinId="8" hidden="1"/>
    <cellStyle name="Lien hypertexte" xfId="24507" builtinId="8" hidden="1"/>
    <cellStyle name="Lien hypertexte" xfId="18897" builtinId="8" hidden="1"/>
    <cellStyle name="Lien hypertexte" xfId="23857" builtinId="8" hidden="1"/>
    <cellStyle name="Lien hypertexte" xfId="22003" builtinId="8" hidden="1"/>
    <cellStyle name="Lien hypertexte" xfId="18100" builtinId="8" hidden="1"/>
    <cellStyle name="Lien hypertexte" xfId="19879" builtinId="8" hidden="1"/>
    <cellStyle name="Lien hypertexte" xfId="15924" builtinId="8" hidden="1"/>
    <cellStyle name="Lien hypertexte" xfId="828" builtinId="8" hidden="1"/>
    <cellStyle name="Lien hypertexte" xfId="19647" builtinId="8" hidden="1"/>
    <cellStyle name="Lien hypertexte" xfId="17856" builtinId="8" hidden="1"/>
    <cellStyle name="Lien hypertexte" xfId="22247" builtinId="8" hidden="1"/>
    <cellStyle name="Lien hypertexte" xfId="24477" builtinId="8" hidden="1"/>
    <cellStyle name="Lien hypertexte" xfId="16212" builtinId="8" hidden="1"/>
    <cellStyle name="Lien hypertexte" xfId="23649" builtinId="8" hidden="1"/>
    <cellStyle name="Lien hypertexte" xfId="21973" builtinId="8" hidden="1"/>
    <cellStyle name="Lien hypertexte" xfId="18130" builtinId="8" hidden="1"/>
    <cellStyle name="Lien hypertexte" xfId="19909" builtinId="8" hidden="1"/>
    <cellStyle name="Lien hypertexte" xfId="15894" builtinId="8" hidden="1"/>
    <cellStyle name="Lien hypertexte" xfId="858" builtinId="8" hidden="1"/>
    <cellStyle name="Lien hypertexte" xfId="19621" builtinId="8" hidden="1"/>
    <cellStyle name="Lien hypertexte" xfId="17826" builtinId="8" hidden="1"/>
    <cellStyle name="Lien hypertexte" xfId="22277" builtinId="8" hidden="1"/>
    <cellStyle name="Lien hypertexte" xfId="24447" builtinId="8" hidden="1"/>
    <cellStyle name="Lien hypertexte" xfId="19121" builtinId="8" hidden="1"/>
    <cellStyle name="Lien hypertexte" xfId="23441" builtinId="8" hidden="1"/>
    <cellStyle name="Lien hypertexte" xfId="21945" builtinId="8" hidden="1"/>
    <cellStyle name="Lien hypertexte" xfId="18158" builtinId="8" hidden="1"/>
    <cellStyle name="Lien hypertexte" xfId="19935" builtinId="8" hidden="1"/>
    <cellStyle name="Lien hypertexte" xfId="15866" builtinId="8" hidden="1"/>
    <cellStyle name="Lien hypertexte" xfId="886" builtinId="8" hidden="1"/>
    <cellStyle name="Lien hypertexte" xfId="19591" builtinId="8" hidden="1"/>
    <cellStyle name="Lien hypertexte" xfId="17798" builtinId="8" hidden="1"/>
    <cellStyle name="Lien hypertexte" xfId="22303" builtinId="8" hidden="1"/>
    <cellStyle name="Lien hypertexte" xfId="24419" builtinId="8" hidden="1"/>
    <cellStyle name="Lien hypertexte" xfId="16970" builtinId="8" hidden="1"/>
    <cellStyle name="Lien hypertexte" xfId="23233" builtinId="8" hidden="1"/>
    <cellStyle name="Lien hypertexte" xfId="21915" builtinId="8" hidden="1"/>
    <cellStyle name="Lien hypertexte" xfId="18188" builtinId="8" hidden="1"/>
    <cellStyle name="Lien hypertexte" xfId="19963" builtinId="8" hidden="1"/>
    <cellStyle name="Lien hypertexte" xfId="15838" builtinId="8" hidden="1"/>
    <cellStyle name="Lien hypertexte" xfId="912" builtinId="8" hidden="1"/>
    <cellStyle name="Lien hypertexte" xfId="19563" builtinId="8" hidden="1"/>
    <cellStyle name="Lien hypertexte" xfId="17768" builtinId="8" hidden="1"/>
    <cellStyle name="Lien hypertexte" xfId="22333" builtinId="8" hidden="1"/>
    <cellStyle name="Lien hypertexte" xfId="24389" builtinId="8" hidden="1"/>
    <cellStyle name="Lien hypertexte" xfId="15946" builtinId="8" hidden="1"/>
    <cellStyle name="Lien hypertexte" xfId="23025" builtinId="8" hidden="1"/>
    <cellStyle name="Lien hypertexte" xfId="21885" builtinId="8" hidden="1"/>
    <cellStyle name="Lien hypertexte" xfId="18216" builtinId="8" hidden="1"/>
    <cellStyle name="Lien hypertexte" xfId="19991" builtinId="8" hidden="1"/>
    <cellStyle name="Lien hypertexte" xfId="15810" builtinId="8" hidden="1"/>
    <cellStyle name="Lien hypertexte" xfId="940" builtinId="8" hidden="1"/>
    <cellStyle name="Lien hypertexte" xfId="19535" builtinId="8" hidden="1"/>
    <cellStyle name="Lien hypertexte" xfId="17738" builtinId="8" hidden="1"/>
    <cellStyle name="Lien hypertexte" xfId="22363" builtinId="8" hidden="1"/>
    <cellStyle name="Lien hypertexte" xfId="24361" builtinId="8" hidden="1"/>
    <cellStyle name="Lien hypertexte" xfId="16348" builtinId="8" hidden="1"/>
    <cellStyle name="Lien hypertexte" xfId="22833" builtinId="8" hidden="1"/>
    <cellStyle name="Lien hypertexte" xfId="21855" builtinId="8" hidden="1"/>
    <cellStyle name="Lien hypertexte" xfId="18246" builtinId="8" hidden="1"/>
    <cellStyle name="Lien hypertexte" xfId="20019" builtinId="8" hidden="1"/>
    <cellStyle name="Lien hypertexte" xfId="15780" builtinId="8" hidden="1"/>
    <cellStyle name="Lien hypertexte" xfId="970" builtinId="8" hidden="1"/>
    <cellStyle name="Lien hypertexte" xfId="21065" builtinId="8" hidden="1"/>
    <cellStyle name="Lien hypertexte" xfId="17710" builtinId="8" hidden="1"/>
    <cellStyle name="Lien hypertexte" xfId="22393" builtinId="8" hidden="1"/>
    <cellStyle name="Lien hypertexte" xfId="24331" builtinId="8" hidden="1"/>
    <cellStyle name="Lien hypertexte" xfId="16064" builtinId="8" hidden="1"/>
    <cellStyle name="Lien hypertexte" xfId="22625" builtinId="8" hidden="1"/>
    <cellStyle name="Lien hypertexte" xfId="21827" builtinId="8" hidden="1"/>
    <cellStyle name="Lien hypertexte" xfId="18276" builtinId="8" hidden="1"/>
    <cellStyle name="Lien hypertexte" xfId="20047" builtinId="8" hidden="1"/>
    <cellStyle name="Lien hypertexte" xfId="15754" builtinId="8" hidden="1"/>
    <cellStyle name="Lien hypertexte" xfId="996" builtinId="8" hidden="1"/>
    <cellStyle name="Lien hypertexte" xfId="21735" builtinId="8" hidden="1"/>
    <cellStyle name="Lien hypertexte" xfId="17682" builtinId="8" hidden="1"/>
    <cellStyle name="Lien hypertexte" xfId="21719" builtinId="8" hidden="1"/>
    <cellStyle name="Lien hypertexte" xfId="22423" builtinId="8" hidden="1"/>
    <cellStyle name="Lien hypertexte" xfId="20519" builtinId="8" hidden="1"/>
    <cellStyle name="Lien hypertexte" xfId="15124" builtinId="8" hidden="1"/>
    <cellStyle name="Lien hypertexte" xfId="19765" builtinId="8" hidden="1"/>
    <cellStyle name="Lien hypertexte" xfId="18304" builtinId="8" hidden="1"/>
    <cellStyle name="Lien hypertexte" xfId="20075" builtinId="8" hidden="1"/>
    <cellStyle name="Lien hypertexte" xfId="15724" builtinId="8" hidden="1"/>
    <cellStyle name="Lien hypertexte" xfId="1024" builtinId="8" hidden="1"/>
    <cellStyle name="Lien hypertexte" xfId="21705" builtinId="8" hidden="1"/>
    <cellStyle name="Lien hypertexte" xfId="17652" builtinId="8" hidden="1"/>
    <cellStyle name="Lien hypertexte" xfId="22451" builtinId="8" hidden="1"/>
    <cellStyle name="Lien hypertexte" xfId="24271" builtinId="8" hidden="1"/>
    <cellStyle name="Lien hypertexte" xfId="16152" builtinId="8" hidden="1"/>
    <cellStyle name="Lien hypertexte" xfId="22209" builtinId="8" hidden="1"/>
    <cellStyle name="Lien hypertexte" xfId="21769" builtinId="8" hidden="1"/>
    <cellStyle name="Lien hypertexte" xfId="18351" builtinId="8" hidden="1"/>
    <cellStyle name="Lien hypertexte" xfId="20103" builtinId="8" hidden="1"/>
    <cellStyle name="Lien hypertexte" xfId="15696" builtinId="8" hidden="1"/>
    <cellStyle name="Lien hypertexte" xfId="1052" builtinId="8" hidden="1"/>
    <cellStyle name="Lien hypertexte" xfId="21677" builtinId="8" hidden="1"/>
    <cellStyle name="Lien hypertexte" xfId="17622" builtinId="8" hidden="1"/>
    <cellStyle name="Lien hypertexte" xfId="22479" builtinId="8" hidden="1"/>
    <cellStyle name="Lien hypertexte" xfId="24243" builtinId="8" hidden="1"/>
    <cellStyle name="Lien hypertexte" xfId="16288" builtinId="8" hidden="1"/>
    <cellStyle name="Lien hypertexte" xfId="22001" builtinId="8" hidden="1"/>
    <cellStyle name="Lien hypertexte" xfId="21537" builtinId="8" hidden="1"/>
    <cellStyle name="Lien hypertexte" xfId="18381" builtinId="8" hidden="1"/>
    <cellStyle name="Lien hypertexte" xfId="20131" builtinId="8" hidden="1"/>
    <cellStyle name="Lien hypertexte" xfId="15668" builtinId="8" hidden="1"/>
    <cellStyle name="Lien hypertexte" xfId="1080" builtinId="8" hidden="1"/>
    <cellStyle name="Lien hypertexte" xfId="21647" builtinId="8" hidden="1"/>
    <cellStyle name="Lien hypertexte" xfId="17594" builtinId="8" hidden="1"/>
    <cellStyle name="Lien hypertexte" xfId="22509" builtinId="8" hidden="1"/>
    <cellStyle name="Lien hypertexte" xfId="24215" builtinId="8" hidden="1"/>
    <cellStyle name="Lien hypertexte" xfId="16114" builtinId="8" hidden="1"/>
    <cellStyle name="Lien hypertexte" xfId="21809" builtinId="8" hidden="1"/>
    <cellStyle name="Lien hypertexte" xfId="20001" builtinId="8" hidden="1"/>
    <cellStyle name="Lien hypertexte" xfId="18411" builtinId="8" hidden="1"/>
    <cellStyle name="Lien hypertexte" xfId="20157" builtinId="8" hidden="1"/>
    <cellStyle name="Lien hypertexte" xfId="15640" builtinId="8" hidden="1"/>
    <cellStyle name="Lien hypertexte" xfId="1108" builtinId="8" hidden="1"/>
    <cellStyle name="Lien hypertexte" xfId="21621" builtinId="8" hidden="1"/>
    <cellStyle name="Lien hypertexte" xfId="17564" builtinId="8" hidden="1"/>
    <cellStyle name="Lien hypertexte" xfId="22539" builtinId="8" hidden="1"/>
    <cellStyle name="Lien hypertexte" xfId="24185" builtinId="8" hidden="1"/>
    <cellStyle name="Lien hypertexte" xfId="17244" builtinId="8" hidden="1"/>
    <cellStyle name="Lien hypertexte" xfId="21601" builtinId="8" hidden="1"/>
    <cellStyle name="Lien hypertexte" xfId="15986" builtinId="8" hidden="1"/>
    <cellStyle name="Lien hypertexte" xfId="18439" builtinId="8" hidden="1"/>
    <cellStyle name="Lien hypertexte" xfId="20185" builtinId="8" hidden="1"/>
    <cellStyle name="Lien hypertexte" xfId="15612" builtinId="8" hidden="1"/>
    <cellStyle name="Lien hypertexte" xfId="1136" builtinId="8" hidden="1"/>
    <cellStyle name="Lien hypertexte" xfId="21593" builtinId="8" hidden="1"/>
    <cellStyle name="Lien hypertexte" xfId="17534" builtinId="8" hidden="1"/>
    <cellStyle name="Lien hypertexte" xfId="22569" builtinId="8" hidden="1"/>
    <cellStyle name="Lien hypertexte" xfId="24155" builtinId="8" hidden="1"/>
    <cellStyle name="Lien hypertexte" xfId="16074" builtinId="8" hidden="1"/>
    <cellStyle name="Lien hypertexte" xfId="24097" builtinId="8" hidden="1"/>
    <cellStyle name="Lien hypertexte" xfId="16190" builtinId="8" hidden="1"/>
    <cellStyle name="Lien hypertexte" xfId="18469" builtinId="8" hidden="1"/>
    <cellStyle name="Lien hypertexte" xfId="20215" builtinId="8" hidden="1"/>
    <cellStyle name="Lien hypertexte" xfId="15582" builtinId="8" hidden="1"/>
    <cellStyle name="Lien hypertexte" xfId="14518" builtinId="8" hidden="1"/>
    <cellStyle name="Lien hypertexte" xfId="21563" builtinId="8" hidden="1"/>
    <cellStyle name="Lien hypertexte" xfId="17506" builtinId="8" hidden="1"/>
    <cellStyle name="Lien hypertexte" xfId="22597" builtinId="8" hidden="1"/>
    <cellStyle name="Lien hypertexte" xfId="24125" builtinId="8" hidden="1"/>
    <cellStyle name="Lien hypertexte" xfId="16484" builtinId="8" hidden="1"/>
    <cellStyle name="Lien hypertexte" xfId="24247" builtinId="8" hidden="1"/>
    <cellStyle name="Lien hypertexte" xfId="16394" builtinId="8" hidden="1"/>
    <cellStyle name="Lien hypertexte" xfId="18499" builtinId="8" hidden="1"/>
    <cellStyle name="Lien hypertexte" xfId="20243" builtinId="8" hidden="1"/>
    <cellStyle name="Lien hypertexte" xfId="15556" builtinId="8" hidden="1"/>
    <cellStyle name="Lien hypertexte" xfId="14544" builtinId="8" hidden="1"/>
    <cellStyle name="Lien hypertexte" xfId="21535" builtinId="8" hidden="1"/>
    <cellStyle name="Lien hypertexte" xfId="17476" builtinId="8" hidden="1"/>
    <cellStyle name="Lien hypertexte" xfId="22627" builtinId="8" hidden="1"/>
    <cellStyle name="Lien hypertexte" xfId="24095" builtinId="8" hidden="1"/>
    <cellStyle name="Lien hypertexte" xfId="16034" builtinId="8" hidden="1"/>
    <cellStyle name="Lien hypertexte" xfId="23807" builtinId="8" hidden="1"/>
    <cellStyle name="Lien hypertexte" xfId="16600" builtinId="8" hidden="1"/>
    <cellStyle name="Lien hypertexte" xfId="18525" builtinId="8" hidden="1"/>
    <cellStyle name="Lien hypertexte" xfId="19199" builtinId="8" hidden="1"/>
    <cellStyle name="Lien hypertexte" xfId="15526" builtinId="8" hidden="1"/>
    <cellStyle name="Lien hypertexte" xfId="14572" builtinId="8" hidden="1"/>
    <cellStyle name="Lien hypertexte" xfId="21509" builtinId="8" hidden="1"/>
    <cellStyle name="Lien hypertexte" xfId="17446" builtinId="8" hidden="1"/>
    <cellStyle name="Lien hypertexte" xfId="22655" builtinId="8" hidden="1"/>
    <cellStyle name="Lien hypertexte" xfId="24069" builtinId="8" hidden="1"/>
    <cellStyle name="Lien hypertexte" xfId="18393" builtinId="8" hidden="1"/>
    <cellStyle name="Lien hypertexte" xfId="23369" builtinId="8" hidden="1"/>
    <cellStyle name="Lien hypertexte" xfId="16804" builtinId="8" hidden="1"/>
    <cellStyle name="Lien hypertexte" xfId="18555" builtinId="8" hidden="1"/>
    <cellStyle name="Lien hypertexte" xfId="19227" builtinId="8" hidden="1"/>
    <cellStyle name="Lien hypertexte" xfId="15498" builtinId="8" hidden="1"/>
    <cellStyle name="Lien hypertexte" xfId="14602" builtinId="8" hidden="1"/>
    <cellStyle name="Lien hypertexte" xfId="21479" builtinId="8" hidden="1"/>
    <cellStyle name="Lien hypertexte" xfId="17416" builtinId="8" hidden="1"/>
    <cellStyle name="Lien hypertexte" xfId="22685" builtinId="8" hidden="1"/>
    <cellStyle name="Lien hypertexte" xfId="24039" builtinId="8" hidden="1"/>
    <cellStyle name="Lien hypertexte" xfId="15996" builtinId="8" hidden="1"/>
    <cellStyle name="Lien hypertexte" xfId="22931" builtinId="8" hidden="1"/>
    <cellStyle name="Lien hypertexte" xfId="17010" builtinId="8" hidden="1"/>
    <cellStyle name="Lien hypertexte" xfId="18585" builtinId="8" hidden="1"/>
    <cellStyle name="Lien hypertexte" xfId="19255" builtinId="8" hidden="1"/>
    <cellStyle name="Lien hypertexte" xfId="15468" builtinId="8" hidden="1"/>
    <cellStyle name="Lien hypertexte" xfId="1094" builtinId="8" hidden="1"/>
    <cellStyle name="Lien hypertexte" xfId="21451" builtinId="8" hidden="1"/>
    <cellStyle name="Lien hypertexte" xfId="17388" builtinId="8" hidden="1"/>
    <cellStyle name="Lien hypertexte" xfId="22715" builtinId="8" hidden="1"/>
    <cellStyle name="Lien hypertexte" xfId="24009" builtinId="8" hidden="1"/>
    <cellStyle name="Lien hypertexte" xfId="16716" builtinId="8" hidden="1"/>
    <cellStyle name="Lien hypertexte" xfId="22491" builtinId="8" hidden="1"/>
    <cellStyle name="Lien hypertexte" xfId="17214" builtinId="8" hidden="1"/>
    <cellStyle name="Lien hypertexte" xfId="18615" builtinId="8" hidden="1"/>
    <cellStyle name="Lien hypertexte" xfId="19283" builtinId="8" hidden="1"/>
    <cellStyle name="Lien hypertexte" xfId="15442" builtinId="8" hidden="1"/>
    <cellStyle name="Lien hypertexte" xfId="366" builtinId="8" hidden="1"/>
    <cellStyle name="Lien hypertexte" xfId="21421" builtinId="8" hidden="1"/>
    <cellStyle name="Lien hypertexte" xfId="17358" builtinId="8" hidden="1"/>
    <cellStyle name="Lien hypertexte" xfId="22743" builtinId="8" hidden="1"/>
    <cellStyle name="Lien hypertexte" xfId="23979" builtinId="8" hidden="1"/>
    <cellStyle name="Lien hypertexte" xfId="15958" builtinId="8" hidden="1"/>
    <cellStyle name="Lien hypertexte" xfId="22053" builtinId="8" hidden="1"/>
    <cellStyle name="Lien hypertexte" xfId="17418" builtinId="8" hidden="1"/>
    <cellStyle name="Lien hypertexte" xfId="18643" builtinId="8" hidden="1"/>
    <cellStyle name="Lien hypertexte" xfId="19311" builtinId="8" hidden="1"/>
    <cellStyle name="Lien hypertexte" xfId="15414" builtinId="8" hidden="1"/>
    <cellStyle name="Lien hypertexte" xfId="394" builtinId="8" hidden="1"/>
    <cellStyle name="Lien hypertexte" xfId="21395" builtinId="8" hidden="1"/>
    <cellStyle name="Lien hypertexte" xfId="17330" builtinId="8" hidden="1"/>
    <cellStyle name="Lien hypertexte" xfId="22773" builtinId="8" hidden="1"/>
    <cellStyle name="Lien hypertexte" xfId="23949" builtinId="8" hidden="1"/>
    <cellStyle name="Lien hypertexte" xfId="17126" builtinId="8" hidden="1"/>
    <cellStyle name="Lien hypertexte" xfId="20253" builtinId="8" hidden="1"/>
    <cellStyle name="Lien hypertexte" xfId="17624" builtinId="8" hidden="1"/>
    <cellStyle name="Lien hypertexte" xfId="18673" builtinId="8" hidden="1"/>
    <cellStyle name="Lien hypertexte" xfId="19339" builtinId="8" hidden="1"/>
    <cellStyle name="Lien hypertexte" xfId="15384" builtinId="8" hidden="1"/>
    <cellStyle name="Lien hypertexte" xfId="422" builtinId="8" hidden="1"/>
    <cellStyle name="Lien hypertexte" xfId="21367" builtinId="8" hidden="1"/>
    <cellStyle name="Lien hypertexte" xfId="17302" builtinId="8" hidden="1"/>
    <cellStyle name="Lien hypertexte" xfId="22803" builtinId="8" hidden="1"/>
    <cellStyle name="Lien hypertexte" xfId="23923" builtinId="8" hidden="1"/>
    <cellStyle name="Lien hypertexte" xfId="16182" builtinId="8" hidden="1"/>
    <cellStyle name="Lien hypertexte" xfId="20283" builtinId="8" hidden="1"/>
    <cellStyle name="Lien hypertexte" xfId="17828" builtinId="8" hidden="1"/>
    <cellStyle name="Lien hypertexte" xfId="18703" builtinId="8" hidden="1"/>
    <cellStyle name="Lien hypertexte" xfId="19367" builtinId="8" hidden="1"/>
    <cellStyle name="Lien hypertexte" xfId="15358" builtinId="8" hidden="1"/>
    <cellStyle name="Lien hypertexte" xfId="448" builtinId="8" hidden="1"/>
    <cellStyle name="Lien hypertexte" xfId="21337" builtinId="8" hidden="1"/>
    <cellStyle name="Lien hypertexte" xfId="17272" builtinId="8" hidden="1"/>
    <cellStyle name="Lien hypertexte" xfId="22831" builtinId="8" hidden="1"/>
    <cellStyle name="Lien hypertexte" xfId="23893" builtinId="8" hidden="1"/>
    <cellStyle name="Lien hypertexte" xfId="16776" builtinId="8" hidden="1"/>
    <cellStyle name="Lien hypertexte" xfId="20311" builtinId="8" hidden="1"/>
    <cellStyle name="Lien hypertexte" xfId="18034" builtinId="8" hidden="1"/>
    <cellStyle name="Lien hypertexte" xfId="18731" builtinId="8" hidden="1"/>
    <cellStyle name="Lien hypertexte" xfId="19395" builtinId="8" hidden="1"/>
    <cellStyle name="Lien hypertexte" xfId="15328" builtinId="8" hidden="1"/>
    <cellStyle name="Lien hypertexte" xfId="478" builtinId="8" hidden="1"/>
    <cellStyle name="Lien hypertexte" xfId="21309" builtinId="8" hidden="1"/>
    <cellStyle name="Lien hypertexte" xfId="17242" builtinId="8" hidden="1"/>
    <cellStyle name="Lien hypertexte" xfId="22861" builtinId="8" hidden="1"/>
    <cellStyle name="Lien hypertexte" xfId="23863" builtinId="8" hidden="1"/>
    <cellStyle name="Lien hypertexte" xfId="16238" builtinId="8" hidden="1"/>
    <cellStyle name="Lien hypertexte" xfId="20341" builtinId="8" hidden="1"/>
    <cellStyle name="Lien hypertexte" xfId="18238" builtinId="8" hidden="1"/>
    <cellStyle name="Lien hypertexte" xfId="18761" builtinId="8" hidden="1"/>
    <cellStyle name="Lien hypertexte" xfId="19421" builtinId="8" hidden="1"/>
    <cellStyle name="Lien hypertexte" xfId="15300" builtinId="8" hidden="1"/>
    <cellStyle name="Lien hypertexte" xfId="506" builtinId="8" hidden="1"/>
    <cellStyle name="Lien hypertexte" xfId="21279" builtinId="8" hidden="1"/>
    <cellStyle name="Lien hypertexte" xfId="17212" builtinId="8" hidden="1"/>
    <cellStyle name="Lien hypertexte" xfId="22889" builtinId="8" hidden="1"/>
    <cellStyle name="Lien hypertexte" xfId="22741" builtinId="8" hidden="1"/>
    <cellStyle name="Lien hypertexte" xfId="210" builtinId="8" hidden="1"/>
    <cellStyle name="Lien hypertexte" xfId="20367" builtinId="8" hidden="1"/>
    <cellStyle name="Lien hypertexte" xfId="18459" builtinId="8" hidden="1"/>
    <cellStyle name="Lien hypertexte" xfId="18791" builtinId="8" hidden="1"/>
    <cellStyle name="Lien hypertexte" xfId="19449" builtinId="8" hidden="1"/>
    <cellStyle name="Lien hypertexte" xfId="15270" builtinId="8" hidden="1"/>
    <cellStyle name="Lien hypertexte" xfId="534" builtinId="8" hidden="1"/>
    <cellStyle name="Lien hypertexte" xfId="21253" builtinId="8" hidden="1"/>
    <cellStyle name="Lien hypertexte" xfId="17184" builtinId="8" hidden="1"/>
    <cellStyle name="Lien hypertexte" xfId="22919" builtinId="8" hidden="1"/>
    <cellStyle name="Lien hypertexte" xfId="23803" builtinId="8" hidden="1"/>
    <cellStyle name="Lien hypertexte" xfId="16298" builtinId="8" hidden="1"/>
    <cellStyle name="Lien hypertexte" xfId="20395" builtinId="8" hidden="1"/>
    <cellStyle name="Lien hypertexte" xfId="18665" builtinId="8" hidden="1"/>
    <cellStyle name="Lien hypertexte" xfId="18821" builtinId="8" hidden="1"/>
    <cellStyle name="Lien hypertexte" xfId="19477" builtinId="8" hidden="1"/>
    <cellStyle name="Lien hypertexte" xfId="15244" builtinId="8" hidden="1"/>
    <cellStyle name="Lien hypertexte" xfId="560" builtinId="8" hidden="1"/>
    <cellStyle name="Lien hypertexte" xfId="21225" builtinId="8" hidden="1"/>
    <cellStyle name="Lien hypertexte" xfId="17154" builtinId="8" hidden="1"/>
    <cellStyle name="Lien hypertexte" xfId="22949" builtinId="8" hidden="1"/>
    <cellStyle name="Lien hypertexte" xfId="23775" builtinId="8" hidden="1"/>
    <cellStyle name="Lien hypertexte" xfId="16698" builtinId="8" hidden="1"/>
    <cellStyle name="Lien hypertexte" xfId="20425" builtinId="8" hidden="1"/>
    <cellStyle name="Lien hypertexte" xfId="18497" builtinId="8" hidden="1"/>
    <cellStyle name="Lien hypertexte" xfId="18817" builtinId="8" hidden="1"/>
    <cellStyle name="Lien hypertexte" xfId="19503" builtinId="8" hidden="1"/>
    <cellStyle name="Lien hypertexte" xfId="15214" builtinId="8" hidden="1"/>
    <cellStyle name="Lien hypertexte" xfId="588" builtinId="8" hidden="1"/>
    <cellStyle name="Lien hypertexte" xfId="21195" builtinId="8" hidden="1"/>
    <cellStyle name="Lien hypertexte" xfId="17124" builtinId="8" hidden="1"/>
    <cellStyle name="Lien hypertexte" xfId="22979" builtinId="8" hidden="1"/>
    <cellStyle name="Lien hypertexte" xfId="23747" builtinId="8" hidden="1"/>
    <cellStyle name="Lien hypertexte" xfId="16356" builtinId="8" hidden="1"/>
    <cellStyle name="Lien hypertexte" xfId="20453" builtinId="8" hidden="1"/>
    <cellStyle name="Lien hypertexte" xfId="14662" builtinId="8" hidden="1"/>
    <cellStyle name="Lien hypertexte" xfId="18369" builtinId="8" hidden="1"/>
    <cellStyle name="Lien hypertexte" xfId="19531" builtinId="8" hidden="1"/>
    <cellStyle name="Lien hypertexte" xfId="15186" builtinId="8" hidden="1"/>
    <cellStyle name="Lien hypertexte" xfId="616" builtinId="8" hidden="1"/>
    <cellStyle name="Lien hypertexte" xfId="21167" builtinId="8" hidden="1"/>
    <cellStyle name="Lien hypertexte" xfId="17096" builtinId="8" hidden="1"/>
    <cellStyle name="Lien hypertexte" xfId="23007" builtinId="8" hidden="1"/>
    <cellStyle name="Lien hypertexte" xfId="23717" builtinId="8" hidden="1"/>
    <cellStyle name="Lien hypertexte" xfId="17322" builtinId="8" hidden="1"/>
    <cellStyle name="Lien hypertexte" xfId="20483" builtinId="8" hidden="1"/>
    <cellStyle name="Lien hypertexte" xfId="14860" builtinId="8" hidden="1"/>
    <cellStyle name="Lien hypertexte" xfId="17904" builtinId="8" hidden="1"/>
    <cellStyle name="Lien hypertexte" xfId="19037" builtinId="8" hidden="1"/>
    <cellStyle name="Lien hypertexte" xfId="15160" builtinId="8" hidden="1"/>
    <cellStyle name="Lien hypertexte" xfId="642" builtinId="8" hidden="1"/>
    <cellStyle name="Lien hypertexte" xfId="21141" builtinId="8" hidden="1"/>
    <cellStyle name="Lien hypertexte" xfId="17066" builtinId="8" hidden="1"/>
    <cellStyle name="Lien hypertexte" xfId="23035" builtinId="8" hidden="1"/>
    <cellStyle name="Lien hypertexte" xfId="23687" builtinId="8" hidden="1"/>
    <cellStyle name="Lien hypertexte" xfId="16416" builtinId="8" hidden="1"/>
    <cellStyle name="Lien hypertexte" xfId="20509" builtinId="8" hidden="1"/>
    <cellStyle name="Lien hypertexte" xfId="15058" builtinId="8" hidden="1"/>
    <cellStyle name="Lien hypertexte" xfId="17488" builtinId="8" hidden="1"/>
    <cellStyle name="Lien hypertexte" xfId="19065" builtinId="8" hidden="1"/>
    <cellStyle name="Lien hypertexte" xfId="15130" builtinId="8" hidden="1"/>
    <cellStyle name="Lien hypertexte" xfId="214" builtinId="8" hidden="1"/>
    <cellStyle name="Lien hypertexte" xfId="21111" builtinId="8" hidden="1"/>
    <cellStyle name="Lien hypertexte" xfId="17036" builtinId="8" hidden="1"/>
    <cellStyle name="Lien hypertexte" xfId="23065" builtinId="8" hidden="1"/>
    <cellStyle name="Lien hypertexte" xfId="23657" builtinId="8" hidden="1"/>
    <cellStyle name="Lien hypertexte" xfId="16620" builtinId="8" hidden="1"/>
    <cellStyle name="Lien hypertexte" xfId="20537" builtinId="8" hidden="1"/>
    <cellStyle name="Lien hypertexte" xfId="15256" builtinId="8" hidden="1"/>
    <cellStyle name="Lien hypertexte" xfId="17040" builtinId="8" hidden="1"/>
    <cellStyle name="Lien hypertexte" xfId="19093" builtinId="8" hidden="1"/>
    <cellStyle name="Lien hypertexte" xfId="15102" builtinId="8" hidden="1"/>
    <cellStyle name="Lien hypertexte" xfId="242" builtinId="8" hidden="1"/>
    <cellStyle name="Lien hypertexte" xfId="21083" builtinId="8" hidden="1"/>
    <cellStyle name="Lien hypertexte" xfId="17006" builtinId="8" hidden="1"/>
    <cellStyle name="Lien hypertexte" xfId="23095" builtinId="8" hidden="1"/>
    <cellStyle name="Lien hypertexte" xfId="23629" builtinId="8" hidden="1"/>
    <cellStyle name="Lien hypertexte" xfId="16474" builtinId="8" hidden="1"/>
    <cellStyle name="Lien hypertexte" xfId="20567" builtinId="8" hidden="1"/>
    <cellStyle name="Lien hypertexte" xfId="15454" builtinId="8" hidden="1"/>
    <cellStyle name="Lien hypertexte" xfId="16592" builtinId="8" hidden="1"/>
    <cellStyle name="Lien hypertexte" xfId="19119" builtinId="8" hidden="1"/>
    <cellStyle name="Lien hypertexte" xfId="15072" builtinId="8" hidden="1"/>
    <cellStyle name="Lien hypertexte" xfId="270" builtinId="8" hidden="1"/>
    <cellStyle name="Lien hypertexte" xfId="21053" builtinId="8" hidden="1"/>
    <cellStyle name="Lien hypertexte" xfId="16980" builtinId="8" hidden="1"/>
    <cellStyle name="Lien hypertexte" xfId="23125" builtinId="8" hidden="1"/>
    <cellStyle name="Lien hypertexte" xfId="23599" builtinId="8" hidden="1"/>
    <cellStyle name="Lien hypertexte" xfId="17424" builtinId="8" hidden="1"/>
    <cellStyle name="Lien hypertexte" xfId="20595" builtinId="8" hidden="1"/>
    <cellStyle name="Lien hypertexte" xfId="15652" builtinId="8" hidden="1"/>
    <cellStyle name="Lien hypertexte" xfId="16144" builtinId="8" hidden="1"/>
    <cellStyle name="Lien hypertexte" xfId="19147" builtinId="8" hidden="1"/>
    <cellStyle name="Lien hypertexte" xfId="15046" builtinId="8" hidden="1"/>
    <cellStyle name="Lien hypertexte" xfId="296" builtinId="8" hidden="1"/>
    <cellStyle name="Lien hypertexte" xfId="21027" builtinId="8" hidden="1"/>
    <cellStyle name="Lien hypertexte" xfId="16950" builtinId="8" hidden="1"/>
    <cellStyle name="Lien hypertexte" xfId="23155" builtinId="8" hidden="1"/>
    <cellStyle name="Lien hypertexte" xfId="23571" builtinId="8" hidden="1"/>
    <cellStyle name="Lien hypertexte" xfId="16534" builtinId="8" hidden="1"/>
    <cellStyle name="Lien hypertexte" xfId="20621" builtinId="8" hidden="1"/>
    <cellStyle name="Lien hypertexte" xfId="15850" builtinId="8" hidden="1"/>
    <cellStyle name="Lien hypertexte" xfId="14642" builtinId="8" hidden="1"/>
    <cellStyle name="Lien hypertexte" xfId="19175" builtinId="8" hidden="1"/>
    <cellStyle name="Lien hypertexte" xfId="15016" builtinId="8" hidden="1"/>
    <cellStyle name="Lien hypertexte" xfId="324" builtinId="8" hidden="1"/>
    <cellStyle name="Lien hypertexte" xfId="20999" builtinId="8" hidden="1"/>
    <cellStyle name="Lien hypertexte" xfId="16920" builtinId="8" hidden="1"/>
    <cellStyle name="Lien hypertexte" xfId="23181" builtinId="8" hidden="1"/>
    <cellStyle name="Lien hypertexte" xfId="23541" builtinId="8" hidden="1"/>
    <cellStyle name="Lien hypertexte" xfId="16542" builtinId="8" hidden="1"/>
    <cellStyle name="Lien hypertexte" xfId="20651" builtinId="8" hidden="1"/>
    <cellStyle name="Lien hypertexte" xfId="722" builtinId="8" hidden="1"/>
    <cellStyle name="Lien hypertexte" xfId="14670" builtinId="8" hidden="1"/>
    <cellStyle name="Lien hypertexte" xfId="18947" builtinId="8" hidden="1"/>
    <cellStyle name="Lien hypertexte" xfId="14988" builtinId="8" hidden="1"/>
    <cellStyle name="Lien hypertexte" xfId="128" builtinId="8" hidden="1"/>
    <cellStyle name="Lien hypertexte" xfId="20969" builtinId="8" hidden="1"/>
    <cellStyle name="Lien hypertexte" xfId="16892" builtinId="8" hidden="1"/>
    <cellStyle name="Lien hypertexte" xfId="23211" builtinId="8" hidden="1"/>
    <cellStyle name="Lien hypertexte" xfId="23511" builtinId="8" hidden="1"/>
    <cellStyle name="Lien hypertexte" xfId="16590" builtinId="8" hidden="1"/>
    <cellStyle name="Lien hypertexte" xfId="20679" builtinId="8" hidden="1"/>
    <cellStyle name="Lien hypertexte" xfId="916" builtinId="8" hidden="1"/>
    <cellStyle name="Lien hypertexte" xfId="14698" builtinId="8" hidden="1"/>
    <cellStyle name="Lien hypertexte" xfId="18973" builtinId="8" hidden="1"/>
    <cellStyle name="Lien hypertexte" xfId="14962" builtinId="8" hidden="1"/>
    <cellStyle name="Lien hypertexte" xfId="154" builtinId="8" hidden="1"/>
    <cellStyle name="Lien hypertexte" xfId="20941" builtinId="8" hidden="1"/>
    <cellStyle name="Lien hypertexte" xfId="16862" builtinId="8" hidden="1"/>
    <cellStyle name="Lien hypertexte" xfId="23241" builtinId="8" hidden="1"/>
    <cellStyle name="Lien hypertexte" xfId="23483" builtinId="8" hidden="1"/>
    <cellStyle name="Lien hypertexte" xfId="17790" builtinId="8" hidden="1"/>
    <cellStyle name="Lien hypertexte" xfId="20709" builtinId="8" hidden="1"/>
    <cellStyle name="Lien hypertexte" xfId="1112" builtinId="8" hidden="1"/>
    <cellStyle name="Lien hypertexte" xfId="14726" builtinId="8" hidden="1"/>
    <cellStyle name="Lien hypertexte" xfId="19001" builtinId="8" hidden="1"/>
    <cellStyle name="Lien hypertexte" xfId="14932" builtinId="8" hidden="1"/>
    <cellStyle name="Lien hypertexte" xfId="182" builtinId="8" hidden="1"/>
    <cellStyle name="Lien hypertexte" xfId="20911" builtinId="8" hidden="1"/>
    <cellStyle name="Lien hypertexte" xfId="16832" builtinId="8" hidden="1"/>
    <cellStyle name="Lien hypertexte" xfId="23271" builtinId="8" hidden="1"/>
    <cellStyle name="Lien hypertexte" xfId="23453" builtinId="8" hidden="1"/>
    <cellStyle name="Lien hypertexte" xfId="16648" builtinId="8" hidden="1"/>
    <cellStyle name="Lien hypertexte" xfId="20735" builtinId="8" hidden="1"/>
    <cellStyle name="Lien hypertexte" xfId="370" builtinId="8" hidden="1"/>
    <cellStyle name="Lien hypertexte" xfId="14754" builtinId="8" hidden="1"/>
    <cellStyle name="Lien hypertexte" xfId="18901" builtinId="8" hidden="1"/>
    <cellStyle name="Lien hypertexte" xfId="14904" builtinId="8" hidden="1"/>
    <cellStyle name="Lien hypertexte" xfId="98" builtinId="8" hidden="1"/>
    <cellStyle name="Lien hypertexte" xfId="20885" builtinId="8" hidden="1"/>
    <cellStyle name="Lien hypertexte" xfId="16802" builtinId="8" hidden="1"/>
    <cellStyle name="Lien hypertexte" xfId="23301" builtinId="8" hidden="1"/>
    <cellStyle name="Lien hypertexte" xfId="23423" builtinId="8" hidden="1"/>
    <cellStyle name="Lien hypertexte" xfId="16466" builtinId="8" hidden="1"/>
    <cellStyle name="Lien hypertexte" xfId="20763" builtinId="8" hidden="1"/>
    <cellStyle name="Lien hypertexte" xfId="564" builtinId="8" hidden="1"/>
    <cellStyle name="Lien hypertexte" xfId="14784" builtinId="8" hidden="1"/>
    <cellStyle name="Lien hypertexte" xfId="18927" builtinId="8" hidden="1"/>
    <cellStyle name="Lien hypertexte" xfId="14874" builtinId="8" hidden="1"/>
    <cellStyle name="Lien hypertexte" xfId="70" builtinId="8" hidden="1"/>
    <cellStyle name="Lien hypertexte" xfId="20857" builtinId="8" hidden="1"/>
    <cellStyle name="Lien hypertexte" xfId="16774" builtinId="8" hidden="1"/>
    <cellStyle name="Lien hypertexte" xfId="23327" builtinId="8" hidden="1"/>
    <cellStyle name="Lien hypertexte" xfId="23395" builtinId="8" hidden="1"/>
    <cellStyle name="Lien hypertexte" xfId="16708" builtinId="8" hidden="1"/>
    <cellStyle name="Lien hypertexte" xfId="20793" builtinId="8" hidden="1"/>
    <cellStyle name="Lien hypertexte" xfId="300" builtinId="8" hidden="1"/>
    <cellStyle name="Lien hypertexte" xfId="124" builtinId="8" hidden="1"/>
    <cellStyle name="Lien hypertexte" xfId="19785" builtinId="8" hidden="1"/>
    <cellStyle name="Lien hypertexte" xfId="22095" builtinId="8" hidden="1"/>
    <cellStyle name="Lien hypertexte" xfId="16714" builtinId="8" hidden="1"/>
    <cellStyle name="Lien hypertexte" xfId="14812" builtinId="8" hidden="1"/>
    <cellStyle name="Lien hypertexte" xfId="14848" builtinId="8" hidden="1"/>
    <cellStyle name="Lien hypertexte" xfId="16724" builtinId="8" hidden="1"/>
    <cellStyle name="Lien hypertexte" xfId="23351" builtinId="8" hidden="1"/>
    <cellStyle name="Lien hypertexte" xfId="20807" builtinId="8" hidden="1"/>
    <cellStyle name="Lien hypertexte" xfId="54" builtinId="8" hidden="1"/>
    <cellStyle name="Lien hypertexte" xfId="17972" builtinId="8" hidden="1"/>
    <cellStyle name="Lien hypertexte" xfId="23381" builtinId="8" hidden="1"/>
    <cellStyle name="Lien hypertexte" xfId="16760" builtinId="8" hidden="1"/>
    <cellStyle name="Lien hypertexte" xfId="17962" builtinId="8" hidden="1"/>
    <cellStyle name="Lien hypertexte" xfId="24591" builtinId="8" hidden="1"/>
    <cellStyle name="Lien hypertexte" xfId="20835" builtinId="8" hidden="1"/>
    <cellStyle name="Lien hypertexte" xfId="728" builtinId="8" hidden="1"/>
    <cellStyle name="Lien hypertexte" xfId="23387" builtinId="8" hidden="1"/>
    <cellStyle name="Lien hypertexte" xfId="23337" builtinId="8" hidden="1"/>
    <cellStyle name="Lien hypertexte" xfId="16766" builtinId="8" hidden="1"/>
    <cellStyle name="Lien hypertexte" xfId="20851" builtinId="8" hidden="1"/>
    <cellStyle name="Lien hypertexte" xfId="76" builtinId="8" hidden="1"/>
    <cellStyle name="Lien hypertexte" xfId="14868" builtinId="8" hidden="1"/>
    <cellStyle name="Lien hypertexte" xfId="18871" builtinId="8" hidden="1"/>
    <cellStyle name="Lien hypertexte" xfId="14790" builtinId="8" hidden="1"/>
    <cellStyle name="Lien hypertexte" xfId="612" builtinId="8" hidden="1"/>
    <cellStyle name="Lien hypertexte" xfId="20771" builtinId="8" hidden="1"/>
    <cellStyle name="Lien hypertexte" xfId="16686" builtinId="8" hidden="1"/>
    <cellStyle name="Lien hypertexte" xfId="23417" builtinId="8" hidden="1"/>
    <cellStyle name="Lien hypertexte" xfId="23307" builtinId="8" hidden="1"/>
    <cellStyle name="Lien hypertexte" xfId="16386" builtinId="8" hidden="1"/>
    <cellStyle name="Lien hypertexte" xfId="20877" builtinId="8" hidden="1"/>
    <cellStyle name="Lien hypertexte" xfId="104" builtinId="8" hidden="1"/>
    <cellStyle name="Lien hypertexte" xfId="14898" builtinId="8" hidden="1"/>
    <cellStyle name="Lien hypertexte" xfId="18907" builtinId="8" hidden="1"/>
    <cellStyle name="Lien hypertexte" xfId="14762" builtinId="8" hidden="1"/>
    <cellStyle name="Lien hypertexte" xfId="418" builtinId="8" hidden="1"/>
    <cellStyle name="Lien hypertexte" xfId="20743" builtinId="8" hidden="1"/>
    <cellStyle name="Lien hypertexte" xfId="16658" builtinId="8" hidden="1"/>
    <cellStyle name="Lien hypertexte" xfId="23447" builtinId="8" hidden="1"/>
    <cellStyle name="Lien hypertexte" xfId="23277" builtinId="8" hidden="1"/>
    <cellStyle name="Lien hypertexte" xfId="16826" builtinId="8" hidden="1"/>
    <cellStyle name="Lien hypertexte" xfId="20905" builtinId="8" hidden="1"/>
    <cellStyle name="Lien hypertexte" xfId="190" builtinId="8" hidden="1"/>
    <cellStyle name="Lien hypertexte" xfId="14924" builtinId="8" hidden="1"/>
    <cellStyle name="Lien hypertexte" xfId="19007" builtinId="8" hidden="1"/>
    <cellStyle name="Lien hypertexte" xfId="14734" builtinId="8" hidden="1"/>
    <cellStyle name="Lien hypertexte" xfId="3695" builtinId="8" hidden="1"/>
    <cellStyle name="Lien hypertexte" xfId="20715" builtinId="8" hidden="1"/>
    <cellStyle name="Lien hypertexte" xfId="16628" builtinId="8" hidden="1"/>
    <cellStyle name="Lien hypertexte" xfId="23475" builtinId="8" hidden="1"/>
    <cellStyle name="Lien hypertexte" xfId="23247" builtinId="8" hidden="1"/>
    <cellStyle name="Lien hypertexte" xfId="18142" builtinId="8" hidden="1"/>
    <cellStyle name="Lien hypertexte" xfId="20935" builtinId="8" hidden="1"/>
    <cellStyle name="Lien hypertexte" xfId="162" builtinId="8" hidden="1"/>
    <cellStyle name="Lien hypertexte" xfId="14952" builtinId="8" hidden="1"/>
    <cellStyle name="Lien hypertexte" xfId="18981" builtinId="8" hidden="1"/>
    <cellStyle name="Lien hypertexte" xfId="14706" builtinId="8" hidden="1"/>
    <cellStyle name="Lien hypertexte" xfId="964" builtinId="8" hidden="1"/>
    <cellStyle name="Lien hypertexte" xfId="20685" builtinId="8" hidden="1"/>
    <cellStyle name="Lien hypertexte" xfId="16598" builtinId="8" hidden="1"/>
    <cellStyle name="Lien hypertexte" xfId="23503" builtinId="8" hidden="1"/>
    <cellStyle name="Lien hypertexte" xfId="23219" builtinId="8" hidden="1"/>
    <cellStyle name="Lien hypertexte" xfId="16884" builtinId="8" hidden="1"/>
    <cellStyle name="Lien hypertexte" xfId="20963" builtinId="8" hidden="1"/>
    <cellStyle name="Lien hypertexte" xfId="134" builtinId="8" hidden="1"/>
    <cellStyle name="Lien hypertexte" xfId="14982" builtinId="8" hidden="1"/>
    <cellStyle name="Lien hypertexte" xfId="18953" builtinId="8" hidden="1"/>
    <cellStyle name="Lien hypertexte" xfId="14676" builtinId="8" hidden="1"/>
    <cellStyle name="Lien hypertexte" xfId="770" builtinId="8" hidden="1"/>
    <cellStyle name="Lien hypertexte" xfId="20659" builtinId="8" hidden="1"/>
    <cellStyle name="Lien hypertexte" xfId="16570" builtinId="8" hidden="1"/>
    <cellStyle name="Lien hypertexte" xfId="23533" builtinId="8" hidden="1"/>
    <cellStyle name="Lien hypertexte" xfId="23191" builtinId="8" hidden="1"/>
    <cellStyle name="Lien hypertexte" xfId="16914" builtinId="8" hidden="1"/>
    <cellStyle name="Lien hypertexte" xfId="20989" builtinId="8" hidden="1"/>
    <cellStyle name="Lien hypertexte" xfId="330" builtinId="8" hidden="1"/>
    <cellStyle name="Lien hypertexte" xfId="15010" builtinId="8" hidden="1"/>
    <cellStyle name="Lien hypertexte" xfId="19181" builtinId="8" hidden="1"/>
    <cellStyle name="Lien hypertexte" xfId="14650" builtinId="8" hidden="1"/>
    <cellStyle name="Lien hypertexte" xfId="15900" builtinId="8" hidden="1"/>
    <cellStyle name="Lien hypertexte" xfId="20631" builtinId="8" hidden="1"/>
    <cellStyle name="Lien hypertexte" xfId="16540" builtinId="8" hidden="1"/>
    <cellStyle name="Lien hypertexte" xfId="23563" builtinId="8" hidden="1"/>
    <cellStyle name="Lien hypertexte" xfId="23161" builtinId="8" hidden="1"/>
    <cellStyle name="Lien hypertexte" xfId="16942" builtinId="8" hidden="1"/>
    <cellStyle name="Lien hypertexte" xfId="21019" builtinId="8" hidden="1"/>
    <cellStyle name="Lien hypertexte" xfId="304" builtinId="8" hidden="1"/>
    <cellStyle name="Lien hypertexte" xfId="15038" builtinId="8" hidden="1"/>
    <cellStyle name="Lien hypertexte" xfId="19155" builtinId="8" hidden="1"/>
    <cellStyle name="Lien hypertexte" xfId="16048" builtinId="8" hidden="1"/>
    <cellStyle name="Lien hypertexte" xfId="15702" builtinId="8" hidden="1"/>
    <cellStyle name="Lien hypertexte" xfId="20601" builtinId="8" hidden="1"/>
    <cellStyle name="Lien hypertexte" xfId="16510" builtinId="8" hidden="1"/>
    <cellStyle name="Lien hypertexte" xfId="23593" builtinId="8" hidden="1"/>
    <cellStyle name="Lien hypertexte" xfId="23131" builtinId="8" hidden="1"/>
    <cellStyle name="Lien hypertexte" xfId="18705" builtinId="8" hidden="1"/>
    <cellStyle name="Lien hypertexte" xfId="21047" builtinId="8" hidden="1"/>
    <cellStyle name="Lien hypertexte" xfId="276" builtinId="8" hidden="1"/>
    <cellStyle name="Lien hypertexte" xfId="15066" builtinId="8" hidden="1"/>
    <cellStyle name="Lien hypertexte" xfId="19127" builtinId="8" hidden="1"/>
    <cellStyle name="Lien hypertexte" xfId="16496" builtinId="8" hidden="1"/>
    <cellStyle name="Lien hypertexte" xfId="15504" builtinId="8" hidden="1"/>
    <cellStyle name="Lien hypertexte" xfId="20573" builtinId="8" hidden="1"/>
    <cellStyle name="Lien hypertexte" xfId="16482" builtinId="8" hidden="1"/>
    <cellStyle name="Lien hypertexte" xfId="23621" builtinId="8" hidden="1"/>
    <cellStyle name="Lien hypertexte" xfId="23101" builtinId="8" hidden="1"/>
    <cellStyle name="Lien hypertexte" xfId="17000" builtinId="8" hidden="1"/>
    <cellStyle name="Lien hypertexte" xfId="21077" builtinId="8" hidden="1"/>
    <cellStyle name="Lien hypertexte" xfId="248" builtinId="8" hidden="1"/>
    <cellStyle name="Lien hypertexte" xfId="15096" builtinId="8" hidden="1"/>
    <cellStyle name="Lien hypertexte" xfId="19099" builtinId="8" hidden="1"/>
    <cellStyle name="Lien hypertexte" xfId="16912" builtinId="8" hidden="1"/>
    <cellStyle name="Lien hypertexte" xfId="15306" builtinId="8" hidden="1"/>
    <cellStyle name="Lien hypertexte" xfId="20543" builtinId="8" hidden="1"/>
    <cellStyle name="Lien hypertexte" xfId="16452" builtinId="8" hidden="1"/>
    <cellStyle name="Lien hypertexte" xfId="23651" builtinId="8" hidden="1"/>
    <cellStyle name="Lien hypertexte" xfId="23071" builtinId="8" hidden="1"/>
    <cellStyle name="Lien hypertexte" xfId="17030" builtinId="8" hidden="1"/>
    <cellStyle name="Lien hypertexte" xfId="21103" builtinId="8" hidden="1"/>
    <cellStyle name="Lien hypertexte" xfId="222" builtinId="8" hidden="1"/>
    <cellStyle name="Lien hypertexte" xfId="15122" builtinId="8" hidden="1"/>
    <cellStyle name="Lien hypertexte" xfId="19071" builtinId="8" hidden="1"/>
    <cellStyle name="Lien hypertexte" xfId="17360" builtinId="8" hidden="1"/>
    <cellStyle name="Lien hypertexte" xfId="15108" builtinId="8" hidden="1"/>
    <cellStyle name="Lien hypertexte" xfId="20517" builtinId="8" hidden="1"/>
    <cellStyle name="Lien hypertexte" xfId="16422" builtinId="8" hidden="1"/>
    <cellStyle name="Lien hypertexte" xfId="23679" builtinId="8" hidden="1"/>
    <cellStyle name="Lien hypertexte" xfId="23045" builtinId="8" hidden="1"/>
    <cellStyle name="Lien hypertexte" xfId="17058" builtinId="8" hidden="1"/>
    <cellStyle name="Lien hypertexte" xfId="21131" builtinId="8" hidden="1"/>
    <cellStyle name="Lien hypertexte" xfId="650" builtinId="8" hidden="1"/>
    <cellStyle name="Lien hypertexte" xfId="15150" builtinId="8" hidden="1"/>
    <cellStyle name="Lien hypertexte" xfId="19045" builtinId="8" hidden="1"/>
    <cellStyle name="Lien hypertexte" xfId="17808" builtinId="8" hidden="1"/>
    <cellStyle name="Lien hypertexte" xfId="14910" builtinId="8" hidden="1"/>
    <cellStyle name="Lien hypertexte" xfId="20489" builtinId="8" hidden="1"/>
    <cellStyle name="Lien hypertexte" xfId="16392" builtinId="8" hidden="1"/>
    <cellStyle name="Lien hypertexte" xfId="23709" builtinId="8" hidden="1"/>
    <cellStyle name="Lien hypertexte" xfId="23015" builtinId="8" hidden="1"/>
    <cellStyle name="Lien hypertexte" xfId="17986" builtinId="8" hidden="1"/>
    <cellStyle name="Lien hypertexte" xfId="21161" builtinId="8" hidden="1"/>
    <cellStyle name="Lien hypertexte" xfId="622" builtinId="8" hidden="1"/>
    <cellStyle name="Lien hypertexte" xfId="15180" builtinId="8" hidden="1"/>
    <cellStyle name="Lien hypertexte" xfId="19017" builtinId="8" hidden="1"/>
    <cellStyle name="Lien hypertexte" xfId="18256" builtinId="8" hidden="1"/>
    <cellStyle name="Lien hypertexte" xfId="14712" builtinId="8" hidden="1"/>
    <cellStyle name="Lien hypertexte" xfId="20459" builtinId="8" hidden="1"/>
    <cellStyle name="Lien hypertexte" xfId="16364" builtinId="8" hidden="1"/>
    <cellStyle name="Lien hypertexte" xfId="23739" builtinId="8" hidden="1"/>
    <cellStyle name="Lien hypertexte" xfId="22985" builtinId="8" hidden="1"/>
    <cellStyle name="Lien hypertexte" xfId="17118" builtinId="8" hidden="1"/>
    <cellStyle name="Lien hypertexte" xfId="21189" builtinId="8" hidden="1"/>
    <cellStyle name="Lien hypertexte" xfId="594" builtinId="8" hidden="1"/>
    <cellStyle name="Lien hypertexte" xfId="15208" builtinId="8" hidden="1"/>
    <cellStyle name="Lien hypertexte" xfId="19511" builtinId="8" hidden="1"/>
    <cellStyle name="Lien hypertexte" xfId="18689" builtinId="8" hidden="1"/>
    <cellStyle name="Lien hypertexte" xfId="17712" builtinId="8" hidden="1"/>
    <cellStyle name="Lien hypertexte" xfId="20431" builtinId="8" hidden="1"/>
    <cellStyle name="Lien hypertexte" xfId="16334" builtinId="8" hidden="1"/>
    <cellStyle name="Lien hypertexte" xfId="23767" builtinId="8" hidden="1"/>
    <cellStyle name="Lien hypertexte" xfId="22955" builtinId="8" hidden="1"/>
    <cellStyle name="Lien hypertexte" xfId="17148" builtinId="8" hidden="1"/>
    <cellStyle name="Lien hypertexte" xfId="21219" builtinId="8" hidden="1"/>
    <cellStyle name="Lien hypertexte" xfId="568" builtinId="8" hidden="1"/>
    <cellStyle name="Lien hypertexte" xfId="15236" builtinId="8" hidden="1"/>
    <cellStyle name="Lien hypertexte" xfId="19483" builtinId="8" hidden="1"/>
    <cellStyle name="Lien hypertexte" xfId="18827" builtinId="8" hidden="1"/>
    <cellStyle name="Lien hypertexte" xfId="18715" builtinId="8" hidden="1"/>
    <cellStyle name="Lien hypertexte" xfId="20403" builtinId="8" hidden="1"/>
    <cellStyle name="Lien hypertexte" xfId="16306" builtinId="8" hidden="1"/>
    <cellStyle name="Lien hypertexte" xfId="23797" builtinId="8" hidden="1"/>
    <cellStyle name="Lien hypertexte" xfId="22925" builtinId="8" hidden="1"/>
    <cellStyle name="Lien hypertexte" xfId="17176" builtinId="8" hidden="1"/>
    <cellStyle name="Lien hypertexte" xfId="21245" builtinId="8" hidden="1"/>
    <cellStyle name="Lien hypertexte" xfId="540" builtinId="8" hidden="1"/>
    <cellStyle name="Lien hypertexte" xfId="15264" builtinId="8" hidden="1"/>
    <cellStyle name="Lien hypertexte" xfId="19455" builtinId="8" hidden="1"/>
    <cellStyle name="Lien hypertexte" xfId="18797" builtinId="8" hidden="1"/>
    <cellStyle name="Lien hypertexte" xfId="18511" builtinId="8" hidden="1"/>
    <cellStyle name="Lien hypertexte" xfId="20375" builtinId="8" hidden="1"/>
    <cellStyle name="Lien hypertexte" xfId="16278" builtinId="8" hidden="1"/>
    <cellStyle name="Lien hypertexte" xfId="23827" builtinId="8" hidden="1"/>
    <cellStyle name="Lien hypertexte" xfId="23365" builtinId="8" hidden="1"/>
    <cellStyle name="Lien hypertexte" xfId="16206" builtinId="8" hidden="1"/>
    <cellStyle name="Lien hypertexte" xfId="21273" builtinId="8" hidden="1"/>
    <cellStyle name="Lien hypertexte" xfId="512" builtinId="8" hidden="1"/>
    <cellStyle name="Lien hypertexte" xfId="15294" builtinId="8" hidden="1"/>
    <cellStyle name="Lien hypertexte" xfId="19429" builtinId="8" hidden="1"/>
    <cellStyle name="Lien hypertexte" xfId="18769" builtinId="8" hidden="1"/>
    <cellStyle name="Lien hypertexte" xfId="18290" builtinId="8" hidden="1"/>
    <cellStyle name="Lien hypertexte" xfId="20347" builtinId="8" hidden="1"/>
    <cellStyle name="Lien hypertexte" xfId="16248" builtinId="8" hidden="1"/>
    <cellStyle name="Lien hypertexte" xfId="23855" builtinId="8" hidden="1"/>
    <cellStyle name="Lien hypertexte" xfId="22869" builtinId="8" hidden="1"/>
    <cellStyle name="Lien hypertexte" xfId="17236" builtinId="8" hidden="1"/>
    <cellStyle name="Lien hypertexte" xfId="21303" builtinId="8" hidden="1"/>
    <cellStyle name="Lien hypertexte" xfId="486" builtinId="8" hidden="1"/>
    <cellStyle name="Lien hypertexte" xfId="15320" builtinId="8" hidden="1"/>
    <cellStyle name="Lien hypertexte" xfId="19401" builtinId="8" hidden="1"/>
    <cellStyle name="Lien hypertexte" xfId="18739" builtinId="8" hidden="1"/>
    <cellStyle name="Lien hypertexte" xfId="18084" builtinId="8" hidden="1"/>
    <cellStyle name="Lien hypertexte" xfId="20317" builtinId="8" hidden="1"/>
    <cellStyle name="Lien hypertexte" xfId="16218" builtinId="8" hidden="1"/>
    <cellStyle name="Lien hypertexte" xfId="23885" builtinId="8" hidden="1"/>
    <cellStyle name="Lien hypertexte" xfId="22839" builtinId="8" hidden="1"/>
    <cellStyle name="Lien hypertexte" xfId="17262" builtinId="8" hidden="1"/>
    <cellStyle name="Lien hypertexte" xfId="21331" builtinId="8" hidden="1"/>
    <cellStyle name="Lien hypertexte" xfId="458" builtinId="8" hidden="1"/>
    <cellStyle name="Lien hypertexte" xfId="15350" builtinId="8" hidden="1"/>
    <cellStyle name="Lien hypertexte" xfId="19373" builtinId="8" hidden="1"/>
    <cellStyle name="Lien hypertexte" xfId="18709" builtinId="8" hidden="1"/>
    <cellStyle name="Lien hypertexte" xfId="17880" builtinId="8" hidden="1"/>
    <cellStyle name="Lien hypertexte" xfId="20291" builtinId="8" hidden="1"/>
    <cellStyle name="Lien hypertexte" xfId="16188" builtinId="8" hidden="1"/>
    <cellStyle name="Lien hypertexte" xfId="23913" builtinId="8" hidden="1"/>
    <cellStyle name="Lien hypertexte" xfId="22809" builtinId="8" hidden="1"/>
    <cellStyle name="Lien hypertexte" xfId="17292" builtinId="8" hidden="1"/>
    <cellStyle name="Lien hypertexte" xfId="21359" builtinId="8" hidden="1"/>
    <cellStyle name="Lien hypertexte" xfId="428" builtinId="8" hidden="1"/>
    <cellStyle name="Lien hypertexte" xfId="15378" builtinId="8" hidden="1"/>
    <cellStyle name="Lien hypertexte" xfId="19347" builtinId="8" hidden="1"/>
    <cellStyle name="Lien hypertexte" xfId="18679" builtinId="8" hidden="1"/>
    <cellStyle name="Lien hypertexte" xfId="17674" builtinId="8" hidden="1"/>
    <cellStyle name="Lien hypertexte" xfId="20263" builtinId="8" hidden="1"/>
    <cellStyle name="Lien hypertexte" xfId="16160" builtinId="8" hidden="1"/>
    <cellStyle name="Lien hypertexte" xfId="23943" builtinId="8" hidden="1"/>
    <cellStyle name="Lien hypertexte" xfId="22779" builtinId="8" hidden="1"/>
    <cellStyle name="Lien hypertexte" xfId="17830" builtinId="8" hidden="1"/>
    <cellStyle name="Lien hypertexte" xfId="21387" builtinId="8" hidden="1"/>
    <cellStyle name="Lien hypertexte" xfId="400" builtinId="8" hidden="1"/>
    <cellStyle name="Lien hypertexte" xfId="15406" builtinId="8" hidden="1"/>
    <cellStyle name="Lien hypertexte" xfId="19319" builtinId="8" hidden="1"/>
    <cellStyle name="Lien hypertexte" xfId="18651" builtinId="8" hidden="1"/>
    <cellStyle name="Lien hypertexte" xfId="17470" builtinId="8" hidden="1"/>
    <cellStyle name="Lien hypertexte" xfId="21943" builtinId="8" hidden="1"/>
    <cellStyle name="Lien hypertexte" xfId="16130" builtinId="8" hidden="1"/>
    <cellStyle name="Lien hypertexte" xfId="23973" builtinId="8" hidden="1"/>
    <cellStyle name="Lien hypertexte" xfId="22751" builtinId="8" hidden="1"/>
    <cellStyle name="Lien hypertexte" xfId="17352" builtinId="8" hidden="1"/>
    <cellStyle name="Lien hypertexte" xfId="21415" builtinId="8" hidden="1"/>
    <cellStyle name="Lien hypertexte" xfId="374" builtinId="8" hidden="1"/>
    <cellStyle name="Lien hypertexte" xfId="15434" builtinId="8" hidden="1"/>
    <cellStyle name="Lien hypertexte" xfId="19289" builtinId="8" hidden="1"/>
    <cellStyle name="Lien hypertexte" xfId="18621" builtinId="8" hidden="1"/>
    <cellStyle name="Lien hypertexte" xfId="17266" builtinId="8" hidden="1"/>
    <cellStyle name="Lien hypertexte" xfId="22381" builtinId="8" hidden="1"/>
    <cellStyle name="Lien hypertexte" xfId="16100" builtinId="8" hidden="1"/>
    <cellStyle name="Lien hypertexte" xfId="24003" builtinId="8" hidden="1"/>
    <cellStyle name="Lien hypertexte" xfId="22723" builtinId="8" hidden="1"/>
    <cellStyle name="Lien hypertexte" xfId="17380" builtinId="8" hidden="1"/>
    <cellStyle name="Lien hypertexte" xfId="21445" builtinId="8" hidden="1"/>
    <cellStyle name="Lien hypertexte" xfId="710" builtinId="8" hidden="1"/>
    <cellStyle name="Lien hypertexte" xfId="15462" builtinId="8" hidden="1"/>
    <cellStyle name="Lien hypertexte" xfId="19261" builtinId="8" hidden="1"/>
    <cellStyle name="Lien hypertexte" xfId="18591" builtinId="8" hidden="1"/>
    <cellStyle name="Lien hypertexte" xfId="17060" builtinId="8" hidden="1"/>
    <cellStyle name="Lien hypertexte" xfId="22821" builtinId="8" hidden="1"/>
    <cellStyle name="Lien hypertexte" xfId="16072" builtinId="8" hidden="1"/>
    <cellStyle name="Lien hypertexte" xfId="24031" builtinId="8" hidden="1"/>
    <cellStyle name="Lien hypertexte" xfId="22693" builtinId="8" hidden="1"/>
    <cellStyle name="Lien hypertexte" xfId="17410" builtinId="8" hidden="1"/>
    <cellStyle name="Lien hypertexte" xfId="21471" builtinId="8" hidden="1"/>
    <cellStyle name="Lien hypertexte" xfId="14608" builtinId="8" hidden="1"/>
    <cellStyle name="Lien hypertexte" xfId="15492" builtinId="8" hidden="1"/>
    <cellStyle name="Lien hypertexte" xfId="19235" builtinId="8" hidden="1"/>
    <cellStyle name="Lien hypertexte" xfId="18565" builtinId="8" hidden="1"/>
    <cellStyle name="Lien hypertexte" xfId="16856" builtinId="8" hidden="1"/>
    <cellStyle name="Lien hypertexte" xfId="23259" builtinId="8" hidden="1"/>
    <cellStyle name="Lien hypertexte" xfId="16042" builtinId="8" hidden="1"/>
    <cellStyle name="Lien hypertexte" xfId="24059" builtinId="8" hidden="1"/>
    <cellStyle name="Lien hypertexte" xfId="22663" builtinId="8" hidden="1"/>
    <cellStyle name="Lien hypertexte" xfId="15060" builtinId="8" hidden="1"/>
    <cellStyle name="Lien hypertexte" xfId="21499" builtinId="8" hidden="1"/>
    <cellStyle name="Lien hypertexte" xfId="14582" builtinId="8" hidden="1"/>
    <cellStyle name="Lien hypertexte" xfId="15518" builtinId="8" hidden="1"/>
    <cellStyle name="Lien hypertexte" xfId="19207" builtinId="8" hidden="1"/>
    <cellStyle name="Lien hypertexte" xfId="18535" builtinId="8" hidden="1"/>
    <cellStyle name="Lien hypertexte" xfId="16650" builtinId="8" hidden="1"/>
    <cellStyle name="Lien hypertexte" xfId="23699" builtinId="8" hidden="1"/>
    <cellStyle name="Lien hypertexte" xfId="16012" builtinId="8" hidden="1"/>
    <cellStyle name="Lien hypertexte" xfId="24089" builtinId="8" hidden="1"/>
    <cellStyle name="Lien hypertexte" xfId="22633" builtinId="8" hidden="1"/>
    <cellStyle name="Lien hypertexte" xfId="17468" builtinId="8" hidden="1"/>
    <cellStyle name="Lien hypertexte" xfId="21529" builtinId="8" hidden="1"/>
    <cellStyle name="Lien hypertexte" xfId="14552" builtinId="8" hidden="1"/>
    <cellStyle name="Lien hypertexte" xfId="15548" builtinId="8" hidden="1"/>
    <cellStyle name="Lien hypertexte" xfId="20041" builtinId="8" hidden="1"/>
    <cellStyle name="Lien hypertexte" xfId="18505" builtinId="8" hidden="1"/>
    <cellStyle name="Lien hypertexte" xfId="16446" builtinId="8" hidden="1"/>
    <cellStyle name="Lien hypertexte" xfId="24137" builtinId="8" hidden="1"/>
    <cellStyle name="Lien hypertexte" xfId="15982" builtinId="8" hidden="1"/>
    <cellStyle name="Lien hypertexte" xfId="24119" builtinId="8" hidden="1"/>
    <cellStyle name="Lien hypertexte" xfId="22605" builtinId="8" hidden="1"/>
    <cellStyle name="Lien hypertexte" xfId="17498" builtinId="8" hidden="1"/>
    <cellStyle name="Lien hypertexte" xfId="21557" builtinId="8" hidden="1"/>
    <cellStyle name="Lien hypertexte" xfId="14524" builtinId="8" hidden="1"/>
    <cellStyle name="Lien hypertexte" xfId="15576" builtinId="8" hidden="1"/>
    <cellStyle name="Lien hypertexte" xfId="20221" builtinId="8" hidden="1"/>
    <cellStyle name="Lien hypertexte" xfId="18475" builtinId="8" hidden="1"/>
    <cellStyle name="Lien hypertexte" xfId="16242" builtinId="8" hidden="1"/>
    <cellStyle name="Lien hypertexte" xfId="24575" builtinId="8" hidden="1"/>
    <cellStyle name="Lien hypertexte" xfId="15956" builtinId="8" hidden="1"/>
    <cellStyle name="Lien hypertexte" xfId="24149" builtinId="8" hidden="1"/>
    <cellStyle name="Lien hypertexte" xfId="22575" builtinId="8" hidden="1"/>
    <cellStyle name="Lien hypertexte" xfId="17528" builtinId="8" hidden="1"/>
    <cellStyle name="Lien hypertexte" xfId="21587" builtinId="8" hidden="1"/>
    <cellStyle name="Lien hypertexte" xfId="1142" builtinId="8" hidden="1"/>
    <cellStyle name="Lien hypertexte" xfId="15606" builtinId="8" hidden="1"/>
    <cellStyle name="Lien hypertexte" xfId="20195" builtinId="8" hidden="1"/>
    <cellStyle name="Lien hypertexte" xfId="18447" builtinId="8" hidden="1"/>
    <cellStyle name="Lien hypertexte" xfId="16036" builtinId="8" hidden="1"/>
    <cellStyle name="Lien hypertexte" xfId="21793" builtinId="8" hidden="1"/>
    <cellStyle name="Lien hypertexte" xfId="18913" builtinId="8" hidden="1"/>
    <cellStyle name="Lien hypertexte" xfId="24179" builtinId="8" hidden="1"/>
    <cellStyle name="Lien hypertexte" xfId="22547" builtinId="8" hidden="1"/>
    <cellStyle name="Lien hypertexte" xfId="17672" builtinId="8" hidden="1"/>
    <cellStyle name="Lien hypertexte" xfId="21613" builtinId="8" hidden="1"/>
    <cellStyle name="Lien hypertexte" xfId="1116" builtinId="8" hidden="1"/>
    <cellStyle name="Lien hypertexte" xfId="15632" builtinId="8" hidden="1"/>
    <cellStyle name="Lien hypertexte" xfId="20165" builtinId="8" hidden="1"/>
    <cellStyle name="Lien hypertexte" xfId="18417" builtinId="8" hidden="1"/>
    <cellStyle name="Lien hypertexte" xfId="19617" builtinId="8" hidden="1"/>
    <cellStyle name="Lien hypertexte" xfId="21745" builtinId="8" hidden="1"/>
    <cellStyle name="Lien hypertexte" xfId="19137" builtinId="8" hidden="1"/>
    <cellStyle name="Lien hypertexte" xfId="24205" builtinId="8" hidden="1"/>
    <cellStyle name="Lien hypertexte" xfId="22517" builtinId="8" hidden="1"/>
    <cellStyle name="Lien hypertexte" xfId="17586" builtinId="8" hidden="1"/>
    <cellStyle name="Lien hypertexte" xfId="21641" builtinId="8" hidden="1"/>
    <cellStyle name="Lien hypertexte" xfId="1086" builtinId="8" hidden="1"/>
    <cellStyle name="Lien hypertexte" xfId="15660" builtinId="8" hidden="1"/>
    <cellStyle name="Lien hypertexte" xfId="20137" builtinId="8" hidden="1"/>
    <cellStyle name="Lien hypertexte" xfId="18387" builtinId="8" hidden="1"/>
    <cellStyle name="Lien hypertexte" xfId="21153" builtinId="8" hidden="1"/>
    <cellStyle name="Lien hypertexte" xfId="21953" builtinId="8" hidden="1"/>
    <cellStyle name="Lien hypertexte" xfId="19345" builtinId="8" hidden="1"/>
    <cellStyle name="Lien hypertexte" xfId="24235" builtinId="8" hidden="1"/>
    <cellStyle name="Lien hypertexte" xfId="22487" builtinId="8" hidden="1"/>
    <cellStyle name="Lien hypertexte" xfId="17614" builtinId="8" hidden="1"/>
    <cellStyle name="Lien hypertexte" xfId="21671" builtinId="8" hidden="1"/>
    <cellStyle name="Lien hypertexte" xfId="1058" builtinId="8" hidden="1"/>
    <cellStyle name="Lien hypertexte" xfId="15690" builtinId="8" hidden="1"/>
    <cellStyle name="Lien hypertexte" xfId="20109" builtinId="8" hidden="1"/>
    <cellStyle name="Lien hypertexte" xfId="18359" builtinId="8" hidden="1"/>
    <cellStyle name="Lien hypertexte" xfId="21763" builtinId="8" hidden="1"/>
    <cellStyle name="Lien hypertexte" xfId="22161" builtinId="8" hidden="1"/>
    <cellStyle name="Lien hypertexte" xfId="19569" builtinId="8" hidden="1"/>
    <cellStyle name="Lien hypertexte" xfId="24265" builtinId="8" hidden="1"/>
    <cellStyle name="Lien hypertexte" xfId="22459" builtinId="8" hidden="1"/>
    <cellStyle name="Lien hypertexte" xfId="17644" builtinId="8" hidden="1"/>
    <cellStyle name="Lien hypertexte" xfId="21699" builtinId="8" hidden="1"/>
    <cellStyle name="Lien hypertexte" xfId="1032" builtinId="8" hidden="1"/>
    <cellStyle name="Lien hypertexte" xfId="15716" builtinId="8" hidden="1"/>
    <cellStyle name="Lien hypertexte" xfId="20083" builtinId="8" hidden="1"/>
    <cellStyle name="Lien hypertexte" xfId="18329" builtinId="8" hidden="1"/>
    <cellStyle name="Lien hypertexte" xfId="21789" builtinId="8" hidden="1"/>
    <cellStyle name="Lien hypertexte" xfId="22369" builtinId="8" hidden="1"/>
    <cellStyle name="Lien hypertexte" xfId="19793" builtinId="8" hidden="1"/>
    <cellStyle name="Lien hypertexte" xfId="20511" builtinId="8" hidden="1"/>
    <cellStyle name="Lien hypertexte" xfId="21115" builtinId="8" hidden="1"/>
    <cellStyle name="Lien hypertexte" xfId="21123" builtinId="8" hidden="1"/>
    <cellStyle name="Lien hypertexte" xfId="21799" builtinId="8" hidden="1"/>
    <cellStyle name="Lien hypertexte" xfId="1004" builtinId="8" hidden="1"/>
    <cellStyle name="Lien hypertexte" xfId="15746" builtinId="8" hidden="1"/>
    <cellStyle name="Lien hypertexte" xfId="20055" builtinId="8" hidden="1"/>
    <cellStyle name="Lien hypertexte" xfId="18282" builtinId="8" hidden="1"/>
    <cellStyle name="Lien hypertexte" xfId="21819" builtinId="8" hidden="1"/>
    <cellStyle name="Lien hypertexte" xfId="22577" builtinId="8" hidden="1"/>
    <cellStyle name="Lien hypertexte" xfId="20017" builtinId="8" hidden="1"/>
    <cellStyle name="Lien hypertexte" xfId="24325" builtinId="8" hidden="1"/>
    <cellStyle name="Lien hypertexte" xfId="22399" builtinId="8" hidden="1"/>
    <cellStyle name="Lien hypertexte" xfId="17702" builtinId="8" hidden="1"/>
    <cellStyle name="Lien hypertexte" xfId="21285" builtinId="8" hidden="1"/>
    <cellStyle name="Lien hypertexte" xfId="976" builtinId="8" hidden="1"/>
    <cellStyle name="Lien hypertexte" xfId="15774" builtinId="8" hidden="1"/>
    <cellStyle name="Lien hypertexte" xfId="20025" builtinId="8" hidden="1"/>
    <cellStyle name="Lien hypertexte" xfId="18252" builtinId="8" hidden="1"/>
    <cellStyle name="Lien hypertexte" xfId="21849" builtinId="8" hidden="1"/>
    <cellStyle name="Lien hypertexte" xfId="22769" builtinId="8" hidden="1"/>
    <cellStyle name="Lien hypertexte" xfId="20225" builtinId="8" hidden="1"/>
    <cellStyle name="Lien hypertexte" xfId="24351" builtinId="8" hidden="1"/>
    <cellStyle name="Lien hypertexte" xfId="22371" builtinId="8" hidden="1"/>
    <cellStyle name="Lien hypertexte" xfId="17732" builtinId="8" hidden="1"/>
    <cellStyle name="Lien hypertexte" xfId="20407" builtinId="8" hidden="1"/>
    <cellStyle name="Lien hypertexte" xfId="946" builtinId="8" hidden="1"/>
    <cellStyle name="Lien hypertexte" xfId="15804" builtinId="8" hidden="1"/>
    <cellStyle name="Lien hypertexte" xfId="19997" builtinId="8" hidden="1"/>
    <cellStyle name="Lien hypertexte" xfId="18226" builtinId="8" hidden="1"/>
    <cellStyle name="Lien hypertexte" xfId="21879" builtinId="8" hidden="1"/>
    <cellStyle name="Lien hypertexte" xfId="22977" builtinId="8" hidden="1"/>
    <cellStyle name="Lien hypertexte" xfId="20449" builtinId="8" hidden="1"/>
    <cellStyle name="Lien hypertexte" xfId="24381" builtinId="8" hidden="1"/>
    <cellStyle name="Lien hypertexte" xfId="22341" builtinId="8" hidden="1"/>
    <cellStyle name="Lien hypertexte" xfId="17762" builtinId="8" hidden="1"/>
    <cellStyle name="Lien hypertexte" xfId="19557" builtinId="8" hidden="1"/>
    <cellStyle name="Lien hypertexte" xfId="920" builtinId="8" hidden="1"/>
    <cellStyle name="Lien hypertexte" xfId="15830" builtinId="8" hidden="1"/>
    <cellStyle name="Lien hypertexte" xfId="19971" builtinId="8" hidden="1"/>
    <cellStyle name="Lien hypertexte" xfId="18196" builtinId="8" hidden="1"/>
    <cellStyle name="Lien hypertexte" xfId="21909" builtinId="8" hidden="1"/>
    <cellStyle name="Lien hypertexte" xfId="23185" builtinId="8" hidden="1"/>
    <cellStyle name="Lien hypertexte" xfId="20673" builtinId="8" hidden="1"/>
    <cellStyle name="Lien hypertexte" xfId="24411" builtinId="8" hidden="1"/>
    <cellStyle name="Lien hypertexte" xfId="22313" builtinId="8" hidden="1"/>
    <cellStyle name="Lien hypertexte" xfId="17516" builtinId="8" hidden="1"/>
    <cellStyle name="Lien hypertexte" xfId="19583" builtinId="8" hidden="1"/>
    <cellStyle name="Lien hypertexte" xfId="892" builtinId="8" hidden="1"/>
    <cellStyle name="Lien hypertexte" xfId="15860" builtinId="8" hidden="1"/>
    <cellStyle name="Lien hypertexte" xfId="19943" builtinId="8" hidden="1"/>
    <cellStyle name="Lien hypertexte" xfId="18166" builtinId="8" hidden="1"/>
    <cellStyle name="Lien hypertexte" xfId="21935" builtinId="8" hidden="1"/>
    <cellStyle name="Lien hypertexte" xfId="23393" builtinId="8" hidden="1"/>
    <cellStyle name="Lien hypertexte" xfId="20881" builtinId="8" hidden="1"/>
    <cellStyle name="Lien hypertexte" xfId="24441" builtinId="8" hidden="1"/>
    <cellStyle name="Lien hypertexte" xfId="22283" builtinId="8" hidden="1"/>
    <cellStyle name="Lien hypertexte" xfId="17820" builtinId="8" hidden="1"/>
    <cellStyle name="Lien hypertexte" xfId="19613" builtinId="8" hidden="1"/>
    <cellStyle name="Lien hypertexte" xfId="864" builtinId="8" hidden="1"/>
    <cellStyle name="Lien hypertexte" xfId="15888" builtinId="8" hidden="1"/>
    <cellStyle name="Lien hypertexte" xfId="19915" builtinId="8" hidden="1"/>
    <cellStyle name="Lien hypertexte" xfId="18138" builtinId="8" hidden="1"/>
    <cellStyle name="Lien hypertexte" xfId="21965" builtinId="8" hidden="1"/>
    <cellStyle name="Lien hypertexte" xfId="23601" builtinId="8" hidden="1"/>
    <cellStyle name="Lien hypertexte" xfId="21233" builtinId="8" hidden="1"/>
    <cellStyle name="Lien hypertexte" xfId="24471" builtinId="8" hidden="1"/>
    <cellStyle name="Lien hypertexte" xfId="22253" builtinId="8" hidden="1"/>
    <cellStyle name="Lien hypertexte" xfId="17850" builtinId="8" hidden="1"/>
    <cellStyle name="Lien hypertexte" xfId="19641" builtinId="8" hidden="1"/>
    <cellStyle name="Lien hypertexte" xfId="836" builtinId="8" hidden="1"/>
    <cellStyle name="Lien hypertexte" xfId="15914" builtinId="8" hidden="1"/>
    <cellStyle name="Lien hypertexte" xfId="19885" builtinId="8" hidden="1"/>
    <cellStyle name="Lien hypertexte" xfId="18108" builtinId="8" hidden="1"/>
    <cellStyle name="Lien hypertexte" xfId="21995" builtinId="8" hidden="1"/>
    <cellStyle name="Lien hypertexte" xfId="23793" builtinId="8" hidden="1"/>
    <cellStyle name="Lien hypertexte" xfId="21089" builtinId="8" hidden="1"/>
    <cellStyle name="Lien hypertexte" xfId="24499" builtinId="8" hidden="1"/>
    <cellStyle name="Lien hypertexte" xfId="22223" builtinId="8" hidden="1"/>
    <cellStyle name="Lien hypertexte" xfId="17878" builtinId="8" hidden="1"/>
    <cellStyle name="Lien hypertexte" xfId="19669" builtinId="8" hidden="1"/>
    <cellStyle name="Lien hypertexte" xfId="808" builtinId="8" hidden="1"/>
    <cellStyle name="Lien hypertexte" xfId="15664" builtinId="8" hidden="1"/>
    <cellStyle name="Lien hypertexte" xfId="19859" builtinId="8" hidden="1"/>
    <cellStyle name="Lien hypertexte" xfId="18078" builtinId="8" hidden="1"/>
    <cellStyle name="Lien hypertexte" xfId="22025" builtinId="8" hidden="1"/>
    <cellStyle name="Lien hypertexte" xfId="24001" builtinId="8" hidden="1"/>
    <cellStyle name="Lien hypertexte" xfId="20945" builtinId="8" hidden="1"/>
    <cellStyle name="Lien hypertexte" xfId="24527" builtinId="8" hidden="1"/>
    <cellStyle name="Lien hypertexte" xfId="22195" builtinId="8" hidden="1"/>
    <cellStyle name="Lien hypertexte" xfId="15024" builtinId="8" hidden="1"/>
    <cellStyle name="Lien hypertexte" xfId="19695" builtinId="8" hidden="1"/>
    <cellStyle name="Lien hypertexte" xfId="780" builtinId="8" hidden="1"/>
    <cellStyle name="Lien hypertexte" xfId="14768" builtinId="8" hidden="1"/>
    <cellStyle name="Lien hypertexte" xfId="19831" builtinId="8" hidden="1"/>
    <cellStyle name="Lien hypertexte" xfId="18048" builtinId="8" hidden="1"/>
    <cellStyle name="Lien hypertexte" xfId="22055" builtinId="8" hidden="1"/>
    <cellStyle name="Lien hypertexte" xfId="24209" builtinId="8" hidden="1"/>
    <cellStyle name="Lien hypertexte" xfId="21329" builtinId="8" hidden="1"/>
    <cellStyle name="Lien hypertexte" xfId="24557" builtinId="8" hidden="1"/>
    <cellStyle name="Lien hypertexte" xfId="22167" builtinId="8" hidden="1"/>
    <cellStyle name="Lien hypertexte" xfId="17938" builtinId="8" hidden="1"/>
    <cellStyle name="Lien hypertexte" xfId="19723" builtinId="8" hidden="1"/>
    <cellStyle name="Lien hypertexte" xfId="752" builtinId="8" hidden="1"/>
    <cellStyle name="Lien hypertexte" xfId="674" builtinId="8" hidden="1"/>
    <cellStyle name="Lien hypertexte" xfId="19803" builtinId="8" hidden="1"/>
    <cellStyle name="Lien hypertexte" xfId="18020" builtinId="8" hidden="1"/>
    <cellStyle name="Lien hypertexte" xfId="22083" builtinId="8" hidden="1"/>
    <cellStyle name="Lien hypertexte" xfId="24417" builtinId="8" hidden="1"/>
    <cellStyle name="Lien hypertexte" xfId="21361" builtinId="8" hidden="1"/>
    <cellStyle name="Lien hypertexte" xfId="24587" builtinId="8" hidden="1"/>
    <cellStyle name="Lien hypertexte" xfId="22137" builtinId="8" hidden="1"/>
    <cellStyle name="Lien hypertexte" xfId="17966" builtinId="8" hidden="1"/>
    <cellStyle name="Lien hypertexte" xfId="19753" builtinId="8" hidden="1"/>
    <cellStyle name="Lien hypertexte" xfId="726" builtinId="8" hidden="1"/>
    <cellStyle name="Lien hypertexte" xfId="700" builtinId="8" hidden="1"/>
    <cellStyle name="Lien hypertexte" xfId="19775" builtinId="8" hidden="1"/>
    <cellStyle name="Lien hypertexte" xfId="17990" builtinId="8" hidden="1"/>
    <cellStyle name="Lien hypertexte" xfId="22111" builtinId="8" hidden="1"/>
    <cellStyle name="Lien hypertexte" xfId="24611" builtinId="8" hidden="1"/>
    <cellStyle name="Lien hypertexte" xfId="21553" builtinId="8" hidden="1"/>
    <cellStyle name="Lien hypertexte" xfId="24577" builtinId="8" hidden="1"/>
    <cellStyle name="Lien hypertexte" xfId="22107" builtinId="8" hidden="1"/>
    <cellStyle name="Lien hypertexte" xfId="17994" builtinId="8" hidden="1"/>
    <cellStyle name="Lien hypertexte" xfId="19781" builtinId="8" hidden="1"/>
    <cellStyle name="Lien hypertexte" xfId="696" builtinId="8" hidden="1"/>
    <cellStyle name="Lien hypertexte" xfId="730" builtinId="8" hidden="1"/>
    <cellStyle name="Lien hypertexte" xfId="19747" builtinId="8" hidden="1"/>
    <cellStyle name="Lien hypertexte" xfId="17960" builtinId="8" hidden="1"/>
    <cellStyle name="Lien hypertexte" xfId="22141" builtinId="8" hidden="1"/>
    <cellStyle name="Lien hypertexte" xfId="24583" builtinId="8" hidden="1"/>
    <cellStyle name="Lien hypertexte" xfId="21377" builtinId="8" hidden="1"/>
    <cellStyle name="Lien hypertexte" xfId="24385" builtinId="8" hidden="1"/>
    <cellStyle name="Lien hypertexte" xfId="22077" builtinId="8" hidden="1"/>
    <cellStyle name="Lien hypertexte" xfId="17362" builtinId="8" hidden="1"/>
    <cellStyle name="Lien hypertexte" xfId="19807" builtinId="8" hidden="1"/>
    <cellStyle name="Lien hypertexte" xfId="668" builtinId="8" hidden="1"/>
    <cellStyle name="Lien hypertexte" xfId="758" builtinId="8" hidden="1"/>
    <cellStyle name="Lien hypertexte" xfId="19719" builtinId="8" hidden="1"/>
    <cellStyle name="Lien hypertexte" xfId="17932" builtinId="8" hidden="1"/>
    <cellStyle name="Lien hypertexte" xfId="22171" builtinId="8" hidden="1"/>
    <cellStyle name="Lien hypertexte" xfId="24553" builtinId="8" hidden="1"/>
    <cellStyle name="Lien hypertexte" xfId="21249" builtinId="8" hidden="1"/>
    <cellStyle name="Lien hypertexte" xfId="24177" builtinId="8" hidden="1"/>
    <cellStyle name="Lien hypertexte" xfId="22047" builtinId="8" hidden="1"/>
    <cellStyle name="Lien hypertexte" xfId="18054" builtinId="8" hidden="1"/>
    <cellStyle name="Lien hypertexte" xfId="19835" builtinId="8" hidden="1"/>
    <cellStyle name="Lien hypertexte" xfId="14896" builtinId="8" hidden="1"/>
    <cellStyle name="Lien hypertexte" xfId="784" builtinId="8" hidden="1"/>
    <cellStyle name="Lien hypertexte" xfId="19691" builtinId="8" hidden="1"/>
    <cellStyle name="Lien hypertexte" xfId="17902" builtinId="8" hidden="1"/>
    <cellStyle name="Lien hypertexte" xfId="22201" builtinId="8" hidden="1"/>
    <cellStyle name="Lien hypertexte" xfId="24523" builtinId="8" hidden="1"/>
    <cellStyle name="Lien hypertexte" xfId="20977" builtinId="8" hidden="1"/>
    <cellStyle name="Lien hypertexte" xfId="23969" builtinId="8" hidden="1"/>
    <cellStyle name="Lien hypertexte" xfId="22021" builtinId="8" hidden="1"/>
    <cellStyle name="Lien hypertexte" xfId="18082" builtinId="8" hidden="1"/>
    <cellStyle name="Lien hypertexte" xfId="19863" builtinId="8" hidden="1"/>
    <cellStyle name="Lien hypertexte" xfId="15792" builtinId="8" hidden="1"/>
    <cellStyle name="Lien hypertexte" xfId="812" builtinId="8" hidden="1"/>
    <cellStyle name="Lien hypertexte" xfId="19663" builtinId="8" hidden="1"/>
    <cellStyle name="Lien hypertexte" xfId="17874" builtinId="8" hidden="1"/>
    <cellStyle name="Lien hypertexte" xfId="22229" builtinId="8" hidden="1"/>
    <cellStyle name="Lien hypertexte" xfId="24493" builtinId="8" hidden="1"/>
    <cellStyle name="Lien hypertexte" xfId="21121" builtinId="8" hidden="1"/>
    <cellStyle name="Lien hypertexte" xfId="23761" builtinId="8" hidden="1"/>
    <cellStyle name="Lien hypertexte" xfId="21991" builtinId="8" hidden="1"/>
    <cellStyle name="Lien hypertexte" xfId="18112" builtinId="8" hidden="1"/>
    <cellStyle name="Lien hypertexte" xfId="19891" builtinId="8" hidden="1"/>
    <cellStyle name="Lien hypertexte" xfId="15910" builtinId="8" hidden="1"/>
    <cellStyle name="Lien hypertexte" xfId="842" builtinId="8" hidden="1"/>
    <cellStyle name="Lien hypertexte" xfId="19637" builtinId="8" hidden="1"/>
    <cellStyle name="Lien hypertexte" xfId="17844" builtinId="8" hidden="1"/>
    <cellStyle name="Lien hypertexte" xfId="22259" builtinId="8" hidden="1"/>
    <cellStyle name="Lien hypertexte" xfId="24463" builtinId="8" hidden="1"/>
    <cellStyle name="Lien hypertexte" xfId="21265" builtinId="8" hidden="1"/>
    <cellStyle name="Lien hypertexte" xfId="23553" builtinId="8" hidden="1"/>
    <cellStyle name="Lien hypertexte" xfId="23989" builtinId="8" hidden="1"/>
    <cellStyle name="Lien hypertexte" xfId="15074" builtinId="8" hidden="1"/>
    <cellStyle name="Lien hypertexte" xfId="19919" builtinId="8" hidden="1"/>
    <cellStyle name="Lien hypertexte" xfId="15882" builtinId="8" hidden="1"/>
    <cellStyle name="Lien hypertexte" xfId="870" builtinId="8" hidden="1"/>
    <cellStyle name="Lien hypertexte" xfId="19609" builtinId="8" hidden="1"/>
    <cellStyle name="Lien hypertexte" xfId="17816" builtinId="8" hidden="1"/>
    <cellStyle name="Lien hypertexte" xfId="22287" builtinId="8" hidden="1"/>
    <cellStyle name="Lien hypertexte" xfId="24437" builtinId="8" hidden="1"/>
    <cellStyle name="Lien hypertexte" xfId="20849" builtinId="8" hidden="1"/>
    <cellStyle name="Lien hypertexte" xfId="23361" builtinId="8" hidden="1"/>
    <cellStyle name="Lien hypertexte" xfId="21931" builtinId="8" hidden="1"/>
    <cellStyle name="Lien hypertexte" xfId="18172" builtinId="8" hidden="1"/>
    <cellStyle name="Lien hypertexte" xfId="19947" builtinId="8" hidden="1"/>
    <cellStyle name="Lien hypertexte" xfId="15854" builtinId="8" hidden="1"/>
    <cellStyle name="Lien hypertexte" xfId="896" builtinId="8" hidden="1"/>
    <cellStyle name="Lien hypertexte" xfId="19579" builtinId="8" hidden="1"/>
    <cellStyle name="Lien hypertexte" xfId="17786" builtinId="8" hidden="1"/>
    <cellStyle name="Lien hypertexte" xfId="22317" builtinId="8" hidden="1"/>
    <cellStyle name="Lien hypertexte" xfId="24407" builtinId="8" hidden="1"/>
    <cellStyle name="Lien hypertexte" xfId="20625" builtinId="8" hidden="1"/>
    <cellStyle name="Lien hypertexte" xfId="23153" builtinId="8" hidden="1"/>
    <cellStyle name="Lien hypertexte" xfId="21901" builtinId="8" hidden="1"/>
    <cellStyle name="Lien hypertexte" xfId="18200" builtinId="8" hidden="1"/>
    <cellStyle name="Lien hypertexte" xfId="19975" builtinId="8" hidden="1"/>
    <cellStyle name="Lien hypertexte" xfId="15826" builtinId="8" hidden="1"/>
    <cellStyle name="Lien hypertexte" xfId="924" builtinId="8" hidden="1"/>
    <cellStyle name="Lien hypertexte" xfId="19551" builtinId="8" hidden="1"/>
    <cellStyle name="Lien hypertexte" xfId="17756" builtinId="8" hidden="1"/>
    <cellStyle name="Lien hypertexte" xfId="22347" builtinId="8" hidden="1"/>
    <cellStyle name="Lien hypertexte" xfId="24377" builtinId="8" hidden="1"/>
    <cellStyle name="Lien hypertexte" xfId="20417" builtinId="8" hidden="1"/>
    <cellStyle name="Lien hypertexte" xfId="22945" builtinId="8" hidden="1"/>
    <cellStyle name="Lien hypertexte" xfId="21875" builtinId="8" hidden="1"/>
    <cellStyle name="Lien hypertexte" xfId="18230" builtinId="8" hidden="1"/>
    <cellStyle name="Lien hypertexte" xfId="20003" builtinId="8" hidden="1"/>
    <cellStyle name="Lien hypertexte" xfId="15798" builtinId="8" hidden="1"/>
    <cellStyle name="Lien hypertexte" xfId="952" builtinId="8" hidden="1"/>
    <cellStyle name="Lien hypertexte" xfId="20553" builtinId="8" hidden="1"/>
    <cellStyle name="Lien hypertexte" xfId="17728" builtinId="8" hidden="1"/>
    <cellStyle name="Lien hypertexte" xfId="22375" builtinId="8" hidden="1"/>
    <cellStyle name="Lien hypertexte" xfId="24347" builtinId="8" hidden="1"/>
    <cellStyle name="Lien hypertexte" xfId="20193" builtinId="8" hidden="1"/>
    <cellStyle name="Lien hypertexte" xfId="22737" builtinId="8" hidden="1"/>
    <cellStyle name="Lien hypertexte" xfId="21845" builtinId="8" hidden="1"/>
    <cellStyle name="Lien hypertexte" xfId="18260" builtinId="8" hidden="1"/>
    <cellStyle name="Lien hypertexte" xfId="20029" builtinId="8" hidden="1"/>
    <cellStyle name="Lien hypertexte" xfId="15770" builtinId="8" hidden="1"/>
    <cellStyle name="Lien hypertexte" xfId="980" builtinId="8" hidden="1"/>
    <cellStyle name="Lien hypertexte" xfId="21431" builtinId="8" hidden="1"/>
    <cellStyle name="Lien hypertexte" xfId="17698" builtinId="8" hidden="1"/>
    <cellStyle name="Lien hypertexte" xfId="22405" builtinId="8" hidden="1"/>
    <cellStyle name="Lien hypertexte" xfId="24317" builtinId="8" hidden="1"/>
    <cellStyle name="Lien hypertexte" xfId="19969" builtinId="8" hidden="1"/>
    <cellStyle name="Lien hypertexte" xfId="22529" builtinId="8" hidden="1"/>
    <cellStyle name="Lien hypertexte" xfId="21815" builtinId="8" hidden="1"/>
    <cellStyle name="Lien hypertexte" xfId="18286" builtinId="8" hidden="1"/>
    <cellStyle name="Lien hypertexte" xfId="20059" builtinId="8" hidden="1"/>
    <cellStyle name="Lien hypertexte" xfId="15742" builtinId="8" hidden="1"/>
    <cellStyle name="Lien hypertexte" xfId="1008" builtinId="8" hidden="1"/>
    <cellStyle name="Lien hypertexte" xfId="21721" builtinId="8" hidden="1"/>
    <cellStyle name="Lien hypertexte" xfId="17668" builtinId="8" hidden="1"/>
    <cellStyle name="Lien hypertexte" xfId="22435" builtinId="8" hidden="1"/>
    <cellStyle name="Lien hypertexte" xfId="24291" builtinId="8" hidden="1"/>
    <cellStyle name="Lien hypertexte" xfId="19761" builtinId="8" hidden="1"/>
    <cellStyle name="Lien hypertexte" xfId="22337" builtinId="8" hidden="1"/>
    <cellStyle name="Lien hypertexte" xfId="21785" builtinId="8" hidden="1"/>
    <cellStyle name="Lien hypertexte" xfId="18333" builtinId="8" hidden="1"/>
    <cellStyle name="Lien hypertexte" xfId="20087" builtinId="8" hidden="1"/>
    <cellStyle name="Lien hypertexte" xfId="15712" builtinId="8" hidden="1"/>
    <cellStyle name="Lien hypertexte" xfId="1036" builtinId="8" hidden="1"/>
    <cellStyle name="Lien hypertexte" xfId="21693" builtinId="8" hidden="1"/>
    <cellStyle name="Lien hypertexte" xfId="17638" builtinId="8" hidden="1"/>
    <cellStyle name="Lien hypertexte" xfId="22463" builtinId="8" hidden="1"/>
    <cellStyle name="Lien hypertexte" xfId="24261" builtinId="8" hidden="1"/>
    <cellStyle name="Lien hypertexte" xfId="19537" builtinId="8" hidden="1"/>
    <cellStyle name="Lien hypertexte" xfId="22129" builtinId="8" hidden="1"/>
    <cellStyle name="Lien hypertexte" xfId="21755" builtinId="8" hidden="1"/>
    <cellStyle name="Lien hypertexte" xfId="18363" builtinId="8" hidden="1"/>
    <cellStyle name="Lien hypertexte" xfId="20115" builtinId="8" hidden="1"/>
    <cellStyle name="Lien hypertexte" xfId="15684" builtinId="8" hidden="1"/>
    <cellStyle name="Lien hypertexte" xfId="1064" builtinId="8" hidden="1"/>
    <cellStyle name="Lien hypertexte" xfId="21667" builtinId="8" hidden="1"/>
    <cellStyle name="Lien hypertexte" xfId="17610" builtinId="8" hidden="1"/>
    <cellStyle name="Lien hypertexte" xfId="22493" builtinId="8" hidden="1"/>
    <cellStyle name="Lien hypertexte" xfId="24231" builtinId="8" hidden="1"/>
    <cellStyle name="Lien hypertexte" xfId="19313" builtinId="8" hidden="1"/>
    <cellStyle name="Lien hypertexte" xfId="21921" builtinId="8" hidden="1"/>
    <cellStyle name="Lien hypertexte" xfId="20897" builtinId="8" hidden="1"/>
    <cellStyle name="Lien hypertexte" xfId="862" builtinId="8" hidden="1"/>
    <cellStyle name="Lien hypertexte" xfId="20141" builtinId="8" hidden="1"/>
    <cellStyle name="Lien hypertexte" xfId="15656" builtinId="8" hidden="1"/>
    <cellStyle name="Lien hypertexte" xfId="1090" builtinId="8" hidden="1"/>
    <cellStyle name="Lien hypertexte" xfId="21637" builtinId="8" hidden="1"/>
    <cellStyle name="Lien hypertexte" xfId="17580" builtinId="8" hidden="1"/>
    <cellStyle name="Lien hypertexte" xfId="22521" builtinId="8" hidden="1"/>
    <cellStyle name="Lien hypertexte" xfId="24201" builtinId="8" hidden="1"/>
    <cellStyle name="Lien hypertexte" xfId="19089" builtinId="8" hidden="1"/>
    <cellStyle name="Lien hypertexte" xfId="21713" builtinId="8" hidden="1"/>
    <cellStyle name="Lien hypertexte" xfId="19361" builtinId="8" hidden="1"/>
    <cellStyle name="Lien hypertexte" xfId="18421" builtinId="8" hidden="1"/>
    <cellStyle name="Lien hypertexte" xfId="20169" builtinId="8" hidden="1"/>
    <cellStyle name="Lien hypertexte" xfId="15628" builtinId="8" hidden="1"/>
    <cellStyle name="Lien hypertexte" xfId="1120" builtinId="8" hidden="1"/>
    <cellStyle name="Lien hypertexte" xfId="21609" builtinId="8" hidden="1"/>
    <cellStyle name="Lien hypertexte" xfId="17550" builtinId="8" hidden="1"/>
    <cellStyle name="Lien hypertexte" xfId="22551" builtinId="8" hidden="1"/>
    <cellStyle name="Lien hypertexte" xfId="24171" builtinId="8" hidden="1"/>
    <cellStyle name="Lien hypertexte" xfId="18881" builtinId="8" hidden="1"/>
    <cellStyle name="Lien hypertexte" xfId="22305" builtinId="8" hidden="1"/>
    <cellStyle name="Lien hypertexte" xfId="16070" builtinId="8" hidden="1"/>
    <cellStyle name="Lien hypertexte" xfId="18451" builtinId="8" hidden="1"/>
    <cellStyle name="Lien hypertexte" xfId="20199" builtinId="8" hidden="1"/>
    <cellStyle name="Lien hypertexte" xfId="15598" builtinId="8" hidden="1"/>
    <cellStyle name="Lien hypertexte" xfId="1148" builtinId="8" hidden="1"/>
    <cellStyle name="Lien hypertexte" xfId="21581" builtinId="8" hidden="1"/>
    <cellStyle name="Lien hypertexte" xfId="17524" builtinId="8" hidden="1"/>
    <cellStyle name="Lien hypertexte" xfId="22581" builtinId="8" hidden="1"/>
    <cellStyle name="Lien hypertexte" xfId="24143" builtinId="8" hidden="1"/>
    <cellStyle name="Lien hypertexte" xfId="15960" builtinId="8" hidden="1"/>
    <cellStyle name="Lien hypertexte" xfId="24503" builtinId="8" hidden="1"/>
    <cellStyle name="Lien hypertexte" xfId="16276" builtinId="8" hidden="1"/>
    <cellStyle name="Lien hypertexte" xfId="18481" builtinId="8" hidden="1"/>
    <cellStyle name="Lien hypertexte" xfId="20227" builtinId="8" hidden="1"/>
    <cellStyle name="Lien hypertexte" xfId="15572" builtinId="8" hidden="1"/>
    <cellStyle name="Lien hypertexte" xfId="14528" builtinId="8" hidden="1"/>
    <cellStyle name="Lien hypertexte" xfId="21551" builtinId="8" hidden="1"/>
    <cellStyle name="Lien hypertexte" xfId="17494" builtinId="8" hidden="1"/>
    <cellStyle name="Lien hypertexte" xfId="22611" builtinId="8" hidden="1"/>
    <cellStyle name="Lien hypertexte" xfId="24115" builtinId="8" hidden="1"/>
    <cellStyle name="Lien hypertexte" xfId="15990" builtinId="8" hidden="1"/>
    <cellStyle name="Lien hypertexte" xfId="24063" builtinId="8" hidden="1"/>
    <cellStyle name="Lien hypertexte" xfId="16480" builtinId="8" hidden="1"/>
    <cellStyle name="Lien hypertexte" xfId="18509" builtinId="8" hidden="1"/>
    <cellStyle name="Lien hypertexte" xfId="19749" builtinId="8" hidden="1"/>
    <cellStyle name="Lien hypertexte" xfId="15544" builtinId="8" hidden="1"/>
    <cellStyle name="Lien hypertexte" xfId="14556" builtinId="8" hidden="1"/>
    <cellStyle name="Lien hypertexte" xfId="21525" builtinId="8" hidden="1"/>
    <cellStyle name="Lien hypertexte" xfId="17464" builtinId="8" hidden="1"/>
    <cellStyle name="Lien hypertexte" xfId="22639" builtinId="8" hidden="1"/>
    <cellStyle name="Lien hypertexte" xfId="24085" builtinId="8" hidden="1"/>
    <cellStyle name="Lien hypertexte" xfId="16018" builtinId="8" hidden="1"/>
    <cellStyle name="Lien hypertexte" xfId="23625" builtinId="8" hidden="1"/>
    <cellStyle name="Lien hypertexte" xfId="16684" builtinId="8" hidden="1"/>
    <cellStyle name="Lien hypertexte" xfId="18539" builtinId="8" hidden="1"/>
    <cellStyle name="Lien hypertexte" xfId="19211" builtinId="8" hidden="1"/>
    <cellStyle name="Lien hypertexte" xfId="15514" builtinId="8" hidden="1"/>
    <cellStyle name="Lien hypertexte" xfId="14586" builtinId="8" hidden="1"/>
    <cellStyle name="Lien hypertexte" xfId="21495" builtinId="8" hidden="1"/>
    <cellStyle name="Lien hypertexte" xfId="17434" builtinId="8" hidden="1"/>
    <cellStyle name="Lien hypertexte" xfId="22667" builtinId="8" hidden="1"/>
    <cellStyle name="Lien hypertexte" xfId="24055" builtinId="8" hidden="1"/>
    <cellStyle name="Lien hypertexte" xfId="16046" builtinId="8" hidden="1"/>
    <cellStyle name="Lien hypertexte" xfId="23187" builtinId="8" hidden="1"/>
    <cellStyle name="Lien hypertexte" xfId="16890" builtinId="8" hidden="1"/>
    <cellStyle name="Lien hypertexte" xfId="18569" builtinId="8" hidden="1"/>
    <cellStyle name="Lien hypertexte" xfId="19239" builtinId="8" hidden="1"/>
    <cellStyle name="Lien hypertexte" xfId="15486" builtinId="8" hidden="1"/>
    <cellStyle name="Lien hypertexte" xfId="14614" builtinId="8" hidden="1"/>
    <cellStyle name="Lien hypertexte" xfId="21467" builtinId="8" hidden="1"/>
    <cellStyle name="Lien hypertexte" xfId="17406" builtinId="8" hidden="1"/>
    <cellStyle name="Lien hypertexte" xfId="22697" builtinId="8" hidden="1"/>
    <cellStyle name="Lien hypertexte" xfId="24025" builtinId="8" hidden="1"/>
    <cellStyle name="Lien hypertexte" xfId="16076" builtinId="8" hidden="1"/>
    <cellStyle name="Lien hypertexte" xfId="22747" builtinId="8" hidden="1"/>
    <cellStyle name="Lien hypertexte" xfId="17094" builtinId="8" hidden="1"/>
    <cellStyle name="Lien hypertexte" xfId="18599" builtinId="8" hidden="1"/>
    <cellStyle name="Lien hypertexte" xfId="19267" builtinId="8" hidden="1"/>
    <cellStyle name="Lien hypertexte" xfId="15458" builtinId="8" hidden="1"/>
    <cellStyle name="Lien hypertexte" xfId="350" builtinId="8" hidden="1"/>
    <cellStyle name="Lien hypertexte" xfId="21439" builtinId="8" hidden="1"/>
    <cellStyle name="Lien hypertexte" xfId="17376" builtinId="8" hidden="1"/>
    <cellStyle name="Lien hypertexte" xfId="22727" builtinId="8" hidden="1"/>
    <cellStyle name="Lien hypertexte" xfId="720" builtinId="8" hidden="1"/>
    <cellStyle name="Lien hypertexte" xfId="20827" builtinId="8" hidden="1"/>
    <cellStyle name="Lien hypertexte" xfId="17248" builtinId="8" hidden="1"/>
    <cellStyle name="Lien hypertexte" xfId="16120" builtinId="8" hidden="1"/>
    <cellStyle name="Lien hypertexte" xfId="14824" builtinId="8" hidden="1"/>
    <cellStyle name="Lien hypertexte" xfId="17978" builtinId="8" hidden="1"/>
    <cellStyle name="Lien hypertexte" xfId="18867" builtinId="8" hidden="1"/>
    <cellStyle name="Lien hypertexte" xfId="22123" builtinId="8" hidden="1"/>
    <cellStyle name="Lien hypertexte" xfId="21411" builtinId="8" hidden="1"/>
    <cellStyle name="Lien hypertexte" xfId="17346" builtinId="8" hidden="1"/>
    <cellStyle name="Lien hypertexte" xfId="22757" builtinId="8" hidden="1"/>
    <cellStyle name="Lien hypertexte" xfId="23967" builtinId="8" hidden="1"/>
    <cellStyle name="Lien hypertexte" xfId="16134" builtinId="8" hidden="1"/>
    <cellStyle name="Lien hypertexte" xfId="21869" builtinId="8" hidden="1"/>
    <cellStyle name="Lien hypertexte" xfId="17504" builtinId="8" hidden="1"/>
    <cellStyle name="Lien hypertexte" xfId="18655" builtinId="8" hidden="1"/>
    <cellStyle name="Lien hypertexte" xfId="19323" builtinId="8" hidden="1"/>
    <cellStyle name="Lien hypertexte" xfId="15400" builtinId="8" hidden="1"/>
    <cellStyle name="Lien hypertexte" xfId="406" builtinId="8" hidden="1"/>
    <cellStyle name="Lien hypertexte" xfId="21383" builtinId="8" hidden="1"/>
    <cellStyle name="Lien hypertexte" xfId="17318" builtinId="8" hidden="1"/>
    <cellStyle name="Lien hypertexte" xfId="22787" builtinId="8" hidden="1"/>
    <cellStyle name="Lien hypertexte" xfId="23939" builtinId="8" hidden="1"/>
    <cellStyle name="Lien hypertexte" xfId="16164" builtinId="8" hidden="1"/>
    <cellStyle name="Lien hypertexte" xfId="20267" builtinId="8" hidden="1"/>
    <cellStyle name="Lien hypertexte" xfId="17708" builtinId="8" hidden="1"/>
    <cellStyle name="Lien hypertexte" xfId="18685" builtinId="8" hidden="1"/>
    <cellStyle name="Lien hypertexte" xfId="19351" builtinId="8" hidden="1"/>
    <cellStyle name="Lien hypertexte" xfId="15374" builtinId="8" hidden="1"/>
    <cellStyle name="Lien hypertexte" xfId="432" builtinId="8" hidden="1"/>
    <cellStyle name="Lien hypertexte" xfId="21353" builtinId="8" hidden="1"/>
    <cellStyle name="Lien hypertexte" xfId="17288" builtinId="8" hidden="1"/>
    <cellStyle name="Lien hypertexte" xfId="22813" builtinId="8" hidden="1"/>
    <cellStyle name="Lien hypertexte" xfId="23909" builtinId="8" hidden="1"/>
    <cellStyle name="Lien hypertexte" xfId="16194" builtinId="8" hidden="1"/>
    <cellStyle name="Lien hypertexte" xfId="20295" builtinId="8" hidden="1"/>
    <cellStyle name="Lien hypertexte" xfId="17914" builtinId="8" hidden="1"/>
    <cellStyle name="Lien hypertexte" xfId="18713" builtinId="8" hidden="1"/>
    <cellStyle name="Lien hypertexte" xfId="19379" builtinId="8" hidden="1"/>
    <cellStyle name="Lien hypertexte" xfId="15346" builtinId="8" hidden="1"/>
    <cellStyle name="Lien hypertexte" xfId="462" builtinId="8" hidden="1"/>
    <cellStyle name="Lien hypertexte" xfId="21325" builtinId="8" hidden="1"/>
    <cellStyle name="Lien hypertexte" xfId="17258" builtinId="8" hidden="1"/>
    <cellStyle name="Lien hypertexte" xfId="22843" builtinId="8" hidden="1"/>
    <cellStyle name="Lien hypertexte" xfId="23879" builtinId="8" hidden="1"/>
    <cellStyle name="Lien hypertexte" xfId="16222" builtinId="8" hidden="1"/>
    <cellStyle name="Lien hypertexte" xfId="20323" builtinId="8" hidden="1"/>
    <cellStyle name="Lien hypertexte" xfId="18118" builtinId="8" hidden="1"/>
    <cellStyle name="Lien hypertexte" xfId="18743" builtinId="8" hidden="1"/>
    <cellStyle name="Lien hypertexte" xfId="19405" builtinId="8" hidden="1"/>
    <cellStyle name="Lien hypertexte" xfId="15316" builtinId="8" hidden="1"/>
    <cellStyle name="Lien hypertexte" xfId="490" builtinId="8" hidden="1"/>
    <cellStyle name="Lien hypertexte" xfId="21299" builtinId="8" hidden="1"/>
    <cellStyle name="Lien hypertexte" xfId="17228" builtinId="8" hidden="1"/>
    <cellStyle name="Lien hypertexte" xfId="22873" builtinId="8" hidden="1"/>
    <cellStyle name="Lien hypertexte" xfId="23851" builtinId="8" hidden="1"/>
    <cellStyle name="Lien hypertexte" xfId="16252" builtinId="8" hidden="1"/>
    <cellStyle name="Lien hypertexte" xfId="20351" builtinId="8" hidden="1"/>
    <cellStyle name="Lien hypertexte" xfId="18341" builtinId="8" hidden="1"/>
    <cellStyle name="Lien hypertexte" xfId="18773" builtinId="8" hidden="1"/>
    <cellStyle name="Lien hypertexte" xfId="19433" builtinId="8" hidden="1"/>
    <cellStyle name="Lien hypertexte" xfId="15288" builtinId="8" hidden="1"/>
    <cellStyle name="Lien hypertexte" xfId="518" builtinId="8" hidden="1"/>
    <cellStyle name="Lien hypertexte" xfId="21269" builtinId="8" hidden="1"/>
    <cellStyle name="Lien hypertexte" xfId="17202" builtinId="8" hidden="1"/>
    <cellStyle name="Lien hypertexte" xfId="22903" builtinId="8" hidden="1"/>
    <cellStyle name="Lien hypertexte" xfId="23821" builtinId="8" hidden="1"/>
    <cellStyle name="Lien hypertexte" xfId="16282" builtinId="8" hidden="1"/>
    <cellStyle name="Lien hypertexte" xfId="20379" builtinId="8" hidden="1"/>
    <cellStyle name="Lien hypertexte" xfId="18545" builtinId="8" hidden="1"/>
    <cellStyle name="Lien hypertexte" xfId="18803" builtinId="8" hidden="1"/>
    <cellStyle name="Lien hypertexte" xfId="19461" builtinId="8" hidden="1"/>
    <cellStyle name="Lien hypertexte" xfId="15260" builtinId="8" hidden="1"/>
    <cellStyle name="Lien hypertexte" xfId="544" builtinId="8" hidden="1"/>
    <cellStyle name="Lien hypertexte" xfId="21241" builtinId="8" hidden="1"/>
    <cellStyle name="Lien hypertexte" xfId="17172" builtinId="8" hidden="1"/>
    <cellStyle name="Lien hypertexte" xfId="22933" builtinId="8" hidden="1"/>
    <cellStyle name="Lien hypertexte" xfId="23791" builtinId="8" hidden="1"/>
    <cellStyle name="Lien hypertexte" xfId="16312" builtinId="8" hidden="1"/>
    <cellStyle name="Lien hypertexte" xfId="20409" builtinId="8" hidden="1"/>
    <cellStyle name="Lien hypertexte" xfId="18749" builtinId="8" hidden="1"/>
    <cellStyle name="Lien hypertexte" xfId="18831" builtinId="8" hidden="1"/>
    <cellStyle name="Lien hypertexte" xfId="19487" builtinId="8" hidden="1"/>
    <cellStyle name="Lien hypertexte" xfId="15232" builtinId="8" hidden="1"/>
    <cellStyle name="Lien hypertexte" xfId="572" builtinId="8" hidden="1"/>
    <cellStyle name="Lien hypertexte" xfId="21213" builtinId="8" hidden="1"/>
    <cellStyle name="Lien hypertexte" xfId="17142" builtinId="8" hidden="1"/>
    <cellStyle name="Lien hypertexte" xfId="22959" builtinId="8" hidden="1"/>
    <cellStyle name="Lien hypertexte" xfId="23763" builtinId="8" hidden="1"/>
    <cellStyle name="Lien hypertexte" xfId="16340" builtinId="8" hidden="1"/>
    <cellStyle name="Lien hypertexte" xfId="20437" builtinId="8" hidden="1"/>
    <cellStyle name="Lien hypertexte" xfId="17200" builtinId="8" hidden="1"/>
    <cellStyle name="Lien hypertexte" xfId="15890" builtinId="8" hidden="1"/>
    <cellStyle name="Lien hypertexte" xfId="19515" builtinId="8" hidden="1"/>
    <cellStyle name="Lien hypertexte" xfId="15202" builtinId="8" hidden="1"/>
    <cellStyle name="Lien hypertexte" xfId="600" builtinId="8" hidden="1"/>
    <cellStyle name="Lien hypertexte" xfId="21183" builtinId="8" hidden="1"/>
    <cellStyle name="Lien hypertexte" xfId="17114" builtinId="8" hidden="1"/>
    <cellStyle name="Lien hypertexte" xfId="22989" builtinId="8" hidden="1"/>
    <cellStyle name="Lien hypertexte" xfId="23733" builtinId="8" hidden="1"/>
    <cellStyle name="Lien hypertexte" xfId="16370" builtinId="8" hidden="1"/>
    <cellStyle name="Lien hypertexte" xfId="20463" builtinId="8" hidden="1"/>
    <cellStyle name="Lien hypertexte" xfId="14744" builtinId="8" hidden="1"/>
    <cellStyle name="Lien hypertexte" xfId="18160" builtinId="8" hidden="1"/>
    <cellStyle name="Lien hypertexte" xfId="19021" builtinId="8" hidden="1"/>
    <cellStyle name="Lien hypertexte" xfId="15176" builtinId="8" hidden="1"/>
    <cellStyle name="Lien hypertexte" xfId="626" builtinId="8" hidden="1"/>
    <cellStyle name="Lien hypertexte" xfId="21157" builtinId="8" hidden="1"/>
    <cellStyle name="Lien hypertexte" xfId="17084" builtinId="8" hidden="1"/>
    <cellStyle name="Lien hypertexte" xfId="23019" builtinId="8" hidden="1"/>
    <cellStyle name="Lien hypertexte" xfId="23705" builtinId="8" hidden="1"/>
    <cellStyle name="Lien hypertexte" xfId="16398" builtinId="8" hidden="1"/>
    <cellStyle name="Lien hypertexte" xfId="20493" builtinId="8" hidden="1"/>
    <cellStyle name="Lien hypertexte" xfId="14942" builtinId="8" hidden="1"/>
    <cellStyle name="Lien hypertexte" xfId="17744" builtinId="8" hidden="1"/>
    <cellStyle name="Lien hypertexte" xfId="19049" builtinId="8" hidden="1"/>
    <cellStyle name="Lien hypertexte" xfId="15146" builtinId="8" hidden="1"/>
    <cellStyle name="Lien hypertexte" xfId="198" builtinId="8" hidden="1"/>
    <cellStyle name="Lien hypertexte" xfId="21127" builtinId="8" hidden="1"/>
    <cellStyle name="Lien hypertexte" xfId="17054" builtinId="8" hidden="1"/>
    <cellStyle name="Lien hypertexte" xfId="23049" builtinId="8" hidden="1"/>
    <cellStyle name="Lien hypertexte" xfId="23675" builtinId="8" hidden="1"/>
    <cellStyle name="Lien hypertexte" xfId="16426" builtinId="8" hidden="1"/>
    <cellStyle name="Lien hypertexte" xfId="20521" builtinId="8" hidden="1"/>
    <cellStyle name="Lien hypertexte" xfId="15140" builtinId="8" hidden="1"/>
    <cellStyle name="Lien hypertexte" xfId="17296" builtinId="8" hidden="1"/>
    <cellStyle name="Lien hypertexte" xfId="19077" builtinId="8" hidden="1"/>
    <cellStyle name="Lien hypertexte" xfId="15118" builtinId="8" hidden="1"/>
    <cellStyle name="Lien hypertexte" xfId="226" builtinId="8" hidden="1"/>
    <cellStyle name="Lien hypertexte" xfId="21099" builtinId="8" hidden="1"/>
    <cellStyle name="Lien hypertexte" xfId="17024" builtinId="8" hidden="1"/>
    <cellStyle name="Lien hypertexte" xfId="23079" builtinId="8" hidden="1"/>
    <cellStyle name="Lien hypertexte" xfId="23645" builtinId="8" hidden="1"/>
    <cellStyle name="Lien hypertexte" xfId="16456" builtinId="8" hidden="1"/>
    <cellStyle name="Lien hypertexte" xfId="20549" builtinId="8" hidden="1"/>
    <cellStyle name="Lien hypertexte" xfId="15338" builtinId="8" hidden="1"/>
    <cellStyle name="Lien hypertexte" xfId="16848" builtinId="8" hidden="1"/>
    <cellStyle name="Lien hypertexte" xfId="19103" builtinId="8" hidden="1"/>
    <cellStyle name="Lien hypertexte" xfId="15090" builtinId="8" hidden="1"/>
    <cellStyle name="Lien hypertexte" xfId="254" builtinId="8" hidden="1"/>
    <cellStyle name="Lien hypertexte" xfId="21071" builtinId="8" hidden="1"/>
    <cellStyle name="Lien hypertexte" xfId="16996" builtinId="8" hidden="1"/>
    <cellStyle name="Lien hypertexte" xfId="23107" builtinId="8" hidden="1"/>
    <cellStyle name="Lien hypertexte" xfId="23615" builtinId="8" hidden="1"/>
    <cellStyle name="Lien hypertexte" xfId="16486" builtinId="8" hidden="1"/>
    <cellStyle name="Lien hypertexte" xfId="20579" builtinId="8" hidden="1"/>
    <cellStyle name="Lien hypertexte" xfId="15538" builtinId="8" hidden="1"/>
    <cellStyle name="Lien hypertexte" xfId="16400" builtinId="8" hidden="1"/>
    <cellStyle name="Lien hypertexte" xfId="19131" builtinId="8" hidden="1"/>
    <cellStyle name="Lien hypertexte" xfId="15062" builtinId="8" hidden="1"/>
    <cellStyle name="Lien hypertexte" xfId="280" builtinId="8" hidden="1"/>
    <cellStyle name="Lien hypertexte" xfId="21043" builtinId="8" hidden="1"/>
    <cellStyle name="Lien hypertexte" xfId="16966" builtinId="8" hidden="1"/>
    <cellStyle name="Lien hypertexte" xfId="23135" builtinId="8" hidden="1"/>
    <cellStyle name="Lien hypertexte" xfId="23587" builtinId="8" hidden="1"/>
    <cellStyle name="Lien hypertexte" xfId="16516" builtinId="8" hidden="1"/>
    <cellStyle name="Lien hypertexte" xfId="20605" builtinId="8" hidden="1"/>
    <cellStyle name="Lien hypertexte" xfId="15736" builtinId="8" hidden="1"/>
    <cellStyle name="Lien hypertexte" xfId="15984" builtinId="8" hidden="1"/>
    <cellStyle name="Lien hypertexte" xfId="19159" builtinId="8" hidden="1"/>
    <cellStyle name="Lien hypertexte" xfId="15034" builtinId="8" hidden="1"/>
    <cellStyle name="Lien hypertexte" xfId="308" builtinId="8" hidden="1"/>
    <cellStyle name="Lien hypertexte" xfId="21015" builtinId="8" hidden="1"/>
    <cellStyle name="Lien hypertexte" xfId="16936" builtinId="8" hidden="1"/>
    <cellStyle name="Lien hypertexte" xfId="23165" builtinId="8" hidden="1"/>
    <cellStyle name="Lien hypertexte" xfId="23559" builtinId="8" hidden="1"/>
    <cellStyle name="Lien hypertexte" xfId="16544" builtinId="8" hidden="1"/>
    <cellStyle name="Lien hypertexte" xfId="20635" builtinId="8" hidden="1"/>
    <cellStyle name="Lien hypertexte" xfId="15934" builtinId="8" hidden="1"/>
    <cellStyle name="Lien hypertexte" xfId="14654" builtinId="8" hidden="1"/>
    <cellStyle name="Lien hypertexte" xfId="19187" builtinId="8" hidden="1"/>
    <cellStyle name="Lien hypertexte" xfId="15004" builtinId="8" hidden="1"/>
    <cellStyle name="Lien hypertexte" xfId="336" builtinId="8" hidden="1"/>
    <cellStyle name="Lien hypertexte" xfId="20985" builtinId="8" hidden="1"/>
    <cellStyle name="Lien hypertexte" xfId="16908" builtinId="8" hidden="1"/>
    <cellStyle name="Lien hypertexte" xfId="23195" builtinId="8" hidden="1"/>
    <cellStyle name="Lien hypertexte" xfId="23529" builtinId="8" hidden="1"/>
    <cellStyle name="Lien hypertexte" xfId="16574" builtinId="8" hidden="1"/>
    <cellStyle name="Lien hypertexte" xfId="20663" builtinId="8" hidden="1"/>
    <cellStyle name="Lien hypertexte" xfId="24593" builtinId="8" hidden="1"/>
    <cellStyle name="Lien hypertexte" xfId="21961" builtinId="8" hidden="1"/>
    <cellStyle name="Lien hypertexte" xfId="18957" builtinId="8" hidden="1"/>
    <cellStyle name="Lien hypertexte" xfId="14978" builtinId="8" hidden="1"/>
    <cellStyle name="Lien hypertexte" xfId="138" builtinId="8" hidden="1"/>
    <cellStyle name="Lien hypertexte" xfId="20957" builtinId="8" hidden="1"/>
    <cellStyle name="Lien hypertexte" xfId="16878" builtinId="8" hidden="1"/>
    <cellStyle name="Lien hypertexte" xfId="23225" builtinId="8" hidden="1"/>
    <cellStyle name="Lien hypertexte" xfId="23499" builtinId="8" hidden="1"/>
    <cellStyle name="Lien hypertexte" xfId="16604" builtinId="8" hidden="1"/>
    <cellStyle name="Lien hypertexte" xfId="20691" builtinId="8" hidden="1"/>
    <cellStyle name="Lien hypertexte" xfId="998" builtinId="8" hidden="1"/>
    <cellStyle name="Lien hypertexte" xfId="14710" builtinId="8" hidden="1"/>
    <cellStyle name="Lien hypertexte" xfId="18985" builtinId="8" hidden="1"/>
    <cellStyle name="Lien hypertexte" xfId="14948" builtinId="8" hidden="1"/>
    <cellStyle name="Lien hypertexte" xfId="166" builtinId="8" hidden="1"/>
    <cellStyle name="Lien hypertexte" xfId="20931" builtinId="8" hidden="1"/>
    <cellStyle name="Lien hypertexte" xfId="16850" builtinId="8" hidden="1"/>
    <cellStyle name="Lien hypertexte" xfId="23253" builtinId="8" hidden="1"/>
    <cellStyle name="Lien hypertexte" xfId="23469" builtinId="8" hidden="1"/>
    <cellStyle name="Lien hypertexte" xfId="16632" builtinId="8" hidden="1"/>
    <cellStyle name="Lien hypertexte" xfId="20719" builtinId="8" hidden="1"/>
    <cellStyle name="Lien hypertexte" xfId="14546" builtinId="8" hidden="1"/>
    <cellStyle name="Lien hypertexte" xfId="14738" builtinId="8" hidden="1"/>
    <cellStyle name="Lien hypertexte" xfId="19013" builtinId="8" hidden="1"/>
    <cellStyle name="Lien hypertexte" xfId="14920" builtinId="8" hidden="1"/>
    <cellStyle name="Lien hypertexte" xfId="194" builtinId="8" hidden="1"/>
    <cellStyle name="Lien hypertexte" xfId="20901" builtinId="8" hidden="1"/>
    <cellStyle name="Lien hypertexte" xfId="16820" builtinId="8" hidden="1"/>
    <cellStyle name="Lien hypertexte" xfId="23283" builtinId="8" hidden="1"/>
    <cellStyle name="Lien hypertexte" xfId="23439" builtinId="8" hidden="1"/>
    <cellStyle name="Lien hypertexte" xfId="16662" builtinId="8" hidden="1"/>
    <cellStyle name="Lien hypertexte" xfId="20747" builtinId="8" hidden="1"/>
    <cellStyle name="Lien hypertexte" xfId="450" builtinId="8" hidden="1"/>
    <cellStyle name="Lien hypertexte" xfId="14766" builtinId="8" hidden="1"/>
    <cellStyle name="Lien hypertexte" xfId="18911" builtinId="8" hidden="1"/>
    <cellStyle name="Lien hypertexte" xfId="14890" builtinId="8" hidden="1"/>
    <cellStyle name="Lien hypertexte" xfId="110" builtinId="8" hidden="1"/>
    <cellStyle name="Lien hypertexte" xfId="20873" builtinId="8" hidden="1"/>
    <cellStyle name="Lien hypertexte" xfId="16792" builtinId="8" hidden="1"/>
    <cellStyle name="Lien hypertexte" xfId="23311" builtinId="8" hidden="1"/>
    <cellStyle name="Lien hypertexte" xfId="23413" builtinId="8" hidden="1"/>
    <cellStyle name="Lien hypertexte" xfId="16692" builtinId="8" hidden="1"/>
    <cellStyle name="Lien hypertexte" xfId="20777" builtinId="8" hidden="1"/>
    <cellStyle name="Lien hypertexte" xfId="644" builtinId="8" hidden="1"/>
    <cellStyle name="Lien hypertexte" xfId="14796" builtinId="8" hidden="1"/>
    <cellStyle name="Lien hypertexte" xfId="18875" builtinId="8" hidden="1"/>
    <cellStyle name="Lien hypertexte" xfId="14864" builtinId="8" hidden="1"/>
    <cellStyle name="Lien hypertexte" xfId="80" builtinId="8" hidden="1"/>
    <cellStyle name="Lien hypertexte" xfId="20843" builtinId="8" hidden="1"/>
    <cellStyle name="Lien hypertexte" xfId="16762" builtinId="8" hidden="1"/>
    <cellStyle name="Lien hypertexte" xfId="23341" builtinId="8" hidden="1"/>
    <cellStyle name="Lien hypertexte" xfId="23383" builtinId="8" hidden="1"/>
    <cellStyle name="Lien hypertexte" xfId="16722" builtinId="8" hidden="1"/>
    <cellStyle name="Lien hypertexte" xfId="20805" builtinId="8" hidden="1"/>
    <cellStyle name="Lien hypertexte" xfId="156" builtinId="8" hidden="1"/>
    <cellStyle name="Lien hypertexte" xfId="14822" builtinId="8" hidden="1"/>
    <cellStyle name="Lien hypertexte" xfId="18855" builtinId="8" hidden="1"/>
    <cellStyle name="Lien hypertexte" xfId="14836" builtinId="8" hidden="1"/>
    <cellStyle name="Lien hypertexte" xfId="68" builtinId="8" hidden="1"/>
    <cellStyle name="Lien hypertexte" xfId="20815" builtinId="8" hidden="1"/>
    <cellStyle name="Lien hypertexte" xfId="16732" builtinId="8" hidden="1"/>
    <cellStyle name="Lien hypertexte" xfId="23371" builtinId="8" hidden="1"/>
    <cellStyle name="Lien hypertexte" xfId="23353" builtinId="8" hidden="1"/>
    <cellStyle name="Lien hypertexte" xfId="16748" builtinId="8" hidden="1"/>
    <cellStyle name="Lien hypertexte" xfId="20831" builtinId="8" hidden="1"/>
    <cellStyle name="Lien hypertexte" xfId="64" builtinId="8" hidden="1"/>
    <cellStyle name="Lien hypertexte" xfId="14852" builtinId="8" hidden="1"/>
    <cellStyle name="Lien hypertexte" xfId="18887" builtinId="8" hidden="1"/>
    <cellStyle name="Lien hypertexte" xfId="14806" builtinId="8" hidden="1"/>
    <cellStyle name="Lien hypertexte" xfId="268" builtinId="8" hidden="1"/>
    <cellStyle name="Lien hypertexte" xfId="20789" builtinId="8" hidden="1"/>
    <cellStyle name="Lien hypertexte" xfId="16704" builtinId="8" hidden="1"/>
    <cellStyle name="Lien hypertexte" xfId="23399" builtinId="8" hidden="1"/>
    <cellStyle name="Lien hypertexte" xfId="23323" builtinId="8" hidden="1"/>
    <cellStyle name="Lien hypertexte" xfId="16778" builtinId="8" hidden="1"/>
    <cellStyle name="Lien hypertexte" xfId="20861" builtinId="8" hidden="1"/>
    <cellStyle name="Lien hypertexte" xfId="120" builtinId="8" hidden="1"/>
    <cellStyle name="Lien hypertexte" xfId="14880" builtinId="8" hidden="1"/>
    <cellStyle name="Lien hypertexte" xfId="18923" builtinId="8" hidden="1"/>
    <cellStyle name="Lien hypertexte" xfId="14780" builtinId="8" hidden="1"/>
    <cellStyle name="Lien hypertexte" xfId="532" builtinId="8" hidden="1"/>
    <cellStyle name="Lien hypertexte" xfId="20759" builtinId="8" hidden="1"/>
    <cellStyle name="Lien hypertexte" xfId="16674" builtinId="8" hidden="1"/>
    <cellStyle name="Lien hypertexte" xfId="23429" builtinId="8" hidden="1"/>
    <cellStyle name="Lien hypertexte" xfId="23293" builtinId="8" hidden="1"/>
    <cellStyle name="Lien hypertexte" xfId="16808" builtinId="8" hidden="1"/>
    <cellStyle name="Lien hypertexte" xfId="20889" builtinId="8" hidden="1"/>
    <cellStyle name="Lien hypertexte" xfId="94" builtinId="8" hidden="1"/>
    <cellStyle name="Lien hypertexte" xfId="15588" builtinId="8" hidden="1"/>
    <cellStyle name="Lien hypertexte" xfId="18895" builtinId="8" hidden="1"/>
    <cellStyle name="Lien hypertexte" xfId="14750" builtinId="8" hidden="1"/>
    <cellStyle name="Lien hypertexte" xfId="14576" builtinId="8" hidden="1"/>
    <cellStyle name="Lien hypertexte" xfId="20731" builtinId="8" hidden="1"/>
    <cellStyle name="Lien hypertexte" xfId="16644" builtinId="8" hidden="1"/>
    <cellStyle name="Lien hypertexte" xfId="23459" builtinId="8" hidden="1"/>
    <cellStyle name="Lien hypertexte" xfId="23267" builtinId="8" hidden="1"/>
    <cellStyle name="Lien hypertexte" xfId="16836" builtinId="8" hidden="1"/>
    <cellStyle name="Lien hypertexte" xfId="20917" builtinId="8" hidden="1"/>
    <cellStyle name="Lien hypertexte" xfId="178" builtinId="8" hidden="1"/>
    <cellStyle name="Lien hypertexte" xfId="14936" builtinId="8" hidden="1"/>
    <cellStyle name="Lien hypertexte" xfId="18997" builtinId="8" hidden="1"/>
    <cellStyle name="Lien hypertexte" xfId="14722" builtinId="8" hidden="1"/>
    <cellStyle name="Lien hypertexte" xfId="1078" builtinId="8" hidden="1"/>
    <cellStyle name="Lien hypertexte" xfId="20703" builtinId="8" hidden="1"/>
    <cellStyle name="Lien hypertexte" xfId="16614" builtinId="8" hidden="1"/>
    <cellStyle name="Lien hypertexte" xfId="23487" builtinId="8" hidden="1"/>
    <cellStyle name="Lien hypertexte" xfId="23237" builtinId="8" hidden="1"/>
    <cellStyle name="Lien hypertexte" xfId="16866" builtinId="8" hidden="1"/>
    <cellStyle name="Lien hypertexte" xfId="20947" builtinId="8" hidden="1"/>
    <cellStyle name="Lien hypertexte" xfId="150" builtinId="8" hidden="1"/>
    <cellStyle name="Lien hypertexte" xfId="14966" builtinId="8" hidden="1"/>
    <cellStyle name="Lien hypertexte" xfId="18969" builtinId="8" hidden="1"/>
    <cellStyle name="Lien hypertexte" xfId="14692" builtinId="8" hidden="1"/>
    <cellStyle name="Lien hypertexte" xfId="884" builtinId="8" hidden="1"/>
    <cellStyle name="Lien hypertexte" xfId="20675" builtinId="8" hidden="1"/>
    <cellStyle name="Lien hypertexte" xfId="16586" builtinId="8" hidden="1"/>
    <cellStyle name="Lien hypertexte" xfId="23517" builtinId="8" hidden="1"/>
    <cellStyle name="Lien hypertexte" xfId="23207" builtinId="8" hidden="1"/>
    <cellStyle name="Lien hypertexte" xfId="16896" builtinId="8" hidden="1"/>
    <cellStyle name="Lien hypertexte" xfId="20973" builtinId="8" hidden="1"/>
    <cellStyle name="Lien hypertexte" xfId="346" builtinId="8" hidden="1"/>
    <cellStyle name="Lien hypertexte" xfId="14994" builtinId="8" hidden="1"/>
    <cellStyle name="Lien hypertexte" xfId="18941" builtinId="8" hidden="1"/>
    <cellStyle name="Lien hypertexte" xfId="14666" builtinId="8" hidden="1"/>
    <cellStyle name="Lien hypertexte" xfId="688" builtinId="8" hidden="1"/>
    <cellStyle name="Lien hypertexte" xfId="20647" builtinId="8" hidden="1"/>
    <cellStyle name="Lien hypertexte" xfId="16556" builtinId="8" hidden="1"/>
    <cellStyle name="Lien hypertexte" xfId="23545" builtinId="8" hidden="1"/>
    <cellStyle name="Lien hypertexte" xfId="23177" builtinId="8" hidden="1"/>
    <cellStyle name="Lien hypertexte" xfId="16926" builtinId="8" hidden="1"/>
    <cellStyle name="Lien hypertexte" xfId="21003" builtinId="8" hidden="1"/>
    <cellStyle name="Lien hypertexte" xfId="320" builtinId="8" hidden="1"/>
    <cellStyle name="Lien hypertexte" xfId="15020" builtinId="8" hidden="1"/>
    <cellStyle name="Lien hypertexte" xfId="19171" builtinId="8" hidden="1"/>
    <cellStyle name="Lien hypertexte" xfId="14636" builtinId="8" hidden="1"/>
    <cellStyle name="Lien hypertexte" xfId="15818" builtinId="8" hidden="1"/>
    <cellStyle name="Lien hypertexte" xfId="20617" builtinId="8" hidden="1"/>
    <cellStyle name="Lien hypertexte" xfId="16526" builtinId="8" hidden="1"/>
    <cellStyle name="Lien hypertexte" xfId="23575" builtinId="8" hidden="1"/>
    <cellStyle name="Lien hypertexte" xfId="23147" builtinId="8" hidden="1"/>
    <cellStyle name="Lien hypertexte" xfId="16954" builtinId="8" hidden="1"/>
    <cellStyle name="Lien hypertexte" xfId="21031" builtinId="8" hidden="1"/>
    <cellStyle name="Lien hypertexte" xfId="292" builtinId="8" hidden="1"/>
    <cellStyle name="Lien hypertexte" xfId="15050" builtinId="8" hidden="1"/>
    <cellStyle name="Lien hypertexte" xfId="19143" builtinId="8" hidden="1"/>
    <cellStyle name="Lien hypertexte" xfId="16240" builtinId="8" hidden="1"/>
    <cellStyle name="Lien hypertexte" xfId="15620" builtinId="8" hidden="1"/>
    <cellStyle name="Lien hypertexte" xfId="20589" builtinId="8" hidden="1"/>
    <cellStyle name="Lien hypertexte" xfId="16500" builtinId="8" hidden="1"/>
    <cellStyle name="Lien hypertexte" xfId="23605" builtinId="8" hidden="1"/>
    <cellStyle name="Lien hypertexte" xfId="23119" builtinId="8" hidden="1"/>
    <cellStyle name="Lien hypertexte" xfId="16984" builtinId="8" hidden="1"/>
    <cellStyle name="Lien hypertexte" xfId="21059" builtinId="8" hidden="1"/>
    <cellStyle name="Lien hypertexte" xfId="264" builtinId="8" hidden="1"/>
    <cellStyle name="Lien hypertexte" xfId="15078" builtinId="8" hidden="1"/>
    <cellStyle name="Lien hypertexte" xfId="19115" builtinId="8" hidden="1"/>
    <cellStyle name="Lien hypertexte" xfId="16656" builtinId="8" hidden="1"/>
    <cellStyle name="Lien hypertexte" xfId="15422" builtinId="8" hidden="1"/>
    <cellStyle name="Lien hypertexte" xfId="20563" builtinId="8" hidden="1"/>
    <cellStyle name="Lien hypertexte" xfId="16470" builtinId="8" hidden="1"/>
    <cellStyle name="Lien hypertexte" xfId="23635" builtinId="8" hidden="1"/>
    <cellStyle name="Lien hypertexte" xfId="23091" builtinId="8" hidden="1"/>
    <cellStyle name="Lien hypertexte" xfId="17014" builtinId="8" hidden="1"/>
    <cellStyle name="Lien hypertexte" xfId="21087" builtinId="8" hidden="1"/>
    <cellStyle name="Lien hypertexte" xfId="238" builtinId="8" hidden="1"/>
    <cellStyle name="Lien hypertexte" xfId="15106" builtinId="8" hidden="1"/>
    <cellStyle name="Lien hypertexte" xfId="19087" builtinId="8" hidden="1"/>
    <cellStyle name="Lien hypertexte" xfId="17104" builtinId="8" hidden="1"/>
    <cellStyle name="Lien hypertexte" xfId="15224" builtinId="8" hidden="1"/>
    <cellStyle name="Lien hypertexte" xfId="20533" builtinId="8" hidden="1"/>
    <cellStyle name="Lien hypertexte" xfId="16440" builtinId="8" hidden="1"/>
    <cellStyle name="Lien hypertexte" xfId="23663" builtinId="8" hidden="1"/>
    <cellStyle name="Lien hypertexte" xfId="23061" builtinId="8" hidden="1"/>
    <cellStyle name="Lien hypertexte" xfId="17042" builtinId="8" hidden="1"/>
    <cellStyle name="Lien hypertexte" xfId="24295" builtinId="8" hidden="1"/>
    <cellStyle name="Lien hypertexte" xfId="20069" builtinId="8" hidden="1"/>
    <cellStyle name="Lien hypertexte" xfId="18851" builtinId="8" hidden="1"/>
    <cellStyle name="Lien hypertexte" xfId="23047" builtinId="8" hidden="1"/>
    <cellStyle name="Lien hypertexte" xfId="17552" builtinId="8" hidden="1"/>
    <cellStyle name="Lien hypertexte" xfId="15026" builtinId="8" hidden="1"/>
    <cellStyle name="Lien hypertexte" xfId="20505" builtinId="8" hidden="1"/>
    <cellStyle name="Lien hypertexte" xfId="16410" builtinId="8" hidden="1"/>
    <cellStyle name="Lien hypertexte" xfId="23691" builtinId="8" hidden="1"/>
    <cellStyle name="Lien hypertexte" xfId="23031" builtinId="8" hidden="1"/>
    <cellStyle name="Lien hypertexte" xfId="17070" builtinId="8" hidden="1"/>
    <cellStyle name="Lien hypertexte" xfId="21145" builtinId="8" hidden="1"/>
    <cellStyle name="Lien hypertexte" xfId="638" builtinId="8" hidden="1"/>
    <cellStyle name="Lien hypertexte" xfId="15164" builtinId="8" hidden="1"/>
    <cellStyle name="Lien hypertexte" xfId="19033" builtinId="8" hidden="1"/>
    <cellStyle name="Lien hypertexte" xfId="18000" builtinId="8" hidden="1"/>
    <cellStyle name="Lien hypertexte" xfId="14826" builtinId="8" hidden="1"/>
    <cellStyle name="Lien hypertexte" xfId="20475" builtinId="8" hidden="1"/>
    <cellStyle name="Lien hypertexte" xfId="16382" builtinId="8" hidden="1"/>
    <cellStyle name="Lien hypertexte" xfId="23721" builtinId="8" hidden="1"/>
    <cellStyle name="Lien hypertexte" xfId="23001" builtinId="8" hidden="1"/>
    <cellStyle name="Lien hypertexte" xfId="17100" builtinId="8" hidden="1"/>
    <cellStyle name="Lien hypertexte" xfId="21173" builtinId="8" hidden="1"/>
    <cellStyle name="Lien hypertexte" xfId="610" builtinId="8" hidden="1"/>
    <cellStyle name="Lien hypertexte" xfId="15192" builtinId="8" hidden="1"/>
    <cellStyle name="Lien hypertexte" xfId="19527" builtinId="8" hidden="1"/>
    <cellStyle name="Lien hypertexte" xfId="18433" builtinId="8" hidden="1"/>
    <cellStyle name="Lien hypertexte" xfId="14628" builtinId="8" hidden="1"/>
    <cellStyle name="Lien hypertexte" xfId="20447" builtinId="8" hidden="1"/>
    <cellStyle name="Lien hypertexte" xfId="16352" builtinId="8" hidden="1"/>
    <cellStyle name="Lien hypertexte" xfId="23751" builtinId="8" hidden="1"/>
    <cellStyle name="Lien hypertexte" xfId="22973" builtinId="8" hidden="1"/>
    <cellStyle name="Lien hypertexte" xfId="17130" builtinId="8" hidden="1"/>
    <cellStyle name="Lien hypertexte" xfId="21199" builtinId="8" hidden="1"/>
    <cellStyle name="Lien hypertexte" xfId="584" builtinId="8" hidden="1"/>
    <cellStyle name="Lien hypertexte" xfId="15220" builtinId="8" hidden="1"/>
    <cellStyle name="Lien hypertexte" xfId="19499" builtinId="8" hidden="1"/>
    <cellStyle name="Lien hypertexte" xfId="18843" builtinId="8" hidden="1"/>
    <cellStyle name="Lien hypertexte" xfId="18835" builtinId="8" hidden="1"/>
    <cellStyle name="Lien hypertexte" xfId="20421" builtinId="8" hidden="1"/>
    <cellStyle name="Lien hypertexte" xfId="16322" builtinId="8" hidden="1"/>
    <cellStyle name="Lien hypertexte" xfId="23781" builtinId="8" hidden="1"/>
    <cellStyle name="Lien hypertexte" xfId="22943" builtinId="8" hidden="1"/>
    <cellStyle name="Lien hypertexte" xfId="17158" builtinId="8" hidden="1"/>
    <cellStyle name="Lien hypertexte" xfId="21229" builtinId="8" hidden="1"/>
    <cellStyle name="Lien hypertexte" xfId="556" builtinId="8" hidden="1"/>
    <cellStyle name="Lien hypertexte" xfId="15248" builtinId="8" hidden="1"/>
    <cellStyle name="Lien hypertexte" xfId="19471" builtinId="8" hidden="1"/>
    <cellStyle name="Lien hypertexte" xfId="18813" builtinId="8" hidden="1"/>
    <cellStyle name="Lien hypertexte" xfId="18631" builtinId="8" hidden="1"/>
    <cellStyle name="Lien hypertexte" xfId="20391" builtinId="8" hidden="1"/>
    <cellStyle name="Lien hypertexte" xfId="16294" builtinId="8" hidden="1"/>
    <cellStyle name="Lien hypertexte" xfId="23811" builtinId="8" hidden="1"/>
    <cellStyle name="Lien hypertexte" xfId="22915" builtinId="8" hidden="1"/>
    <cellStyle name="Lien hypertexte" xfId="17188" builtinId="8" hidden="1"/>
    <cellStyle name="Lien hypertexte" xfId="21257" builtinId="8" hidden="1"/>
    <cellStyle name="Lien hypertexte" xfId="528" builtinId="8" hidden="1"/>
    <cellStyle name="Lien hypertexte" xfId="15276" builtinId="8" hidden="1"/>
    <cellStyle name="Lien hypertexte" xfId="19445" builtinId="8" hidden="1"/>
    <cellStyle name="Lien hypertexte" xfId="18787" builtinId="8" hidden="1"/>
    <cellStyle name="Lien hypertexte" xfId="18425" builtinId="8" hidden="1"/>
    <cellStyle name="Lien hypertexte" xfId="20363" builtinId="8" hidden="1"/>
    <cellStyle name="Lien hypertexte" xfId="16264" builtinId="8" hidden="1"/>
    <cellStyle name="Lien hypertexte" xfId="23837" builtinId="8" hidden="1"/>
    <cellStyle name="Lien hypertexte" xfId="22885" builtinId="8" hidden="1"/>
    <cellStyle name="Lien hypertexte" xfId="17218" builtinId="8" hidden="1"/>
    <cellStyle name="Lien hypertexte" xfId="21287" builtinId="8" hidden="1"/>
    <cellStyle name="Lien hypertexte" xfId="502" builtinId="8" hidden="1"/>
    <cellStyle name="Lien hypertexte" xfId="15304" builtinId="8" hidden="1"/>
    <cellStyle name="Lien hypertexte" xfId="19417" builtinId="8" hidden="1"/>
    <cellStyle name="Lien hypertexte" xfId="18757" builtinId="8" hidden="1"/>
    <cellStyle name="Lien hypertexte" xfId="18204" builtinId="8" hidden="1"/>
    <cellStyle name="Lien hypertexte" xfId="20335" builtinId="8" hidden="1"/>
    <cellStyle name="Lien hypertexte" xfId="16234" builtinId="8" hidden="1"/>
    <cellStyle name="Lien hypertexte" xfId="23867" builtinId="8" hidden="1"/>
    <cellStyle name="Lien hypertexte" xfId="22855" builtinId="8" hidden="1"/>
    <cellStyle name="Lien hypertexte" xfId="17246" builtinId="8" hidden="1"/>
    <cellStyle name="Lien hypertexte" xfId="21315" builtinId="8" hidden="1"/>
    <cellStyle name="Lien hypertexte" xfId="474" builtinId="8" hidden="1"/>
    <cellStyle name="Lien hypertexte" xfId="15332" builtinId="8" hidden="1"/>
    <cellStyle name="Lien hypertexte" xfId="19389" builtinId="8" hidden="1"/>
    <cellStyle name="Lien hypertexte" xfId="18727" builtinId="8" hidden="1"/>
    <cellStyle name="Lien hypertexte" xfId="17998" builtinId="8" hidden="1"/>
    <cellStyle name="Lien hypertexte" xfId="20307" builtinId="8" hidden="1"/>
    <cellStyle name="Lien hypertexte" xfId="16204" builtinId="8" hidden="1"/>
    <cellStyle name="Lien hypertexte" xfId="23897" builtinId="8" hidden="1"/>
    <cellStyle name="Lien hypertexte" xfId="22827" builtinId="8" hidden="1"/>
    <cellStyle name="Lien hypertexte" xfId="17276" builtinId="8" hidden="1"/>
    <cellStyle name="Lien hypertexte" xfId="21341" builtinId="8" hidden="1"/>
    <cellStyle name="Lien hypertexte" xfId="444" builtinId="8" hidden="1"/>
    <cellStyle name="Lien hypertexte" xfId="15286" builtinId="8" hidden="1"/>
    <cellStyle name="Lien hypertexte" xfId="19363" builtinId="8" hidden="1"/>
    <cellStyle name="Lien hypertexte" xfId="18697" builtinId="8" hidden="1"/>
    <cellStyle name="Lien hypertexte" xfId="17794" builtinId="8" hidden="1"/>
    <cellStyle name="Lien hypertexte" xfId="20279" builtinId="8" hidden="1"/>
    <cellStyle name="Lien hypertexte" xfId="16178" builtinId="8" hidden="1"/>
    <cellStyle name="Lien hypertexte" xfId="23927" builtinId="8" hidden="1"/>
    <cellStyle name="Lien hypertexte" xfId="22797" builtinId="8" hidden="1"/>
    <cellStyle name="Lien hypertexte" xfId="17306" builtinId="8" hidden="1"/>
    <cellStyle name="Lien hypertexte" xfId="21371" builtinId="8" hidden="1"/>
    <cellStyle name="Lien hypertexte" xfId="416" builtinId="8" hidden="1"/>
    <cellStyle name="Lien hypertexte" xfId="15390" builtinId="8" hidden="1"/>
    <cellStyle name="Lien hypertexte" xfId="19335" builtinId="8" hidden="1"/>
    <cellStyle name="Lien hypertexte" xfId="18669" builtinId="8" hidden="1"/>
    <cellStyle name="Lien hypertexte" xfId="17590" builtinId="8" hidden="1"/>
    <cellStyle name="Lien hypertexte" xfId="20249" builtinId="8" hidden="1"/>
    <cellStyle name="Lien hypertexte" xfId="16148" builtinId="8" hidden="1"/>
    <cellStyle name="Lien hypertexte" xfId="23957" builtinId="8" hidden="1"/>
    <cellStyle name="Lien hypertexte" xfId="22767" builtinId="8" hidden="1"/>
    <cellStyle name="Lien hypertexte" xfId="17336" builtinId="8" hidden="1"/>
    <cellStyle name="Lien hypertexte" xfId="21399" builtinId="8" hidden="1"/>
    <cellStyle name="Lien hypertexte" xfId="390" builtinId="8" hidden="1"/>
    <cellStyle name="Lien hypertexte" xfId="15418" builtinId="8" hidden="1"/>
    <cellStyle name="Lien hypertexte" xfId="19305" builtinId="8" hidden="1"/>
    <cellStyle name="Lien hypertexte" xfId="18639" builtinId="8" hidden="1"/>
    <cellStyle name="Lien hypertexte" xfId="17384" builtinId="8" hidden="1"/>
    <cellStyle name="Lien hypertexte" xfId="22125" builtinId="8" hidden="1"/>
    <cellStyle name="Lien hypertexte" xfId="16118" builtinId="8" hidden="1"/>
    <cellStyle name="Lien hypertexte" xfId="23983" builtinId="8" hidden="1"/>
    <cellStyle name="Lien hypertexte" xfId="22739" builtinId="8" hidden="1"/>
    <cellStyle name="Lien hypertexte" xfId="17364" builtinId="8" hidden="1"/>
    <cellStyle name="Lien hypertexte" xfId="21427" builtinId="8" hidden="1"/>
    <cellStyle name="Lien hypertexte" xfId="362" builtinId="8" hidden="1"/>
    <cellStyle name="Lien hypertexte" xfId="15446" builtinId="8" hidden="1"/>
    <cellStyle name="Lien hypertexte" xfId="19277" builtinId="8" hidden="1"/>
    <cellStyle name="Lien hypertexte" xfId="18609" builtinId="8" hidden="1"/>
    <cellStyle name="Lien hypertexte" xfId="17180" builtinId="8" hidden="1"/>
    <cellStyle name="Lien hypertexte" xfId="22565" builtinId="8" hidden="1"/>
    <cellStyle name="Lien hypertexte" xfId="16090" builtinId="8" hidden="1"/>
    <cellStyle name="Lien hypertexte" xfId="24013" builtinId="8" hidden="1"/>
    <cellStyle name="Lien hypertexte" xfId="22709" builtinId="8" hidden="1"/>
    <cellStyle name="Lien hypertexte" xfId="17394" builtinId="8" hidden="1"/>
    <cellStyle name="Lien hypertexte" xfId="21455" builtinId="8" hidden="1"/>
    <cellStyle name="Lien hypertexte" xfId="14624" builtinId="8" hidden="1"/>
    <cellStyle name="Lien hypertexte" xfId="15476" builtinId="8" hidden="1"/>
    <cellStyle name="Lien hypertexte" xfId="19251" builtinId="8" hidden="1"/>
    <cellStyle name="Lien hypertexte" xfId="18581" builtinId="8" hidden="1"/>
    <cellStyle name="Lien hypertexte" xfId="16974" builtinId="8" hidden="1"/>
    <cellStyle name="Lien hypertexte" xfId="23003" builtinId="8" hidden="1"/>
    <cellStyle name="Lien hypertexte" xfId="16060" builtinId="8" hidden="1"/>
    <cellStyle name="Lien hypertexte" xfId="24043" builtinId="8" hidden="1"/>
    <cellStyle name="Lien hypertexte" xfId="22681" builtinId="8" hidden="1"/>
    <cellStyle name="Lien hypertexte" xfId="17422" builtinId="8" hidden="1"/>
    <cellStyle name="Lien hypertexte" xfId="21483" builtinId="8" hidden="1"/>
    <cellStyle name="Lien hypertexte" xfId="14598" builtinId="8" hidden="1"/>
    <cellStyle name="Lien hypertexte" xfId="15502" builtinId="8" hidden="1"/>
    <cellStyle name="Lien hypertexte" xfId="19223" builtinId="8" hidden="1"/>
    <cellStyle name="Lien hypertexte" xfId="18551" builtinId="8" hidden="1"/>
    <cellStyle name="Lien hypertexte" xfId="16770" builtinId="8" hidden="1"/>
    <cellStyle name="Lien hypertexte" xfId="23443" builtinId="8" hidden="1"/>
    <cellStyle name="Lien hypertexte" xfId="16030" builtinId="8" hidden="1"/>
    <cellStyle name="Lien hypertexte" xfId="24073" builtinId="8" hidden="1"/>
    <cellStyle name="Lien hypertexte" xfId="22651" builtinId="8" hidden="1"/>
    <cellStyle name="Lien hypertexte" xfId="17450" builtinId="8" hidden="1"/>
    <cellStyle name="Lien hypertexte" xfId="21513" builtinId="8" hidden="1"/>
    <cellStyle name="Lien hypertexte" xfId="14568" builtinId="8" hidden="1"/>
    <cellStyle name="Lien hypertexte" xfId="15530" builtinId="8" hidden="1"/>
    <cellStyle name="Lien hypertexte" xfId="19195" builtinId="8" hidden="1"/>
    <cellStyle name="Lien hypertexte" xfId="18521" builtinId="8" hidden="1"/>
    <cellStyle name="Lien hypertexte" xfId="16566" builtinId="8" hidden="1"/>
    <cellStyle name="Lien hypertexte" xfId="23881" builtinId="8" hidden="1"/>
    <cellStyle name="Lien hypertexte" xfId="16000" builtinId="8" hidden="1"/>
    <cellStyle name="Lien hypertexte" xfId="24103" builtinId="8" hidden="1"/>
    <cellStyle name="Lien hypertexte" xfId="22621" builtinId="8" hidden="1"/>
    <cellStyle name="Lien hypertexte" xfId="17480" builtinId="8" hidden="1"/>
    <cellStyle name="Lien hypertexte" xfId="21541" builtinId="8" hidden="1"/>
    <cellStyle name="Lien hypertexte" xfId="14540" builtinId="8" hidden="1"/>
    <cellStyle name="Lien hypertexte" xfId="15560" builtinId="8" hidden="1"/>
    <cellStyle name="Lien hypertexte" xfId="20237" builtinId="8" hidden="1"/>
    <cellStyle name="Lien hypertexte" xfId="18491" builtinId="8" hidden="1"/>
    <cellStyle name="Lien hypertexte" xfId="16360" builtinId="8" hidden="1"/>
    <cellStyle name="Lien hypertexte" xfId="24319" builtinId="8" hidden="1"/>
    <cellStyle name="Lien hypertexte" xfId="15972" builtinId="8" hidden="1"/>
    <cellStyle name="Lien hypertexte" xfId="24131" builtinId="8" hidden="1"/>
    <cellStyle name="Lien hypertexte" xfId="22591" builtinId="8" hidden="1"/>
    <cellStyle name="Lien hypertexte" xfId="17510" builtinId="8" hidden="1"/>
    <cellStyle name="Lien hypertexte" xfId="21567" builtinId="8" hidden="1"/>
    <cellStyle name="Lien hypertexte" xfId="22199" builtinId="8" hidden="1"/>
    <cellStyle name="Lien hypertexte" xfId="23833" builtinId="8" hidden="1"/>
    <cellStyle name="Lien hypertexte" xfId="20211" builtinId="8" hidden="1"/>
    <cellStyle name="Lien hypertexte" xfId="18463" builtinId="8" hidden="1"/>
    <cellStyle name="Lien hypertexte" xfId="16156" builtinId="8" hidden="1"/>
    <cellStyle name="Lien hypertexte" xfId="23585" builtinId="8" hidden="1"/>
    <cellStyle name="Lien hypertexte" xfId="15942" builtinId="8" hidden="1"/>
    <cellStyle name="Lien hypertexte" xfId="24159" builtinId="8" hidden="1"/>
    <cellStyle name="Lien hypertexte" xfId="22563" builtinId="8" hidden="1"/>
    <cellStyle name="Lien hypertexte" xfId="17540" builtinId="8" hidden="1"/>
    <cellStyle name="Lien hypertexte" xfId="21597" builtinId="8" hidden="1"/>
    <cellStyle name="Lien hypertexte" xfId="1132" builtinId="8" hidden="1"/>
    <cellStyle name="Lien hypertexte" xfId="15616" builtinId="8" hidden="1"/>
    <cellStyle name="Lien hypertexte" xfId="20181" builtinId="8" hidden="1"/>
    <cellStyle name="Lien hypertexte" xfId="18435" builtinId="8" hidden="1"/>
    <cellStyle name="Lien hypertexte" xfId="15950" builtinId="8" hidden="1"/>
    <cellStyle name="Lien hypertexte" xfId="21633" builtinId="8" hidden="1"/>
    <cellStyle name="Lien hypertexte" xfId="19009" builtinId="8" hidden="1"/>
    <cellStyle name="Lien hypertexte" xfId="24189" builtinId="8" hidden="1"/>
    <cellStyle name="Lien hypertexte" xfId="22535" builtinId="8" hidden="1"/>
    <cellStyle name="Lien hypertexte" xfId="17568" builtinId="8" hidden="1"/>
    <cellStyle name="Lien hypertexte" xfId="21625" builtinId="8" hidden="1"/>
    <cellStyle name="Lien hypertexte" xfId="1104" builtinId="8" hidden="1"/>
    <cellStyle name="Lien hypertexte" xfId="15644" builtinId="8" hidden="1"/>
    <cellStyle name="Lien hypertexte" xfId="20153" builtinId="8" hidden="1"/>
    <cellStyle name="Lien hypertexte" xfId="18405" builtinId="8" hidden="1"/>
    <cellStyle name="Lien hypertexte" xfId="20257" builtinId="8" hidden="1"/>
    <cellStyle name="Lien hypertexte" xfId="21841" builtinId="8" hidden="1"/>
    <cellStyle name="Lien hypertexte" xfId="19217" builtinId="8" hidden="1"/>
    <cellStyle name="Lien hypertexte" xfId="24219" builtinId="8" hidden="1"/>
    <cellStyle name="Lien hypertexte" xfId="22505" builtinId="8" hidden="1"/>
    <cellStyle name="Lien hypertexte" xfId="17598" builtinId="8" hidden="1"/>
    <cellStyle name="Lien hypertexte" xfId="21655" builtinId="8" hidden="1"/>
    <cellStyle name="Lien hypertexte" xfId="1074" builtinId="8" hidden="1"/>
    <cellStyle name="Lien hypertexte" xfId="15674" builtinId="8" hidden="1"/>
    <cellStyle name="Lien hypertexte" xfId="20125" builtinId="8" hidden="1"/>
    <cellStyle name="Lien hypertexte" xfId="18377" builtinId="8" hidden="1"/>
    <cellStyle name="Lien hypertexte" xfId="21743" builtinId="8" hidden="1"/>
    <cellStyle name="Lien hypertexte" xfId="22033" builtinId="8" hidden="1"/>
    <cellStyle name="Lien hypertexte" xfId="19441" builtinId="8" hidden="1"/>
    <cellStyle name="Lien hypertexte" xfId="24249" builtinId="8" hidden="1"/>
    <cellStyle name="Lien hypertexte" xfId="22475" builtinId="8" hidden="1"/>
    <cellStyle name="Lien hypertexte" xfId="17628" builtinId="8" hidden="1"/>
    <cellStyle name="Lien hypertexte" xfId="21683" builtinId="8" hidden="1"/>
    <cellStyle name="Lien hypertexte" xfId="1048" builtinId="8" hidden="1"/>
    <cellStyle name="Lien hypertexte" xfId="15700" builtinId="8" hidden="1"/>
    <cellStyle name="Lien hypertexte" xfId="20099" builtinId="8" hidden="1"/>
    <cellStyle name="Lien hypertexte" xfId="18347" builtinId="8" hidden="1"/>
    <cellStyle name="Lien hypertexte" xfId="21773" builtinId="8" hidden="1"/>
    <cellStyle name="Lien hypertexte" xfId="22241" builtinId="8" hidden="1"/>
    <cellStyle name="Lien hypertexte" xfId="19665" builtinId="8" hidden="1"/>
    <cellStyle name="Lien hypertexte" xfId="24277" builtinId="8" hidden="1"/>
    <cellStyle name="Lien hypertexte" xfId="22445" builtinId="8" hidden="1"/>
    <cellStyle name="Lien hypertexte" xfId="17656" builtinId="8" hidden="1"/>
    <cellStyle name="Lien hypertexte" xfId="21709" builtinId="8" hidden="1"/>
    <cellStyle name="Lien hypertexte" xfId="1020" builtinId="8" hidden="1"/>
    <cellStyle name="Lien hypertexte" xfId="15730" builtinId="8" hidden="1"/>
    <cellStyle name="Lien hypertexte" xfId="20071" builtinId="8" hidden="1"/>
    <cellStyle name="Lien hypertexte" xfId="18300" builtinId="8" hidden="1"/>
    <cellStyle name="Lien hypertexte" xfId="21803" builtinId="8" hidden="1"/>
    <cellStyle name="Lien hypertexte" xfId="22449" builtinId="8" hidden="1"/>
    <cellStyle name="Lien hypertexte" xfId="20401" builtinId="8" hidden="1"/>
    <cellStyle name="Lien hypertexte" xfId="24307" builtinId="8" hidden="1"/>
    <cellStyle name="Lien hypertexte" xfId="22415" builtinId="8" hidden="1"/>
    <cellStyle name="Lien hypertexte" xfId="17686" builtinId="8" hidden="1"/>
    <cellStyle name="Lien hypertexte" xfId="21739" builtinId="8" hidden="1"/>
    <cellStyle name="Lien hypertexte" xfId="992" builtinId="8" hidden="1"/>
    <cellStyle name="Lien hypertexte" xfId="15758" builtinId="8" hidden="1"/>
    <cellStyle name="Lien hypertexte" xfId="20043" builtinId="8" hidden="1"/>
    <cellStyle name="Lien hypertexte" xfId="18270" builtinId="8" hidden="1"/>
    <cellStyle name="Lien hypertexte" xfId="21831" builtinId="8" hidden="1"/>
    <cellStyle name="Lien hypertexte" xfId="22657" builtinId="8" hidden="1"/>
    <cellStyle name="Lien hypertexte" xfId="20241" builtinId="8" hidden="1"/>
    <cellStyle name="Lien hypertexte" xfId="24335" builtinId="8" hidden="1"/>
    <cellStyle name="Lien hypertexte" xfId="22389" builtinId="8" hidden="1"/>
    <cellStyle name="Lien hypertexte" xfId="17716" builtinId="8" hidden="1"/>
    <cellStyle name="Lien hypertexte" xfId="20919" builtinId="8" hidden="1"/>
    <cellStyle name="Lien hypertexte" xfId="962" builtinId="8" hidden="1"/>
    <cellStyle name="Lien hypertexte" xfId="15786" builtinId="8" hidden="1"/>
    <cellStyle name="Lien hypertexte" xfId="20013" builtinId="8" hidden="1"/>
    <cellStyle name="Lien hypertexte" xfId="18242" builtinId="8" hidden="1"/>
    <cellStyle name="Lien hypertexte" xfId="21861" builtinId="8" hidden="1"/>
    <cellStyle name="Lien hypertexte" xfId="22865" builtinId="8" hidden="1"/>
    <cellStyle name="Lien hypertexte" xfId="20097" builtinId="8" hidden="1"/>
    <cellStyle name="Lien hypertexte" xfId="24365" builtinId="8" hidden="1"/>
    <cellStyle name="Lien hypertexte" xfId="22359" builtinId="8" hidden="1"/>
    <cellStyle name="Lien hypertexte" xfId="17746" builtinId="8" hidden="1"/>
    <cellStyle name="Lien hypertexte" xfId="19541" builtinId="8" hidden="1"/>
    <cellStyle name="Lien hypertexte" xfId="14682" builtinId="8" hidden="1"/>
    <cellStyle name="Lien hypertexte" xfId="14984" builtinId="8" hidden="1"/>
    <cellStyle name="Lien hypertexte" xfId="19987" builtinId="8" hidden="1"/>
    <cellStyle name="Lien hypertexte" xfId="18212" builtinId="8" hidden="1"/>
    <cellStyle name="Lien hypertexte" xfId="21891" builtinId="8" hidden="1"/>
    <cellStyle name="Lien hypertexte" xfId="23057" builtinId="8" hidden="1"/>
    <cellStyle name="Lien hypertexte" xfId="19953" builtinId="8" hidden="1"/>
    <cellStyle name="Lien hypertexte" xfId="24395" builtinId="8" hidden="1"/>
    <cellStyle name="Lien hypertexte" xfId="22329" builtinId="8" hidden="1"/>
    <cellStyle name="Lien hypertexte" xfId="17772" builtinId="8" hidden="1"/>
    <cellStyle name="Lien hypertexte" xfId="19567" builtinId="8" hidden="1"/>
    <cellStyle name="Lien hypertexte" xfId="908" builtinId="8" hidden="1"/>
    <cellStyle name="Lien hypertexte" xfId="15842" builtinId="8" hidden="1"/>
    <cellStyle name="Lien hypertexte" xfId="19959" builtinId="8" hidden="1"/>
    <cellStyle name="Lien hypertexte" xfId="18182" builtinId="8" hidden="1"/>
    <cellStyle name="Lien hypertexte" xfId="21919" builtinId="8" hidden="1"/>
    <cellStyle name="Lien hypertexte" xfId="23265" builtinId="8" hidden="1"/>
    <cellStyle name="Lien hypertexte" xfId="19809" builtinId="8" hidden="1"/>
    <cellStyle name="Lien hypertexte" xfId="24423" builtinId="8" hidden="1"/>
    <cellStyle name="Lien hypertexte" xfId="22299" builtinId="8" hidden="1"/>
    <cellStyle name="Lien hypertexte" xfId="17802" builtinId="8" hidden="1"/>
    <cellStyle name="Lien hypertexte" xfId="19595" builtinId="8" hidden="1"/>
    <cellStyle name="Lien hypertexte" xfId="880" builtinId="8" hidden="1"/>
    <cellStyle name="Lien hypertexte" xfId="15872" builtinId="8" hidden="1"/>
    <cellStyle name="Lien hypertexte" xfId="19931" builtinId="8" hidden="1"/>
    <cellStyle name="Lien hypertexte" xfId="18154" builtinId="8" hidden="1"/>
    <cellStyle name="Lien hypertexte" xfId="21949" builtinId="8" hidden="1"/>
    <cellStyle name="Lien hypertexte" xfId="23473" builtinId="8" hidden="1"/>
    <cellStyle name="Lien hypertexte" xfId="19729" builtinId="8" hidden="1"/>
    <cellStyle name="Lien hypertexte" xfId="24453" builtinId="8" hidden="1"/>
    <cellStyle name="Lien hypertexte" xfId="22269" builtinId="8" hidden="1"/>
    <cellStyle name="Lien hypertexte" xfId="17832" builtinId="8" hidden="1"/>
    <cellStyle name="Lien hypertexte" xfId="19625" builtinId="8" hidden="1"/>
    <cellStyle name="Lien hypertexte" xfId="854" builtinId="8" hidden="1"/>
    <cellStyle name="Lien hypertexte" xfId="15898" builtinId="8" hidden="1"/>
    <cellStyle name="Lien hypertexte" xfId="19903" builtinId="8" hidden="1"/>
    <cellStyle name="Lien hypertexte" xfId="18124" builtinId="8" hidden="1"/>
    <cellStyle name="Lien hypertexte" xfId="21977" builtinId="8" hidden="1"/>
    <cellStyle name="Lien hypertexte" xfId="23681" builtinId="8" hidden="1"/>
    <cellStyle name="Lien hypertexte" xfId="20177" builtinId="8" hidden="1"/>
    <cellStyle name="Lien hypertexte" xfId="24483" builtinId="8" hidden="1"/>
    <cellStyle name="Lien hypertexte" xfId="22243" builtinId="8" hidden="1"/>
    <cellStyle name="Lien hypertexte" xfId="17860" builtinId="8" hidden="1"/>
    <cellStyle name="Lien hypertexte" xfId="19653" builtinId="8" hidden="1"/>
    <cellStyle name="Lien hypertexte" xfId="824" builtinId="8" hidden="1"/>
    <cellStyle name="Lien hypertexte" xfId="15928" builtinId="8" hidden="1"/>
    <cellStyle name="Lien hypertexte" xfId="19875" builtinId="8" hidden="1"/>
    <cellStyle name="Lien hypertexte" xfId="18094" builtinId="8" hidden="1"/>
    <cellStyle name="Lien hypertexte" xfId="22007" builtinId="8" hidden="1"/>
    <cellStyle name="Lien hypertexte" xfId="23889" builtinId="8" hidden="1"/>
    <cellStyle name="Lien hypertexte" xfId="20721" builtinId="8" hidden="1"/>
    <cellStyle name="Lien hypertexte" xfId="24511" builtinId="8" hidden="1"/>
    <cellStyle name="Lien hypertexte" xfId="22213" builtinId="8" hidden="1"/>
    <cellStyle name="Lien hypertexte" xfId="17890" builtinId="8" hidden="1"/>
    <cellStyle name="Lien hypertexte" xfId="19679" builtinId="8" hidden="1"/>
    <cellStyle name="Lien hypertexte" xfId="24193" builtinId="8" hidden="1"/>
    <cellStyle name="Lien hypertexte" xfId="22051" builtinId="8" hidden="1"/>
    <cellStyle name="Lien hypertexte" xfId="17920" builtinId="8" hidden="1"/>
    <cellStyle name="Lien hypertexte" xfId="18052" builtinId="8" hidden="1"/>
    <cellStyle name="Lien hypertexte" xfId="19833" builtinId="8" hidden="1"/>
    <cellStyle name="Lien hypertexte" xfId="24541" builtinId="8" hidden="1"/>
    <cellStyle name="Lien hypertexte" xfId="14832" builtinId="8" hidden="1"/>
    <cellStyle name="Lien hypertexte" xfId="782" builtinId="8" hidden="1"/>
    <cellStyle name="Lien hypertexte" xfId="24081" builtinId="8" hidden="1"/>
    <cellStyle name="Lien hypertexte" xfId="19693" builtinId="8" hidden="1"/>
    <cellStyle name="Lien hypertexte" xfId="17906" builtinId="8" hidden="1"/>
    <cellStyle name="Lien hypertexte" xfId="18066" builtinId="8" hidden="1"/>
    <cellStyle name="Lien hypertexte" xfId="22197" builtinId="8" hidden="1"/>
    <cellStyle name="Lien hypertexte" xfId="24525" builtinId="8" hidden="1"/>
    <cellStyle name="Lien hypertexte" xfId="15280" builtinId="8" hidden="1"/>
    <cellStyle name="Lien hypertexte" xfId="19329" builtinId="8" hidden="1"/>
    <cellStyle name="Lien hypertexte" xfId="23985" builtinId="8" hidden="1"/>
    <cellStyle name="Lien hypertexte" xfId="796" builtinId="8" hidden="1"/>
    <cellStyle name="Lien hypertexte" xfId="19847" builtinId="8" hidden="1"/>
    <cellStyle name="Lien hypertexte" xfId="22037" builtinId="8" hidden="1"/>
    <cellStyle name="Lien hypertexte" xfId="20609" builtinId="8" hidden="1"/>
    <cellStyle name="Lien hypertexte" xfId="22183" builtinId="8" hidden="1"/>
    <cellStyle name="Lien hypertexte" xfId="19707" builtinId="8" hidden="1"/>
    <cellStyle name="Lien hypertexte" xfId="22169" builtinId="8" hidden="1"/>
    <cellStyle name="Lien hypertexte" xfId="19819" builtinId="8" hidden="1"/>
    <cellStyle name="Lien hypertexte" xfId="24555" builtinId="8" hidden="1"/>
    <cellStyle name="Lien hypertexte" xfId="658" builtinId="8" hidden="1"/>
    <cellStyle name="Lien hypertexte" xfId="16192" builtinId="8" hidden="1"/>
    <cellStyle name="Lien hypertexte" xfId="768" builtinId="8" hidden="1"/>
    <cellStyle name="Lien hypertexte" xfId="18038" builtinId="8" hidden="1"/>
    <cellStyle name="Lien hypertexte" xfId="22067" builtinId="8" hidden="1"/>
    <cellStyle name="Lien hypertexte" xfId="17934" builtinId="8" hidden="1"/>
    <cellStyle name="Lien hypertexte" xfId="19721" builtinId="8" hidden="1"/>
    <cellStyle name="Lien hypertexte" xfId="24289" builtinId="8" hidden="1"/>
    <cellStyle name="Lien hypertexte visité" xfId="15443" builtinId="9" hidden="1"/>
    <cellStyle name="Lien hypertexte visité" xfId="10665" builtinId="9" hidden="1"/>
    <cellStyle name="Lien hypertexte visité" xfId="15471" builtinId="9" hidden="1"/>
    <cellStyle name="Lien hypertexte visité" xfId="2981" builtinId="9" hidden="1"/>
    <cellStyle name="Lien hypertexte visité" xfId="3382" builtinId="9" hidden="1"/>
    <cellStyle name="Lien hypertexte visité" xfId="21408" builtinId="9" hidden="1"/>
    <cellStyle name="Lien hypertexte visité" xfId="1763" builtinId="9" hidden="1"/>
    <cellStyle name="Lien hypertexte visité" xfId="4420" builtinId="9" hidden="1"/>
    <cellStyle name="Lien hypertexte visité" xfId="9998" builtinId="9" hidden="1"/>
    <cellStyle name="Lien hypertexte visité" xfId="23920" builtinId="9" hidden="1"/>
    <cellStyle name="Lien hypertexte visité" xfId="10341" builtinId="9" hidden="1"/>
    <cellStyle name="Lien hypertexte visité" xfId="19654" builtinId="9" hidden="1"/>
    <cellStyle name="Lien hypertexte visité" xfId="7848" builtinId="9" hidden="1"/>
    <cellStyle name="Lien hypertexte visité" xfId="24420" builtinId="9" hidden="1"/>
    <cellStyle name="Lien hypertexte visité" xfId="1562" builtinId="9" hidden="1"/>
    <cellStyle name="Lien hypertexte visité" xfId="12172" builtinId="9" hidden="1"/>
    <cellStyle name="Lien hypertexte visité" xfId="5148" builtinId="9" hidden="1"/>
    <cellStyle name="Lien hypertexte visité" xfId="9542" builtinId="9" hidden="1"/>
    <cellStyle name="Lien hypertexte visité" xfId="22458" builtinId="9" hidden="1"/>
    <cellStyle name="Lien hypertexte visité" xfId="713" builtinId="9" hidden="1"/>
    <cellStyle name="Lien hypertexte visité" xfId="12853" builtinId="9" hidden="1"/>
    <cellStyle name="Lien hypertexte visité" xfId="2864" builtinId="9" hidden="1"/>
    <cellStyle name="Lien hypertexte visité" xfId="9218" builtinId="9" hidden="1"/>
    <cellStyle name="Lien hypertexte visité" xfId="23360" builtinId="9" hidden="1"/>
    <cellStyle name="Lien hypertexte visité" xfId="17907" builtinId="9" hidden="1"/>
    <cellStyle name="Lien hypertexte visité" xfId="3424" builtinId="9" hidden="1"/>
    <cellStyle name="Lien hypertexte visité" xfId="14391" builtinId="9" hidden="1"/>
    <cellStyle name="Lien hypertexte visité" xfId="3531" builtinId="9" hidden="1"/>
    <cellStyle name="Lien hypertexte visité" xfId="9693" builtinId="9" hidden="1"/>
    <cellStyle name="Lien hypertexte visité" xfId="6954" builtinId="9" hidden="1"/>
    <cellStyle name="Lien hypertexte visité" xfId="10240" builtinId="9" hidden="1"/>
    <cellStyle name="Lien hypertexte visité" xfId="22062" builtinId="9" hidden="1"/>
    <cellStyle name="Lien hypertexte visité" xfId="5792" builtinId="9" hidden="1"/>
    <cellStyle name="Lien hypertexte visité" xfId="14275" builtinId="9" hidden="1"/>
    <cellStyle name="Lien hypertexte visité" xfId="12363" builtinId="9" hidden="1"/>
    <cellStyle name="Lien hypertexte visité" xfId="12811" builtinId="9" hidden="1"/>
    <cellStyle name="Lien hypertexte visité" xfId="3976" builtinId="9" hidden="1"/>
    <cellStyle name="Lien hypertexte visité" xfId="2780" builtinId="9" hidden="1"/>
    <cellStyle name="Lien hypertexte visité" xfId="11307" builtinId="9" hidden="1"/>
    <cellStyle name="Lien hypertexte visité" xfId="10115" builtinId="9" hidden="1"/>
    <cellStyle name="Lien hypertexte visité" xfId="7200" builtinId="9" hidden="1"/>
    <cellStyle name="Lien hypertexte visité" xfId="24348" builtinId="9" hidden="1"/>
    <cellStyle name="Lien hypertexte visité" xfId="14669" builtinId="9" hidden="1"/>
    <cellStyle name="Lien hypertexte visité" xfId="5746" builtinId="9" hidden="1"/>
    <cellStyle name="Lien hypertexte visité" xfId="2262" builtinId="9" hidden="1"/>
    <cellStyle name="Lien hypertexte visité" xfId="6066" builtinId="9" hidden="1"/>
    <cellStyle name="Lien hypertexte visité" xfId="14995" builtinId="9" hidden="1"/>
    <cellStyle name="Lien hypertexte visité" xfId="3597" builtinId="9" hidden="1"/>
    <cellStyle name="Lien hypertexte visité" xfId="3253" builtinId="9" hidden="1"/>
    <cellStyle name="Lien hypertexte visité" xfId="1833" builtinId="9" hidden="1"/>
    <cellStyle name="Lien hypertexte visité" xfId="5743" builtinId="9" hidden="1"/>
    <cellStyle name="Lien hypertexte visité" xfId="8816" builtinId="9" hidden="1"/>
    <cellStyle name="Lien hypertexte visité" xfId="2858" builtinId="9" hidden="1"/>
    <cellStyle name="Lien hypertexte visité" xfId="4912" builtinId="9" hidden="1"/>
    <cellStyle name="Lien hypertexte visité" xfId="7536" builtinId="9" hidden="1"/>
    <cellStyle name="Lien hypertexte visité" xfId="9689" builtinId="9" hidden="1"/>
    <cellStyle name="Lien hypertexte visité" xfId="12185" builtinId="9" hidden="1"/>
    <cellStyle name="Lien hypertexte visité" xfId="15103" builtinId="9" hidden="1"/>
    <cellStyle name="Lien hypertexte visité" xfId="19390" builtinId="9" hidden="1"/>
    <cellStyle name="Lien hypertexte visité" xfId="24430" builtinId="9" hidden="1"/>
    <cellStyle name="Lien hypertexte visité" xfId="20492" builtinId="9" hidden="1"/>
    <cellStyle name="Lien hypertexte visité" xfId="15261" builtinId="9" hidden="1"/>
    <cellStyle name="Lien hypertexte visité" xfId="12840" builtinId="9" hidden="1"/>
    <cellStyle name="Lien hypertexte visité" xfId="10232" builtinId="9" hidden="1"/>
    <cellStyle name="Lien hypertexte visité" xfId="12576" builtinId="9" hidden="1"/>
    <cellStyle name="Lien hypertexte visité" xfId="22908" builtinId="9" hidden="1"/>
    <cellStyle name="Lien hypertexte visité" xfId="12553" builtinId="9" hidden="1"/>
    <cellStyle name="Lien hypertexte visité" xfId="6408" builtinId="9" hidden="1"/>
    <cellStyle name="Lien hypertexte visité" xfId="9376" builtinId="9" hidden="1"/>
    <cellStyle name="Lien hypertexte visité" xfId="15133" builtinId="9" hidden="1"/>
    <cellStyle name="Lien hypertexte visité" xfId="18414" builtinId="9" hidden="1"/>
    <cellStyle name="Lien hypertexte visité" xfId="8625" builtinId="9" hidden="1"/>
    <cellStyle name="Lien hypertexte visité" xfId="2474" builtinId="9" hidden="1"/>
    <cellStyle name="Lien hypertexte visité" xfId="349" builtinId="9" hidden="1"/>
    <cellStyle name="Lien hypertexte visité" xfId="9980" builtinId="9" hidden="1"/>
    <cellStyle name="Lien hypertexte visité" xfId="20246" builtinId="9" hidden="1"/>
    <cellStyle name="Lien hypertexte visité" xfId="8173" builtinId="9" hidden="1"/>
    <cellStyle name="Lien hypertexte visité" xfId="4766" builtinId="9" hidden="1"/>
    <cellStyle name="Lien hypertexte visité" xfId="8638" builtinId="9" hidden="1"/>
    <cellStyle name="Lien hypertexte visité" xfId="5905" builtinId="9" hidden="1"/>
    <cellStyle name="Lien hypertexte visité" xfId="3985" builtinId="9" hidden="1"/>
    <cellStyle name="Lien hypertexte visité" xfId="13578" builtinId="9" hidden="1"/>
    <cellStyle name="Lien hypertexte visité" xfId="23674" builtinId="9" hidden="1"/>
    <cellStyle name="Lien hypertexte visité" xfId="18882" builtinId="9" hidden="1"/>
    <cellStyle name="Lien hypertexte visité" xfId="23362" builtinId="9" hidden="1"/>
    <cellStyle name="Lien hypertexte visité" xfId="21600" builtinId="9" hidden="1"/>
    <cellStyle name="Lien hypertexte visité" xfId="17905" builtinId="9" hidden="1"/>
    <cellStyle name="Lien hypertexte visité" xfId="11359" builtinId="9" hidden="1"/>
    <cellStyle name="Lien hypertexte visité" xfId="7090" builtinId="9" hidden="1"/>
    <cellStyle name="Lien hypertexte visité" xfId="14131" builtinId="9" hidden="1"/>
    <cellStyle name="Lien hypertexte visité" xfId="11931" builtinId="9" hidden="1"/>
    <cellStyle name="Lien hypertexte visité" xfId="3234" builtinId="9" hidden="1"/>
    <cellStyle name="Lien hypertexte visité" xfId="13488" builtinId="9" hidden="1"/>
    <cellStyle name="Lien hypertexte visité" xfId="14959" builtinId="9" hidden="1"/>
    <cellStyle name="Lien hypertexte visité" xfId="983" builtinId="9" hidden="1"/>
    <cellStyle name="Lien hypertexte visité" xfId="7467" builtinId="9" hidden="1"/>
    <cellStyle name="Lien hypertexte visité" xfId="11197" builtinId="9" hidden="1"/>
    <cellStyle name="Lien hypertexte visité" xfId="6350" builtinId="9" hidden="1"/>
    <cellStyle name="Lien hypertexte visité" xfId="16473" builtinId="9" hidden="1"/>
    <cellStyle name="Lien hypertexte visité" xfId="4705" builtinId="9" hidden="1"/>
    <cellStyle name="Lien hypertexte visité" xfId="1563" builtinId="9" hidden="1"/>
    <cellStyle name="Lien hypertexte visité" xfId="12357" builtinId="9" hidden="1"/>
    <cellStyle name="Lien hypertexte visité" xfId="1421" builtinId="9" hidden="1"/>
    <cellStyle name="Lien hypertexte visité" xfId="13383" builtinId="9" hidden="1"/>
    <cellStyle name="Lien hypertexte visité" xfId="13814" builtinId="9" hidden="1"/>
    <cellStyle name="Lien hypertexte visité" xfId="17947" builtinId="9" hidden="1"/>
    <cellStyle name="Lien hypertexte visité" xfId="12822" builtinId="9" hidden="1"/>
    <cellStyle name="Lien hypertexte visité" xfId="11109" builtinId="9" hidden="1"/>
    <cellStyle name="Lien hypertexte visité" xfId="15989" builtinId="9" hidden="1"/>
    <cellStyle name="Lien hypertexte visité" xfId="6403" builtinId="9" hidden="1"/>
    <cellStyle name="Lien hypertexte visité" xfId="7303" builtinId="9" hidden="1"/>
    <cellStyle name="Lien hypertexte visité" xfId="5351" builtinId="9" hidden="1"/>
    <cellStyle name="Lien hypertexte visité" xfId="20582" builtinId="9" hidden="1"/>
    <cellStyle name="Lien hypertexte visité" xfId="9892" builtinId="9" hidden="1"/>
    <cellStyle name="Lien hypertexte visité" xfId="1393" builtinId="9" hidden="1"/>
    <cellStyle name="Lien hypertexte visité" xfId="4235" builtinId="9" hidden="1"/>
    <cellStyle name="Lien hypertexte visité" xfId="15845" builtinId="9" hidden="1"/>
    <cellStyle name="Lien hypertexte visité" xfId="10333" builtinId="9" hidden="1"/>
    <cellStyle name="Lien hypertexte visité" xfId="1768" builtinId="9" hidden="1"/>
    <cellStyle name="Lien hypertexte visité" xfId="16299" builtinId="9" hidden="1"/>
    <cellStyle name="Lien hypertexte visité" xfId="19400" builtinId="9" hidden="1"/>
    <cellStyle name="Lien hypertexte visité" xfId="23482" builtinId="9" hidden="1"/>
    <cellStyle name="Lien hypertexte visité" xfId="7561" builtinId="9" hidden="1"/>
    <cellStyle name="Lien hypertexte visité" xfId="3720" builtinId="9" hidden="1"/>
    <cellStyle name="Lien hypertexte visité" xfId="18167" builtinId="9" hidden="1"/>
    <cellStyle name="Lien hypertexte visité" xfId="9045" builtinId="9" hidden="1"/>
    <cellStyle name="Lien hypertexte visité" xfId="1199" builtinId="9" hidden="1"/>
    <cellStyle name="Lien hypertexte visité" xfId="10327" builtinId="9" hidden="1"/>
    <cellStyle name="Lien hypertexte visité" xfId="9334" builtinId="9" hidden="1"/>
    <cellStyle name="Lien hypertexte visité" xfId="16313" builtinId="9" hidden="1"/>
    <cellStyle name="Lien hypertexte visité" xfId="23242" builtinId="9" hidden="1"/>
    <cellStyle name="Lien hypertexte visité" xfId="13914" builtinId="9" hidden="1"/>
    <cellStyle name="Lien hypertexte visité" xfId="16169" builtinId="9" hidden="1"/>
    <cellStyle name="Lien hypertexte visité" xfId="1950" builtinId="9" hidden="1"/>
    <cellStyle name="Lien hypertexte visité" xfId="20914" builtinId="9" hidden="1"/>
    <cellStyle name="Lien hypertexte visité" xfId="13879" builtinId="9" hidden="1"/>
    <cellStyle name="Lien hypertexte visité" xfId="14679" builtinId="9" hidden="1"/>
    <cellStyle name="Lien hypertexte visité" xfId="5125" builtinId="9" hidden="1"/>
    <cellStyle name="Lien hypertexte visité" xfId="7086" builtinId="9" hidden="1"/>
    <cellStyle name="Lien hypertexte visité" xfId="8623" builtinId="9" hidden="1"/>
    <cellStyle name="Lien hypertexte visité" xfId="12574" builtinId="9" hidden="1"/>
    <cellStyle name="Lien hypertexte visité" xfId="20178" builtinId="9" hidden="1"/>
    <cellStyle name="Lien hypertexte visité" xfId="4541" builtinId="9" hidden="1"/>
    <cellStyle name="Lien hypertexte visité" xfId="401" builtinId="9" hidden="1"/>
    <cellStyle name="Lien hypertexte visité" xfId="6421" builtinId="9" hidden="1"/>
    <cellStyle name="Lien hypertexte visité" xfId="11525" builtinId="9" hidden="1"/>
    <cellStyle name="Lien hypertexte visité" xfId="4356" builtinId="9" hidden="1"/>
    <cellStyle name="Lien hypertexte visité" xfId="6022" builtinId="9" hidden="1"/>
    <cellStyle name="Lien hypertexte visité" xfId="15291" builtinId="9" hidden="1"/>
    <cellStyle name="Lien hypertexte visité" xfId="12546" builtinId="9" hidden="1"/>
    <cellStyle name="Lien hypertexte visité" xfId="22400" builtinId="9" hidden="1"/>
    <cellStyle name="Lien hypertexte visité" xfId="18714" builtinId="9" hidden="1"/>
    <cellStyle name="Lien hypertexte visité" xfId="22322" builtinId="9" hidden="1"/>
    <cellStyle name="Lien hypertexte visité" xfId="12135" builtinId="9" hidden="1"/>
    <cellStyle name="Lien hypertexte visité" xfId="687" builtinId="9" hidden="1"/>
    <cellStyle name="Lien hypertexte visité" xfId="9447" builtinId="9" hidden="1"/>
    <cellStyle name="Lien hypertexte visité" xfId="8686" builtinId="9" hidden="1"/>
    <cellStyle name="Lien hypertexte visité" xfId="15145" builtinId="9" hidden="1"/>
    <cellStyle name="Lien hypertexte visité" xfId="24546" builtinId="9" hidden="1"/>
    <cellStyle name="Lien hypertexte visité" xfId="16833" builtinId="9" hidden="1"/>
    <cellStyle name="Lien hypertexte visité" xfId="14657" builtinId="9" hidden="1"/>
    <cellStyle name="Lien hypertexte visité" xfId="22298" builtinId="9" hidden="1"/>
    <cellStyle name="Lien hypertexte visité" xfId="19722" builtinId="9" hidden="1"/>
    <cellStyle name="Lien hypertexte visité" xfId="22898" builtinId="9" hidden="1"/>
    <cellStyle name="Lien hypertexte visité" xfId="22232" builtinId="9" hidden="1"/>
    <cellStyle name="Lien hypertexte visité" xfId="19032" builtinId="9" hidden="1"/>
    <cellStyle name="Lien hypertexte visité" xfId="14953" builtinId="9" hidden="1"/>
    <cellStyle name="Lien hypertexte visité" xfId="13142" builtinId="9" hidden="1"/>
    <cellStyle name="Lien hypertexte visité" xfId="11094" builtinId="9" hidden="1"/>
    <cellStyle name="Lien hypertexte visité" xfId="9102" builtinId="9" hidden="1"/>
    <cellStyle name="Lien hypertexte visité" xfId="15035" builtinId="9" hidden="1"/>
    <cellStyle name="Lien hypertexte visité" xfId="11783" builtinId="9" hidden="1"/>
    <cellStyle name="Lien hypertexte visité" xfId="9303" builtinId="9" hidden="1"/>
    <cellStyle name="Lien hypertexte visité" xfId="6326" builtinId="9" hidden="1"/>
    <cellStyle name="Lien hypertexte visité" xfId="3849" builtinId="9" hidden="1"/>
    <cellStyle name="Lien hypertexte visité" xfId="531" builtinId="9" hidden="1"/>
    <cellStyle name="Lien hypertexte visité" xfId="3374" builtinId="9" hidden="1"/>
    <cellStyle name="Lien hypertexte visité" xfId="5764" builtinId="9" hidden="1"/>
    <cellStyle name="Lien hypertexte visité" xfId="8837" builtinId="9" hidden="1"/>
    <cellStyle name="Lien hypertexte visité" xfId="11221" builtinId="9" hidden="1"/>
    <cellStyle name="Lien hypertexte visité" xfId="14293" builtinId="9" hidden="1"/>
    <cellStyle name="Lien hypertexte visité" xfId="18854" builtinId="9" hidden="1"/>
    <cellStyle name="Lien hypertexte visité" xfId="5581" builtinId="9" hidden="1"/>
    <cellStyle name="Lien hypertexte visité" xfId="8214" builtinId="9" hidden="1"/>
    <cellStyle name="Lien hypertexte visité" xfId="3543" builtinId="9" hidden="1"/>
    <cellStyle name="Lien hypertexte visité" xfId="625" builtinId="9" hidden="1"/>
    <cellStyle name="Lien hypertexte visité" xfId="3359" builtinId="9" hidden="1"/>
    <cellStyle name="Lien hypertexte visité" xfId="7429" builtinId="9" hidden="1"/>
    <cellStyle name="Lien hypertexte visité" xfId="5381" builtinId="9" hidden="1"/>
    <cellStyle name="Lien hypertexte visité" xfId="12330" builtinId="9" hidden="1"/>
    <cellStyle name="Lien hypertexte visité" xfId="21434" builtinId="9" hidden="1"/>
    <cellStyle name="Lien hypertexte visité" xfId="20946" builtinId="9" hidden="1"/>
    <cellStyle name="Lien hypertexte visité" xfId="22392" builtinId="9" hidden="1"/>
    <cellStyle name="Lien hypertexte visité" xfId="17369" builtinId="9" hidden="1"/>
    <cellStyle name="Lien hypertexte visité" xfId="12998" builtinId="9" hidden="1"/>
    <cellStyle name="Lien hypertexte visité" xfId="10482" builtinId="9" hidden="1"/>
    <cellStyle name="Lien hypertexte visité" xfId="15275" builtinId="9" hidden="1"/>
    <cellStyle name="Lien hypertexte visité" xfId="10287" builtinId="9" hidden="1"/>
    <cellStyle name="Lien hypertexte visité" xfId="6702" builtinId="9" hidden="1"/>
    <cellStyle name="Lien hypertexte visité" xfId="2088" builtinId="9" hidden="1"/>
    <cellStyle name="Lien hypertexte visité" xfId="2646" builtinId="9" hidden="1"/>
    <cellStyle name="Lien hypertexte visité" xfId="7260" builtinId="9" hidden="1"/>
    <cellStyle name="Lien hypertexte visité" xfId="10845" builtinId="9" hidden="1"/>
    <cellStyle name="Lien hypertexte visité" xfId="16391" builtinId="9" hidden="1"/>
    <cellStyle name="Lien hypertexte visité" xfId="23636" builtinId="9" hidden="1"/>
    <cellStyle name="Lien hypertexte visité" xfId="16485" builtinId="9" hidden="1"/>
    <cellStyle name="Lien hypertexte visité" xfId="10892" builtinId="9" hidden="1"/>
    <cellStyle name="Lien hypertexte visité" xfId="7307" builtinId="9" hidden="1"/>
    <cellStyle name="Lien hypertexte visité" xfId="2693" builtinId="9" hidden="1"/>
    <cellStyle name="Lien hypertexte visité" xfId="2041" builtinId="9" hidden="1"/>
    <cellStyle name="Lien hypertexte visité" xfId="6655" builtinId="9" hidden="1"/>
    <cellStyle name="Lien hypertexte visité" xfId="1738" builtinId="9" hidden="1"/>
    <cellStyle name="Lien hypertexte visité" xfId="13349" builtinId="9" hidden="1"/>
    <cellStyle name="Lien hypertexte visité" xfId="7988" builtinId="9" hidden="1"/>
    <cellStyle name="Lien hypertexte visité" xfId="11204" builtinId="9" hidden="1"/>
    <cellStyle name="Lien hypertexte visité" xfId="15509" builtinId="9" hidden="1"/>
    <cellStyle name="Lien hypertexte visité" xfId="21924" builtinId="9" hidden="1"/>
    <cellStyle name="Lien hypertexte visité" xfId="19686" builtinId="9" hidden="1"/>
    <cellStyle name="Lien hypertexte visité" xfId="1729" builtinId="9" hidden="1"/>
    <cellStyle name="Lien hypertexte visité" xfId="2285" builtinId="9" hidden="1"/>
    <cellStyle name="Lien hypertexte visité" xfId="5607" builtinId="9" hidden="1"/>
    <cellStyle name="Lien hypertexte visité" xfId="3201" builtinId="9" hidden="1"/>
    <cellStyle name="Lien hypertexte visité" xfId="8264" builtinId="9" hidden="1"/>
    <cellStyle name="Lien hypertexte visité" xfId="3009" builtinId="9" hidden="1"/>
    <cellStyle name="Lien hypertexte visité" xfId="4979" builtinId="9" hidden="1"/>
    <cellStyle name="Lien hypertexte visité" xfId="1292" builtinId="9" hidden="1"/>
    <cellStyle name="Lien hypertexte visité" xfId="2737" builtinId="9" hidden="1"/>
    <cellStyle name="Lien hypertexte visité" xfId="21862" builtinId="9" hidden="1"/>
    <cellStyle name="Lien hypertexte visité" xfId="21220" builtinId="9" hidden="1"/>
    <cellStyle name="Lien hypertexte visité" xfId="13924" builtinId="9" hidden="1"/>
    <cellStyle name="Lien hypertexte visité" xfId="10852" builtinId="9" hidden="1"/>
    <cellStyle name="Lien hypertexte visité" xfId="6899" builtinId="9" hidden="1"/>
    <cellStyle name="Lien hypertexte visité" xfId="9573" builtinId="9" hidden="1"/>
    <cellStyle name="Lien hypertexte visité" xfId="2848" builtinId="9" hidden="1"/>
    <cellStyle name="Lien hypertexte visité" xfId="8386" builtinId="9" hidden="1"/>
    <cellStyle name="Lien hypertexte visité" xfId="17273" builtinId="9" hidden="1"/>
    <cellStyle name="Lien hypertexte visité" xfId="22704" builtinId="9" hidden="1"/>
    <cellStyle name="Lien hypertexte visité" xfId="18177" builtinId="9" hidden="1"/>
    <cellStyle name="Lien hypertexte visité" xfId="18610" builtinId="9" hidden="1"/>
    <cellStyle name="Lien hypertexte visité" xfId="24472" builtinId="9" hidden="1"/>
    <cellStyle name="Lien hypertexte visité" xfId="19688" builtinId="9" hidden="1"/>
    <cellStyle name="Lien hypertexte visité" xfId="14038" builtinId="9" hidden="1"/>
    <cellStyle name="Lien hypertexte visité" xfId="11650" builtinId="9" hidden="1"/>
    <cellStyle name="Lien hypertexte visité" xfId="8578" builtinId="9" hidden="1"/>
    <cellStyle name="Lien hypertexte visité" xfId="12871" builtinId="9" hidden="1"/>
    <cellStyle name="Lien hypertexte visité" xfId="8263" builtinId="9" hidden="1"/>
    <cellStyle name="Lien hypertexte visité" xfId="3649" builtinId="9" hidden="1"/>
    <cellStyle name="Lien hypertexte visité" xfId="1007" builtinId="9" hidden="1"/>
    <cellStyle name="Lien hypertexte visité" xfId="5700" builtinId="9" hidden="1"/>
    <cellStyle name="Lien hypertexte visité" xfId="9285" builtinId="9" hidden="1"/>
    <cellStyle name="Lien hypertexte visité" xfId="13893" builtinId="9" hidden="1"/>
    <cellStyle name="Lien hypertexte visité" xfId="9274" builtinId="9" hidden="1"/>
    <cellStyle name="Lien hypertexte visité" xfId="7573" builtinId="9" hidden="1"/>
    <cellStyle name="Lien hypertexte visité" xfId="1959" builtinId="9" hidden="1"/>
    <cellStyle name="Lien hypertexte visité" xfId="3691" builtinId="9" hidden="1"/>
    <cellStyle name="Lien hypertexte visité" xfId="6609" builtinId="9" hidden="1"/>
    <cellStyle name="Lien hypertexte visité" xfId="10090" builtinId="9" hidden="1"/>
    <cellStyle name="Lien hypertexte visité" xfId="17427" builtinId="9" hidden="1"/>
    <cellStyle name="Lien hypertexte visité" xfId="24312" builtinId="9" hidden="1"/>
    <cellStyle name="Lien hypertexte visité" xfId="15449" builtinId="9" hidden="1"/>
    <cellStyle name="Lien hypertexte visité" xfId="10374" builtinId="9" hidden="1"/>
    <cellStyle name="Lien hypertexte visité" xfId="13775" builtinId="9" hidden="1"/>
    <cellStyle name="Lien hypertexte visité" xfId="6862" builtinId="9" hidden="1"/>
    <cellStyle name="Lien hypertexte visité" xfId="1479" builtinId="9" hidden="1"/>
    <cellStyle name="Lien hypertexte visité" xfId="6588" builtinId="9" hidden="1"/>
    <cellStyle name="Lien hypertexte visité" xfId="11965" builtinId="9" hidden="1"/>
    <cellStyle name="Lien hypertexte visité" xfId="23222" builtinId="9" hidden="1"/>
    <cellStyle name="Lien hypertexte visité" xfId="13356" builtinId="9" hidden="1"/>
    <cellStyle name="Lien hypertexte visité" xfId="7980" builtinId="9" hidden="1"/>
    <cellStyle name="Lien hypertexte visité" xfId="957" builtinId="9" hidden="1"/>
    <cellStyle name="Lien hypertexte visité" xfId="5471" builtinId="9" hidden="1"/>
    <cellStyle name="Lien hypertexte visité" xfId="2610" builtinId="9" hidden="1"/>
    <cellStyle name="Lien hypertexte visité" xfId="6200" builtinId="9" hidden="1"/>
    <cellStyle name="Lien hypertexte visité" xfId="10809" builtinId="9" hidden="1"/>
    <cellStyle name="Lien hypertexte visité" xfId="15983" builtinId="9" hidden="1"/>
    <cellStyle name="Lien hypertexte visité" xfId="23470" builtinId="9" hidden="1"/>
    <cellStyle name="Lien hypertexte visité" xfId="16893" builtinId="9" hidden="1"/>
    <cellStyle name="Lien hypertexte visité" xfId="11952" builtinId="9" hidden="1"/>
    <cellStyle name="Lien hypertexte visité" xfId="12864" builtinId="9" hidden="1"/>
    <cellStyle name="Lien hypertexte visité" xfId="15519" builtinId="9" hidden="1"/>
    <cellStyle name="Lien hypertexte visité" xfId="1698" builtinId="9" hidden="1"/>
    <cellStyle name="Lien hypertexte visité" xfId="5946" builtinId="9" hidden="1"/>
    <cellStyle name="Lien hypertexte visité" xfId="12457" builtinId="9" hidden="1"/>
    <cellStyle name="Lien hypertexte visité" xfId="7056" builtinId="9" hidden="1"/>
    <cellStyle name="Lien hypertexte visité" xfId="13501" builtinId="9" hidden="1"/>
    <cellStyle name="Lien hypertexte visité" xfId="22600" builtinId="9" hidden="1"/>
    <cellStyle name="Lien hypertexte visité" xfId="4353" builtinId="9" hidden="1"/>
    <cellStyle name="Lien hypertexte visité" xfId="11847" builtinId="9" hidden="1"/>
    <cellStyle name="Lien hypertexte visité" xfId="21552" builtinId="9" hidden="1"/>
    <cellStyle name="Lien hypertexte visité" xfId="10132" builtinId="9" hidden="1"/>
    <cellStyle name="Lien hypertexte visité" xfId="3818" builtinId="9" hidden="1"/>
    <cellStyle name="Lien hypertexte visité" xfId="23396" builtinId="9" hidden="1"/>
    <cellStyle name="Lien hypertexte visité" xfId="2873" builtinId="9" hidden="1"/>
    <cellStyle name="Lien hypertexte visité" xfId="11869" builtinId="9" hidden="1"/>
    <cellStyle name="Lien hypertexte visité" xfId="9926" builtinId="9" hidden="1"/>
    <cellStyle name="Lien hypertexte visité" xfId="4909" builtinId="9" hidden="1"/>
    <cellStyle name="Lien hypertexte visité" xfId="9594" builtinId="9" hidden="1"/>
    <cellStyle name="Lien hypertexte visité" xfId="3248" builtinId="9" hidden="1"/>
    <cellStyle name="Lien hypertexte visité" xfId="12750" builtinId="9" hidden="1"/>
    <cellStyle name="Lien hypertexte visité" xfId="17409" builtinId="9" hidden="1"/>
    <cellStyle name="Lien hypertexte visité" xfId="7014" builtinId="9" hidden="1"/>
    <cellStyle name="Lien hypertexte visité" xfId="2638" builtinId="9" hidden="1"/>
    <cellStyle name="Lien hypertexte visité" xfId="11695" builtinId="9" hidden="1"/>
    <cellStyle name="Lien hypertexte visité" xfId="11670" builtinId="9" hidden="1"/>
    <cellStyle name="Lien hypertexte visité" xfId="7220" builtinId="9" hidden="1"/>
    <cellStyle name="Lien hypertexte visité" xfId="4462" builtinId="9" hidden="1"/>
    <cellStyle name="Lien hypertexte visité" xfId="4067" builtinId="9" hidden="1"/>
    <cellStyle name="Lien hypertexte visité" xfId="16745" builtinId="9" hidden="1"/>
    <cellStyle name="Lien hypertexte visité" xfId="10447" builtinId="9" hidden="1"/>
    <cellStyle name="Lien hypertexte visité" xfId="763" builtinId="9" hidden="1"/>
    <cellStyle name="Lien hypertexte visité" xfId="19650" builtinId="9" hidden="1"/>
    <cellStyle name="Lien hypertexte visité" xfId="5612" builtinId="9" hidden="1"/>
    <cellStyle name="Lien hypertexte visité" xfId="18524" builtinId="9" hidden="1"/>
    <cellStyle name="Lien hypertexte visité" xfId="12392" builtinId="9" hidden="1"/>
    <cellStyle name="Lien hypertexte visité" xfId="10137" builtinId="9" hidden="1"/>
    <cellStyle name="Lien hypertexte visité" xfId="2389" builtinId="9" hidden="1"/>
    <cellStyle name="Lien hypertexte visité" xfId="2651" builtinId="9" hidden="1"/>
    <cellStyle name="Lien hypertexte visité" xfId="3905" builtinId="9" hidden="1"/>
    <cellStyle name="Lien hypertexte visité" xfId="897" builtinId="9" hidden="1"/>
    <cellStyle name="Lien hypertexte visité" xfId="1983" builtinId="9" hidden="1"/>
    <cellStyle name="Lien hypertexte visité" xfId="3363" builtinId="9" hidden="1"/>
    <cellStyle name="Lien hypertexte visité" xfId="19858" builtinId="9" hidden="1"/>
    <cellStyle name="Lien hypertexte visité" xfId="9574" builtinId="9" hidden="1"/>
    <cellStyle name="Lien hypertexte visité" xfId="11238" builtinId="9" hidden="1"/>
    <cellStyle name="Lien hypertexte visité" xfId="12882" builtinId="9" hidden="1"/>
    <cellStyle name="Lien hypertexte visité" xfId="5557" builtinId="9" hidden="1"/>
    <cellStyle name="Lien hypertexte visité" xfId="2851" builtinId="9" hidden="1"/>
    <cellStyle name="Lien hypertexte visité" xfId="21640" builtinId="9" hidden="1"/>
    <cellStyle name="Lien hypertexte visité" xfId="18319" builtinId="9" hidden="1"/>
    <cellStyle name="Lien hypertexte visité" xfId="14374" builtinId="9" hidden="1"/>
    <cellStyle name="Lien hypertexte visité" xfId="12818" builtinId="9" hidden="1"/>
    <cellStyle name="Lien hypertexte visité" xfId="11154" builtinId="9" hidden="1"/>
    <cellStyle name="Lien hypertexte visité" xfId="9598" builtinId="9" hidden="1"/>
    <cellStyle name="Lien hypertexte visité" xfId="21570" builtinId="9" hidden="1"/>
    <cellStyle name="Lien hypertexte visité" xfId="7165" builtinId="9" hidden="1"/>
    <cellStyle name="Lien hypertexte visité" xfId="1819" builtinId="9" hidden="1"/>
    <cellStyle name="Lien hypertexte visité" xfId="265" builtinId="9" hidden="1"/>
    <cellStyle name="Lien hypertexte visité" xfId="1527" builtinId="9" hidden="1"/>
    <cellStyle name="Lien hypertexte visité" xfId="9994" builtinId="9" hidden="1"/>
    <cellStyle name="Lien hypertexte visité" xfId="14817" builtinId="9" hidden="1"/>
    <cellStyle name="Lien hypertexte visité" xfId="22138" builtinId="9" hidden="1"/>
    <cellStyle name="Lien hypertexte visité" xfId="18794" builtinId="9" hidden="1"/>
    <cellStyle name="Lien hypertexte visité" xfId="21954" builtinId="9" hidden="1"/>
    <cellStyle name="Lien hypertexte visité" xfId="24160" builtinId="9" hidden="1"/>
    <cellStyle name="Lien hypertexte visité" xfId="6177" builtinId="9" hidden="1"/>
    <cellStyle name="Lien hypertexte visité" xfId="4845" builtinId="9" hidden="1"/>
    <cellStyle name="Lien hypertexte visité" xfId="6174" builtinId="9" hidden="1"/>
    <cellStyle name="Lien hypertexte visité" xfId="14367" builtinId="9" hidden="1"/>
    <cellStyle name="Lien hypertexte visité" xfId="6764" builtinId="9" hidden="1"/>
    <cellStyle name="Lien hypertexte visité" xfId="4126" builtinId="9" hidden="1"/>
    <cellStyle name="Lien hypertexte visité" xfId="12831" builtinId="9" hidden="1"/>
    <cellStyle name="Lien hypertexte visité" xfId="4638" builtinId="9" hidden="1"/>
    <cellStyle name="Lien hypertexte visité" xfId="5429" builtinId="9" hidden="1"/>
    <cellStyle name="Lien hypertexte visité" xfId="6765" builtinId="9" hidden="1"/>
    <cellStyle name="Lien hypertexte visité" xfId="24466" builtinId="9" hidden="1"/>
    <cellStyle name="Lien hypertexte visité" xfId="20586" builtinId="9" hidden="1"/>
    <cellStyle name="Lien hypertexte visité" xfId="17443" builtinId="9" hidden="1"/>
    <cellStyle name="Lien hypertexte visité" xfId="22480" builtinId="9" hidden="1"/>
    <cellStyle name="Lien hypertexte visité" xfId="13834" builtinId="9" hidden="1"/>
    <cellStyle name="Lien hypertexte visité" xfId="11750" builtinId="9" hidden="1"/>
    <cellStyle name="Lien hypertexte visité" xfId="2023" builtinId="9" hidden="1"/>
    <cellStyle name="Lien hypertexte visité" xfId="857" builtinId="9" hidden="1"/>
    <cellStyle name="Lien hypertexte visité" xfId="1623" builtinId="9" hidden="1"/>
    <cellStyle name="Lien hypertexte visité" xfId="11210" builtinId="9" hidden="1"/>
    <cellStyle name="Lien hypertexte visité" xfId="18121" builtinId="9" hidden="1"/>
    <cellStyle name="Lien hypertexte visité" xfId="9894" builtinId="9" hidden="1"/>
    <cellStyle name="Lien hypertexte visité" xfId="11454" builtinId="9" hidden="1"/>
    <cellStyle name="Lien hypertexte visité" xfId="13502" builtinId="9" hidden="1"/>
    <cellStyle name="Lien hypertexte visité" xfId="15817" builtinId="9" hidden="1"/>
    <cellStyle name="Lien hypertexte visité" xfId="18912" builtinId="9" hidden="1"/>
    <cellStyle name="Lien hypertexte visité" xfId="23008" builtinId="9" hidden="1"/>
    <cellStyle name="Lien hypertexte visité" xfId="2303" builtinId="9" hidden="1"/>
    <cellStyle name="Lien hypertexte visité" xfId="14246" builtinId="9" hidden="1"/>
    <cellStyle name="Lien hypertexte visité" xfId="12606" builtinId="9" hidden="1"/>
    <cellStyle name="Lien hypertexte visité" xfId="10450" builtinId="9" hidden="1"/>
    <cellStyle name="Lien hypertexte visité" xfId="12390" builtinId="9" hidden="1"/>
    <cellStyle name="Lien hypertexte visité" xfId="21882" builtinId="9" hidden="1"/>
    <cellStyle name="Lien hypertexte visité" xfId="3584" builtinId="9" hidden="1"/>
    <cellStyle name="Lien hypertexte visité" xfId="1306" builtinId="9" hidden="1"/>
    <cellStyle name="Lien hypertexte visité" xfId="1065" builtinId="9" hidden="1"/>
    <cellStyle name="Lien hypertexte visité" xfId="3683" builtinId="9" hidden="1"/>
    <cellStyle name="Lien hypertexte visité" xfId="2359" builtinId="9" hidden="1"/>
    <cellStyle name="Lien hypertexte visité" xfId="7365" builtinId="9" hidden="1"/>
    <cellStyle name="Lien hypertexte visité" xfId="7033" builtinId="9" hidden="1"/>
    <cellStyle name="Lien hypertexte visité" xfId="7529" builtinId="9" hidden="1"/>
    <cellStyle name="Lien hypertexte visité" xfId="3211" builtinId="9" hidden="1"/>
    <cellStyle name="Lien hypertexte visité" xfId="5825" builtinId="9" hidden="1"/>
    <cellStyle name="Lien hypertexte visité" xfId="4545" builtinId="9" hidden="1"/>
    <cellStyle name="Lien hypertexte visité" xfId="10458" builtinId="9" hidden="1"/>
    <cellStyle name="Lien hypertexte visité" xfId="6101" builtinId="9" hidden="1"/>
    <cellStyle name="Lien hypertexte visité" xfId="4837" builtinId="9" hidden="1"/>
    <cellStyle name="Lien hypertexte visité" xfId="2271" builtinId="9" hidden="1"/>
    <cellStyle name="Lien hypertexte visité" xfId="7617" builtinId="9" hidden="1"/>
    <cellStyle name="Lien hypertexte visité" xfId="3247" builtinId="9" hidden="1"/>
    <cellStyle name="Lien hypertexte visité" xfId="6985" builtinId="9" hidden="1"/>
    <cellStyle name="Lien hypertexte visité" xfId="3111" builtinId="9" hidden="1"/>
    <cellStyle name="Lien hypertexte visité" xfId="23146" builtinId="9" hidden="1"/>
    <cellStyle name="Lien hypertexte visité" xfId="3559" builtinId="9" hidden="1"/>
    <cellStyle name="Lien hypertexte visité" xfId="15695" builtinId="9" hidden="1"/>
    <cellStyle name="Lien hypertexte visité" xfId="12256" builtinId="9" hidden="1"/>
    <cellStyle name="Lien hypertexte visité" xfId="13209" builtinId="9" hidden="1"/>
    <cellStyle name="Lien hypertexte visité" xfId="6447" builtinId="9" hidden="1"/>
    <cellStyle name="Lien hypertexte visité" xfId="18612" builtinId="9" hidden="1"/>
    <cellStyle name="Lien hypertexte visité" xfId="255" builtinId="9" hidden="1"/>
    <cellStyle name="Lien hypertexte visité" xfId="6590" builtinId="9" hidden="1"/>
    <cellStyle name="Lien hypertexte visité" xfId="3512" builtinId="9" hidden="1"/>
    <cellStyle name="Lien hypertexte visité" xfId="639" builtinId="9" hidden="1"/>
    <cellStyle name="Lien hypertexte visité" xfId="3980" builtinId="9" hidden="1"/>
    <cellStyle name="Lien hypertexte visité" xfId="7885" builtinId="9" hidden="1"/>
    <cellStyle name="Lien hypertexte visité" xfId="10957" builtinId="9" hidden="1"/>
    <cellStyle name="Lien hypertexte visité" xfId="14029" builtinId="9" hidden="1"/>
    <cellStyle name="Lien hypertexte visité" xfId="20054" builtinId="9" hidden="1"/>
    <cellStyle name="Lien hypertexte visité" xfId="21684" builtinId="9" hidden="1"/>
    <cellStyle name="Lien hypertexte visité" xfId="15237" builtinId="9" hidden="1"/>
    <cellStyle name="Lien hypertexte visité" xfId="11804" builtinId="9" hidden="1"/>
    <cellStyle name="Lien hypertexte visité" xfId="7868" builtinId="9" hidden="1"/>
    <cellStyle name="Lien hypertexte visité" xfId="21398" builtinId="9" hidden="1"/>
    <cellStyle name="Lien hypertexte visité" xfId="18426" builtinId="9" hidden="1"/>
    <cellStyle name="Lien hypertexte visité" xfId="4937" builtinId="9" hidden="1"/>
    <cellStyle name="Lien hypertexte visité" xfId="11942" builtinId="9" hidden="1"/>
    <cellStyle name="Lien hypertexte visité" xfId="4077" builtinId="9" hidden="1"/>
    <cellStyle name="Lien hypertexte visité" xfId="673" builtinId="9" hidden="1"/>
    <cellStyle name="Lien hypertexte visité" xfId="22536" builtinId="9" hidden="1"/>
    <cellStyle name="Lien hypertexte visité" xfId="15311" builtinId="9" hidden="1"/>
    <cellStyle name="Lien hypertexte visité" xfId="12865" builtinId="9" hidden="1"/>
    <cellStyle name="Lien hypertexte visité" xfId="10817" builtinId="9" hidden="1"/>
    <cellStyle name="Lien hypertexte visité" xfId="8217" builtinId="9" hidden="1"/>
    <cellStyle name="Lien hypertexte visité" xfId="6168" builtinId="9" hidden="1"/>
    <cellStyle name="Lien hypertexte visité" xfId="3992" builtinId="9" hidden="1"/>
    <cellStyle name="Lien hypertexte visité" xfId="1938" builtinId="9" hidden="1"/>
    <cellStyle name="Lien hypertexte visité" xfId="8304" builtinId="9" hidden="1"/>
    <cellStyle name="Lien hypertexte visité" xfId="5231" builtinId="9" hidden="1"/>
    <cellStyle name="Lien hypertexte visité" xfId="1993" builtinId="9" hidden="1"/>
    <cellStyle name="Lien hypertexte visité" xfId="3093" builtinId="9" hidden="1"/>
    <cellStyle name="Lien hypertexte visité" xfId="6171" builtinId="9" hidden="1"/>
    <cellStyle name="Lien hypertexte visité" xfId="9244" builtinId="9" hidden="1"/>
    <cellStyle name="Lien hypertexte visité" xfId="12316" builtinId="9" hidden="1"/>
    <cellStyle name="Lien hypertexte visité" xfId="16581" builtinId="9" hidden="1"/>
    <cellStyle name="Lien hypertexte visité" xfId="22708" builtinId="9" hidden="1"/>
    <cellStyle name="Lien hypertexte visité" xfId="20374" builtinId="9" hidden="1"/>
    <cellStyle name="Lien hypertexte visité" xfId="14221" builtinId="9" hidden="1"/>
    <cellStyle name="Lien hypertexte visité" xfId="10445" builtinId="9" hidden="1"/>
    <cellStyle name="Lien hypertexte visité" xfId="7212" builtinId="9" hidden="1"/>
    <cellStyle name="Lien hypertexte visité" xfId="4140" builtinId="9" hidden="1"/>
    <cellStyle name="Lien hypertexte visité" xfId="959" builtinId="9" hidden="1"/>
    <cellStyle name="Lien hypertexte visité" xfId="3320" builtinId="9" hidden="1"/>
    <cellStyle name="Lien hypertexte visité" xfId="6398" builtinId="9" hidden="1"/>
    <cellStyle name="Lien hypertexte visité" xfId="7262" builtinId="9" hidden="1"/>
    <cellStyle name="Lien hypertexte visité" xfId="16999" builtinId="9" hidden="1"/>
    <cellStyle name="Lien hypertexte visité" xfId="5071" builtinId="9" hidden="1"/>
    <cellStyle name="Lien hypertexte visité" xfId="12313" builtinId="9" hidden="1"/>
    <cellStyle name="Lien hypertexte visité" xfId="12280" builtinId="9" hidden="1"/>
    <cellStyle name="Lien hypertexte visité" xfId="10384" builtinId="9" hidden="1"/>
    <cellStyle name="Lien hypertexte visité" xfId="15685" builtinId="9" hidden="1"/>
    <cellStyle name="Lien hypertexte visité" xfId="10954" builtinId="9" hidden="1"/>
    <cellStyle name="Lien hypertexte visité" xfId="15177" builtinId="9" hidden="1"/>
    <cellStyle name="Lien hypertexte visité" xfId="2531" builtinId="9" hidden="1"/>
    <cellStyle name="Lien hypertexte visité" xfId="7533" builtinId="9" hidden="1"/>
    <cellStyle name="Lien hypertexte visité" xfId="6869" builtinId="9" hidden="1"/>
    <cellStyle name="Lien hypertexte visité" xfId="8150" builtinId="9" hidden="1"/>
    <cellStyle name="Lien hypertexte visité" xfId="2767" builtinId="9" hidden="1"/>
    <cellStyle name="Lien hypertexte visité" xfId="5441" builtinId="9" hidden="1"/>
    <cellStyle name="Lien hypertexte visité" xfId="4161" builtinId="9" hidden="1"/>
    <cellStyle name="Lien hypertexte visité" xfId="11098" builtinId="9" hidden="1"/>
    <cellStyle name="Lien hypertexte visité" xfId="4033" builtinId="9" hidden="1"/>
    <cellStyle name="Lien hypertexte visité" xfId="5297" builtinId="9" hidden="1"/>
    <cellStyle name="Lien hypertexte visité" xfId="2715" builtinId="9" hidden="1"/>
    <cellStyle name="Lien hypertexte visité" xfId="8094" builtinId="9" hidden="1"/>
    <cellStyle name="Lien hypertexte visité" xfId="6813" builtinId="9" hidden="1"/>
    <cellStyle name="Lien hypertexte visité" xfId="7585" builtinId="9" hidden="1"/>
    <cellStyle name="Lien hypertexte visité" xfId="12476" builtinId="9" hidden="1"/>
    <cellStyle name="Lien hypertexte visité" xfId="12447" builtinId="9" hidden="1"/>
    <cellStyle name="Lien hypertexte visité" xfId="3224" builtinId="9" hidden="1"/>
    <cellStyle name="Lien hypertexte visité" xfId="7148" builtinId="9" hidden="1"/>
    <cellStyle name="Lien hypertexte visité" xfId="19222" builtinId="9" hidden="1"/>
    <cellStyle name="Lien hypertexte visité" xfId="13052" builtinId="9" hidden="1"/>
    <cellStyle name="Lien hypertexte visité" xfId="3838" builtinId="9" hidden="1"/>
    <cellStyle name="Lien hypertexte visité" xfId="7055" builtinId="9" hidden="1"/>
    <cellStyle name="Lien hypertexte visité" xfId="5208" builtinId="9" hidden="1"/>
    <cellStyle name="Lien hypertexte visité" xfId="11353" builtinId="9" hidden="1"/>
    <cellStyle name="Lien hypertexte visité" xfId="20462" builtinId="9" hidden="1"/>
    <cellStyle name="Lien hypertexte visité" xfId="13800" builtinId="9" hidden="1"/>
    <cellStyle name="Lien hypertexte visité" xfId="13472" builtinId="9" hidden="1"/>
    <cellStyle name="Lien hypertexte visité" xfId="7240" builtinId="9" hidden="1"/>
    <cellStyle name="Lien hypertexte visité" xfId="12233" builtinId="9" hidden="1"/>
    <cellStyle name="Lien hypertexte visité" xfId="22222" builtinId="9" hidden="1"/>
    <cellStyle name="Lien hypertexte visité" xfId="14304" builtinId="9" hidden="1"/>
    <cellStyle name="Lien hypertexte visité" xfId="9080" builtinId="9" hidden="1"/>
    <cellStyle name="Lien hypertexte visité" xfId="11128" builtinId="9" hidden="1"/>
    <cellStyle name="Lien hypertexte visité" xfId="13304" builtinId="9" hidden="1"/>
    <cellStyle name="Lien hypertexte visité" xfId="16189" builtinId="9" hidden="1"/>
    <cellStyle name="Lien hypertexte visité" xfId="20268" builtinId="9" hidden="1"/>
    <cellStyle name="Lien hypertexte visité" xfId="24364" builtinId="9" hidden="1"/>
    <cellStyle name="Lien hypertexte visité" xfId="20542" builtinId="9" hidden="1"/>
    <cellStyle name="Lien hypertexte visité" xfId="6216" builtinId="9" hidden="1"/>
    <cellStyle name="Lien hypertexte visité" xfId="14961" builtinId="9" hidden="1"/>
    <cellStyle name="Lien hypertexte visité" xfId="18656" builtinId="9" hidden="1"/>
    <cellStyle name="Lien hypertexte visité" xfId="22152" builtinId="9" hidden="1"/>
    <cellStyle name="Lien hypertexte visité" xfId="23530" builtinId="9" hidden="1"/>
    <cellStyle name="Lien hypertexte visité" xfId="19818" builtinId="9" hidden="1"/>
    <cellStyle name="Lien hypertexte visité" xfId="20218" builtinId="9" hidden="1"/>
    <cellStyle name="Lien hypertexte visité" xfId="18512" builtinId="9" hidden="1"/>
    <cellStyle name="Lien hypertexte visité" xfId="11274" builtinId="9" hidden="1"/>
    <cellStyle name="Lien hypertexte visité" xfId="4641" builtinId="9" hidden="1"/>
    <cellStyle name="Lien hypertexte visité" xfId="6161" builtinId="9" hidden="1"/>
    <cellStyle name="Lien hypertexte visité" xfId="15499" builtinId="9" hidden="1"/>
    <cellStyle name="Lien hypertexte visité" xfId="9280" builtinId="9" hidden="1"/>
    <cellStyle name="Lien hypertexte visité" xfId="8579" builtinId="9" hidden="1"/>
    <cellStyle name="Lien hypertexte visité" xfId="12483" builtinId="9" hidden="1"/>
    <cellStyle name="Lien hypertexte visité" xfId="13595" builtinId="9" hidden="1"/>
    <cellStyle name="Lien hypertexte visité" xfId="4162" builtinId="9" hidden="1"/>
    <cellStyle name="Lien hypertexte visité" xfId="549" builtinId="9" hidden="1"/>
    <cellStyle name="Lien hypertexte visité" xfId="5856" builtinId="9" hidden="1"/>
    <cellStyle name="Lien hypertexte visité" xfId="19038" builtinId="9" hidden="1"/>
    <cellStyle name="Lien hypertexte visité" xfId="22198" builtinId="9" hidden="1"/>
    <cellStyle name="Lien hypertexte visité" xfId="3272" builtinId="9" hidden="1"/>
    <cellStyle name="Lien hypertexte visité" xfId="11471" builtinId="9" hidden="1"/>
    <cellStyle name="Lien hypertexte visité" xfId="1974" builtinId="9" hidden="1"/>
    <cellStyle name="Lien hypertexte visité" xfId="18836" builtinId="9" hidden="1"/>
    <cellStyle name="Lien hypertexte visité" xfId="24494" builtinId="9" hidden="1"/>
    <cellStyle name="Lien hypertexte visité" xfId="8593" builtinId="9" hidden="1"/>
    <cellStyle name="Lien hypertexte visité" xfId="4959" builtinId="9" hidden="1"/>
    <cellStyle name="Lien hypertexte visité" xfId="6506" builtinId="9" hidden="1"/>
    <cellStyle name="Lien hypertexte visité" xfId="10547" builtinId="9" hidden="1"/>
    <cellStyle name="Lien hypertexte visité" xfId="10299" builtinId="9" hidden="1"/>
    <cellStyle name="Lien hypertexte visité" xfId="6234" builtinId="9" hidden="1"/>
    <cellStyle name="Lien hypertexte visité" xfId="20412" builtinId="9" hidden="1"/>
    <cellStyle name="Lien hypertexte visité" xfId="19276" builtinId="9" hidden="1"/>
    <cellStyle name="Lien hypertexte visité" xfId="6561" builtinId="9" hidden="1"/>
    <cellStyle name="Lien hypertexte visité" xfId="4989" builtinId="9" hidden="1"/>
    <cellStyle name="Lien hypertexte visité" xfId="9802" builtinId="9" hidden="1"/>
    <cellStyle name="Lien hypertexte visité" xfId="15585" builtinId="9" hidden="1"/>
    <cellStyle name="Lien hypertexte visité" xfId="22522" builtinId="9" hidden="1"/>
    <cellStyle name="Lien hypertexte visité" xfId="19050" builtinId="9" hidden="1"/>
    <cellStyle name="Lien hypertexte visité" xfId="22546" builtinId="9" hidden="1"/>
    <cellStyle name="Lien hypertexte visité" xfId="23136" builtinId="9" hidden="1"/>
    <cellStyle name="Lien hypertexte visité" xfId="19424" builtinId="9" hidden="1"/>
    <cellStyle name="Lien hypertexte visité" xfId="15945" builtinId="9" hidden="1"/>
    <cellStyle name="Lien hypertexte visité" xfId="15051" builtinId="9" hidden="1"/>
    <cellStyle name="Lien hypertexte visité" xfId="19646" builtinId="9" hidden="1"/>
    <cellStyle name="Lien hypertexte visité" xfId="23742" builtinId="9" hidden="1"/>
    <cellStyle name="Lien hypertexte visité" xfId="21388" builtinId="9" hidden="1"/>
    <cellStyle name="Lien hypertexte visité" xfId="17085" builtinId="9" hidden="1"/>
    <cellStyle name="Lien hypertexte visité" xfId="13752" builtinId="9" hidden="1"/>
    <cellStyle name="Lien hypertexte visité" xfId="11704" builtinId="9" hidden="1"/>
    <cellStyle name="Lien hypertexte visité" xfId="9656" builtinId="9" hidden="1"/>
    <cellStyle name="Lien hypertexte visité" xfId="12896" builtinId="9" hidden="1"/>
    <cellStyle name="Lien hypertexte visité" xfId="23548" builtinId="9" hidden="1"/>
    <cellStyle name="Lien hypertexte visité" xfId="13961" builtinId="9" hidden="1"/>
    <cellStyle name="Lien hypertexte visité" xfId="7432" builtinId="9" hidden="1"/>
    <cellStyle name="Lien hypertexte visité" xfId="20604" builtinId="9" hidden="1"/>
    <cellStyle name="Lien hypertexte visité" xfId="12088" builtinId="9" hidden="1"/>
    <cellStyle name="Lien hypertexte visité" xfId="23870" builtinId="9" hidden="1"/>
    <cellStyle name="Lien hypertexte visité" xfId="13057" builtinId="9" hidden="1"/>
    <cellStyle name="Lien hypertexte visité" xfId="6576" builtinId="9" hidden="1"/>
    <cellStyle name="Lien hypertexte visité" xfId="283" builtinId="9" hidden="1"/>
    <cellStyle name="Lien hypertexte visité" xfId="1268" builtinId="9" hidden="1"/>
    <cellStyle name="Lien hypertexte visité" xfId="10492" builtinId="9" hidden="1"/>
    <cellStyle name="Lien hypertexte visité" xfId="23318" builtinId="9" hidden="1"/>
    <cellStyle name="Lien hypertexte visité" xfId="9709" builtinId="9" hidden="1"/>
    <cellStyle name="Lien hypertexte visité" xfId="163" builtinId="9" hidden="1"/>
    <cellStyle name="Lien hypertexte visité" xfId="10399" builtinId="9" hidden="1"/>
    <cellStyle name="Lien hypertexte visité" xfId="11981" builtinId="9" hidden="1"/>
    <cellStyle name="Lien hypertexte visité" xfId="7990" builtinId="9" hidden="1"/>
    <cellStyle name="Lien hypertexte visité" xfId="6429" builtinId="9" hidden="1"/>
    <cellStyle name="Lien hypertexte visité" xfId="7801" builtinId="9" hidden="1"/>
    <cellStyle name="Lien hypertexte visité" xfId="2443" builtinId="9" hidden="1"/>
    <cellStyle name="Lien hypertexte visité" xfId="5005" builtinId="9" hidden="1"/>
    <cellStyle name="Lien hypertexte visité" xfId="6265" builtinId="9" hidden="1"/>
    <cellStyle name="Lien hypertexte visité" xfId="9882" builtinId="9" hidden="1"/>
    <cellStyle name="Lien hypertexte visité" xfId="4453" builtinId="9" hidden="1"/>
    <cellStyle name="Lien hypertexte visité" xfId="5733" builtinId="9" hidden="1"/>
    <cellStyle name="Lien hypertexte visité" xfId="3123" builtinId="9" hidden="1"/>
    <cellStyle name="Lien hypertexte visité" xfId="5993" builtinId="9" hidden="1"/>
    <cellStyle name="Lien hypertexte visité" xfId="7253" builtinId="9" hidden="1"/>
    <cellStyle name="Lien hypertexte visité" xfId="4297" builtinId="9" hidden="1"/>
    <cellStyle name="Lien hypertexte visité" xfId="5833" builtinId="9" hidden="1"/>
    <cellStyle name="Lien hypertexte visité" xfId="3471" builtinId="9" hidden="1"/>
    <cellStyle name="Lien hypertexte visité" xfId="23162" builtinId="9" hidden="1"/>
    <cellStyle name="Lien hypertexte visité" xfId="7660" builtinId="9" hidden="1"/>
    <cellStyle name="Lien hypertexte visité" xfId="21150" builtinId="9" hidden="1"/>
    <cellStyle name="Lien hypertexte visité" xfId="9504" builtinId="9" hidden="1"/>
    <cellStyle name="Lien hypertexte visité" xfId="17359" builtinId="9" hidden="1"/>
    <cellStyle name="Lien hypertexte visité" xfId="1385" builtinId="9" hidden="1"/>
    <cellStyle name="Lien hypertexte visité" xfId="21364" builtinId="9" hidden="1"/>
    <cellStyle name="Lien hypertexte visité" xfId="1784" builtinId="9" hidden="1"/>
    <cellStyle name="Lien hypertexte visité" xfId="7102" builtinId="9" hidden="1"/>
    <cellStyle name="Lien hypertexte visité" xfId="4030" builtinId="9" hidden="1"/>
    <cellStyle name="Lien hypertexte visité" xfId="739" builtinId="9" hidden="1"/>
    <cellStyle name="Lien hypertexte visité" xfId="3270" builtinId="9" hidden="1"/>
    <cellStyle name="Lien hypertexte visité" xfId="6540" builtinId="9" hidden="1"/>
    <cellStyle name="Lien hypertexte visité" xfId="9613" builtinId="9" hidden="1"/>
    <cellStyle name="Lien hypertexte visité" xfId="13517" builtinId="9" hidden="1"/>
    <cellStyle name="Lien hypertexte visité" xfId="18646" builtinId="9" hidden="1"/>
    <cellStyle name="Lien hypertexte visité" xfId="24436" builtinId="9" hidden="1"/>
    <cellStyle name="Lien hypertexte visité" xfId="17925" builtinId="9" hidden="1"/>
    <cellStyle name="Lien hypertexte visité" xfId="13148" builtinId="9" hidden="1"/>
    <cellStyle name="Lien hypertexte visité" xfId="10076" builtinId="9" hidden="1"/>
    <cellStyle name="Lien hypertexte visité" xfId="6843" builtinId="9" hidden="1"/>
    <cellStyle name="Lien hypertexte visité" xfId="3774" builtinId="9" hidden="1"/>
    <cellStyle name="Lien hypertexte visité" xfId="1320" builtinId="9" hidden="1"/>
    <cellStyle name="Lien hypertexte visité" xfId="4399" builtinId="9" hidden="1"/>
    <cellStyle name="Lien hypertexte visité" xfId="7471" builtinId="9" hidden="1"/>
    <cellStyle name="Lien hypertexte visité" xfId="1489" builtinId="9" hidden="1"/>
    <cellStyle name="Lien hypertexte visité" xfId="3538" builtinId="9" hidden="1"/>
    <cellStyle name="Lien hypertexte visité" xfId="5592" builtinId="9" hidden="1"/>
    <cellStyle name="Lien hypertexte visité" xfId="7640" builtinId="9" hidden="1"/>
    <cellStyle name="Lien hypertexte visité" xfId="9793" builtinId="9" hidden="1"/>
    <cellStyle name="Lien hypertexte visité" xfId="12417" builtinId="9" hidden="1"/>
    <cellStyle name="Lien hypertexte visité" xfId="14465" builtinId="9" hidden="1"/>
    <cellStyle name="Lien hypertexte visité" xfId="1855" builtinId="9" hidden="1"/>
    <cellStyle name="Lien hypertexte visité" xfId="12222" builtinId="9" hidden="1"/>
    <cellStyle name="Lien hypertexte visité" xfId="1560" builtinId="9" hidden="1"/>
    <cellStyle name="Lien hypertexte visité" xfId="3636" builtinId="9" hidden="1"/>
    <cellStyle name="Lien hypertexte visité" xfId="1639" builtinId="9" hidden="1"/>
    <cellStyle name="Lien hypertexte visité" xfId="6941" builtinId="9" hidden="1"/>
    <cellStyle name="Lien hypertexte visité" xfId="5516" builtinId="9" hidden="1"/>
    <cellStyle name="Lien hypertexte visité" xfId="7195" builtinId="9" hidden="1"/>
    <cellStyle name="Lien hypertexte visité" xfId="10940" builtinId="9" hidden="1"/>
    <cellStyle name="Lien hypertexte visité" xfId="14172" builtinId="9" hidden="1"/>
    <cellStyle name="Lien hypertexte visité" xfId="19956" builtinId="9" hidden="1"/>
    <cellStyle name="Lien hypertexte visité" xfId="23126" builtinId="9" hidden="1"/>
    <cellStyle name="Lien hypertexte visité" xfId="15271" builtinId="9" hidden="1"/>
    <cellStyle name="Lien hypertexte visité" xfId="11821" builtinId="9" hidden="1"/>
    <cellStyle name="Lien hypertexte visité" xfId="8589" builtinId="9" hidden="1"/>
    <cellStyle name="Lien hypertexte visité" xfId="4652" builtinId="9" hidden="1"/>
    <cellStyle name="Lien hypertexte visité" xfId="1574" builtinId="9" hidden="1"/>
    <cellStyle name="Lien hypertexte visité" xfId="2648" builtinId="9" hidden="1"/>
    <cellStyle name="Lien hypertexte visité" xfId="5726" builtinId="9" hidden="1"/>
    <cellStyle name="Lien hypertexte visité" xfId="5886" builtinId="9" hidden="1"/>
    <cellStyle name="Lien hypertexte visité" xfId="19670" builtinId="9" hidden="1"/>
    <cellStyle name="Lien hypertexte visité" xfId="773" builtinId="9" hidden="1"/>
    <cellStyle name="Lien hypertexte visité" xfId="9585" builtinId="9" hidden="1"/>
    <cellStyle name="Lien hypertexte visité" xfId="11368" builtinId="9" hidden="1"/>
    <cellStyle name="Lien hypertexte visité" xfId="13112" builtinId="9" hidden="1"/>
    <cellStyle name="Lien hypertexte visité" xfId="23860" builtinId="9" hidden="1"/>
    <cellStyle name="Lien hypertexte visité" xfId="13322" builtinId="9" hidden="1"/>
    <cellStyle name="Lien hypertexte visité" xfId="3403" builtinId="9" hidden="1"/>
    <cellStyle name="Lien hypertexte visité" xfId="4169" builtinId="9" hidden="1"/>
    <cellStyle name="Lien hypertexte visité" xfId="7457" builtinId="9" hidden="1"/>
    <cellStyle name="Lien hypertexte visité" xfId="7325" builtinId="9" hidden="1"/>
    <cellStyle name="Lien hypertexte visité" xfId="5481" builtinId="9" hidden="1"/>
    <cellStyle name="Lien hypertexte visité" xfId="3191" builtinId="9" hidden="1"/>
    <cellStyle name="Lien hypertexte visité" xfId="5809" builtinId="9" hidden="1"/>
    <cellStyle name="Lien hypertexte visité" xfId="9370" builtinId="9" hidden="1"/>
    <cellStyle name="Lien hypertexte visité" xfId="9050" builtinId="9" hidden="1"/>
    <cellStyle name="Lien hypertexte visité" xfId="6193" builtinId="9" hidden="1"/>
    <cellStyle name="Lien hypertexte visité" xfId="4929" builtinId="9" hidden="1"/>
    <cellStyle name="Lien hypertexte visité" xfId="5353" builtinId="9" hidden="1"/>
    <cellStyle name="Lien hypertexte visité" xfId="7345" builtinId="9" hidden="1"/>
    <cellStyle name="Lien hypertexte visité" xfId="3519" builtinId="9" hidden="1"/>
    <cellStyle name="Lien hypertexte visité" xfId="7113" builtinId="9" hidden="1"/>
    <cellStyle name="Lien hypertexte visité" xfId="3315" builtinId="9" hidden="1"/>
    <cellStyle name="Lien hypertexte visité" xfId="1923" builtinId="9" hidden="1"/>
    <cellStyle name="Lien hypertexte visité" xfId="481" builtinId="9" hidden="1"/>
    <cellStyle name="Lien hypertexte visité" xfId="3557" builtinId="9" hidden="1"/>
    <cellStyle name="Lien hypertexte visité" xfId="12746" builtinId="9" hidden="1"/>
    <cellStyle name="Lien hypertexte visité" xfId="15729" builtinId="9" hidden="1"/>
    <cellStyle name="Lien hypertexte visité" xfId="10066" builtinId="9" hidden="1"/>
    <cellStyle name="Lien hypertexte visité" xfId="12114" builtinId="9" hidden="1"/>
    <cellStyle name="Lien hypertexte visité" xfId="13778" builtinId="9" hidden="1"/>
    <cellStyle name="Lien hypertexte visité" xfId="2447" builtinId="9" hidden="1"/>
    <cellStyle name="Lien hypertexte visité" xfId="3043" builtinId="9" hidden="1"/>
    <cellStyle name="Lien hypertexte visité" xfId="19680" builtinId="9" hidden="1"/>
    <cellStyle name="Lien hypertexte visité" xfId="16585" builtinId="9" hidden="1"/>
    <cellStyle name="Lien hypertexte visité" xfId="13886" builtinId="9" hidden="1"/>
    <cellStyle name="Lien hypertexte visité" xfId="12326" builtinId="9" hidden="1"/>
    <cellStyle name="Lien hypertexte visité" xfId="10278" builtinId="9" hidden="1"/>
    <cellStyle name="Lien hypertexte visité" xfId="12902" builtinId="9" hidden="1"/>
    <cellStyle name="Lien hypertexte visité" xfId="24272" builtinId="9" hidden="1"/>
    <cellStyle name="Lien hypertexte visité" xfId="3588" builtinId="9" hidden="1"/>
    <cellStyle name="Lien hypertexte visité" xfId="1290" builtinId="9" hidden="1"/>
    <cellStyle name="Lien hypertexte visité" xfId="1097" builtinId="9" hidden="1"/>
    <cellStyle name="Lien hypertexte visité" xfId="3768" builtinId="9" hidden="1"/>
    <cellStyle name="Lien hypertexte visité" xfId="12618" builtinId="9" hidden="1"/>
    <cellStyle name="Lien hypertexte visité" xfId="20048" builtinId="9" hidden="1"/>
    <cellStyle name="Lien hypertexte visité" xfId="19194" builtinId="9" hidden="1"/>
    <cellStyle name="Lien hypertexte visité" xfId="19778" builtinId="9" hidden="1"/>
    <cellStyle name="Lien hypertexte visité" xfId="23698" builtinId="9" hidden="1"/>
    <cellStyle name="Lien hypertexte visité" xfId="7093" builtinId="9" hidden="1"/>
    <cellStyle name="Lien hypertexte visité" xfId="5757" builtinId="9" hidden="1"/>
    <cellStyle name="Lien hypertexte visité" xfId="4421" builtinId="9" hidden="1"/>
    <cellStyle name="Lien hypertexte visité" xfId="10783" builtinId="9" hidden="1"/>
    <cellStyle name="Lien hypertexte visité" xfId="2072" builtinId="9" hidden="1"/>
    <cellStyle name="Lien hypertexte visité" xfId="7788" builtinId="9" hidden="1"/>
    <cellStyle name="Lien hypertexte visité" xfId="1638" builtinId="9" hidden="1"/>
    <cellStyle name="Lien hypertexte visité" xfId="8223" builtinId="9" hidden="1"/>
    <cellStyle name="Lien hypertexte visité" xfId="4497" builtinId="9" hidden="1"/>
    <cellStyle name="Lien hypertexte visité" xfId="5829" builtinId="9" hidden="1"/>
    <cellStyle name="Lien hypertexte visité" xfId="17291" builtinId="9" hidden="1"/>
    <cellStyle name="Lien hypertexte visité" xfId="22722" builtinId="9" hidden="1"/>
    <cellStyle name="Lien hypertexte visité" xfId="19602" builtinId="9" hidden="1"/>
    <cellStyle name="Lien hypertexte visité" xfId="19706" builtinId="9" hidden="1"/>
    <cellStyle name="Lien hypertexte visité" xfId="17249" builtinId="9" hidden="1"/>
    <cellStyle name="Lien hypertexte visité" xfId="11146" builtinId="9" hidden="1"/>
    <cellStyle name="Lien hypertexte visité" xfId="3856" builtinId="9" hidden="1"/>
    <cellStyle name="Lien hypertexte visité" xfId="1194" builtinId="9" hidden="1"/>
    <cellStyle name="Lien hypertexte visité" xfId="2099" builtinId="9" hidden="1"/>
    <cellStyle name="Lien hypertexte visité" xfId="3499" builtinId="9" hidden="1"/>
    <cellStyle name="Lien hypertexte visité" xfId="20858" builtinId="9" hidden="1"/>
    <cellStyle name="Lien hypertexte visité" xfId="9490" builtinId="9" hidden="1"/>
    <cellStyle name="Lien hypertexte visité" xfId="10770" builtinId="9" hidden="1"/>
    <cellStyle name="Lien hypertexte visité" xfId="12434" builtinId="9" hidden="1"/>
    <cellStyle name="Lien hypertexte visité" xfId="13990" builtinId="9" hidden="1"/>
    <cellStyle name="Lien hypertexte visité" xfId="17561" builtinId="9" hidden="1"/>
    <cellStyle name="Lien hypertexte visité" xfId="20664" builtinId="9" hidden="1"/>
    <cellStyle name="Lien hypertexte visité" xfId="6473" builtinId="9" hidden="1"/>
    <cellStyle name="Lien hypertexte visité" xfId="3608" builtinId="9" hidden="1"/>
    <cellStyle name="Lien hypertexte visité" xfId="13286" builtinId="9" hidden="1"/>
    <cellStyle name="Lien hypertexte visité" xfId="11622" builtinId="9" hidden="1"/>
    <cellStyle name="Lien hypertexte visité" xfId="9958" builtinId="9" hidden="1"/>
    <cellStyle name="Lien hypertexte visité" xfId="17097" builtinId="9" hidden="1"/>
    <cellStyle name="Lien hypertexte visité" xfId="6141" builtinId="9" hidden="1"/>
    <cellStyle name="Lien hypertexte visité" xfId="1703" builtinId="9" hidden="1"/>
    <cellStyle name="Lien hypertexte visité" xfId="345" builtinId="9" hidden="1"/>
    <cellStyle name="Lien hypertexte visité" xfId="1575" builtinId="9" hidden="1"/>
    <cellStyle name="Lien hypertexte visité" xfId="2939" builtinId="9" hidden="1"/>
    <cellStyle name="Lien hypertexte visité" xfId="7625" builtinId="9" hidden="1"/>
    <cellStyle name="Lien hypertexte visité" xfId="6040" builtinId="9" hidden="1"/>
    <cellStyle name="Lien hypertexte visité" xfId="18444" builtinId="9" hidden="1"/>
    <cellStyle name="Lien hypertexte visité" xfId="16351" builtinId="9" hidden="1"/>
    <cellStyle name="Lien hypertexte visité" xfId="14661" builtinId="9" hidden="1"/>
    <cellStyle name="Lien hypertexte visité" xfId="17889" builtinId="9" hidden="1"/>
    <cellStyle name="Lien hypertexte visité" xfId="2404" builtinId="9" hidden="1"/>
    <cellStyle name="Lien hypertexte visité" xfId="16805" builtinId="9" hidden="1"/>
    <cellStyle name="Lien hypertexte visité" xfId="5190" builtinId="9" hidden="1"/>
    <cellStyle name="Lien hypertexte visité" xfId="2509" builtinId="9" hidden="1"/>
    <cellStyle name="Lien hypertexte visité" xfId="22518" builtinId="9" hidden="1"/>
    <cellStyle name="Lien hypertexte visité" xfId="7333" builtinId="9" hidden="1"/>
    <cellStyle name="Lien hypertexte visité" xfId="18354" builtinId="9" hidden="1"/>
    <cellStyle name="Lien hypertexte visité" xfId="22904" builtinId="9" hidden="1"/>
    <cellStyle name="Lien hypertexte visité" xfId="10746" builtinId="9" hidden="1"/>
    <cellStyle name="Lien hypertexte visité" xfId="16897" builtinId="9" hidden="1"/>
    <cellStyle name="Lien hypertexte visité" xfId="19426" builtinId="9" hidden="1"/>
    <cellStyle name="Lien hypertexte visité" xfId="17337" builtinId="9" hidden="1"/>
    <cellStyle name="Lien hypertexte visité" xfId="8151" builtinId="9" hidden="1"/>
    <cellStyle name="Lien hypertexte visité" xfId="12469" builtinId="9" hidden="1"/>
    <cellStyle name="Lien hypertexte visité" xfId="2367" builtinId="9" hidden="1"/>
    <cellStyle name="Lien hypertexte visité" xfId="15153" builtinId="9" hidden="1"/>
    <cellStyle name="Lien hypertexte visité" xfId="4508" builtinId="9" hidden="1"/>
    <cellStyle name="Lien hypertexte visité" xfId="5451" builtinId="9" hidden="1"/>
    <cellStyle name="Lien hypertexte visité" xfId="12660" builtinId="9" hidden="1"/>
    <cellStyle name="Lien hypertexte visité" xfId="6087" builtinId="9" hidden="1"/>
    <cellStyle name="Lien hypertexte visité" xfId="18037" builtinId="9" hidden="1"/>
    <cellStyle name="Lien hypertexte visité" xfId="24088" builtinId="9" hidden="1"/>
    <cellStyle name="Lien hypertexte visité" xfId="10402" builtinId="9" hidden="1"/>
    <cellStyle name="Lien hypertexte visité" xfId="11157" builtinId="9" hidden="1"/>
    <cellStyle name="Lien hypertexte visité" xfId="15905" builtinId="9" hidden="1"/>
    <cellStyle name="Lien hypertexte visité" xfId="2486" builtinId="9" hidden="1"/>
    <cellStyle name="Lien hypertexte visité" xfId="8288" builtinId="9" hidden="1"/>
    <cellStyle name="Lien hypertexte visité" xfId="10248" builtinId="9" hidden="1"/>
    <cellStyle name="Lien hypertexte visité" xfId="5210" builtinId="9" hidden="1"/>
    <cellStyle name="Lien hypertexte visité" xfId="9019" builtinId="9" hidden="1"/>
    <cellStyle name="Lien hypertexte visité" xfId="9897" builtinId="9" hidden="1"/>
    <cellStyle name="Lien hypertexte visité" xfId="17357" builtinId="9" hidden="1"/>
    <cellStyle name="Lien hypertexte visité" xfId="11096" builtinId="9" hidden="1"/>
    <cellStyle name="Lien hypertexte visité" xfId="14845" builtinId="9" hidden="1"/>
    <cellStyle name="Lien hypertexte visité" xfId="24044" builtinId="9" hidden="1"/>
    <cellStyle name="Lien hypertexte visité" xfId="18031" builtinId="9" hidden="1"/>
    <cellStyle name="Lien hypertexte visité" xfId="11665" builtinId="9" hidden="1"/>
    <cellStyle name="Lien hypertexte visité" xfId="8081" builtinId="9" hidden="1"/>
    <cellStyle name="Lien hypertexte visité" xfId="3466" builtinId="9" hidden="1"/>
    <cellStyle name="Lien hypertexte visité" xfId="6751" builtinId="9" hidden="1"/>
    <cellStyle name="Lien hypertexte visité" xfId="1368" builtinId="9" hidden="1"/>
    <cellStyle name="Lien hypertexte visité" xfId="6699" builtinId="9" hidden="1"/>
    <cellStyle name="Lien hypertexte visité" xfId="12076" builtinId="9" hidden="1"/>
    <cellStyle name="Lien hypertexte visité" xfId="23444" builtinId="9" hidden="1"/>
    <cellStyle name="Lien hypertexte visité" xfId="15047" builtinId="9" hidden="1"/>
    <cellStyle name="Lien hypertexte visité" xfId="7869" builtinId="9" hidden="1"/>
    <cellStyle name="Lien hypertexte visité" xfId="1205" builtinId="9" hidden="1"/>
    <cellStyle name="Lien hypertexte visité" xfId="5582" builtinId="9" hidden="1"/>
    <cellStyle name="Lien hypertexte visité" xfId="12239" builtinId="9" hidden="1"/>
    <cellStyle name="Lien hypertexte visité" xfId="9522" builtinId="9" hidden="1"/>
    <cellStyle name="Lien hypertexte visité" xfId="13958" builtinId="9" hidden="1"/>
    <cellStyle name="Lien hypertexte visité" xfId="20896" builtinId="9" hidden="1"/>
    <cellStyle name="Lien hypertexte visité" xfId="19458" builtinId="9" hidden="1"/>
    <cellStyle name="Lien hypertexte visité" xfId="12650" builtinId="9" hidden="1"/>
    <cellStyle name="Lien hypertexte visité" xfId="5729" builtinId="9" hidden="1"/>
    <cellStyle name="Lien hypertexte visité" xfId="2999" builtinId="9" hidden="1"/>
    <cellStyle name="Lien hypertexte visité" xfId="873" builtinId="9" hidden="1"/>
    <cellStyle name="Lien hypertexte visité" xfId="7593" builtinId="9" hidden="1"/>
    <cellStyle name="Lien hypertexte visité" xfId="5233" builtinId="9" hidden="1"/>
    <cellStyle name="Lien hypertexte visité" xfId="14967" builtinId="9" hidden="1"/>
    <cellStyle name="Lien hypertexte visité" xfId="10133" builtinId="9" hidden="1"/>
    <cellStyle name="Lien hypertexte visité" xfId="6548" builtinId="9" hidden="1"/>
    <cellStyle name="Lien hypertexte visité" xfId="1934" builtinId="9" hidden="1"/>
    <cellStyle name="Lien hypertexte visité" xfId="2800" builtinId="9" hidden="1"/>
    <cellStyle name="Lien hypertexte visité" xfId="7414" builtinId="9" hidden="1"/>
    <cellStyle name="Lien hypertexte visité" xfId="10999" builtinId="9" hidden="1"/>
    <cellStyle name="Lien hypertexte visité" xfId="16699" builtinId="9" hidden="1"/>
    <cellStyle name="Lien hypertexte visité" xfId="10966" builtinId="9" hidden="1"/>
    <cellStyle name="Lien hypertexte visité" xfId="13474" builtinId="9" hidden="1"/>
    <cellStyle name="Lien hypertexte visité" xfId="18328" builtinId="9" hidden="1"/>
    <cellStyle name="Lien hypertexte visité" xfId="23336" builtinId="9" hidden="1"/>
    <cellStyle name="Lien hypertexte visité" xfId="19978" builtinId="9" hidden="1"/>
    <cellStyle name="Lien hypertexte visité" xfId="24282" builtinId="9" hidden="1"/>
    <cellStyle name="Lien hypertexte visité" xfId="12474" builtinId="9" hidden="1"/>
    <cellStyle name="Lien hypertexte visité" xfId="20672" builtinId="9" hidden="1"/>
    <cellStyle name="Lien hypertexte visité" xfId="10434" builtinId="9" hidden="1"/>
    <cellStyle name="Lien hypertexte visité" xfId="5414" builtinId="9" hidden="1"/>
    <cellStyle name="Lien hypertexte visité" xfId="6500" builtinId="9" hidden="1"/>
    <cellStyle name="Lien hypertexte visité" xfId="6179" builtinId="9" hidden="1"/>
    <cellStyle name="Lien hypertexte visité" xfId="9252" builtinId="9" hidden="1"/>
    <cellStyle name="Lien hypertexte visité" xfId="13204" builtinId="9" hidden="1"/>
    <cellStyle name="Lien hypertexte visité" xfId="19748" builtinId="9" hidden="1"/>
    <cellStyle name="Lien hypertexte visité" xfId="23334" builtinId="9" hidden="1"/>
    <cellStyle name="Lien hypertexte visité" xfId="9476" builtinId="9" hidden="1"/>
    <cellStyle name="Lien hypertexte visité" xfId="145" builtinId="9" hidden="1"/>
    <cellStyle name="Lien hypertexte visité" xfId="4291" builtinId="9" hidden="1"/>
    <cellStyle name="Lien hypertexte visité" xfId="4471" builtinId="9" hidden="1"/>
    <cellStyle name="Lien hypertexte visité" xfId="7832" builtinId="9" hidden="1"/>
    <cellStyle name="Lien hypertexte visité" xfId="6727" builtinId="9" hidden="1"/>
    <cellStyle name="Lien hypertexte visité" xfId="4951" builtinId="9" hidden="1"/>
    <cellStyle name="Lien hypertexte visité" xfId="3117" builtinId="9" hidden="1"/>
    <cellStyle name="Lien hypertexte visité" xfId="917" builtinId="9" hidden="1"/>
    <cellStyle name="Lien hypertexte visité" xfId="22084" builtinId="9" hidden="1"/>
    <cellStyle name="Lien hypertexte visité" xfId="24390" builtinId="9" hidden="1"/>
    <cellStyle name="Lien hypertexte visité" xfId="17269" builtinId="9" hidden="1"/>
    <cellStyle name="Lien hypertexte visité" xfId="11940" builtinId="9" hidden="1"/>
    <cellStyle name="Lien hypertexte visité" xfId="8868" builtinId="9" hidden="1"/>
    <cellStyle name="Lien hypertexte visité" xfId="17303" builtinId="9" hidden="1"/>
    <cellStyle name="Lien hypertexte visité" xfId="5156" builtinId="9" hidden="1"/>
    <cellStyle name="Lien hypertexte visité" xfId="7487" builtinId="9" hidden="1"/>
    <cellStyle name="Lien hypertexte visité" xfId="3907" builtinId="9" hidden="1"/>
    <cellStyle name="Lien hypertexte visité" xfId="1861" builtinId="9" hidden="1"/>
    <cellStyle name="Lien hypertexte visité" xfId="6475" builtinId="9" hidden="1"/>
    <cellStyle name="Lien hypertexte visité" xfId="10060" builtinId="9" hidden="1"/>
    <cellStyle name="Lien hypertexte visité" xfId="14821" builtinId="9" hidden="1"/>
    <cellStyle name="Lien hypertexte visité" xfId="21972" builtinId="9" hidden="1"/>
    <cellStyle name="Lien hypertexte visité" xfId="18055" builtinId="9" hidden="1"/>
    <cellStyle name="Lien hypertexte visité" xfId="12701" builtinId="9" hidden="1"/>
    <cellStyle name="Lien hypertexte visité" xfId="8093" builtinId="9" hidden="1"/>
    <cellStyle name="Lien hypertexte visité" xfId="3678" builtinId="9" hidden="1"/>
    <cellStyle name="Lien hypertexte visité" xfId="1255" builtinId="9" hidden="1"/>
    <cellStyle name="Lien hypertexte visité" xfId="5678" builtinId="9" hidden="1"/>
    <cellStyle name="Lien hypertexte visité" xfId="9455" builtinId="9" hidden="1"/>
    <cellStyle name="Lien hypertexte visité" xfId="13871" builtinId="9" hidden="1"/>
    <cellStyle name="Lien hypertexte visité" xfId="9374" builtinId="9" hidden="1"/>
    <cellStyle name="Lien hypertexte visité" xfId="12318" builtinId="9" hidden="1"/>
    <cellStyle name="Lien hypertexte visité" xfId="16265" builtinId="9" hidden="1"/>
    <cellStyle name="Lien hypertexte visité" xfId="21024" builtinId="9" hidden="1"/>
    <cellStyle name="Lien hypertexte visité" xfId="22058" builtinId="9" hidden="1"/>
    <cellStyle name="Lien hypertexte visité" xfId="17355" builtinId="9" hidden="1"/>
    <cellStyle name="Lien hypertexte visité" xfId="13994" builtinId="9" hidden="1"/>
    <cellStyle name="Lien hypertexte visité" xfId="4321" builtinId="9" hidden="1"/>
    <cellStyle name="Lien hypertexte visité" xfId="6957" builtinId="9" hidden="1"/>
    <cellStyle name="Lien hypertexte visité" xfId="2915" builtinId="9" hidden="1"/>
    <cellStyle name="Lien hypertexte visité" xfId="2195" builtinId="9" hidden="1"/>
    <cellStyle name="Lien hypertexte visité" xfId="2947" builtinId="9" hidden="1"/>
    <cellStyle name="Lien hypertexte visité" xfId="4905" builtinId="9" hidden="1"/>
    <cellStyle name="Lien hypertexte visité" xfId="6053" builtinId="9" hidden="1"/>
    <cellStyle name="Lien hypertexte visité" xfId="4005" builtinId="9" hidden="1"/>
    <cellStyle name="Lien hypertexte visité" xfId="15191" builtinId="9" hidden="1"/>
    <cellStyle name="Lien hypertexte visité" xfId="11909" builtinId="9" hidden="1"/>
    <cellStyle name="Lien hypertexte visité" xfId="9397" builtinId="9" hidden="1"/>
    <cellStyle name="Lien hypertexte visité" xfId="6452" builtinId="9" hidden="1"/>
    <cellStyle name="Lien hypertexte visité" xfId="1155" builtinId="9" hidden="1"/>
    <cellStyle name="Lien hypertexte visité" xfId="783" builtinId="9" hidden="1"/>
    <cellStyle name="Lien hypertexte visité" xfId="2688" builtinId="9" hidden="1"/>
    <cellStyle name="Lien hypertexte visité" xfId="5638" builtinId="9" hidden="1"/>
    <cellStyle name="Lien hypertexte visité" xfId="8711" builtinId="9" hidden="1"/>
    <cellStyle name="Lien hypertexte visité" xfId="11095" builtinId="9" hidden="1"/>
    <cellStyle name="Lien hypertexte visité" xfId="14167" builtinId="9" hidden="1"/>
    <cellStyle name="Lien hypertexte visité" xfId="8654" builtinId="9" hidden="1"/>
    <cellStyle name="Lien hypertexte visité" xfId="10702" builtinId="9" hidden="1"/>
    <cellStyle name="Lien hypertexte visité" xfId="12290" builtinId="9" hidden="1"/>
    <cellStyle name="Lien hypertexte visité" xfId="14338" builtinId="9" hidden="1"/>
    <cellStyle name="Lien hypertexte visité" xfId="18257" builtinId="9" hidden="1"/>
    <cellStyle name="Lien hypertexte visité" xfId="21416" builtinId="9" hidden="1"/>
    <cellStyle name="Lien hypertexte visité" xfId="23714" builtinId="9" hidden="1"/>
    <cellStyle name="Lien hypertexte visité" xfId="20514" builtinId="9" hidden="1"/>
    <cellStyle name="Lien hypertexte visité" xfId="19930" builtinId="9" hidden="1"/>
    <cellStyle name="Lien hypertexte visité" xfId="19760" builtinId="9" hidden="1"/>
    <cellStyle name="Lien hypertexte visité" xfId="12090" builtinId="9" hidden="1"/>
    <cellStyle name="Lien hypertexte visité" xfId="21810" builtinId="9" hidden="1"/>
    <cellStyle name="Lien hypertexte visité" xfId="17529" builtinId="9" hidden="1"/>
    <cellStyle name="Lien hypertexte visité" xfId="10050" builtinId="9" hidden="1"/>
    <cellStyle name="Lien hypertexte visité" xfId="11239" builtinId="9" hidden="1"/>
    <cellStyle name="Lien hypertexte visité" xfId="2272" builtinId="9" hidden="1"/>
    <cellStyle name="Lien hypertexte visité" xfId="1888" builtinId="9" hidden="1"/>
    <cellStyle name="Lien hypertexte visité" xfId="18712" builtinId="9" hidden="1"/>
    <cellStyle name="Lien hypertexte visité" xfId="23664" builtinId="9" hidden="1"/>
    <cellStyle name="Lien hypertexte visité" xfId="24098" builtinId="9" hidden="1"/>
    <cellStyle name="Lien hypertexte visité" xfId="13686" builtinId="9" hidden="1"/>
    <cellStyle name="Lien hypertexte visité" xfId="8910" builtinId="9" hidden="1"/>
    <cellStyle name="Lien hypertexte visité" xfId="7734" builtinId="9" hidden="1"/>
    <cellStyle name="Lien hypertexte visité" xfId="65" builtinId="9" hidden="1"/>
    <cellStyle name="Lien hypertexte visité" xfId="9813" builtinId="9" hidden="1"/>
    <cellStyle name="Lien hypertexte visité" xfId="4957" builtinId="9" hidden="1"/>
    <cellStyle name="Lien hypertexte visité" xfId="1711" builtinId="9" hidden="1"/>
    <cellStyle name="Lien hypertexte visité" xfId="6005" builtinId="9" hidden="1"/>
    <cellStyle name="Lien hypertexte visité" xfId="18874" builtinId="9" hidden="1"/>
    <cellStyle name="Lien hypertexte visité" xfId="14278" builtinId="9" hidden="1"/>
    <cellStyle name="Lien hypertexte visité" xfId="14255" builtinId="9" hidden="1"/>
    <cellStyle name="Lien hypertexte visité" xfId="287" builtinId="9" hidden="1"/>
    <cellStyle name="Lien hypertexte visité" xfId="22970" builtinId="9" hidden="1"/>
    <cellStyle name="Lien hypertexte visité" xfId="5837" builtinId="9" hidden="1"/>
    <cellStyle name="Lien hypertexte visité" xfId="8407" builtinId="9" hidden="1"/>
    <cellStyle name="Lien hypertexte visité" xfId="21032" builtinId="9" hidden="1"/>
    <cellStyle name="Lien hypertexte visité" xfId="4966" builtinId="9" hidden="1"/>
    <cellStyle name="Lien hypertexte visité" xfId="16667" builtinId="9" hidden="1"/>
    <cellStyle name="Lien hypertexte visité" xfId="14138" builtinId="9" hidden="1"/>
    <cellStyle name="Lien hypertexte visité" xfId="20810" builtinId="9" hidden="1"/>
    <cellStyle name="Lien hypertexte visité" xfId="18688" builtinId="9" hidden="1"/>
    <cellStyle name="Lien hypertexte visité" xfId="10550" builtinId="9" hidden="1"/>
    <cellStyle name="Lien hypertexte visité" xfId="12119" builtinId="9" hidden="1"/>
    <cellStyle name="Lien hypertexte visité" xfId="3024" builtinId="9" hidden="1"/>
    <cellStyle name="Lien hypertexte visité" xfId="5428" builtinId="9" hidden="1"/>
    <cellStyle name="Lien hypertexte visité" xfId="14519" builtinId="9" hidden="1"/>
    <cellStyle name="Lien hypertexte visité" xfId="2247" builtinId="9" hidden="1"/>
    <cellStyle name="Lien hypertexte visité" xfId="3187" builtinId="9" hidden="1"/>
    <cellStyle name="Lien hypertexte visité" xfId="14753" builtinId="9" hidden="1"/>
    <cellStyle name="Lien hypertexte visité" xfId="23072" builtinId="9" hidden="1"/>
    <cellStyle name="Lien hypertexte visité" xfId="9714" builtinId="9" hidden="1"/>
    <cellStyle name="Lien hypertexte visité" xfId="7214" builtinId="9" hidden="1"/>
    <cellStyle name="Lien hypertexte visité" xfId="7580" builtinId="9" hidden="1"/>
    <cellStyle name="Lien hypertexte visité" xfId="21204" builtinId="9" hidden="1"/>
    <cellStyle name="Lien hypertexte visité" xfId="6987" builtinId="9" hidden="1"/>
    <cellStyle name="Lien hypertexte visité" xfId="7872" builtinId="9" hidden="1"/>
    <cellStyle name="Lien hypertexte visité" xfId="7539" builtinId="9" hidden="1"/>
    <cellStyle name="Lien hypertexte visité" xfId="23972" builtinId="9" hidden="1"/>
    <cellStyle name="Lien hypertexte visité" xfId="1885" builtinId="9" hidden="1"/>
    <cellStyle name="Lien hypertexte visité" xfId="7447" builtinId="9" hidden="1"/>
    <cellStyle name="Lien hypertexte visité" xfId="469" builtinId="9" hidden="1"/>
    <cellStyle name="Lien hypertexte visité" xfId="20644" builtinId="9" hidden="1"/>
    <cellStyle name="Lien hypertexte visité" xfId="5875" builtinId="9" hidden="1"/>
    <cellStyle name="Lien hypertexte visité" xfId="14747" builtinId="9" hidden="1"/>
    <cellStyle name="Lien hypertexte visité" xfId="22896" builtinId="9" hidden="1"/>
    <cellStyle name="Lien hypertexte visité" xfId="20376" builtinId="9" hidden="1"/>
    <cellStyle name="Lien hypertexte visité" xfId="8354" builtinId="9" hidden="1"/>
    <cellStyle name="Lien hypertexte visité" xfId="2448" builtinId="9" hidden="1"/>
    <cellStyle name="Lien hypertexte visité" xfId="9621" builtinId="9" hidden="1"/>
    <cellStyle name="Lien hypertexte visité" xfId="5545" builtinId="9" hidden="1"/>
    <cellStyle name="Lien hypertexte visité" xfId="7045" builtinId="9" hidden="1"/>
    <cellStyle name="Lien hypertexte visité" xfId="21920" builtinId="9" hidden="1"/>
    <cellStyle name="Lien hypertexte visité" xfId="14571" builtinId="9" hidden="1"/>
    <cellStyle name="Lien hypertexte visité" xfId="7100" builtinId="9" hidden="1"/>
    <cellStyle name="Lien hypertexte visité" xfId="11564" builtinId="9" hidden="1"/>
    <cellStyle name="Lien hypertexte visité" xfId="5983" builtinId="9" hidden="1"/>
    <cellStyle name="Lien hypertexte visité" xfId="12001" builtinId="9" hidden="1"/>
    <cellStyle name="Lien hypertexte visité" xfId="17917" builtinId="9" hidden="1"/>
    <cellStyle name="Lien hypertexte visité" xfId="11433" builtinId="9" hidden="1"/>
    <cellStyle name="Lien hypertexte visité" xfId="3308" builtinId="9" hidden="1"/>
    <cellStyle name="Lien hypertexte visité" xfId="16435" builtinId="9" hidden="1"/>
    <cellStyle name="Lien hypertexte visité" xfId="4746" builtinId="9" hidden="1"/>
    <cellStyle name="Lien hypertexte visité" xfId="14079" builtinId="9" hidden="1"/>
    <cellStyle name="Lien hypertexte visité" xfId="17137" builtinId="9" hidden="1"/>
    <cellStyle name="Lien hypertexte visité" xfId="20616" builtinId="9" hidden="1"/>
    <cellStyle name="Lien hypertexte visité" xfId="24130" builtinId="9" hidden="1"/>
    <cellStyle name="Lien hypertexte visité" xfId="20626" builtinId="9" hidden="1"/>
    <cellStyle name="Lien hypertexte visité" xfId="20730" builtinId="9" hidden="1"/>
    <cellStyle name="Lien hypertexte visité" xfId="14945" builtinId="9" hidden="1"/>
    <cellStyle name="Lien hypertexte visité" xfId="9482" builtinId="9" hidden="1"/>
    <cellStyle name="Lien hypertexte visité" xfId="5485" builtinId="9" hidden="1"/>
    <cellStyle name="Lien hypertexte visité" xfId="6981" builtinId="9" hidden="1"/>
    <cellStyle name="Lien hypertexte visité" xfId="7326" builtinId="9" hidden="1"/>
    <cellStyle name="Lien hypertexte visité" xfId="3046" builtinId="9" hidden="1"/>
    <cellStyle name="Lien hypertexte visité" xfId="15143" builtinId="9" hidden="1"/>
    <cellStyle name="Lien hypertexte visité" xfId="12540" builtinId="9" hidden="1"/>
    <cellStyle name="Lien hypertexte visité" xfId="3317" builtinId="9" hidden="1"/>
    <cellStyle name="Lien hypertexte visité" xfId="359" builtinId="9" hidden="1"/>
    <cellStyle name="Lien hypertexte visité" xfId="7256" builtinId="9" hidden="1"/>
    <cellStyle name="Lien hypertexte visité" xfId="15023" builtinId="9" hidden="1"/>
    <cellStyle name="Lien hypertexte visité" xfId="21260" builtinId="9" hidden="1"/>
    <cellStyle name="Lien hypertexte visité" xfId="10040" builtinId="9" hidden="1"/>
    <cellStyle name="Lien hypertexte visité" xfId="11337" builtinId="9" hidden="1"/>
    <cellStyle name="Lien hypertexte visité" xfId="11209" builtinId="9" hidden="1"/>
    <cellStyle name="Lien hypertexte visité" xfId="23630" builtinId="9" hidden="1"/>
    <cellStyle name="Lien hypertexte visité" xfId="13920" builtinId="9" hidden="1"/>
    <cellStyle name="Lien hypertexte visité" xfId="9768" builtinId="9" hidden="1"/>
    <cellStyle name="Lien hypertexte visité" xfId="11816" builtinId="9" hidden="1"/>
    <cellStyle name="Lien hypertexte visité" xfId="14440" builtinId="9" hidden="1"/>
    <cellStyle name="Lien hypertexte visité" xfId="19596" builtinId="9" hidden="1"/>
    <cellStyle name="Lien hypertexte visité" xfId="23692" builtinId="9" hidden="1"/>
    <cellStyle name="Lien hypertexte visité" xfId="20334" builtinId="9" hidden="1"/>
    <cellStyle name="Lien hypertexte visité" xfId="16255" builtinId="9" hidden="1"/>
    <cellStyle name="Lien hypertexte visité" xfId="12761" builtinId="9" hidden="1"/>
    <cellStyle name="Lien hypertexte visité" xfId="10713" builtinId="9" hidden="1"/>
    <cellStyle name="Lien hypertexte visité" xfId="8089" builtinId="9" hidden="1"/>
    <cellStyle name="Lien hypertexte visité" xfId="5488" builtinId="9" hidden="1"/>
    <cellStyle name="Lien hypertexte visité" xfId="3434" builtinId="9" hidden="1"/>
    <cellStyle name="Lien hypertexte visité" xfId="455" builtinId="9" hidden="1"/>
    <cellStyle name="Lien hypertexte visité" xfId="6607" builtinId="9" hidden="1"/>
    <cellStyle name="Lien hypertexte visité" xfId="2665" builtinId="9" hidden="1"/>
    <cellStyle name="Lien hypertexte visité" xfId="1717" builtinId="9" hidden="1"/>
    <cellStyle name="Lien hypertexte visité" xfId="5467" builtinId="9" hidden="1"/>
    <cellStyle name="Lien hypertexte visité" xfId="13099" builtinId="9" hidden="1"/>
    <cellStyle name="Lien hypertexte visité" xfId="2836" builtinId="9" hidden="1"/>
    <cellStyle name="Lien hypertexte visité" xfId="12543" builtinId="9" hidden="1"/>
    <cellStyle name="Lien hypertexte visité" xfId="3068" builtinId="9" hidden="1"/>
    <cellStyle name="Lien hypertexte visité" xfId="15903" builtinId="9" hidden="1"/>
    <cellStyle name="Lien hypertexte visité" xfId="18141" builtinId="9" hidden="1"/>
    <cellStyle name="Lien hypertexte visité" xfId="10361" builtinId="9" hidden="1"/>
    <cellStyle name="Lien hypertexte visité" xfId="22588" builtinId="9" hidden="1"/>
    <cellStyle name="Lien hypertexte visité" xfId="14203" builtinId="9" hidden="1"/>
    <cellStyle name="Lien hypertexte visité" xfId="3076" builtinId="9" hidden="1"/>
    <cellStyle name="Lien hypertexte visité" xfId="9227" builtinId="9" hidden="1"/>
    <cellStyle name="Lien hypertexte visité" xfId="7835" builtinId="9" hidden="1"/>
    <cellStyle name="Lien hypertexte visité" xfId="1604" builtinId="9" hidden="1"/>
    <cellStyle name="Lien hypertexte visité" xfId="16403" builtinId="9" hidden="1"/>
    <cellStyle name="Lien hypertexte visité" xfId="2674" builtinId="9" hidden="1"/>
    <cellStyle name="Lien hypertexte visité" xfId="15855" builtinId="9" hidden="1"/>
    <cellStyle name="Lien hypertexte visité" xfId="11504" builtinId="9" hidden="1"/>
    <cellStyle name="Lien hypertexte visité" xfId="311" builtinId="9" hidden="1"/>
    <cellStyle name="Lien hypertexte visité" xfId="13068" builtinId="9" hidden="1"/>
    <cellStyle name="Lien hypertexte visité" xfId="23184" builtinId="9" hidden="1"/>
    <cellStyle name="Lien hypertexte visité" xfId="3456" builtinId="9" hidden="1"/>
    <cellStyle name="Lien hypertexte visité" xfId="20274" builtinId="9" hidden="1"/>
    <cellStyle name="Lien hypertexte visité" xfId="16849" builtinId="9" hidden="1"/>
    <cellStyle name="Lien hypertexte visité" xfId="21026" builtinId="9" hidden="1"/>
    <cellStyle name="Lien hypertexte visité" xfId="11662" builtinId="9" hidden="1"/>
    <cellStyle name="Lien hypertexte visité" xfId="6486" builtinId="9" hidden="1"/>
    <cellStyle name="Lien hypertexte visité" xfId="9221" builtinId="9" hidden="1"/>
    <cellStyle name="Lien hypertexte visité" xfId="2383" builtinId="9" hidden="1"/>
    <cellStyle name="Lien hypertexte visité" xfId="9770" builtinId="9" hidden="1"/>
    <cellStyle name="Lien hypertexte visité" xfId="13170" builtinId="9" hidden="1"/>
    <cellStyle name="Lien hypertexte visité" xfId="1512" builtinId="9" hidden="1"/>
    <cellStyle name="Lien hypertexte visité" xfId="20692" builtinId="9" hidden="1"/>
    <cellStyle name="Lien hypertexte visité" xfId="5375" builtinId="9" hidden="1"/>
    <cellStyle name="Lien hypertexte visité" xfId="15061" builtinId="9" hidden="1"/>
    <cellStyle name="Lien hypertexte visité" xfId="5143" builtinId="9" hidden="1"/>
    <cellStyle name="Lien hypertexte visité" xfId="885" builtinId="9" hidden="1"/>
    <cellStyle name="Lien hypertexte visité" xfId="8004" builtinId="9" hidden="1"/>
    <cellStyle name="Lien hypertexte visité" xfId="23450" builtinId="9" hidden="1"/>
    <cellStyle name="Lien hypertexte visité" xfId="13646" builtinId="9" hidden="1"/>
    <cellStyle name="Lien hypertexte visité" xfId="2192" builtinId="9" hidden="1"/>
    <cellStyle name="Lien hypertexte visité" xfId="6477" builtinId="9" hidden="1"/>
    <cellStyle name="Lien hypertexte visité" xfId="18490" builtinId="9" hidden="1"/>
    <cellStyle name="Lien hypertexte visité" xfId="5966" builtinId="9" hidden="1"/>
    <cellStyle name="Lien hypertexte visité" xfId="11180" builtinId="9" hidden="1"/>
    <cellStyle name="Lien hypertexte visité" xfId="9529" builtinId="9" hidden="1"/>
    <cellStyle name="Lien hypertexte visité" xfId="12096" builtinId="9" hidden="1"/>
    <cellStyle name="Lien hypertexte visité" xfId="11731" builtinId="9" hidden="1"/>
    <cellStyle name="Lien hypertexte visité" xfId="4970" builtinId="9" hidden="1"/>
    <cellStyle name="Lien hypertexte visité" xfId="2904" builtinId="9" hidden="1"/>
    <cellStyle name="Lien hypertexte visité" xfId="23540" builtinId="9" hidden="1"/>
    <cellStyle name="Lien hypertexte visité" xfId="3951" builtinId="9" hidden="1"/>
    <cellStyle name="Lien hypertexte visité" xfId="11569" builtinId="9" hidden="1"/>
    <cellStyle name="Lien hypertexte visité" xfId="13008" builtinId="9" hidden="1"/>
    <cellStyle name="Lien hypertexte visité" xfId="10912" builtinId="9" hidden="1"/>
    <cellStyle name="Lien hypertexte visité" xfId="11772" builtinId="9" hidden="1"/>
    <cellStyle name="Lien hypertexte visité" xfId="9034" builtinId="9" hidden="1"/>
    <cellStyle name="Lien hypertexte visité" xfId="16457" builtinId="9" hidden="1"/>
    <cellStyle name="Lien hypertexte visité" xfId="953" builtinId="9" hidden="1"/>
    <cellStyle name="Lien hypertexte visité" xfId="4893" builtinId="9" hidden="1"/>
    <cellStyle name="Lien hypertexte visité" xfId="6977" builtinId="9" hidden="1"/>
    <cellStyle name="Lien hypertexte visité" xfId="18810" builtinId="9" hidden="1"/>
    <cellStyle name="Lien hypertexte visité" xfId="24386" builtinId="9" hidden="1"/>
    <cellStyle name="Lien hypertexte visité" xfId="9062" builtinId="9" hidden="1"/>
    <cellStyle name="Lien hypertexte visité" xfId="7389" builtinId="9" hidden="1"/>
    <cellStyle name="Lien hypertexte visité" xfId="5109" builtinId="9" hidden="1"/>
    <cellStyle name="Lien hypertexte visité" xfId="15537" builtinId="9" hidden="1"/>
    <cellStyle name="Lien hypertexte visité" xfId="4366" builtinId="9" hidden="1"/>
    <cellStyle name="Lien hypertexte visité" xfId="22838" builtinId="9" hidden="1"/>
    <cellStyle name="Lien hypertexte visité" xfId="2585" builtinId="9" hidden="1"/>
    <cellStyle name="Lien hypertexte visité" xfId="10593" builtinId="9" hidden="1"/>
    <cellStyle name="Lien hypertexte visité" xfId="13960" builtinId="9" hidden="1"/>
    <cellStyle name="Lien hypertexte visité" xfId="1826" builtinId="9" hidden="1"/>
    <cellStyle name="Lien hypertexte visité" xfId="10875" builtinId="9" hidden="1"/>
    <cellStyle name="Lien hypertexte visité" xfId="12899" builtinId="9" hidden="1"/>
    <cellStyle name="Lien hypertexte visité" xfId="8510" builtinId="9" hidden="1"/>
    <cellStyle name="Lien hypertexte visité" xfId="1848" builtinId="9" hidden="1"/>
    <cellStyle name="Lien hypertexte visité" xfId="13901" builtinId="9" hidden="1"/>
    <cellStyle name="Lien hypertexte visité" xfId="10652" builtinId="9" hidden="1"/>
    <cellStyle name="Lien hypertexte visité" xfId="5039" builtinId="9" hidden="1"/>
    <cellStyle name="Lien hypertexte visité" xfId="7448" builtinId="9" hidden="1"/>
    <cellStyle name="Lien hypertexte visité" xfId="19822" builtinId="9" hidden="1"/>
    <cellStyle name="Lien hypertexte visité" xfId="12304" builtinId="9" hidden="1"/>
    <cellStyle name="Lien hypertexte visité" xfId="11465" builtinId="9" hidden="1"/>
    <cellStyle name="Lien hypertexte visité" xfId="14169" builtinId="9" hidden="1"/>
    <cellStyle name="Lien hypertexte visité" xfId="15429" builtinId="9" hidden="1"/>
    <cellStyle name="Lien hypertexte visité" xfId="9104" builtinId="9" hidden="1"/>
    <cellStyle name="Lien hypertexte visité" xfId="11889" builtinId="9" hidden="1"/>
    <cellStyle name="Lien hypertexte visité" xfId="22644" builtinId="9" hidden="1"/>
    <cellStyle name="Lien hypertexte visité" xfId="5370" builtinId="9" hidden="1"/>
    <cellStyle name="Lien hypertexte visité" xfId="13504" builtinId="9" hidden="1"/>
    <cellStyle name="Lien hypertexte visité" xfId="10476" builtinId="9" hidden="1"/>
    <cellStyle name="Lien hypertexte visité" xfId="17851" builtinId="9" hidden="1"/>
    <cellStyle name="Lien hypertexte visité" xfId="16053" builtinId="9" hidden="1"/>
    <cellStyle name="Lien hypertexte visité" xfId="14615" builtinId="9" hidden="1"/>
    <cellStyle name="Lien hypertexte visité" xfId="13590" builtinId="9" hidden="1"/>
    <cellStyle name="Lien hypertexte visité" xfId="18650" builtinId="9" hidden="1"/>
    <cellStyle name="Lien hypertexte visité" xfId="15673" builtinId="9" hidden="1"/>
    <cellStyle name="Lien hypertexte visité" xfId="13767" builtinId="9" hidden="1"/>
    <cellStyle name="Lien hypertexte visité" xfId="1295" builtinId="9" hidden="1"/>
    <cellStyle name="Lien hypertexte visité" xfId="12309" builtinId="9" hidden="1"/>
    <cellStyle name="Lien hypertexte visité" xfId="12868" builtinId="9" hidden="1"/>
    <cellStyle name="Lien hypertexte visité" xfId="7687" builtinId="9" hidden="1"/>
    <cellStyle name="Lien hypertexte visité" xfId="3782" builtinId="9" hidden="1"/>
    <cellStyle name="Lien hypertexte visité" xfId="22502" builtinId="9" hidden="1"/>
    <cellStyle name="Lien hypertexte visité" xfId="22694" builtinId="9" hidden="1"/>
    <cellStyle name="Lien hypertexte visité" xfId="8756" builtinId="9" hidden="1"/>
    <cellStyle name="Lien hypertexte visité" xfId="8100" builtinId="9" hidden="1"/>
    <cellStyle name="Lien hypertexte visité" xfId="5395" builtinId="9" hidden="1"/>
    <cellStyle name="Lien hypertexte visité" xfId="181" builtinId="9" hidden="1"/>
    <cellStyle name="Lien hypertexte visité" xfId="20836" builtinId="9" hidden="1"/>
    <cellStyle name="Lien hypertexte visité" xfId="13828" builtinId="9" hidden="1"/>
    <cellStyle name="Lien hypertexte visité" xfId="5159" builtinId="9" hidden="1"/>
    <cellStyle name="Lien hypertexte visité" xfId="3393" builtinId="9" hidden="1"/>
    <cellStyle name="Lien hypertexte visité" xfId="24290" builtinId="9" hidden="1"/>
    <cellStyle name="Lien hypertexte visité" xfId="8725" builtinId="9" hidden="1"/>
    <cellStyle name="Lien hypertexte visité" xfId="4886" builtinId="9" hidden="1"/>
    <cellStyle name="Lien hypertexte visité" xfId="9174" builtinId="9" hidden="1"/>
    <cellStyle name="Lien hypertexte visité" xfId="20544" builtinId="9" hidden="1"/>
    <cellStyle name="Lien hypertexte visité" xfId="16257" builtinId="9" hidden="1"/>
    <cellStyle name="Lien hypertexte visité" xfId="13223" builtinId="9" hidden="1"/>
    <cellStyle name="Lien hypertexte visité" xfId="7667" builtinId="9" hidden="1"/>
    <cellStyle name="Lien hypertexte visité" xfId="22180" builtinId="9" hidden="1"/>
    <cellStyle name="Lien hypertexte visité" xfId="10334" builtinId="9" hidden="1"/>
    <cellStyle name="Lien hypertexte visité" xfId="2809" builtinId="9" hidden="1"/>
    <cellStyle name="Lien hypertexte visité" xfId="6163" builtinId="9" hidden="1"/>
    <cellStyle name="Lien hypertexte visité" xfId="22948" builtinId="9" hidden="1"/>
    <cellStyle name="Lien hypertexte visité" xfId="4419" builtinId="9" hidden="1"/>
    <cellStyle name="Lien hypertexte visité" xfId="3473" builtinId="9" hidden="1"/>
    <cellStyle name="Lien hypertexte visité" xfId="23876" builtinId="9" hidden="1"/>
    <cellStyle name="Lien hypertexte visité" xfId="10196" builtinId="9" hidden="1"/>
    <cellStyle name="Lien hypertexte visité" xfId="9767" builtinId="9" hidden="1"/>
    <cellStyle name="Lien hypertexte visité" xfId="20528" builtinId="9" hidden="1"/>
    <cellStyle name="Lien hypertexte visité" xfId="16185" builtinId="9" hidden="1"/>
    <cellStyle name="Lien hypertexte visité" xfId="12279" builtinId="9" hidden="1"/>
    <cellStyle name="Lien hypertexte visité" xfId="3567" builtinId="9" hidden="1"/>
    <cellStyle name="Lien hypertexte visité" xfId="4281" builtinId="9" hidden="1"/>
    <cellStyle name="Lien hypertexte visité" xfId="6665" builtinId="9" hidden="1"/>
    <cellStyle name="Lien hypertexte visité" xfId="23112" builtinId="9" hidden="1"/>
    <cellStyle name="Lien hypertexte visité" xfId="9807" builtinId="9" hidden="1"/>
    <cellStyle name="Lien hypertexte visité" xfId="12861" builtinId="9" hidden="1"/>
    <cellStyle name="Lien hypertexte visité" xfId="4267" builtinId="9" hidden="1"/>
    <cellStyle name="Lien hypertexte visité" xfId="6968" builtinId="9" hidden="1"/>
    <cellStyle name="Lien hypertexte visité" xfId="21148" builtinId="9" hidden="1"/>
    <cellStyle name="Lien hypertexte visité" xfId="13225" builtinId="9" hidden="1"/>
    <cellStyle name="Lien hypertexte visité" xfId="2972" builtinId="9" hidden="1"/>
    <cellStyle name="Lien hypertexte visité" xfId="9795" builtinId="9" hidden="1"/>
    <cellStyle name="Lien hypertexte visité" xfId="8915" builtinId="9" hidden="1"/>
    <cellStyle name="Lien hypertexte visité" xfId="5470" builtinId="9" hidden="1"/>
    <cellStyle name="Lien hypertexte visité" xfId="10029" builtinId="9" hidden="1"/>
    <cellStyle name="Lien hypertexte visité" xfId="14428" builtinId="9" hidden="1"/>
    <cellStyle name="Lien hypertexte visité" xfId="1384" builtinId="9" hidden="1"/>
    <cellStyle name="Lien hypertexte visité" xfId="4848" builtinId="9" hidden="1"/>
    <cellStyle name="Lien hypertexte visité" xfId="14767" builtinId="9" hidden="1"/>
    <cellStyle name="Lien hypertexte visité" xfId="14909" builtinId="9" hidden="1"/>
    <cellStyle name="Lien hypertexte visité" xfId="23886" builtinId="9" hidden="1"/>
    <cellStyle name="Lien hypertexte visité" xfId="20236" builtinId="9" hidden="1"/>
    <cellStyle name="Lien hypertexte visité" xfId="4091" builtinId="9" hidden="1"/>
    <cellStyle name="Lien hypertexte visité" xfId="9119" builtinId="9" hidden="1"/>
    <cellStyle name="Lien hypertexte visité" xfId="19408" builtinId="9" hidden="1"/>
    <cellStyle name="Lien hypertexte visité" xfId="19336" builtinId="9" hidden="1"/>
    <cellStyle name="Lien hypertexte visité" xfId="12734" builtinId="9" hidden="1"/>
    <cellStyle name="Lien hypertexte visité" xfId="3872" builtinId="9" hidden="1"/>
    <cellStyle name="Lien hypertexte visité" xfId="2475" builtinId="9" hidden="1"/>
    <cellStyle name="Lien hypertexte visité" xfId="6065" builtinId="9" hidden="1"/>
    <cellStyle name="Lien hypertexte visité" xfId="8210" builtinId="9" hidden="1"/>
    <cellStyle name="Lien hypertexte visité" xfId="3399" builtinId="9" hidden="1"/>
    <cellStyle name="Lien hypertexte visité" xfId="13950" builtinId="9" hidden="1"/>
    <cellStyle name="Lien hypertexte visité" xfId="19090" builtinId="9" hidden="1"/>
    <cellStyle name="Lien hypertexte visité" xfId="6049" builtinId="9" hidden="1"/>
    <cellStyle name="Lien hypertexte visité" xfId="15927" builtinId="9" hidden="1"/>
    <cellStyle name="Lien hypertexte visité" xfId="3319" builtinId="9" hidden="1"/>
    <cellStyle name="Lien hypertexte visité" xfId="6573" builtinId="9" hidden="1"/>
    <cellStyle name="Lien hypertexte visité" xfId="20226" builtinId="9" hidden="1"/>
    <cellStyle name="Lien hypertexte visité" xfId="11954" builtinId="9" hidden="1"/>
    <cellStyle name="Lien hypertexte visité" xfId="6926" builtinId="9" hidden="1"/>
    <cellStyle name="Lien hypertexte visité" xfId="8573" builtinId="9" hidden="1"/>
    <cellStyle name="Lien hypertexte visité" xfId="17189" builtinId="9" hidden="1"/>
    <cellStyle name="Lien hypertexte visité" xfId="1085" builtinId="9" hidden="1"/>
    <cellStyle name="Lien hypertexte visité" xfId="3936" builtinId="9" hidden="1"/>
    <cellStyle name="Lien hypertexte visité" xfId="13665" builtinId="9" hidden="1"/>
    <cellStyle name="Lien hypertexte visité" xfId="16813" builtinId="9" hidden="1"/>
    <cellStyle name="Lien hypertexte visité" xfId="19644" builtinId="9" hidden="1"/>
    <cellStyle name="Lien hypertexte visité" xfId="7298" builtinId="9" hidden="1"/>
    <cellStyle name="Lien hypertexte visité" xfId="12243" builtinId="9" hidden="1"/>
    <cellStyle name="Lien hypertexte visité" xfId="15715" builtinId="9" hidden="1"/>
    <cellStyle name="Lien hypertexte visité" xfId="2292" builtinId="9" hidden="1"/>
    <cellStyle name="Lien hypertexte visité" xfId="4552" builtinId="9" hidden="1"/>
    <cellStyle name="Lien hypertexte visité" xfId="8511" builtinId="9" hidden="1"/>
    <cellStyle name="Lien hypertexte visité" xfId="2374" builtinId="9" hidden="1"/>
    <cellStyle name="Lien hypertexte visité" xfId="12205" builtinId="9" hidden="1"/>
    <cellStyle name="Lien hypertexte visité" xfId="20212" builtinId="9" hidden="1"/>
    <cellStyle name="Lien hypertexte visité" xfId="7579" builtinId="9" hidden="1"/>
    <cellStyle name="Lien hypertexte visité" xfId="3305" builtinId="9" hidden="1"/>
    <cellStyle name="Lien hypertexte visité" xfId="2938" builtinId="9" hidden="1"/>
    <cellStyle name="Lien hypertexte visité" xfId="9497" builtinId="9" hidden="1"/>
    <cellStyle name="Lien hypertexte visité" xfId="17535" builtinId="9" hidden="1"/>
    <cellStyle name="Lien hypertexte visité" xfId="18956" builtinId="9" hidden="1"/>
    <cellStyle name="Lien hypertexte visité" xfId="10256" builtinId="9" hidden="1"/>
    <cellStyle name="Lien hypertexte visité" xfId="15199" builtinId="9" hidden="1"/>
    <cellStyle name="Lien hypertexte visité" xfId="11496" builtinId="9" hidden="1"/>
    <cellStyle name="Lien hypertexte visité" xfId="8025" builtinId="9" hidden="1"/>
    <cellStyle name="Lien hypertexte visité" xfId="9852" builtinId="9" hidden="1"/>
    <cellStyle name="Lien hypertexte visité" xfId="8060" builtinId="9" hidden="1"/>
    <cellStyle name="Lien hypertexte visité" xfId="18638" builtinId="9" hidden="1"/>
    <cellStyle name="Lien hypertexte visité" xfId="16079" builtinId="9" hidden="1"/>
    <cellStyle name="Lien hypertexte visité" xfId="2729" builtinId="9" hidden="1"/>
    <cellStyle name="Lien hypertexte visité" xfId="11341" builtinId="9" hidden="1"/>
    <cellStyle name="Lien hypertexte visité" xfId="1217" builtinId="9" hidden="1"/>
    <cellStyle name="Lien hypertexte visité" xfId="12723" builtinId="9" hidden="1"/>
    <cellStyle name="Lien hypertexte visité" xfId="18508" builtinId="9" hidden="1"/>
    <cellStyle name="Lien hypertexte visité" xfId="2789" builtinId="9" hidden="1"/>
    <cellStyle name="Lien hypertexte visité" xfId="15789" builtinId="9" hidden="1"/>
    <cellStyle name="Lien hypertexte visité" xfId="12717" builtinId="9" hidden="1"/>
    <cellStyle name="Lien hypertexte visité" xfId="13833" builtinId="9" hidden="1"/>
    <cellStyle name="Lien hypertexte visité" xfId="9049" builtinId="9" hidden="1"/>
    <cellStyle name="Lien hypertexte visité" xfId="10536" builtinId="9" hidden="1"/>
    <cellStyle name="Lien hypertexte visité" xfId="9201" builtinId="9" hidden="1"/>
    <cellStyle name="Lien hypertexte visité" xfId="8092" builtinId="9" hidden="1"/>
    <cellStyle name="Lien hypertexte visité" xfId="1958" builtinId="9" hidden="1"/>
    <cellStyle name="Lien hypertexte visité" xfId="1924" builtinId="9" hidden="1"/>
    <cellStyle name="Lien hypertexte visité" xfId="7738" builtinId="9" hidden="1"/>
    <cellStyle name="Lien hypertexte visité" xfId="13241" builtinId="9" hidden="1"/>
    <cellStyle name="Lien hypertexte visité" xfId="18452" builtinId="9" hidden="1"/>
    <cellStyle name="Lien hypertexte visité" xfId="12466" builtinId="9" hidden="1"/>
    <cellStyle name="Lien hypertexte visité" xfId="2979" builtinId="9" hidden="1"/>
    <cellStyle name="Lien hypertexte visité" xfId="19906" builtinId="9" hidden="1"/>
    <cellStyle name="Lien hypertexte visité" xfId="7878" builtinId="9" hidden="1"/>
    <cellStyle name="Lien hypertexte visité" xfId="1543" builtinId="9" hidden="1"/>
    <cellStyle name="Lien hypertexte visité" xfId="16993" builtinId="9" hidden="1"/>
    <cellStyle name="Lien hypertexte visité" xfId="17517" builtinId="9" hidden="1"/>
    <cellStyle name="Lien hypertexte visité" xfId="14193" builtinId="9" hidden="1"/>
    <cellStyle name="Lien hypertexte visité" xfId="15749" builtinId="9" hidden="1"/>
    <cellStyle name="Lien hypertexte visité" xfId="8331" builtinId="9" hidden="1"/>
    <cellStyle name="Lien hypertexte visité" xfId="16031" builtinId="9" hidden="1"/>
    <cellStyle name="Lien hypertexte visité" xfId="8160" builtinId="9" hidden="1"/>
    <cellStyle name="Lien hypertexte visité" xfId="17855" builtinId="9" hidden="1"/>
    <cellStyle name="Lien hypertexte visité" xfId="9304" builtinId="9" hidden="1"/>
    <cellStyle name="Lien hypertexte visité" xfId="6746" builtinId="9" hidden="1"/>
    <cellStyle name="Lien hypertexte visité" xfId="16915" builtinId="9" hidden="1"/>
    <cellStyle name="Lien hypertexte visité" xfId="3645" builtinId="9" hidden="1"/>
    <cellStyle name="Lien hypertexte visité" xfId="12639" builtinId="9" hidden="1"/>
    <cellStyle name="Lien hypertexte visité" xfId="4908" builtinId="9" hidden="1"/>
    <cellStyle name="Lien hypertexte visité" xfId="22614" builtinId="9" hidden="1"/>
    <cellStyle name="Lien hypertexte visité" xfId="6939" builtinId="9" hidden="1"/>
    <cellStyle name="Lien hypertexte visité" xfId="1425" builtinId="9" hidden="1"/>
    <cellStyle name="Lien hypertexte visité" xfId="10545" builtinId="9" hidden="1"/>
    <cellStyle name="Lien hypertexte visité" xfId="24460" builtinId="9" hidden="1"/>
    <cellStyle name="Lien hypertexte visité" xfId="9696" builtinId="9" hidden="1"/>
    <cellStyle name="Lien hypertexte visité" xfId="23502" builtinId="9" hidden="1"/>
    <cellStyle name="Lien hypertexte visité" xfId="6744" builtinId="9" hidden="1"/>
    <cellStyle name="Lien hypertexte visité" xfId="7404" builtinId="9" hidden="1"/>
    <cellStyle name="Lien hypertexte visité" xfId="4441" builtinId="9" hidden="1"/>
    <cellStyle name="Lien hypertexte visité" xfId="21698" builtinId="9" hidden="1"/>
    <cellStyle name="Lien hypertexte visité" xfId="11666" builtinId="9" hidden="1"/>
    <cellStyle name="Lien hypertexte visité" xfId="2167" builtinId="9" hidden="1"/>
    <cellStyle name="Lien hypertexte visité" xfId="6345" builtinId="9" hidden="1"/>
    <cellStyle name="Lien hypertexte visité" xfId="10010" builtinId="9" hidden="1"/>
    <cellStyle name="Lien hypertexte visité" xfId="7653" builtinId="9" hidden="1"/>
    <cellStyle name="Lien hypertexte visité" xfId="2187" builtinId="9" hidden="1"/>
    <cellStyle name="Lien hypertexte visité" xfId="11006" builtinId="9" hidden="1"/>
    <cellStyle name="Lien hypertexte visité" xfId="23096" builtinId="9" hidden="1"/>
    <cellStyle name="Lien hypertexte visité" xfId="13066" builtinId="9" hidden="1"/>
    <cellStyle name="Lien hypertexte visité" xfId="3948" builtinId="9" hidden="1"/>
    <cellStyle name="Lien hypertexte visité" xfId="6513" builtinId="9" hidden="1"/>
    <cellStyle name="Lien hypertexte visité" xfId="3917" builtinId="9" hidden="1"/>
    <cellStyle name="Lien hypertexte visité" xfId="20240" builtinId="9" hidden="1"/>
    <cellStyle name="Lien hypertexte visité" xfId="17585" builtinId="9" hidden="1"/>
    <cellStyle name="Lien hypertexte visité" xfId="14095" builtinId="9" hidden="1"/>
    <cellStyle name="Lien hypertexte visité" xfId="3446" builtinId="9" hidden="1"/>
    <cellStyle name="Lien hypertexte visité" xfId="19766" builtinId="9" hidden="1"/>
    <cellStyle name="Lien hypertexte visité" xfId="8300" builtinId="9" hidden="1"/>
    <cellStyle name="Lien hypertexte visité" xfId="85" builtinId="9" hidden="1"/>
    <cellStyle name="Lien hypertexte visité" xfId="9569" builtinId="9" hidden="1"/>
    <cellStyle name="Lien hypertexte visité" xfId="22878" builtinId="9" hidden="1"/>
    <cellStyle name="Lien hypertexte visité" xfId="9520" builtinId="9" hidden="1"/>
    <cellStyle name="Lien hypertexte visité" xfId="4904" builtinId="9" hidden="1"/>
    <cellStyle name="Lien hypertexte visité" xfId="3052" builtinId="9" hidden="1"/>
    <cellStyle name="Lien hypertexte visité" xfId="15379" builtinId="9" hidden="1"/>
    <cellStyle name="Lien hypertexte visité" xfId="12083" builtinId="9" hidden="1"/>
    <cellStyle name="Lien hypertexte visité" xfId="6610" builtinId="9" hidden="1"/>
    <cellStyle name="Lien hypertexte visité" xfId="11903" builtinId="9" hidden="1"/>
    <cellStyle name="Lien hypertexte visité" xfId="2872" builtinId="9" hidden="1"/>
    <cellStyle name="Lien hypertexte visité" xfId="7436" builtinId="9" hidden="1"/>
    <cellStyle name="Lien hypertexte visité" xfId="22166" builtinId="9" hidden="1"/>
    <cellStyle name="Lien hypertexte visité" xfId="11676" builtinId="9" hidden="1"/>
    <cellStyle name="Lien hypertexte visité" xfId="2613" builtinId="9" hidden="1"/>
    <cellStyle name="Lien hypertexte visité" xfId="151" builtinId="9" hidden="1"/>
    <cellStyle name="Lien hypertexte visité" xfId="6768" builtinId="9" hidden="1"/>
    <cellStyle name="Lien hypertexte visité" xfId="12849" builtinId="9" hidden="1"/>
    <cellStyle name="Lien hypertexte visité" xfId="23516" builtinId="9" hidden="1"/>
    <cellStyle name="Lien hypertexte visité" xfId="12984" builtinId="9" hidden="1"/>
    <cellStyle name="Lien hypertexte visité" xfId="14861" builtinId="9" hidden="1"/>
    <cellStyle name="Lien hypertexte visité" xfId="20942" builtinId="9" hidden="1"/>
    <cellStyle name="Lien hypertexte visité" xfId="17919" builtinId="9" hidden="1"/>
    <cellStyle name="Lien hypertexte visité" xfId="5647" builtinId="9" hidden="1"/>
    <cellStyle name="Lien hypertexte visité" xfId="10861" builtinId="9" hidden="1"/>
    <cellStyle name="Lien hypertexte visité" xfId="15981" builtinId="9" hidden="1"/>
    <cellStyle name="Lien hypertexte visité" xfId="14288" builtinId="9" hidden="1"/>
    <cellStyle name="Lien hypertexte visité" xfId="3002" builtinId="9" hidden="1"/>
    <cellStyle name="Lien hypertexte visité" xfId="16517" builtinId="9" hidden="1"/>
    <cellStyle name="Lien hypertexte visité" xfId="4830" builtinId="9" hidden="1"/>
    <cellStyle name="Lien hypertexte visité" xfId="15843" builtinId="9" hidden="1"/>
    <cellStyle name="Lien hypertexte visité" xfId="18322" builtinId="9" hidden="1"/>
    <cellStyle name="Lien hypertexte visité" xfId="7608" builtinId="9" hidden="1"/>
    <cellStyle name="Lien hypertexte visité" xfId="21302" builtinId="9" hidden="1"/>
    <cellStyle name="Lien hypertexte visité" xfId="7916" builtinId="9" hidden="1"/>
    <cellStyle name="Lien hypertexte visité" xfId="6559" builtinId="9" hidden="1"/>
    <cellStyle name="Lien hypertexte visité" xfId="9657" builtinId="9" hidden="1"/>
    <cellStyle name="Lien hypertexte visité" xfId="23902" builtinId="9" hidden="1"/>
    <cellStyle name="Lien hypertexte visité" xfId="11056" builtinId="9" hidden="1"/>
    <cellStyle name="Lien hypertexte visité" xfId="4136" builtinId="9" hidden="1"/>
    <cellStyle name="Lien hypertexte visité" xfId="2980" builtinId="9" hidden="1"/>
    <cellStyle name="Lien hypertexte visité" xfId="13587" builtinId="9" hidden="1"/>
    <cellStyle name="Lien hypertexte visité" xfId="12491" builtinId="9" hidden="1"/>
    <cellStyle name="Lien hypertexte visité" xfId="6834" builtinId="9" hidden="1"/>
    <cellStyle name="Lien hypertexte visité" xfId="13695" builtinId="9" hidden="1"/>
    <cellStyle name="Lien hypertexte visité" xfId="2776" builtinId="9" hidden="1"/>
    <cellStyle name="Lien hypertexte visité" xfId="7949" builtinId="9" hidden="1"/>
    <cellStyle name="Lien hypertexte visité" xfId="19094" builtinId="9" hidden="1"/>
    <cellStyle name="Lien hypertexte visité" xfId="11420" builtinId="9" hidden="1"/>
    <cellStyle name="Lien hypertexte visité" xfId="2517" builtinId="9" hidden="1"/>
    <cellStyle name="Lien hypertexte visité" xfId="8176" builtinId="9" hidden="1"/>
    <cellStyle name="Lien hypertexte visité" xfId="7104" builtinId="9" hidden="1"/>
    <cellStyle name="Lien hypertexte visité" xfId="13017" builtinId="9" hidden="1"/>
    <cellStyle name="Lien hypertexte visité" xfId="23326" builtinId="9" hidden="1"/>
    <cellStyle name="Lien hypertexte visité" xfId="12920" builtinId="9" hidden="1"/>
    <cellStyle name="Lien hypertexte visité" xfId="16909" builtinId="9" hidden="1"/>
    <cellStyle name="Lien hypertexte visité" xfId="8521" builtinId="9" hidden="1"/>
    <cellStyle name="Lien hypertexte visité" xfId="16895" builtinId="9" hidden="1"/>
    <cellStyle name="Lien hypertexte visité" xfId="5391" builtinId="9" hidden="1"/>
    <cellStyle name="Lien hypertexte visité" xfId="14887" builtinId="9" hidden="1"/>
    <cellStyle name="Lien hypertexte visité" xfId="19478" builtinId="9" hidden="1"/>
    <cellStyle name="Lien hypertexte visité" xfId="13436" builtinId="9" hidden="1"/>
    <cellStyle name="Lien hypertexte visité" xfId="4475" builtinId="9" hidden="1"/>
    <cellStyle name="Lien hypertexte visité" xfId="7695" builtinId="9" hidden="1"/>
    <cellStyle name="Lien hypertexte visité" xfId="5808" builtinId="9" hidden="1"/>
    <cellStyle name="Lien hypertexte visité" xfId="11777" builtinId="9" hidden="1"/>
    <cellStyle name="Lien hypertexte visité" xfId="23358" builtinId="9" hidden="1"/>
    <cellStyle name="Lien hypertexte visité" xfId="14224" builtinId="9" hidden="1"/>
    <cellStyle name="Lien hypertexte visité" xfId="11680" builtinId="9" hidden="1"/>
    <cellStyle name="Lien hypertexte visité" xfId="6664" builtinId="9" hidden="1"/>
    <cellStyle name="Lien hypertexte visité" xfId="12681" builtinId="9" hidden="1"/>
    <cellStyle name="Lien hypertexte visité" xfId="22350" builtinId="9" hidden="1"/>
    <cellStyle name="Lien hypertexte visité" xfId="13344" builtinId="9" hidden="1"/>
    <cellStyle name="Lien hypertexte visité" xfId="9464" builtinId="9" hidden="1"/>
    <cellStyle name="Lien hypertexte visité" xfId="11448" builtinId="9" hidden="1"/>
    <cellStyle name="Lien hypertexte visité" xfId="13904" builtinId="9" hidden="1"/>
    <cellStyle name="Lien hypertexte visité" xfId="17133" builtinId="9" hidden="1"/>
    <cellStyle name="Lien hypertexte visité" xfId="21468" builtinId="9" hidden="1"/>
    <cellStyle name="Lien hypertexte visité" xfId="22974" builtinId="9" hidden="1"/>
    <cellStyle name="Lien hypertexte visité" xfId="19006" builtinId="9" hidden="1"/>
    <cellStyle name="Lien hypertexte visité" xfId="15055" builtinId="9" hidden="1"/>
    <cellStyle name="Lien hypertexte visité" xfId="12401" builtinId="9" hidden="1"/>
    <cellStyle name="Lien hypertexte visité" xfId="10225" builtinId="9" hidden="1"/>
    <cellStyle name="Lien hypertexte visité" xfId="8305" builtinId="9" hidden="1"/>
    <cellStyle name="Lien hypertexte visité" xfId="5848" builtinId="9" hidden="1"/>
    <cellStyle name="Lien hypertexte visité" xfId="3867" builtinId="9" hidden="1"/>
    <cellStyle name="Lien hypertexte visité" xfId="1746" builtinId="9" hidden="1"/>
    <cellStyle name="Lien hypertexte visité" xfId="7407" builtinId="9" hidden="1"/>
    <cellStyle name="Lien hypertexte visité" xfId="4527" builtinId="9" hidden="1"/>
    <cellStyle name="Lien hypertexte visité" xfId="1513" builtinId="9" hidden="1"/>
    <cellStyle name="Lien hypertexte visité" xfId="3285" builtinId="9" hidden="1"/>
    <cellStyle name="Lien hypertexte visité" xfId="6459" builtinId="9" hidden="1"/>
    <cellStyle name="Lien hypertexte visité" xfId="9436" builtinId="9" hidden="1"/>
    <cellStyle name="Lien hypertexte visité" xfId="13020" builtinId="9" hidden="1"/>
    <cellStyle name="Lien hypertexte visité" xfId="17541" builtinId="9" hidden="1"/>
    <cellStyle name="Lien hypertexte visité" xfId="23796" builtinId="9" hidden="1"/>
    <cellStyle name="Lien hypertexte visité" xfId="18087" builtinId="9" hidden="1"/>
    <cellStyle name="Lien hypertexte visité" xfId="13325" builtinId="9" hidden="1"/>
    <cellStyle name="Lien hypertexte visité" xfId="10413" builtinId="9" hidden="1"/>
    <cellStyle name="Lien hypertexte visité" xfId="6732" builtinId="9" hidden="1"/>
    <cellStyle name="Lien hypertexte visité" xfId="3591" builtinId="9" hidden="1"/>
    <cellStyle name="Lien hypertexte visité" xfId="55" builtinId="9" hidden="1"/>
    <cellStyle name="Lien hypertexte visité" xfId="4222" builtinId="9" hidden="1"/>
    <cellStyle name="Lien hypertexte visité" xfId="7134" builtinId="9" hidden="1"/>
    <cellStyle name="Lien hypertexte visité" xfId="10367" builtinId="9" hidden="1"/>
    <cellStyle name="Lien hypertexte visité" xfId="13951" builtinId="9" hidden="1"/>
    <cellStyle name="Lien hypertexte visité" xfId="8914" builtinId="9" hidden="1"/>
    <cellStyle name="Lien hypertexte visité" xfId="9099" builtinId="9" hidden="1"/>
    <cellStyle name="Lien hypertexte visité" xfId="6026" builtinId="9" hidden="1"/>
    <cellStyle name="Lien hypertexte visité" xfId="3244" builtinId="9" hidden="1"/>
    <cellStyle name="Lien hypertexte visité" xfId="1884" builtinId="9" hidden="1"/>
    <cellStyle name="Lien hypertexte visité" xfId="10987" builtinId="9" hidden="1"/>
    <cellStyle name="Lien hypertexte visité" xfId="13827" builtinId="9" hidden="1"/>
    <cellStyle name="Lien hypertexte visité" xfId="17235" builtinId="9" hidden="1"/>
    <cellStyle name="Lien hypertexte visité" xfId="14187" builtinId="9" hidden="1"/>
    <cellStyle name="Lien hypertexte visité" xfId="11283" builtinId="9" hidden="1"/>
    <cellStyle name="Lien hypertexte visité" xfId="3749" builtinId="9" hidden="1"/>
    <cellStyle name="Lien hypertexte visité" xfId="3637" builtinId="9" hidden="1"/>
    <cellStyle name="Lien hypertexte visité" xfId="6346" builtinId="9" hidden="1"/>
    <cellStyle name="Lien hypertexte visité" xfId="8907" builtinId="9" hidden="1"/>
    <cellStyle name="Lien hypertexte visité" xfId="9001" builtinId="9" hidden="1"/>
    <cellStyle name="Lien hypertexte visité" xfId="21390" builtinId="9" hidden="1"/>
    <cellStyle name="Lien hypertexte visité" xfId="11712" builtinId="9" hidden="1"/>
    <cellStyle name="Lien hypertexte visité" xfId="11568" builtinId="9" hidden="1"/>
    <cellStyle name="Lien hypertexte visité" xfId="14589" builtinId="9" hidden="1"/>
    <cellStyle name="Lien hypertexte visité" xfId="20380" builtinId="9" hidden="1"/>
    <cellStyle name="Lien hypertexte visité" xfId="21502" builtinId="9" hidden="1"/>
    <cellStyle name="Lien hypertexte visité" xfId="15215" builtinId="9" hidden="1"/>
    <cellStyle name="Lien hypertexte visité" xfId="11873" builtinId="9" hidden="1"/>
    <cellStyle name="Lien hypertexte visité" xfId="8209" builtinId="9" hidden="1"/>
    <cellStyle name="Lien hypertexte visité" xfId="5304" builtinId="9" hidden="1"/>
    <cellStyle name="Lien hypertexte visité" xfId="2058" builtinId="9" hidden="1"/>
    <cellStyle name="Lien hypertexte visité" xfId="6175" builtinId="9" hidden="1"/>
    <cellStyle name="Lien hypertexte visité" xfId="1689" builtinId="9" hidden="1"/>
    <cellStyle name="Lien hypertexte visité" xfId="3947" builtinId="9" hidden="1"/>
    <cellStyle name="Lien hypertexte visité" xfId="9324" builtinId="9" hidden="1"/>
    <cellStyle name="Lien hypertexte visité" xfId="14188" builtinId="9" hidden="1"/>
    <cellStyle name="Lien hypertexte visité" xfId="22548" builtinId="9" hidden="1"/>
    <cellStyle name="Lien hypertexte visité" xfId="15687" builtinId="9" hidden="1"/>
    <cellStyle name="Lien hypertexte visité" xfId="10621" builtinId="9" hidden="1"/>
    <cellStyle name="Lien hypertexte visité" xfId="5884" builtinId="9" hidden="1"/>
    <cellStyle name="Lien hypertexte visité" xfId="387" builtinId="9" hidden="1"/>
    <cellStyle name="Lien hypertexte visité" xfId="5134" builtinId="9" hidden="1"/>
    <cellStyle name="Lien hypertexte visité" xfId="9615" builtinId="9" hidden="1"/>
    <cellStyle name="Lien hypertexte visité" xfId="15723" builtinId="9" hidden="1"/>
    <cellStyle name="Lien hypertexte visité" xfId="10846" builtinId="9" hidden="1"/>
    <cellStyle name="Lien hypertexte visité" xfId="13830" builtinId="9" hidden="1"/>
    <cellStyle name="Lien hypertexte visité" xfId="20296" builtinId="9" hidden="1"/>
    <cellStyle name="Lien hypertexte visité" xfId="22954" builtinId="9" hidden="1"/>
    <cellStyle name="Lien hypertexte visité" xfId="19258" builtinId="9" hidden="1"/>
    <cellStyle name="Lien hypertexte visité" xfId="11242" builtinId="9" hidden="1"/>
    <cellStyle name="Lien hypertexte visité" xfId="5621" builtinId="9" hidden="1"/>
    <cellStyle name="Lien hypertexte visité" xfId="8110" builtinId="9" hidden="1"/>
    <cellStyle name="Lien hypertexte visité" xfId="1847" builtinId="9" hidden="1"/>
    <cellStyle name="Lien hypertexte visité" xfId="1663" builtinId="9" hidden="1"/>
    <cellStyle name="Lien hypertexte visité" xfId="6313" builtinId="9" hidden="1"/>
    <cellStyle name="Lien hypertexte visité" xfId="5341" builtinId="9" hidden="1"/>
    <cellStyle name="Lien hypertexte visité" xfId="18630" builtinId="9" hidden="1"/>
    <cellStyle name="Lien hypertexte visité" xfId="13333" builtinId="9" hidden="1"/>
    <cellStyle name="Lien hypertexte visité" xfId="6430" builtinId="9" hidden="1"/>
    <cellStyle name="Lien hypertexte visité" xfId="6893" builtinId="9" hidden="1"/>
    <cellStyle name="Lien hypertexte visité" xfId="4717" builtinId="9" hidden="1"/>
    <cellStyle name="Lien hypertexte visité" xfId="15201" builtinId="9" hidden="1"/>
    <cellStyle name="Lien hypertexte visité" xfId="17675" builtinId="9" hidden="1"/>
    <cellStyle name="Lien hypertexte visité" xfId="22210" builtinId="9" hidden="1"/>
    <cellStyle name="Lien hypertexte visité" xfId="20744" builtinId="9" hidden="1"/>
    <cellStyle name="Lien hypertexte visité" xfId="15689" builtinId="9" hidden="1"/>
    <cellStyle name="Lien hypertexte visité" xfId="12370" builtinId="9" hidden="1"/>
    <cellStyle name="Lien hypertexte visité" xfId="9254" builtinId="9" hidden="1"/>
    <cellStyle name="Lien hypertexte visité" xfId="12234" builtinId="9" hidden="1"/>
    <cellStyle name="Lien hypertexte visité" xfId="1935" builtinId="9" hidden="1"/>
    <cellStyle name="Lien hypertexte visité" xfId="1775" builtinId="9" hidden="1"/>
    <cellStyle name="Lien hypertexte visité" xfId="2343" builtinId="9" hidden="1"/>
    <cellStyle name="Lien hypertexte visité" xfId="1001" builtinId="9" hidden="1"/>
    <cellStyle name="Lien hypertexte visité" xfId="5737" builtinId="9" hidden="1"/>
    <cellStyle name="Lien hypertexte visité" xfId="5169" builtinId="9" hidden="1"/>
    <cellStyle name="Lien hypertexte visité" xfId="9754" builtinId="9" hidden="1"/>
    <cellStyle name="Lien hypertexte visité" xfId="8218" builtinId="9" hidden="1"/>
    <cellStyle name="Lien hypertexte visité" xfId="3175" builtinId="9" hidden="1"/>
    <cellStyle name="Lien hypertexte visité" xfId="7910" builtinId="9" hidden="1"/>
    <cellStyle name="Lien hypertexte visité" xfId="7641" builtinId="9" hidden="1"/>
    <cellStyle name="Lien hypertexte visité" xfId="3127" builtinId="9" hidden="1"/>
    <cellStyle name="Lien hypertexte visité" xfId="1210" builtinId="9" hidden="1"/>
    <cellStyle name="Lien hypertexte visité" xfId="3921" builtinId="9" hidden="1"/>
    <cellStyle name="Lien hypertexte visité" xfId="21906" builtinId="9" hidden="1"/>
    <cellStyle name="Lien hypertexte visité" xfId="10302" builtinId="9" hidden="1"/>
    <cellStyle name="Lien hypertexte visité" xfId="13438" builtinId="9" hidden="1"/>
    <cellStyle name="Lien hypertexte visité" xfId="17393" builtinId="9" hidden="1"/>
    <cellStyle name="Lien hypertexte visité" xfId="22456" builtinId="9" hidden="1"/>
    <cellStyle name="Lien hypertexte visité" xfId="20498" builtinId="9" hidden="1"/>
    <cellStyle name="Lien hypertexte visité" xfId="24058" builtinId="9" hidden="1"/>
    <cellStyle name="Lien hypertexte visité" xfId="12298" builtinId="9" hidden="1"/>
    <cellStyle name="Lien hypertexte visité" xfId="5445" builtinId="9" hidden="1"/>
    <cellStyle name="Lien hypertexte visité" xfId="16011" builtinId="9" hidden="1"/>
    <cellStyle name="Lien hypertexte visité" xfId="675" builtinId="9" hidden="1"/>
    <cellStyle name="Lien hypertexte visité" xfId="18710" builtinId="9" hidden="1"/>
    <cellStyle name="Lien hypertexte visité" xfId="9212" builtinId="9" hidden="1"/>
    <cellStyle name="Lien hypertexte visité" xfId="5263" builtinId="9" hidden="1"/>
    <cellStyle name="Lien hypertexte visité" xfId="8793" builtinId="9" hidden="1"/>
    <cellStyle name="Lien hypertexte visité" xfId="22174" builtinId="9" hidden="1"/>
    <cellStyle name="Lien hypertexte visité" xfId="11920" builtinId="9" hidden="1"/>
    <cellStyle name="Lien hypertexte visité" xfId="6728" builtinId="9" hidden="1"/>
    <cellStyle name="Lien hypertexte visité" xfId="15711" builtinId="9" hidden="1"/>
    <cellStyle name="Lien hypertexte visité" xfId="14432" builtinId="9" hidden="1"/>
    <cellStyle name="Lien hypertexte visité" xfId="10616" builtinId="9" hidden="1"/>
    <cellStyle name="Lien hypertexte visité" xfId="13584" builtinId="9" hidden="1"/>
    <cellStyle name="Lien hypertexte visité" xfId="18572" builtinId="9" hidden="1"/>
    <cellStyle name="Lien hypertexte visité" xfId="23406" builtinId="9" hidden="1"/>
    <cellStyle name="Lien hypertexte visité" xfId="17023" builtinId="9" hidden="1"/>
    <cellStyle name="Lien hypertexte visité" xfId="12825" builtinId="9" hidden="1"/>
    <cellStyle name="Lien hypertexte visité" xfId="9177" builtinId="9" hidden="1"/>
    <cellStyle name="Lien hypertexte visité" xfId="6208" builtinId="9" hidden="1"/>
    <cellStyle name="Lien hypertexte visité" xfId="3026" builtinId="9" hidden="1"/>
    <cellStyle name="Lien hypertexte visité" xfId="7535" builtinId="9" hidden="1"/>
    <cellStyle name="Lien hypertexte visité" xfId="3113" builtinId="9" hidden="1"/>
    <cellStyle name="Lien hypertexte visité" xfId="2485" builtinId="9" hidden="1"/>
    <cellStyle name="Lien hypertexte visité" xfId="7964" builtinId="9" hidden="1"/>
    <cellStyle name="Lien hypertexte visité" xfId="12732" builtinId="9" hidden="1"/>
    <cellStyle name="Lien hypertexte visité" xfId="19828" builtinId="9" hidden="1"/>
    <cellStyle name="Lien hypertexte visité" xfId="18518" builtinId="9" hidden="1"/>
    <cellStyle name="Lien hypertexte visité" xfId="12077" builtinId="9" hidden="1"/>
    <cellStyle name="Lien hypertexte visité" xfId="7308" builtinId="9" hidden="1"/>
    <cellStyle name="Lien hypertexte visité" xfId="1830" builtinId="9" hidden="1"/>
    <cellStyle name="Lien hypertexte visité" xfId="3777" builtinId="9" hidden="1"/>
    <cellStyle name="Lien hypertexte visité" xfId="8191" builtinId="9" hidden="1"/>
    <cellStyle name="Lien hypertexte visité" xfId="13663" builtinId="9" hidden="1"/>
    <cellStyle name="Lien hypertexte visité" xfId="3394" builtinId="9" hidden="1"/>
    <cellStyle name="Lien hypertexte visité" xfId="6578" builtinId="9" hidden="1"/>
    <cellStyle name="Lien hypertexte visité" xfId="1892" builtinId="9" hidden="1"/>
    <cellStyle name="Lien hypertexte visité" xfId="11435" builtinId="9" hidden="1"/>
    <cellStyle name="Lien hypertexte visité" xfId="14115" builtinId="9" hidden="1"/>
    <cellStyle name="Lien hypertexte visité" xfId="14083" builtinId="9" hidden="1"/>
    <cellStyle name="Lien hypertexte visité" xfId="12411" builtinId="9" hidden="1"/>
    <cellStyle name="Lien hypertexte visité" xfId="2940" builtinId="9" hidden="1"/>
    <cellStyle name="Lien hypertexte visité" xfId="7626" builtinId="9" hidden="1"/>
    <cellStyle name="Lien hypertexte visité" xfId="8105" builtinId="9" hidden="1"/>
    <cellStyle name="Lien hypertexte visité" xfId="20924" builtinId="9" hidden="1"/>
    <cellStyle name="Lien hypertexte visité" xfId="11352" builtinId="9" hidden="1"/>
    <cellStyle name="Lien hypertexte visité" xfId="17069" builtinId="9" hidden="1"/>
    <cellStyle name="Lien hypertexte visité" xfId="22622" builtinId="9" hidden="1"/>
    <cellStyle name="Lien hypertexte visité" xfId="13113" builtinId="9" hidden="1"/>
    <cellStyle name="Lien hypertexte visité" xfId="8673" builtinId="9" hidden="1"/>
    <cellStyle name="Lien hypertexte visité" xfId="4240" builtinId="9" hidden="1"/>
    <cellStyle name="Lien hypertexte visité" xfId="6623" builtinId="9" hidden="1"/>
    <cellStyle name="Lien hypertexte visité" xfId="1701" builtinId="9" hidden="1"/>
    <cellStyle name="Lien hypertexte visité" xfId="8364" builtinId="9" hidden="1"/>
    <cellStyle name="Lien hypertexte visité" xfId="18580" builtinId="9" hidden="1"/>
    <cellStyle name="Lien hypertexte visité" xfId="17351" builtinId="9" hidden="1"/>
    <cellStyle name="Lien hypertexte visité" xfId="8765" builtinId="9" hidden="1"/>
    <cellStyle name="Lien hypertexte visité" xfId="63" builtinId="9" hidden="1"/>
    <cellStyle name="Lien hypertexte visité" xfId="7246" builtinId="9" hidden="1"/>
    <cellStyle name="Lien hypertexte visité" xfId="13903" builtinId="9" hidden="1"/>
    <cellStyle name="Lien hypertexte visité" xfId="12338" builtinId="9" hidden="1"/>
    <cellStyle name="Lien hypertexte visité" xfId="19704" builtinId="9" hidden="1"/>
    <cellStyle name="Lien hypertexte visité" xfId="20650" builtinId="9" hidden="1"/>
    <cellStyle name="Lien hypertexte visité" xfId="11882" builtinId="9" hidden="1"/>
    <cellStyle name="Lien hypertexte visité" xfId="6681" builtinId="9" hidden="1"/>
    <cellStyle name="Lien hypertexte visité" xfId="2371" builtinId="9" hidden="1"/>
    <cellStyle name="Lien hypertexte visité" xfId="2875" builtinId="9" hidden="1"/>
    <cellStyle name="Lien hypertexte visité" xfId="5745" builtinId="9" hidden="1"/>
    <cellStyle name="Lien hypertexte visité" xfId="16503" builtinId="9" hidden="1"/>
    <cellStyle name="Lien hypertexte visité" xfId="10053" builtinId="9" hidden="1"/>
    <cellStyle name="Lien hypertexte visité" xfId="5268" builtinId="9" hidden="1"/>
    <cellStyle name="Lien hypertexte visité" xfId="495" builtinId="9" hidden="1"/>
    <cellStyle name="Lien hypertexte visité" xfId="5782" builtinId="9" hidden="1"/>
    <cellStyle name="Lien hypertexte visité" xfId="10231" builtinId="9" hidden="1"/>
    <cellStyle name="Lien hypertexte visité" xfId="15483" builtinId="9" hidden="1"/>
    <cellStyle name="Lien hypertexte visité" xfId="11254" builtinId="9" hidden="1"/>
    <cellStyle name="Lien hypertexte visité" xfId="14210" builtinId="9" hidden="1"/>
    <cellStyle name="Lien hypertexte visité" xfId="19800" builtinId="9" hidden="1"/>
    <cellStyle name="Lien hypertexte visité" xfId="22130" builtinId="9" hidden="1"/>
    <cellStyle name="Lien hypertexte visité" xfId="21850" builtinId="9" hidden="1"/>
    <cellStyle name="Lien hypertexte visité" xfId="12058" builtinId="9" hidden="1"/>
    <cellStyle name="Lien hypertexte visité" xfId="19648" builtinId="9" hidden="1"/>
    <cellStyle name="Lien hypertexte visité" xfId="17307" builtinId="9" hidden="1"/>
    <cellStyle name="Lien hypertexte visité" xfId="1568" builtinId="9" hidden="1"/>
    <cellStyle name="Lien hypertexte visité" xfId="17431" builtinId="9" hidden="1"/>
    <cellStyle name="Lien hypertexte visité" xfId="8740" builtinId="9" hidden="1"/>
    <cellStyle name="Lien hypertexte visité" xfId="12532" builtinId="9" hidden="1"/>
    <cellStyle name="Lien hypertexte visité" xfId="19908" builtinId="9" hidden="1"/>
    <cellStyle name="Lien hypertexte visité" xfId="21126" builtinId="9" hidden="1"/>
    <cellStyle name="Lien hypertexte visité" xfId="2529" builtinId="9" hidden="1"/>
    <cellStyle name="Lien hypertexte visité" xfId="2989" builtinId="9" hidden="1"/>
    <cellStyle name="Lien hypertexte visité" xfId="5063" builtinId="9" hidden="1"/>
    <cellStyle name="Lien hypertexte visité" xfId="6071" builtinId="9" hidden="1"/>
    <cellStyle name="Lien hypertexte visité" xfId="7063" builtinId="9" hidden="1"/>
    <cellStyle name="Lien hypertexte visité" xfId="5815" builtinId="9" hidden="1"/>
    <cellStyle name="Lien hypertexte visité" xfId="2221" builtinId="9" hidden="1"/>
    <cellStyle name="Lien hypertexte visité" xfId="8580" builtinId="9" hidden="1"/>
    <cellStyle name="Lien hypertexte visité" xfId="23366" builtinId="9" hidden="1"/>
    <cellStyle name="Lien hypertexte visité" xfId="18293" builtinId="9" hidden="1"/>
    <cellStyle name="Lien hypertexte visité" xfId="11716" builtinId="9" hidden="1"/>
    <cellStyle name="Lien hypertexte visité" xfId="7908" builtinId="9" hidden="1"/>
    <cellStyle name="Lien hypertexte visité" xfId="12069" builtinId="9" hidden="1"/>
    <cellStyle name="Lien hypertexte visité" xfId="475" builtinId="9" hidden="1"/>
    <cellStyle name="Lien hypertexte visité" xfId="4543" builtinId="9" hidden="1"/>
    <cellStyle name="Lien hypertexte visité" xfId="1021" builtinId="9" hidden="1"/>
    <cellStyle name="Lien hypertexte visité" xfId="10749" builtinId="9" hidden="1"/>
    <cellStyle name="Lien hypertexte visité" xfId="10895" builtinId="9" hidden="1"/>
    <cellStyle name="Lien hypertexte visité" xfId="22520" builtinId="9" hidden="1"/>
    <cellStyle name="Lien hypertexte visité" xfId="2967" builtinId="9" hidden="1"/>
    <cellStyle name="Lien hypertexte visité" xfId="9146" builtinId="9" hidden="1"/>
    <cellStyle name="Lien hypertexte visité" xfId="18101" builtinId="9" hidden="1"/>
    <cellStyle name="Lien hypertexte visité" xfId="12356" builtinId="9" hidden="1"/>
    <cellStyle name="Lien hypertexte visité" xfId="8996" builtinId="9" hidden="1"/>
    <cellStyle name="Lien hypertexte visité" xfId="5619" builtinId="9" hidden="1"/>
    <cellStyle name="Lien hypertexte visité" xfId="4324" builtinId="9" hidden="1"/>
    <cellStyle name="Lien hypertexte visité" xfId="8359" builtinId="9" hidden="1"/>
    <cellStyle name="Lien hypertexte visité" xfId="11030" builtinId="9" hidden="1"/>
    <cellStyle name="Lien hypertexte visité" xfId="22922" builtinId="9" hidden="1"/>
    <cellStyle name="Lien hypertexte visité" xfId="12314" builtinId="9" hidden="1"/>
    <cellStyle name="Lien hypertexte visité" xfId="23770" builtinId="9" hidden="1"/>
    <cellStyle name="Lien hypertexte visité" xfId="21410" builtinId="9" hidden="1"/>
    <cellStyle name="Lien hypertexte visité" xfId="22592" builtinId="9" hidden="1"/>
    <cellStyle name="Lien hypertexte visité" xfId="17385" builtinId="9" hidden="1"/>
    <cellStyle name="Lien hypertexte visité" xfId="12814" builtinId="9" hidden="1"/>
    <cellStyle name="Lien hypertexte visité" xfId="10254" builtinId="9" hidden="1"/>
    <cellStyle name="Lien hypertexte visité" xfId="15579" builtinId="9" hidden="1"/>
    <cellStyle name="Lien hypertexte visité" xfId="10359" builtinId="9" hidden="1"/>
    <cellStyle name="Lien hypertexte visité" xfId="6422" builtinId="9" hidden="1"/>
    <cellStyle name="Lien hypertexte visité" xfId="2576" builtinId="9" hidden="1"/>
    <cellStyle name="Lien hypertexte visité" xfId="3262" builtinId="9" hidden="1"/>
    <cellStyle name="Lien hypertexte visité" xfId="7188" builtinId="9" hidden="1"/>
    <cellStyle name="Lien hypertexte visité" xfId="11125" builtinId="9" hidden="1"/>
    <cellStyle name="Lien hypertexte visité" xfId="9927" builtinId="9" hidden="1"/>
    <cellStyle name="Lien hypertexte visité" xfId="18890" builtinId="9" hidden="1"/>
    <cellStyle name="Lien hypertexte visité" xfId="5267" builtinId="9" hidden="1"/>
    <cellStyle name="Lien hypertexte visité" xfId="4243" builtinId="9" hidden="1"/>
    <cellStyle name="Lien hypertexte visité" xfId="4519" builtinId="9" hidden="1"/>
    <cellStyle name="Lien hypertexte visité" xfId="6375" builtinId="9" hidden="1"/>
    <cellStyle name="Lien hypertexte visité" xfId="8120" builtinId="9" hidden="1"/>
    <cellStyle name="Lien hypertexte visité" xfId="4039" builtinId="9" hidden="1"/>
    <cellStyle name="Lien hypertexte visité" xfId="4739" builtinId="9" hidden="1"/>
    <cellStyle name="Lien hypertexte visité" xfId="1180" builtinId="9" hidden="1"/>
    <cellStyle name="Lien hypertexte visité" xfId="2833" builtinId="9" hidden="1"/>
    <cellStyle name="Lien hypertexte visité" xfId="20454" builtinId="9" hidden="1"/>
    <cellStyle name="Lien hypertexte visité" xfId="533" builtinId="9" hidden="1"/>
    <cellStyle name="Lien hypertexte visité" xfId="18468" builtinId="9" hidden="1"/>
    <cellStyle name="Lien hypertexte visité" xfId="24484" builtinId="9" hidden="1"/>
    <cellStyle name="Lien hypertexte visité" xfId="18500" builtinId="9" hidden="1"/>
    <cellStyle name="Lien hypertexte visité" xfId="1553" builtinId="9" hidden="1"/>
    <cellStyle name="Lien hypertexte visité" xfId="493" builtinId="9" hidden="1"/>
    <cellStyle name="Lien hypertexte visité" xfId="11380" builtinId="9" hidden="1"/>
    <cellStyle name="Lien hypertexte visité" xfId="14308" builtinId="9" hidden="1"/>
    <cellStyle name="Lien hypertexte visité" xfId="7139" builtinId="9" hidden="1"/>
    <cellStyle name="Lien hypertexte visité" xfId="6052" builtinId="9" hidden="1"/>
    <cellStyle name="Lien hypertexte visité" xfId="13989" builtinId="9" hidden="1"/>
    <cellStyle name="Lien hypertexte visité" xfId="6339" builtinId="9" hidden="1"/>
    <cellStyle name="Lien hypertexte visité" xfId="12916" builtinId="9" hidden="1"/>
    <cellStyle name="Lien hypertexte visité" xfId="9924" builtinId="9" hidden="1"/>
    <cellStyle name="Lien hypertexte visité" xfId="1645" builtinId="9" hidden="1"/>
    <cellStyle name="Lien hypertexte visité" xfId="5763" builtinId="9" hidden="1"/>
    <cellStyle name="Lien hypertexte visité" xfId="20358" builtinId="9" hidden="1"/>
    <cellStyle name="Lien hypertexte visité" xfId="22884" builtinId="9" hidden="1"/>
    <cellStyle name="Lien hypertexte visité" xfId="15573" builtinId="9" hidden="1"/>
    <cellStyle name="Lien hypertexte visité" xfId="24228" builtinId="9" hidden="1"/>
    <cellStyle name="Lien hypertexte visité" xfId="21766" builtinId="9" hidden="1"/>
    <cellStyle name="Lien hypertexte visité" xfId="1472" builtinId="9" hidden="1"/>
    <cellStyle name="Lien hypertexte visité" xfId="2621" builtinId="9" hidden="1"/>
    <cellStyle name="Lien hypertexte visité" xfId="241" builtinId="9" hidden="1"/>
    <cellStyle name="Lien hypertexte visité" xfId="7399" builtinId="9" hidden="1"/>
    <cellStyle name="Lien hypertexte visité" xfId="8712" builtinId="9" hidden="1"/>
    <cellStyle name="Lien hypertexte visité" xfId="7159" builtinId="9" hidden="1"/>
    <cellStyle name="Lien hypertexte visité" xfId="5847" builtinId="9" hidden="1"/>
    <cellStyle name="Lien hypertexte visité" xfId="2797" builtinId="9" hidden="1"/>
    <cellStyle name="Lien hypertexte visité" xfId="6566" builtinId="9" hidden="1"/>
    <cellStyle name="Lien hypertexte visité" xfId="13782" builtinId="9" hidden="1"/>
    <cellStyle name="Lien hypertexte visité" xfId="4212" builtinId="9" hidden="1"/>
    <cellStyle name="Lien hypertexte visité" xfId="10005" builtinId="9" hidden="1"/>
    <cellStyle name="Lien hypertexte visité" xfId="5316" builtinId="9" hidden="1"/>
    <cellStyle name="Lien hypertexte visité" xfId="1389" builtinId="9" hidden="1"/>
    <cellStyle name="Lien hypertexte visité" xfId="3601" builtinId="9" hidden="1"/>
    <cellStyle name="Lien hypertexte visité" xfId="8311" builtinId="9" hidden="1"/>
    <cellStyle name="Lien hypertexte visité" xfId="12231" builtinId="9" hidden="1"/>
    <cellStyle name="Lien hypertexte visité" xfId="8374" builtinId="9" hidden="1"/>
    <cellStyle name="Lien hypertexte visité" xfId="11446" builtinId="9" hidden="1"/>
    <cellStyle name="Lien hypertexte visité" xfId="14070" builtinId="9" hidden="1"/>
    <cellStyle name="Lien hypertexte visité" xfId="18840" builtinId="9" hidden="1"/>
    <cellStyle name="Lien hypertexte visité" xfId="24138" builtinId="9" hidden="1"/>
    <cellStyle name="Lien hypertexte visité" xfId="19018" builtinId="9" hidden="1"/>
    <cellStyle name="Lien hypertexte visité" xfId="21360" builtinId="9" hidden="1"/>
    <cellStyle name="Lien hypertexte visité" xfId="24240" builtinId="9" hidden="1"/>
    <cellStyle name="Lien hypertexte visité" xfId="18792" builtinId="9" hidden="1"/>
    <cellStyle name="Lien hypertexte visité" xfId="8982" builtinId="9" hidden="1"/>
    <cellStyle name="Lien hypertexte visité" xfId="2976" builtinId="9" hidden="1"/>
    <cellStyle name="Lien hypertexte visité" xfId="9957" builtinId="9" hidden="1"/>
    <cellStyle name="Lien hypertexte visité" xfId="6579" builtinId="9" hidden="1"/>
    <cellStyle name="Lien hypertexte visité" xfId="10596" builtinId="9" hidden="1"/>
    <cellStyle name="Lien hypertexte visité" xfId="13892" builtinId="9" hidden="1"/>
    <cellStyle name="Lien hypertexte visité" xfId="19972" builtinId="9" hidden="1"/>
    <cellStyle name="Lien hypertexte visité" xfId="2571" builtinId="9" hidden="1"/>
    <cellStyle name="Lien hypertexte visité" xfId="4085" builtinId="9" hidden="1"/>
    <cellStyle name="Lien hypertexte visité" xfId="15025" builtinId="9" hidden="1"/>
    <cellStyle name="Lien hypertexte visité" xfId="1159" builtinId="9" hidden="1"/>
    <cellStyle name="Lien hypertexte visité" xfId="22804" builtinId="9" hidden="1"/>
    <cellStyle name="Lien hypertexte visité" xfId="2969" builtinId="9" hidden="1"/>
    <cellStyle name="Lien hypertexte visité" xfId="12729" builtinId="9" hidden="1"/>
    <cellStyle name="Lien hypertexte visité" xfId="12760" builtinId="9" hidden="1"/>
    <cellStyle name="Lien hypertexte visité" xfId="951" builtinId="9" hidden="1"/>
    <cellStyle name="Lien hypertexte visité" xfId="14387" builtinId="9" hidden="1"/>
    <cellStyle name="Lien hypertexte visité" xfId="2396" builtinId="9" hidden="1"/>
    <cellStyle name="Lien hypertexte visité" xfId="8338" builtinId="9" hidden="1"/>
    <cellStyle name="Lien hypertexte visité" xfId="1445" builtinId="9" hidden="1"/>
    <cellStyle name="Lien hypertexte visité" xfId="15719" builtinId="9" hidden="1"/>
    <cellStyle name="Lien hypertexte visité" xfId="10396" builtinId="9" hidden="1"/>
    <cellStyle name="Lien hypertexte visité" xfId="7151" builtinId="9" hidden="1"/>
    <cellStyle name="Lien hypertexte visité" xfId="8241" builtinId="9" hidden="1"/>
    <cellStyle name="Lien hypertexte visité" xfId="20158" builtinId="9" hidden="1"/>
    <cellStyle name="Lien hypertexte visité" xfId="10872" builtinId="9" hidden="1"/>
    <cellStyle name="Lien hypertexte visité" xfId="9097" builtinId="9" hidden="1"/>
    <cellStyle name="Lien hypertexte visité" xfId="13657" builtinId="9" hidden="1"/>
    <cellStyle name="Lien hypertexte visité" xfId="21014" builtinId="9" hidden="1"/>
    <cellStyle name="Lien hypertexte visité" xfId="22550" builtinId="9" hidden="1"/>
    <cellStyle name="Lien hypertexte visité" xfId="6779" builtinId="9" hidden="1"/>
    <cellStyle name="Lien hypertexte visité" xfId="1530" builtinId="9" hidden="1"/>
    <cellStyle name="Lien hypertexte visité" xfId="10585" builtinId="9" hidden="1"/>
    <cellStyle name="Lien hypertexte visité" xfId="24492" builtinId="9" hidden="1"/>
    <cellStyle name="Lien hypertexte visité" xfId="9632" builtinId="9" hidden="1"/>
    <cellStyle name="Lien hypertexte visité" xfId="7881" builtinId="9" hidden="1"/>
    <cellStyle name="Lien hypertexte visité" xfId="19278" builtinId="9" hidden="1"/>
    <cellStyle name="Lien hypertexte visité" xfId="11296" builtinId="9" hidden="1"/>
    <cellStyle name="Lien hypertexte visité" xfId="11048" builtinId="9" hidden="1"/>
    <cellStyle name="Lien hypertexte visité" xfId="14120" builtinId="9" hidden="1"/>
    <cellStyle name="Lien hypertexte visité" xfId="21004" builtinId="9" hidden="1"/>
    <cellStyle name="Lien hypertexte visité" xfId="22206" builtinId="9" hidden="1"/>
    <cellStyle name="Lien hypertexte visité" xfId="16175" builtinId="9" hidden="1"/>
    <cellStyle name="Lien hypertexte visité" xfId="11713" builtinId="9" hidden="1"/>
    <cellStyle name="Lien hypertexte visité" xfId="8641" builtinId="9" hidden="1"/>
    <cellStyle name="Lien hypertexte visité" xfId="5616" builtinId="9" hidden="1"/>
    <cellStyle name="Lien hypertexte visité" xfId="1978" builtinId="9" hidden="1"/>
    <cellStyle name="Lien hypertexte visité" xfId="6895" builtinId="9" hidden="1"/>
    <cellStyle name="Lien hypertexte visité" xfId="2281" builtinId="9" hidden="1"/>
    <cellStyle name="Lien hypertexte visité" xfId="4315" builtinId="9" hidden="1"/>
    <cellStyle name="Lien hypertexte visité" xfId="8860" builtinId="9" hidden="1"/>
    <cellStyle name="Lien hypertexte visité" xfId="13372" builtinId="9" hidden="1"/>
    <cellStyle name="Lien hypertexte visité" xfId="23156" builtinId="9" hidden="1"/>
    <cellStyle name="Lien hypertexte visité" xfId="16871" builtinId="9" hidden="1"/>
    <cellStyle name="Lien hypertexte visité" xfId="11181" builtinId="9" hidden="1"/>
    <cellStyle name="Lien hypertexte visité" xfId="5708" builtinId="9" hidden="1"/>
    <cellStyle name="Lien hypertexte visité" xfId="1189" builtinId="9" hidden="1"/>
    <cellStyle name="Lien hypertexte visité" xfId="4574" builtinId="9" hidden="1"/>
    <cellStyle name="Lien hypertexte visité" xfId="10047" builtinId="9" hidden="1"/>
    <cellStyle name="Lien hypertexte visité" xfId="14603" builtinId="9" hidden="1"/>
    <cellStyle name="Lien hypertexte visité" xfId="1473" builtinId="9" hidden="1"/>
    <cellStyle name="Lien hypertexte visité" xfId="5146" builtinId="9" hidden="1"/>
    <cellStyle name="Lien hypertexte visité" xfId="1195" builtinId="9" hidden="1"/>
    <cellStyle name="Lien hypertexte visité" xfId="10715" builtinId="9" hidden="1"/>
    <cellStyle name="Lien hypertexte visité" xfId="16803" builtinId="9" hidden="1"/>
    <cellStyle name="Lien hypertexte visité" xfId="11043" builtinId="9" hidden="1"/>
    <cellStyle name="Lien hypertexte visité" xfId="8355" builtinId="9" hidden="1"/>
    <cellStyle name="Lien hypertexte visité" xfId="4522" builtinId="9" hidden="1"/>
    <cellStyle name="Lien hypertexte visité" xfId="8395" builtinId="9" hidden="1"/>
    <cellStyle name="Lien hypertexte visité" xfId="10025" builtinId="9" hidden="1"/>
    <cellStyle name="Lien hypertexte visité" xfId="12736" builtinId="9" hidden="1"/>
    <cellStyle name="Lien hypertexte visité" xfId="12168" builtinId="9" hidden="1"/>
    <cellStyle name="Lien hypertexte visité" xfId="18844" builtinId="9" hidden="1"/>
    <cellStyle name="Lien hypertexte visité" xfId="19454" builtinId="9" hidden="1"/>
    <cellStyle name="Lien hypertexte visité" xfId="12473" builtinId="9" hidden="1"/>
    <cellStyle name="Lien hypertexte visité" xfId="7865" builtinId="9" hidden="1"/>
    <cellStyle name="Lien hypertexte visité" xfId="2394" builtinId="9" hidden="1"/>
    <cellStyle name="Lien hypertexte visité" xfId="5279" builtinId="9" hidden="1"/>
    <cellStyle name="Lien hypertexte visité" xfId="2661" builtinId="9" hidden="1"/>
    <cellStyle name="Lien hypertexte visité" xfId="10860" builtinId="9" hidden="1"/>
    <cellStyle name="Lien hypertexte visité" xfId="21012" builtinId="9" hidden="1"/>
    <cellStyle name="Lien hypertexte visité" xfId="14663" builtinId="9" hidden="1"/>
    <cellStyle name="Lien hypertexte visité" xfId="6396" builtinId="9" hidden="1"/>
    <cellStyle name="Lien hypertexte visité" xfId="1544" builtinId="9" hidden="1"/>
    <cellStyle name="Lien hypertexte visité" xfId="8463" builtinId="9" hidden="1"/>
    <cellStyle name="Lien hypertexte visité" xfId="8710" builtinId="9" hidden="1"/>
    <cellStyle name="Lien hypertexte visité" xfId="13234" builtinId="9" hidden="1"/>
    <cellStyle name="Lien hypertexte visité" xfId="20984" builtinId="9" hidden="1"/>
    <cellStyle name="Lien hypertexte visité" xfId="17339" builtinId="9" hidden="1"/>
    <cellStyle name="Lien hypertexte visité" xfId="9450" builtinId="9" hidden="1"/>
    <cellStyle name="Lien hypertexte visité" xfId="7449" builtinId="9" hidden="1"/>
    <cellStyle name="Lien hypertexte visité" xfId="657" builtinId="9" hidden="1"/>
    <cellStyle name="Lien hypertexte visité" xfId="2363" builtinId="9" hidden="1"/>
    <cellStyle name="Lien hypertexte visité" xfId="5049" builtinId="9" hidden="1"/>
    <cellStyle name="Lien hypertexte visité" xfId="13685" builtinId="9" hidden="1"/>
    <cellStyle name="Lien hypertexte visité" xfId="8991" builtinId="9" hidden="1"/>
    <cellStyle name="Lien hypertexte visité" xfId="5301" builtinId="9" hidden="1"/>
    <cellStyle name="Lien hypertexte visité" xfId="20432" builtinId="9" hidden="1"/>
    <cellStyle name="Lien hypertexte visité" xfId="21266" builtinId="9" hidden="1"/>
    <cellStyle name="Lien hypertexte visité" xfId="20192" builtinId="9" hidden="1"/>
    <cellStyle name="Lien hypertexte visité" xfId="12670" builtinId="9" hidden="1"/>
    <cellStyle name="Lien hypertexte visité" xfId="12562" builtinId="9" hidden="1"/>
    <cellStyle name="Lien hypertexte visité" xfId="1438" builtinId="9" hidden="1"/>
    <cellStyle name="Lien hypertexte visité" xfId="3736" builtinId="9" hidden="1"/>
    <cellStyle name="Lien hypertexte visité" xfId="7349" builtinId="9" hidden="1"/>
    <cellStyle name="Lien hypertexte visité" xfId="4201" builtinId="9" hidden="1"/>
    <cellStyle name="Lien hypertexte visité" xfId="4493" builtinId="9" hidden="1"/>
    <cellStyle name="Lien hypertexte visité" xfId="6081" builtinId="9" hidden="1"/>
    <cellStyle name="Lien hypertexte visité" xfId="6633" builtinId="9" hidden="1"/>
    <cellStyle name="Lien hypertexte visité" xfId="7369" builtinId="9" hidden="1"/>
    <cellStyle name="Lien hypertexte visité" xfId="2039" builtinId="9" hidden="1"/>
    <cellStyle name="Lien hypertexte visité" xfId="3712" builtinId="9" hidden="1"/>
    <cellStyle name="Lien hypertexte visité" xfId="10022" builtinId="9" hidden="1"/>
    <cellStyle name="Lien hypertexte visité" xfId="13906" builtinId="9" hidden="1"/>
    <cellStyle name="Lien hypertexte visité" xfId="21088" builtinId="9" hidden="1"/>
    <cellStyle name="Lien hypertexte visité" xfId="18754" builtinId="9" hidden="1"/>
    <cellStyle name="Lien hypertexte visité" xfId="13706" builtinId="9" hidden="1"/>
    <cellStyle name="Lien hypertexte visité" xfId="5685" builtinId="9" hidden="1"/>
    <cellStyle name="Lien hypertexte visité" xfId="2456" builtinId="9" hidden="1"/>
    <cellStyle name="Lien hypertexte visité" xfId="23830" builtinId="9" hidden="1"/>
    <cellStyle name="Lien hypertexte visité" xfId="1673" builtinId="9" hidden="1"/>
    <cellStyle name="Lien hypertexte visité" xfId="11865" builtinId="9" hidden="1"/>
    <cellStyle name="Lien hypertexte visité" xfId="13624" builtinId="9" hidden="1"/>
    <cellStyle name="Lien hypertexte visité" xfId="7304" builtinId="9" hidden="1"/>
    <cellStyle name="Lien hypertexte visité" xfId="16397" builtinId="9" hidden="1"/>
    <cellStyle name="Lien hypertexte visité" xfId="11192" builtinId="9" hidden="1"/>
    <cellStyle name="Lien hypertexte visité" xfId="16957" builtinId="9" hidden="1"/>
    <cellStyle name="Lien hypertexte visité" xfId="21358" builtinId="9" hidden="1"/>
    <cellStyle name="Lien hypertexte visité" xfId="13377" builtinId="9" hidden="1"/>
    <cellStyle name="Lien hypertexte visité" xfId="8833" builtinId="9" hidden="1"/>
    <cellStyle name="Lien hypertexte visité" xfId="3370" builtinId="9" hidden="1"/>
    <cellStyle name="Lien hypertexte visité" xfId="6703" builtinId="9" hidden="1"/>
    <cellStyle name="Lien hypertexte visité" xfId="1300" builtinId="9" hidden="1"/>
    <cellStyle name="Lien hypertexte visité" xfId="9500" builtinId="9" hidden="1"/>
    <cellStyle name="Lien hypertexte visité" xfId="18117" builtinId="9" hidden="1"/>
    <cellStyle name="Lien hypertexte visité" xfId="17511" builtinId="9" hidden="1"/>
    <cellStyle name="Lien hypertexte visité" xfId="7821" builtinId="9" hidden="1"/>
    <cellStyle name="Lien hypertexte visité" xfId="767" builtinId="9" hidden="1"/>
    <cellStyle name="Lien hypertexte visité" xfId="7006" builtinId="9" hidden="1"/>
    <cellStyle name="Lien hypertexte visité" xfId="15883" builtinId="9" hidden="1"/>
    <cellStyle name="Lien hypertexte visité" xfId="7306" builtinId="9" hidden="1"/>
    <cellStyle name="Lien hypertexte visité" xfId="1451" builtinId="9" hidden="1"/>
    <cellStyle name="Lien hypertexte visité" xfId="13267" builtinId="9" hidden="1"/>
    <cellStyle name="Lien hypertexte visité" xfId="9547" builtinId="9" hidden="1"/>
    <cellStyle name="Lien hypertexte visité" xfId="1916" builtinId="9" hidden="1"/>
    <cellStyle name="Lien hypertexte visité" xfId="8947" builtinId="9" hidden="1"/>
    <cellStyle name="Lien hypertexte visité" xfId="23182" builtinId="9" hidden="1"/>
    <cellStyle name="Lien hypertexte visité" xfId="11864" builtinId="9" hidden="1"/>
    <cellStyle name="Lien hypertexte visité" xfId="23646" builtinId="9" hidden="1"/>
    <cellStyle name="Lien hypertexte visité" xfId="12257" builtinId="9" hidden="1"/>
    <cellStyle name="Lien hypertexte visité" xfId="5432" builtinId="9" hidden="1"/>
    <cellStyle name="Lien hypertexte visité" xfId="4319" builtinId="9" hidden="1"/>
    <cellStyle name="Lien hypertexte visité" xfId="7083" builtinId="9" hidden="1"/>
    <cellStyle name="Lien hypertexte visité" xfId="20116" builtinId="9" hidden="1"/>
    <cellStyle name="Lien hypertexte visité" xfId="9533" builtinId="9" hidden="1"/>
    <cellStyle name="Lien hypertexte visité" xfId="1864" builtinId="9" hidden="1"/>
    <cellStyle name="Lien hypertexte visité" xfId="12111" builtinId="9" hidden="1"/>
    <cellStyle name="Lien hypertexte visité" xfId="13874" builtinId="9" hidden="1"/>
    <cellStyle name="Lien hypertexte visité" xfId="22354" builtinId="9" hidden="1"/>
    <cellStyle name="Lien hypertexte visité" xfId="10346" builtinId="9" hidden="1"/>
    <cellStyle name="Lien hypertexte visité" xfId="3616" builtinId="9" hidden="1"/>
    <cellStyle name="Lien hypertexte visité" xfId="4009" builtinId="9" hidden="1"/>
    <cellStyle name="Lien hypertexte visité" xfId="18886" builtinId="9" hidden="1"/>
    <cellStyle name="Lien hypertexte visité" xfId="8517" builtinId="9" hidden="1"/>
    <cellStyle name="Lien hypertexte visité" xfId="1678" builtinId="9" hidden="1"/>
    <cellStyle name="Lien hypertexte visité" xfId="6294" builtinId="9" hidden="1"/>
    <cellStyle name="Lien hypertexte visité" xfId="14487" builtinId="9" hidden="1"/>
    <cellStyle name="Lien hypertexte visité" xfId="11822" builtinId="9" hidden="1"/>
    <cellStyle name="Lien hypertexte visité" xfId="18233" builtinId="9" hidden="1"/>
    <cellStyle name="Lien hypertexte visité" xfId="20082" builtinId="9" hidden="1"/>
    <cellStyle name="Lien hypertexte visité" xfId="13786" builtinId="9" hidden="1"/>
    <cellStyle name="Lien hypertexte visité" xfId="17617" builtinId="9" hidden="1"/>
    <cellStyle name="Lien hypertexte visité" xfId="3104" builtinId="9" hidden="1"/>
    <cellStyle name="Lien hypertexte visité" xfId="5667" builtinId="9" hidden="1"/>
    <cellStyle name="Lien hypertexte visité" xfId="11508" builtinId="9" hidden="1"/>
    <cellStyle name="Lien hypertexte visité" xfId="22532" builtinId="9" hidden="1"/>
    <cellStyle name="Lien hypertexte visité" xfId="7940" builtinId="9" hidden="1"/>
    <cellStyle name="Lien hypertexte visité" xfId="3405" builtinId="9" hidden="1"/>
    <cellStyle name="Lien hypertexte visité" xfId="6455" builtinId="9" hidden="1"/>
    <cellStyle name="Lien hypertexte visité" xfId="3025" builtinId="9" hidden="1"/>
    <cellStyle name="Lien hypertexte visité" xfId="3181" builtinId="9" hidden="1"/>
    <cellStyle name="Lien hypertexte visité" xfId="21060" builtinId="9" hidden="1"/>
    <cellStyle name="Lien hypertexte visité" xfId="19716" builtinId="9" hidden="1"/>
    <cellStyle name="Lien hypertexte visité" xfId="11284" builtinId="9" hidden="1"/>
    <cellStyle name="Lien hypertexte visité" xfId="13605" builtinId="9" hidden="1"/>
    <cellStyle name="Lien hypertexte visité" xfId="8128" builtinId="9" hidden="1"/>
    <cellStyle name="Lien hypertexte visité" xfId="1272" builtinId="9" hidden="1"/>
    <cellStyle name="Lien hypertexte visité" xfId="8076" builtinId="9" hidden="1"/>
    <cellStyle name="Lien hypertexte visité" xfId="15333" builtinId="9" hidden="1"/>
    <cellStyle name="Lien hypertexte visité" xfId="20342" builtinId="9" hidden="1"/>
    <cellStyle name="Lien hypertexte visité" xfId="9245" builtinId="9" hidden="1"/>
    <cellStyle name="Lien hypertexte visité" xfId="2390" builtinId="9" hidden="1"/>
    <cellStyle name="Lien hypertexte visité" xfId="5614" builtinId="9" hidden="1"/>
    <cellStyle name="Lien hypertexte visité" xfId="13807" builtinId="9" hidden="1"/>
    <cellStyle name="Lien hypertexte visité" xfId="11334" builtinId="9" hidden="1"/>
    <cellStyle name="Lien hypertexte visité" xfId="17289" builtinId="9" hidden="1"/>
    <cellStyle name="Lien hypertexte visité" xfId="21034" builtinId="9" hidden="1"/>
    <cellStyle name="Lien hypertexte visité" xfId="15777" builtinId="9" hidden="1"/>
    <cellStyle name="Lien hypertexte visité" xfId="5821" builtinId="9" hidden="1"/>
    <cellStyle name="Lien hypertexte visité" xfId="3776" builtinId="9" hidden="1"/>
    <cellStyle name="Lien hypertexte visité" xfId="3860" builtinId="9" hidden="1"/>
    <cellStyle name="Lien hypertexte visité" xfId="6677" builtinId="9" hidden="1"/>
    <cellStyle name="Lien hypertexte visité" xfId="16631" builtinId="9" hidden="1"/>
    <cellStyle name="Lien hypertexte visité" xfId="11061" builtinId="9" hidden="1"/>
    <cellStyle name="Lien hypertexte visité" xfId="6484" builtinId="9" hidden="1"/>
    <cellStyle name="Lien hypertexte visité" xfId="879" builtinId="9" hidden="1"/>
    <cellStyle name="Lien hypertexte visité" xfId="4694" builtinId="9" hidden="1"/>
    <cellStyle name="Lien hypertexte visité" xfId="9223" builtinId="9" hidden="1"/>
    <cellStyle name="Lien hypertexte visité" xfId="14843" builtinId="9" hidden="1"/>
    <cellStyle name="Lien hypertexte visité" xfId="10446" builtinId="9" hidden="1"/>
    <cellStyle name="Lien hypertexte visité" xfId="13486" builtinId="9" hidden="1"/>
    <cellStyle name="Lien hypertexte visité" xfId="19712" builtinId="9" hidden="1"/>
    <cellStyle name="Lien hypertexte visité" xfId="23474" builtinId="9" hidden="1"/>
    <cellStyle name="Lien hypertexte visité" xfId="17411" builtinId="9" hidden="1"/>
    <cellStyle name="Lien hypertexte visité" xfId="12442" builtinId="9" hidden="1"/>
    <cellStyle name="Lien hypertexte visité" xfId="24000" builtinId="9" hidden="1"/>
    <cellStyle name="Lien hypertexte visité" xfId="10222" builtinId="9" hidden="1"/>
    <cellStyle name="Lien hypertexte visité" xfId="2528" builtinId="9" hidden="1"/>
    <cellStyle name="Lien hypertexte visité" xfId="10818" builtinId="9" hidden="1"/>
    <cellStyle name="Lien hypertexte visité" xfId="19418" builtinId="9" hidden="1"/>
    <cellStyle name="Lien hypertexte visité" xfId="12662" builtinId="9" hidden="1"/>
    <cellStyle name="Lien hypertexte visité" xfId="8919" builtinId="9" hidden="1"/>
    <cellStyle name="Lien hypertexte visité" xfId="5892" builtinId="9" hidden="1"/>
    <cellStyle name="Lien hypertexte visité" xfId="7737" builtinId="9" hidden="1"/>
    <cellStyle name="Lien hypertexte visité" xfId="5565" builtinId="9" hidden="1"/>
    <cellStyle name="Lien hypertexte visité" xfId="18464" builtinId="9" hidden="1"/>
    <cellStyle name="Lien hypertexte visité" xfId="3761" builtinId="9" hidden="1"/>
    <cellStyle name="Lien hypertexte visité" xfId="21238" builtinId="9" hidden="1"/>
    <cellStyle name="Lien hypertexte visité" xfId="381" builtinId="9" hidden="1"/>
    <cellStyle name="Lien hypertexte visité" xfId="4938" builtinId="9" hidden="1"/>
    <cellStyle name="Lien hypertexte visité" xfId="8307" builtinId="9" hidden="1"/>
    <cellStyle name="Lien hypertexte visité" xfId="7784" builtinId="9" hidden="1"/>
    <cellStyle name="Lien hypertexte visité" xfId="20028" builtinId="9" hidden="1"/>
    <cellStyle name="Lien hypertexte visité" xfId="9928" builtinId="9" hidden="1"/>
    <cellStyle name="Lien hypertexte visité" xfId="13848" builtinId="9" hidden="1"/>
    <cellStyle name="Lien hypertexte visité" xfId="22476" builtinId="9" hidden="1"/>
    <cellStyle name="Lien hypertexte visité" xfId="18910" builtinId="9" hidden="1"/>
    <cellStyle name="Lien hypertexte visité" xfId="12833" builtinId="9" hidden="1"/>
    <cellStyle name="Lien hypertexte visité" xfId="8145" builtinId="9" hidden="1"/>
    <cellStyle name="Lien hypertexte visité" xfId="4256" builtinId="9" hidden="1"/>
    <cellStyle name="Lien hypertexte visité" xfId="17727" builtinId="9" hidden="1"/>
    <cellStyle name="Lien hypertexte visité" xfId="10803" builtinId="9" hidden="1"/>
    <cellStyle name="Lien hypertexte visité" xfId="13155" builtinId="9" hidden="1"/>
    <cellStyle name="Lien hypertexte visité" xfId="15011" builtinId="9" hidden="1"/>
    <cellStyle name="Lien hypertexte visité" xfId="10619" builtinId="9" hidden="1"/>
    <cellStyle name="Lien hypertexte visité" xfId="4898" builtinId="9" hidden="1"/>
    <cellStyle name="Lien hypertexte visité" xfId="14755" builtinId="9" hidden="1"/>
    <cellStyle name="Lien hypertexte visité" xfId="1355" builtinId="9" hidden="1"/>
    <cellStyle name="Lien hypertexte visité" xfId="11691" builtinId="9" hidden="1"/>
    <cellStyle name="Lien hypertexte visité" xfId="6042" builtinId="9" hidden="1"/>
    <cellStyle name="Lien hypertexte visité" xfId="2178" builtinId="9" hidden="1"/>
    <cellStyle name="Lien hypertexte visité" xfId="8059" builtinId="9" hidden="1"/>
    <cellStyle name="Lien hypertexte visité" xfId="5938" builtinId="9" hidden="1"/>
    <cellStyle name="Lien hypertexte visité" xfId="12131" builtinId="9" hidden="1"/>
    <cellStyle name="Lien hypertexte visité" xfId="1868" builtinId="9" hidden="1"/>
    <cellStyle name="Lien hypertexte visité" xfId="16467" builtinId="9" hidden="1"/>
    <cellStyle name="Lien hypertexte visité" xfId="8227" builtinId="9" hidden="1"/>
    <cellStyle name="Lien hypertexte visité" xfId="10139" builtinId="9" hidden="1"/>
    <cellStyle name="Lien hypertexte visité" xfId="15203" builtinId="9" hidden="1"/>
    <cellStyle name="Lien hypertexte visité" xfId="13579" builtinId="9" hidden="1"/>
    <cellStyle name="Lien hypertexte visité" xfId="5930" builtinId="9" hidden="1"/>
    <cellStyle name="Lien hypertexte visité" xfId="19758" builtinId="9" hidden="1"/>
    <cellStyle name="Lien hypertexte visité" xfId="4896" builtinId="9" hidden="1"/>
    <cellStyle name="Lien hypertexte visité" xfId="8785" builtinId="9" hidden="1"/>
    <cellStyle name="Lien hypertexte visité" xfId="12665" builtinId="9" hidden="1"/>
    <cellStyle name="Lien hypertexte visité" xfId="20190" builtinId="9" hidden="1"/>
    <cellStyle name="Lien hypertexte visité" xfId="21196" builtinId="9" hidden="1"/>
    <cellStyle name="Lien hypertexte visité" xfId="13976" builtinId="9" hidden="1"/>
    <cellStyle name="Lien hypertexte visité" xfId="9288" builtinId="9" hidden="1"/>
    <cellStyle name="Lien hypertexte visité" xfId="23868" builtinId="9" hidden="1"/>
    <cellStyle name="Lien hypertexte visité" xfId="8169" builtinId="9" hidden="1"/>
    <cellStyle name="Lien hypertexte visité" xfId="7754" builtinId="9" hidden="1"/>
    <cellStyle name="Lien hypertexte visité" xfId="4394" builtinId="9" hidden="1"/>
    <cellStyle name="Lien hypertexte visité" xfId="1125" builtinId="9" hidden="1"/>
    <cellStyle name="Lien hypertexte visité" xfId="14599" builtinId="9" hidden="1"/>
    <cellStyle name="Lien hypertexte visité" xfId="10847" builtinId="9" hidden="1"/>
    <cellStyle name="Lien hypertexte visité" xfId="16075" builtinId="9" hidden="1"/>
    <cellStyle name="Lien hypertexte visité" xfId="8403" builtinId="9" hidden="1"/>
    <cellStyle name="Lien hypertexte visité" xfId="4458" builtinId="9" hidden="1"/>
    <cellStyle name="Lien hypertexte visité" xfId="3684" builtinId="9" hidden="1"/>
    <cellStyle name="Lien hypertexte visité" xfId="11939" builtinId="9" hidden="1"/>
    <cellStyle name="Lien hypertexte visité" xfId="16787" builtinId="9" hidden="1"/>
    <cellStyle name="Lien hypertexte visité" xfId="10027" builtinId="9" hidden="1"/>
    <cellStyle name="Lien hypertexte visité" xfId="1259" builtinId="9" hidden="1"/>
    <cellStyle name="Lien hypertexte visité" xfId="5291" builtinId="9" hidden="1"/>
    <cellStyle name="Lien hypertexte visité" xfId="991" builtinId="9" hidden="1"/>
    <cellStyle name="Lien hypertexte visité" xfId="24480" builtinId="9" hidden="1"/>
    <cellStyle name="Lien hypertexte visité" xfId="3151" builtinId="9" hidden="1"/>
    <cellStyle name="Lien hypertexte visité" xfId="2878" builtinId="9" hidden="1"/>
    <cellStyle name="Lien hypertexte visité" xfId="11022" builtinId="9" hidden="1"/>
    <cellStyle name="Lien hypertexte visité" xfId="17793" builtinId="9" hidden="1"/>
    <cellStyle name="Lien hypertexte visité" xfId="15383" builtinId="9" hidden="1"/>
    <cellStyle name="Lien hypertexte visité" xfId="15701" builtinId="9" hidden="1"/>
    <cellStyle name="Lien hypertexte visité" xfId="6807" builtinId="9" hidden="1"/>
    <cellStyle name="Lien hypertexte visité" xfId="21764" builtinId="9" hidden="1"/>
    <cellStyle name="Lien hypertexte visité" xfId="107" builtinId="9" hidden="1"/>
    <cellStyle name="Lien hypertexte visité" xfId="13905" builtinId="9" hidden="1"/>
    <cellStyle name="Lien hypertexte visité" xfId="20270" builtinId="9" hidden="1"/>
    <cellStyle name="Lien hypertexte visité" xfId="21868" builtinId="9" hidden="1"/>
    <cellStyle name="Lien hypertexte visité" xfId="14557" builtinId="9" hidden="1"/>
    <cellStyle name="Lien hypertexte visité" xfId="10992" builtinId="9" hidden="1"/>
    <cellStyle name="Lien hypertexte visité" xfId="12928" builtinId="9" hidden="1"/>
    <cellStyle name="Lien hypertexte visité" xfId="16927" builtinId="9" hidden="1"/>
    <cellStyle name="Lien hypertexte visité" xfId="4584" builtinId="9" hidden="1"/>
    <cellStyle name="Lien hypertexte visité" xfId="7722" builtinId="9" hidden="1"/>
    <cellStyle name="Lien hypertexte visité" xfId="4682" builtinId="9" hidden="1"/>
    <cellStyle name="Lien hypertexte visité" xfId="3967" builtinId="9" hidden="1"/>
    <cellStyle name="Lien hypertexte visité" xfId="16741" builtinId="9" hidden="1"/>
    <cellStyle name="Lien hypertexte visité" xfId="5084" builtinId="9" hidden="1"/>
    <cellStyle name="Lien hypertexte visité" xfId="14511" builtinId="9" hidden="1"/>
    <cellStyle name="Lien hypertexte visité" xfId="23250" builtinId="9" hidden="1"/>
    <cellStyle name="Lien hypertexte visité" xfId="7613" builtinId="9" hidden="1"/>
    <cellStyle name="Lien hypertexte visité" xfId="6861" builtinId="9" hidden="1"/>
    <cellStyle name="Lien hypertexte visité" xfId="8277" builtinId="9" hidden="1"/>
    <cellStyle name="Lien hypertexte visité" xfId="5174" builtinId="9" hidden="1"/>
    <cellStyle name="Lien hypertexte visité" xfId="9250" builtinId="9" hidden="1"/>
    <cellStyle name="Lien hypertexte visité" xfId="20352" builtinId="9" hidden="1"/>
    <cellStyle name="Lien hypertexte visité" xfId="14849" builtinId="9" hidden="1"/>
    <cellStyle name="Lien hypertexte visité" xfId="12647" builtinId="9" hidden="1"/>
    <cellStyle name="Lien hypertexte visité" xfId="3552" builtinId="9" hidden="1"/>
    <cellStyle name="Lien hypertexte visité" xfId="8598" builtinId="9" hidden="1"/>
    <cellStyle name="Lien hypertexte visité" xfId="19048" builtinId="9" hidden="1"/>
    <cellStyle name="Lien hypertexte visité" xfId="21424" builtinId="9" hidden="1"/>
    <cellStyle name="Lien hypertexte visité" xfId="19952" builtinId="9" hidden="1"/>
    <cellStyle name="Lien hypertexte visité" xfId="19042" builtinId="9" hidden="1"/>
    <cellStyle name="Lien hypertexte visité" xfId="24498" builtinId="9" hidden="1"/>
    <cellStyle name="Lien hypertexte visité" xfId="19264" builtinId="9" hidden="1"/>
    <cellStyle name="Lien hypertexte visité" xfId="13998" builtinId="9" hidden="1"/>
    <cellStyle name="Lien hypertexte visité" xfId="11266" builtinId="9" hidden="1"/>
    <cellStyle name="Lien hypertexte visité" xfId="8534" builtinId="9" hidden="1"/>
    <cellStyle name="Lien hypertexte visité" xfId="12295" builtinId="9" hidden="1"/>
    <cellStyle name="Lien hypertexte visité" xfId="7991" builtinId="9" hidden="1"/>
    <cellStyle name="Lien hypertexte visité" xfId="3898" builtinId="9" hidden="1"/>
    <cellStyle name="Lien hypertexte visité" xfId="1357" builtinId="9" hidden="1"/>
    <cellStyle name="Lien hypertexte visité" xfId="5684" builtinId="9" hidden="1"/>
    <cellStyle name="Lien hypertexte visité" xfId="9781" builtinId="9" hidden="1"/>
    <cellStyle name="Lien hypertexte visité" xfId="13877" builtinId="9" hidden="1"/>
    <cellStyle name="Lien hypertexte visité" xfId="4045" builtinId="9" hidden="1"/>
    <cellStyle name="Lien hypertexte visité" xfId="7773" builtinId="9" hidden="1"/>
    <cellStyle name="Lien hypertexte visité" xfId="1879" builtinId="9" hidden="1"/>
    <cellStyle name="Lien hypertexte visité" xfId="3495" builtinId="9" hidden="1"/>
    <cellStyle name="Lien hypertexte visité" xfId="6517" builtinId="9" hidden="1"/>
    <cellStyle name="Lien hypertexte visité" xfId="11434" builtinId="9" hidden="1"/>
    <cellStyle name="Lien hypertexte visité" xfId="17635" builtinId="9" hidden="1"/>
    <cellStyle name="Lien hypertexte visité" xfId="23416" builtinId="9" hidden="1"/>
    <cellStyle name="Lien hypertexte visité" xfId="14809" builtinId="9" hidden="1"/>
    <cellStyle name="Lien hypertexte visité" xfId="10566" builtinId="9" hidden="1"/>
    <cellStyle name="Lien hypertexte visité" xfId="13295" builtinId="9" hidden="1"/>
    <cellStyle name="Lien hypertexte visité" xfId="6766" builtinId="9" hidden="1"/>
    <cellStyle name="Lien hypertexte visité" xfId="101" builtinId="9" hidden="1"/>
    <cellStyle name="Lien hypertexte visité" xfId="6684" builtinId="9" hidden="1"/>
    <cellStyle name="Lien hypertexte visité" xfId="12829" builtinId="9" hidden="1"/>
    <cellStyle name="Lien hypertexte visité" xfId="24054" builtinId="9" hidden="1"/>
    <cellStyle name="Lien hypertexte visité" xfId="13708" builtinId="9" hidden="1"/>
    <cellStyle name="Lien hypertexte visité" xfId="7563" builtinId="9" hidden="1"/>
    <cellStyle name="Lien hypertexte visité" xfId="2198" builtinId="9" hidden="1"/>
    <cellStyle name="Lien hypertexte visité" xfId="15265" builtinId="9" hidden="1"/>
    <cellStyle name="Lien hypertexte visité" xfId="10933" builtinId="9" hidden="1"/>
    <cellStyle name="Lien hypertexte visité" xfId="10530" builtinId="9" hidden="1"/>
    <cellStyle name="Lien hypertexte visité" xfId="23656" builtinId="9" hidden="1"/>
    <cellStyle name="Lien hypertexte visité" xfId="8583" builtinId="9" hidden="1"/>
    <cellStyle name="Lien hypertexte visité" xfId="22262" builtinId="9" hidden="1"/>
    <cellStyle name="Lien hypertexte visité" xfId="10008" builtinId="9" hidden="1"/>
    <cellStyle name="Lien hypertexte visité" xfId="10651" builtinId="9" hidden="1"/>
    <cellStyle name="Lien hypertexte visité" xfId="7714" builtinId="9" hidden="1"/>
    <cellStyle name="Lien hypertexte visité" xfId="2556" builtinId="9" hidden="1"/>
    <cellStyle name="Lien hypertexte visité" xfId="3300" builtinId="9" hidden="1"/>
    <cellStyle name="Lien hypertexte visité" xfId="3292" builtinId="9" hidden="1"/>
    <cellStyle name="Lien hypertexte visité" xfId="11347" builtinId="9" hidden="1"/>
    <cellStyle name="Lien hypertexte visité" xfId="6154" builtinId="9" hidden="1"/>
    <cellStyle name="Lien hypertexte visité" xfId="8715" builtinId="9" hidden="1"/>
    <cellStyle name="Lien hypertexte visité" xfId="5896" builtinId="9" hidden="1"/>
    <cellStyle name="Lien hypertexte visité" xfId="8971" builtinId="9" hidden="1"/>
    <cellStyle name="Lien hypertexte visité" xfId="6410" builtinId="9" hidden="1"/>
    <cellStyle name="Lien hypertexte visité" xfId="11587" builtinId="9" hidden="1"/>
    <cellStyle name="Lien hypertexte visité" xfId="1243" builtinId="9" hidden="1"/>
    <cellStyle name="Lien hypertexte visité" xfId="3404" builtinId="9" hidden="1"/>
    <cellStyle name="Lien hypertexte visité" xfId="2444" builtinId="9" hidden="1"/>
    <cellStyle name="Lien hypertexte visité" xfId="8483" builtinId="9" hidden="1"/>
    <cellStyle name="Lien hypertexte visité" xfId="10555" builtinId="9" hidden="1"/>
    <cellStyle name="Lien hypertexte visité" xfId="13307" builtinId="9" hidden="1"/>
    <cellStyle name="Lien hypertexte visité" xfId="16019" builtinId="9" hidden="1"/>
    <cellStyle name="Lien hypertexte visité" xfId="14339" builtinId="9" hidden="1"/>
    <cellStyle name="Lien hypertexte visité" xfId="8563" builtinId="9" hidden="1"/>
    <cellStyle name="Lien hypertexte visité" xfId="21806" builtinId="9" hidden="1"/>
    <cellStyle name="Lien hypertexte visité" xfId="3354" builtinId="9" hidden="1"/>
    <cellStyle name="Lien hypertexte visité" xfId="6688" builtinId="9" hidden="1"/>
    <cellStyle name="Lien hypertexte visité" xfId="10017" builtinId="9" hidden="1"/>
    <cellStyle name="Lien hypertexte visité" xfId="2586" builtinId="9" hidden="1"/>
    <cellStyle name="Lien hypertexte visité" xfId="9299" builtinId="9" hidden="1"/>
    <cellStyle name="Lien hypertexte visité" xfId="22988" builtinId="9" hidden="1"/>
    <cellStyle name="Lien hypertexte visité" xfId="19582" builtinId="9" hidden="1"/>
    <cellStyle name="Lien hypertexte visité" xfId="13945" builtinId="9" hidden="1"/>
    <cellStyle name="Lien hypertexte visité" xfId="10617" builtinId="9" hidden="1"/>
    <cellStyle name="Lien hypertexte visité" xfId="7504" builtinId="9" hidden="1"/>
    <cellStyle name="Lien hypertexte visité" xfId="4216" builtinId="9" hidden="1"/>
    <cellStyle name="Lien hypertexte visité" xfId="12369" builtinId="9" hidden="1"/>
    <cellStyle name="Lien hypertexte visité" xfId="22542" builtinId="9" hidden="1"/>
    <cellStyle name="Lien hypertexte visité" xfId="9875" builtinId="9" hidden="1"/>
    <cellStyle name="Lien hypertexte visité" xfId="15811" builtinId="9" hidden="1"/>
    <cellStyle name="Lien hypertexte visité" xfId="14819" builtinId="9" hidden="1"/>
    <cellStyle name="Lien hypertexte visité" xfId="11299" builtinId="9" hidden="1"/>
    <cellStyle name="Lien hypertexte visité" xfId="4968" builtinId="9" hidden="1"/>
    <cellStyle name="Lien hypertexte visité" xfId="14313" builtinId="9" hidden="1"/>
    <cellStyle name="Lien hypertexte visité" xfId="16205" builtinId="9" hidden="1"/>
    <cellStyle name="Lien hypertexte visité" xfId="9968" builtinId="9" hidden="1"/>
    <cellStyle name="Lien hypertexte visité" xfId="13080" builtinId="9" hidden="1"/>
    <cellStyle name="Lien hypertexte visité" xfId="17965" builtinId="9" hidden="1"/>
    <cellStyle name="Lien hypertexte visité" xfId="3986" builtinId="9" hidden="1"/>
    <cellStyle name="Lien hypertexte visité" xfId="6658" builtinId="9" hidden="1"/>
    <cellStyle name="Lien hypertexte visité" xfId="9331" builtinId="9" hidden="1"/>
    <cellStyle name="Lien hypertexte visité" xfId="1541" builtinId="9" hidden="1"/>
    <cellStyle name="Lien hypertexte visité" xfId="23380" builtinId="9" hidden="1"/>
    <cellStyle name="Lien hypertexte visité" xfId="2774" builtinId="9" hidden="1"/>
    <cellStyle name="Lien hypertexte visité" xfId="19702" builtinId="9" hidden="1"/>
    <cellStyle name="Lien hypertexte visité" xfId="4619" builtinId="9" hidden="1"/>
    <cellStyle name="Lien hypertexte visité" xfId="8819" builtinId="9" hidden="1"/>
    <cellStyle name="Lien hypertexte visité" xfId="6146" builtinId="9" hidden="1"/>
    <cellStyle name="Lien hypertexte visité" xfId="3468" builtinId="9" hidden="1"/>
    <cellStyle name="Lien hypertexte visité" xfId="16765" builtinId="9" hidden="1"/>
    <cellStyle name="Lien hypertexte visité" xfId="12528" builtinId="9" hidden="1"/>
    <cellStyle name="Lien hypertexte visité" xfId="9416" builtinId="9" hidden="1"/>
    <cellStyle name="Lien hypertexte visité" xfId="19772" builtinId="9" hidden="1"/>
    <cellStyle name="Lien hypertexte visité" xfId="12649" builtinId="9" hidden="1"/>
    <cellStyle name="Lien hypertexte visité" xfId="3298" builtinId="9" hidden="1"/>
    <cellStyle name="Lien hypertexte visité" xfId="14139" builtinId="9" hidden="1"/>
    <cellStyle name="Lien hypertexte visité" xfId="16947" builtinId="9" hidden="1"/>
    <cellStyle name="Lien hypertexte visité" xfId="13251" builtinId="9" hidden="1"/>
    <cellStyle name="Lien hypertexte visité" xfId="10459" builtinId="9" hidden="1"/>
    <cellStyle name="Lien hypertexte visité" xfId="9032" builtinId="9" hidden="1"/>
    <cellStyle name="Lien hypertexte visité" xfId="6904" builtinId="9" hidden="1"/>
    <cellStyle name="Lien hypertexte visité" xfId="4768" builtinId="9" hidden="1"/>
    <cellStyle name="Lien hypertexte visité" xfId="8097" builtinId="9" hidden="1"/>
    <cellStyle name="Lien hypertexte visité" xfId="11217" builtinId="9" hidden="1"/>
    <cellStyle name="Lien hypertexte visité" xfId="14575" builtinId="9" hidden="1"/>
    <cellStyle name="Lien hypertexte visité" xfId="20782" builtinId="9" hidden="1"/>
    <cellStyle name="Lien hypertexte visité" xfId="21788" builtinId="9" hidden="1"/>
    <cellStyle name="Lien hypertexte visité" xfId="5386" builtinId="9" hidden="1"/>
    <cellStyle name="Lien hypertexte visité" xfId="11937" builtinId="9" hidden="1"/>
    <cellStyle name="Lien hypertexte visité" xfId="9425" builtinId="9" hidden="1"/>
    <cellStyle name="Lien hypertexte visité" xfId="6096" builtinId="9" hidden="1"/>
    <cellStyle name="Lien hypertexte visité" xfId="2762" builtinId="9" hidden="1"/>
    <cellStyle name="Lien hypertexte visité" xfId="16509" builtinId="9" hidden="1"/>
    <cellStyle name="Lien hypertexte visité" xfId="3886" builtinId="9" hidden="1"/>
    <cellStyle name="Lien hypertexte visité" xfId="13779" builtinId="9" hidden="1"/>
    <cellStyle name="Lien hypertexte visité" xfId="17299" builtinId="9" hidden="1"/>
    <cellStyle name="Lien hypertexte visité" xfId="13739" builtinId="9" hidden="1"/>
    <cellStyle name="Lien hypertexte visité" xfId="10995" builtinId="9" hidden="1"/>
    <cellStyle name="Lien hypertexte visité" xfId="5410" builtinId="9" hidden="1"/>
    <cellStyle name="Lien hypertexte visité" xfId="1532" builtinId="9" hidden="1"/>
    <cellStyle name="Lien hypertexte visité" xfId="2932" builtinId="9" hidden="1"/>
    <cellStyle name="Lien hypertexte visité" xfId="4578" builtinId="9" hidden="1"/>
    <cellStyle name="Lien hypertexte visité" xfId="11179" builtinId="9" hidden="1"/>
    <cellStyle name="Lien hypertexte visité" xfId="5970" builtinId="9" hidden="1"/>
    <cellStyle name="Lien hypertexte visité" xfId="8531" builtinId="9" hidden="1"/>
    <cellStyle name="Lien hypertexte visité" xfId="5384" builtinId="9" hidden="1"/>
    <cellStyle name="Lien hypertexte visité" xfId="9155" builtinId="9" hidden="1"/>
    <cellStyle name="Lien hypertexte visité" xfId="6778" builtinId="9" hidden="1"/>
    <cellStyle name="Lien hypertexte visité" xfId="11923" builtinId="9" hidden="1"/>
    <cellStyle name="Lien hypertexte visité" xfId="1171" builtinId="9" hidden="1"/>
    <cellStyle name="Lien hypertexte visité" xfId="3741" builtinId="9" hidden="1"/>
    <cellStyle name="Lien hypertexte visité" xfId="2084" builtinId="9" hidden="1"/>
    <cellStyle name="Lien hypertexte visité" xfId="12699" builtinId="9" hidden="1"/>
    <cellStyle name="Lien hypertexte visité" xfId="10211" builtinId="9" hidden="1"/>
    <cellStyle name="Lien hypertexte visité" xfId="24124" builtinId="9" hidden="1"/>
    <cellStyle name="Lien hypertexte visité" xfId="7342" builtinId="9" hidden="1"/>
    <cellStyle name="Lien hypertexte visité" xfId="14254" builtinId="9" hidden="1"/>
    <cellStyle name="Lien hypertexte visité" xfId="14074" builtinId="9" hidden="1"/>
    <cellStyle name="Lien hypertexte visité" xfId="13911" builtinId="9" hidden="1"/>
    <cellStyle name="Lien hypertexte visité" xfId="18263" builtinId="9" hidden="1"/>
    <cellStyle name="Lien hypertexte visité" xfId="22658" builtinId="9" hidden="1"/>
    <cellStyle name="Lien hypertexte visité" xfId="10397" builtinId="9" hidden="1"/>
    <cellStyle name="Lien hypertexte visité" xfId="8588" builtinId="9" hidden="1"/>
    <cellStyle name="Lien hypertexte visité" xfId="14949" builtinId="9" hidden="1"/>
    <cellStyle name="Lien hypertexte visité" xfId="21366" builtinId="9" hidden="1"/>
    <cellStyle name="Lien hypertexte visité" xfId="11805" builtinId="9" hidden="1"/>
    <cellStyle name="Lien hypertexte visité" xfId="5660" builtinId="9" hidden="1"/>
    <cellStyle name="Lien hypertexte visité" xfId="2024" builtinId="9" hidden="1"/>
    <cellStyle name="Lien hypertexte visité" xfId="8175" builtinId="9" hidden="1"/>
    <cellStyle name="Lien hypertexte visité" xfId="14319" builtinId="9" hidden="1"/>
    <cellStyle name="Lien hypertexte visité" xfId="11250" builtinId="9" hidden="1"/>
    <cellStyle name="Lien hypertexte visité" xfId="16601" builtinId="9" hidden="1"/>
    <cellStyle name="Lien hypertexte visité" xfId="24450" builtinId="9" hidden="1"/>
    <cellStyle name="Lien hypertexte visité" xfId="20410" builtinId="9" hidden="1"/>
    <cellStyle name="Lien hypertexte visité" xfId="8746" builtinId="9" hidden="1"/>
    <cellStyle name="Lien hypertexte visité" xfId="7285" builtinId="9" hidden="1"/>
    <cellStyle name="Lien hypertexte visité" xfId="1434" builtinId="9" hidden="1"/>
    <cellStyle name="Lien hypertexte visité" xfId="3459" builtinId="9" hidden="1"/>
    <cellStyle name="Lien hypertexte visité" xfId="6969" builtinId="9" hidden="1"/>
    <cellStyle name="Lien hypertexte visité" xfId="9850" builtinId="9" hidden="1"/>
    <cellStyle name="Lien hypertexte visité" xfId="13189" builtinId="9" hidden="1"/>
    <cellStyle name="Lien hypertexte visité" xfId="8885" builtinId="9" hidden="1"/>
    <cellStyle name="Lien hypertexte visité" xfId="4788" builtinId="9" hidden="1"/>
    <cellStyle name="Lien hypertexte visité" xfId="207" builtinId="9" hidden="1"/>
    <cellStyle name="Lien hypertexte visité" xfId="4566" builtinId="9" hidden="1"/>
    <cellStyle name="Lien hypertexte visité" xfId="8887" builtinId="9" hidden="1"/>
    <cellStyle name="Lien hypertexte visité" xfId="12983" builtinId="9" hidden="1"/>
    <cellStyle name="Lien hypertexte visité" xfId="8994" builtinId="9" hidden="1"/>
    <cellStyle name="Lien hypertexte visité" xfId="11894" builtinId="9" hidden="1"/>
    <cellStyle name="Lien hypertexte visité" xfId="14737" builtinId="9" hidden="1"/>
    <cellStyle name="Lien hypertexte visité" xfId="20184" builtinId="9" hidden="1"/>
    <cellStyle name="Lien hypertexte visité" xfId="23586" builtinId="9" hidden="1"/>
    <cellStyle name="Lien hypertexte visité" xfId="17859" builtinId="9" hidden="1"/>
    <cellStyle name="Lien hypertexte visité" xfId="17217" builtinId="9" hidden="1"/>
    <cellStyle name="Lien hypertexte visité" xfId="19610" builtinId="9" hidden="1"/>
    <cellStyle name="Lien hypertexte visité" xfId="15481" builtinId="9" hidden="1"/>
    <cellStyle name="Lien hypertexte visité" xfId="13799" builtinId="9" hidden="1"/>
    <cellStyle name="Lien hypertexte visité" xfId="1504" builtinId="9" hidden="1"/>
    <cellStyle name="Lien hypertexte visité" xfId="10134" builtinId="9" hidden="1"/>
    <cellStyle name="Lien hypertexte visité" xfId="23514" builtinId="9" hidden="1"/>
    <cellStyle name="Lien hypertexte visité" xfId="17641" builtinId="9" hidden="1"/>
    <cellStyle name="Lien hypertexte visité" xfId="16315" builtinId="9" hidden="1"/>
    <cellStyle name="Lien hypertexte visité" xfId="2432" builtinId="9" hidden="1"/>
    <cellStyle name="Lien hypertexte visité" xfId="11013" builtinId="9" hidden="1"/>
    <cellStyle name="Lien hypertexte visité" xfId="5417" builtinId="9" hidden="1"/>
    <cellStyle name="Lien hypertexte visité" xfId="5857" builtinId="9" hidden="1"/>
    <cellStyle name="Lien hypertexte visité" xfId="20512" builtinId="9" hidden="1"/>
    <cellStyle name="Lien hypertexte visité" xfId="11439" builtinId="9" hidden="1"/>
    <cellStyle name="Lien hypertexte visité" xfId="8157" builtinId="9" hidden="1"/>
    <cellStyle name="Lien hypertexte visité" xfId="11532" builtinId="9" hidden="1"/>
    <cellStyle name="Lien hypertexte visité" xfId="8064" builtinId="9" hidden="1"/>
    <cellStyle name="Lien hypertexte visité" xfId="5194" builtinId="9" hidden="1"/>
    <cellStyle name="Lien hypertexte visité" xfId="8195" builtinId="9" hidden="1"/>
    <cellStyle name="Lien hypertexte visité" xfId="6888" builtinId="9" hidden="1"/>
    <cellStyle name="Lien hypertexte visité" xfId="20238" builtinId="9" hidden="1"/>
    <cellStyle name="Lien hypertexte visité" xfId="11136" builtinId="9" hidden="1"/>
    <cellStyle name="Lien hypertexte visité" xfId="11800" builtinId="9" hidden="1"/>
    <cellStyle name="Lien hypertexte visité" xfId="16093" builtinId="9" hidden="1"/>
    <cellStyle name="Lien hypertexte visité" xfId="23068" builtinId="9" hidden="1"/>
    <cellStyle name="Lien hypertexte visité" xfId="19166" builtinId="9" hidden="1"/>
    <cellStyle name="Lien hypertexte visité" xfId="13137" builtinId="9" hidden="1"/>
    <cellStyle name="Lien hypertexte visité" xfId="8997" builtinId="9" hidden="1"/>
    <cellStyle name="Lien hypertexte visité" xfId="20422" builtinId="9" hidden="1"/>
    <cellStyle name="Lien hypertexte visité" xfId="7511" builtinId="9" hidden="1"/>
    <cellStyle name="Lien hypertexte visité" xfId="24038" builtinId="9" hidden="1"/>
    <cellStyle name="Lien hypertexte visité" xfId="2654" builtinId="9" hidden="1"/>
    <cellStyle name="Lien hypertexte visité" xfId="18051" builtinId="9" hidden="1"/>
    <cellStyle name="Lien hypertexte visité" xfId="8290" builtinId="9" hidden="1"/>
    <cellStyle name="Lien hypertexte visité" xfId="6980" builtinId="9" hidden="1"/>
    <cellStyle name="Lien hypertexte visité" xfId="1987" builtinId="9" hidden="1"/>
    <cellStyle name="Lien hypertexte visité" xfId="16305" builtinId="9" hidden="1"/>
    <cellStyle name="Lien hypertexte visité" xfId="7228" builtinId="9" hidden="1"/>
    <cellStyle name="Lien hypertexte visité" xfId="2009" builtinId="9" hidden="1"/>
    <cellStyle name="Lien hypertexte visité" xfId="20574" builtinId="9" hidden="1"/>
    <cellStyle name="Lien hypertexte visité" xfId="2978" builtinId="9" hidden="1"/>
    <cellStyle name="Lien hypertexte visité" xfId="16563" builtinId="9" hidden="1"/>
    <cellStyle name="Lien hypertexte visité" xfId="8766" builtinId="9" hidden="1"/>
    <cellStyle name="Lien hypertexte visité" xfId="6284" builtinId="9" hidden="1"/>
    <cellStyle name="Lien hypertexte visité" xfId="11036" builtinId="9" hidden="1"/>
    <cellStyle name="Lien hypertexte visité" xfId="2346" builtinId="9" hidden="1"/>
    <cellStyle name="Lien hypertexte visité" xfId="19310" builtinId="9" hidden="1"/>
    <cellStyle name="Lien hypertexte visité" xfId="12384" builtinId="9" hidden="1"/>
    <cellStyle name="Lien hypertexte visité" xfId="15359" builtinId="9" hidden="1"/>
    <cellStyle name="Lien hypertexte visité" xfId="3302" builtinId="9" hidden="1"/>
    <cellStyle name="Lien hypertexte visité" xfId="18187" builtinId="9" hidden="1"/>
    <cellStyle name="Lien hypertexte visité" xfId="10898" builtinId="9" hidden="1"/>
    <cellStyle name="Lien hypertexte visité" xfId="2395" builtinId="9" hidden="1"/>
    <cellStyle name="Lien hypertexte visité" xfId="10330" builtinId="9" hidden="1"/>
    <cellStyle name="Lien hypertexte visité" xfId="3079" builtinId="9" hidden="1"/>
    <cellStyle name="Lien hypertexte visité" xfId="11794" builtinId="9" hidden="1"/>
    <cellStyle name="Lien hypertexte visité" xfId="23546" builtinId="9" hidden="1"/>
    <cellStyle name="Lien hypertexte visité" xfId="8045" builtinId="9" hidden="1"/>
    <cellStyle name="Lien hypertexte visité" xfId="1346" builtinId="9" hidden="1"/>
    <cellStyle name="Lien hypertexte visité" xfId="23354" builtinId="9" hidden="1"/>
    <cellStyle name="Lien hypertexte visité" xfId="9734" builtinId="9" hidden="1"/>
    <cellStyle name="Lien hypertexte visité" xfId="4860" builtinId="9" hidden="1"/>
    <cellStyle name="Lien hypertexte visité" xfId="12396" builtinId="9" hidden="1"/>
    <cellStyle name="Lien hypertexte visité" xfId="1369" builtinId="9" hidden="1"/>
    <cellStyle name="Lien hypertexte visité" xfId="17423" builtinId="9" hidden="1"/>
    <cellStyle name="Lien hypertexte visité" xfId="9664" builtinId="9" hidden="1"/>
    <cellStyle name="Lien hypertexte visité" xfId="5394" builtinId="9" hidden="1"/>
    <cellStyle name="Lien hypertexte visité" xfId="16163" builtinId="9" hidden="1"/>
    <cellStyle name="Lien hypertexte visité" xfId="4274" builtinId="9" hidden="1"/>
    <cellStyle name="Lien hypertexte visité" xfId="11071" builtinId="9" hidden="1"/>
    <cellStyle name="Lien hypertexte visité" xfId="4684" builtinId="9" hidden="1"/>
    <cellStyle name="Lien hypertexte visité" xfId="24022" builtinId="9" hidden="1"/>
    <cellStyle name="Lien hypertexte visité" xfId="5339" builtinId="9" hidden="1"/>
    <cellStyle name="Lien hypertexte visité" xfId="1297" builtinId="9" hidden="1"/>
    <cellStyle name="Lien hypertexte visité" xfId="11033" builtinId="9" hidden="1"/>
    <cellStyle name="Lien hypertexte visité" xfId="22364" builtinId="9" hidden="1"/>
    <cellStyle name="Lien hypertexte visité" xfId="9248" builtinId="9" hidden="1"/>
    <cellStyle name="Lien hypertexte visité" xfId="17037" builtinId="9" hidden="1"/>
    <cellStyle name="Lien hypertexte visité" xfId="3579" builtinId="9" hidden="1"/>
    <cellStyle name="Lien hypertexte visité" xfId="8557" builtinId="9" hidden="1"/>
    <cellStyle name="Lien hypertexte visité" xfId="8928" builtinId="9" hidden="1"/>
    <cellStyle name="Lien hypertexte visité" xfId="1169" builtinId="9" hidden="1"/>
    <cellStyle name="Lien hypertexte visité" xfId="4524" builtinId="9" hidden="1"/>
    <cellStyle name="Lien hypertexte visité" xfId="16419" builtinId="9" hidden="1"/>
    <cellStyle name="Lien hypertexte visité" xfId="17087" builtinId="9" hidden="1"/>
    <cellStyle name="Lien hypertexte visité" xfId="23350" builtinId="9" hidden="1"/>
    <cellStyle name="Lien hypertexte visité" xfId="2457" builtinId="9" hidden="1"/>
    <cellStyle name="Lien hypertexte visité" xfId="11025" builtinId="9" hidden="1"/>
    <cellStyle name="Lien hypertexte visité" xfId="13784" builtinId="9" hidden="1"/>
    <cellStyle name="Lien hypertexte visité" xfId="2082" builtinId="9" hidden="1"/>
    <cellStyle name="Lien hypertexte visité" xfId="10539" builtinId="9" hidden="1"/>
    <cellStyle name="Lien hypertexte visité" xfId="8547" builtinId="9" hidden="1"/>
    <cellStyle name="Lien hypertexte visité" xfId="8574" builtinId="9" hidden="1"/>
    <cellStyle name="Lien hypertexte visité" xfId="1399" builtinId="9" hidden="1"/>
    <cellStyle name="Lien hypertexte visité" xfId="14093" builtinId="9" hidden="1"/>
    <cellStyle name="Lien hypertexte visité" xfId="10716" builtinId="9" hidden="1"/>
    <cellStyle name="Lien hypertexte visité" xfId="5455" builtinId="9" hidden="1"/>
    <cellStyle name="Lien hypertexte visité" xfId="7552" builtinId="9" hidden="1"/>
    <cellStyle name="Lien hypertexte visité" xfId="19694" builtinId="9" hidden="1"/>
    <cellStyle name="Lien hypertexte visité" xfId="12024" builtinId="9" hidden="1"/>
    <cellStyle name="Lien hypertexte visité" xfId="11145" builtinId="9" hidden="1"/>
    <cellStyle name="Lien hypertexte visité" xfId="14337" builtinId="9" hidden="1"/>
    <cellStyle name="Lien hypertexte visité" xfId="17989" builtinId="9" hidden="1"/>
    <cellStyle name="Lien hypertexte visité" xfId="20502" builtinId="9" hidden="1"/>
    <cellStyle name="Lien hypertexte visité" xfId="7291" builtinId="9" hidden="1"/>
    <cellStyle name="Lien hypertexte visité" xfId="459" builtinId="9" hidden="1"/>
    <cellStyle name="Lien hypertexte visité" xfId="9905" builtinId="9" hidden="1"/>
    <cellStyle name="Lien hypertexte visité" xfId="24382" builtinId="9" hidden="1"/>
    <cellStyle name="Lien hypertexte visité" xfId="9616" builtinId="9" hidden="1"/>
    <cellStyle name="Lien hypertexte visité" xfId="7176" builtinId="9" hidden="1"/>
    <cellStyle name="Lien hypertexte visité" xfId="19022" builtinId="9" hidden="1"/>
    <cellStyle name="Lien hypertexte visité" xfId="12512" builtinId="9" hidden="1"/>
    <cellStyle name="Lien hypertexte visité" xfId="10832" builtinId="9" hidden="1"/>
    <cellStyle name="Lien hypertexte visité" xfId="14008" builtinId="9" hidden="1"/>
    <cellStyle name="Lien hypertexte visité" xfId="20188" builtinId="9" hidden="1"/>
    <cellStyle name="Lien hypertexte visité" xfId="22638" builtinId="9" hidden="1"/>
    <cellStyle name="Lien hypertexte visité" xfId="16303" builtinId="9" hidden="1"/>
    <cellStyle name="Lien hypertexte visité" xfId="12057" builtinId="9" hidden="1"/>
    <cellStyle name="Lien hypertexte visité" xfId="8857" builtinId="9" hidden="1"/>
    <cellStyle name="Lien hypertexte visité" xfId="5680" builtinId="9" hidden="1"/>
    <cellStyle name="Lien hypertexte visité" xfId="2362" builtinId="9" hidden="1"/>
    <cellStyle name="Lien hypertexte visité" xfId="7247" builtinId="9" hidden="1"/>
    <cellStyle name="Lien hypertexte visité" xfId="2473" builtinId="9" hidden="1"/>
    <cellStyle name="Lien hypertexte visité" xfId="3742" builtinId="9" hidden="1"/>
    <cellStyle name="Lien hypertexte visité" xfId="8508" builtinId="9" hidden="1"/>
    <cellStyle name="Lien hypertexte visité" xfId="13276" builtinId="9" hidden="1"/>
    <cellStyle name="Lien hypertexte visité" xfId="22132" builtinId="9" hidden="1"/>
    <cellStyle name="Lien hypertexte visité" xfId="17575" builtinId="9" hidden="1"/>
    <cellStyle name="Lien hypertexte visité" xfId="11277" builtinId="9" hidden="1"/>
    <cellStyle name="Lien hypertexte visité" xfId="6316" builtinId="9" hidden="1"/>
    <cellStyle name="Lien hypertexte visité" xfId="1542" builtinId="9" hidden="1"/>
    <cellStyle name="Lien hypertexte visité" xfId="4414" builtinId="9" hidden="1"/>
    <cellStyle name="Lien hypertexte visité" xfId="9439" builtinId="9" hidden="1"/>
    <cellStyle name="Lien hypertexte visité" xfId="14207" builtinId="9" hidden="1"/>
    <cellStyle name="Lien hypertexte visité" xfId="1730" builtinId="9" hidden="1"/>
    <cellStyle name="Lien hypertexte visité" xfId="5586" builtinId="9" hidden="1"/>
    <cellStyle name="Lien hypertexte visité" xfId="1483" builtinId="9" hidden="1"/>
    <cellStyle name="Lien hypertexte visité" xfId="10779" builtinId="9" hidden="1"/>
    <cellStyle name="Lien hypertexte visité" xfId="14467" builtinId="9" hidden="1"/>
    <cellStyle name="Lien hypertexte visité" xfId="14315" builtinId="9" hidden="1"/>
    <cellStyle name="Lien hypertexte visité" xfId="9379" builtinId="9" hidden="1"/>
    <cellStyle name="Lien hypertexte visité" xfId="4010" builtinId="9" hidden="1"/>
    <cellStyle name="Lien hypertexte visité" xfId="8107" builtinId="9" hidden="1"/>
    <cellStyle name="Lien hypertexte visité" xfId="9769" builtinId="9" hidden="1"/>
    <cellStyle name="Lien hypertexte visité" xfId="14272" builtinId="9" hidden="1"/>
    <cellStyle name="Lien hypertexte visité" xfId="11824" builtinId="9" hidden="1"/>
    <cellStyle name="Lien hypertexte visité" xfId="18668" builtinId="9" hidden="1"/>
    <cellStyle name="Lien hypertexte visité" xfId="20654" builtinId="9" hidden="1"/>
    <cellStyle name="Lien hypertexte visité" xfId="12817" builtinId="9" hidden="1"/>
    <cellStyle name="Lien hypertexte visité" xfId="8033" builtinId="9" hidden="1"/>
    <cellStyle name="Lien hypertexte visité" xfId="2994" builtinId="9" hidden="1"/>
    <cellStyle name="Lien hypertexte visité" xfId="5791" builtinId="9" hidden="1"/>
    <cellStyle name="Lien hypertexte visité" xfId="2533" builtinId="9" hidden="1"/>
    <cellStyle name="Lien hypertexte visité" xfId="10092" builtinId="9" hidden="1"/>
    <cellStyle name="Lien hypertexte visité" xfId="19988" builtinId="9" hidden="1"/>
    <cellStyle name="Lien hypertexte visité" xfId="14919" builtinId="9" hidden="1"/>
    <cellStyle name="Lien hypertexte visité" xfId="7292" builtinId="9" hidden="1"/>
    <cellStyle name="Lien hypertexte visité" xfId="899" builtinId="9" hidden="1"/>
    <cellStyle name="Lien hypertexte visité" xfId="8207" builtinId="9" hidden="1"/>
    <cellStyle name="Lien hypertexte visité" xfId="17003" builtinId="9" hidden="1"/>
    <cellStyle name="Lien hypertexte visité" xfId="12894" builtinId="9" hidden="1"/>
    <cellStyle name="Lien hypertexte visité" xfId="20808" builtinId="9" hidden="1"/>
    <cellStyle name="Lien hypertexte visité" xfId="18346" builtinId="9" hidden="1"/>
    <cellStyle name="Lien hypertexte visité" xfId="10474" builtinId="9" hidden="1"/>
    <cellStyle name="Lien hypertexte visité" xfId="7377" builtinId="9" hidden="1"/>
    <cellStyle name="Lien hypertexte visité" xfId="2179" builtinId="9" hidden="1"/>
    <cellStyle name="Lien hypertexte visité" xfId="2639" builtinId="9" hidden="1"/>
    <cellStyle name="Lien hypertexte visité" xfId="5197" builtinId="9" hidden="1"/>
    <cellStyle name="Lien hypertexte visité" xfId="14277" builtinId="9" hidden="1"/>
    <cellStyle name="Lien hypertexte visité" xfId="7454" builtinId="9" hidden="1"/>
    <cellStyle name="Lien hypertexte visité" xfId="5373" builtinId="9" hidden="1"/>
    <cellStyle name="Lien hypertexte visité" xfId="17505" builtinId="9" hidden="1"/>
    <cellStyle name="Lien hypertexte visité" xfId="20674" builtinId="9" hidden="1"/>
    <cellStyle name="Lien hypertexte visité" xfId="20360" builtinId="9" hidden="1"/>
    <cellStyle name="Lien hypertexte visité" xfId="13158" builtinId="9" hidden="1"/>
    <cellStyle name="Lien hypertexte visité" xfId="10514" builtinId="9" hidden="1"/>
    <cellStyle name="Lien hypertexte visité" xfId="3075" builtinId="9" hidden="1"/>
    <cellStyle name="Lien hypertexte visité" xfId="1495" builtinId="9" hidden="1"/>
    <cellStyle name="Lien hypertexte visité" xfId="7569" builtinId="9" hidden="1"/>
    <cellStyle name="Lien hypertexte visité" xfId="4713" builtinId="9" hidden="1"/>
    <cellStyle name="Lien hypertexte visité" xfId="4125" builtinId="9" hidden="1"/>
    <cellStyle name="Lien hypertexte visité" xfId="6301" builtinId="9" hidden="1"/>
    <cellStyle name="Lien hypertexte visité" xfId="6121" builtinId="9" hidden="1"/>
    <cellStyle name="Lien hypertexte visité" xfId="7954" builtinId="9" hidden="1"/>
    <cellStyle name="Lien hypertexte visité" xfId="1823" builtinId="9" hidden="1"/>
    <cellStyle name="Lien hypertexte visité" xfId="3780" builtinId="9" hidden="1"/>
    <cellStyle name="Lien hypertexte visité" xfId="9534" builtinId="9" hidden="1"/>
    <cellStyle name="Lien hypertexte visité" xfId="13630" builtinId="9" hidden="1"/>
    <cellStyle name="Lien hypertexte visité" xfId="20920" builtinId="9" hidden="1"/>
    <cellStyle name="Lien hypertexte visité" xfId="19730" builtinId="9" hidden="1"/>
    <cellStyle name="Lien hypertexte visité" xfId="14689" builtinId="9" hidden="1"/>
    <cellStyle name="Lien hypertexte visité" xfId="5613" builtinId="9" hidden="1"/>
    <cellStyle name="Lien hypertexte visité" xfId="5022" builtinId="9" hidden="1"/>
    <cellStyle name="Lien hypertexte visité" xfId="20758" builtinId="9" hidden="1"/>
    <cellStyle name="Lien hypertexte visité" xfId="1160" builtinId="9" hidden="1"/>
    <cellStyle name="Lien hypertexte visité" xfId="10161" builtinId="9" hidden="1"/>
    <cellStyle name="Lien hypertexte visité" xfId="14781" builtinId="9" hidden="1"/>
    <cellStyle name="Lien hypertexte visité" xfId="6920" builtinId="9" hidden="1"/>
    <cellStyle name="Lien hypertexte visité" xfId="19836" builtinId="9" hidden="1"/>
    <cellStyle name="Lien hypertexte visité" xfId="10856" builtinId="9" hidden="1"/>
    <cellStyle name="Lien hypertexte visité" xfId="16749" builtinId="9" hidden="1"/>
    <cellStyle name="Lien hypertexte visité" xfId="22462" builtinId="9" hidden="1"/>
    <cellStyle name="Lien hypertexte visité" xfId="13721" builtinId="9" hidden="1"/>
    <cellStyle name="Lien hypertexte visité" xfId="8945" builtinId="9" hidden="1"/>
    <cellStyle name="Lien hypertexte visité" xfId="3952" builtinId="9" hidden="1"/>
    <cellStyle name="Lien hypertexte visité" xfId="7215" builtinId="9" hidden="1"/>
    <cellStyle name="Lien hypertexte visité" xfId="1053" builtinId="9" hidden="1"/>
    <cellStyle name="Lien hypertexte visité" xfId="8636" builtinId="9" hidden="1"/>
    <cellStyle name="Lien hypertexte visité" xfId="17093" builtinId="9" hidden="1"/>
    <cellStyle name="Lien hypertexte visité" xfId="17831" builtinId="9" hidden="1"/>
    <cellStyle name="Lien hypertexte visité" xfId="8653" builtinId="9" hidden="1"/>
    <cellStyle name="Lien hypertexte visité" xfId="1477" builtinId="9" hidden="1"/>
    <cellStyle name="Lien hypertexte visité" xfId="6846" builtinId="9" hidden="1"/>
    <cellStyle name="Lien hypertexte visité" xfId="14335" builtinId="9" hidden="1"/>
    <cellStyle name="Lien hypertexte visité" xfId="7746" builtinId="9" hidden="1"/>
    <cellStyle name="Lien hypertexte visité" xfId="1596" builtinId="9" hidden="1"/>
    <cellStyle name="Lien hypertexte visité" xfId="13931" builtinId="9" hidden="1"/>
    <cellStyle name="Lien hypertexte visité" xfId="14347" builtinId="9" hidden="1"/>
    <cellStyle name="Lien hypertexte visité" xfId="1772" builtinId="9" hidden="1"/>
    <cellStyle name="Lien hypertexte visité" xfId="8211" builtinId="9" hidden="1"/>
    <cellStyle name="Lien hypertexte visité" xfId="20110" builtinId="9" hidden="1"/>
    <cellStyle name="Lien hypertexte visité" xfId="11696" builtinId="9" hidden="1"/>
    <cellStyle name="Lien hypertexte visité" xfId="23884" builtinId="9" hidden="1"/>
    <cellStyle name="Lien hypertexte visité" xfId="12769" builtinId="9" hidden="1"/>
    <cellStyle name="Lien hypertexte visité" xfId="5600" builtinId="9" hidden="1"/>
    <cellStyle name="Lien hypertexte visité" xfId="5599" builtinId="9" hidden="1"/>
    <cellStyle name="Lien hypertexte visité" xfId="6315" builtinId="9" hidden="1"/>
    <cellStyle name="Lien hypertexte visité" xfId="19604" builtinId="9" hidden="1"/>
    <cellStyle name="Lien hypertexte visité" xfId="10813" builtinId="9" hidden="1"/>
    <cellStyle name="Lien hypertexte visité" xfId="1027" builtinId="9" hidden="1"/>
    <cellStyle name="Lien hypertexte visité" xfId="11855" builtinId="9" hidden="1"/>
    <cellStyle name="Lien hypertexte visité" xfId="13022" builtinId="9" hidden="1"/>
    <cellStyle name="Lien hypertexte visité" xfId="23378" builtinId="9" hidden="1"/>
    <cellStyle name="Lien hypertexte visité" xfId="10858" builtinId="9" hidden="1"/>
    <cellStyle name="Lien hypertexte visité" xfId="2931" builtinId="9" hidden="1"/>
    <cellStyle name="Lien hypertexte visité" xfId="2603" builtinId="9" hidden="1"/>
    <cellStyle name="Lien hypertexte visité" xfId="11066" builtinId="9" hidden="1"/>
    <cellStyle name="Lien hypertexte visité" xfId="9365" builtinId="9" hidden="1"/>
    <cellStyle name="Lien hypertexte visité" xfId="2190" builtinId="9" hidden="1"/>
    <cellStyle name="Lien hypertexte visité" xfId="6134" builtinId="9" hidden="1"/>
    <cellStyle name="Lien hypertexte visité" xfId="13639" builtinId="9" hidden="1"/>
    <cellStyle name="Lien hypertexte visité" xfId="11478" builtinId="9" hidden="1"/>
    <cellStyle name="Lien hypertexte visité" xfId="18001" builtinId="9" hidden="1"/>
    <cellStyle name="Lien hypertexte visité" xfId="21234" builtinId="9" hidden="1"/>
    <cellStyle name="Lien hypertexte visité" xfId="15105" builtinId="9" hidden="1"/>
    <cellStyle name="Lien hypertexte visité" xfId="18297" builtinId="9" hidden="1"/>
    <cellStyle name="Lien hypertexte visité" xfId="5670" builtinId="9" hidden="1"/>
    <cellStyle name="Lien hypertexte visité" xfId="5219" builtinId="9" hidden="1"/>
    <cellStyle name="Lien hypertexte visité" xfId="11364" builtinId="9" hidden="1"/>
    <cellStyle name="Lien hypertexte visité" xfId="21092" builtinId="9" hidden="1"/>
    <cellStyle name="Lien hypertexte visité" xfId="11012" builtinId="9" hidden="1"/>
    <cellStyle name="Lien hypertexte visité" xfId="3261" builtinId="9" hidden="1"/>
    <cellStyle name="Lien hypertexte visité" xfId="7111" builtinId="9" hidden="1"/>
    <cellStyle name="Lien hypertexte visité" xfId="7319" builtinId="9" hidden="1"/>
    <cellStyle name="Lien hypertexte visité" xfId="3309" builtinId="9" hidden="1"/>
    <cellStyle name="Lien hypertexte visité" xfId="12676" builtinId="9" hidden="1"/>
    <cellStyle name="Lien hypertexte visité" xfId="20612" builtinId="9" hidden="1"/>
    <cellStyle name="Lien hypertexte visité" xfId="11428" builtinId="9" hidden="1"/>
    <cellStyle name="Lien hypertexte visité" xfId="17815" builtinId="9" hidden="1"/>
    <cellStyle name="Lien hypertexte visité" xfId="8640" builtinId="9" hidden="1"/>
    <cellStyle name="Lien hypertexte visité" xfId="1464" builtinId="9" hidden="1"/>
    <cellStyle name="Lien hypertexte visité" xfId="8701" builtinId="9" hidden="1"/>
    <cellStyle name="Lien hypertexte visité" xfId="14430" builtinId="9" hidden="1"/>
    <cellStyle name="Lien hypertexte visité" xfId="1450" builtinId="9" hidden="1"/>
    <cellStyle name="Lien hypertexte visité" xfId="20132" builtinId="9" hidden="1"/>
    <cellStyle name="Lien hypertexte visité" xfId="11988" builtinId="9" hidden="1"/>
    <cellStyle name="Lien hypertexte visité" xfId="6643" builtinId="9" hidden="1"/>
    <cellStyle name="Lien hypertexte visité" xfId="3294" builtinId="9" hidden="1"/>
    <cellStyle name="Lien hypertexte visité" xfId="8642" builtinId="9" hidden="1"/>
    <cellStyle name="Lien hypertexte visité" xfId="21218" builtinId="9" hidden="1"/>
    <cellStyle name="Lien hypertexte visité" xfId="21040" builtinId="9" hidden="1"/>
    <cellStyle name="Lien hypertexte visité" xfId="21962" builtinId="9" hidden="1"/>
    <cellStyle name="Lien hypertexte visité" xfId="18944" builtinId="9" hidden="1"/>
    <cellStyle name="Lien hypertexte visité" xfId="12590" builtinId="9" hidden="1"/>
    <cellStyle name="Lien hypertexte visité" xfId="8438" builtinId="9" hidden="1"/>
    <cellStyle name="Lien hypertexte visité" xfId="10007" builtinId="9" hidden="1"/>
    <cellStyle name="Lien hypertexte visité" xfId="3705" builtinId="9" hidden="1"/>
    <cellStyle name="Lien hypertexte visité" xfId="3703" builtinId="9" hidden="1"/>
    <cellStyle name="Lien hypertexte visité" xfId="9925" builtinId="9" hidden="1"/>
    <cellStyle name="Lien hypertexte visité" xfId="12663" builtinId="9" hidden="1"/>
    <cellStyle name="Lien hypertexte visité" xfId="8615" builtinId="9" hidden="1"/>
    <cellStyle name="Lien hypertexte visité" xfId="4515" builtinId="9" hidden="1"/>
    <cellStyle name="Lien hypertexte visité" xfId="7223" builtinId="9" hidden="1"/>
    <cellStyle name="Lien hypertexte visité" xfId="6167" builtinId="9" hidden="1"/>
    <cellStyle name="Lien hypertexte visité" xfId="1665" builtinId="9" hidden="1"/>
    <cellStyle name="Lien hypertexte visité" xfId="653" builtinId="9" hidden="1"/>
    <cellStyle name="Lien hypertexte visité" xfId="22790" builtinId="9" hidden="1"/>
    <cellStyle name="Lien hypertexte visité" xfId="4675" builtinId="9" hidden="1"/>
    <cellStyle name="Lien hypertexte visité" xfId="22724" builtinId="9" hidden="1"/>
    <cellStyle name="Lien hypertexte visité" xfId="14468" builtinId="9" hidden="1"/>
    <cellStyle name="Lien hypertexte visité" xfId="1581" builtinId="9" hidden="1"/>
    <cellStyle name="Lien hypertexte visité" xfId="11684" builtinId="9" hidden="1"/>
    <cellStyle name="Lien hypertexte visité" xfId="6259" builtinId="9" hidden="1"/>
    <cellStyle name="Lien hypertexte visité" xfId="7076" builtinId="9" hidden="1"/>
    <cellStyle name="Lien hypertexte visité" xfId="7219" builtinId="9" hidden="1"/>
    <cellStyle name="Lien hypertexte visité" xfId="12628" builtinId="9" hidden="1"/>
    <cellStyle name="Lien hypertexte visité" xfId="2513" builtinId="9" hidden="1"/>
    <cellStyle name="Lien hypertexte visité" xfId="7812" builtinId="9" hidden="1"/>
    <cellStyle name="Lien hypertexte visité" xfId="24612" builtinId="9" hidden="1"/>
    <cellStyle name="Lien hypertexte visité" xfId="4867" builtinId="9" hidden="1"/>
    <cellStyle name="Lien hypertexte visité" xfId="20614" builtinId="9" hidden="1"/>
    <cellStyle name="Lien hypertexte visité" xfId="1200" builtinId="9" hidden="1"/>
    <cellStyle name="Lien hypertexte visité" xfId="4595" builtinId="9" hidden="1"/>
    <cellStyle name="Lien hypertexte visité" xfId="7079" builtinId="9" hidden="1"/>
    <cellStyle name="Lien hypertexte visité" xfId="6311" builtinId="9" hidden="1"/>
    <cellStyle name="Lien hypertexte visité" xfId="365" builtinId="9" hidden="1"/>
    <cellStyle name="Lien hypertexte visité" xfId="5843" builtinId="9" hidden="1"/>
    <cellStyle name="Lien hypertexte visité" xfId="11958" builtinId="9" hidden="1"/>
    <cellStyle name="Lien hypertexte visité" xfId="11205" builtinId="9" hidden="1"/>
    <cellStyle name="Lien hypertexte visité" xfId="4980" builtinId="9" hidden="1"/>
    <cellStyle name="Lien hypertexte visité" xfId="2496" builtinId="9" hidden="1"/>
    <cellStyle name="Lien hypertexte visité" xfId="8727" builtinId="9" hidden="1"/>
    <cellStyle name="Lien hypertexte visité" xfId="15419" builtinId="9" hidden="1"/>
    <cellStyle name="Lien hypertexte visité" xfId="11734" builtinId="9" hidden="1"/>
    <cellStyle name="Lien hypertexte visité" xfId="17257" builtinId="9" hidden="1"/>
    <cellStyle name="Lien hypertexte visité" xfId="23666" builtinId="9" hidden="1"/>
    <cellStyle name="Lien hypertexte visité" xfId="23066" builtinId="9" hidden="1"/>
    <cellStyle name="Lien hypertexte visité" xfId="19866" builtinId="9" hidden="1"/>
    <cellStyle name="Lien hypertexte visité" xfId="11202" builtinId="9" hidden="1"/>
    <cellStyle name="Lien hypertexte visité" xfId="1696" builtinId="9" hidden="1"/>
    <cellStyle name="Lien hypertexte visité" xfId="5555" builtinId="9" hidden="1"/>
    <cellStyle name="Lien hypertexte visité" xfId="10900" builtinId="9" hidden="1"/>
    <cellStyle name="Lien hypertexte visité" xfId="17941" builtinId="9" hidden="1"/>
    <cellStyle name="Lien hypertexte visité" xfId="3669" builtinId="9" hidden="1"/>
    <cellStyle name="Lien hypertexte visité" xfId="23200" builtinId="9" hidden="1"/>
    <cellStyle name="Lien hypertexte visité" xfId="2038" builtinId="9" hidden="1"/>
    <cellStyle name="Lien hypertexte visité" xfId="4331" builtinId="9" hidden="1"/>
    <cellStyle name="Lien hypertexte visité" xfId="14097" builtinId="9" hidden="1"/>
    <cellStyle name="Lien hypertexte visité" xfId="13353" builtinId="9" hidden="1"/>
    <cellStyle name="Lien hypertexte visité" xfId="13323" builtinId="9" hidden="1"/>
    <cellStyle name="Lien hypertexte visité" xfId="8883" builtinId="9" hidden="1"/>
    <cellStyle name="Lien hypertexte visité" xfId="2822" builtinId="9" hidden="1"/>
    <cellStyle name="Lien hypertexte visité" xfId="14492" builtinId="9" hidden="1"/>
    <cellStyle name="Lien hypertexte visité" xfId="8528" builtinId="9" hidden="1"/>
    <cellStyle name="Lien hypertexte visité" xfId="14719" builtinId="9" hidden="1"/>
    <cellStyle name="Lien hypertexte visité" xfId="9976" builtinId="9" hidden="1"/>
    <cellStyle name="Lien hypertexte visité" xfId="20060" builtinId="9" hidden="1"/>
    <cellStyle name="Lien hypertexte visité" xfId="13677" builtinId="9" hidden="1"/>
    <cellStyle name="Lien hypertexte visité" xfId="10876" builtinId="9" hidden="1"/>
    <cellStyle name="Lien hypertexte visité" xfId="2386" builtinId="9" hidden="1"/>
    <cellStyle name="Lien hypertexte visité" xfId="19262" builtinId="9" hidden="1"/>
    <cellStyle name="Lien hypertexte visité" xfId="12704" builtinId="9" hidden="1"/>
    <cellStyle name="Lien hypertexte visité" xfId="14217" builtinId="9" hidden="1"/>
    <cellStyle name="Lien hypertexte visité" xfId="10464" builtinId="9" hidden="1"/>
    <cellStyle name="Lien hypertexte visité" xfId="13224" builtinId="9" hidden="1"/>
    <cellStyle name="Lien hypertexte visité" xfId="21548" builtinId="9" hidden="1"/>
    <cellStyle name="Lien hypertexte visité" xfId="17999" builtinId="9" hidden="1"/>
    <cellStyle name="Lien hypertexte visité" xfId="11377" builtinId="9" hidden="1"/>
    <cellStyle name="Lien hypertexte visité" xfId="6528" builtinId="9" hidden="1"/>
    <cellStyle name="Lien hypertexte visité" xfId="1682" builtinId="9" hidden="1"/>
    <cellStyle name="Lien hypertexte visité" xfId="3660" builtinId="9" hidden="1"/>
    <cellStyle name="Lien hypertexte visité" xfId="4763" builtinId="9" hidden="1"/>
    <cellStyle name="Lien hypertexte visité" xfId="11996" builtinId="9" hidden="1"/>
    <cellStyle name="Lien hypertexte visité" xfId="24180" builtinId="9" hidden="1"/>
    <cellStyle name="Lien hypertexte visité" xfId="12557" builtinId="9" hidden="1"/>
    <cellStyle name="Lien hypertexte visité" xfId="5292" builtinId="9" hidden="1"/>
    <cellStyle name="Lien hypertexte visité" xfId="3192" builtinId="9" hidden="1"/>
    <cellStyle name="Lien hypertexte visité" xfId="10463" builtinId="9" hidden="1"/>
    <cellStyle name="Lien hypertexte visité" xfId="5576" builtinId="9" hidden="1"/>
    <cellStyle name="Lien hypertexte visité" xfId="4714" builtinId="9" hidden="1"/>
    <cellStyle name="Lien hypertexte visité" xfId="11803" builtinId="9" hidden="1"/>
    <cellStyle name="Lien hypertexte visité" xfId="17139" builtinId="9" hidden="1"/>
    <cellStyle name="Lien hypertexte visité" xfId="11971" builtinId="9" hidden="1"/>
    <cellStyle name="Lien hypertexte visité" xfId="4882" builtinId="9" hidden="1"/>
    <cellStyle name="Lien hypertexte visité" xfId="5928" builtinId="9" hidden="1"/>
    <cellStyle name="Lien hypertexte visité" xfId="11200" builtinId="9" hidden="1"/>
    <cellStyle name="Lien hypertexte visité" xfId="16125" builtinId="9" hidden="1"/>
    <cellStyle name="Lien hypertexte visité" xfId="18606" builtinId="9" hidden="1"/>
    <cellStyle name="Lien hypertexte visité" xfId="9233" builtinId="9" hidden="1"/>
    <cellStyle name="Lien hypertexte visité" xfId="1970" builtinId="9" hidden="1"/>
    <cellStyle name="Lien hypertexte visité" xfId="133" builtinId="9" hidden="1"/>
    <cellStyle name="Lien hypertexte visité" xfId="11628" builtinId="9" hidden="1"/>
    <cellStyle name="Lien hypertexte visité" xfId="18742" builtinId="9" hidden="1"/>
    <cellStyle name="Lien hypertexte visité" xfId="5756" builtinId="9" hidden="1"/>
    <cellStyle name="Lien hypertexte visité" xfId="6414" builtinId="9" hidden="1"/>
    <cellStyle name="Lien hypertexte visité" xfId="9138" builtinId="9" hidden="1"/>
    <cellStyle name="Lien hypertexte visité" xfId="18265" builtinId="9" hidden="1"/>
    <cellStyle name="Lien hypertexte visité" xfId="20282" builtinId="9" hidden="1"/>
    <cellStyle name="Lien hypertexte visité" xfId="6277" builtinId="9" hidden="1"/>
    <cellStyle name="Lien hypertexte visité" xfId="257" builtinId="9" hidden="1"/>
    <cellStyle name="Lien hypertexte visité" xfId="6221" builtinId="9" hidden="1"/>
    <cellStyle name="Lien hypertexte visité" xfId="13253" builtinId="9" hidden="1"/>
    <cellStyle name="Lien hypertexte visité" xfId="6305" builtinId="9" hidden="1"/>
    <cellStyle name="Lien hypertexte visité" xfId="22736" builtinId="9" hidden="1"/>
    <cellStyle name="Lien hypertexte visité" xfId="22496" builtinId="9" hidden="1"/>
    <cellStyle name="Lien hypertexte visité" xfId="12286" builtinId="9" hidden="1"/>
    <cellStyle name="Lien hypertexte visité" xfId="6873" builtinId="9" hidden="1"/>
    <cellStyle name="Lien hypertexte visité" xfId="3435" builtinId="9" hidden="1"/>
    <cellStyle name="Lien hypertexte visité" xfId="7894" builtinId="9" hidden="1"/>
    <cellStyle name="Lien hypertexte visité" xfId="9498" builtinId="9" hidden="1"/>
    <cellStyle name="Lien hypertexte visité" xfId="2679" builtinId="9" hidden="1"/>
    <cellStyle name="Lien hypertexte visité" xfId="5193" builtinId="9" hidden="1"/>
    <cellStyle name="Lien hypertexte visité" xfId="1951" builtinId="9" hidden="1"/>
    <cellStyle name="Lien hypertexte visité" xfId="10406" builtinId="9" hidden="1"/>
    <cellStyle name="Lien hypertexte visité" xfId="18744" builtinId="9" hidden="1"/>
    <cellStyle name="Lien hypertexte visité" xfId="18003" builtinId="9" hidden="1"/>
    <cellStyle name="Lien hypertexte visité" xfId="4697" builtinId="9" hidden="1"/>
    <cellStyle name="Lien hypertexte visité" xfId="319" builtinId="9" hidden="1"/>
    <cellStyle name="Lien hypertexte visité" xfId="5627" builtinId="9" hidden="1"/>
    <cellStyle name="Lien hypertexte visité" xfId="13233" builtinId="9" hidden="1"/>
    <cellStyle name="Lien hypertexte visité" xfId="17375" builtinId="9" hidden="1"/>
    <cellStyle name="Lien hypertexte visité" xfId="14112" builtinId="9" hidden="1"/>
    <cellStyle name="Lien hypertexte visité" xfId="14376" builtinId="9" hidden="1"/>
    <cellStyle name="Lien hypertexte visité" xfId="20414" builtinId="9" hidden="1"/>
    <cellStyle name="Lien hypertexte visité" xfId="10201" builtinId="9" hidden="1"/>
    <cellStyle name="Lien hypertexte visité" xfId="2922" builtinId="9" hidden="1"/>
    <cellStyle name="Lien hypertexte visité" xfId="1897" builtinId="9" hidden="1"/>
    <cellStyle name="Lien hypertexte visité" xfId="10172" builtinId="9" hidden="1"/>
    <cellStyle name="Lien hypertexte visité" xfId="21590" builtinId="9" hidden="1"/>
    <cellStyle name="Lien hypertexte visité" xfId="7116" builtinId="9" hidden="1"/>
    <cellStyle name="Lien hypertexte visité" xfId="4958" builtinId="9" hidden="1"/>
    <cellStyle name="Lien hypertexte visité" xfId="17227" builtinId="9" hidden="1"/>
    <cellStyle name="Lien hypertexte visité" xfId="3204" builtinId="9" hidden="1"/>
    <cellStyle name="Lien hypertexte visité" xfId="15651" builtinId="9" hidden="1"/>
    <cellStyle name="Lien hypertexte visité" xfId="6050" builtinId="9" hidden="1"/>
    <cellStyle name="Lien hypertexte visité" xfId="299" builtinId="9" hidden="1"/>
    <cellStyle name="Lien hypertexte visité" xfId="9816" builtinId="9" hidden="1"/>
    <cellStyle name="Lien hypertexte visité" xfId="22270" builtinId="9" hidden="1"/>
    <cellStyle name="Lien hypertexte visité" xfId="7480" builtinId="9" hidden="1"/>
    <cellStyle name="Lien hypertexte visité" xfId="3289" builtinId="9" hidden="1"/>
    <cellStyle name="Lien hypertexte visité" xfId="14252" builtinId="9" hidden="1"/>
    <cellStyle name="Lien hypertexte visité" xfId="8509" builtinId="9" hidden="1"/>
    <cellStyle name="Lien hypertexte visité" xfId="9039" builtinId="9" hidden="1"/>
    <cellStyle name="Lien hypertexte visité" xfId="14601" builtinId="9" hidden="1"/>
    <cellStyle name="Lien hypertexte visité" xfId="18448" builtinId="9" hidden="1"/>
    <cellStyle name="Lien hypertexte visité" xfId="1551" builtinId="9" hidden="1"/>
    <cellStyle name="Lien hypertexte visité" xfId="4721" builtinId="9" hidden="1"/>
    <cellStyle name="Lien hypertexte visité" xfId="7829" builtinId="9" hidden="1"/>
    <cellStyle name="Lien hypertexte visité" xfId="4246" builtinId="9" hidden="1"/>
    <cellStyle name="Lien hypertexte visité" xfId="15835" builtinId="9" hidden="1"/>
    <cellStyle name="Lien hypertexte visité" xfId="15505" builtinId="9" hidden="1"/>
    <cellStyle name="Lien hypertexte visité" xfId="19186" builtinId="9" hidden="1"/>
    <cellStyle name="Lien hypertexte visité" xfId="23434" builtinId="9" hidden="1"/>
    <cellStyle name="Lien hypertexte visité" xfId="947" builtinId="9" hidden="1"/>
    <cellStyle name="Lien hypertexte visité" xfId="9764" builtinId="9" hidden="1"/>
    <cellStyle name="Lien hypertexte visité" xfId="23716" builtinId="9" hidden="1"/>
    <cellStyle name="Lien hypertexte visité" xfId="1757" builtinId="9" hidden="1"/>
    <cellStyle name="Lien hypertexte visité" xfId="6791" builtinId="9" hidden="1"/>
    <cellStyle name="Lien hypertexte visité" xfId="4819" builtinId="9" hidden="1"/>
    <cellStyle name="Lien hypertexte visité" xfId="19974" builtinId="9" hidden="1"/>
    <cellStyle name="Lien hypertexte visité" xfId="13028" builtinId="9" hidden="1"/>
    <cellStyle name="Lien hypertexte visité" xfId="11557" builtinId="9" hidden="1"/>
    <cellStyle name="Lien hypertexte visité" xfId="3321" builtinId="9" hidden="1"/>
    <cellStyle name="Lien hypertexte visité" xfId="8780" builtinId="9" hidden="1"/>
    <cellStyle name="Lien hypertexte visité" xfId="24438" builtinId="9" hidden="1"/>
    <cellStyle name="Lien hypertexte visité" xfId="8541" builtinId="9" hidden="1"/>
    <cellStyle name="Lien hypertexte visité" xfId="3561" builtinId="9" hidden="1"/>
    <cellStyle name="Lien hypertexte visité" xfId="14447" builtinId="9" hidden="1"/>
    <cellStyle name="Lien hypertexte visité" xfId="14553" builtinId="9" hidden="1"/>
    <cellStyle name="Lien hypertexte visité" xfId="20098" builtinId="9" hidden="1"/>
    <cellStyle name="Lien hypertexte visité" xfId="4653" builtinId="9" hidden="1"/>
    <cellStyle name="Lien hypertexte visité" xfId="1535" builtinId="9" hidden="1"/>
    <cellStyle name="Lien hypertexte visité" xfId="7846" builtinId="9" hidden="1"/>
    <cellStyle name="Lien hypertexte visité" xfId="15799" builtinId="9" hidden="1"/>
    <cellStyle name="Lien hypertexte visité" xfId="7861" builtinId="9" hidden="1"/>
    <cellStyle name="Lien hypertexte visité" xfId="61" builtinId="9" hidden="1"/>
    <cellStyle name="Lien hypertexte visité" xfId="7863" builtinId="9" hidden="1"/>
    <cellStyle name="Lien hypertexte visité" xfId="15803" builtinId="9" hidden="1"/>
    <cellStyle name="Lien hypertexte visité" xfId="12578" builtinId="9" hidden="1"/>
    <cellStyle name="Lien hypertexte visité" xfId="20288" builtinId="9" hidden="1"/>
    <cellStyle name="Lien hypertexte visité" xfId="19210" builtinId="9" hidden="1"/>
    <cellStyle name="Lien hypertexte visité" xfId="11514" builtinId="9" hidden="1"/>
    <cellStyle name="Lien hypertexte visité" xfId="12950" builtinId="9" hidden="1"/>
    <cellStyle name="Lien hypertexte visité" xfId="1075" builtinId="9" hidden="1"/>
    <cellStyle name="Lien hypertexte visité" xfId="13978" builtinId="9" hidden="1"/>
    <cellStyle name="Lien hypertexte visité" xfId="11746" builtinId="9" hidden="1"/>
    <cellStyle name="Lien hypertexte visité" xfId="1790" builtinId="9" hidden="1"/>
    <cellStyle name="Lien hypertexte visité" xfId="2279" builtinId="9" hidden="1"/>
    <cellStyle name="Lien hypertexte visité" xfId="22570" builtinId="9" hidden="1"/>
    <cellStyle name="Lien hypertexte visité" xfId="1704" builtinId="9" hidden="1"/>
    <cellStyle name="Lien hypertexte visité" xfId="6923" builtinId="9" hidden="1"/>
    <cellStyle name="Lien hypertexte visité" xfId="5266" builtinId="9" hidden="1"/>
    <cellStyle name="Lien hypertexte visité" xfId="4328" builtinId="9" hidden="1"/>
    <cellStyle name="Lien hypertexte visité" xfId="17741" builtinId="9" hidden="1"/>
    <cellStyle name="Lien hypertexte visité" xfId="12656" builtinId="9" hidden="1"/>
    <cellStyle name="Lien hypertexte visité" xfId="23244" builtinId="9" hidden="1"/>
    <cellStyle name="Lien hypertexte visité" xfId="13985" builtinId="9" hidden="1"/>
    <cellStyle name="Lien hypertexte visité" xfId="7760" builtinId="9" hidden="1"/>
    <cellStyle name="Lien hypertexte visité" xfId="7929" builtinId="9" hidden="1"/>
    <cellStyle name="Lien hypertexte visité" xfId="10491" builtinId="9" hidden="1"/>
    <cellStyle name="Lien hypertexte visité" xfId="16627" builtinId="9" hidden="1"/>
    <cellStyle name="Lien hypertexte visité" xfId="10931" builtinId="9" hidden="1"/>
    <cellStyle name="Lien hypertexte visité" xfId="2516" builtinId="9" hidden="1"/>
    <cellStyle name="Lien hypertexte visité" xfId="971" builtinId="9" hidden="1"/>
    <cellStyle name="Lien hypertexte visité" xfId="6962" builtinId="9" hidden="1"/>
    <cellStyle name="Lien hypertexte visité" xfId="1143" builtinId="9" hidden="1"/>
    <cellStyle name="Lien hypertexte visité" xfId="5058" builtinId="9" hidden="1"/>
    <cellStyle name="Lien hypertexte visité" xfId="12403" builtinId="9" hidden="1"/>
    <cellStyle name="Lien hypertexte visité" xfId="3962" builtinId="9" hidden="1"/>
    <cellStyle name="Lien hypertexte visité" xfId="12771" builtinId="9" hidden="1"/>
    <cellStyle name="Lien hypertexte visité" xfId="13379" builtinId="9" hidden="1"/>
    <cellStyle name="Lien hypertexte visité" xfId="13883" builtinId="9" hidden="1"/>
    <cellStyle name="Lien hypertexte visité" xfId="13808" builtinId="9" hidden="1"/>
    <cellStyle name="Lien hypertexte visité" xfId="5280" builtinId="9" hidden="1"/>
    <cellStyle name="Lien hypertexte visité" xfId="11513" builtinId="9" hidden="1"/>
    <cellStyle name="Lien hypertexte visité" xfId="20958" builtinId="9" hidden="1"/>
    <cellStyle name="Lien hypertexte visité" xfId="15741" builtinId="9" hidden="1"/>
    <cellStyle name="Lien hypertexte visité" xfId="8904" builtinId="9" hidden="1"/>
    <cellStyle name="Lien hypertexte visité" xfId="11753" builtinId="9" hidden="1"/>
    <cellStyle name="Lien hypertexte visité" xfId="7426" builtinId="9" hidden="1"/>
    <cellStyle name="Lien hypertexte visité" xfId="7295" builtinId="9" hidden="1"/>
    <cellStyle name="Lien hypertexte visité" xfId="12509" builtinId="9" hidden="1"/>
    <cellStyle name="Lien hypertexte visité" xfId="13919" builtinId="9" hidden="1"/>
    <cellStyle name="Lien hypertexte visité" xfId="7963" builtinId="9" hidden="1"/>
    <cellStyle name="Lien hypertexte visité" xfId="1668" builtinId="9" hidden="1"/>
    <cellStyle name="Lien hypertexte visité" xfId="14259" builtinId="9" hidden="1"/>
    <cellStyle name="Lien hypertexte visité" xfId="14155" builtinId="9" hidden="1"/>
    <cellStyle name="Lien hypertexte visité" xfId="1700" builtinId="9" hidden="1"/>
    <cellStyle name="Lien hypertexte visité" xfId="7851" builtinId="9" hidden="1"/>
    <cellStyle name="Lien hypertexte visité" xfId="18574" builtinId="9" hidden="1"/>
    <cellStyle name="Lien hypertexte visité" xfId="11608" builtinId="9" hidden="1"/>
    <cellStyle name="Lien hypertexte visité" xfId="23020" builtinId="9" hidden="1"/>
    <cellStyle name="Lien hypertexte visité" xfId="13025" builtinId="9" hidden="1"/>
    <cellStyle name="Lien hypertexte visité" xfId="5688" builtinId="9" hidden="1"/>
    <cellStyle name="Lien hypertexte visité" xfId="6239" builtinId="9" hidden="1"/>
    <cellStyle name="Lien hypertexte visité" xfId="5931" builtinId="9" hidden="1"/>
    <cellStyle name="Lien hypertexte visité" xfId="19348" builtinId="9" hidden="1"/>
    <cellStyle name="Lien hypertexte visité" xfId="11453" builtinId="9" hidden="1"/>
    <cellStyle name="Lien hypertexte visité" xfId="259" builtinId="9" hidden="1"/>
    <cellStyle name="Lien hypertexte visité" xfId="11727" builtinId="9" hidden="1"/>
    <cellStyle name="Lien hypertexte visité" xfId="12594" builtinId="9" hidden="1"/>
    <cellStyle name="Lien hypertexte visité" xfId="23890" builtinId="9" hidden="1"/>
    <cellStyle name="Lien hypertexte visité" xfId="11114" builtinId="9" hidden="1"/>
    <cellStyle name="Lien hypertexte visité" xfId="2591" builtinId="9" hidden="1"/>
    <cellStyle name="Lien hypertexte visité" xfId="2807" builtinId="9" hidden="1"/>
    <cellStyle name="Lien hypertexte visité" xfId="10810" builtinId="9" hidden="1"/>
    <cellStyle name="Lien hypertexte visité" xfId="9797" builtinId="9" hidden="1"/>
    <cellStyle name="Lien hypertexte visité" xfId="2446" builtinId="9" hidden="1"/>
    <cellStyle name="Lien hypertexte visité" xfId="6038" builtinId="9" hidden="1"/>
    <cellStyle name="Lien hypertexte visité" xfId="13207" builtinId="9" hidden="1"/>
    <cellStyle name="Lien hypertexte visité" xfId="11310" builtinId="9" hidden="1"/>
    <cellStyle name="Lien hypertexte visité" xfId="17897" builtinId="9" hidden="1"/>
    <cellStyle name="Lien hypertexte visité" xfId="21794" builtinId="9" hidden="1"/>
    <cellStyle name="Lien hypertexte visité" xfId="16129" builtinId="9" hidden="1"/>
    <cellStyle name="Lien hypertexte visité" xfId="18624" builtinId="9" hidden="1"/>
    <cellStyle name="Lien hypertexte visité" xfId="6950" builtinId="9" hidden="1"/>
    <cellStyle name="Lien hypertexte visité" xfId="17943" builtinId="9" hidden="1"/>
    <cellStyle name="Lien hypertexte visité" xfId="11300" builtinId="9" hidden="1"/>
    <cellStyle name="Lien hypertexte visité" xfId="20356" builtinId="9" hidden="1"/>
    <cellStyle name="Lien hypertexte visité" xfId="12548" builtinId="9" hidden="1"/>
    <cellStyle name="Lien hypertexte visité" xfId="3197" builtinId="9" hidden="1"/>
    <cellStyle name="Lien hypertexte visité" xfId="5767" builtinId="9" hidden="1"/>
    <cellStyle name="Lien hypertexte visité" xfId="7127" builtinId="9" hidden="1"/>
    <cellStyle name="Lien hypertexte visité" xfId="3389" builtinId="9" hidden="1"/>
    <cellStyle name="Lien hypertexte visité" xfId="10116" builtinId="9" hidden="1"/>
    <cellStyle name="Lien hypertexte visité" xfId="21028" builtinId="9" hidden="1"/>
    <cellStyle name="Lien hypertexte visité" xfId="11492" builtinId="9" hidden="1"/>
    <cellStyle name="Lien hypertexte visité" xfId="5347" builtinId="9" hidden="1"/>
    <cellStyle name="Lien hypertexte visité" xfId="571" builtinId="9" hidden="1"/>
    <cellStyle name="Lien hypertexte visité" xfId="1529" builtinId="9" hidden="1"/>
    <cellStyle name="Lien hypertexte visité" xfId="6795" builtinId="9" hidden="1"/>
    <cellStyle name="Lien hypertexte visité" xfId="14156" builtinId="9" hidden="1"/>
    <cellStyle name="Lien hypertexte visité" xfId="20854" builtinId="9" hidden="1"/>
    <cellStyle name="Lien hypertexte visité" xfId="10525" builtinId="9" hidden="1"/>
    <cellStyle name="Lien hypertexte visité" xfId="3158" builtinId="9" hidden="1"/>
    <cellStyle name="Lien hypertexte visité" xfId="5358" builtinId="9" hidden="1"/>
    <cellStyle name="Lien hypertexte visité" xfId="12527" builtinId="9" hidden="1"/>
    <cellStyle name="Lien hypertexte visité" xfId="10822" builtinId="9" hidden="1"/>
    <cellStyle name="Lien hypertexte visité" xfId="16945" builtinId="9" hidden="1"/>
    <cellStyle name="Lien hypertexte visité" xfId="22738" builtinId="9" hidden="1"/>
    <cellStyle name="Lien hypertexte visité" xfId="18832" builtinId="9" hidden="1"/>
    <cellStyle name="Lien hypertexte visité" xfId="5677" builtinId="9" hidden="1"/>
    <cellStyle name="Lien hypertexte visité" xfId="3087" builtinId="9" hidden="1"/>
    <cellStyle name="Lien hypertexte visité" xfId="1647" builtinId="9" hidden="1"/>
    <cellStyle name="Lien hypertexte visité" xfId="6821" builtinId="9" hidden="1"/>
    <cellStyle name="Lien hypertexte visité" xfId="18342" builtinId="9" hidden="1"/>
    <cellStyle name="Lien hypertexte visité" xfId="11573" builtinId="9" hidden="1"/>
    <cellStyle name="Lien hypertexte visité" xfId="6660" builtinId="9" hidden="1"/>
    <cellStyle name="Lien hypertexte visité" xfId="1870" builtinId="9" hidden="1"/>
    <cellStyle name="Lien hypertexte visité" xfId="4182" builtinId="9" hidden="1"/>
    <cellStyle name="Lien hypertexte visité" xfId="9047" builtinId="9" hidden="1"/>
    <cellStyle name="Lien hypertexte visité" xfId="13831" builtinId="9" hidden="1"/>
    <cellStyle name="Lien hypertexte visité" xfId="10102" builtinId="9" hidden="1"/>
    <cellStyle name="Lien hypertexte visité" xfId="13366" builtinId="9" hidden="1"/>
    <cellStyle name="Lien hypertexte visité" xfId="18584" builtinId="9" hidden="1"/>
    <cellStyle name="Lien hypertexte visité" xfId="24162" builtinId="9" hidden="1"/>
    <cellStyle name="Lien hypertexte visité" xfId="17627" builtinId="9" hidden="1"/>
    <cellStyle name="Lien hypertexte visité" xfId="14170" builtinId="9" hidden="1"/>
    <cellStyle name="Lien hypertexte visité" xfId="23178" builtinId="9" hidden="1"/>
    <cellStyle name="Lien hypertexte visité" xfId="10562" builtinId="9" hidden="1"/>
    <cellStyle name="Lien hypertexte visité" xfId="5094" builtinId="9" hidden="1"/>
    <cellStyle name="Lien hypertexte visité" xfId="15899" builtinId="9" hidden="1"/>
    <cellStyle name="Lien hypertexte visité" xfId="21466" builtinId="9" hidden="1"/>
    <cellStyle name="Lien hypertexte visité" xfId="14370" builtinId="9" hidden="1"/>
    <cellStyle name="Lien hypertexte visité" xfId="10455" builtinId="9" hidden="1"/>
    <cellStyle name="Lien hypertexte visité" xfId="5380" builtinId="9" hidden="1"/>
    <cellStyle name="Lien hypertexte visité" xfId="5541" builtinId="9" hidden="1"/>
    <cellStyle name="Lien hypertexte visité" xfId="6881" builtinId="9" hidden="1"/>
    <cellStyle name="Lien hypertexte visité" xfId="19488" builtinId="9" hidden="1"/>
    <cellStyle name="Lien hypertexte visité" xfId="7598" builtinId="9" hidden="1"/>
    <cellStyle name="Lien hypertexte visité" xfId="12202" builtinId="9" hidden="1"/>
    <cellStyle name="Lien hypertexte visité" xfId="5686" builtinId="9" hidden="1"/>
    <cellStyle name="Lien hypertexte visité" xfId="20072" builtinId="9" hidden="1"/>
    <cellStyle name="Lien hypertexte visité" xfId="19736" builtinId="9" hidden="1"/>
    <cellStyle name="Lien hypertexte visité" xfId="22002" builtinId="9" hidden="1"/>
    <cellStyle name="Lien hypertexte visité" xfId="11150" builtinId="9" hidden="1"/>
    <cellStyle name="Lien hypertexte visité" xfId="5766" builtinId="9" hidden="1"/>
    <cellStyle name="Lien hypertexte visité" xfId="9941" builtinId="9" hidden="1"/>
    <cellStyle name="Lien hypertexte visité" xfId="2995" builtinId="9" hidden="1"/>
    <cellStyle name="Lien hypertexte visité" xfId="11946" builtinId="9" hidden="1"/>
    <cellStyle name="Lien hypertexte visité" xfId="12446" builtinId="9" hidden="1"/>
    <cellStyle name="Lien hypertexte visité" xfId="415" builtinId="9" hidden="1"/>
    <cellStyle name="Lien hypertexte visité" xfId="18516" builtinId="9" hidden="1"/>
    <cellStyle name="Lien hypertexte visité" xfId="6463" builtinId="9" hidden="1"/>
    <cellStyle name="Lien hypertexte visité" xfId="16949" builtinId="9" hidden="1"/>
    <cellStyle name="Lien hypertexte visité" xfId="4295" builtinId="9" hidden="1"/>
    <cellStyle name="Lien hypertexte visité" xfId="1905" builtinId="9" hidden="1"/>
    <cellStyle name="Lien hypertexte visité" xfId="7059" builtinId="9" hidden="1"/>
    <cellStyle name="Lien hypertexte visité" xfId="13498" builtinId="9" hidden="1"/>
    <cellStyle name="Lien hypertexte visité" xfId="12898" builtinId="9" hidden="1"/>
    <cellStyle name="Lien hypertexte visité" xfId="1011" builtinId="9" hidden="1"/>
    <cellStyle name="Lien hypertexte visité" xfId="7425" builtinId="9" hidden="1"/>
    <cellStyle name="Lien hypertexte visité" xfId="19114" builtinId="9" hidden="1"/>
    <cellStyle name="Lien hypertexte visité" xfId="4302" builtinId="9" hidden="1"/>
    <cellStyle name="Lien hypertexte visité" xfId="9516" builtinId="9" hidden="1"/>
    <cellStyle name="Lien hypertexte visité" xfId="10641" builtinId="9" hidden="1"/>
    <cellStyle name="Lien hypertexte visité" xfId="16333" builtinId="9" hidden="1"/>
    <cellStyle name="Lien hypertexte visité" xfId="10843" builtinId="9" hidden="1"/>
    <cellStyle name="Lien hypertexte visité" xfId="5914" builtinId="9" hidden="1"/>
    <cellStyle name="Lien hypertexte visité" xfId="16537" builtinId="9" hidden="1"/>
    <cellStyle name="Lien hypertexte visité" xfId="23736" builtinId="9" hidden="1"/>
    <cellStyle name="Lien hypertexte visité" xfId="18299" builtinId="9" hidden="1"/>
    <cellStyle name="Lien hypertexte visité" xfId="14154" builtinId="9" hidden="1"/>
    <cellStyle name="Lien hypertexte visité" xfId="5317" builtinId="9" hidden="1"/>
    <cellStyle name="Lien hypertexte visité" xfId="10911" builtinId="9" hidden="1"/>
    <cellStyle name="Lien hypertexte visité" xfId="9197" builtinId="9" hidden="1"/>
    <cellStyle name="Lien hypertexte visité" xfId="11516" builtinId="9" hidden="1"/>
    <cellStyle name="Lien hypertexte visité" xfId="8592" builtinId="9" hidden="1"/>
    <cellStyle name="Lien hypertexte visité" xfId="12721" builtinId="9" hidden="1"/>
    <cellStyle name="Lien hypertexte visité" xfId="14136" builtinId="9" hidden="1"/>
    <cellStyle name="Lien hypertexte visité" xfId="8265" builtinId="9" hidden="1"/>
    <cellStyle name="Lien hypertexte visité" xfId="21582" builtinId="9" hidden="1"/>
    <cellStyle name="Lien hypertexte visité" xfId="8976" builtinId="9" hidden="1"/>
    <cellStyle name="Lien hypertexte visité" xfId="13072" builtinId="9" hidden="1"/>
    <cellStyle name="Lien hypertexte visité" xfId="20012" builtinId="9" hidden="1"/>
    <cellStyle name="Lien hypertexte visité" xfId="20766" builtinId="9" hidden="1"/>
    <cellStyle name="Lien hypertexte visité" xfId="13553" builtinId="9" hidden="1"/>
    <cellStyle name="Lien hypertexte visité" xfId="9345" builtinId="9" hidden="1"/>
    <cellStyle name="Lien hypertexte visité" xfId="5248" builtinId="9" hidden="1"/>
    <cellStyle name="Lien hypertexte visité" xfId="919" builtinId="9" hidden="1"/>
    <cellStyle name="Lien hypertexte visité" xfId="3891" builtinId="9" hidden="1"/>
    <cellStyle name="Lien hypertexte visité" xfId="3606" builtinId="9" hidden="1"/>
    <cellStyle name="Lien hypertexte visité" xfId="9916" builtinId="9" hidden="1"/>
    <cellStyle name="Lien hypertexte visité" xfId="17605" builtinId="9" hidden="1"/>
    <cellStyle name="Lien hypertexte visité" xfId="19030" builtinId="9" hidden="1"/>
    <cellStyle name="Lien hypertexte visité" xfId="10637" builtinId="9" hidden="1"/>
    <cellStyle name="Lien hypertexte visité" xfId="4300" builtinId="9" hidden="1"/>
    <cellStyle name="Lien hypertexte visité" xfId="3000" builtinId="9" hidden="1"/>
    <cellStyle name="Lien hypertexte visité" xfId="8639" builtinId="9" hidden="1"/>
    <cellStyle name="Lien hypertexte visité" xfId="2901" builtinId="9" hidden="1"/>
    <cellStyle name="Lien hypertexte visité" xfId="19116" builtinId="9" hidden="1"/>
    <cellStyle name="Lien hypertexte visité" xfId="6543" builtinId="9" hidden="1"/>
    <cellStyle name="Lien hypertexte visité" xfId="22968" builtinId="9" hidden="1"/>
    <cellStyle name="Lien hypertexte visité" xfId="8010" builtinId="9" hidden="1"/>
    <cellStyle name="Lien hypertexte visité" xfId="7473" builtinId="9" hidden="1"/>
    <cellStyle name="Lien hypertexte visité" xfId="4693" builtinId="9" hidden="1"/>
    <cellStyle name="Lien hypertexte visité" xfId="4673" builtinId="9" hidden="1"/>
    <cellStyle name="Lien hypertexte visité" xfId="6337" builtinId="9" hidden="1"/>
    <cellStyle name="Lien hypertexte visité" xfId="2511" builtinId="9" hidden="1"/>
    <cellStyle name="Lien hypertexte visité" xfId="6593" builtinId="9" hidden="1"/>
    <cellStyle name="Lien hypertexte visité" xfId="2583" builtinId="9" hidden="1"/>
    <cellStyle name="Lien hypertexte visité" xfId="1246" builtinId="9" hidden="1"/>
    <cellStyle name="Lien hypertexte visité" xfId="3748" builtinId="9" hidden="1"/>
    <cellStyle name="Lien hypertexte visité" xfId="13758" builtinId="9" hidden="1"/>
    <cellStyle name="Lien hypertexte visité" xfId="11922" builtinId="9" hidden="1"/>
    <cellStyle name="Lien hypertexte visité" xfId="2139" builtinId="9" hidden="1"/>
    <cellStyle name="Lien hypertexte visité" xfId="20872" builtinId="9" hidden="1"/>
    <cellStyle name="Lien hypertexte visité" xfId="14482" builtinId="9" hidden="1"/>
    <cellStyle name="Lien hypertexte visité" xfId="11262" builtinId="9" hidden="1"/>
    <cellStyle name="Lien hypertexte visité" xfId="20832" builtinId="9" hidden="1"/>
    <cellStyle name="Lien hypertexte visité" xfId="1470" builtinId="9" hidden="1"/>
    <cellStyle name="Lien hypertexte visité" xfId="2155" builtinId="9" hidden="1"/>
    <cellStyle name="Lien hypertexte visité" xfId="12042" builtinId="9" hidden="1"/>
    <cellStyle name="Lien hypertexte visité" xfId="20346" builtinId="9" hidden="1"/>
    <cellStyle name="Lien hypertexte visité" xfId="22506" builtinId="9" hidden="1"/>
    <cellStyle name="Lien hypertexte visité" xfId="6253" builtinId="9" hidden="1"/>
    <cellStyle name="Lien hypertexte visité" xfId="5662" builtinId="9" hidden="1"/>
    <cellStyle name="Lien hypertexte visité" xfId="4716" builtinId="9" hidden="1"/>
    <cellStyle name="Lien hypertexte visité" xfId="16267" builtinId="9" hidden="1"/>
    <cellStyle name="Lien hypertexte visité" xfId="4661" builtinId="9" hidden="1"/>
    <cellStyle name="Lien hypertexte visité" xfId="8894" builtinId="9" hidden="1"/>
    <cellStyle name="Lien hypertexte visité" xfId="19986" builtinId="9" hidden="1"/>
    <cellStyle name="Lien hypertexte visité" xfId="20688" builtinId="9" hidden="1"/>
    <cellStyle name="Lien hypertexte visité" xfId="15217" builtinId="9" hidden="1"/>
    <cellStyle name="Lien hypertexte visité" xfId="449" builtinId="9" hidden="1"/>
    <cellStyle name="Lien hypertexte visité" xfId="5997" builtinId="9" hidden="1"/>
    <cellStyle name="Lien hypertexte visité" xfId="9406" builtinId="9" hidden="1"/>
    <cellStyle name="Lien hypertexte visité" xfId="12626" builtinId="9" hidden="1"/>
    <cellStyle name="Lien hypertexte visité" xfId="17177" builtinId="9" hidden="1"/>
    <cellStyle name="Lien hypertexte visité" xfId="23608" builtinId="9" hidden="1"/>
    <cellStyle name="Lien hypertexte visité" xfId="13862" builtinId="9" hidden="1"/>
    <cellStyle name="Lien hypertexte visité" xfId="10558" builtinId="9" hidden="1"/>
    <cellStyle name="Lien hypertexte visité" xfId="17803" builtinId="9" hidden="1"/>
    <cellStyle name="Lien hypertexte visité" xfId="2135" builtinId="9" hidden="1"/>
    <cellStyle name="Lien hypertexte visité" xfId="2243" builtinId="9" hidden="1"/>
    <cellStyle name="Lien hypertexte visité" xfId="8134" builtinId="9" hidden="1"/>
    <cellStyle name="Lien hypertexte visité" xfId="7565" builtinId="9" hidden="1"/>
    <cellStyle name="Lien hypertexte visité" xfId="4857" builtinId="9" hidden="1"/>
    <cellStyle name="Lien hypertexte visité" xfId="9306" builtinId="9" hidden="1"/>
    <cellStyle name="Lien hypertexte visité" xfId="6173" builtinId="9" hidden="1"/>
    <cellStyle name="Lien hypertexte visité" xfId="2355" builtinId="9" hidden="1"/>
    <cellStyle name="Lien hypertexte visité" xfId="6413" builtinId="9" hidden="1"/>
    <cellStyle name="Lien hypertexte visité" xfId="2667" builtinId="9" hidden="1"/>
    <cellStyle name="Lien hypertexte visité" xfId="4477" builtinId="9" hidden="1"/>
    <cellStyle name="Lien hypertexte visité" xfId="22478" builtinId="9" hidden="1"/>
    <cellStyle name="Lien hypertexte visité" xfId="10481" builtinId="9" hidden="1"/>
    <cellStyle name="Lien hypertexte visité" xfId="22422" builtinId="9" hidden="1"/>
    <cellStyle name="Lien hypertexte visité" xfId="6750" builtinId="9" hidden="1"/>
    <cellStyle name="Lien hypertexte visité" xfId="87" builtinId="9" hidden="1"/>
    <cellStyle name="Lien hypertexte visité" xfId="6860" builtinId="9" hidden="1"/>
    <cellStyle name="Lien hypertexte visité" xfId="13197" builtinId="9" hidden="1"/>
    <cellStyle name="Lien hypertexte visité" xfId="24150" builtinId="9" hidden="1"/>
    <cellStyle name="Lien hypertexte visité" xfId="13500" builtinId="9" hidden="1"/>
    <cellStyle name="Lien hypertexte visité" xfId="7355" builtinId="9" hidden="1"/>
    <cellStyle name="Lien hypertexte visité" xfId="925" builtinId="9" hidden="1"/>
    <cellStyle name="Lien hypertexte visité" xfId="6255" builtinId="9" hidden="1"/>
    <cellStyle name="Lien hypertexte visité" xfId="2746" builtinId="9" hidden="1"/>
    <cellStyle name="Lien hypertexte visité" xfId="6960" builtinId="9" hidden="1"/>
    <cellStyle name="Lien hypertexte visité" xfId="11057" builtinId="9" hidden="1"/>
    <cellStyle name="Lien hypertexte visité" xfId="15999" builtinId="9" hidden="1"/>
    <cellStyle name="Lien hypertexte visité" xfId="24174" builtinId="9" hidden="1"/>
    <cellStyle name="Lien hypertexte visité" xfId="16621" builtinId="9" hidden="1"/>
    <cellStyle name="Lien hypertexte visité" xfId="11472" builtinId="9" hidden="1"/>
    <cellStyle name="Lien hypertexte visité" xfId="13600" builtinId="9" hidden="1"/>
    <cellStyle name="Lien hypertexte visité" xfId="12937" builtinId="9" hidden="1"/>
    <cellStyle name="Lien hypertexte visité" xfId="16525" builtinId="9" hidden="1"/>
    <cellStyle name="Lien hypertexte visité" xfId="23980" builtinId="9" hidden="1"/>
    <cellStyle name="Lien hypertexte visité" xfId="7600" builtinId="9" hidden="1"/>
    <cellStyle name="Lien hypertexte visité" xfId="645" builtinId="9" hidden="1"/>
    <cellStyle name="Lien hypertexte visité" xfId="22836" builtinId="9" hidden="1"/>
    <cellStyle name="Lien hypertexte visité" xfId="1510" builtinId="9" hidden="1"/>
    <cellStyle name="Lien hypertexte visité" xfId="7073" builtinId="9" hidden="1"/>
    <cellStyle name="Lien hypertexte visité" xfId="4057" builtinId="9" hidden="1"/>
    <cellStyle name="Lien hypertexte visité" xfId="22608" builtinId="9" hidden="1"/>
    <cellStyle name="Lien hypertexte visité" xfId="21186" builtinId="9" hidden="1"/>
    <cellStyle name="Lien hypertexte visité" xfId="20792" builtinId="9" hidden="1"/>
    <cellStyle name="Lien hypertexte visité" xfId="10687" builtinId="9" hidden="1"/>
    <cellStyle name="Lien hypertexte visité" xfId="11635" builtinId="9" hidden="1"/>
    <cellStyle name="Lien hypertexte visité" xfId="5066" builtinId="9" hidden="1"/>
    <cellStyle name="Lien hypertexte visité" xfId="16557" builtinId="9" hidden="1"/>
    <cellStyle name="Lien hypertexte visité" xfId="1754" builtinId="9" hidden="1"/>
    <cellStyle name="Lien hypertexte visité" xfId="18119" builtinId="9" hidden="1"/>
    <cellStyle name="Lien hypertexte visité" xfId="7229" builtinId="9" hidden="1"/>
    <cellStyle name="Lien hypertexte visité" xfId="1783" builtinId="9" hidden="1"/>
    <cellStyle name="Lien hypertexte visité" xfId="2911" builtinId="9" hidden="1"/>
    <cellStyle name="Lien hypertexte visité" xfId="5269" builtinId="9" hidden="1"/>
    <cellStyle name="Lien hypertexte visité" xfId="15223" builtinId="9" hidden="1"/>
    <cellStyle name="Lien hypertexte visité" xfId="5918" builtinId="9" hidden="1"/>
    <cellStyle name="Lien hypertexte visité" xfId="5465" builtinId="9" hidden="1"/>
    <cellStyle name="Lien hypertexte visité" xfId="14561" builtinId="9" hidden="1"/>
    <cellStyle name="Lien hypertexte visité" xfId="20074" builtinId="9" hidden="1"/>
    <cellStyle name="Lien hypertexte visité" xfId="20576" builtinId="9" hidden="1"/>
    <cellStyle name="Lien hypertexte visité" xfId="13650" builtinId="9" hidden="1"/>
    <cellStyle name="Lien hypertexte visité" xfId="9362" builtinId="9" hidden="1"/>
    <cellStyle name="Lien hypertexte visité" xfId="3901" builtinId="9" hidden="1"/>
    <cellStyle name="Lien hypertexte visité" xfId="1839" builtinId="9" hidden="1"/>
    <cellStyle name="Lien hypertexte visité" xfId="7805" builtinId="9" hidden="1"/>
    <cellStyle name="Lien hypertexte visité" xfId="5225" builtinId="9" hidden="1"/>
    <cellStyle name="Lien hypertexte visité" xfId="6285" builtinId="9" hidden="1"/>
    <cellStyle name="Lien hypertexte visité" xfId="3997" builtinId="9" hidden="1"/>
    <cellStyle name="Lien hypertexte visité" xfId="5609" builtinId="9" hidden="1"/>
    <cellStyle name="Lien hypertexte visité" xfId="7549" builtinId="9" hidden="1"/>
    <cellStyle name="Lien hypertexte visité" xfId="1611" builtinId="9" hidden="1"/>
    <cellStyle name="Lien hypertexte visité" xfId="3848" builtinId="9" hidden="1"/>
    <cellStyle name="Lien hypertexte visité" xfId="10686" builtinId="9" hidden="1"/>
    <cellStyle name="Lien hypertexte visité" xfId="13330" builtinId="9" hidden="1"/>
    <cellStyle name="Lien hypertexte visité" xfId="20704" builtinId="9" hidden="1"/>
    <cellStyle name="Lien hypertexte visité" xfId="20714" builtinId="9" hidden="1"/>
    <cellStyle name="Lien hypertexte visité" xfId="16481" builtinId="9" hidden="1"/>
    <cellStyle name="Lien hypertexte visité" xfId="5521" builtinId="9" hidden="1"/>
    <cellStyle name="Lien hypertexte visité" xfId="7582" builtinId="9" hidden="1"/>
    <cellStyle name="Lien hypertexte visité" xfId="17703" builtinId="9" hidden="1"/>
    <cellStyle name="Lien hypertexte visité" xfId="229" builtinId="9" hidden="1"/>
    <cellStyle name="Lien hypertexte visité" xfId="8449" builtinId="9" hidden="1"/>
    <cellStyle name="Lien hypertexte visité" xfId="16829" builtinId="9" hidden="1"/>
    <cellStyle name="Lien hypertexte visité" xfId="6600" builtinId="9" hidden="1"/>
    <cellStyle name="Lien hypertexte visité" xfId="23292" builtinId="9" hidden="1"/>
    <cellStyle name="Lien hypertexte visité" xfId="10512" builtinId="9" hidden="1"/>
    <cellStyle name="Lien hypertexte visité" xfId="16541" builtinId="9" hidden="1"/>
    <cellStyle name="Lien hypertexte visité" xfId="23614" builtinId="9" hidden="1"/>
    <cellStyle name="Lien hypertexte visité" xfId="14065" builtinId="9" hidden="1"/>
    <cellStyle name="Lien hypertexte visité" xfId="9073" builtinId="9" hidden="1"/>
    <cellStyle name="Lien hypertexte visité" xfId="4504" builtinId="9" hidden="1"/>
    <cellStyle name="Lien hypertexte visité" xfId="7727" builtinId="9" hidden="1"/>
    <cellStyle name="Lien hypertexte visité" xfId="733" builtinId="9" hidden="1"/>
    <cellStyle name="Lien hypertexte visité" xfId="7771" builtinId="9" hidden="1"/>
    <cellStyle name="Lien hypertexte visité" xfId="16069" builtinId="9" hidden="1"/>
    <cellStyle name="Lien hypertexte visité" xfId="18151" builtinId="9" hidden="1"/>
    <cellStyle name="Lien hypertexte visité" xfId="9517" builtinId="9" hidden="1"/>
    <cellStyle name="Lien hypertexte visité" xfId="1990" builtinId="9" hidden="1"/>
    <cellStyle name="Lien hypertexte visité" xfId="6654" builtinId="9" hidden="1"/>
    <cellStyle name="Lien hypertexte visité" xfId="13503" builtinId="9" hidden="1"/>
    <cellStyle name="Lien hypertexte visité" xfId="8187" builtinId="9" hidden="1"/>
    <cellStyle name="Lien hypertexte visité" xfId="1740" builtinId="9" hidden="1"/>
    <cellStyle name="Lien hypertexte visité" xfId="10915" builtinId="9" hidden="1"/>
    <cellStyle name="Lien hypertexte visité" xfId="13955" builtinId="9" hidden="1"/>
    <cellStyle name="Lien hypertexte visité" xfId="1620" builtinId="9" hidden="1"/>
    <cellStyle name="Lien hypertexte visité" xfId="7482" builtinId="9" hidden="1"/>
    <cellStyle name="Lien hypertexte visité" xfId="17055" builtinId="9" hidden="1"/>
    <cellStyle name="Lien hypertexte visité" xfId="11528" builtinId="9" hidden="1"/>
    <cellStyle name="Lien hypertexte visité" xfId="22172" builtinId="9" hidden="1"/>
    <cellStyle name="Lien hypertexte visité" xfId="13281" builtinId="9" hidden="1"/>
    <cellStyle name="Lien hypertexte visité" xfId="5776" builtinId="9" hidden="1"/>
    <cellStyle name="Lien hypertexte visité" xfId="6879" builtinId="9" hidden="1"/>
    <cellStyle name="Lien hypertexte visité" xfId="5547" builtinId="9" hidden="1"/>
    <cellStyle name="Lien hypertexte visité" xfId="19092" builtinId="9" hidden="1"/>
    <cellStyle name="Lien hypertexte visité" xfId="12093" builtinId="9" hidden="1"/>
    <cellStyle name="Lien hypertexte visité" xfId="479" builtinId="9" hidden="1"/>
    <cellStyle name="Lien hypertexte visité" xfId="11599" builtinId="9" hidden="1"/>
    <cellStyle name="Lien hypertexte visité" xfId="12166" builtinId="9" hidden="1"/>
    <cellStyle name="Lien hypertexte visité" xfId="24402" builtinId="9" hidden="1"/>
    <cellStyle name="Lien hypertexte visité" xfId="11370" builtinId="9" hidden="1"/>
    <cellStyle name="Lien hypertexte visité" xfId="2251" builtinId="9" hidden="1"/>
    <cellStyle name="Lien hypertexte visité" xfId="3015" builtinId="9" hidden="1"/>
    <cellStyle name="Lien hypertexte visité" xfId="10554" builtinId="9" hidden="1"/>
    <cellStyle name="Lien hypertexte visité" xfId="10229" builtinId="9" hidden="1"/>
    <cellStyle name="Lien hypertexte visité" xfId="2702" builtinId="9" hidden="1"/>
    <cellStyle name="Lien hypertexte visité" xfId="5958" builtinId="9" hidden="1"/>
    <cellStyle name="Lien hypertexte visité" xfId="12791" builtinId="9" hidden="1"/>
    <cellStyle name="Lien hypertexte visité" xfId="11138" builtinId="9" hidden="1"/>
    <cellStyle name="Lien hypertexte visité" xfId="17769" builtinId="9" hidden="1"/>
    <cellStyle name="Lien hypertexte visité" xfId="22370" builtinId="9" hidden="1"/>
    <cellStyle name="Lien hypertexte visité" xfId="17153" builtinId="9" hidden="1"/>
    <cellStyle name="Lien hypertexte visité" xfId="18968" builtinId="9" hidden="1"/>
    <cellStyle name="Lien hypertexte visité" xfId="8231" builtinId="9" hidden="1"/>
    <cellStyle name="Lien hypertexte visité" xfId="16407" builtinId="9" hidden="1"/>
    <cellStyle name="Lien hypertexte visité" xfId="11220" builtinId="9" hidden="1"/>
    <cellStyle name="Lien hypertexte visité" xfId="19620" builtinId="9" hidden="1"/>
    <cellStyle name="Lien hypertexte visité" xfId="14084" builtinId="9" hidden="1"/>
    <cellStyle name="Lien hypertexte visité" xfId="3133" builtinId="9" hidden="1"/>
    <cellStyle name="Lien hypertexte visité" xfId="3073" builtinId="9" hidden="1"/>
    <cellStyle name="Lien hypertexte visité" xfId="6935" builtinId="9" hidden="1"/>
    <cellStyle name="Lien hypertexte visité" xfId="3453" builtinId="9" hidden="1"/>
    <cellStyle name="Lien hypertexte visité" xfId="7555" builtinId="9" hidden="1"/>
    <cellStyle name="Lien hypertexte visité" xfId="21476" builtinId="9" hidden="1"/>
    <cellStyle name="Lien hypertexte visité" xfId="11572" builtinId="9" hidden="1"/>
    <cellStyle name="Lien hypertexte visité" xfId="5715" builtinId="9" hidden="1"/>
    <cellStyle name="Lien hypertexte visité" xfId="219" builtinId="9" hidden="1"/>
    <cellStyle name="Lien hypertexte visité" xfId="1593" builtinId="9" hidden="1"/>
    <cellStyle name="Lien hypertexte visité" xfId="6347" builtinId="9" hidden="1"/>
    <cellStyle name="Lien hypertexte visité" xfId="13900" builtinId="9" hidden="1"/>
    <cellStyle name="Lien hypertexte visité" xfId="20982" builtinId="9" hidden="1"/>
    <cellStyle name="Lien hypertexte visité" xfId="10909" builtinId="9" hidden="1"/>
    <cellStyle name="Lien hypertexte visité" xfId="3414" builtinId="9" hidden="1"/>
    <cellStyle name="Lien hypertexte visité" xfId="5230" builtinId="9" hidden="1"/>
    <cellStyle name="Lien hypertexte visité" xfId="12079" builtinId="9" hidden="1"/>
    <cellStyle name="Lien hypertexte visité" xfId="10654" builtinId="9" hidden="1"/>
    <cellStyle name="Lien hypertexte visité" xfId="16857" builtinId="9" hidden="1"/>
    <cellStyle name="Lien hypertexte visité" xfId="23338" builtinId="9" hidden="1"/>
    <cellStyle name="Lien hypertexte visité" xfId="19856" builtinId="9" hidden="1"/>
    <cellStyle name="Lien hypertexte visité" xfId="5637" builtinId="9" hidden="1"/>
    <cellStyle name="Lien hypertexte visité" xfId="2879" builtinId="9" hidden="1"/>
    <cellStyle name="Lien hypertexte visité" xfId="1779" builtinId="9" hidden="1"/>
    <cellStyle name="Lien hypertexte visité" xfId="6897" builtinId="9" hidden="1"/>
    <cellStyle name="Lien hypertexte visité" xfId="18918" builtinId="9" hidden="1"/>
    <cellStyle name="Lien hypertexte visité" xfId="11733" builtinId="9" hidden="1"/>
    <cellStyle name="Lien hypertexte visité" xfId="6708" builtinId="9" hidden="1"/>
    <cellStyle name="Lien hypertexte visité" xfId="2174" builtinId="9" hidden="1"/>
    <cellStyle name="Lien hypertexte visité" xfId="4022" builtinId="9" hidden="1"/>
    <cellStyle name="Lien hypertexte visité" xfId="9015" builtinId="9" hidden="1"/>
    <cellStyle name="Lien hypertexte visité" xfId="13575" builtinId="9" hidden="1"/>
    <cellStyle name="Lien hypertexte visité" xfId="9986" builtinId="9" hidden="1"/>
    <cellStyle name="Lien hypertexte visité" xfId="13314" builtinId="9" hidden="1"/>
    <cellStyle name="Lien hypertexte visité" xfId="18193" builtinId="9" hidden="1"/>
    <cellStyle name="Lien hypertexte visité" xfId="24394" builtinId="9" hidden="1"/>
    <cellStyle name="Lien hypertexte visité" xfId="17691" builtinId="9" hidden="1"/>
    <cellStyle name="Lien hypertexte visité" xfId="14977" builtinId="9" hidden="1"/>
    <cellStyle name="Lien hypertexte visité" xfId="22498" builtinId="9" hidden="1"/>
    <cellStyle name="Lien hypertexte visité" xfId="10646" builtinId="9" hidden="1"/>
    <cellStyle name="Lien hypertexte visité" xfId="5862" builtinId="9" hidden="1"/>
    <cellStyle name="Lien hypertexte visité" xfId="13671" builtinId="9" hidden="1"/>
    <cellStyle name="Lien hypertexte visité" xfId="22106" builtinId="9" hidden="1"/>
    <cellStyle name="Lien hypertexte visité" xfId="15353" builtinId="9" hidden="1"/>
    <cellStyle name="Lien hypertexte visité" xfId="10967" builtinId="9" hidden="1"/>
    <cellStyle name="Lien hypertexte visité" xfId="5204" builtinId="9" hidden="1"/>
    <cellStyle name="Lien hypertexte visité" xfId="4813" builtinId="9" hidden="1"/>
    <cellStyle name="Lien hypertexte visité" xfId="7321" builtinId="9" hidden="1"/>
    <cellStyle name="Lien hypertexte visité" xfId="19832" builtinId="9" hidden="1"/>
    <cellStyle name="Lien hypertexte visité" xfId="8879" builtinId="9" hidden="1"/>
    <cellStyle name="Lien hypertexte visité" xfId="15111" builtinId="9" hidden="1"/>
    <cellStyle name="Lien hypertexte visité" xfId="1797" builtinId="9" hidden="1"/>
    <cellStyle name="Lien hypertexte visité" xfId="4098" builtinId="9" hidden="1"/>
    <cellStyle name="Lien hypertexte visité" xfId="7794" builtinId="9" hidden="1"/>
    <cellStyle name="Lien hypertexte visité" xfId="7144" builtinId="9" hidden="1"/>
    <cellStyle name="Lien hypertexte visité" xfId="23310" builtinId="9" hidden="1"/>
    <cellStyle name="Lien hypertexte visité" xfId="9328" builtinId="9" hidden="1"/>
    <cellStyle name="Lien hypertexte visité" xfId="13640" builtinId="9" hidden="1"/>
    <cellStyle name="Lien hypertexte visité" xfId="20508" builtinId="9" hidden="1"/>
    <cellStyle name="Lien hypertexte visité" xfId="20094" builtinId="9" hidden="1"/>
    <cellStyle name="Lien hypertexte visité" xfId="13009" builtinId="9" hidden="1"/>
    <cellStyle name="Lien hypertexte visité" xfId="9121" builtinId="9" hidden="1"/>
    <cellStyle name="Lien hypertexte visité" xfId="4816" builtinId="9" hidden="1"/>
    <cellStyle name="Lien hypertexte visité" xfId="14991" builtinId="9" hidden="1"/>
    <cellStyle name="Lien hypertexte visité" xfId="7979" builtinId="9" hidden="1"/>
    <cellStyle name="Lien hypertexte visité" xfId="13547" builtinId="9" hidden="1"/>
    <cellStyle name="Lien hypertexte visité" xfId="14691" builtinId="9" hidden="1"/>
    <cellStyle name="Lien hypertexte visité" xfId="9907" builtinId="9" hidden="1"/>
    <cellStyle name="Lien hypertexte visité" xfId="7971" builtinId="9" hidden="1"/>
    <cellStyle name="Lien hypertexte visité" xfId="14403" builtinId="9" hidden="1"/>
    <cellStyle name="Lien hypertexte visité" xfId="2124" builtinId="9" hidden="1"/>
    <cellStyle name="Lien hypertexte visité" xfId="12099" builtinId="9" hidden="1"/>
    <cellStyle name="Lien hypertexte visité" xfId="6194" builtinId="9" hidden="1"/>
    <cellStyle name="Lien hypertexte visité" xfId="8315" builtinId="9" hidden="1"/>
    <cellStyle name="Lien hypertexte visité" xfId="2306" builtinId="9" hidden="1"/>
    <cellStyle name="Lien hypertexte visité" xfId="5786" builtinId="9" hidden="1"/>
    <cellStyle name="Lien hypertexte visité" xfId="11411" builtinId="9" hidden="1"/>
    <cellStyle name="Lien hypertexte visité" xfId="1395" builtinId="9" hidden="1"/>
    <cellStyle name="Lien hypertexte visité" xfId="14147" builtinId="9" hidden="1"/>
    <cellStyle name="Lien hypertexte visité" xfId="2844" builtinId="9" hidden="1"/>
    <cellStyle name="Lien hypertexte visité" xfId="10587" builtinId="9" hidden="1"/>
    <cellStyle name="Lien hypertexte visité" xfId="15475" builtinId="9" hidden="1"/>
    <cellStyle name="Lien hypertexte visité" xfId="13603" builtinId="9" hidden="1"/>
    <cellStyle name="Lien hypertexte visité" xfId="10835" builtinId="9" hidden="1"/>
    <cellStyle name="Lien hypertexte visité" xfId="22494" builtinId="9" hidden="1"/>
    <cellStyle name="Lien hypertexte visité" xfId="3924" builtinId="9" hidden="1"/>
    <cellStyle name="Lien hypertexte visité" xfId="8185" builtinId="9" hidden="1"/>
    <cellStyle name="Lien hypertexte visité" xfId="12497" builtinId="9" hidden="1"/>
    <cellStyle name="Lien hypertexte visité" xfId="18239" builtinId="9" hidden="1"/>
    <cellStyle name="Lien hypertexte visité" xfId="22380" builtinId="9" hidden="1"/>
    <cellStyle name="Lien hypertexte visité" xfId="14192" builtinId="9" hidden="1"/>
    <cellStyle name="Lien hypertexte visité" xfId="10264" builtinId="9" hidden="1"/>
    <cellStyle name="Lien hypertexte visité" xfId="20284" builtinId="9" hidden="1"/>
    <cellStyle name="Lien hypertexte visité" xfId="8809" builtinId="9" hidden="1"/>
    <cellStyle name="Lien hypertexte visité" xfId="8595" builtinId="9" hidden="1"/>
    <cellStyle name="Lien hypertexte visité" xfId="4906" builtinId="9" hidden="1"/>
    <cellStyle name="Lien hypertexte visité" xfId="2169" builtinId="9" hidden="1"/>
    <cellStyle name="Lien hypertexte visité" xfId="24404" builtinId="9" hidden="1"/>
    <cellStyle name="Lien hypertexte visité" xfId="10175" builtinId="9" hidden="1"/>
    <cellStyle name="Lien hypertexte visité" xfId="15691" builtinId="9" hidden="1"/>
    <cellStyle name="Lien hypertexte visité" xfId="9283" builtinId="9" hidden="1"/>
    <cellStyle name="Lien hypertexte visité" xfId="5042" builtinId="9" hidden="1"/>
    <cellStyle name="Lien hypertexte visité" xfId="1628" builtinId="9" hidden="1"/>
    <cellStyle name="Lien hypertexte visité" xfId="10267" builtinId="9" hidden="1"/>
    <cellStyle name="Lien hypertexte visité" xfId="16739" builtinId="9" hidden="1"/>
    <cellStyle name="Lien hypertexte visité" xfId="9883" builtinId="9" hidden="1"/>
    <cellStyle name="Lien hypertexte visité" xfId="5538" builtinId="9" hidden="1"/>
    <cellStyle name="Lien hypertexte visité" xfId="4626" builtinId="9" hidden="1"/>
    <cellStyle name="Lien hypertexte visité" xfId="8875" builtinId="9" hidden="1"/>
    <cellStyle name="Lien hypertexte visité" xfId="11945" builtinId="9" hidden="1"/>
    <cellStyle name="Lien hypertexte visité" xfId="12352" builtinId="9" hidden="1"/>
    <cellStyle name="Lien hypertexte visité" xfId="12632" builtinId="9" hidden="1"/>
    <cellStyle name="Lien hypertexte visité" xfId="19948" builtinId="9" hidden="1"/>
    <cellStyle name="Lien hypertexte visité" xfId="19374" builtinId="9" hidden="1"/>
    <cellStyle name="Lien hypertexte visité" xfId="11833" builtinId="9" hidden="1"/>
    <cellStyle name="Lien hypertexte visité" xfId="7392" builtinId="9" hidden="1"/>
    <cellStyle name="Lien hypertexte visité" xfId="2266" builtinId="9" hidden="1"/>
    <cellStyle name="Lien hypertexte visité" xfId="4447" builtinId="9" hidden="1"/>
    <cellStyle name="Lien hypertexte visité" xfId="3622" builtinId="9" hidden="1"/>
    <cellStyle name="Lien hypertexte visité" xfId="11052" builtinId="9" hidden="1"/>
    <cellStyle name="Lien hypertexte visité" xfId="22420" builtinId="9" hidden="1"/>
    <cellStyle name="Lien hypertexte visité" xfId="13757" builtinId="9" hidden="1"/>
    <cellStyle name="Lien hypertexte visité" xfId="6332" builtinId="9" hidden="1"/>
    <cellStyle name="Lien hypertexte visité" xfId="2504" builtinId="9" hidden="1"/>
    <cellStyle name="Lien hypertexte visité" xfId="9167" builtinId="9" hidden="1"/>
    <cellStyle name="Lien hypertexte visité" xfId="8838" builtinId="9" hidden="1"/>
    <cellStyle name="Lien hypertexte visité" xfId="13790" builtinId="9" hidden="1"/>
    <cellStyle name="Lien hypertexte visité" xfId="22264" builtinId="9" hidden="1"/>
    <cellStyle name="Lien hypertexte visité" xfId="17995" builtinId="9" hidden="1"/>
    <cellStyle name="Lien hypertexte visité" xfId="3973" builtinId="9" hidden="1"/>
    <cellStyle name="Lien hypertexte visité" xfId="7926" builtinId="9" hidden="1"/>
    <cellStyle name="Lien hypertexte visité" xfId="721" builtinId="9" hidden="1"/>
    <cellStyle name="Lien hypertexte visité" xfId="6569" builtinId="9" hidden="1"/>
    <cellStyle name="Lien hypertexte visité" xfId="4645" builtinId="9" hidden="1"/>
    <cellStyle name="Lien hypertexte visité" xfId="13557" builtinId="9" hidden="1"/>
    <cellStyle name="Lien hypertexte visité" xfId="8597" builtinId="9" hidden="1"/>
    <cellStyle name="Lien hypertexte visité" xfId="3988" builtinId="9" hidden="1"/>
    <cellStyle name="Lien hypertexte visité" xfId="2112" builtinId="9" hidden="1"/>
    <cellStyle name="Lien hypertexte visité" xfId="7062" builtinId="9" hidden="1"/>
    <cellStyle name="Lien hypertexte visité" xfId="11671" builtinId="9" hidden="1"/>
    <cellStyle name="Lien hypertexte visité" xfId="8694" builtinId="9" hidden="1"/>
    <cellStyle name="Lien hypertexte visité" xfId="12110" builtinId="9" hidden="1"/>
    <cellStyle name="Lien hypertexte visité" xfId="15609" builtinId="9" hidden="1"/>
    <cellStyle name="Lien hypertexte visité" xfId="22424" builtinId="9" hidden="1"/>
    <cellStyle name="Lien hypertexte visité" xfId="20210" builtinId="9" hidden="1"/>
    <cellStyle name="Lien hypertexte visité" xfId="22256" builtinId="9" hidden="1"/>
    <cellStyle name="Lien hypertexte visité" xfId="24474" builtinId="9" hidden="1"/>
    <cellStyle name="Lien hypertexte visité" xfId="14545" builtinId="9" hidden="1"/>
    <cellStyle name="Lien hypertexte visité" xfId="11559" builtinId="9" hidden="1"/>
    <cellStyle name="Lien hypertexte visité" xfId="4452" builtinId="9" hidden="1"/>
    <cellStyle name="Lien hypertexte visité" xfId="6035" builtinId="9" hidden="1"/>
    <cellStyle name="Lien hypertexte visité" xfId="9828" builtinId="9" hidden="1"/>
    <cellStyle name="Lien hypertexte visité" xfId="14228" builtinId="9" hidden="1"/>
    <cellStyle name="Lien hypertexte visité" xfId="22404" builtinId="9" hidden="1"/>
    <cellStyle name="Lien hypertexte visité" xfId="20230" builtinId="9" hidden="1"/>
    <cellStyle name="Lien hypertexte visité" xfId="1013" builtinId="9" hidden="1"/>
    <cellStyle name="Lien hypertexte visité" xfId="4019" builtinId="9" hidden="1"/>
    <cellStyle name="Lien hypertexte visité" xfId="3943" builtinId="9" hidden="1"/>
    <cellStyle name="Lien hypertexte visité" xfId="8664" builtinId="9" hidden="1"/>
    <cellStyle name="Lien hypertexte visité" xfId="3361" builtinId="9" hidden="1"/>
    <cellStyle name="Lien hypertexte visité" xfId="4755" builtinId="9" hidden="1"/>
    <cellStyle name="Lien hypertexte visité" xfId="225" builtinId="9" hidden="1"/>
    <cellStyle name="Lien hypertexte visité" xfId="20036" builtinId="9" hidden="1"/>
    <cellStyle name="Lien hypertexte visité" xfId="23684" builtinId="9" hidden="1"/>
    <cellStyle name="Lien hypertexte visité" xfId="15221" builtinId="9" hidden="1"/>
    <cellStyle name="Lien hypertexte visité" xfId="10612" builtinId="9" hidden="1"/>
    <cellStyle name="Lien hypertexte visité" xfId="6675" builtinId="9" hidden="1"/>
    <cellStyle name="Lien hypertexte visité" xfId="7204" builtinId="9" hidden="1"/>
    <cellStyle name="Lien hypertexte visité" xfId="7679" builtinId="9" hidden="1"/>
    <cellStyle name="Lien hypertexte visité" xfId="3257" builtinId="9" hidden="1"/>
    <cellStyle name="Lien hypertexte visité" xfId="3013" builtinId="9" hidden="1"/>
    <cellStyle name="Lien hypertexte visité" xfId="8012" builtinId="9" hidden="1"/>
    <cellStyle name="Lien hypertexte visité" xfId="12620" builtinId="9" hidden="1"/>
    <cellStyle name="Lien hypertexte visité" xfId="20564" builtinId="9" hidden="1"/>
    <cellStyle name="Lien hypertexte visité" xfId="18806" builtinId="9" hidden="1"/>
    <cellStyle name="Lien hypertexte visité" xfId="12061" builtinId="9" hidden="1"/>
    <cellStyle name="Lien hypertexte visité" xfId="7068" builtinId="9" hidden="1"/>
    <cellStyle name="Lien hypertexte visité" xfId="1942" builtinId="9" hidden="1"/>
    <cellStyle name="Lien hypertexte visité" xfId="3625" builtinId="9" hidden="1"/>
    <cellStyle name="Lien hypertexte visité" xfId="8751" builtinId="9" hidden="1"/>
    <cellStyle name="Lien hypertexte visité" xfId="13679" builtinId="9" hidden="1"/>
    <cellStyle name="Lien hypertexte visité" xfId="9798" builtinId="9" hidden="1"/>
    <cellStyle name="Lien hypertexte visité" xfId="13126" builtinId="9" hidden="1"/>
    <cellStyle name="Lien hypertexte visité" xfId="18311" builtinId="9" hidden="1"/>
    <cellStyle name="Lien hypertexte visité" xfId="24440" builtinId="9" hidden="1"/>
    <cellStyle name="Lien hypertexte visité" xfId="18235" builtinId="9" hidden="1"/>
    <cellStyle name="Lien hypertexte visité" xfId="14378" builtinId="9" hidden="1"/>
    <cellStyle name="Lien hypertexte visité" xfId="4725" builtinId="9" hidden="1"/>
    <cellStyle name="Lien hypertexte visité" xfId="7649" builtinId="9" hidden="1"/>
    <cellStyle name="Lien hypertexte visité" xfId="3744" builtinId="9" hidden="1"/>
    <cellStyle name="Lien hypertexte visité" xfId="1266" builtinId="9" hidden="1"/>
    <cellStyle name="Lien hypertexte visité" xfId="2451" builtinId="9" hidden="1"/>
    <cellStyle name="Lien hypertexte visité" xfId="6237" builtinId="9" hidden="1"/>
    <cellStyle name="Lien hypertexte visité" xfId="9338" builtinId="9" hidden="1"/>
    <cellStyle name="Lien hypertexte visité" xfId="14165" builtinId="9" hidden="1"/>
    <cellStyle name="Lien hypertexte visité" xfId="10757" builtinId="9" hidden="1"/>
    <cellStyle name="Lien hypertexte visité" xfId="7813" builtinId="9" hidden="1"/>
    <cellStyle name="Lien hypertexte visité" xfId="4404" builtinId="9" hidden="1"/>
    <cellStyle name="Lien hypertexte visité" xfId="975" builtinId="9" hidden="1"/>
    <cellStyle name="Lien hypertexte visité" xfId="3152" builtinId="9" hidden="1"/>
    <cellStyle name="Lien hypertexte visité" xfId="6454" builtinId="9" hidden="1"/>
    <cellStyle name="Lien hypertexte visité" xfId="9735" builtinId="9" hidden="1"/>
    <cellStyle name="Lien hypertexte visité" xfId="12807" builtinId="9" hidden="1"/>
    <cellStyle name="Lien hypertexte visité" xfId="8366" builtinId="9" hidden="1"/>
    <cellStyle name="Lien hypertexte visité" xfId="10638" builtinId="9" hidden="1"/>
    <cellStyle name="Lien hypertexte visité" xfId="12598" builtinId="9" hidden="1"/>
    <cellStyle name="Lien hypertexte visité" xfId="15249" builtinId="9" hidden="1"/>
    <cellStyle name="Lien hypertexte visité" xfId="19608" builtinId="9" hidden="1"/>
    <cellStyle name="Lien hypertexte visité" xfId="23704" builtinId="9" hidden="1"/>
    <cellStyle name="Lien hypertexte visité" xfId="21090" builtinId="9" hidden="1"/>
    <cellStyle name="Lien hypertexte visité" xfId="19034" builtinId="9" hidden="1"/>
    <cellStyle name="Lien hypertexte visité" xfId="17921" builtinId="9" hidden="1"/>
    <cellStyle name="Lien hypertexte visité" xfId="17857" builtinId="9" hidden="1"/>
    <cellStyle name="Lien hypertexte visité" xfId="22976" builtinId="9" hidden="1"/>
    <cellStyle name="Lien hypertexte visité" xfId="12782" builtinId="9" hidden="1"/>
    <cellStyle name="Lien hypertexte visité" xfId="12519" builtinId="9" hidden="1"/>
    <cellStyle name="Lien hypertexte visité" xfId="2656" builtinId="9" hidden="1"/>
    <cellStyle name="Lien hypertexte visité" xfId="5990" builtinId="9" hidden="1"/>
    <cellStyle name="Lien hypertexte visité" xfId="20962" builtinId="9" hidden="1"/>
    <cellStyle name="Lien hypertexte visité" xfId="18634" builtinId="9" hidden="1"/>
    <cellStyle name="Lien hypertexte visité" xfId="18315" builtinId="9" hidden="1"/>
    <cellStyle name="Lien hypertexte visité" xfId="9814" builtinId="9" hidden="1"/>
    <cellStyle name="Lien hypertexte visité" xfId="8071" builtinId="9" hidden="1"/>
    <cellStyle name="Lien hypertexte visité" xfId="1966" builtinId="9" hidden="1"/>
    <cellStyle name="Lien hypertexte visité" xfId="12213" builtinId="9" hidden="1"/>
    <cellStyle name="Lien hypertexte visité" xfId="7589" builtinId="9" hidden="1"/>
    <cellStyle name="Lien hypertexte visité" xfId="2847" builtinId="9" hidden="1"/>
    <cellStyle name="Lien hypertexte visité" xfId="22160" builtinId="9" hidden="1"/>
    <cellStyle name="Lien hypertexte visité" xfId="15409" builtinId="9" hidden="1"/>
    <cellStyle name="Lien hypertexte visité" xfId="12207" builtinId="9" hidden="1"/>
    <cellStyle name="Lien hypertexte visité" xfId="9135" builtinId="9" hidden="1"/>
    <cellStyle name="Lien hypertexte visité" xfId="5257" builtinId="9" hidden="1"/>
    <cellStyle name="Lien hypertexte visité" xfId="5044" builtinId="9" hidden="1"/>
    <cellStyle name="Lien hypertexte visité" xfId="15593" builtinId="9" hidden="1"/>
    <cellStyle name="Lien hypertexte visité" xfId="9063" builtinId="9" hidden="1"/>
    <cellStyle name="Lien hypertexte visité" xfId="10734" builtinId="9" hidden="1"/>
    <cellStyle name="Lien hypertexte visité" xfId="15169" builtinId="9" hidden="1"/>
    <cellStyle name="Lien hypertexte visité" xfId="24152" builtinId="9" hidden="1"/>
    <cellStyle name="Lien hypertexte visité" xfId="13282" builtinId="9" hidden="1"/>
    <cellStyle name="Lien hypertexte visité" xfId="13495" builtinId="9" hidden="1"/>
    <cellStyle name="Lien hypertexte visité" xfId="3504" builtinId="9" hidden="1"/>
    <cellStyle name="Lien hypertexte visité" xfId="6788" builtinId="9" hidden="1"/>
    <cellStyle name="Lien hypertexte visité" xfId="19014" builtinId="9" hidden="1"/>
    <cellStyle name="Lien hypertexte visité" xfId="2175" builtinId="9" hidden="1"/>
    <cellStyle name="Lien hypertexte visité" xfId="5601" builtinId="9" hidden="1"/>
    <cellStyle name="Lien hypertexte visité" xfId="23426" builtinId="9" hidden="1"/>
    <cellStyle name="Lien hypertexte visité" xfId="10142" builtinId="9" hidden="1"/>
    <cellStyle name="Lien hypertexte visité" xfId="5166" builtinId="9" hidden="1"/>
    <cellStyle name="Lien hypertexte visité" xfId="11037" builtinId="9" hidden="1"/>
    <cellStyle name="Lien hypertexte visité" xfId="13132" builtinId="9" hidden="1"/>
    <cellStyle name="Lien hypertexte visité" xfId="1721" builtinId="9" hidden="1"/>
    <cellStyle name="Lien hypertexte visité" xfId="5795" builtinId="9" hidden="1"/>
    <cellStyle name="Lien hypertexte visité" xfId="22788" builtinId="9" hidden="1"/>
    <cellStyle name="Lien hypertexte visité" xfId="3517" builtinId="9" hidden="1"/>
    <cellStyle name="Lien hypertexte visité" xfId="3137" builtinId="9" hidden="1"/>
    <cellStyle name="Lien hypertexte visité" xfId="22852" builtinId="9" hidden="1"/>
    <cellStyle name="Lien hypertexte visité" xfId="11156" builtinId="9" hidden="1"/>
    <cellStyle name="Lien hypertexte visité" xfId="8487" builtinId="9" hidden="1"/>
    <cellStyle name="Lien hypertexte visité" xfId="20208" builtinId="9" hidden="1"/>
    <cellStyle name="Lien hypertexte visité" xfId="17657" builtinId="9" hidden="1"/>
    <cellStyle name="Lien hypertexte visité" xfId="12695" builtinId="9" hidden="1"/>
    <cellStyle name="Lien hypertexte visité" xfId="3470" builtinId="9" hidden="1"/>
    <cellStyle name="Lien hypertexte visité" xfId="10298" builtinId="9" hidden="1"/>
    <cellStyle name="Lien hypertexte visité" xfId="4105" builtinId="9" hidden="1"/>
    <cellStyle name="Lien hypertexte visité" xfId="23288" builtinId="9" hidden="1"/>
    <cellStyle name="Lien hypertexte visité" xfId="15113" builtinId="9" hidden="1"/>
    <cellStyle name="Lien hypertexte visité" xfId="7572" builtinId="9" hidden="1"/>
    <cellStyle name="Lien hypertexte visité" xfId="18850" builtinId="9" hidden="1"/>
    <cellStyle name="Lien hypertexte visité" xfId="24164" builtinId="9" hidden="1"/>
    <cellStyle name="Lien hypertexte visité" xfId="19398" builtinId="9" hidden="1"/>
    <cellStyle name="Lien hypertexte visité" xfId="9036" builtinId="9" hidden="1"/>
    <cellStyle name="Lien hypertexte visité" xfId="14891" builtinId="9" hidden="1"/>
    <cellStyle name="Lien hypertexte visité" xfId="1667" builtinId="9" hidden="1"/>
    <cellStyle name="Lien hypertexte visité" xfId="371" builtinId="9" hidden="1"/>
    <cellStyle name="Lien hypertexte visité" xfId="20520" builtinId="9" hidden="1"/>
    <cellStyle name="Lien hypertexte visité" xfId="113" builtinId="9" hidden="1"/>
    <cellStyle name="Lien hypertexte visité" xfId="2687" builtinId="9" hidden="1"/>
    <cellStyle name="Lien hypertexte visité" xfId="12230" builtinId="9" hidden="1"/>
    <cellStyle name="Lien hypertexte visité" xfId="3235" builtinId="9" hidden="1"/>
    <cellStyle name="Lien hypertexte visité" xfId="5334" builtinId="9" hidden="1"/>
    <cellStyle name="Lien hypertexte visité" xfId="22282" builtinId="9" hidden="1"/>
    <cellStyle name="Lien hypertexte visité" xfId="1181" builtinId="9" hidden="1"/>
    <cellStyle name="Lien hypertexte visité" xfId="19224" builtinId="9" hidden="1"/>
    <cellStyle name="Lien hypertexte visité" xfId="22618" builtinId="9" hidden="1"/>
    <cellStyle name="Lien hypertexte visité" xfId="20864" builtinId="9" hidden="1"/>
    <cellStyle name="Lien hypertexte visité" xfId="11234" builtinId="9" hidden="1"/>
    <cellStyle name="Lien hypertexte visité" xfId="10679" builtinId="9" hidden="1"/>
    <cellStyle name="Lien hypertexte visité" xfId="787" builtinId="9" hidden="1"/>
    <cellStyle name="Lien hypertexte visité" xfId="9861" builtinId="9" hidden="1"/>
    <cellStyle name="Lien hypertexte visité" xfId="5469" builtinId="9" hidden="1"/>
    <cellStyle name="Lien hypertexte visité" xfId="1831" builtinId="9" hidden="1"/>
    <cellStyle name="Lien hypertexte visité" xfId="11562" builtinId="9" hidden="1"/>
    <cellStyle name="Lien hypertexte visité" xfId="20088" builtinId="9" hidden="1"/>
    <cellStyle name="Lien hypertexte visité" xfId="15659" builtinId="9" hidden="1"/>
    <cellStyle name="Lien hypertexte visité" xfId="79" builtinId="9" hidden="1"/>
    <cellStyle name="Lien hypertexte visité" xfId="16007" builtinId="9" hidden="1"/>
    <cellStyle name="Lien hypertexte visité" xfId="9356" builtinId="9" hidden="1"/>
    <cellStyle name="Lien hypertexte visité" xfId="6335" builtinId="9" hidden="1"/>
    <cellStyle name="Lien hypertexte visité" xfId="9444" builtinId="9" hidden="1"/>
    <cellStyle name="Lien hypertexte visité" xfId="20006" builtinId="9" hidden="1"/>
    <cellStyle name="Lien hypertexte visité" xfId="4423" builtinId="9" hidden="1"/>
    <cellStyle name="Lien hypertexte visité" xfId="5107" builtinId="9" hidden="1"/>
    <cellStyle name="Lien hypertexte visité" xfId="24486" builtinId="9" hidden="1"/>
    <cellStyle name="Lien hypertexte visité" xfId="7203" builtinId="9" hidden="1"/>
    <cellStyle name="Lien hypertexte visité" xfId="11798" builtinId="9" hidden="1"/>
    <cellStyle name="Lien hypertexte visité" xfId="18378" builtinId="9" hidden="1"/>
    <cellStyle name="Lien hypertexte visité" xfId="13014" builtinId="9" hidden="1"/>
    <cellStyle name="Lien hypertexte visité" xfId="8439" builtinId="9" hidden="1"/>
    <cellStyle name="Lien hypertexte visité" xfId="7236" builtinId="9" hidden="1"/>
    <cellStyle name="Lien hypertexte visité" xfId="7281" builtinId="9" hidden="1"/>
    <cellStyle name="Lien hypertexte visité" xfId="5145" builtinId="9" hidden="1"/>
    <cellStyle name="Lien hypertexte visité" xfId="15793" builtinId="9" hidden="1"/>
    <cellStyle name="Lien hypertexte visité" xfId="4558" builtinId="9" hidden="1"/>
    <cellStyle name="Lien hypertexte visité" xfId="22710" builtinId="9" hidden="1"/>
    <cellStyle name="Lien hypertexte visité" xfId="2393" builtinId="9" hidden="1"/>
    <cellStyle name="Lien hypertexte visité" xfId="10465" builtinId="9" hidden="1"/>
    <cellStyle name="Lien hypertexte visité" xfId="14000" builtinId="9" hidden="1"/>
    <cellStyle name="Lien hypertexte visité" xfId="2210" builtinId="9" hidden="1"/>
    <cellStyle name="Lien hypertexte visité" xfId="10979" builtinId="9" hidden="1"/>
    <cellStyle name="Lien hypertexte visité" xfId="12867" builtinId="9" hidden="1"/>
    <cellStyle name="Lien hypertexte visité" xfId="8594" builtinId="9" hidden="1"/>
    <cellStyle name="Lien hypertexte visité" xfId="5131" builtinId="9" hidden="1"/>
    <cellStyle name="Lien hypertexte visité" xfId="5352" builtinId="9" hidden="1"/>
    <cellStyle name="Lien hypertexte visité" xfId="13000" builtinId="9" hidden="1"/>
    <cellStyle name="Lien hypertexte visité" xfId="13649" builtinId="9" hidden="1"/>
    <cellStyle name="Lien hypertexte visité" xfId="10321" builtinId="9" hidden="1"/>
    <cellStyle name="Lien hypertexte visité" xfId="16067" builtinId="9" hidden="1"/>
    <cellStyle name="Lien hypertexte visité" xfId="2812" builtinId="9" hidden="1"/>
    <cellStyle name="Lien hypertexte visité" xfId="6706" builtinId="9" hidden="1"/>
    <cellStyle name="Lien hypertexte visité" xfId="5314" builtinId="9" hidden="1"/>
    <cellStyle name="Lien hypertexte visité" xfId="4250" builtinId="9" hidden="1"/>
    <cellStyle name="Lien hypertexte visité" xfId="13115" builtinId="9" hidden="1"/>
    <cellStyle name="Lien hypertexte visité" xfId="17885" builtinId="9" hidden="1"/>
    <cellStyle name="Lien hypertexte visité" xfId="11857" builtinId="9" hidden="1"/>
    <cellStyle name="Lien hypertexte visité" xfId="15069" builtinId="9" hidden="1"/>
    <cellStyle name="Lien hypertexte visité" xfId="10729" builtinId="9" hidden="1"/>
    <cellStyle name="Lien hypertexte visité" xfId="5503" builtinId="9" hidden="1"/>
    <cellStyle name="Lien hypertexte visité" xfId="13086" builtinId="9" hidden="1"/>
    <cellStyle name="Lien hypertexte visité" xfId="9301" builtinId="9" hidden="1"/>
    <cellStyle name="Lien hypertexte visité" xfId="21154" builtinId="9" hidden="1"/>
    <cellStyle name="Lien hypertexte visité" xfId="16411" builtinId="9" hidden="1"/>
    <cellStyle name="Lien hypertexte visité" xfId="21594" builtinId="9" hidden="1"/>
    <cellStyle name="Lien hypertexte visité" xfId="14222" builtinId="9" hidden="1"/>
    <cellStyle name="Lien hypertexte visité" xfId="10375" builtinId="9" hidden="1"/>
    <cellStyle name="Lien hypertexte visité" xfId="5332" builtinId="9" hidden="1"/>
    <cellStyle name="Lien hypertexte visité" xfId="5725" builtinId="9" hidden="1"/>
    <cellStyle name="Lien hypertexte visité" xfId="6809" builtinId="9" hidden="1"/>
    <cellStyle name="Lien hypertexte visité" xfId="19576" builtinId="9" hidden="1"/>
    <cellStyle name="Lien hypertexte visité" xfId="7278" builtinId="9" hidden="1"/>
    <cellStyle name="Lien hypertexte visité" xfId="16903" builtinId="9" hidden="1"/>
    <cellStyle name="Lien hypertexte visité" xfId="1605" builtinId="9" hidden="1"/>
    <cellStyle name="Lien hypertexte visité" xfId="9812" builtinId="9" hidden="1"/>
    <cellStyle name="Lien hypertexte visité" xfId="1821" builtinId="9" hidden="1"/>
    <cellStyle name="Lien hypertexte visité" xfId="4771" builtinId="9" hidden="1"/>
    <cellStyle name="Lien hypertexte visité" xfId="12980" builtinId="9" hidden="1"/>
    <cellStyle name="Lien hypertexte visité" xfId="12654" builtinId="9" hidden="1"/>
    <cellStyle name="Lien hypertexte visité" xfId="20480" builtinId="9" hidden="1"/>
    <cellStyle name="Lien hypertexte visité" xfId="8007" builtinId="9" hidden="1"/>
    <cellStyle name="Lien hypertexte visité" xfId="15479" builtinId="9" hidden="1"/>
    <cellStyle name="Lien hypertexte visité" xfId="4781" builtinId="9" hidden="1"/>
    <cellStyle name="Lien hypertexte visité" xfId="14827" builtinId="9" hidden="1"/>
    <cellStyle name="Lien hypertexte visité" xfId="23990" builtinId="9" hidden="1"/>
    <cellStyle name="Lien hypertexte visité" xfId="3731" builtinId="9" hidden="1"/>
    <cellStyle name="Lien hypertexte visité" xfId="13576" builtinId="9" hidden="1"/>
    <cellStyle name="Lien hypertexte visité" xfId="3380" builtinId="9" hidden="1"/>
    <cellStyle name="Lien hypertexte visité" xfId="7266" builtinId="9" hidden="1"/>
    <cellStyle name="Lien hypertexte visité" xfId="8703" builtinId="9" hidden="1"/>
    <cellStyle name="Lien hypertexte visité" xfId="14285" builtinId="9" hidden="1"/>
    <cellStyle name="Lien hypertexte visité" xfId="2997" builtinId="9" hidden="1"/>
    <cellStyle name="Lien hypertexte visité" xfId="7704" builtinId="9" hidden="1"/>
    <cellStyle name="Lien hypertexte visité" xfId="19244" builtinId="9" hidden="1"/>
    <cellStyle name="Lien hypertexte visité" xfId="10697" builtinId="9" hidden="1"/>
    <cellStyle name="Lien hypertexte visité" xfId="6799" builtinId="9" hidden="1"/>
    <cellStyle name="Lien hypertexte visité" xfId="6525" builtinId="9" hidden="1"/>
    <cellStyle name="Lien hypertexte visité" xfId="23048" builtinId="9" hidden="1"/>
    <cellStyle name="Lien hypertexte visité" xfId="5265" builtinId="9" hidden="1"/>
    <cellStyle name="Lien hypertexte visité" xfId="7673" builtinId="9" hidden="1"/>
    <cellStyle name="Lien hypertexte visité" xfId="2887" builtinId="9" hidden="1"/>
    <cellStyle name="Lien hypertexte visité" xfId="1494" builtinId="9" hidden="1"/>
    <cellStyle name="Lien hypertexte visité" xfId="18249" builtinId="9" hidden="1"/>
    <cellStyle name="Lien hypertexte visité" xfId="4461" builtinId="9" hidden="1"/>
    <cellStyle name="Lien hypertexte visité" xfId="4097" builtinId="9" hidden="1"/>
    <cellStyle name="Lien hypertexte visité" xfId="6921" builtinId="9" hidden="1"/>
    <cellStyle name="Lien hypertexte visité" xfId="12055" builtinId="9" hidden="1"/>
    <cellStyle name="Lien hypertexte visité" xfId="16603" builtinId="9" hidden="1"/>
    <cellStyle name="Lien hypertexte visité" xfId="10318" builtinId="9" hidden="1"/>
    <cellStyle name="Lien hypertexte visité" xfId="12642" builtinId="9" hidden="1"/>
    <cellStyle name="Lien hypertexte visité" xfId="15441" builtinId="9" hidden="1"/>
    <cellStyle name="Lien hypertexte visité" xfId="20648" builtinId="9" hidden="1"/>
    <cellStyle name="Lien hypertexte visité" xfId="23906" builtinId="9" hidden="1"/>
    <cellStyle name="Lien hypertexte visité" xfId="19234" builtinId="9" hidden="1"/>
    <cellStyle name="Lien hypertexte visité" xfId="23792" builtinId="9" hidden="1"/>
    <cellStyle name="Lien hypertexte visité" xfId="12154" builtinId="9" hidden="1"/>
    <cellStyle name="Lien hypertexte visité" xfId="21898" builtinId="9" hidden="1"/>
    <cellStyle name="Lien hypertexte visité" xfId="13934" builtinId="9" hidden="1"/>
    <cellStyle name="Lien hypertexte visité" xfId="12967" builtinId="9" hidden="1"/>
    <cellStyle name="Lien hypertexte visité" xfId="2209" builtinId="9" hidden="1"/>
    <cellStyle name="Lien hypertexte visité" xfId="9445" builtinId="9" hidden="1"/>
    <cellStyle name="Lien hypertexte visité" xfId="6067" builtinId="9" hidden="1"/>
    <cellStyle name="Lien hypertexte visité" xfId="9060" builtinId="9" hidden="1"/>
    <cellStyle name="Lien hypertexte visité" xfId="12068" builtinId="9" hidden="1"/>
    <cellStyle name="Lien hypertexte visité" xfId="15605" builtinId="9" hidden="1"/>
    <cellStyle name="Lien hypertexte visité" xfId="22308" builtinId="9" hidden="1"/>
    <cellStyle name="Lien hypertexte visité" xfId="3115" builtinId="9" hidden="1"/>
    <cellStyle name="Lien hypertexte visité" xfId="4669" builtinId="9" hidden="1"/>
    <cellStyle name="Lien hypertexte visité" xfId="19104" builtinId="9" hidden="1"/>
    <cellStyle name="Lien hypertexte visité" xfId="10383" builtinId="9" hidden="1"/>
    <cellStyle name="Lien hypertexte visité" xfId="9213" builtinId="9" hidden="1"/>
    <cellStyle name="Lien hypertexte visité" xfId="11500" builtinId="9" hidden="1"/>
    <cellStyle name="Lien hypertexte visité" xfId="1063" builtinId="9" hidden="1"/>
    <cellStyle name="Lien hypertexte visité" xfId="13409" builtinId="9" hidden="1"/>
    <cellStyle name="Lien hypertexte visité" xfId="13448" builtinId="9" hidden="1"/>
    <cellStyle name="Lien hypertexte visité" xfId="7208" builtinId="9" hidden="1"/>
    <cellStyle name="Lien hypertexte visité" xfId="699" builtinId="9" hidden="1"/>
    <cellStyle name="Lien hypertexte visité" xfId="13107" builtinId="9" hidden="1"/>
    <cellStyle name="Lien hypertexte visité" xfId="4786" builtinId="9" hidden="1"/>
    <cellStyle name="Lien hypertexte visité" xfId="11327" builtinId="9" hidden="1"/>
    <cellStyle name="Lien hypertexte visité" xfId="2118" builtinId="9" hidden="1"/>
    <cellStyle name="Lien hypertexte visité" xfId="14413" builtinId="9" hidden="1"/>
    <cellStyle name="Lien hypertexte visité" xfId="12444" builtinId="9" hidden="1"/>
    <cellStyle name="Lien hypertexte visité" xfId="837" builtinId="9" hidden="1"/>
    <cellStyle name="Lien hypertexte visité" xfId="3218" builtinId="9" hidden="1"/>
    <cellStyle name="Lien hypertexte visité" xfId="11417" builtinId="9" hidden="1"/>
    <cellStyle name="Lien hypertexte visité" xfId="22700" builtinId="9" hidden="1"/>
    <cellStyle name="Lien hypertexte visité" xfId="10424" builtinId="9" hidden="1"/>
    <cellStyle name="Lien hypertexte visité" xfId="10441" builtinId="9" hidden="1"/>
    <cellStyle name="Lien hypertexte visité" xfId="20974" builtinId="9" hidden="1"/>
    <cellStyle name="Lien hypertexte visité" xfId="2933" builtinId="9" hidden="1"/>
    <cellStyle name="Lien hypertexte visité" xfId="11117" builtinId="9" hidden="1"/>
    <cellStyle name="Lien hypertexte visité" xfId="16965" builtinId="9" hidden="1"/>
    <cellStyle name="Lien hypertexte visité" xfId="2165" builtinId="9" hidden="1"/>
    <cellStyle name="Lien hypertexte visité" xfId="1874" builtinId="9" hidden="1"/>
    <cellStyle name="Lien hypertexte visité" xfId="10073" builtinId="9" hidden="1"/>
    <cellStyle name="Lien hypertexte visité" xfId="21998" builtinId="9" hidden="1"/>
    <cellStyle name="Lien hypertexte visité" xfId="12688" builtinId="9" hidden="1"/>
    <cellStyle name="Lien hypertexte visité" xfId="19918" builtinId="9" hidden="1"/>
    <cellStyle name="Lien hypertexte visité" xfId="10953" builtinId="9" hidden="1"/>
    <cellStyle name="Lien hypertexte visité" xfId="23420" builtinId="9" hidden="1"/>
    <cellStyle name="Lien hypertexte visité" xfId="10784" builtinId="9" hidden="1"/>
    <cellStyle name="Lien hypertexte visité" xfId="10936" builtinId="9" hidden="1"/>
    <cellStyle name="Lien hypertexte visité" xfId="13672" builtinId="9" hidden="1"/>
    <cellStyle name="Lien hypertexte visité" xfId="18285" builtinId="9" hidden="1"/>
    <cellStyle name="Lien hypertexte visité" xfId="23724" builtinId="9" hidden="1"/>
    <cellStyle name="Lien hypertexte visité" xfId="20030" builtinId="9" hidden="1"/>
    <cellStyle name="Lien hypertexte visité" xfId="14273" builtinId="9" hidden="1"/>
    <cellStyle name="Lien hypertexte visité" xfId="11545" builtinId="9" hidden="1"/>
    <cellStyle name="Lien hypertexte visité" xfId="8817" builtinId="9" hidden="1"/>
    <cellStyle name="Lien hypertexte visité" xfId="6080" builtinId="9" hidden="1"/>
    <cellStyle name="Lien hypertexte visité" xfId="3346" builtinId="9" hidden="1"/>
    <cellStyle name="Lien hypertexte visité" xfId="99" builtinId="9" hidden="1"/>
    <cellStyle name="Lien hypertexte visité" xfId="5295" builtinId="9" hidden="1"/>
    <cellStyle name="Lien hypertexte visité" xfId="325" builtinId="9" hidden="1"/>
    <cellStyle name="Lien hypertexte visité" xfId="4507" builtinId="9" hidden="1"/>
    <cellStyle name="Lien hypertexte visité" xfId="8604" builtinId="9" hidden="1"/>
    <cellStyle name="Lien hypertexte visité" xfId="12700" builtinId="9" hidden="1"/>
    <cellStyle name="Lien hypertexte visité" xfId="19060" builtinId="9" hidden="1"/>
    <cellStyle name="Lien hypertexte visité" xfId="21974" builtinId="9" hidden="1"/>
    <cellStyle name="Lien hypertexte visité" xfId="14157" builtinId="9" hidden="1"/>
    <cellStyle name="Lien hypertexte visité" xfId="9549" builtinId="9" hidden="1"/>
    <cellStyle name="Lien hypertexte visité" xfId="5452" builtinId="9" hidden="1"/>
    <cellStyle name="Lien hypertexte visité" xfId="1349" builtinId="9" hidden="1"/>
    <cellStyle name="Lien hypertexte visité" xfId="3906" builtinId="9" hidden="1"/>
    <cellStyle name="Lien hypertexte visité" xfId="7999" builtinId="9" hidden="1"/>
    <cellStyle name="Lien hypertexte visité" xfId="12095" builtinId="9" hidden="1"/>
    <cellStyle name="Lien hypertexte visité" xfId="8402" builtinId="9" hidden="1"/>
    <cellStyle name="Lien hypertexte visité" xfId="8443" builtinId="9" hidden="1"/>
    <cellStyle name="Lien hypertexte visité" xfId="4930" builtinId="9" hidden="1"/>
    <cellStyle name="Lien hypertexte visité" xfId="1411" builtinId="9" hidden="1"/>
    <cellStyle name="Lien hypertexte visité" xfId="11259" builtinId="9" hidden="1"/>
    <cellStyle name="Lien hypertexte visité" xfId="13235" builtinId="9" hidden="1"/>
    <cellStyle name="Lien hypertexte visité" xfId="15507" builtinId="9" hidden="1"/>
    <cellStyle name="Lien hypertexte visité" xfId="10675" builtinId="9" hidden="1"/>
    <cellStyle name="Lien hypertexte visité" xfId="1131" builtinId="9" hidden="1"/>
    <cellStyle name="Lien hypertexte visité" xfId="4666" builtinId="9" hidden="1"/>
    <cellStyle name="Lien hypertexte visité" xfId="8179" builtinId="9" hidden="1"/>
    <cellStyle name="Lien hypertexte visité" xfId="7977" builtinId="9" hidden="1"/>
    <cellStyle name="Lien hypertexte visité" xfId="23228" builtinId="9" hidden="1"/>
    <cellStyle name="Lien hypertexte visité" xfId="9608" builtinId="9" hidden="1"/>
    <cellStyle name="Lien hypertexte visité" xfId="13704" builtinId="9" hidden="1"/>
    <cellStyle name="Lien hypertexte visité" xfId="22092" builtinId="9" hidden="1"/>
    <cellStyle name="Lien hypertexte visité" xfId="18942" builtinId="9" hidden="1"/>
    <cellStyle name="Lien hypertexte visité" xfId="12641" builtinId="9" hidden="1"/>
    <cellStyle name="Lien hypertexte visité" xfId="8545" builtinId="9" hidden="1"/>
    <cellStyle name="Lien hypertexte visité" xfId="4448" builtinId="9" hidden="1"/>
    <cellStyle name="Lien hypertexte visité" xfId="443" builtinId="9" hidden="1"/>
    <cellStyle name="Lien hypertexte visité" xfId="2841" builtinId="9" hidden="1"/>
    <cellStyle name="Lien hypertexte visité" xfId="5099" builtinId="9" hidden="1"/>
    <cellStyle name="Lien hypertexte visité" xfId="11244" builtinId="9" hidden="1"/>
    <cellStyle name="Lien hypertexte visité" xfId="20244" builtinId="9" hidden="1"/>
    <cellStyle name="Lien hypertexte visité" xfId="16711" builtinId="9" hidden="1"/>
    <cellStyle name="Lien hypertexte visité" xfId="9469" builtinId="9" hidden="1"/>
    <cellStyle name="Lien hypertexte visité" xfId="3318" builtinId="9" hidden="1"/>
    <cellStyle name="Lien hypertexte visité" xfId="3982" builtinId="9" hidden="1"/>
    <cellStyle name="Lien hypertexte visité" xfId="10767" builtinId="9" hidden="1"/>
    <cellStyle name="Lien hypertexte visité" xfId="8882" builtinId="9" hidden="1"/>
    <cellStyle name="Lien hypertexte visité" xfId="12978" builtinId="9" hidden="1"/>
    <cellStyle name="Lien hypertexte visité" xfId="19616" builtinId="9" hidden="1"/>
    <cellStyle name="Lien hypertexte visité" xfId="21418" builtinId="9" hidden="1"/>
    <cellStyle name="Lien hypertexte visité" xfId="19728" builtinId="9" hidden="1"/>
    <cellStyle name="Lien hypertexte visité" xfId="4889" builtinId="9" hidden="1"/>
    <cellStyle name="Lien hypertexte visité" xfId="16049" builtinId="9" hidden="1"/>
    <cellStyle name="Lien hypertexte visité" xfId="22070" builtinId="9" hidden="1"/>
    <cellStyle name="Lien hypertexte visité" xfId="10425" builtinId="9" hidden="1"/>
    <cellStyle name="Lien hypertexte visité" xfId="2594" builtinId="9" hidden="1"/>
    <cellStyle name="Lien hypertexte visité" xfId="12691" builtinId="9" hidden="1"/>
    <cellStyle name="Lien hypertexte visité" xfId="2008" builtinId="9" hidden="1"/>
    <cellStyle name="Lien hypertexte visité" xfId="10908" builtinId="9" hidden="1"/>
    <cellStyle name="Lien hypertexte visité" xfId="7280" builtinId="9" hidden="1"/>
    <cellStyle name="Lien hypertexte visité" xfId="12408" builtinId="9" hidden="1"/>
    <cellStyle name="Lien hypertexte visité" xfId="14847" builtinId="9" hidden="1"/>
    <cellStyle name="Lien hypertexte visité" xfId="10472" builtinId="9" hidden="1"/>
    <cellStyle name="Lien hypertexte visité" xfId="21236" builtinId="9" hidden="1"/>
    <cellStyle name="Lien hypertexte visité" xfId="16589" builtinId="9" hidden="1"/>
    <cellStyle name="Lien hypertexte visité" xfId="19202" builtinId="9" hidden="1"/>
    <cellStyle name="Lien hypertexte visité" xfId="16151" builtinId="9" hidden="1"/>
    <cellStyle name="Lien hypertexte visité" xfId="19290" builtinId="9" hidden="1"/>
    <cellStyle name="Lien hypertexte visité" xfId="13943" builtinId="9" hidden="1"/>
    <cellStyle name="Lien hypertexte visité" xfId="2541" builtinId="9" hidden="1"/>
    <cellStyle name="Lien hypertexte visité" xfId="1264" builtinId="9" hidden="1"/>
    <cellStyle name="Lien hypertexte visité" xfId="10756" builtinId="9" hidden="1"/>
    <cellStyle name="Lien hypertexte visité" xfId="21350" builtinId="9" hidden="1"/>
    <cellStyle name="Lien hypertexte visité" xfId="22756" builtinId="9" hidden="1"/>
    <cellStyle name="Lien hypertexte visité" xfId="16309" builtinId="9" hidden="1"/>
    <cellStyle name="Lien hypertexte visité" xfId="21860" builtinId="9" hidden="1"/>
    <cellStyle name="Lien hypertexte visité" xfId="22566" builtinId="9" hidden="1"/>
    <cellStyle name="Lien hypertexte visité" xfId="16469" builtinId="9" hidden="1"/>
    <cellStyle name="Lien hypertexte visité" xfId="1969" builtinId="9" hidden="1"/>
    <cellStyle name="Lien hypertexte visité" xfId="1709" builtinId="9" hidden="1"/>
    <cellStyle name="Lien hypertexte visité" xfId="9412" builtinId="9" hidden="1"/>
    <cellStyle name="Lien hypertexte visité" xfId="12116" builtinId="9" hidden="1"/>
    <cellStyle name="Lien hypertexte visité" xfId="14452" builtinId="9" hidden="1"/>
    <cellStyle name="Lien hypertexte visité" xfId="6995" builtinId="9" hidden="1"/>
    <cellStyle name="Lien hypertexte visité" xfId="14245" builtinId="9" hidden="1"/>
    <cellStyle name="Lien hypertexte visité" xfId="6820" builtinId="9" hidden="1"/>
    <cellStyle name="Lien hypertexte visité" xfId="11429" builtinId="9" hidden="1"/>
    <cellStyle name="Lien hypertexte visité" xfId="5907" builtinId="9" hidden="1"/>
    <cellStyle name="Lien hypertexte visité" xfId="13652" builtinId="9" hidden="1"/>
    <cellStyle name="Lien hypertexte visité" xfId="10948" builtinId="9" hidden="1"/>
    <cellStyle name="Lien hypertexte visité" xfId="8308" builtinId="9" hidden="1"/>
    <cellStyle name="Lien hypertexte visité" xfId="173" builtinId="9" hidden="1"/>
    <cellStyle name="Lien hypertexte visité" xfId="6787" builtinId="9" hidden="1"/>
    <cellStyle name="Lien hypertexte visité" xfId="19494" builtinId="9" hidden="1"/>
    <cellStyle name="Lien hypertexte visité" xfId="24324" builtinId="9" hidden="1"/>
    <cellStyle name="Lien hypertexte visité" xfId="19492" builtinId="9" hidden="1"/>
    <cellStyle name="Lien hypertexte visité" xfId="8584" builtinId="9" hidden="1"/>
    <cellStyle name="Lien hypertexte visité" xfId="24516" builtinId="9" hidden="1"/>
    <cellStyle name="Lien hypertexte visité" xfId="19718" builtinId="9" hidden="1"/>
    <cellStyle name="Lien hypertexte visité" xfId="2769" builtinId="9" hidden="1"/>
    <cellStyle name="Lien hypertexte visité" xfId="781" builtinId="9" hidden="1"/>
    <cellStyle name="Lien hypertexte visité" xfId="3293" builtinId="9" hidden="1"/>
    <cellStyle name="Lien hypertexte visité" xfId="5623" builtinId="9" hidden="1"/>
    <cellStyle name="Lien hypertexte visité" xfId="3377" builtinId="9" hidden="1"/>
    <cellStyle name="Lien hypertexte visité" xfId="7799" builtinId="9" hidden="1"/>
    <cellStyle name="Lien hypertexte visité" xfId="8136" builtinId="9" hidden="1"/>
    <cellStyle name="Lien hypertexte visité" xfId="3457" builtinId="9" hidden="1"/>
    <cellStyle name="Lien hypertexte visité" xfId="2433" builtinId="9" hidden="1"/>
    <cellStyle name="Lien hypertexte visité" xfId="3277" builtinId="9" hidden="1"/>
    <cellStyle name="Lien hypertexte visité" xfId="15639" builtinId="9" hidden="1"/>
    <cellStyle name="Lien hypertexte visité" xfId="17665" builtinId="9" hidden="1"/>
    <cellStyle name="Lien hypertexte visité" xfId="9230" builtinId="9" hidden="1"/>
    <cellStyle name="Lien hypertexte visité" xfId="5572" builtinId="9" hidden="1"/>
    <cellStyle name="Lien hypertexte visité" xfId="10181" builtinId="9" hidden="1"/>
    <cellStyle name="Lien hypertexte visité" xfId="7108" builtinId="9" hidden="1"/>
    <cellStyle name="Lien hypertexte visité" xfId="3599" builtinId="9" hidden="1"/>
    <cellStyle name="Lien hypertexte visité" xfId="243" builtinId="9" hidden="1"/>
    <cellStyle name="Lien hypertexte visité" xfId="4214" builtinId="9" hidden="1"/>
    <cellStyle name="Lien hypertexte visité" xfId="7366" builtinId="9" hidden="1"/>
    <cellStyle name="Lien hypertexte visité" xfId="18496" builtinId="9" hidden="1"/>
    <cellStyle name="Lien hypertexte visité" xfId="16437" builtinId="9" hidden="1"/>
    <cellStyle name="Lien hypertexte visité" xfId="10868" builtinId="9" hidden="1"/>
    <cellStyle name="Lien hypertexte visité" xfId="17145" builtinId="9" hidden="1"/>
    <cellStyle name="Lien hypertexte visité" xfId="13730" builtinId="9" hidden="1"/>
    <cellStyle name="Lien hypertexte visité" xfId="11394" builtinId="9" hidden="1"/>
    <cellStyle name="Lien hypertexte visité" xfId="9346" builtinId="9" hidden="1"/>
    <cellStyle name="Lien hypertexte visité" xfId="14455" builtinId="9" hidden="1"/>
    <cellStyle name="Lien hypertexte visité" xfId="11383" builtinId="9" hidden="1"/>
    <cellStyle name="Lien hypertexte visité" xfId="7798" builtinId="9" hidden="1"/>
    <cellStyle name="Lien hypertexte visité" xfId="4726" builtinId="9" hidden="1"/>
    <cellStyle name="Lien hypertexte visité" xfId="1552" builtinId="9" hidden="1"/>
    <cellStyle name="Lien hypertexte visité" xfId="3086" builtinId="9" hidden="1"/>
    <cellStyle name="Lien hypertexte visité" xfId="6164" builtinId="9" hidden="1"/>
    <cellStyle name="Lien hypertexte visité" xfId="9333" builtinId="9" hidden="1"/>
    <cellStyle name="Lien hypertexte visité" xfId="12485" builtinId="9" hidden="1"/>
    <cellStyle name="Lien hypertexte visité" xfId="11287" builtinId="9" hidden="1"/>
    <cellStyle name="Lien hypertexte visité" xfId="24354" builtinId="9" hidden="1"/>
    <cellStyle name="Lien hypertexte visité" xfId="12711" builtinId="9" hidden="1"/>
    <cellStyle name="Lien hypertexte visité" xfId="17077" builtinId="9" hidden="1"/>
    <cellStyle name="Lien hypertexte visité" xfId="4659" builtinId="9" hidden="1"/>
    <cellStyle name="Lien hypertexte visité" xfId="4647" builtinId="9" hidden="1"/>
    <cellStyle name="Lien hypertexte visité" xfId="7095" builtinId="9" hidden="1"/>
    <cellStyle name="Lien hypertexte visité" xfId="8184" builtinId="9" hidden="1"/>
    <cellStyle name="Lien hypertexte visité" xfId="6615" builtinId="9" hidden="1"/>
    <cellStyle name="Lien hypertexte visité" xfId="4167" builtinId="9" hidden="1"/>
    <cellStyle name="Lien hypertexte visité" xfId="5155" builtinId="9" hidden="1"/>
    <cellStyle name="Lien hypertexte visité" xfId="13218" builtinId="9" hidden="1"/>
    <cellStyle name="Lien hypertexte visité" xfId="6116" builtinId="9" hidden="1"/>
    <cellStyle name="Lien hypertexte visité" xfId="4262" builtinId="9" hidden="1"/>
    <cellStyle name="Lien hypertexte visité" xfId="13735" builtinId="9" hidden="1"/>
    <cellStyle name="Lien hypertexte visité" xfId="13078" builtinId="9" hidden="1"/>
    <cellStyle name="Lien hypertexte visité" xfId="23602" builtinId="9" hidden="1"/>
    <cellStyle name="Lien hypertexte visité" xfId="14266" builtinId="9" hidden="1"/>
    <cellStyle name="Lien hypertexte visité" xfId="18672" builtinId="9" hidden="1"/>
    <cellStyle name="Lien hypertexte visité" xfId="18283" builtinId="9" hidden="1"/>
    <cellStyle name="Lien hypertexte visité" xfId="21170" builtinId="9" hidden="1"/>
    <cellStyle name="Lien hypertexte visité" xfId="23848" builtinId="9" hidden="1"/>
    <cellStyle name="Lien hypertexte visité" xfId="19752" builtinId="9" hidden="1"/>
    <cellStyle name="Lien hypertexte visité" xfId="12741" builtinId="9" hidden="1"/>
    <cellStyle name="Lien hypertexte visité" xfId="17205" builtinId="9" hidden="1"/>
    <cellStyle name="Lien hypertexte visité" xfId="13156" builtinId="9" hidden="1"/>
    <cellStyle name="Lien hypertexte visité" xfId="10452" builtinId="9" hidden="1"/>
    <cellStyle name="Lien hypertexte visité" xfId="7828" builtinId="9" hidden="1"/>
    <cellStyle name="Lien hypertexte visité" xfId="18694" builtinId="9" hidden="1"/>
    <cellStyle name="Lien hypertexte visité" xfId="10730" builtinId="9" hidden="1"/>
    <cellStyle name="Lien hypertexte visité" xfId="393" builtinId="9" hidden="1"/>
    <cellStyle name="Lien hypertexte visité" xfId="9871" builtinId="9" hidden="1"/>
    <cellStyle name="Lien hypertexte visité" xfId="15705" builtinId="9" hidden="1"/>
    <cellStyle name="Lien hypertexte visité" xfId="7823" builtinId="9" hidden="1"/>
    <cellStyle name="Lien hypertexte visité" xfId="5628" builtinId="9" hidden="1"/>
    <cellStyle name="Lien hypertexte visité" xfId="3575" builtinId="9" hidden="1"/>
    <cellStyle name="Lien hypertexte visité" xfId="8286" builtinId="9" hidden="1"/>
    <cellStyle name="Lien hypertexte visité" xfId="2295" builtinId="9" hidden="1"/>
    <cellStyle name="Lien hypertexte visité" xfId="6717" builtinId="9" hidden="1"/>
    <cellStyle name="Lien hypertexte visité" xfId="22610" builtinId="9" hidden="1"/>
    <cellStyle name="Lien hypertexte visité" xfId="6803" builtinId="9" hidden="1"/>
    <cellStyle name="Lien hypertexte visité" xfId="9508" builtinId="9" hidden="1"/>
    <cellStyle name="Lien hypertexte visité" xfId="12132" builtinId="9" hidden="1"/>
    <cellStyle name="Lien hypertexte visité" xfId="15157" builtinId="9" hidden="1"/>
    <cellStyle name="Lien hypertexte visité" xfId="20420" builtinId="9" hidden="1"/>
    <cellStyle name="Lien hypertexte visité" xfId="18169" builtinId="9" hidden="1"/>
    <cellStyle name="Lien hypertexte visité" xfId="22360" builtinId="9" hidden="1"/>
    <cellStyle name="Lien hypertexte visité" xfId="22770" builtinId="9" hidden="1"/>
    <cellStyle name="Lien hypertexte visité" xfId="18546" builtinId="9" hidden="1"/>
    <cellStyle name="Lien hypertexte visité" xfId="23408" builtinId="9" hidden="1"/>
    <cellStyle name="Lien hypertexte visité" xfId="12666" builtinId="9" hidden="1"/>
    <cellStyle name="Lien hypertexte visité" xfId="19170" builtinId="9" hidden="1"/>
    <cellStyle name="Lien hypertexte visité" xfId="16081" builtinId="9" hidden="1"/>
    <cellStyle name="Lien hypertexte visité" xfId="9154" builtinId="9" hidden="1"/>
    <cellStyle name="Lien hypertexte visité" xfId="7847" builtinId="9" hidden="1"/>
    <cellStyle name="Lien hypertexte visité" xfId="2526" builtinId="9" hidden="1"/>
    <cellStyle name="Lien hypertexte visité" xfId="12005" builtinId="9" hidden="1"/>
    <cellStyle name="Lien hypertexte visité" xfId="7735" builtinId="9" hidden="1"/>
    <cellStyle name="Lien hypertexte visité" xfId="5031" builtinId="9" hidden="1"/>
    <cellStyle name="Lien hypertexte visité" xfId="4743" builtinId="9" hidden="1"/>
    <cellStyle name="Lien hypertexte visité" xfId="8232" builtinId="9" hidden="1"/>
    <cellStyle name="Lien hypertexte visité" xfId="6247" builtinId="9" hidden="1"/>
    <cellStyle name="Lien hypertexte visité" xfId="3802" builtinId="9" hidden="1"/>
    <cellStyle name="Lien hypertexte visité" xfId="1408" builtinId="9" hidden="1"/>
    <cellStyle name="Lien hypertexte visité" xfId="2877" builtinId="9" hidden="1"/>
    <cellStyle name="Lien hypertexte visité" xfId="13029" builtinId="9" hidden="1"/>
    <cellStyle name="Lien hypertexte visité" xfId="20336" builtinId="9" hidden="1"/>
    <cellStyle name="Lien hypertexte visité" xfId="10594" builtinId="9" hidden="1"/>
    <cellStyle name="Lien hypertexte visité" xfId="6260" builtinId="9" hidden="1"/>
    <cellStyle name="Lien hypertexte visité" xfId="10517" builtinId="9" hidden="1"/>
    <cellStyle name="Lien hypertexte visité" xfId="7364" builtinId="9" hidden="1"/>
    <cellStyle name="Lien hypertexte visité" xfId="4292" builtinId="9" hidden="1"/>
    <cellStyle name="Lien hypertexte visité" xfId="239" builtinId="9" hidden="1"/>
    <cellStyle name="Lien hypertexte visité" xfId="3520" builtinId="9" hidden="1"/>
    <cellStyle name="Lien hypertexte visité" xfId="6678" builtinId="9" hidden="1"/>
    <cellStyle name="Lien hypertexte visité" xfId="9751" builtinId="9" hidden="1"/>
    <cellStyle name="Lien hypertexte visité" xfId="13255" builtinId="9" hidden="1"/>
    <cellStyle name="Lien hypertexte visité" xfId="8546" builtinId="9" hidden="1"/>
    <cellStyle name="Lien hypertexte visité" xfId="10658" builtinId="9" hidden="1"/>
    <cellStyle name="Lien hypertexte visité" xfId="12706" builtinId="9" hidden="1"/>
    <cellStyle name="Lien hypertexte visité" xfId="15545" builtinId="9" hidden="1"/>
    <cellStyle name="Lien hypertexte visité" xfId="21124" builtinId="9" hidden="1"/>
    <cellStyle name="Lien hypertexte visité" xfId="8612" builtinId="9" hidden="1"/>
    <cellStyle name="Lien hypertexte visité" xfId="7816" builtinId="9" hidden="1"/>
    <cellStyle name="Lien hypertexte visité" xfId="8903" builtinId="9" hidden="1"/>
    <cellStyle name="Lien hypertexte visité" xfId="5398" builtinId="9" hidden="1"/>
    <cellStyle name="Lien hypertexte visité" xfId="2240" builtinId="9" hidden="1"/>
    <cellStyle name="Lien hypertexte visité" xfId="2414" builtinId="9" hidden="1"/>
    <cellStyle name="Lien hypertexte visité" xfId="5492" builtinId="9" hidden="1"/>
    <cellStyle name="Lien hypertexte visité" xfId="9077" builtinId="9" hidden="1"/>
    <cellStyle name="Lien hypertexte visité" xfId="12565" builtinId="9" hidden="1"/>
    <cellStyle name="Lien hypertexte visité" xfId="9239" builtinId="9" hidden="1"/>
    <cellStyle name="Lien hypertexte visité" xfId="23458" builtinId="9" hidden="1"/>
    <cellStyle name="Lien hypertexte visité" xfId="10663" builtinId="9" hidden="1"/>
    <cellStyle name="Lien hypertexte visité" xfId="2397" builtinId="9" hidden="1"/>
    <cellStyle name="Lien hypertexte visité" xfId="4723" builtinId="9" hidden="1"/>
    <cellStyle name="Lien hypertexte visité" xfId="4327" builtinId="9" hidden="1"/>
    <cellStyle name="Lien hypertexte visité" xfId="6695" builtinId="9" hidden="1"/>
    <cellStyle name="Lien hypertexte visité" xfId="8568" builtinId="9" hidden="1"/>
    <cellStyle name="Lien hypertexte visité" xfId="6951" builtinId="9" hidden="1"/>
    <cellStyle name="Lien hypertexte visité" xfId="4839" builtinId="9" hidden="1"/>
    <cellStyle name="Lien hypertexte visité" xfId="4467" builtinId="9" hidden="1"/>
    <cellStyle name="Lien hypertexte visité" xfId="1869" builtinId="9" hidden="1"/>
    <cellStyle name="Lien hypertexte visité" xfId="1601" builtinId="9" hidden="1"/>
    <cellStyle name="Lien hypertexte visité" xfId="17237" builtinId="9" hidden="1"/>
    <cellStyle name="Lien hypertexte visité" xfId="22822" builtinId="9" hidden="1"/>
    <cellStyle name="Lien hypertexte visité" xfId="1953" builtinId="9" hidden="1"/>
    <cellStyle name="Lien hypertexte visité" xfId="17781" builtinId="9" hidden="1"/>
    <cellStyle name="Lien hypertexte visité" xfId="22564" builtinId="9" hidden="1"/>
    <cellStyle name="Lien hypertexte visité" xfId="21222" builtinId="9" hidden="1"/>
    <cellStyle name="Lien hypertexte visité" xfId="12932" builtinId="9" hidden="1"/>
    <cellStyle name="Lien hypertexte visité" xfId="1344" builtinId="9" hidden="1"/>
    <cellStyle name="Lien hypertexte visité" xfId="2061" builtinId="9" hidden="1"/>
    <cellStyle name="Lien hypertexte visité" xfId="10068" builtinId="9" hidden="1"/>
    <cellStyle name="Lien hypertexte visité" xfId="12484" builtinId="9" hidden="1"/>
    <cellStyle name="Lien hypertexte visité" xfId="18071" builtinId="9" hidden="1"/>
    <cellStyle name="Lien hypertexte visité" xfId="7363" builtinId="9" hidden="1"/>
    <cellStyle name="Lien hypertexte visité" xfId="8101" builtinId="9" hidden="1"/>
    <cellStyle name="Lien hypertexte visité" xfId="9893" builtinId="9" hidden="1"/>
    <cellStyle name="Lien hypertexte visité" xfId="7876" builtinId="9" hidden="1"/>
    <cellStyle name="Lien hypertexte visité" xfId="5235" builtinId="9" hidden="1"/>
    <cellStyle name="Lien hypertexte visité" xfId="12996" builtinId="9" hidden="1"/>
    <cellStyle name="Lien hypertexte visité" xfId="10292" builtinId="9" hidden="1"/>
    <cellStyle name="Lien hypertexte visité" xfId="23620" builtinId="9" hidden="1"/>
    <cellStyle name="Lien hypertexte visité" xfId="1109" builtinId="9" hidden="1"/>
    <cellStyle name="Lien hypertexte visité" xfId="9348" builtinId="9" hidden="1"/>
    <cellStyle name="Lien hypertexte visité" xfId="20806" builtinId="9" hidden="1"/>
    <cellStyle name="Lien hypertexte visité" xfId="23588" builtinId="9" hidden="1"/>
    <cellStyle name="Lien hypertexte visité" xfId="18197" builtinId="9" hidden="1"/>
    <cellStyle name="Lien hypertexte visité" xfId="4775" builtinId="9" hidden="1"/>
    <cellStyle name="Lien hypertexte visité" xfId="23238" builtinId="9" hidden="1"/>
    <cellStyle name="Lien hypertexte visité" xfId="24388" builtinId="9" hidden="1"/>
    <cellStyle name="Lien hypertexte visité" xfId="2145" builtinId="9" hidden="1"/>
    <cellStyle name="Lien hypertexte visité" xfId="1324" builtinId="9" hidden="1"/>
    <cellStyle name="Lien hypertexte visité" xfId="3987" builtinId="9" hidden="1"/>
    <cellStyle name="Lien hypertexte visité" xfId="20096" builtinId="9" hidden="1"/>
    <cellStyle name="Lien hypertexte visité" xfId="13991" builtinId="9" hidden="1"/>
    <cellStyle name="Lien hypertexte visité" xfId="21604" builtinId="9" hidden="1"/>
    <cellStyle name="Lien hypertexte visité" xfId="8096" builtinId="9" hidden="1"/>
    <cellStyle name="Lien hypertexte visité" xfId="12671" builtinId="9" hidden="1"/>
    <cellStyle name="Lien hypertexte visité" xfId="24540" builtinId="9" hidden="1"/>
    <cellStyle name="Lien hypertexte visité" xfId="3445" builtinId="9" hidden="1"/>
    <cellStyle name="Lien hypertexte visité" xfId="23758" builtinId="9" hidden="1"/>
    <cellStyle name="Lien hypertexte visité" xfId="14591" builtinId="9" hidden="1"/>
    <cellStyle name="Lien hypertexte visité" xfId="1192" builtinId="9" hidden="1"/>
    <cellStyle name="Lien hypertexte visité" xfId="10061" builtinId="9" hidden="1"/>
    <cellStyle name="Lien hypertexte visité" xfId="8811" builtinId="9" hidden="1"/>
    <cellStyle name="Lien hypertexte visité" xfId="1692" builtinId="9" hidden="1"/>
    <cellStyle name="Lien hypertexte visité" xfId="21068" builtinId="9" hidden="1"/>
    <cellStyle name="Lien hypertexte visité" xfId="4459" builtinId="9" hidden="1"/>
    <cellStyle name="Lien hypertexte visité" xfId="10127" builtinId="9" hidden="1"/>
    <cellStyle name="Lien hypertexte visité" xfId="6497" builtinId="9" hidden="1"/>
    <cellStyle name="Lien hypertexte visité" xfId="11498" builtinId="9" hidden="1"/>
    <cellStyle name="Lien hypertexte visité" xfId="17683" builtinId="9" hidden="1"/>
    <cellStyle name="Lien hypertexte visité" xfId="22344" builtinId="9" hidden="1"/>
    <cellStyle name="Lien hypertexte visité" xfId="14342" builtinId="9" hidden="1"/>
    <cellStyle name="Lien hypertexte visité" xfId="10246" builtinId="9" hidden="1"/>
    <cellStyle name="Lien hypertexte visité" xfId="12815" builtinId="9" hidden="1"/>
    <cellStyle name="Lien hypertexte visité" xfId="6670" builtinId="9" hidden="1"/>
    <cellStyle name="Lien hypertexte visité" xfId="83" builtinId="9" hidden="1"/>
    <cellStyle name="Lien hypertexte visité" xfId="6780" builtinId="9" hidden="1"/>
    <cellStyle name="Lien hypertexte visité" xfId="13565" builtinId="9" hidden="1"/>
    <cellStyle name="Lien hypertexte visité" xfId="24340" builtinId="9" hidden="1"/>
    <cellStyle name="Lien hypertexte visité" xfId="13292" builtinId="9" hidden="1"/>
    <cellStyle name="Lien hypertexte visité" xfId="7147" builtinId="9" hidden="1"/>
    <cellStyle name="Lien hypertexte visité" xfId="829" builtinId="9" hidden="1"/>
    <cellStyle name="Lien hypertexte visité" xfId="6303" builtinId="9" hidden="1"/>
    <cellStyle name="Lien hypertexte visité" xfId="2650" builtinId="9" hidden="1"/>
    <cellStyle name="Lien hypertexte visité" xfId="7184" builtinId="9" hidden="1"/>
    <cellStyle name="Lien hypertexte visité" xfId="11281" builtinId="9" hidden="1"/>
    <cellStyle name="Lien hypertexte visité" xfId="16239" builtinId="9" hidden="1"/>
    <cellStyle name="Lien hypertexte visité" xfId="24414" builtinId="9" hidden="1"/>
    <cellStyle name="Lien hypertexte visité" xfId="16637" builtinId="9" hidden="1"/>
    <cellStyle name="Lien hypertexte visité" xfId="11480" builtinId="9" hidden="1"/>
    <cellStyle name="Lien hypertexte visité" xfId="13248" builtinId="9" hidden="1"/>
    <cellStyle name="Lien hypertexte visité" xfId="12073" builtinId="9" hidden="1"/>
    <cellStyle name="Lien hypertexte visité" xfId="9347" builtinId="9" hidden="1"/>
    <cellStyle name="Lien hypertexte visité" xfId="5834" builtinId="9" hidden="1"/>
    <cellStyle name="Lien hypertexte visité" xfId="2316" builtinId="9" hidden="1"/>
    <cellStyle name="Lien hypertexte visité" xfId="12107" builtinId="9" hidden="1"/>
    <cellStyle name="Lien hypertexte visité" xfId="14051" builtinId="9" hidden="1"/>
    <cellStyle name="Lien hypertexte visité" xfId="16115" builtinId="9" hidden="1"/>
    <cellStyle name="Lien hypertexte visité" xfId="10171" builtinId="9" hidden="1"/>
    <cellStyle name="Lien hypertexte visité" xfId="5474" builtinId="9" hidden="1"/>
    <cellStyle name="Lien hypertexte visité" xfId="3765" builtinId="9" hidden="1"/>
    <cellStyle name="Lien hypertexte visité" xfId="7274" builtinId="9" hidden="1"/>
    <cellStyle name="Lien hypertexte visité" xfId="4808" builtinId="9" hidden="1"/>
    <cellStyle name="Lien hypertexte visité" xfId="13887" builtinId="9" hidden="1"/>
    <cellStyle name="Lien hypertexte visité" xfId="9791" builtinId="9" hidden="1"/>
    <cellStyle name="Lien hypertexte visité" xfId="5246" builtinId="9" hidden="1"/>
    <cellStyle name="Lien hypertexte visité" xfId="1123" builtinId="9" hidden="1"/>
    <cellStyle name="Lien hypertexte visité" xfId="4108" builtinId="9" hidden="1"/>
    <cellStyle name="Lien hypertexte visité" xfId="8205" builtinId="9" hidden="1"/>
    <cellStyle name="Lien hypertexte visité" xfId="12301" builtinId="9" hidden="1"/>
    <cellStyle name="Lien hypertexte visité" xfId="18279" builtinId="9" hidden="1"/>
    <cellStyle name="Lien hypertexte visité" xfId="22772" builtinId="9" hidden="1"/>
    <cellStyle name="Lien hypertexte visité" xfId="14044" builtinId="9" hidden="1"/>
    <cellStyle name="Lien hypertexte visité" xfId="9948" builtinId="9" hidden="1"/>
    <cellStyle name="Lien hypertexte visité" xfId="5851" builtinId="9" hidden="1"/>
    <cellStyle name="Lien hypertexte visité" xfId="1749" builtinId="9" hidden="1"/>
    <cellStyle name="Lien hypertexte visité" xfId="3497" builtinId="9" hidden="1"/>
    <cellStyle name="Lien hypertexte visité" xfId="7599" builtinId="9" hidden="1"/>
    <cellStyle name="Lien hypertexte visité" xfId="2154" builtinId="9" hidden="1"/>
    <cellStyle name="Lien hypertexte visité" xfId="5168" builtinId="9" hidden="1"/>
    <cellStyle name="Lien hypertexte visité" xfId="7897" builtinId="9" hidden="1"/>
    <cellStyle name="Lien hypertexte visité" xfId="10625" builtinId="9" hidden="1"/>
    <cellStyle name="Lien hypertexte visité" xfId="13361" builtinId="9" hidden="1"/>
    <cellStyle name="Lien hypertexte visité" xfId="17663" builtinId="9" hidden="1"/>
    <cellStyle name="Lien hypertexte visité" xfId="23102" builtinId="9" hidden="1"/>
    <cellStyle name="Lien hypertexte visité" xfId="20652" builtinId="9" hidden="1"/>
    <cellStyle name="Lien hypertexte visité" xfId="14653" builtinId="9" hidden="1"/>
    <cellStyle name="Lien hypertexte visité" xfId="11856" builtinId="9" hidden="1"/>
    <cellStyle name="Lien hypertexte visité" xfId="9128" builtinId="9" hidden="1"/>
    <cellStyle name="Lien hypertexte visité" xfId="17933" builtinId="9" hidden="1"/>
    <cellStyle name="Lien hypertexte visité" xfId="14943" builtinId="9" hidden="1"/>
    <cellStyle name="Lien hypertexte visité" xfId="6536" builtinId="9" hidden="1"/>
    <cellStyle name="Lien hypertexte visité" xfId="8936" builtinId="9" hidden="1"/>
    <cellStyle name="Lien hypertexte visité" xfId="21772" builtinId="9" hidden="1"/>
    <cellStyle name="Lien hypertexte visité" xfId="12801" builtinId="9" hidden="1"/>
    <cellStyle name="Lien hypertexte visité" xfId="4608" builtinId="9" hidden="1"/>
    <cellStyle name="Lien hypertexte visité" xfId="3081" builtinId="9" hidden="1"/>
    <cellStyle name="Lien hypertexte visité" xfId="10364" builtinId="9" hidden="1"/>
    <cellStyle name="Lien hypertexte visité" xfId="18454" builtinId="9" hidden="1"/>
    <cellStyle name="Lien hypertexte visité" xfId="24116" builtinId="9" hidden="1"/>
    <cellStyle name="Lien hypertexte visité" xfId="9561" builtinId="9" hidden="1"/>
    <cellStyle name="Lien hypertexte visité" xfId="22990" builtinId="9" hidden="1"/>
    <cellStyle name="Lien hypertexte visité" xfId="12320" builtinId="9" hidden="1"/>
    <cellStyle name="Lien hypertexte visité" xfId="17261" builtinId="9" hidden="1"/>
    <cellStyle name="Lien hypertexte visité" xfId="15615" builtinId="9" hidden="1"/>
    <cellStyle name="Lien hypertexte visité" xfId="6872" builtinId="9" hidden="1"/>
    <cellStyle name="Lien hypertexte visité" xfId="6479" builtinId="9" hidden="1"/>
    <cellStyle name="Lien hypertexte visité" xfId="8348" builtinId="9" hidden="1"/>
    <cellStyle name="Lien hypertexte visité" xfId="22486" builtinId="9" hidden="1"/>
    <cellStyle name="Lien hypertexte visité" xfId="6220" builtinId="9" hidden="1"/>
    <cellStyle name="Lien hypertexte visité" xfId="7230" builtinId="9" hidden="1"/>
    <cellStyle name="Lien hypertexte visité" xfId="9467" builtinId="9" hidden="1"/>
    <cellStyle name="Lien hypertexte visité" xfId="12219" builtinId="9" hidden="1"/>
    <cellStyle name="Lien hypertexte visité" xfId="9715" builtinId="9" hidden="1"/>
    <cellStyle name="Lien hypertexte visité" xfId="7955" builtinId="9" hidden="1"/>
    <cellStyle name="Lien hypertexte visité" xfId="9352" builtinId="9" hidden="1"/>
    <cellStyle name="Lien hypertexte visité" xfId="20478" builtinId="9" hidden="1"/>
    <cellStyle name="Lien hypertexte visité" xfId="5216" builtinId="9" hidden="1"/>
    <cellStyle name="Lien hypertexte visité" xfId="3301" builtinId="9" hidden="1"/>
    <cellStyle name="Lien hypertexte visité" xfId="20278" builtinId="9" hidden="1"/>
    <cellStyle name="Lien hypertexte visité" xfId="2184" builtinId="9" hidden="1"/>
    <cellStyle name="Lien hypertexte visité" xfId="12722" builtinId="9" hidden="1"/>
    <cellStyle name="Lien hypertexte visité" xfId="21264" builtinId="9" hidden="1"/>
    <cellStyle name="Lien hypertexte visité" xfId="985" builtinId="9" hidden="1"/>
    <cellStyle name="Lien hypertexte visité" xfId="18470" builtinId="9" hidden="1"/>
    <cellStyle name="Lien hypertexte visité" xfId="18372" builtinId="9" hidden="1"/>
    <cellStyle name="Lien hypertexte visité" xfId="13380" builtinId="9" hidden="1"/>
    <cellStyle name="Lien hypertexte visité" xfId="10388" builtinId="9" hidden="1"/>
    <cellStyle name="Lien hypertexte visité" xfId="7091" builtinId="9" hidden="1"/>
    <cellStyle name="Lien hypertexte visité" xfId="12773" builtinId="9" hidden="1"/>
    <cellStyle name="Lien hypertexte visité" xfId="2270" builtinId="9" hidden="1"/>
    <cellStyle name="Lien hypertexte visité" xfId="9383" builtinId="9" hidden="1"/>
    <cellStyle name="Lien hypertexte visité" xfId="10862" builtinId="9" hidden="1"/>
    <cellStyle name="Lien hypertexte visité" xfId="21184" builtinId="9" hidden="1"/>
    <cellStyle name="Lien hypertexte visité" xfId="22192" builtinId="9" hidden="1"/>
    <cellStyle name="Lien hypertexte visité" xfId="18992" builtinId="9" hidden="1"/>
    <cellStyle name="Lien hypertexte visité" xfId="17667" builtinId="9" hidden="1"/>
    <cellStyle name="Lien hypertexte visité" xfId="22306" builtinId="9" hidden="1"/>
    <cellStyle name="Lien hypertexte visité" xfId="22248" builtinId="9" hidden="1"/>
    <cellStyle name="Lien hypertexte visité" xfId="17489" builtinId="9" hidden="1"/>
    <cellStyle name="Lien hypertexte visité" xfId="13666" builtinId="9" hidden="1"/>
    <cellStyle name="Lien hypertexte visité" xfId="11342" builtinId="9" hidden="1"/>
    <cellStyle name="Lien hypertexte visité" xfId="8718" builtinId="9" hidden="1"/>
    <cellStyle name="Lien hypertexte visité" xfId="13175" builtinId="9" hidden="1"/>
    <cellStyle name="Lien hypertexte visité" xfId="9671" builtinId="9" hidden="1"/>
    <cellStyle name="Lien hypertexte visité" xfId="4265" builtinId="9" hidden="1"/>
    <cellStyle name="Lien hypertexte visité" xfId="10015" builtinId="9" hidden="1"/>
    <cellStyle name="Lien hypertexte visité" xfId="21650" builtinId="9" hidden="1"/>
    <cellStyle name="Lien hypertexte visité" xfId="13926" builtinId="9" hidden="1"/>
    <cellStyle name="Lien hypertexte visité" xfId="8190" builtinId="9" hidden="1"/>
    <cellStyle name="Lien hypertexte visité" xfId="5937" builtinId="9" hidden="1"/>
    <cellStyle name="Lien hypertexte visité" xfId="2171" builtinId="9" hidden="1"/>
    <cellStyle name="Lien hypertexte visité" xfId="14118" builtinId="9" hidden="1"/>
    <cellStyle name="Lien hypertexte visité" xfId="13130" builtinId="9" hidden="1"/>
    <cellStyle name="Lien hypertexte visité" xfId="23348" builtinId="9" hidden="1"/>
    <cellStyle name="Lien hypertexte visité" xfId="12944" builtinId="9" hidden="1"/>
    <cellStyle name="Lien hypertexte visité" xfId="11432" builtinId="9" hidden="1"/>
    <cellStyle name="Lien hypertexte visité" xfId="13169" builtinId="9" hidden="1"/>
    <cellStyle name="Lien hypertexte visité" xfId="6351" builtinId="9" hidden="1"/>
    <cellStyle name="Lien hypertexte visité" xfId="18804" builtinId="9" hidden="1"/>
    <cellStyle name="Lien hypertexte visité" xfId="127" builtinId="9" hidden="1"/>
    <cellStyle name="Lien hypertexte visité" xfId="7018" builtinId="9" hidden="1"/>
    <cellStyle name="Lien hypertexte visité" xfId="9819" builtinId="9" hidden="1"/>
    <cellStyle name="Lien hypertexte visité" xfId="23996" builtinId="9" hidden="1"/>
    <cellStyle name="Lien hypertexte visité" xfId="11921" builtinId="9" hidden="1"/>
    <cellStyle name="Lien hypertexte visité" xfId="7595" builtinId="9" hidden="1"/>
    <cellStyle name="Lien hypertexte visité" xfId="2376" builtinId="9" hidden="1"/>
    <cellStyle name="Lien hypertexte visité" xfId="21674" builtinId="9" hidden="1"/>
    <cellStyle name="Lien hypertexte visité" xfId="6057" builtinId="9" hidden="1"/>
    <cellStyle name="Lien hypertexte visité" xfId="23462" builtinId="9" hidden="1"/>
    <cellStyle name="Lien hypertexte visité" xfId="2801" builtinId="9" hidden="1"/>
    <cellStyle name="Lien hypertexte visité" xfId="1005" builtinId="9" hidden="1"/>
    <cellStyle name="Lien hypertexte visité" xfId="877" builtinId="9" hidden="1"/>
    <cellStyle name="Lien hypertexte visité" xfId="6583" builtinId="9" hidden="1"/>
    <cellStyle name="Lien hypertexte visité" xfId="7463" builtinId="9" hidden="1"/>
    <cellStyle name="Lien hypertexte visité" xfId="4759" builtinId="9" hidden="1"/>
    <cellStyle name="Lien hypertexte visité" xfId="2493" builtinId="9" hidden="1"/>
    <cellStyle name="Lien hypertexte visité" xfId="1649" builtinId="9" hidden="1"/>
    <cellStyle name="Lien hypertexte visité" xfId="21030" builtinId="9" hidden="1"/>
    <cellStyle name="Lien hypertexte visité" xfId="18852" builtinId="9" hidden="1"/>
    <cellStyle name="Lien hypertexte visité" xfId="13764" builtinId="9" hidden="1"/>
    <cellStyle name="Lien hypertexte visité" xfId="9076" builtinId="9" hidden="1"/>
    <cellStyle name="Lien hypertexte visité" xfId="14117" builtinId="9" hidden="1"/>
    <cellStyle name="Lien hypertexte visité" xfId="1906" builtinId="9" hidden="1"/>
    <cellStyle name="Lien hypertexte visité" xfId="5887" builtinId="9" hidden="1"/>
    <cellStyle name="Lien hypertexte visité" xfId="253" builtinId="9" hidden="1"/>
    <cellStyle name="Lien hypertexte visité" xfId="4491" builtinId="9" hidden="1"/>
    <cellStyle name="Lien hypertexte visité" xfId="4750" builtinId="9" hidden="1"/>
    <cellStyle name="Lien hypertexte visité" xfId="19784" builtinId="9" hidden="1"/>
    <cellStyle name="Lien hypertexte visité" xfId="8682" builtinId="9" hidden="1"/>
    <cellStyle name="Lien hypertexte visité" xfId="7169" builtinId="9" hidden="1"/>
    <cellStyle name="Lien hypertexte visité" xfId="18820" builtinId="9" hidden="1"/>
    <cellStyle name="Lien hypertexte visité" xfId="13972" builtinId="9" hidden="1"/>
    <cellStyle name="Lien hypertexte visité" xfId="10020" builtinId="9" hidden="1"/>
    <cellStyle name="Lien hypertexte visité" xfId="5987" builtinId="9" hidden="1"/>
    <cellStyle name="Lien hypertexte visité" xfId="10213" builtinId="9" hidden="1"/>
    <cellStyle name="Lien hypertexte visité" xfId="5030" builtinId="9" hidden="1"/>
    <cellStyle name="Lien hypertexte visité" xfId="10350" builtinId="9" hidden="1"/>
    <cellStyle name="Lien hypertexte visité" xfId="18456" builtinId="9" hidden="1"/>
    <cellStyle name="Lien hypertexte visité" xfId="16065" builtinId="9" hidden="1"/>
    <cellStyle name="Lien hypertexte visité" xfId="24112" builtinId="9" hidden="1"/>
    <cellStyle name="Lien hypertexte visité" xfId="18786" builtinId="9" hidden="1"/>
    <cellStyle name="Lien hypertexte visité" xfId="24192" builtinId="9" hidden="1"/>
    <cellStyle name="Lien hypertexte visité" xfId="17937" builtinId="9" hidden="1"/>
    <cellStyle name="Lien hypertexte visité" xfId="14126" builtinId="9" hidden="1"/>
    <cellStyle name="Lien hypertexte visité" xfId="10998" builtinId="9" hidden="1"/>
    <cellStyle name="Lien hypertexte visité" xfId="16443" builtinId="9" hidden="1"/>
    <cellStyle name="Lien hypertexte visité" xfId="12311" builtinId="9" hidden="1"/>
    <cellStyle name="Lien hypertexte visité" xfId="7622" builtinId="9" hidden="1"/>
    <cellStyle name="Lien hypertexte visité" xfId="2928" builtinId="9" hidden="1"/>
    <cellStyle name="Lien hypertexte visité" xfId="1293" builtinId="9" hidden="1"/>
    <cellStyle name="Lien hypertexte visité" xfId="6004" builtinId="9" hidden="1"/>
    <cellStyle name="Lien hypertexte visité" xfId="10693" builtinId="9" hidden="1"/>
    <cellStyle name="Lien hypertexte visité" xfId="4884" builtinId="9" hidden="1"/>
    <cellStyle name="Lien hypertexte visité" xfId="19416" builtinId="9" hidden="1"/>
    <cellStyle name="Lien hypertexte visité" xfId="8933" builtinId="9" hidden="1"/>
    <cellStyle name="Lien hypertexte visité" xfId="2733" builtinId="9" hidden="1"/>
    <cellStyle name="Lien hypertexte visité" xfId="5383" builtinId="9" hidden="1"/>
    <cellStyle name="Lien hypertexte visité" xfId="6631" builtinId="9" hidden="1"/>
    <cellStyle name="Lien hypertexte visité" xfId="8792" builtinId="9" hidden="1"/>
    <cellStyle name="Lien hypertexte visité" xfId="3169" builtinId="9" hidden="1"/>
    <cellStyle name="Lien hypertexte visité" xfId="5011" builtinId="9" hidden="1"/>
    <cellStyle name="Lien hypertexte visité" xfId="2685" builtinId="9" hidden="1"/>
    <cellStyle name="Lien hypertexte visité" xfId="2017" builtinId="9" hidden="1"/>
    <cellStyle name="Lien hypertexte visité" xfId="19878" builtinId="9" hidden="1"/>
    <cellStyle name="Lien hypertexte visité" xfId="24356" builtinId="9" hidden="1"/>
    <cellStyle name="Lien hypertexte visité" xfId="16597" builtinId="9" hidden="1"/>
    <cellStyle name="Lien hypertexte visité" xfId="23908" builtinId="9" hidden="1"/>
    <cellStyle name="Lien hypertexte visité" xfId="20518" builtinId="9" hidden="1"/>
    <cellStyle name="Lien hypertexte visité" xfId="2369" builtinId="9" hidden="1"/>
    <cellStyle name="Lien hypertexte visité" xfId="2125" builtinId="9" hidden="1"/>
    <cellStyle name="Lien hypertexte visité" xfId="9844" builtinId="9" hidden="1"/>
    <cellStyle name="Lien hypertexte visité" xfId="13428" builtinId="9" hidden="1"/>
    <cellStyle name="Lien hypertexte visité" xfId="6851" builtinId="9" hidden="1"/>
    <cellStyle name="Lien hypertexte visité" xfId="13733" builtinId="9" hidden="1"/>
    <cellStyle name="Lien hypertexte visité" xfId="8613" builtinId="9" hidden="1"/>
    <cellStyle name="Lien hypertexte visité" xfId="6627" builtinId="9" hidden="1"/>
    <cellStyle name="Lien hypertexte visité" xfId="14388" builtinId="9" hidden="1"/>
    <cellStyle name="Lien hypertexte visité" xfId="10804" builtinId="9" hidden="1"/>
    <cellStyle name="Lien hypertexte visité" xfId="1917" builtinId="9" hidden="1"/>
    <cellStyle name="Lien hypertexte visité" xfId="1488" builtinId="9" hidden="1"/>
    <cellStyle name="Lien hypertexte visité" xfId="22534" builtinId="9" hidden="1"/>
    <cellStyle name="Lien hypertexte visité" xfId="23460" builtinId="9" hidden="1"/>
    <cellStyle name="Lien hypertexte visité" xfId="18628" builtinId="9" hidden="1"/>
    <cellStyle name="Lien hypertexte visité" xfId="22916" builtinId="9" hidden="1"/>
    <cellStyle name="Lien hypertexte visité" xfId="19430" builtinId="9" hidden="1"/>
    <cellStyle name="Lien hypertexte visité" xfId="5635" builtinId="9" hidden="1"/>
    <cellStyle name="Lien hypertexte visité" xfId="1725" builtinId="9" hidden="1"/>
    <cellStyle name="Lien hypertexte visité" xfId="4611" builtinId="9" hidden="1"/>
    <cellStyle name="Lien hypertexte visité" xfId="4103" builtinId="9" hidden="1"/>
    <cellStyle name="Lien hypertexte visité" xfId="7671" builtinId="9" hidden="1"/>
    <cellStyle name="Lien hypertexte visité" xfId="6903" builtinId="9" hidden="1"/>
    <cellStyle name="Lien hypertexte visité" xfId="4455" builtinId="9" hidden="1"/>
    <cellStyle name="Lien hypertexte visité" xfId="3702" builtinId="9" hidden="1"/>
    <cellStyle name="Lien hypertexte visité" xfId="2782" builtinId="9" hidden="1"/>
    <cellStyle name="Lien hypertexte visité" xfId="18011" builtinId="9" hidden="1"/>
    <cellStyle name="Lien hypertexte visité" xfId="5142" builtinId="9" hidden="1"/>
    <cellStyle name="Lien hypertexte visité" xfId="10437" builtinId="9" hidden="1"/>
    <cellStyle name="Lien hypertexte visité" xfId="7284" builtinId="9" hidden="1"/>
    <cellStyle name="Lien hypertexte visité" xfId="2574" builtinId="9" hidden="1"/>
    <cellStyle name="Lien hypertexte visité" xfId="3264" builtinId="9" hidden="1"/>
    <cellStyle name="Lien hypertexte visité" xfId="6342" builtinId="9" hidden="1"/>
    <cellStyle name="Lien hypertexte visité" xfId="11031" builtinId="9" hidden="1"/>
    <cellStyle name="Lien hypertexte visité" xfId="16955" builtinId="9" hidden="1"/>
    <cellStyle name="Lien hypertexte visité" xfId="10198" builtinId="9" hidden="1"/>
    <cellStyle name="Lien hypertexte visité" xfId="13270" builtinId="9" hidden="1"/>
    <cellStyle name="Lien hypertexte visité" xfId="18281" builtinId="9" hidden="1"/>
    <cellStyle name="Lien hypertexte visité" xfId="22488" builtinId="9" hidden="1"/>
    <cellStyle name="Lien hypertexte visité" xfId="20490" builtinId="9" hidden="1"/>
    <cellStyle name="Lien hypertexte visité" xfId="22768" builtinId="9" hidden="1"/>
    <cellStyle name="Lien hypertexte visité" xfId="12506" builtinId="9" hidden="1"/>
    <cellStyle name="Lien hypertexte visité" xfId="23576" builtinId="9" hidden="1"/>
    <cellStyle name="Lien hypertexte visité" xfId="9666" builtinId="9" hidden="1"/>
    <cellStyle name="Lien hypertexte visité" xfId="8871" builtinId="9" hidden="1"/>
    <cellStyle name="Lien hypertexte visité" xfId="6372" builtinId="9" hidden="1"/>
    <cellStyle name="Lien hypertexte visité" xfId="6211" builtinId="9" hidden="1"/>
    <cellStyle name="Lien hypertexte visité" xfId="8916" builtinId="9" hidden="1"/>
    <cellStyle name="Lien hypertexte visité" xfId="12948" builtinId="9" hidden="1"/>
    <cellStyle name="Lien hypertexte visité" xfId="19236" builtinId="9" hidden="1"/>
    <cellStyle name="Lien hypertexte visité" xfId="10170" builtinId="9" hidden="1"/>
    <cellStyle name="Lien hypertexte visité" xfId="7597" builtinId="9" hidden="1"/>
    <cellStyle name="Lien hypertexte visité" xfId="17753" builtinId="9" hidden="1"/>
    <cellStyle name="Lien hypertexte visité" xfId="11407" builtinId="9" hidden="1"/>
    <cellStyle name="Lien hypertexte visité" xfId="14333" builtinId="9" hidden="1"/>
    <cellStyle name="Lien hypertexte visité" xfId="677" builtinId="9" hidden="1"/>
    <cellStyle name="Lien hypertexte visité" xfId="5904" builtinId="9" hidden="1"/>
    <cellStyle name="Lien hypertexte visité" xfId="19180" builtinId="9" hidden="1"/>
    <cellStyle name="Lien hypertexte visité" xfId="5160" builtinId="9" hidden="1"/>
    <cellStyle name="Lien hypertexte visité" xfId="1516" builtinId="9" hidden="1"/>
    <cellStyle name="Lien hypertexte visité" xfId="10579" builtinId="9" hidden="1"/>
    <cellStyle name="Lien hypertexte visité" xfId="6344" builtinId="9" hidden="1"/>
    <cellStyle name="Lien hypertexte visité" xfId="6526" builtinId="9" hidden="1"/>
    <cellStyle name="Lien hypertexte visité" xfId="11021" builtinId="9" hidden="1"/>
    <cellStyle name="Lien hypertexte visité" xfId="11740" builtinId="9" hidden="1"/>
    <cellStyle name="Lien hypertexte visité" xfId="477" builtinId="9" hidden="1"/>
    <cellStyle name="Lien hypertexte visité" xfId="5504" builtinId="9" hidden="1"/>
    <cellStyle name="Lien hypertexte visité" xfId="18334" builtinId="9" hidden="1"/>
    <cellStyle name="Lien hypertexte visité" xfId="16365" builtinId="9" hidden="1"/>
    <cellStyle name="Lien hypertexte visité" xfId="20046" builtinId="9" hidden="1"/>
    <cellStyle name="Lien hypertexte visité" xfId="18255" builtinId="9" hidden="1"/>
    <cellStyle name="Lien hypertexte visité" xfId="605" builtinId="9" hidden="1"/>
    <cellStyle name="Lien hypertexte visité" xfId="14445" builtinId="9" hidden="1"/>
    <cellStyle name="Lien hypertexte visité" xfId="8316" builtinId="9" hidden="1"/>
    <cellStyle name="Lien hypertexte visité" xfId="3858" builtinId="9" hidden="1"/>
    <cellStyle name="Lien hypertexte visité" xfId="7857" builtinId="9" hidden="1"/>
    <cellStyle name="Lien hypertexte visité" xfId="23022" builtinId="9" hidden="1"/>
    <cellStyle name="Lien hypertexte visité" xfId="13032" builtinId="9" hidden="1"/>
    <cellStyle name="Lien hypertexte visité" xfId="10057" builtinId="9" hidden="1"/>
    <cellStyle name="Lien hypertexte visité" xfId="17631" builtinId="9" hidden="1"/>
    <cellStyle name="Lien hypertexte visité" xfId="17293" builtinId="9" hidden="1"/>
    <cellStyle name="Lien hypertexte visité" xfId="10152" builtinId="9" hidden="1"/>
    <cellStyle name="Lien hypertexte visité" xfId="13776" builtinId="9" hidden="1"/>
    <cellStyle name="Lien hypertexte visité" xfId="17949" builtinId="9" hidden="1"/>
    <cellStyle name="Lien hypertexte visité" xfId="23998" builtinId="9" hidden="1"/>
    <cellStyle name="Lien hypertexte visité" xfId="16767" builtinId="9" hidden="1"/>
    <cellStyle name="Lien hypertexte visité" xfId="13185" builtinId="9" hidden="1"/>
    <cellStyle name="Lien hypertexte visité" xfId="9537" builtinId="9" hidden="1"/>
    <cellStyle name="Lien hypertexte visité" xfId="5912" builtinId="9" hidden="1"/>
    <cellStyle name="Lien hypertexte visité" xfId="3514" builtinId="9" hidden="1"/>
    <cellStyle name="Lien hypertexte visité" xfId="8272" builtinId="9" hidden="1"/>
    <cellStyle name="Lien hypertexte visité" xfId="2793" builtinId="9" hidden="1"/>
    <cellStyle name="Lien hypertexte visité" xfId="2005" builtinId="9" hidden="1"/>
    <cellStyle name="Lien hypertexte visité" xfId="7483" builtinId="9" hidden="1"/>
    <cellStyle name="Lien hypertexte visité" xfId="12956" builtinId="9" hidden="1"/>
    <cellStyle name="Lien hypertexte visité" xfId="18676" builtinId="9" hidden="1"/>
    <cellStyle name="Lien hypertexte visité" xfId="19606" builtinId="9" hidden="1"/>
    <cellStyle name="Lien hypertexte visité" xfId="11597" builtinId="9" hidden="1"/>
    <cellStyle name="Lien hypertexte visité" xfId="8013" builtinId="9" hidden="1"/>
    <cellStyle name="Lien hypertexte visité" xfId="2566" builtinId="9" hidden="1"/>
    <cellStyle name="Lien hypertexte visité" xfId="4062" builtinId="9" hidden="1"/>
    <cellStyle name="Lien hypertexte visité" xfId="7742" builtinId="9" hidden="1"/>
    <cellStyle name="Lien hypertexte visité" xfId="13183" builtinId="9" hidden="1"/>
    <cellStyle name="Lien hypertexte visité" xfId="2754" builtinId="9" hidden="1"/>
    <cellStyle name="Lien hypertexte visité" xfId="7050" builtinId="9" hidden="1"/>
    <cellStyle name="Lien hypertexte visité" xfId="2364" builtinId="9" hidden="1"/>
    <cellStyle name="Lien hypertexte visité" xfId="11059" builtinId="9" hidden="1"/>
    <cellStyle name="Lien hypertexte visité" xfId="13435" builtinId="9" hidden="1"/>
    <cellStyle name="Lien hypertexte visité" xfId="13523" builtinId="9" hidden="1"/>
    <cellStyle name="Lien hypertexte visité" xfId="12651" builtinId="9" hidden="1"/>
    <cellStyle name="Lien hypertexte visité" xfId="2540" builtinId="9" hidden="1"/>
    <cellStyle name="Lien hypertexte visité" xfId="7226" builtinId="9" hidden="1"/>
    <cellStyle name="Lien hypertexte visité" xfId="8745" builtinId="9" hidden="1"/>
    <cellStyle name="Lien hypertexte visité" xfId="24252" builtinId="9" hidden="1"/>
    <cellStyle name="Lien hypertexte visité" xfId="10800" builtinId="9" hidden="1"/>
    <cellStyle name="Lien hypertexte visité" xfId="18013" builtinId="9" hidden="1"/>
    <cellStyle name="Lien hypertexte visité" xfId="24062" builtinId="9" hidden="1"/>
    <cellStyle name="Lien hypertexte visité" xfId="13841" builtinId="9" hidden="1"/>
    <cellStyle name="Lien hypertexte visité" xfId="8377" builtinId="9" hidden="1"/>
    <cellStyle name="Lien hypertexte visité" xfId="4704" builtinId="9" hidden="1"/>
    <cellStyle name="Lien hypertexte visité" xfId="7327" builtinId="9" hidden="1"/>
    <cellStyle name="Lien hypertexte visité" xfId="2021" builtinId="9" hidden="1"/>
    <cellStyle name="Lien hypertexte visité" xfId="7531" builtinId="9" hidden="1"/>
    <cellStyle name="Lien hypertexte visité" xfId="16933" builtinId="9" hidden="1"/>
    <cellStyle name="Lien hypertexte visité" xfId="15943" builtinId="9" hidden="1"/>
    <cellStyle name="Lien hypertexte visité" xfId="9853" builtinId="9" hidden="1"/>
    <cellStyle name="Lien hypertexte visité" xfId="1654" builtinId="9" hidden="1"/>
    <cellStyle name="Lien hypertexte visité" xfId="7694" builtinId="9" hidden="1"/>
    <cellStyle name="Lien hypertexte visité" xfId="13199" builtinId="9" hidden="1"/>
    <cellStyle name="Lien hypertexte visité" xfId="11870" builtinId="9" hidden="1"/>
    <cellStyle name="Lien hypertexte visité" xfId="20128" builtinId="9" hidden="1"/>
    <cellStyle name="Lien hypertexte visité" xfId="21762" builtinId="9" hidden="1"/>
    <cellStyle name="Lien hypertexte visité" xfId="13546" builtinId="9" hidden="1"/>
    <cellStyle name="Lien hypertexte visité" xfId="7085" builtinId="9" hidden="1"/>
    <cellStyle name="Lien hypertexte visité" xfId="3443" builtinId="9" hidden="1"/>
    <cellStyle name="Lien hypertexte visité" xfId="3455" builtinId="9" hidden="1"/>
    <cellStyle name="Lien hypertexte visité" xfId="5489" builtinId="9" hidden="1"/>
    <cellStyle name="Lien hypertexte visité" xfId="17463" builtinId="9" hidden="1"/>
    <cellStyle name="Lien hypertexte visité" xfId="2840" builtinId="9" hidden="1"/>
    <cellStyle name="Lien hypertexte visité" xfId="5629" builtinId="9" hidden="1"/>
    <cellStyle name="Lien hypertexte visité" xfId="11594" builtinId="9" hidden="1"/>
    <cellStyle name="Lien hypertexte visité" xfId="18922" builtinId="9" hidden="1"/>
    <cellStyle name="Lien hypertexte visité" xfId="20960" builtinId="9" hidden="1"/>
    <cellStyle name="Lien hypertexte visité" xfId="14745" builtinId="9" hidden="1"/>
    <cellStyle name="Lien hypertexte visité" xfId="9938" builtinId="9" hidden="1"/>
    <cellStyle name="Lien hypertexte visité" xfId="3764" builtinId="9" hidden="1"/>
    <cellStyle name="Lien hypertexte visité" xfId="1374" builtinId="9" hidden="1"/>
    <cellStyle name="Lien hypertexte visité" xfId="7753" builtinId="9" hidden="1"/>
    <cellStyle name="Lien hypertexte visité" xfId="6249" builtinId="9" hidden="1"/>
    <cellStyle name="Lien hypertexte visité" xfId="5553" builtinId="9" hidden="1"/>
    <cellStyle name="Lien hypertexte visité" xfId="4437" builtinId="9" hidden="1"/>
    <cellStyle name="Lien hypertexte visité" xfId="4585" builtinId="9" hidden="1"/>
    <cellStyle name="Lien hypertexte visité" xfId="3852" builtinId="9" hidden="1"/>
    <cellStyle name="Lien hypertexte visité" xfId="3784" builtinId="9" hidden="1"/>
    <cellStyle name="Lien hypertexte visité" xfId="2819" builtinId="9" hidden="1"/>
    <cellStyle name="Lien hypertexte visité" xfId="20488" builtinId="9" hidden="1"/>
    <cellStyle name="Lien hypertexte visité" xfId="12754" builtinId="9" hidden="1"/>
    <cellStyle name="Lien hypertexte visité" xfId="20320" builtinId="9" hidden="1"/>
    <cellStyle name="Lien hypertexte visité" xfId="22674" builtinId="9" hidden="1"/>
    <cellStyle name="Lien hypertexte visité" xfId="19920" builtinId="9" hidden="1"/>
    <cellStyle name="Lien hypertexte visité" xfId="5357" builtinId="9" hidden="1"/>
    <cellStyle name="Lien hypertexte visité" xfId="12703" builtinId="9" hidden="1"/>
    <cellStyle name="Lien hypertexte visité" xfId="13037" builtinId="9" hidden="1"/>
    <cellStyle name="Lien hypertexte visité" xfId="1525" builtinId="9" hidden="1"/>
    <cellStyle name="Lien hypertexte visité" xfId="5040" builtinId="9" hidden="1"/>
    <cellStyle name="Lien hypertexte visité" xfId="20908" builtinId="9" hidden="1"/>
    <cellStyle name="Lien hypertexte visité" xfId="7752" builtinId="9" hidden="1"/>
    <cellStyle name="Lien hypertexte visité" xfId="19150" builtinId="9" hidden="1"/>
    <cellStyle name="Lien hypertexte visité" xfId="9832" builtinId="9" hidden="1"/>
    <cellStyle name="Lien hypertexte visité" xfId="16061" builtinId="9" hidden="1"/>
    <cellStyle name="Lien hypertexte visité" xfId="23340" builtinId="9" hidden="1"/>
    <cellStyle name="Lien hypertexte visité" xfId="14975" builtinId="9" hidden="1"/>
    <cellStyle name="Lien hypertexte visité" xfId="9281" builtinId="9" hidden="1"/>
    <cellStyle name="Lien hypertexte visité" xfId="5656" builtinId="9" hidden="1"/>
    <cellStyle name="Lien hypertexte visité" xfId="8752" builtinId="9" hidden="1"/>
    <cellStyle name="Lien hypertexte visité" xfId="153" builtinId="9" hidden="1"/>
    <cellStyle name="Lien hypertexte visité" xfId="6075" builtinId="9" hidden="1"/>
    <cellStyle name="Lien hypertexte visité" xfId="14268" builtinId="9" hidden="1"/>
    <cellStyle name="Lien hypertexte visité" xfId="18838" builtinId="9" hidden="1"/>
    <cellStyle name="Lien hypertexte visité" xfId="11213" builtinId="9" hidden="1"/>
    <cellStyle name="Lien hypertexte visité" xfId="3014" builtinId="9" hidden="1"/>
    <cellStyle name="Lien hypertexte visité" xfId="6334" builtinId="9" hidden="1"/>
    <cellStyle name="Lien hypertexte visité" xfId="11775" builtinId="9" hidden="1"/>
    <cellStyle name="Lien hypertexte visité" xfId="9067" builtinId="9" hidden="1"/>
    <cellStyle name="Lien hypertexte visité" xfId="2036" builtinId="9" hidden="1"/>
    <cellStyle name="Lien hypertexte visité" xfId="10747" builtinId="9" hidden="1"/>
    <cellStyle name="Lien hypertexte visité" xfId="13163" builtinId="9" hidden="1"/>
    <cellStyle name="Lien hypertexte visité" xfId="1331" builtinId="9" hidden="1"/>
    <cellStyle name="Lien hypertexte visité" xfId="6018" builtinId="9" hidden="1"/>
    <cellStyle name="Lien hypertexte visité" xfId="12713" builtinId="9" hidden="1"/>
    <cellStyle name="Lien hypertexte visité" xfId="11184" builtinId="9" hidden="1"/>
    <cellStyle name="Lien hypertexte visité" xfId="18764" builtinId="9" hidden="1"/>
    <cellStyle name="Lien hypertexte visité" xfId="14305" builtinId="9" hidden="1"/>
    <cellStyle name="Lien hypertexte visité" xfId="6112" builtinId="9" hidden="1"/>
    <cellStyle name="Lien hypertexte visité" xfId="135" builtinId="9" hidden="1"/>
    <cellStyle name="Lien hypertexte visité" xfId="4011" builtinId="9" hidden="1"/>
    <cellStyle name="Lien hypertexte visité" xfId="18085" builtinId="9" hidden="1"/>
    <cellStyle name="Lien hypertexte visité" xfId="14791" builtinId="9" hidden="1"/>
    <cellStyle name="Lien hypertexte visité" xfId="2358" builtinId="9" hidden="1"/>
    <cellStyle name="Lien hypertexte visité" xfId="11087" builtinId="9" hidden="1"/>
    <cellStyle name="Lien hypertexte visité" xfId="10462" builtinId="9" hidden="1"/>
    <cellStyle name="Lien hypertexte visité" xfId="22776" builtinId="9" hidden="1"/>
    <cellStyle name="Lien hypertexte visité" xfId="12394" builtinId="9" hidden="1"/>
    <cellStyle name="Lien hypertexte visité" xfId="7413" builtinId="9" hidden="1"/>
    <cellStyle name="Lien hypertexte visité" xfId="3840" builtinId="9" hidden="1"/>
    <cellStyle name="Lien hypertexte visité" xfId="9530" builtinId="9" hidden="1"/>
    <cellStyle name="Lien hypertexte visité" xfId="11925" builtinId="9" hidden="1"/>
    <cellStyle name="Lien hypertexte visité" xfId="3735" builtinId="9" hidden="1"/>
    <cellStyle name="Lien hypertexte visité" xfId="5622" builtinId="9" hidden="1"/>
    <cellStyle name="Lien hypertexte visité" xfId="11079" builtinId="9" hidden="1"/>
    <cellStyle name="Lien hypertexte visité" xfId="10454" builtinId="9" hidden="1"/>
    <cellStyle name="Lien hypertexte visité" xfId="17321" builtinId="9" hidden="1"/>
    <cellStyle name="Lien hypertexte visité" xfId="24576" builtinId="9" hidden="1"/>
    <cellStyle name="Lien hypertexte visité" xfId="21232" builtinId="9" hidden="1"/>
    <cellStyle name="Lien hypertexte visité" xfId="20328" builtinId="9" hidden="1"/>
    <cellStyle name="Lien hypertexte visité" xfId="13351" builtinId="9" hidden="1"/>
    <cellStyle name="Lien hypertexte visité" xfId="12389" builtinId="9" hidden="1"/>
    <cellStyle name="Lien hypertexte visité" xfId="10932" builtinId="9" hidden="1"/>
    <cellStyle name="Lien hypertexte visité" xfId="16693" builtinId="9" hidden="1"/>
    <cellStyle name="Lien hypertexte visité" xfId="23302" builtinId="9" hidden="1"/>
    <cellStyle name="Lien hypertexte visité" xfId="2861" builtinId="9" hidden="1"/>
    <cellStyle name="Lien hypertexte visité" xfId="4407" builtinId="9" hidden="1"/>
    <cellStyle name="Lien hypertexte visité" xfId="6151" builtinId="9" hidden="1"/>
    <cellStyle name="Lien hypertexte visité" xfId="3734" builtinId="9" hidden="1"/>
    <cellStyle name="Lien hypertexte visité" xfId="1793" builtinId="9" hidden="1"/>
    <cellStyle name="Lien hypertexte visité" xfId="23236" builtinId="9" hidden="1"/>
    <cellStyle name="Lien hypertexte visité" xfId="11860" builtinId="9" hidden="1"/>
    <cellStyle name="Lien hypertexte visité" xfId="7187" builtinId="9" hidden="1"/>
    <cellStyle name="Lien hypertexte visité" xfId="1111" builtinId="9" hidden="1"/>
    <cellStyle name="Lien hypertexte visité" xfId="1977" builtinId="9" hidden="1"/>
    <cellStyle name="Lien hypertexte visité" xfId="4683" builtinId="9" hidden="1"/>
    <cellStyle name="Lien hypertexte visité" xfId="12876" builtinId="9" hidden="1"/>
    <cellStyle name="Lien hypertexte visité" xfId="21622" builtinId="9" hidden="1"/>
    <cellStyle name="Lien hypertexte visité" xfId="12637" builtinId="9" hidden="1"/>
    <cellStyle name="Lien hypertexte visité" xfId="4444" builtinId="9" hidden="1"/>
    <cellStyle name="Lien hypertexte visité" xfId="4910" builtinId="9" hidden="1"/>
    <cellStyle name="Lien hypertexte visité" xfId="10351" builtinId="9" hidden="1"/>
    <cellStyle name="Lien hypertexte visité" xfId="9970" builtinId="9" hidden="1"/>
    <cellStyle name="Lien hypertexte visité" xfId="16345" builtinId="9" hidden="1"/>
    <cellStyle name="Lien hypertexte visité" xfId="23672" builtinId="9" hidden="1"/>
    <cellStyle name="Lien hypertexte visité" xfId="23952" builtinId="9" hidden="1"/>
    <cellStyle name="Lien hypertexte visité" xfId="5457" builtinId="9" hidden="1"/>
    <cellStyle name="Lien hypertexte visité" xfId="5769" builtinId="9" hidden="1"/>
    <cellStyle name="Lien hypertexte visité" xfId="1105" builtinId="9" hidden="1"/>
    <cellStyle name="Lien hypertexte visité" xfId="7077" builtinId="9" hidden="1"/>
    <cellStyle name="Lien hypertexte visité" xfId="3969" builtinId="9" hidden="1"/>
    <cellStyle name="Lien hypertexte visité" xfId="12421" builtinId="9" hidden="1"/>
    <cellStyle name="Lien hypertexte visité" xfId="6964" builtinId="9" hidden="1"/>
    <cellStyle name="Lien hypertexte visité" xfId="3278" builtinId="9" hidden="1"/>
    <cellStyle name="Lien hypertexte visité" xfId="3328" builtinId="9" hidden="1"/>
    <cellStyle name="Lien hypertexte visité" xfId="8791" builtinId="9" hidden="1"/>
    <cellStyle name="Lien hypertexte visité" xfId="12423" builtinId="9" hidden="1"/>
    <cellStyle name="Lien hypertexte visité" xfId="9526" builtinId="9" hidden="1"/>
    <cellStyle name="Lien hypertexte visité" xfId="13174" builtinId="9" hidden="1"/>
    <cellStyle name="Lien hypertexte visité" xfId="16657" builtinId="9" hidden="1"/>
    <cellStyle name="Lien hypertexte visité" xfId="23936" builtinId="9" hidden="1"/>
    <cellStyle name="Lien hypertexte visité" xfId="18035" builtinId="9" hidden="1"/>
    <cellStyle name="Lien hypertexte visité" xfId="19440" builtinId="9" hidden="1"/>
    <cellStyle name="Lien hypertexte visité" xfId="19762" builtinId="9" hidden="1"/>
    <cellStyle name="Lien hypertexte visité" xfId="11074" builtinId="9" hidden="1"/>
    <cellStyle name="Lien hypertexte visité" xfId="9319" builtinId="9" hidden="1"/>
    <cellStyle name="Lien hypertexte visité" xfId="7526" builtinId="9" hidden="1"/>
    <cellStyle name="Lien hypertexte visité" xfId="24368" builtinId="9" hidden="1"/>
    <cellStyle name="Lien hypertexte visité" xfId="19880" builtinId="9" hidden="1"/>
    <cellStyle name="Lien hypertexte visité" xfId="13015" builtinId="9" hidden="1"/>
    <cellStyle name="Lien hypertexte visité" xfId="4532" builtinId="9" hidden="1"/>
    <cellStyle name="Lien hypertexte visité" xfId="16375" builtinId="9" hidden="1"/>
    <cellStyle name="Lien hypertexte visité" xfId="2439" builtinId="9" hidden="1"/>
    <cellStyle name="Lien hypertexte visité" xfId="21192" builtinId="9" hidden="1"/>
    <cellStyle name="Lien hypertexte visité" xfId="13999" builtinId="9" hidden="1"/>
    <cellStyle name="Lien hypertexte visité" xfId="11741" builtinId="9" hidden="1"/>
    <cellStyle name="Lien hypertexte visité" xfId="2821" builtinId="9" hidden="1"/>
    <cellStyle name="Lien hypertexte visité" xfId="3252" builtinId="9" hidden="1"/>
    <cellStyle name="Lien hypertexte visité" xfId="7282" builtinId="9" hidden="1"/>
    <cellStyle name="Lien hypertexte visité" xfId="6632" builtinId="9" hidden="1"/>
    <cellStyle name="Lien hypertexte visité" xfId="17439" builtinId="9" hidden="1"/>
    <cellStyle name="Lien hypertexte visité" xfId="9088" builtinId="9" hidden="1"/>
    <cellStyle name="Lien hypertexte visité" xfId="13424" builtinId="9" hidden="1"/>
    <cellStyle name="Lien hypertexte visité" xfId="18636" builtinId="9" hidden="1"/>
    <cellStyle name="Lien hypertexte visité" xfId="21294" builtinId="9" hidden="1"/>
    <cellStyle name="Lien hypertexte visité" xfId="13217" builtinId="9" hidden="1"/>
    <cellStyle name="Lien hypertexte visité" xfId="10105" builtinId="9" hidden="1"/>
    <cellStyle name="Lien hypertexte visité" xfId="5408" builtinId="9" hidden="1"/>
    <cellStyle name="Lien hypertexte visité" xfId="13393" builtinId="9" hidden="1"/>
    <cellStyle name="Lien hypertexte visité" xfId="16415" builtinId="9" hidden="1"/>
    <cellStyle name="Lien hypertexte visité" xfId="13979" builtinId="9" hidden="1"/>
    <cellStyle name="Lien hypertexte visité" xfId="14475" builtinId="9" hidden="1"/>
    <cellStyle name="Lien hypertexte visité" xfId="14363" builtinId="9" hidden="1"/>
    <cellStyle name="Lien hypertexte visité" xfId="12667" builtinId="9" hidden="1"/>
    <cellStyle name="Lien hypertexte visité" xfId="11371" builtinId="9" hidden="1"/>
    <cellStyle name="Lien hypertexte visité" xfId="2860" builtinId="9" hidden="1"/>
    <cellStyle name="Lien hypertexte visité" xfId="12507" builtinId="9" hidden="1"/>
    <cellStyle name="Lien hypertexte visité" xfId="6338" builtinId="9" hidden="1"/>
    <cellStyle name="Lien hypertexte visité" xfId="9043" builtinId="9" hidden="1"/>
    <cellStyle name="Lien hypertexte visité" xfId="375" builtinId="9" hidden="1"/>
    <cellStyle name="Lien hypertexte visité" xfId="5642" builtinId="9" hidden="1"/>
    <cellStyle name="Lien hypertexte visité" xfId="3004" builtinId="9" hidden="1"/>
    <cellStyle name="Lien hypertexte visité" xfId="747" builtinId="9" hidden="1"/>
    <cellStyle name="Lien hypertexte visité" xfId="4586" builtinId="9" hidden="1"/>
    <cellStyle name="Lien hypertexte visité" xfId="1387" builtinId="9" hidden="1"/>
    <cellStyle name="Lien hypertexte visité" xfId="11027" builtinId="9" hidden="1"/>
    <cellStyle name="Lien hypertexte visité" xfId="15731" builtinId="9" hidden="1"/>
    <cellStyle name="Lien hypertexte visité" xfId="14579" builtinId="9" hidden="1"/>
    <cellStyle name="Lien hypertexte visité" xfId="10387" builtinId="9" hidden="1"/>
    <cellStyle name="Lien hypertexte visité" xfId="24012" builtinId="9" hidden="1"/>
    <cellStyle name="Lien hypertexte visité" xfId="2930" builtinId="9" hidden="1"/>
    <cellStyle name="Lien hypertexte visité" xfId="7632" builtinId="9" hidden="1"/>
    <cellStyle name="Lien hypertexte visité" xfId="12281" builtinId="9" hidden="1"/>
    <cellStyle name="Lien hypertexte visité" xfId="16271" builtinId="9" hidden="1"/>
    <cellStyle name="Lien hypertexte visité" xfId="23580" builtinId="9" hidden="1"/>
    <cellStyle name="Lien hypertexte visité" xfId="14360" builtinId="9" hidden="1"/>
    <cellStyle name="Lien hypertexte visité" xfId="11248" builtinId="9" hidden="1"/>
    <cellStyle name="Lien hypertexte visité" xfId="16973" builtinId="9" hidden="1"/>
    <cellStyle name="Lien hypertexte visité" xfId="9449" builtinId="9" hidden="1"/>
    <cellStyle name="Lien hypertexte visité" xfId="9403" builtinId="9" hidden="1"/>
    <cellStyle name="Lien hypertexte visité" xfId="5418" builtinId="9" hidden="1"/>
    <cellStyle name="Lien hypertexte visité" xfId="3193" builtinId="9" hidden="1"/>
    <cellStyle name="Lien hypertexte visité" xfId="14348" builtinId="9" hidden="1"/>
    <cellStyle name="Lien hypertexte visité" xfId="9471" builtinId="9" hidden="1"/>
    <cellStyle name="Lien hypertexte visité" xfId="15371" builtinId="9" hidden="1"/>
    <cellStyle name="Lien hypertexte visité" xfId="3138" builtinId="9" hidden="1"/>
    <cellStyle name="Lien hypertexte visité" xfId="5626" builtinId="9" hidden="1"/>
    <cellStyle name="Lien hypertexte visité" xfId="715" builtinId="9" hidden="1"/>
    <cellStyle name="Lien hypertexte visité" xfId="11227" builtinId="9" hidden="1"/>
    <cellStyle name="Lien hypertexte visité" xfId="14499" builtinId="9" hidden="1"/>
    <cellStyle name="Lien hypertexte visité" xfId="9611" builtinId="9" hidden="1"/>
    <cellStyle name="Lien hypertexte visité" xfId="12619" builtinId="9" hidden="1"/>
    <cellStyle name="Lien hypertexte visité" xfId="4042" builtinId="9" hidden="1"/>
    <cellStyle name="Lien hypertexte visité" xfId="8723" builtinId="9" hidden="1"/>
    <cellStyle name="Lien hypertexte visité" xfId="8361" builtinId="9" hidden="1"/>
    <cellStyle name="Lien hypertexte visité" xfId="14400" builtinId="9" hidden="1"/>
    <cellStyle name="Lien hypertexte visité" xfId="12464" builtinId="9" hidden="1"/>
    <cellStyle name="Lien hypertexte visité" xfId="17581" builtinId="9" hidden="1"/>
    <cellStyle name="Lien hypertexte visité" xfId="20734" builtinId="9" hidden="1"/>
    <cellStyle name="Lien hypertexte visité" xfId="12177" builtinId="9" hidden="1"/>
    <cellStyle name="Lien hypertexte visité" xfId="8417" builtinId="9" hidden="1"/>
    <cellStyle name="Lien hypertexte visité" xfId="2954" builtinId="9" hidden="1"/>
    <cellStyle name="Lien hypertexte visité" xfId="4703" builtinId="9" hidden="1"/>
    <cellStyle name="Lien hypertexte visité" xfId="1829" builtinId="9" hidden="1"/>
    <cellStyle name="Lien hypertexte visité" xfId="10028" builtinId="9" hidden="1"/>
    <cellStyle name="Lien hypertexte visité" xfId="21908" builtinId="9" hidden="1"/>
    <cellStyle name="Lien hypertexte visité" xfId="16583" builtinId="9" hidden="1"/>
    <cellStyle name="Lien hypertexte visité" xfId="7356" builtinId="9" hidden="1"/>
    <cellStyle name="Lien hypertexte visité" xfId="1992" builtinId="9" hidden="1"/>
    <cellStyle name="Lien hypertexte visité" xfId="7630" builtinId="9" hidden="1"/>
    <cellStyle name="Lien hypertexte visité" xfId="17131" builtinId="9" hidden="1"/>
    <cellStyle name="Lien hypertexte visité" xfId="13618" builtinId="9" hidden="1"/>
    <cellStyle name="Lien hypertexte visité" xfId="19872" builtinId="9" hidden="1"/>
    <cellStyle name="Lien hypertexte visité" xfId="18434" builtinId="9" hidden="1"/>
    <cellStyle name="Lien hypertexte visité" xfId="8554" builtinId="9" hidden="1"/>
    <cellStyle name="Lien hypertexte visité" xfId="6901" builtinId="9" hidden="1"/>
    <cellStyle name="Lien hypertexte visité" xfId="2147" builtinId="9" hidden="1"/>
    <cellStyle name="Lien hypertexte visité" xfId="4521" builtinId="9" hidden="1"/>
    <cellStyle name="Lien hypertexte visité" xfId="5525" builtinId="9" hidden="1"/>
    <cellStyle name="Lien hypertexte visité" xfId="14229" builtinId="9" hidden="1"/>
    <cellStyle name="Lien hypertexte visité" xfId="8773" builtinId="9" hidden="1"/>
    <cellStyle name="Lien hypertexte visité" xfId="5188" builtinId="9" hidden="1"/>
    <cellStyle name="Lien hypertexte visité" xfId="1423" builtinId="9" hidden="1"/>
    <cellStyle name="Lien hypertexte visité" xfId="6902" builtinId="9" hidden="1"/>
    <cellStyle name="Lien hypertexte visité" xfId="10487" builtinId="9" hidden="1"/>
    <cellStyle name="Lien hypertexte visité" xfId="8238" builtinId="9" hidden="1"/>
    <cellStyle name="Lien hypertexte visité" xfId="11874" builtinId="9" hidden="1"/>
    <cellStyle name="Lien hypertexte visité" xfId="14382" builtinId="9" hidden="1"/>
    <cellStyle name="Lien hypertexte visité" xfId="21504" builtinId="9" hidden="1"/>
    <cellStyle name="Lien hypertexte visité" xfId="20426" builtinId="9" hidden="1"/>
    <cellStyle name="Lien hypertexte visité" xfId="22234" builtinId="9" hidden="1"/>
    <cellStyle name="Lien hypertexte visité" xfId="16577" builtinId="9" hidden="1"/>
    <cellStyle name="Lien hypertexte visité" xfId="15225" builtinId="9" hidden="1"/>
    <cellStyle name="Lien hypertexte visité" xfId="15771" builtinId="9" hidden="1"/>
    <cellStyle name="Lien hypertexte visité" xfId="2398" builtinId="9" hidden="1"/>
    <cellStyle name="Lien hypertexte visité" xfId="5731" builtinId="9" hidden="1"/>
    <cellStyle name="Lien hypertexte visité" xfId="8948" builtinId="9" hidden="1"/>
    <cellStyle name="Lien hypertexte visité" xfId="13636" builtinId="9" hidden="1"/>
    <cellStyle name="Lien hypertexte visité" xfId="22116" builtinId="9" hidden="1"/>
    <cellStyle name="Lien hypertexte visité" xfId="20966" builtinId="9" hidden="1"/>
    <cellStyle name="Lien hypertexte visité" xfId="1633" builtinId="9" hidden="1"/>
    <cellStyle name="Lien hypertexte visité" xfId="3895" builtinId="9" hidden="1"/>
    <cellStyle name="Lien hypertexte visité" xfId="4871" builtinId="9" hidden="1"/>
    <cellStyle name="Lien hypertexte visité" xfId="7575" builtinId="9" hidden="1"/>
    <cellStyle name="Lien hypertexte visité" xfId="3089" builtinId="9" hidden="1"/>
    <cellStyle name="Lien hypertexte visité" xfId="1921" builtinId="9" hidden="1"/>
    <cellStyle name="Lien hypertexte visité" xfId="1196" builtinId="9" hidden="1"/>
    <cellStyle name="Lien hypertexte visité" xfId="18005" builtinId="9" hidden="1"/>
    <cellStyle name="Lien hypertexte visité" xfId="23494" builtinId="9" hidden="1"/>
    <cellStyle name="Lien hypertexte visité" xfId="16373" builtinId="9" hidden="1"/>
    <cellStyle name="Lien hypertexte visité" xfId="10772" builtinId="9" hidden="1"/>
    <cellStyle name="Lien hypertexte visité" xfId="7699" builtinId="9" hidden="1"/>
    <cellStyle name="Lien hypertexte visité" xfId="9253" builtinId="9" hidden="1"/>
    <cellStyle name="Lien hypertexte visité" xfId="8000" builtinId="9" hidden="1"/>
    <cellStyle name="Lien hypertexte visité" xfId="4287" builtinId="9" hidden="1"/>
    <cellStyle name="Lien hypertexte visité" xfId="2373" builtinId="9" hidden="1"/>
    <cellStyle name="Lien hypertexte visité" xfId="7820" builtinId="9" hidden="1"/>
    <cellStyle name="Lien hypertexte visité" xfId="11404" builtinId="9" hidden="1"/>
    <cellStyle name="Lien hypertexte visité" xfId="19156" builtinId="9" hidden="1"/>
    <cellStyle name="Lien hypertexte visité" xfId="19062" builtinId="9" hidden="1"/>
    <cellStyle name="Lien hypertexte visité" xfId="13213" builtinId="9" hidden="1"/>
    <cellStyle name="Lien hypertexte visité" xfId="7772" builtinId="9" hidden="1"/>
    <cellStyle name="Lien hypertexte visité" xfId="2326" builtinId="9" hidden="1"/>
    <cellStyle name="Lien hypertexte visité" xfId="2600" builtinId="9" hidden="1"/>
    <cellStyle name="Lien hypertexte visité" xfId="8047" builtinId="9" hidden="1"/>
    <cellStyle name="Lien hypertexte visité" xfId="13551" builtinId="9" hidden="1"/>
    <cellStyle name="Lien hypertexte visité" xfId="9030" builtinId="9" hidden="1"/>
    <cellStyle name="Lien hypertexte visité" xfId="12658" builtinId="9" hidden="1"/>
    <cellStyle name="Lien hypertexte visité" xfId="18057" builtinId="9" hidden="1"/>
    <cellStyle name="Lien hypertexte visité" xfId="22816" builtinId="9" hidden="1"/>
    <cellStyle name="Lien hypertexte visité" xfId="19074" builtinId="9" hidden="1"/>
    <cellStyle name="Lien hypertexte visité" xfId="15521" builtinId="9" hidden="1"/>
    <cellStyle name="Lien hypertexte visité" xfId="4141" builtinId="9" hidden="1"/>
    <cellStyle name="Lien hypertexte visité" xfId="7249" builtinId="9" hidden="1"/>
    <cellStyle name="Lien hypertexte visité" xfId="3632" builtinId="9" hidden="1"/>
    <cellStyle name="Lien hypertexte visité" xfId="337" builtinId="9" hidden="1"/>
    <cellStyle name="Lien hypertexte visité" xfId="2791" builtinId="9" hidden="1"/>
    <cellStyle name="Lien hypertexte visité" xfId="6349" builtinId="9" hidden="1"/>
    <cellStyle name="Lien hypertexte visité" xfId="4301" builtinId="9" hidden="1"/>
    <cellStyle name="Lien hypertexte visité" xfId="14775" builtinId="9" hidden="1"/>
    <cellStyle name="Lien hypertexte visité" xfId="10965" builtinId="9" hidden="1"/>
    <cellStyle name="Lien hypertexte visité" xfId="8501" builtinId="9" hidden="1"/>
    <cellStyle name="Lien hypertexte visité" xfId="4820" builtinId="9" hidden="1"/>
    <cellStyle name="Lien hypertexte visité" xfId="1197" builtinId="9" hidden="1"/>
    <cellStyle name="Lien hypertexte visité" xfId="2352" builtinId="9" hidden="1"/>
    <cellStyle name="Lien hypertexte visité" xfId="5974" builtinId="9" hidden="1"/>
    <cellStyle name="Lien hypertexte visité" xfId="9655" builtinId="9" hidden="1"/>
    <cellStyle name="Lien hypertexte visité" xfId="12039" builtinId="9" hidden="1"/>
    <cellStyle name="Lien hypertexte visité" xfId="16827" builtinId="9" hidden="1"/>
    <cellStyle name="Lien hypertexte visité" xfId="10466" builtinId="9" hidden="1"/>
    <cellStyle name="Lien hypertexte visité" xfId="12150" builtinId="9" hidden="1"/>
    <cellStyle name="Lien hypertexte visité" xfId="14609" builtinId="9" hidden="1"/>
    <cellStyle name="Lien hypertexte visité" xfId="19496" builtinId="9" hidden="1"/>
    <cellStyle name="Lien hypertexte visité" xfId="22680" builtinId="9" hidden="1"/>
    <cellStyle name="Lien hypertexte visité" xfId="21706" builtinId="9" hidden="1"/>
    <cellStyle name="Lien hypertexte visité" xfId="18522" builtinId="9" hidden="1"/>
    <cellStyle name="Lien hypertexte visité" xfId="21104" builtinId="9" hidden="1"/>
    <cellStyle name="Lien hypertexte visité" xfId="13626" builtinId="9" hidden="1"/>
    <cellStyle name="Lien hypertexte visité" xfId="23832" builtinId="9" hidden="1"/>
    <cellStyle name="Lien hypertexte visité" xfId="14146" builtinId="9" hidden="1"/>
    <cellStyle name="Lien hypertexte visité" xfId="13927" builtinId="9" hidden="1"/>
    <cellStyle name="Lien hypertexte visité" xfId="3040" builtinId="9" hidden="1"/>
    <cellStyle name="Lien hypertexte visité" xfId="2334" builtinId="9" hidden="1"/>
    <cellStyle name="Lien hypertexte visité" xfId="22808" builtinId="9" hidden="1"/>
    <cellStyle name="Lien hypertexte visité" xfId="18203" builtinId="9" hidden="1"/>
    <cellStyle name="Lien hypertexte visité" xfId="21480" builtinId="9" hidden="1"/>
    <cellStyle name="Lien hypertexte visité" xfId="10722" builtinId="9" hidden="1"/>
    <cellStyle name="Lien hypertexte visité" xfId="8759" builtinId="9" hidden="1"/>
    <cellStyle name="Lien hypertexte visité" xfId="1231" builtinId="9" hidden="1"/>
    <cellStyle name="Lien hypertexte visité" xfId="10837" builtinId="9" hidden="1"/>
    <cellStyle name="Lien hypertexte visité" xfId="7297" builtinId="9" hidden="1"/>
    <cellStyle name="Lien hypertexte visité" xfId="2131" builtinId="9" hidden="1"/>
    <cellStyle name="Lien hypertexte visité" xfId="14250" builtinId="9" hidden="1"/>
    <cellStyle name="Lien hypertexte visité" xfId="16089" builtinId="9" hidden="1"/>
    <cellStyle name="Lien hypertexte visité" xfId="17067" builtinId="9" hidden="1"/>
    <cellStyle name="Lien hypertexte visité" xfId="2984" builtinId="9" hidden="1"/>
    <cellStyle name="Lien hypertexte visité" xfId="7469" builtinId="9" hidden="1"/>
    <cellStyle name="Lien hypertexte visité" xfId="11861" builtinId="9" hidden="1"/>
    <cellStyle name="Lien hypertexte visité" xfId="12322" builtinId="9" hidden="1"/>
    <cellStyle name="Lien hypertexte visité" xfId="13159" builtinId="9" hidden="1"/>
    <cellStyle name="Lien hypertexte visité" xfId="12903" builtinId="9" hidden="1"/>
    <cellStyle name="Lien hypertexte visité" xfId="12122" builtinId="9" hidden="1"/>
    <cellStyle name="Lien hypertexte visité" xfId="24434" builtinId="9" hidden="1"/>
    <cellStyle name="Lien hypertexte visité" xfId="15081" builtinId="9" hidden="1"/>
    <cellStyle name="Lien hypertexte visité" xfId="15195" builtinId="9" hidden="1"/>
    <cellStyle name="Lien hypertexte visité" xfId="3926" builtinId="9" hidden="1"/>
    <cellStyle name="Lien hypertexte visité" xfId="4484" builtinId="9" hidden="1"/>
    <cellStyle name="Lien hypertexte visité" xfId="16311" builtinId="9" hidden="1"/>
    <cellStyle name="Lien hypertexte visité" xfId="1811" builtinId="9" hidden="1"/>
    <cellStyle name="Lien hypertexte visité" xfId="7541" builtinId="9" hidden="1"/>
    <cellStyle name="Lien hypertexte visité" xfId="20690" builtinId="9" hidden="1"/>
    <cellStyle name="Lien hypertexte visité" xfId="10610" builtinId="9" hidden="1"/>
    <cellStyle name="Lien hypertexte visité" xfId="8559" builtinId="9" hidden="1"/>
    <cellStyle name="Lien hypertexte visité" xfId="8989" builtinId="9" hidden="1"/>
    <cellStyle name="Lien hypertexte visité" xfId="13772" builtinId="9" hidden="1"/>
    <cellStyle name="Lien hypertexte visité" xfId="2885" builtinId="9" hidden="1"/>
    <cellStyle name="Lien hypertexte visité" xfId="12837" builtinId="9" hidden="1"/>
    <cellStyle name="Lien hypertexte visité" xfId="21636" builtinId="9" hidden="1"/>
    <cellStyle name="Lien hypertexte visité" xfId="429" builtinId="9" hidden="1"/>
    <cellStyle name="Lien hypertexte visité" xfId="6263" builtinId="9" hidden="1"/>
    <cellStyle name="Lien hypertexte visité" xfId="14677" builtinId="9" hidden="1"/>
    <cellStyle name="Lien hypertexte visité" xfId="14068" builtinId="9" hidden="1"/>
    <cellStyle name="Lien hypertexte visité" xfId="2336" builtinId="9" hidden="1"/>
    <cellStyle name="Lien hypertexte visité" xfId="17473" builtinId="9" hidden="1"/>
    <cellStyle name="Lien hypertexte visité" xfId="22184" builtinId="9" hidden="1"/>
    <cellStyle name="Lien hypertexte visité" xfId="14971" builtinId="9" hidden="1"/>
    <cellStyle name="Lien hypertexte visité" xfId="2798" builtinId="9" hidden="1"/>
    <cellStyle name="Lien hypertexte visité" xfId="13717" builtinId="9" hidden="1"/>
    <cellStyle name="Lien hypertexte visité" xfId="3828" builtinId="9" hidden="1"/>
    <cellStyle name="Lien hypertexte visité" xfId="24578" builtinId="9" hidden="1"/>
    <cellStyle name="Lien hypertexte visité" xfId="8670" builtinId="9" hidden="1"/>
    <cellStyle name="Lien hypertexte visité" xfId="9149" builtinId="9" hidden="1"/>
    <cellStyle name="Lien hypertexte visité" xfId="5419" builtinId="9" hidden="1"/>
    <cellStyle name="Lien hypertexte visité" xfId="2442" builtinId="9" hidden="1"/>
    <cellStyle name="Lien hypertexte visité" xfId="23134" builtinId="9" hidden="1"/>
    <cellStyle name="Lien hypertexte visité" xfId="16543" builtinId="9" hidden="1"/>
    <cellStyle name="Lien hypertexte visité" xfId="4482" builtinId="9" hidden="1"/>
    <cellStyle name="Lien hypertexte visité" xfId="13067" builtinId="9" hidden="1"/>
    <cellStyle name="Lien hypertexte visité" xfId="8259" builtinId="9" hidden="1"/>
    <cellStyle name="Lien hypertexte visité" xfId="9983" builtinId="9" hidden="1"/>
    <cellStyle name="Lien hypertexte visité" xfId="19256" builtinId="9" hidden="1"/>
    <cellStyle name="Lien hypertexte visité" xfId="24514" builtinId="9" hidden="1"/>
    <cellStyle name="Lien hypertexte visité" xfId="21010" builtinId="9" hidden="1"/>
    <cellStyle name="Lien hypertexte visité" xfId="22010" builtinId="9" hidden="1"/>
    <cellStyle name="Lien hypertexte visité" xfId="12682" builtinId="9" hidden="1"/>
    <cellStyle name="Lien hypertexte visité" xfId="4149" builtinId="9" hidden="1"/>
    <cellStyle name="Lien hypertexte visité" xfId="6397" builtinId="9" hidden="1"/>
    <cellStyle name="Lien hypertexte visité" xfId="8351" builtinId="9" hidden="1"/>
    <cellStyle name="Lien hypertexte visité" xfId="2022" builtinId="9" hidden="1"/>
    <cellStyle name="Lien hypertexte visité" xfId="18215" builtinId="9" hidden="1"/>
    <cellStyle name="Lien hypertexte visité" xfId="8956" builtinId="9" hidden="1"/>
    <cellStyle name="Lien hypertexte visité" xfId="1416" builtinId="9" hidden="1"/>
    <cellStyle name="Lien hypertexte visité" xfId="4864" builtinId="9" hidden="1"/>
    <cellStyle name="Lien hypertexte visité" xfId="14081" builtinId="9" hidden="1"/>
    <cellStyle name="Lien hypertexte visité" xfId="23308" builtinId="9" hidden="1"/>
    <cellStyle name="Lien hypertexte visité" xfId="9360" builtinId="9" hidden="1"/>
    <cellStyle name="Lien hypertexte visité" xfId="7112" builtinId="9" hidden="1"/>
    <cellStyle name="Lien hypertexte visité" xfId="13577" builtinId="9" hidden="1"/>
    <cellStyle name="Lien hypertexte visité" xfId="18189" builtinId="9" hidden="1"/>
    <cellStyle name="Lien hypertexte visité" xfId="9424" builtinId="9" hidden="1"/>
    <cellStyle name="Lien hypertexte visité" xfId="11600" builtinId="9" hidden="1"/>
    <cellStyle name="Lien hypertexte visité" xfId="14829" builtinId="9" hidden="1"/>
    <cellStyle name="Lien hypertexte visité" xfId="21164" builtinId="9" hidden="1"/>
    <cellStyle name="Lien hypertexte visité" xfId="23966" builtinId="9" hidden="1"/>
    <cellStyle name="Lien hypertexte visité" xfId="17839" builtinId="9" hidden="1"/>
    <cellStyle name="Lien hypertexte visité" xfId="12993" builtinId="9" hidden="1"/>
    <cellStyle name="Lien hypertexte visité" xfId="10945" builtinId="9" hidden="1"/>
    <cellStyle name="Lien hypertexte visité" xfId="7873" builtinId="9" hidden="1"/>
    <cellStyle name="Lien hypertexte visité" xfId="4672" builtinId="9" hidden="1"/>
    <cellStyle name="Lien hypertexte visité" xfId="2618" builtinId="9" hidden="1"/>
    <cellStyle name="Lien hypertexte visité" xfId="7631" builtinId="9" hidden="1"/>
    <cellStyle name="Lien hypertexte visité" xfId="3017" builtinId="9" hidden="1"/>
    <cellStyle name="Lien hypertexte visité" xfId="1204" builtinId="9" hidden="1"/>
    <cellStyle name="Lien hypertexte visité" xfId="5979" builtinId="9" hidden="1"/>
    <cellStyle name="Lien hypertexte visité" xfId="10588" builtinId="9" hidden="1"/>
    <cellStyle name="Lien hypertexte visité" xfId="13660" builtinId="9" hidden="1"/>
    <cellStyle name="Lien hypertexte visité" xfId="22388" builtinId="9" hidden="1"/>
    <cellStyle name="Lien hypertexte visité" xfId="17639" builtinId="9" hidden="1"/>
    <cellStyle name="Lien hypertexte visité" xfId="12845" builtinId="9" hidden="1"/>
    <cellStyle name="Lien hypertexte visité" xfId="8237" builtinId="9" hidden="1"/>
    <cellStyle name="Lien hypertexte visité" xfId="3623" builtinId="9" hidden="1"/>
    <cellStyle name="Lien hypertexte visité" xfId="355" builtinId="9" hidden="1"/>
    <cellStyle name="Lien hypertexte visité" xfId="5374" builtinId="9" hidden="1"/>
    <cellStyle name="Lien hypertexte visité" xfId="3160" builtinId="9" hidden="1"/>
    <cellStyle name="Lien hypertexte visité" xfId="24052" builtinId="9" hidden="1"/>
    <cellStyle name="Lien hypertexte visité" xfId="4120" builtinId="9" hidden="1"/>
    <cellStyle name="Lien hypertexte visité" xfId="13176" builtinId="9" hidden="1"/>
    <cellStyle name="Lien hypertexte visité" xfId="12448" builtinId="9" hidden="1"/>
    <cellStyle name="Lien hypertexte visité" xfId="5790" builtinId="9" hidden="1"/>
    <cellStyle name="Lien hypertexte visité" xfId="16713" builtinId="9" hidden="1"/>
    <cellStyle name="Lien hypertexte visité" xfId="2599" builtinId="9" hidden="1"/>
    <cellStyle name="Lien hypertexte visité" xfId="7293" builtinId="9" hidden="1"/>
    <cellStyle name="Lien hypertexte visité" xfId="7781" builtinId="9" hidden="1"/>
    <cellStyle name="Lien hypertexte visité" xfId="2423" builtinId="9" hidden="1"/>
    <cellStyle name="Lien hypertexte visité" xfId="5661" builtinId="9" hidden="1"/>
    <cellStyle name="Lien hypertexte visité" xfId="8858" builtinId="9" hidden="1"/>
    <cellStyle name="Lien hypertexte visité" xfId="9562" builtinId="9" hidden="1"/>
    <cellStyle name="Lien hypertexte visité" xfId="5369" builtinId="9" hidden="1"/>
    <cellStyle name="Lien hypertexte visité" xfId="4329" builtinId="9" hidden="1"/>
    <cellStyle name="Lien hypertexte visité" xfId="7489" builtinId="9" hidden="1"/>
    <cellStyle name="Lien hypertexte visité" xfId="7513" builtinId="9" hidden="1"/>
    <cellStyle name="Lien hypertexte visité" xfId="2871" builtinId="9" hidden="1"/>
    <cellStyle name="Lien hypertexte visité" xfId="1511" builtinId="9" hidden="1"/>
    <cellStyle name="Lien hypertexte visité" xfId="601" builtinId="9" hidden="1"/>
    <cellStyle name="Lien hypertexte visité" xfId="3447" builtinId="9" hidden="1"/>
    <cellStyle name="Lien hypertexte visité" xfId="18498" builtinId="9" hidden="1"/>
    <cellStyle name="Lien hypertexte visité" xfId="9874" builtinId="9" hidden="1"/>
    <cellStyle name="Lien hypertexte visité" xfId="12306" builtinId="9" hidden="1"/>
    <cellStyle name="Lien hypertexte visité" xfId="13970" builtinId="9" hidden="1"/>
    <cellStyle name="Lien hypertexte visité" xfId="5349" builtinId="9" hidden="1"/>
    <cellStyle name="Lien hypertexte visité" xfId="20064" builtinId="9" hidden="1"/>
    <cellStyle name="Lien hypertexte visité" xfId="16969" builtinId="9" hidden="1"/>
    <cellStyle name="Lien hypertexte visité" xfId="13310" builtinId="9" hidden="1"/>
    <cellStyle name="Lien hypertexte visité" xfId="10878" builtinId="9" hidden="1"/>
    <cellStyle name="Lien hypertexte visité" xfId="9298" builtinId="9" hidden="1"/>
    <cellStyle name="Lien hypertexte visité" xfId="16097" builtinId="9" hidden="1"/>
    <cellStyle name="Lien hypertexte visité" xfId="1755" builtinId="9" hidden="1"/>
    <cellStyle name="Lien hypertexte visité" xfId="577" builtinId="9" hidden="1"/>
    <cellStyle name="Lien hypertexte visité" xfId="1156" builtinId="9" hidden="1"/>
    <cellStyle name="Lien hypertexte visité" xfId="13194" builtinId="9" hidden="1"/>
    <cellStyle name="Lien hypertexte visité" xfId="21328" builtinId="9" hidden="1"/>
    <cellStyle name="Lien hypertexte visité" xfId="18626" builtinId="9" hidden="1"/>
    <cellStyle name="Lien hypertexte visité" xfId="23314" builtinId="9" hidden="1"/>
    <cellStyle name="Lien hypertexte visité" xfId="9234" builtinId="9" hidden="1"/>
    <cellStyle name="Lien hypertexte visité" xfId="5245" builtinId="9" hidden="1"/>
    <cellStyle name="Lien hypertexte visité" xfId="7710" builtinId="9" hidden="1"/>
    <cellStyle name="Lien hypertexte visité" xfId="2151" builtinId="9" hidden="1"/>
    <cellStyle name="Lien hypertexte visité" xfId="5740" builtinId="9" hidden="1"/>
    <cellStyle name="Lien hypertexte visité" xfId="13343" builtinId="9" hidden="1"/>
    <cellStyle name="Lien hypertexte visité" xfId="5150" builtinId="9" hidden="1"/>
    <cellStyle name="Lien hypertexte visité" xfId="5665" builtinId="9" hidden="1"/>
    <cellStyle name="Lien hypertexte visité" xfId="23776" builtinId="9" hidden="1"/>
    <cellStyle name="Lien hypertexte visité" xfId="22338" builtinId="9" hidden="1"/>
    <cellStyle name="Lien hypertexte visité" xfId="17659" builtinId="9" hidden="1"/>
    <cellStyle name="Lien hypertexte visité" xfId="18384" builtinId="9" hidden="1"/>
    <cellStyle name="Lien hypertexte visité" xfId="11786" builtinId="9" hidden="1"/>
    <cellStyle name="Lien hypertexte visité" xfId="1659" builtinId="9" hidden="1"/>
    <cellStyle name="Lien hypertexte visité" xfId="1354" builtinId="9" hidden="1"/>
    <cellStyle name="Lien hypertexte visité" xfId="2563" builtinId="9" hidden="1"/>
    <cellStyle name="Lien hypertexte visité" xfId="18834" builtinId="9" hidden="1"/>
    <cellStyle name="Lien hypertexte visité" xfId="9790" builtinId="9" hidden="1"/>
    <cellStyle name="Lien hypertexte visité" xfId="11346" builtinId="9" hidden="1"/>
    <cellStyle name="Lien hypertexte visité" xfId="13798" builtinId="9" hidden="1"/>
    <cellStyle name="Lien hypertexte visité" xfId="17945" builtinId="9" hidden="1"/>
    <cellStyle name="Lien hypertexte visité" xfId="21048" builtinId="9" hidden="1"/>
    <cellStyle name="Lien hypertexte visité" xfId="4785" builtinId="9" hidden="1"/>
    <cellStyle name="Lien hypertexte visité" xfId="13478" builtinId="9" hidden="1"/>
    <cellStyle name="Lien hypertexte visité" xfId="11814" builtinId="9" hidden="1"/>
    <cellStyle name="Lien hypertexte visité" xfId="9278" builtinId="9" hidden="1"/>
    <cellStyle name="Lien hypertexte visité" xfId="15073" builtinId="9" hidden="1"/>
    <cellStyle name="Lien hypertexte visité" xfId="3816" builtinId="9" hidden="1"/>
    <cellStyle name="Lien hypertexte visité" xfId="385" builtinId="9" hidden="1"/>
    <cellStyle name="Lien hypertexte visité" xfId="3752" builtinId="9" hidden="1"/>
    <cellStyle name="Lien hypertexte visité" xfId="2515" builtinId="9" hidden="1"/>
    <cellStyle name="Lien hypertexte visité" xfId="2427" builtinId="9" hidden="1"/>
    <cellStyle name="Lien hypertexte visité" xfId="7950" builtinId="9" hidden="1"/>
    <cellStyle name="Lien hypertexte visité" xfId="2579" builtinId="9" hidden="1"/>
    <cellStyle name="Lien hypertexte visité" xfId="5753" builtinId="9" hidden="1"/>
    <cellStyle name="Lien hypertexte visité" xfId="10394" builtinId="9" hidden="1"/>
    <cellStyle name="Lien hypertexte visité" xfId="4601" builtinId="9" hidden="1"/>
    <cellStyle name="Lien hypertexte visité" xfId="5205" builtinId="9" hidden="1"/>
    <cellStyle name="Lien hypertexte visité" xfId="4969" builtinId="9" hidden="1"/>
    <cellStyle name="Lien hypertexte visité" xfId="7397" builtinId="9" hidden="1"/>
    <cellStyle name="Lien hypertexte visité" xfId="7697" builtinId="9" hidden="1"/>
    <cellStyle name="Lien hypertexte visité" xfId="2959" builtinId="9" hidden="1"/>
    <cellStyle name="Lien hypertexte visité" xfId="24504" builtinId="9" hidden="1"/>
    <cellStyle name="Lien hypertexte visité" xfId="17191" builtinId="9" hidden="1"/>
    <cellStyle name="Lien hypertexte visité" xfId="13257" builtinId="9" hidden="1"/>
    <cellStyle name="Lien hypertexte visité" xfId="20956" builtinId="9" hidden="1"/>
    <cellStyle name="Lien hypertexte visité" xfId="7791" builtinId="9" hidden="1"/>
    <cellStyle name="Lien hypertexte visité" xfId="13005" builtinId="9" hidden="1"/>
    <cellStyle name="Lien hypertexte visité" xfId="9151" builtinId="9" hidden="1"/>
    <cellStyle name="Lien hypertexte visité" xfId="4350" builtinId="9" hidden="1"/>
    <cellStyle name="Lien hypertexte visité" xfId="1413" builtinId="9" hidden="1"/>
    <cellStyle name="Lien hypertexte visité" xfId="4492" builtinId="9" hidden="1"/>
    <cellStyle name="Lien hypertexte visité" xfId="9261" builtinId="9" hidden="1"/>
    <cellStyle name="Lien hypertexte visité" xfId="13869" builtinId="9" hidden="1"/>
    <cellStyle name="Lien hypertexte visité" xfId="19350" builtinId="9" hidden="1"/>
    <cellStyle name="Lien hypertexte visité" xfId="20340" builtinId="9" hidden="1"/>
    <cellStyle name="Lien hypertexte visité" xfId="12828" builtinId="9" hidden="1"/>
    <cellStyle name="Lien hypertexte visité" xfId="9564" builtinId="9" hidden="1"/>
    <cellStyle name="Lien hypertexte visité" xfId="4955" builtinId="9" hidden="1"/>
    <cellStyle name="Lien hypertexte visité" xfId="453" builtinId="9" hidden="1"/>
    <cellStyle name="Lien hypertexte visité" xfId="4047" builtinId="9" hidden="1"/>
    <cellStyle name="Lien hypertexte visité" xfId="8656" builtinId="9" hidden="1"/>
    <cellStyle name="Lien hypertexte visité" xfId="3306" builtinId="9" hidden="1"/>
    <cellStyle name="Lien hypertexte visité" xfId="5360" builtinId="9" hidden="1"/>
    <cellStyle name="Lien hypertexte visité" xfId="8433" builtinId="9" hidden="1"/>
    <cellStyle name="Lien hypertexte visité" xfId="11633" builtinId="9" hidden="1"/>
    <cellStyle name="Lien hypertexte visité" xfId="13681" builtinId="9" hidden="1"/>
    <cellStyle name="Lien hypertexte visité" xfId="18974" builtinId="9" hidden="1"/>
    <cellStyle name="Lien hypertexte visité" xfId="23900" builtinId="9" hidden="1"/>
    <cellStyle name="Lien hypertexte visité" xfId="19804" builtinId="9" hidden="1"/>
    <cellStyle name="Lien hypertexte visité" xfId="13992" builtinId="9" hidden="1"/>
    <cellStyle name="Lien hypertexte visité" xfId="10920" builtinId="9" hidden="1"/>
    <cellStyle name="Lien hypertexte visité" xfId="8872" builtinId="9" hidden="1"/>
    <cellStyle name="Lien hypertexte visité" xfId="22268" builtinId="9" hidden="1"/>
    <cellStyle name="Lien hypertexte visité" xfId="11529" builtinId="9" hidden="1"/>
    <cellStyle name="Lien hypertexte visité" xfId="9289" builtinId="9" hidden="1"/>
    <cellStyle name="Lien hypertexte visité" xfId="11408" builtinId="9" hidden="1"/>
    <cellStyle name="Lien hypertexte visité" xfId="22510" builtinId="9" hidden="1"/>
    <cellStyle name="Lien hypertexte visité" xfId="12033" builtinId="9" hidden="1"/>
    <cellStyle name="Lien hypertexte visité" xfId="2810" builtinId="9" hidden="1"/>
    <cellStyle name="Lien hypertexte visité" xfId="2293" builtinId="9" hidden="1"/>
    <cellStyle name="Lien hypertexte visité" xfId="12028" builtinId="9" hidden="1"/>
    <cellStyle name="Lien hypertexte visité" xfId="13293" builtinId="9" hidden="1"/>
    <cellStyle name="Lien hypertexte visité" xfId="2200" builtinId="9" hidden="1"/>
    <cellStyle name="Lien hypertexte visité" xfId="11423" builtinId="9" hidden="1"/>
    <cellStyle name="Lien hypertexte visité" xfId="5977" builtinId="9" hidden="1"/>
    <cellStyle name="Lien hypertexte visité" xfId="9226" builtinId="9" hidden="1"/>
    <cellStyle name="Lien hypertexte visité" xfId="14474" builtinId="9" hidden="1"/>
    <cellStyle name="Lien hypertexte visité" xfId="19066" builtinId="9" hidden="1"/>
    <cellStyle name="Lien hypertexte visité" xfId="22162" builtinId="9" hidden="1"/>
    <cellStyle name="Lien hypertexte visité" xfId="23520" builtinId="9" hidden="1"/>
    <cellStyle name="Lien hypertexte visité" xfId="18073" builtinId="9" hidden="1"/>
    <cellStyle name="Lien hypertexte visité" xfId="13407" builtinId="9" hidden="1"/>
    <cellStyle name="Lien hypertexte visité" xfId="5330" builtinId="9" hidden="1"/>
    <cellStyle name="Lien hypertexte visité" xfId="14787" builtinId="9" hidden="1"/>
    <cellStyle name="Lien hypertexte visité" xfId="7410" builtinId="9" hidden="1"/>
    <cellStyle name="Lien hypertexte visité" xfId="13376" builtinId="9" hidden="1"/>
    <cellStyle name="Lien hypertexte visité" xfId="16319" builtinId="9" hidden="1"/>
    <cellStyle name="Lien hypertexte visité" xfId="7007" builtinId="9" hidden="1"/>
    <cellStyle name="Lien hypertexte visité" xfId="10540" builtinId="9" hidden="1"/>
    <cellStyle name="Lien hypertexte visité" xfId="4028" builtinId="9" hidden="1"/>
    <cellStyle name="Lien hypertexte visité" xfId="7669" builtinId="9" hidden="1"/>
    <cellStyle name="Lien hypertexte visité" xfId="2899" builtinId="9" hidden="1"/>
    <cellStyle name="Lien hypertexte visité" xfId="937" builtinId="9" hidden="1"/>
    <cellStyle name="Lien hypertexte visité" xfId="2503" builtinId="9" hidden="1"/>
    <cellStyle name="Lien hypertexte visité" xfId="6805" builtinId="9" hidden="1"/>
    <cellStyle name="Lien hypertexte visité" xfId="8890" builtinId="9" hidden="1"/>
    <cellStyle name="Lien hypertexte visité" xfId="13941" builtinId="9" hidden="1"/>
    <cellStyle name="Lien hypertexte visité" xfId="3430" builtinId="9" hidden="1"/>
    <cellStyle name="Lien hypertexte visité" xfId="14111" builtinId="9" hidden="1"/>
    <cellStyle name="Lien hypertexte visité" xfId="5137" builtinId="9" hidden="1"/>
    <cellStyle name="Lien hypertexte visité" xfId="9866" builtinId="9" hidden="1"/>
    <cellStyle name="Lien hypertexte visité" xfId="23888" builtinId="9" hidden="1"/>
    <cellStyle name="Lien hypertexte visité" xfId="20842" builtinId="9" hidden="1"/>
    <cellStyle name="Lien hypertexte visité" xfId="23688" builtinId="9" hidden="1"/>
    <cellStyle name="Lien hypertexte visité" xfId="17481" builtinId="9" hidden="1"/>
    <cellStyle name="Lien hypertexte visité" xfId="12862" builtinId="9" hidden="1"/>
    <cellStyle name="Lien hypertexte visité" xfId="10918" builtinId="9" hidden="1"/>
    <cellStyle name="Lien hypertexte visité" xfId="24248" builtinId="9" hidden="1"/>
    <cellStyle name="Lien hypertexte visité" xfId="1571" builtinId="9" hidden="1"/>
    <cellStyle name="Lien hypertexte visité" xfId="273" builtinId="9" hidden="1"/>
    <cellStyle name="Lien hypertexte visité" xfId="3299" builtinId="9" hidden="1"/>
    <cellStyle name="Lien hypertexte visité" xfId="7493" builtinId="9" hidden="1"/>
    <cellStyle name="Lien hypertexte visité" xfId="7437" builtinId="9" hidden="1"/>
    <cellStyle name="Lien hypertexte visité" xfId="3159" builtinId="9" hidden="1"/>
    <cellStyle name="Lien hypertexte visité" xfId="4345" builtinId="9" hidden="1"/>
    <cellStyle name="Lien hypertexte visité" xfId="10266" builtinId="9" hidden="1"/>
    <cellStyle name="Lien hypertexte visité" xfId="5333" builtinId="9" hidden="1"/>
    <cellStyle name="Lien hypertexte visité" xfId="7785" builtinId="9" hidden="1"/>
    <cellStyle name="Lien hypertexte visité" xfId="6777" builtinId="9" hidden="1"/>
    <cellStyle name="Lien hypertexte visité" xfId="4041" builtinId="9" hidden="1"/>
    <cellStyle name="Lien hypertexte visité" xfId="1891" builtinId="9" hidden="1"/>
    <cellStyle name="Lien hypertexte visité" xfId="1190" builtinId="9" hidden="1"/>
    <cellStyle name="Lien hypertexte visité" xfId="11722" builtinId="9" hidden="1"/>
    <cellStyle name="Lien hypertexte visité" xfId="9810" builtinId="9" hidden="1"/>
    <cellStyle name="Lien hypertexte visité" xfId="11774" builtinId="9" hidden="1"/>
    <cellStyle name="Lien hypertexte visité" xfId="15257" builtinId="9" hidden="1"/>
    <cellStyle name="Lien hypertexte visité" xfId="21472" builtinId="9" hidden="1"/>
    <cellStyle name="Lien hypertexte visité" xfId="23826" builtinId="9" hidden="1"/>
    <cellStyle name="Lien hypertexte visité" xfId="17619" builtinId="9" hidden="1"/>
    <cellStyle name="Lien hypertexte visité" xfId="14346" builtinId="9" hidden="1"/>
    <cellStyle name="Lien hypertexte visité" xfId="4185" builtinId="9" hidden="1"/>
    <cellStyle name="Lien hypertexte visité" xfId="6853" builtinId="9" hidden="1"/>
    <cellStyle name="Lien hypertexte visité" xfId="3480" builtinId="9" hidden="1"/>
    <cellStyle name="Lien hypertexte visité" xfId="7917" builtinId="9" hidden="1"/>
    <cellStyle name="Lien hypertexte visité" xfId="15173" builtinId="9" hidden="1"/>
    <cellStyle name="Lien hypertexte visité" xfId="2697" builtinId="9" hidden="1"/>
    <cellStyle name="Lien hypertexte visité" xfId="2986" builtinId="9" hidden="1"/>
    <cellStyle name="Lien hypertexte visité" xfId="13913" builtinId="9" hidden="1"/>
    <cellStyle name="Lien hypertexte visité" xfId="14312" builtinId="9" hidden="1"/>
    <cellStyle name="Lien hypertexte visité" xfId="19580" builtinId="9" hidden="1"/>
    <cellStyle name="Lien hypertexte visité" xfId="12041" builtinId="9" hidden="1"/>
    <cellStyle name="Lien hypertexte visité" xfId="17805" builtinId="9" hidden="1"/>
    <cellStyle name="Lien hypertexte visité" xfId="9312" builtinId="9" hidden="1"/>
    <cellStyle name="Lien hypertexte visité" xfId="12328" builtinId="9" hidden="1"/>
    <cellStyle name="Lien hypertexte visité" xfId="17437" builtinId="9" hidden="1"/>
    <cellStyle name="Lien hypertexte visité" xfId="21980" builtinId="9" hidden="1"/>
    <cellStyle name="Lien hypertexte visité" xfId="19998" builtinId="9" hidden="1"/>
    <cellStyle name="Lien hypertexte visité" xfId="13617" builtinId="9" hidden="1"/>
    <cellStyle name="Lien hypertexte visité" xfId="10881" builtinId="9" hidden="1"/>
    <cellStyle name="Lien hypertexte visité" xfId="7232" builtinId="9" hidden="1"/>
    <cellStyle name="Lien hypertexte visité" xfId="3603" builtinId="9" hidden="1"/>
    <cellStyle name="Lien hypertexte visité" xfId="1321" builtinId="9" hidden="1"/>
    <cellStyle name="Lien hypertexte visité" xfId="4975" builtinId="9" hidden="1"/>
    <cellStyle name="Lien hypertexte visité" xfId="1621" builtinId="9" hidden="1"/>
    <cellStyle name="Lien hypertexte visité" xfId="5051" builtinId="9" hidden="1"/>
    <cellStyle name="Lien hypertexte visité" xfId="10524" builtinId="9" hidden="1"/>
    <cellStyle name="Lien hypertexte visité" xfId="17413" builtinId="9" hidden="1"/>
    <cellStyle name="Lien hypertexte visité" xfId="23638" builtinId="9" hidden="1"/>
    <cellStyle name="Lien hypertexte visité" xfId="13613" builtinId="9" hidden="1"/>
    <cellStyle name="Lien hypertexte visité" xfId="8141" builtinId="9" hidden="1"/>
    <cellStyle name="Lien hypertexte visité" xfId="4748" builtinId="9" hidden="1"/>
    <cellStyle name="Lien hypertexte visité" xfId="1880" builtinId="9" hidden="1"/>
    <cellStyle name="Lien hypertexte visité" xfId="7358" builtinId="9" hidden="1"/>
    <cellStyle name="Lien hypertexte visité" xfId="10751" builtinId="9" hidden="1"/>
    <cellStyle name="Lien hypertexte visité" xfId="8422" builtinId="9" hidden="1"/>
    <cellStyle name="Lien hypertexte visité" xfId="7602" builtinId="9" hidden="1"/>
    <cellStyle name="Lien hypertexte visité" xfId="4090" builtinId="9" hidden="1"/>
    <cellStyle name="Lien hypertexte visité" xfId="12659" builtinId="9" hidden="1"/>
    <cellStyle name="Lien hypertexte visité" xfId="13531" builtinId="9" hidden="1"/>
    <cellStyle name="Lien hypertexte visité" xfId="16099" builtinId="9" hidden="1"/>
    <cellStyle name="Lien hypertexte visité" xfId="10907" builtinId="9" hidden="1"/>
    <cellStyle name="Lien hypertexte visité" xfId="2212" builtinId="9" hidden="1"/>
    <cellStyle name="Lien hypertexte visité" xfId="5138" builtinId="9" hidden="1"/>
    <cellStyle name="Lien hypertexte visité" xfId="1441" builtinId="9" hidden="1"/>
    <cellStyle name="Lien hypertexte visité" xfId="21134" builtinId="9" hidden="1"/>
    <cellStyle name="Lien hypertexte visité" xfId="9024" builtinId="9" hidden="1"/>
    <cellStyle name="Lien hypertexte visité" xfId="14256" builtinId="9" hidden="1"/>
    <cellStyle name="Lien hypertexte visité" xfId="24318" builtinId="9" hidden="1"/>
    <cellStyle name="Lien hypertexte visité" xfId="17519" builtinId="9" hidden="1"/>
    <cellStyle name="Lien hypertexte visité" xfId="10553" builtinId="9" hidden="1"/>
    <cellStyle name="Lien hypertexte visité" xfId="5088" builtinId="9" hidden="1"/>
    <cellStyle name="Lien hypertexte visité" xfId="1674" builtinId="9" hidden="1"/>
    <cellStyle name="Lien hypertexte visité" xfId="2777" builtinId="9" hidden="1"/>
    <cellStyle name="Lien hypertexte visité" xfId="6571" builtinId="9" hidden="1"/>
    <cellStyle name="Lien hypertexte visité" xfId="12716" builtinId="9" hidden="1"/>
    <cellStyle name="Lien hypertexte visité" xfId="21942" builtinId="9" hidden="1"/>
    <cellStyle name="Lien hypertexte visité" xfId="10045" builtinId="9" hidden="1"/>
    <cellStyle name="Lien hypertexte visité" xfId="4924" builtinId="9" hidden="1"/>
    <cellStyle name="Lien hypertexte visité" xfId="4430" builtinId="9" hidden="1"/>
    <cellStyle name="Lien hypertexte visité" xfId="12623" builtinId="9" hidden="1"/>
    <cellStyle name="Lien hypertexte visité" xfId="9438" builtinId="9" hidden="1"/>
    <cellStyle name="Lien hypertexte visité" xfId="15281" builtinId="9" hidden="1"/>
    <cellStyle name="Lien hypertexte visité" xfId="23042" builtinId="9" hidden="1"/>
    <cellStyle name="Lien hypertexte visité" xfId="24592" builtinId="9" hidden="1"/>
    <cellStyle name="Lien hypertexte visité" xfId="5365" builtinId="9" hidden="1"/>
    <cellStyle name="Lien hypertexte visité" xfId="3343" builtinId="9" hidden="1"/>
    <cellStyle name="Lien hypertexte visité" xfId="1378" builtinId="9" hidden="1"/>
    <cellStyle name="Lien hypertexte visité" xfId="7353" builtinId="9" hidden="1"/>
    <cellStyle name="Lien hypertexte visité" xfId="18231" builtinId="9" hidden="1"/>
    <cellStyle name="Lien hypertexte visité" xfId="12949" builtinId="9" hidden="1"/>
    <cellStyle name="Lien hypertexte visité" xfId="7492" builtinId="9" hidden="1"/>
    <cellStyle name="Lien hypertexte visité" xfId="2030" builtinId="9" hidden="1"/>
    <cellStyle name="Lien hypertexte visité" xfId="3216" builtinId="9" hidden="1"/>
    <cellStyle name="Lien hypertexte visité" xfId="8695" builtinId="9" hidden="1"/>
    <cellStyle name="Lien hypertexte visité" xfId="14151" builtinId="9" hidden="1"/>
    <cellStyle name="Lien hypertexte visité" xfId="9314" builtinId="9" hidden="1"/>
    <cellStyle name="Lien hypertexte visité" xfId="12962" builtinId="9" hidden="1"/>
    <cellStyle name="Lien hypertexte visité" xfId="18664" builtinId="9" hidden="1"/>
    <cellStyle name="Lien hypertexte visité" xfId="23208" builtinId="9" hidden="1"/>
    <cellStyle name="Lien hypertexte visité" xfId="18722" builtinId="9" hidden="1"/>
    <cellStyle name="Lien hypertexte visité" xfId="14458" builtinId="9" hidden="1"/>
    <cellStyle name="Lien hypertexte visité" xfId="19338" builtinId="9" hidden="1"/>
    <cellStyle name="Lien hypertexte visité" xfId="11286" builtinId="9" hidden="1"/>
    <cellStyle name="Lien hypertexte visité" xfId="4134" builtinId="9" hidden="1"/>
    <cellStyle name="Lien hypertexte visité" xfId="7268" builtinId="9" hidden="1"/>
    <cellStyle name="Lien hypertexte visité" xfId="7123" builtinId="9" hidden="1"/>
    <cellStyle name="Lien hypertexte visité" xfId="11812" builtinId="9" hidden="1"/>
    <cellStyle name="Lien hypertexte visité" xfId="14965" builtinId="9" hidden="1"/>
    <cellStyle name="Lien hypertexte visité" xfId="24292" builtinId="9" hidden="1"/>
    <cellStyle name="Lien hypertexte visité" xfId="9988" builtinId="9" hidden="1"/>
    <cellStyle name="Lien hypertexte visité" xfId="717" builtinId="9" hidden="1"/>
    <cellStyle name="Lien hypertexte visité" xfId="3069" builtinId="9" hidden="1"/>
    <cellStyle name="Lien hypertexte visité" xfId="6711" builtinId="9" hidden="1"/>
    <cellStyle name="Lien hypertexte visité" xfId="8152" builtinId="9" hidden="1"/>
    <cellStyle name="Lien hypertexte visité" xfId="4359" builtinId="9" hidden="1"/>
    <cellStyle name="Lien hypertexte visité" xfId="2909" builtinId="9" hidden="1"/>
    <cellStyle name="Lien hypertexte visité" xfId="789" builtinId="9" hidden="1"/>
    <cellStyle name="Lien hypertexte visité" xfId="19558" builtinId="9" hidden="1"/>
    <cellStyle name="Lien hypertexte visité" xfId="20324" builtinId="9" hidden="1"/>
    <cellStyle name="Lien hypertexte visité" xfId="13908" builtinId="9" hidden="1"/>
    <cellStyle name="Lien hypertexte visité" xfId="9236" builtinId="9" hidden="1"/>
    <cellStyle name="Lien hypertexte visité" xfId="14743" builtinId="9" hidden="1"/>
    <cellStyle name="Lien hypertexte visité" xfId="2250" builtinId="9" hidden="1"/>
    <cellStyle name="Lien hypertexte visité" xfId="6399" builtinId="9" hidden="1"/>
    <cellStyle name="Lien hypertexte visité" xfId="741" builtinId="9" hidden="1"/>
    <cellStyle name="Lien hypertexte visité" xfId="3654" builtinId="9" hidden="1"/>
    <cellStyle name="Lien hypertexte visité" xfId="9100" builtinId="9" hidden="1"/>
    <cellStyle name="Lien hypertexte visité" xfId="14565" builtinId="9" hidden="1"/>
    <cellStyle name="Lien hypertexte visité" xfId="22740" builtinId="9" hidden="1"/>
    <cellStyle name="Lien hypertexte visité" xfId="15495" builtinId="9" hidden="1"/>
    <cellStyle name="Lien hypertexte visité" xfId="9565" builtinId="9" hidden="1"/>
    <cellStyle name="Lien hypertexte visité" xfId="6172" builtinId="9" hidden="1"/>
    <cellStyle name="Lien hypertexte visité" xfId="159" builtinId="9" hidden="1"/>
    <cellStyle name="Lien hypertexte visité" xfId="5934" builtinId="9" hidden="1"/>
    <cellStyle name="Lien hypertexte visité" xfId="9327" builtinId="9" hidden="1"/>
    <cellStyle name="Lien hypertexte visité" xfId="15147" builtinId="9" hidden="1"/>
    <cellStyle name="Lien hypertexte visité" xfId="11122" builtinId="9" hidden="1"/>
    <cellStyle name="Lien hypertexte visité" xfId="13854" builtinId="9" hidden="1"/>
    <cellStyle name="Lien hypertexte visité" xfId="20424" builtinId="9" hidden="1"/>
    <cellStyle name="Lien hypertexte visité" xfId="21458" builtinId="9" hidden="1"/>
    <cellStyle name="Lien hypertexte visité" xfId="18362" builtinId="9" hidden="1"/>
    <cellStyle name="Lien hypertexte visité" xfId="11818" builtinId="9" hidden="1"/>
    <cellStyle name="Lien hypertexte visité" xfId="6041" builtinId="9" hidden="1"/>
    <cellStyle name="Lien hypertexte visité" xfId="7982" builtinId="9" hidden="1"/>
    <cellStyle name="Lien hypertexte visité" xfId="1699" builtinId="9" hidden="1"/>
    <cellStyle name="Lien hypertexte visité" xfId="2435" builtinId="9" hidden="1"/>
    <cellStyle name="Lien hypertexte visité" xfId="6697" builtinId="9" hidden="1"/>
    <cellStyle name="Lien hypertexte visité" xfId="5325" builtinId="9" hidden="1"/>
    <cellStyle name="Lien hypertexte visité" xfId="17143" builtinId="9" hidden="1"/>
    <cellStyle name="Lien hypertexte visité" xfId="13525" builtinId="9" hidden="1"/>
    <cellStyle name="Lien hypertexte visité" xfId="9909" builtinId="9" hidden="1"/>
    <cellStyle name="Lien hypertexte visité" xfId="6276" builtinId="9" hidden="1"/>
    <cellStyle name="Lien hypertexte visité" xfId="3972" builtinId="9" hidden="1"/>
    <cellStyle name="Lien hypertexte visité" xfId="467" builtinId="9" hidden="1"/>
    <cellStyle name="Lien hypertexte visité" xfId="4438" builtinId="9" hidden="1"/>
    <cellStyle name="Lien hypertexte visité" xfId="7174" builtinId="9" hidden="1"/>
    <cellStyle name="Lien hypertexte visité" xfId="10839" builtinId="9" hidden="1"/>
    <cellStyle name="Lien hypertexte visité" xfId="14471" builtinId="9" hidden="1"/>
    <cellStyle name="Lien hypertexte visité" xfId="8758" builtinId="9" hidden="1"/>
    <cellStyle name="Lien hypertexte visité" xfId="11214" builtinId="9" hidden="1"/>
    <cellStyle name="Lien hypertexte visité" xfId="13622" builtinId="9" hidden="1"/>
    <cellStyle name="Lien hypertexte visité" xfId="15761" builtinId="9" hidden="1"/>
    <cellStyle name="Lien hypertexte visité" xfId="20632" builtinId="9" hidden="1"/>
    <cellStyle name="Lien hypertexte visité" xfId="23754" builtinId="9" hidden="1"/>
    <cellStyle name="Lien hypertexte visité" xfId="20130" builtinId="9" hidden="1"/>
    <cellStyle name="Lien hypertexte visité" xfId="23322" builtinId="9" hidden="1"/>
    <cellStyle name="Lien hypertexte visité" xfId="12890" builtinId="9" hidden="1"/>
    <cellStyle name="Lien hypertexte visité" xfId="23706" builtinId="9" hidden="1"/>
    <cellStyle name="Lien hypertexte visité" xfId="19560" builtinId="9" hidden="1"/>
    <cellStyle name="Lien hypertexte visité" xfId="9710" builtinId="9" hidden="1"/>
    <cellStyle name="Lien hypertexte visité" xfId="11367" builtinId="9" hidden="1"/>
    <cellStyle name="Lien hypertexte visité" xfId="175" builtinId="9" hidden="1"/>
    <cellStyle name="Lien hypertexte visité" xfId="9454" builtinId="9" hidden="1"/>
    <cellStyle name="Lien hypertexte visité" xfId="16321" builtinId="9" hidden="1"/>
    <cellStyle name="Lien hypertexte visité" xfId="22962" builtinId="9" hidden="1"/>
    <cellStyle name="Lien hypertexte visité" xfId="13110" builtinId="9" hidden="1"/>
    <cellStyle name="Lien hypertexte visité" xfId="8566" builtinId="9" hidden="1"/>
    <cellStyle name="Lien hypertexte visité" xfId="5510" builtinId="9" hidden="1"/>
    <cellStyle name="Lien hypertexte visité" xfId="6580" builtinId="9" hidden="1"/>
    <cellStyle name="Lien hypertexte visité" xfId="13397" builtinId="9" hidden="1"/>
    <cellStyle name="Lien hypertexte visité" xfId="2827" builtinId="9" hidden="1"/>
    <cellStyle name="Lien hypertexte visité" xfId="6149" builtinId="9" hidden="1"/>
    <cellStyle name="Lien hypertexte visité" xfId="18474" builtinId="9" hidden="1"/>
    <cellStyle name="Lien hypertexte visité" xfId="11718" builtinId="9" hidden="1"/>
    <cellStyle name="Lien hypertexte visité" xfId="4782" builtinId="9" hidden="1"/>
    <cellStyle name="Lien hypertexte visité" xfId="6620" builtinId="9" hidden="1"/>
    <cellStyle name="Lien hypertexte visité" xfId="17765" builtinId="9" hidden="1"/>
    <cellStyle name="Lien hypertexte visité" xfId="1400" builtinId="9" hidden="1"/>
    <cellStyle name="Lien hypertexte visité" xfId="2122" builtinId="9" hidden="1"/>
    <cellStyle name="Lien hypertexte visité" xfId="5450" builtinId="9" hidden="1"/>
    <cellStyle name="Lien hypertexte visité" xfId="8123" builtinId="9" hidden="1"/>
    <cellStyle name="Lien hypertexte visité" xfId="2530" builtinId="9" hidden="1"/>
    <cellStyle name="Lien hypertexte visité" xfId="11881" builtinId="9" hidden="1"/>
    <cellStyle name="Lien hypertexte visité" xfId="21308" builtinId="9" hidden="1"/>
    <cellStyle name="Lien hypertexte visité" xfId="12032" builtinId="9" hidden="1"/>
    <cellStyle name="Lien hypertexte visité" xfId="10904" builtinId="9" hidden="1"/>
    <cellStyle name="Lien hypertexte visité" xfId="14024" builtinId="9" hidden="1"/>
    <cellStyle name="Lien hypertexte visité" xfId="17453" builtinId="9" hidden="1"/>
    <cellStyle name="Lien hypertexte visité" xfId="23660" builtinId="9" hidden="1"/>
    <cellStyle name="Lien hypertexte visité" xfId="19326" builtinId="9" hidden="1"/>
    <cellStyle name="Lien hypertexte visité" xfId="14655" builtinId="9" hidden="1"/>
    <cellStyle name="Lien hypertexte visité" xfId="11473" builtinId="9" hidden="1"/>
    <cellStyle name="Lien hypertexte visité" xfId="8353" builtinId="9" hidden="1"/>
    <cellStyle name="Lien hypertexte visité" xfId="6392" builtinId="9" hidden="1"/>
    <cellStyle name="Lien hypertexte visité" xfId="3274" builtinId="9" hidden="1"/>
    <cellStyle name="Lien hypertexte visité" xfId="20446" builtinId="9" hidden="1"/>
    <cellStyle name="Lien hypertexte visité" xfId="11392" builtinId="9" hidden="1"/>
    <cellStyle name="Lien hypertexte visité" xfId="10355" builtinId="9" hidden="1"/>
    <cellStyle name="Lien hypertexte visité" xfId="13283" builtinId="9" hidden="1"/>
    <cellStyle name="Lien hypertexte visité" xfId="16707" builtinId="9" hidden="1"/>
    <cellStyle name="Lien hypertexte visité" xfId="13411" builtinId="9" hidden="1"/>
    <cellStyle name="Lien hypertexte visité" xfId="10483" builtinId="9" hidden="1"/>
    <cellStyle name="Lien hypertexte visité" xfId="11955" builtinId="9" hidden="1"/>
    <cellStyle name="Lien hypertexte visité" xfId="1099" builtinId="9" hidden="1"/>
    <cellStyle name="Lien hypertexte visité" xfId="15299" builtinId="9" hidden="1"/>
    <cellStyle name="Lien hypertexte visité" xfId="3332" builtinId="9" hidden="1"/>
    <cellStyle name="Lien hypertexte visité" xfId="667" builtinId="9" hidden="1"/>
    <cellStyle name="Lien hypertexte visité" xfId="11827" builtinId="9" hidden="1"/>
    <cellStyle name="Lien hypertexte visité" xfId="7402" builtinId="9" hidden="1"/>
    <cellStyle name="Lien hypertexte visité" xfId="5018" builtinId="9" hidden="1"/>
    <cellStyle name="Lien hypertexte visité" xfId="2690" builtinId="9" hidden="1"/>
    <cellStyle name="Lien hypertexte visité" xfId="5768" builtinId="9" hidden="1"/>
    <cellStyle name="Lien hypertexte visité" xfId="8787" builtinId="9" hidden="1"/>
    <cellStyle name="Lien hypertexte visité" xfId="6082" builtinId="9" hidden="1"/>
    <cellStyle name="Lien hypertexte visité" xfId="7578" builtinId="9" hidden="1"/>
    <cellStyle name="Lien hypertexte visité" xfId="12539" builtinId="9" hidden="1"/>
    <cellStyle name="Lien hypertexte visité" xfId="1684" builtinId="9" hidden="1"/>
    <cellStyle name="Lien hypertexte visité" xfId="3516" builtinId="9" hidden="1"/>
    <cellStyle name="Lien hypertexte visité" xfId="2484" builtinId="9" hidden="1"/>
    <cellStyle name="Lien hypertexte visité" xfId="7202" builtinId="9" hidden="1"/>
    <cellStyle name="Lien hypertexte visité" xfId="11747" builtinId="9" hidden="1"/>
    <cellStyle name="Lien hypertexte visité" xfId="10275" builtinId="9" hidden="1"/>
    <cellStyle name="Lien hypertexte visité" xfId="14947" builtinId="9" hidden="1"/>
    <cellStyle name="Lien hypertexte visité" xfId="15955" builtinId="9" hidden="1"/>
    <cellStyle name="Lien hypertexte visité" xfId="14011" builtinId="9" hidden="1"/>
    <cellStyle name="Lien hypertexte visité" xfId="4754" builtinId="9" hidden="1"/>
    <cellStyle name="Lien hypertexte visité" xfId="9712" builtinId="9" hidden="1"/>
    <cellStyle name="Lien hypertexte visité" xfId="7584" builtinId="9" hidden="1"/>
    <cellStyle name="Lien hypertexte visité" xfId="4688" builtinId="9" hidden="1"/>
    <cellStyle name="Lien hypertexte visité" xfId="6648" builtinId="9" hidden="1"/>
    <cellStyle name="Lien hypertexte visité" xfId="9761" builtinId="9" hidden="1"/>
    <cellStyle name="Lien hypertexte visité" xfId="12881" builtinId="9" hidden="1"/>
    <cellStyle name="Lien hypertexte visité" xfId="15167" builtinId="9" hidden="1"/>
    <cellStyle name="Lien hypertexte visité" xfId="21374" builtinId="9" hidden="1"/>
    <cellStyle name="Lien hypertexte visité" xfId="21612" builtinId="9" hidden="1"/>
    <cellStyle name="Lien hypertexte visité" xfId="16941" builtinId="9" hidden="1"/>
    <cellStyle name="Lien hypertexte visité" xfId="12616" builtinId="9" hidden="1"/>
    <cellStyle name="Lien hypertexte visité" xfId="9496" builtinId="9" hidden="1"/>
    <cellStyle name="Lien hypertexte visité" xfId="12800" builtinId="9" hidden="1"/>
    <cellStyle name="Lien hypertexte visité" xfId="19470" builtinId="9" hidden="1"/>
    <cellStyle name="Lien hypertexte visité" xfId="7656" builtinId="9" hidden="1"/>
    <cellStyle name="Lien hypertexte visité" xfId="1762" builtinId="9" hidden="1"/>
    <cellStyle name="Lien hypertexte visité" xfId="7242" builtinId="9" hidden="1"/>
    <cellStyle name="Lien hypertexte visité" xfId="4570" builtinId="9" hidden="1"/>
    <cellStyle name="Lien hypertexte visité" xfId="1265" builtinId="9" hidden="1"/>
    <cellStyle name="Lien hypertexte visité" xfId="7179" builtinId="9" hidden="1"/>
    <cellStyle name="Lien hypertexte visité" xfId="16647" builtinId="9" hidden="1"/>
    <cellStyle name="Lien hypertexte visité" xfId="5340" builtinId="9" hidden="1"/>
    <cellStyle name="Lien hypertexte visité" xfId="11871" builtinId="9" hidden="1"/>
    <cellStyle name="Lien hypertexte visité" xfId="16715" builtinId="9" hidden="1"/>
    <cellStyle name="Lien hypertexte visité" xfId="5192" builtinId="9" hidden="1"/>
    <cellStyle name="Lien hypertexte visité" xfId="7819" builtinId="9" hidden="1"/>
    <cellStyle name="Lien hypertexte visité" xfId="4602" builtinId="9" hidden="1"/>
    <cellStyle name="Lien hypertexte visité" xfId="2252" builtinId="9" hidden="1"/>
    <cellStyle name="Lien hypertexte visité" xfId="12459" builtinId="9" hidden="1"/>
    <cellStyle name="Lien hypertexte visité" xfId="9587" builtinId="9" hidden="1"/>
    <cellStyle name="Lien hypertexte visité" xfId="12939" builtinId="9" hidden="1"/>
    <cellStyle name="Lien hypertexte visité" xfId="15315" builtinId="9" hidden="1"/>
    <cellStyle name="Lien hypertexte visité" xfId="10163" builtinId="9" hidden="1"/>
    <cellStyle name="Lien hypertexte visité" xfId="12075" builtinId="9" hidden="1"/>
    <cellStyle name="Lien hypertexte visité" xfId="1844" builtinId="9" hidden="1"/>
    <cellStyle name="Lien hypertexte visité" xfId="4922" builtinId="9" hidden="1"/>
    <cellStyle name="Lien hypertexte visité" xfId="7258" builtinId="9" hidden="1"/>
    <cellStyle name="Lien hypertexte visité" xfId="3755" builtinId="9" hidden="1"/>
    <cellStyle name="Lien hypertexte visité" xfId="14505" builtinId="9" hidden="1"/>
    <cellStyle name="Lien hypertexte visité" xfId="21436" builtinId="9" hidden="1"/>
    <cellStyle name="Lien hypertexte visité" xfId="9560" builtinId="9" hidden="1"/>
    <cellStyle name="Lien hypertexte visité" xfId="13144" builtinId="9" hidden="1"/>
    <cellStyle name="Lien hypertexte visité" xfId="16221" builtinId="9" hidden="1"/>
    <cellStyle name="Lien hypertexte visité" xfId="23708" builtinId="9" hidden="1"/>
    <cellStyle name="Lien hypertexte visité" xfId="18350" builtinId="9" hidden="1"/>
    <cellStyle name="Lien hypertexte visité" xfId="13713" builtinId="9" hidden="1"/>
    <cellStyle name="Lien hypertexte visité" xfId="10129" builtinId="9" hidden="1"/>
    <cellStyle name="Lien hypertexte visité" xfId="6368" builtinId="9" hidden="1"/>
    <cellStyle name="Lien hypertexte visité" xfId="4152" builtinId="9" hidden="1"/>
    <cellStyle name="Lien hypertexte visité" xfId="67" builtinId="9" hidden="1"/>
    <cellStyle name="Lien hypertexte visité" xfId="3681" builtinId="9" hidden="1"/>
    <cellStyle name="Lien hypertexte visité" xfId="445" builtinId="9" hidden="1"/>
    <cellStyle name="Lien hypertexte visité" xfId="6187" builtinId="9" hidden="1"/>
    <cellStyle name="Lien hypertexte visité" xfId="11820" builtinId="9" hidden="1"/>
    <cellStyle name="Lien hypertexte visité" xfId="17317" builtinId="9" hidden="1"/>
    <cellStyle name="Lien hypertexte visité" xfId="21174" builtinId="9" hidden="1"/>
    <cellStyle name="Lien hypertexte visité" xfId="12477" builtinId="9" hidden="1"/>
    <cellStyle name="Lien hypertexte visité" xfId="8893" builtinId="9" hidden="1"/>
    <cellStyle name="Lien hypertexte visité" xfId="3510" builtinId="9" hidden="1"/>
    <cellStyle name="Lien hypertexte visité" xfId="3016" builtinId="9" hidden="1"/>
    <cellStyle name="Lien hypertexte visité" xfId="6606" builtinId="9" hidden="1"/>
    <cellStyle name="Lien hypertexte visité" xfId="11983" builtinId="9" hidden="1"/>
    <cellStyle name="Lien hypertexte visité" xfId="9182" builtinId="9" hidden="1"/>
    <cellStyle name="Lien hypertexte visité" xfId="11910" builtinId="9" hidden="1"/>
    <cellStyle name="Lien hypertexte visité" xfId="16817" builtinId="9" hidden="1"/>
    <cellStyle name="Lien hypertexte visité" xfId="23968" builtinId="9" hidden="1"/>
    <cellStyle name="Lien hypertexte visité" xfId="20818" builtinId="9" hidden="1"/>
    <cellStyle name="Lien hypertexte visité" xfId="19984" builtinId="9" hidden="1"/>
    <cellStyle name="Lien hypertexte visité" xfId="4413" builtinId="9" hidden="1"/>
    <cellStyle name="Lien hypertexte visité" xfId="6317" builtinId="9" hidden="1"/>
    <cellStyle name="Lien hypertexte visité" xfId="2863" builtinId="9" hidden="1"/>
    <cellStyle name="Lien hypertexte visité" xfId="593" builtinId="9" hidden="1"/>
    <cellStyle name="Lien hypertexte visité" xfId="3355" builtinId="9" hidden="1"/>
    <cellStyle name="Lien hypertexte visité" xfId="6989" builtinId="9" hidden="1"/>
    <cellStyle name="Lien hypertexte visité" xfId="8762" builtinId="9" hidden="1"/>
    <cellStyle name="Lien hypertexte visité" xfId="16343" builtinId="9" hidden="1"/>
    <cellStyle name="Lien hypertexte visité" xfId="11845" builtinId="9" hidden="1"/>
    <cellStyle name="Lien hypertexte visité" xfId="8085" builtinId="9" hidden="1"/>
    <cellStyle name="Lien hypertexte visité" xfId="5876" builtinId="9" hidden="1"/>
    <cellStyle name="Lien hypertexte visité" xfId="2286" builtinId="9" hidden="1"/>
    <cellStyle name="Lien hypertexte visité" xfId="2624" builtinId="9" hidden="1"/>
    <cellStyle name="Lien hypertexte visité" xfId="5366" builtinId="9" hidden="1"/>
    <cellStyle name="Lien hypertexte visité" xfId="8951" builtinId="9" hidden="1"/>
    <cellStyle name="Lien hypertexte visité" xfId="12535" builtinId="9" hidden="1"/>
    <cellStyle name="Lien hypertexte visité" xfId="15323" builtinId="9" hidden="1"/>
    <cellStyle name="Lien hypertexte visité" xfId="9942" builtinId="9" hidden="1"/>
    <cellStyle name="Lien hypertexte visité" xfId="12334" builtinId="9" hidden="1"/>
    <cellStyle name="Lien hypertexte visité" xfId="13922" builtinId="9" hidden="1"/>
    <cellStyle name="Lien hypertexte visité" xfId="18105" builtinId="9" hidden="1"/>
    <cellStyle name="Lien hypertexte visité" xfId="22872" builtinId="9" hidden="1"/>
    <cellStyle name="Lien hypertexte visité" xfId="22706" builtinId="9" hidden="1"/>
    <cellStyle name="Lien hypertexte visité" xfId="17715" builtinId="9" hidden="1"/>
    <cellStyle name="Lien hypertexte visité" xfId="18800" builtinId="9" hidden="1"/>
    <cellStyle name="Lien hypertexte visité" xfId="12250" builtinId="9" hidden="1"/>
    <cellStyle name="Lien hypertexte visité" xfId="22410" builtinId="9" hidden="1"/>
    <cellStyle name="Lien hypertexte visité" xfId="13506" builtinId="9" hidden="1"/>
    <cellStyle name="Lien hypertexte visité" xfId="9070" builtinId="9" hidden="1"/>
    <cellStyle name="Lien hypertexte visité" xfId="5926" builtinId="9" hidden="1"/>
    <cellStyle name="Lien hypertexte visité" xfId="5988" builtinId="9" hidden="1"/>
    <cellStyle name="Lien hypertexte visité" xfId="14181" builtinId="9" hidden="1"/>
    <cellStyle name="Lien hypertexte visité" xfId="7491" builtinId="9" hidden="1"/>
    <cellStyle name="Lien hypertexte visité" xfId="10708" builtinId="9" hidden="1"/>
    <cellStyle name="Lien hypertexte visité" xfId="12612" builtinId="9" hidden="1"/>
    <cellStyle name="Lien hypertexte visité" xfId="16853" builtinId="9" hidden="1"/>
    <cellStyle name="Lien hypertexte visité" xfId="23268" builtinId="9" hidden="1"/>
    <cellStyle name="Lien hypertexte visité" xfId="22150" builtinId="9" hidden="1"/>
    <cellStyle name="Lien hypertexte visité" xfId="11524" builtinId="9" hidden="1"/>
    <cellStyle name="Lien hypertexte visité" xfId="177" builtinId="9" hidden="1"/>
    <cellStyle name="Lien hypertexte visité" xfId="2653" builtinId="9" hidden="1"/>
    <cellStyle name="Lien hypertexte visité" xfId="1141" builtinId="9" hidden="1"/>
    <cellStyle name="Lien hypertexte visité" xfId="3281" builtinId="9" hidden="1"/>
    <cellStyle name="Lien hypertexte visité" xfId="6135" builtinId="9" hidden="1"/>
    <cellStyle name="Lien hypertexte visité" xfId="7783" builtinId="9" hidden="1"/>
    <cellStyle name="Lien hypertexte visité" xfId="3618" builtinId="9" hidden="1"/>
    <cellStyle name="Lien hypertexte visité" xfId="5479" builtinId="9" hidden="1"/>
    <cellStyle name="Lien hypertexte visité" xfId="3245" builtinId="9" hidden="1"/>
    <cellStyle name="Lien hypertexte visité" xfId="373" builtinId="9" hidden="1"/>
    <cellStyle name="Lien hypertexte visité" xfId="6019" builtinId="9" hidden="1"/>
    <cellStyle name="Lien hypertexte visité" xfId="20870" builtinId="9" hidden="1"/>
    <cellStyle name="Lien hypertexte visité" xfId="22212" builtinId="9" hidden="1"/>
    <cellStyle name="Lien hypertexte visité" xfId="18404" builtinId="9" hidden="1"/>
    <cellStyle name="Lien hypertexte visité" xfId="13252" builtinId="9" hidden="1"/>
    <cellStyle name="Lien hypertexte visité" xfId="10180" builtinId="9" hidden="1"/>
    <cellStyle name="Lien hypertexte visité" xfId="8276" builtinId="9" hidden="1"/>
    <cellStyle name="Lien hypertexte visité" xfId="18318" builtinId="9" hidden="1"/>
    <cellStyle name="Lien hypertexte visité" xfId="5668" builtinId="9" hidden="1"/>
    <cellStyle name="Lien hypertexte visité" xfId="263" builtinId="9" hidden="1"/>
    <cellStyle name="Lien hypertexte visité" xfId="5951" builtinId="9" hidden="1"/>
    <cellStyle name="Lien hypertexte visité" xfId="2233" builtinId="9" hidden="1"/>
    <cellStyle name="Lien hypertexte visité" xfId="1149" builtinId="9" hidden="1"/>
    <cellStyle name="Lien hypertexte visité" xfId="4747" builtinId="9" hidden="1"/>
    <cellStyle name="Lien hypertexte visité" xfId="8524" builtinId="9" hidden="1"/>
    <cellStyle name="Lien hypertexte visité" xfId="10700" builtinId="9" hidden="1"/>
    <cellStyle name="Lien hypertexte visité" xfId="14284" builtinId="9" hidden="1"/>
    <cellStyle name="Lien hypertexte visité" xfId="21588" builtinId="9" hidden="1"/>
    <cellStyle name="Lien hypertexte visité" xfId="22134" builtinId="9" hidden="1"/>
    <cellStyle name="Lien hypertexte visité" xfId="14983" builtinId="9" hidden="1"/>
    <cellStyle name="Lien hypertexte visité" xfId="11165" builtinId="9" hidden="1"/>
    <cellStyle name="Lien hypertexte visité" xfId="8797" builtinId="9" hidden="1"/>
    <cellStyle name="Lien hypertexte visité" xfId="5212" builtinId="9" hidden="1"/>
    <cellStyle name="Lien hypertexte visité" xfId="1622" builtinId="9" hidden="1"/>
    <cellStyle name="Lien hypertexte visité" xfId="1896" builtinId="9" hidden="1"/>
    <cellStyle name="Lien hypertexte visité" xfId="5486" builtinId="9" hidden="1"/>
    <cellStyle name="Lien hypertexte visité" xfId="9071" builtinId="9" hidden="1"/>
    <cellStyle name="Lien hypertexte visité" xfId="11823" builtinId="9" hidden="1"/>
    <cellStyle name="Lien hypertexte visité" xfId="16683" builtinId="9" hidden="1"/>
    <cellStyle name="Lien hypertexte visité" xfId="10398" builtinId="9" hidden="1"/>
    <cellStyle name="Lien hypertexte visité" xfId="11846" builtinId="9" hidden="1"/>
    <cellStyle name="Lien hypertexte visité" xfId="14366" builtinId="9" hidden="1"/>
    <cellStyle name="Lien hypertexte visité" xfId="18976" builtinId="9" hidden="1"/>
    <cellStyle name="Lien hypertexte visité" xfId="21960" builtinId="9" hidden="1"/>
    <cellStyle name="Lien hypertexte visité" xfId="22314" builtinId="9" hidden="1"/>
    <cellStyle name="Lien hypertexte visité" xfId="17555" builtinId="9" hidden="1"/>
    <cellStyle name="Lien hypertexte visité" xfId="21648" builtinId="9" hidden="1"/>
    <cellStyle name="Lien hypertexte visité" xfId="10922" builtinId="9" hidden="1"/>
    <cellStyle name="Lien hypertexte visité" xfId="5309" builtinId="9" hidden="1"/>
    <cellStyle name="Lien hypertexte visité" xfId="6553" builtinId="9" hidden="1"/>
    <cellStyle name="Lien hypertexte visité" xfId="5513" builtinId="9" hidden="1"/>
    <cellStyle name="Lien hypertexte visité" xfId="2627" builtinId="9" hidden="1"/>
    <cellStyle name="Lien hypertexte visité" xfId="1382" builtinId="9" hidden="1"/>
    <cellStyle name="Lien hypertexte visité" xfId="1547" builtinId="9" hidden="1"/>
    <cellStyle name="Lien hypertexte visité" xfId="4137" builtinId="9" hidden="1"/>
    <cellStyle name="Lien hypertexte visité" xfId="7225" builtinId="9" hidden="1"/>
    <cellStyle name="Lien hypertexte visité" xfId="5177" builtinId="9" hidden="1"/>
    <cellStyle name="Lien hypertexte visité" xfId="11002" builtinId="9" hidden="1"/>
    <cellStyle name="Lien hypertexte visité" xfId="16119" builtinId="9" hidden="1"/>
    <cellStyle name="Lien hypertexte visité" xfId="12933" builtinId="9" hidden="1"/>
    <cellStyle name="Lien hypertexte visité" xfId="10549" builtinId="9" hidden="1"/>
    <cellStyle name="Lien hypertexte visité" xfId="8917" builtinId="9" hidden="1"/>
    <cellStyle name="Lien hypertexte visité" xfId="6532" builtinId="9" hidden="1"/>
    <cellStyle name="Lien hypertexte visité" xfId="4148" builtinId="9" hidden="1"/>
    <cellStyle name="Lien hypertexte visité" xfId="2350" builtinId="9" hidden="1"/>
    <cellStyle name="Lien hypertexte visité" xfId="1327" builtinId="9" hidden="1"/>
    <cellStyle name="Lien hypertexte visité" xfId="3721" builtinId="9" hidden="1"/>
    <cellStyle name="Lien hypertexte visité" xfId="5206" builtinId="9" hidden="1"/>
    <cellStyle name="Lien hypertexte visité" xfId="7686" builtinId="9" hidden="1"/>
    <cellStyle name="Lien hypertexte visité" xfId="10071" builtinId="9" hidden="1"/>
    <cellStyle name="Lien hypertexte visité" xfId="11575" builtinId="9" hidden="1"/>
    <cellStyle name="Lien hypertexte visité" xfId="14087" builtinId="9" hidden="1"/>
    <cellStyle name="Lien hypertexte visité" xfId="8590" builtinId="9" hidden="1"/>
    <cellStyle name="Lien hypertexte visité" xfId="9782" builtinId="9" hidden="1"/>
    <cellStyle name="Lien hypertexte visité" xfId="11382" builtinId="9" hidden="1"/>
    <cellStyle name="Lien hypertexte visité" xfId="13058" builtinId="9" hidden="1"/>
    <cellStyle name="Lien hypertexte visité" xfId="14050" builtinId="9" hidden="1"/>
    <cellStyle name="Lien hypertexte visité" xfId="16785" builtinId="9" hidden="1"/>
    <cellStyle name="Lien hypertexte visité" xfId="20056" builtinId="9" hidden="1"/>
    <cellStyle name="Lien hypertexte visité" xfId="22056" builtinId="9" hidden="1"/>
    <cellStyle name="Lien hypertexte visité" xfId="23986" builtinId="9" hidden="1"/>
    <cellStyle name="Lien hypertexte visité" xfId="20642" builtinId="9" hidden="1"/>
    <cellStyle name="Lien hypertexte visité" xfId="18267" builtinId="9" hidden="1"/>
    <cellStyle name="Lien hypertexte visité" xfId="24026" builtinId="9" hidden="1"/>
    <cellStyle name="Lien hypertexte visité" xfId="15681" builtinId="9" hidden="1"/>
    <cellStyle name="Lien hypertexte visité" xfId="11866" builtinId="9" hidden="1"/>
    <cellStyle name="Lien hypertexte visité" xfId="17731" builtinId="9" hidden="1"/>
    <cellStyle name="Lien hypertexte visité" xfId="21952" builtinId="9" hidden="1"/>
    <cellStyle name="Lien hypertexte visité" xfId="15657" builtinId="9" hidden="1"/>
    <cellStyle name="Lien hypertexte visité" xfId="10306" builtinId="9" hidden="1"/>
    <cellStyle name="Lien hypertexte visité" xfId="11879" builtinId="9" hidden="1"/>
    <cellStyle name="Lien hypertexte visité" xfId="6374" builtinId="9" hidden="1"/>
    <cellStyle name="Lien hypertexte visité" xfId="2207" builtinId="9" hidden="1"/>
    <cellStyle name="Lien hypertexte visité" xfId="11111" builtinId="9" hidden="1"/>
    <cellStyle name="Lien hypertexte visité" xfId="13890" builtinId="9" hidden="1"/>
    <cellStyle name="Lien hypertexte visité" xfId="12954" builtinId="9" hidden="1"/>
    <cellStyle name="Lien hypertexte visité" xfId="20002" builtinId="9" hidden="1"/>
    <cellStyle name="Lien hypertexte visité" xfId="23296" builtinId="9" hidden="1"/>
    <cellStyle name="Lien hypertexte visité" xfId="13910" builtinId="9" hidden="1"/>
    <cellStyle name="Lien hypertexte visité" xfId="9134" builtinId="9" hidden="1"/>
    <cellStyle name="Lien hypertexte visité" xfId="11831" builtinId="9" hidden="1"/>
    <cellStyle name="Lien hypertexte visité" xfId="4662" builtinId="9" hidden="1"/>
    <cellStyle name="Lien hypertexte visité" xfId="4020" builtinId="9" hidden="1"/>
    <cellStyle name="Lien hypertexte visité" xfId="8453" builtinId="9" hidden="1"/>
    <cellStyle name="Lien hypertexte visité" xfId="16727" builtinId="9" hidden="1"/>
    <cellStyle name="Lien hypertexte visité" xfId="6441" builtinId="9" hidden="1"/>
    <cellStyle name="Lien hypertexte visité" xfId="905" builtinId="9" hidden="1"/>
    <cellStyle name="Lien hypertexte visité" xfId="6589" builtinId="9" hidden="1"/>
    <cellStyle name="Lien hypertexte visité" xfId="20922" builtinId="9" hidden="1"/>
    <cellStyle name="Lien hypertexte visité" xfId="22216" builtinId="9" hidden="1"/>
    <cellStyle name="Lien hypertexte visité" xfId="11206" builtinId="9" hidden="1"/>
    <cellStyle name="Lien hypertexte visité" xfId="9647" builtinId="9" hidden="1"/>
    <cellStyle name="Lien hypertexte visité" xfId="2472" builtinId="9" hidden="1"/>
    <cellStyle name="Lien hypertexte visité" xfId="14729" builtinId="9" hidden="1"/>
    <cellStyle name="Lien hypertexte visité" xfId="1599" builtinId="9" hidden="1"/>
    <cellStyle name="Lien hypertexte visité" xfId="17399" builtinId="9" hidden="1"/>
    <cellStyle name="Lien hypertexte visité" xfId="7046" builtinId="9" hidden="1"/>
    <cellStyle name="Lien hypertexte visité" xfId="19200" builtinId="9" hidden="1"/>
    <cellStyle name="Lien hypertexte visité" xfId="18352" builtinId="9" hidden="1"/>
    <cellStyle name="Lien hypertexte visité" xfId="3296" builtinId="9" hidden="1"/>
    <cellStyle name="Lien hypertexte visité" xfId="14402" builtinId="9" hidden="1"/>
    <cellStyle name="Lien hypertexte visité" xfId="19098" builtinId="9" hidden="1"/>
    <cellStyle name="Lien hypertexte visité" xfId="19546" builtinId="9" hidden="1"/>
    <cellStyle name="Lien hypertexte visité" xfId="22952" builtinId="9" hidden="1"/>
    <cellStyle name="Lien hypertexte visité" xfId="16889" builtinId="9" hidden="1"/>
    <cellStyle name="Lien hypertexte visité" xfId="10870" builtinId="9" hidden="1"/>
    <cellStyle name="Lien hypertexte visité" xfId="12599" builtinId="9" hidden="1"/>
    <cellStyle name="Lien hypertexte visité" xfId="7126" builtinId="9" hidden="1"/>
    <cellStyle name="Lien hypertexte visité" xfId="1325" builtinId="9" hidden="1"/>
    <cellStyle name="Lien hypertexte visité" xfId="8581" builtinId="9" hidden="1"/>
    <cellStyle name="Lien hypertexte visité" xfId="13141" builtinId="9" hidden="1"/>
    <cellStyle name="Lien hypertexte visité" xfId="6165" builtinId="9" hidden="1"/>
    <cellStyle name="Lien hypertexte visité" xfId="561" builtinId="9" hidden="1"/>
    <cellStyle name="Lien hypertexte visité" xfId="4745" builtinId="9" hidden="1"/>
    <cellStyle name="Lien hypertexte visité" xfId="13354" builtinId="9" hidden="1"/>
    <cellStyle name="Lien hypertexte visité" xfId="24008" builtinId="9" hidden="1"/>
    <cellStyle name="Lien hypertexte visité" xfId="13810" builtinId="9" hidden="1"/>
    <cellStyle name="Lien hypertexte visité" xfId="13359" builtinId="9" hidden="1"/>
    <cellStyle name="Lien hypertexte visité" xfId="2408" builtinId="9" hidden="1"/>
    <cellStyle name="Lien hypertexte visité" xfId="5532" builtinId="9" hidden="1"/>
    <cellStyle name="Lien hypertexte visité" xfId="18422" builtinId="9" hidden="1"/>
    <cellStyle name="Lien hypertexte visité" xfId="11724" builtinId="9" hidden="1"/>
    <cellStyle name="Lien hypertexte visité" xfId="4939" builtinId="9" hidden="1"/>
    <cellStyle name="Lien hypertexte visité" xfId="7167" builtinId="9" hidden="1"/>
    <cellStyle name="Lien hypertexte visité" xfId="6963" builtinId="9" hidden="1"/>
    <cellStyle name="Lien hypertexte visité" xfId="13988" builtinId="9" hidden="1"/>
    <cellStyle name="Lien hypertexte visité" xfId="15957" builtinId="9" hidden="1"/>
    <cellStyle name="Lien hypertexte visité" xfId="5879" builtinId="9" hidden="1"/>
    <cellStyle name="Lien hypertexte visité" xfId="7527" builtinId="9" hidden="1"/>
    <cellStyle name="Lien hypertexte visité" xfId="4163" builtinId="9" hidden="1"/>
    <cellStyle name="Lien hypertexte visité" xfId="20390" builtinId="9" hidden="1"/>
    <cellStyle name="Lien hypertexte visité" xfId="17141" builtinId="9" hidden="1"/>
    <cellStyle name="Lien hypertexte visité" xfId="6467" builtinId="9" hidden="1"/>
    <cellStyle name="Lien hypertexte visité" xfId="12583" builtinId="9" hidden="1"/>
    <cellStyle name="Lien hypertexte visité" xfId="18994" builtinId="9" hidden="1"/>
    <cellStyle name="Lien hypertexte visité" xfId="20658" builtinId="9" hidden="1"/>
    <cellStyle name="Lien hypertexte visité" xfId="14262" builtinId="9" hidden="1"/>
    <cellStyle name="Lien hypertexte visité" xfId="9718" builtinId="9" hidden="1"/>
    <cellStyle name="Lien hypertexte visité" xfId="7238" builtinId="9" hidden="1"/>
    <cellStyle name="Lien hypertexte visité" xfId="4852" builtinId="9" hidden="1"/>
    <cellStyle name="Lien hypertexte visité" xfId="11669" builtinId="9" hidden="1"/>
    <cellStyle name="Lien hypertexte visité" xfId="8014" builtinId="9" hidden="1"/>
    <cellStyle name="Lien hypertexte visité" xfId="7633" builtinId="9" hidden="1"/>
    <cellStyle name="Lien hypertexte visité" xfId="24122" builtinId="9" hidden="1"/>
    <cellStyle name="Lien hypertexte visité" xfId="13446" builtinId="9" hidden="1"/>
    <cellStyle name="Lien hypertexte visité" xfId="23210" builtinId="9" hidden="1"/>
    <cellStyle name="Lien hypertexte visité" xfId="2535" builtinId="9" hidden="1"/>
    <cellStyle name="Lien hypertexte visité" xfId="9975" builtinId="9" hidden="1"/>
    <cellStyle name="Lien hypertexte visité" xfId="14721" builtinId="9" hidden="1"/>
    <cellStyle name="Lien hypertexte visité" xfId="5299" builtinId="9" hidden="1"/>
    <cellStyle name="Lien hypertexte visité" xfId="5271" builtinId="9" hidden="1"/>
    <cellStyle name="Lien hypertexte visité" xfId="20452" builtinId="9" hidden="1"/>
    <cellStyle name="Lien hypertexte visité" xfId="8512" builtinId="9" hidden="1"/>
    <cellStyle name="Lien hypertexte visité" xfId="13725" builtinId="9" hidden="1"/>
    <cellStyle name="Lien hypertexte visité" xfId="11078" builtinId="9" hidden="1"/>
    <cellStyle name="Lien hypertexte visité" xfId="17569" builtinId="9" hidden="1"/>
    <cellStyle name="Lien hypertexte visité" xfId="4593" builtinId="9" hidden="1"/>
    <cellStyle name="Lien hypertexte visité" xfId="4406" builtinId="9" hidden="1"/>
    <cellStyle name="Lien hypertexte visité" xfId="10242" builtinId="9" hidden="1"/>
    <cellStyle name="Lien hypertexte visité" xfId="22512" builtinId="9" hidden="1"/>
    <cellStyle name="Lien hypertexte visité" xfId="9110" builtinId="9" hidden="1"/>
    <cellStyle name="Lien hypertexte visité" xfId="9783" builtinId="9" hidden="1"/>
    <cellStyle name="Lien hypertexte visité" xfId="9158" builtinId="9" hidden="1"/>
    <cellStyle name="Lien hypertexte visité" xfId="16777" builtinId="9" hidden="1"/>
    <cellStyle name="Lien hypertexte visité" xfId="5713" builtinId="9" hidden="1"/>
    <cellStyle name="Lien hypertexte visité" xfId="13909" builtinId="9" hidden="1"/>
    <cellStyle name="Lien hypertexte visité" xfId="9095" builtinId="9" hidden="1"/>
    <cellStyle name="Lien hypertexte visité" xfId="13454" builtinId="9" hidden="1"/>
    <cellStyle name="Lien hypertexte visité" xfId="22448" builtinId="9" hidden="1"/>
    <cellStyle name="Lien hypertexte visité" xfId="3688" builtinId="9" hidden="1"/>
    <cellStyle name="Lien hypertexte visité" xfId="9622" builtinId="9" hidden="1"/>
    <cellStyle name="Lien hypertexte visité" xfId="23194" builtinId="9" hidden="1"/>
    <cellStyle name="Lien hypertexte visité" xfId="18219" builtinId="9" hidden="1"/>
    <cellStyle name="Lien hypertexte visité" xfId="23538" builtinId="9" hidden="1"/>
    <cellStyle name="Lien hypertexte visité" xfId="15977" builtinId="9" hidden="1"/>
    <cellStyle name="Lien hypertexte visité" xfId="10414" builtinId="9" hidden="1"/>
    <cellStyle name="Lien hypertexte visité" xfId="14295" builtinId="9" hidden="1"/>
    <cellStyle name="Lien hypertexte visité" xfId="6998" builtinId="9" hidden="1"/>
    <cellStyle name="Lien hypertexte visité" xfId="1405" builtinId="9" hidden="1"/>
    <cellStyle name="Lien hypertexte visité" xfId="6196" builtinId="9" hidden="1"/>
    <cellStyle name="Lien hypertexte visité" xfId="13493" builtinId="9" hidden="1"/>
    <cellStyle name="Lien hypertexte visité" xfId="6457" builtinId="9" hidden="1"/>
    <cellStyle name="Lien hypertexte visité" xfId="3893" builtinId="9" hidden="1"/>
    <cellStyle name="Lien hypertexte visité" xfId="8126" builtinId="9" hidden="1"/>
    <cellStyle name="Lien hypertexte visité" xfId="16289" builtinId="9" hidden="1"/>
    <cellStyle name="Lien hypertexte visité" xfId="21802" builtinId="9" hidden="1"/>
    <cellStyle name="Lien hypertexte visité" xfId="13682" builtinId="9" hidden="1"/>
    <cellStyle name="Lien hypertexte visité" xfId="13167" builtinId="9" hidden="1"/>
    <cellStyle name="Lien hypertexte visité" xfId="5998" builtinId="9" hidden="1"/>
    <cellStyle name="Lien hypertexte visité" xfId="6044" builtinId="9" hidden="1"/>
    <cellStyle name="Lien hypertexte visité" xfId="19446" builtinId="9" hidden="1"/>
    <cellStyle name="Lien hypertexte visité" xfId="15077" builtinId="9" hidden="1"/>
    <cellStyle name="Lien hypertexte visité" xfId="3919" builtinId="9" hidden="1"/>
    <cellStyle name="Lien hypertexte visité" xfId="8192" builtinId="9" hidden="1"/>
    <cellStyle name="Lien hypertexte visité" xfId="16279" builtinId="9" hidden="1"/>
    <cellStyle name="Lien hypertexte visité" xfId="14132" builtinId="9" hidden="1"/>
    <cellStyle name="Lien hypertexte visité" xfId="14212" builtinId="9" hidden="1"/>
    <cellStyle name="Lien hypertexte visité" xfId="2845" builtinId="9" hidden="1"/>
    <cellStyle name="Lien hypertexte visité" xfId="8216" builtinId="9" hidden="1"/>
    <cellStyle name="Lien hypertexte visité" xfId="3750" builtinId="9" hidden="1"/>
    <cellStyle name="Lien hypertexte visité" xfId="8452" builtinId="9" hidden="1"/>
    <cellStyle name="Lien hypertexte visité" xfId="15381" builtinId="9" hidden="1"/>
    <cellStyle name="Lien hypertexte visité" xfId="5587" builtinId="9" hidden="1"/>
    <cellStyle name="Lien hypertexte visité" xfId="4902" builtinId="9" hidden="1"/>
    <cellStyle name="Lien hypertexte visité" xfId="18320" builtinId="9" hidden="1"/>
    <cellStyle name="Lien hypertexte visité" xfId="20898" builtinId="9" hidden="1"/>
    <cellStyle name="Lien hypertexte visité" xfId="18776" builtinId="9" hidden="1"/>
    <cellStyle name="Lien hypertexte visité" xfId="9378" builtinId="9" hidden="1"/>
    <cellStyle name="Lien hypertexte visité" xfId="6726" builtinId="9" hidden="1"/>
    <cellStyle name="Lien hypertexte visité" xfId="1774" builtinId="9" hidden="1"/>
    <cellStyle name="Lien hypertexte visité" xfId="12693" builtinId="9" hidden="1"/>
    <cellStyle name="Lien hypertexte visité" xfId="2263" builtinId="9" hidden="1"/>
    <cellStyle name="Lien hypertexte visité" xfId="3135" builtinId="9" hidden="1"/>
    <cellStyle name="Lien hypertexte visité" xfId="23098" builtinId="9" hidden="1"/>
    <cellStyle name="Lien hypertexte visité" xfId="13278" builtinId="9" hidden="1"/>
    <cellStyle name="Lien hypertexte visité" xfId="12751" builtinId="9" hidden="1"/>
    <cellStyle name="Lien hypertexte visité" xfId="4796" builtinId="9" hidden="1"/>
    <cellStyle name="Lien hypertexte visité" xfId="21396" builtinId="9" hidden="1"/>
    <cellStyle name="Lien hypertexte visité" xfId="6955" builtinId="9" hidden="1"/>
    <cellStyle name="Lien hypertexte visité" xfId="1417" builtinId="9" hidden="1"/>
    <cellStyle name="Lien hypertexte visité" xfId="12345" builtinId="9" hidden="1"/>
    <cellStyle name="Lien hypertexte visité" xfId="24396" builtinId="9" hidden="1"/>
    <cellStyle name="Lien hypertexte visité" xfId="9792" builtinId="9" hidden="1"/>
    <cellStyle name="Lien hypertexte visité" xfId="8435" builtinId="9" hidden="1"/>
    <cellStyle name="Lien hypertexte visité" xfId="2284" builtinId="9" hidden="1"/>
    <cellStyle name="Lien hypertexte visité" xfId="16227" builtinId="9" hidden="1"/>
    <cellStyle name="Lien hypertexte visité" xfId="1003" builtinId="9" hidden="1"/>
    <cellStyle name="Lien hypertexte visité" xfId="7378" builtinId="9" hidden="1"/>
    <cellStyle name="Lien hypertexte visité" xfId="11007" builtinId="9" hidden="1"/>
    <cellStyle name="Lien hypertexte visité" xfId="4223" builtinId="9" hidden="1"/>
    <cellStyle name="Lien hypertexte visité" xfId="6914" builtinId="9" hidden="1"/>
    <cellStyle name="Lien hypertexte visité" xfId="24078" builtinId="9" hidden="1"/>
    <cellStyle name="Lien hypertexte visité" xfId="14637" builtinId="9" hidden="1"/>
    <cellStyle name="Lien hypertexte visité" xfId="22142" builtinId="9" hidden="1"/>
    <cellStyle name="Lien hypertexte visité" xfId="8993" builtinId="9" hidden="1"/>
    <cellStyle name="Lien hypertexte visité" xfId="21276" builtinId="9" hidden="1"/>
    <cellStyle name="Lien hypertexte visité" xfId="14307" builtinId="9" hidden="1"/>
    <cellStyle name="Lien hypertexte visité" xfId="10003" builtinId="9" hidden="1"/>
    <cellStyle name="Lien hypertexte visité" xfId="4434" builtinId="9" hidden="1"/>
    <cellStyle name="Lien hypertexte visité" xfId="12851" builtinId="9" hidden="1"/>
    <cellStyle name="Lien hypertexte visité" xfId="8203" builtinId="9" hidden="1"/>
    <cellStyle name="Lien hypertexte visité" xfId="6482" builtinId="9" hidden="1"/>
    <cellStyle name="Lien hypertexte visité" xfId="3036" builtinId="9" hidden="1"/>
    <cellStyle name="Lien hypertexte visité" xfId="3613" builtinId="9" hidden="1"/>
    <cellStyle name="Lien hypertexte visité" xfId="16387" builtinId="9" hidden="1"/>
    <cellStyle name="Lien hypertexte visité" xfId="10083" builtinId="9" hidden="1"/>
    <cellStyle name="Lien hypertexte visité" xfId="4048" builtinId="9" hidden="1"/>
    <cellStyle name="Lien hypertexte visité" xfId="13433" builtinId="9" hidden="1"/>
    <cellStyle name="Lien hypertexte visité" xfId="24428" builtinId="9" hidden="1"/>
    <cellStyle name="Lien hypertexte visité" xfId="10136" builtinId="9" hidden="1"/>
    <cellStyle name="Lien hypertexte visité" xfId="5992" builtinId="9" hidden="1"/>
    <cellStyle name="Lien hypertexte visité" xfId="5778" builtinId="9" hidden="1"/>
    <cellStyle name="Lien hypertexte visité" xfId="23286" builtinId="9" hidden="1"/>
    <cellStyle name="Lien hypertexte visité" xfId="22560" builtinId="9" hidden="1"/>
    <cellStyle name="Lien hypertexte visité" xfId="3925" builtinId="9" hidden="1"/>
    <cellStyle name="Lien hypertexte visité" xfId="8247" builtinId="9" hidden="1"/>
    <cellStyle name="Lien hypertexte visité" xfId="21616" builtinId="9" hidden="1"/>
    <cellStyle name="Lien hypertexte visité" xfId="2078" builtinId="9" hidden="1"/>
    <cellStyle name="Lien hypertexte visité" xfId="23144" builtinId="9" hidden="1"/>
    <cellStyle name="Lien hypertexte visité" xfId="18307" builtinId="9" hidden="1"/>
    <cellStyle name="Lien hypertexte visité" xfId="21208" builtinId="9" hidden="1"/>
    <cellStyle name="Lien hypertexte visité" xfId="10582" builtinId="9" hidden="1"/>
    <cellStyle name="Lien hypertexte visité" xfId="8535" builtinId="9" hidden="1"/>
    <cellStyle name="Lien hypertexte visité" xfId="1279" builtinId="9" hidden="1"/>
    <cellStyle name="Lien hypertexte visité" xfId="10805" builtinId="9" hidden="1"/>
    <cellStyle name="Lien hypertexte visité" xfId="7261" builtinId="9" hidden="1"/>
    <cellStyle name="Lien hypertexte visité" xfId="2063" builtinId="9" hidden="1"/>
    <cellStyle name="Lien hypertexte visité" xfId="14506" builtinId="9" hidden="1"/>
    <cellStyle name="Lien hypertexte visité" xfId="15921" builtinId="9" hidden="1"/>
    <cellStyle name="Lien hypertexte visité" xfId="16427" builtinId="9" hidden="1"/>
    <cellStyle name="Lien hypertexte visité" xfId="2070" builtinId="9" hidden="1"/>
    <cellStyle name="Lien hypertexte visité" xfId="22390" builtinId="9" hidden="1"/>
    <cellStyle name="Lien hypertexte visité" xfId="9804" builtinId="9" hidden="1"/>
    <cellStyle name="Lien hypertexte visité" xfId="7743" builtinId="9" hidden="1"/>
    <cellStyle name="Lien hypertexte visité" xfId="12148" builtinId="9" hidden="1"/>
    <cellStyle name="Lien hypertexte visité" xfId="20710" builtinId="9" hidden="1"/>
    <cellStyle name="Lien hypertexte visité" xfId="3297" builtinId="9" hidden="1"/>
    <cellStyle name="Lien hypertexte visité" xfId="2589" builtinId="9" hidden="1"/>
    <cellStyle name="Lien hypertexte visité" xfId="23750" builtinId="9" hidden="1"/>
    <cellStyle name="Lien hypertexte visité" xfId="5955" builtinId="9" hidden="1"/>
    <cellStyle name="Lien hypertexte visité" xfId="21696" builtinId="9" hidden="1"/>
    <cellStyle name="Lien hypertexte visité" xfId="17843" builtinId="9" hidden="1"/>
    <cellStyle name="Lien hypertexte visité" xfId="12046" builtinId="9" hidden="1"/>
    <cellStyle name="Lien hypertexte visité" xfId="5270" builtinId="9" hidden="1"/>
    <cellStyle name="Lien hypertexte visité" xfId="6804" builtinId="9" hidden="1"/>
    <cellStyle name="Lien hypertexte visité" xfId="12277" builtinId="9" hidden="1"/>
    <cellStyle name="Lien hypertexte visité" xfId="24128" builtinId="9" hidden="1"/>
    <cellStyle name="Lien hypertexte visité" xfId="16117" builtinId="9" hidden="1"/>
    <cellStyle name="Lien hypertexte visité" xfId="1521" builtinId="9" hidden="1"/>
    <cellStyle name="Lien hypertexte visité" xfId="4299" builtinId="9" hidden="1"/>
    <cellStyle name="Lien hypertexte visité" xfId="10031" builtinId="9" hidden="1"/>
    <cellStyle name="Lien hypertexte visité" xfId="7049" builtinId="9" hidden="1"/>
    <cellStyle name="Lien hypertexte visité" xfId="3534" builtinId="9" hidden="1"/>
    <cellStyle name="Lien hypertexte visité" xfId="16377" builtinId="9" hidden="1"/>
    <cellStyle name="Lien hypertexte visité" xfId="9959" builtinId="9" hidden="1"/>
    <cellStyle name="Lien hypertexte visité" xfId="15031" builtinId="9" hidden="1"/>
    <cellStyle name="Lien hypertexte visité" xfId="3108" builtinId="9" hidden="1"/>
    <cellStyle name="Lien hypertexte visité" xfId="18221" builtinId="9" hidden="1"/>
    <cellStyle name="Lien hypertexte visité" xfId="24590" builtinId="9" hidden="1"/>
    <cellStyle name="Lien hypertexte visité" xfId="3044" builtinId="9" hidden="1"/>
    <cellStyle name="Lien hypertexte visité" xfId="7875" builtinId="9" hidden="1"/>
    <cellStyle name="Lien hypertexte visité" xfId="16531" builtinId="9" hidden="1"/>
    <cellStyle name="Lien hypertexte visité" xfId="15935" builtinId="9" hidden="1"/>
    <cellStyle name="Lien hypertexte visité" xfId="109" builtinId="9" hidden="1"/>
    <cellStyle name="Lien hypertexte visité" xfId="3651" builtinId="9" hidden="1"/>
    <cellStyle name="Lien hypertexte visité" xfId="12347" builtinId="9" hidden="1"/>
    <cellStyle name="Lien hypertexte visité" xfId="17245" builtinId="9" hidden="1"/>
    <cellStyle name="Lien hypertexte visité" xfId="1573" builtinId="9" hidden="1"/>
    <cellStyle name="Lien hypertexte visité" xfId="7118" builtinId="9" hidden="1"/>
    <cellStyle name="Lien hypertexte visité" xfId="6753" builtinId="9" hidden="1"/>
    <cellStyle name="Lien hypertexte visité" xfId="5364" builtinId="9" hidden="1"/>
    <cellStyle name="Lien hypertexte visité" xfId="14158" builtinId="9" hidden="1"/>
    <cellStyle name="Lien hypertexte visité" xfId="16795" builtinId="9" hidden="1"/>
    <cellStyle name="Lien hypertexte visité" xfId="21286" builtinId="9" hidden="1"/>
    <cellStyle name="Lien hypertexte visité" xfId="5735" builtinId="9" hidden="1"/>
    <cellStyle name="Lien hypertexte visité" xfId="7844" builtinId="9" hidden="1"/>
    <cellStyle name="Lien hypertexte visité" xfId="11212" builtinId="9" hidden="1"/>
    <cellStyle name="Lien hypertexte visité" xfId="2280" builtinId="9" hidden="1"/>
    <cellStyle name="Lien hypertexte visité" xfId="22648" builtinId="9" hidden="1"/>
    <cellStyle name="Lien hypertexte visité" xfId="473" builtinId="9" hidden="1"/>
    <cellStyle name="Lien hypertexte visité" xfId="8709" builtinId="9" hidden="1"/>
    <cellStyle name="Lien hypertexte visité" xfId="11911" builtinId="9" hidden="1"/>
    <cellStyle name="Lien hypertexte visité" xfId="22504" builtinId="9" hidden="1"/>
    <cellStyle name="Lien hypertexte visité" xfId="14801" builtinId="9" hidden="1"/>
    <cellStyle name="Lien hypertexte visité" xfId="21928" builtinId="9" hidden="1"/>
    <cellStyle name="Lien hypertexte visité" xfId="1222" builtinId="9" hidden="1"/>
    <cellStyle name="Lien hypertexte visité" xfId="13237" builtinId="9" hidden="1"/>
    <cellStyle name="Lien hypertexte visité" xfId="15697" builtinId="9" hidden="1"/>
    <cellStyle name="Lien hypertexte visité" xfId="7942" builtinId="9" hidden="1"/>
    <cellStyle name="Lien hypertexte visité" xfId="3525" builtinId="9" hidden="1"/>
    <cellStyle name="Lien hypertexte visité" xfId="14805" builtinId="9" hidden="1"/>
    <cellStyle name="Lien hypertexte visité" xfId="13045" builtinId="9" hidden="1"/>
    <cellStyle name="Lien hypertexte visité" xfId="20482" builtinId="9" hidden="1"/>
    <cellStyle name="Lien hypertexte visité" xfId="17015" builtinId="9" hidden="1"/>
    <cellStyle name="Lien hypertexte visité" xfId="14071" builtinId="9" hidden="1"/>
    <cellStyle name="Lien hypertexte visité" xfId="11898" builtinId="9" hidden="1"/>
    <cellStyle name="Lien hypertexte visité" xfId="12324" builtinId="9" hidden="1"/>
    <cellStyle name="Lien hypertexte visité" xfId="6775" builtinId="9" hidden="1"/>
    <cellStyle name="Lien hypertexte visité" xfId="18133" builtinId="9" hidden="1"/>
    <cellStyle name="Lien hypertexte visité" xfId="509" builtinId="9" hidden="1"/>
    <cellStyle name="Lien hypertexte visité" xfId="9629" builtinId="9" hidden="1"/>
    <cellStyle name="Lien hypertexte visité" xfId="11974" builtinId="9" hidden="1"/>
    <cellStyle name="Lien hypertexte visité" xfId="6369" builtinId="9" hidden="1"/>
    <cellStyle name="Lien hypertexte visité" xfId="17239" builtinId="9" hidden="1"/>
    <cellStyle name="Lien hypertexte visité" xfId="5302" builtinId="9" hidden="1"/>
    <cellStyle name="Lien hypertexte visité" xfId="13878" builtinId="9" hidden="1"/>
    <cellStyle name="Lien hypertexte visité" xfId="13050" builtinId="9" hidden="1"/>
    <cellStyle name="Lien hypertexte visité" xfId="14633" builtinId="9" hidden="1"/>
    <cellStyle name="Lien hypertexte visité" xfId="7764" builtinId="9" hidden="1"/>
    <cellStyle name="Lien hypertexte visité" xfId="5038" builtinId="9" hidden="1"/>
    <cellStyle name="Lien hypertexte visité" xfId="18808" builtinId="9" hidden="1"/>
    <cellStyle name="Lien hypertexte visité" xfId="3673" builtinId="9" hidden="1"/>
    <cellStyle name="Lien hypertexte visité" xfId="11189" builtinId="9" hidden="1"/>
    <cellStyle name="Lien hypertexte visité" xfId="10119" builtinId="9" hidden="1"/>
    <cellStyle name="Lien hypertexte visité" xfId="19672" builtinId="9" hidden="1"/>
    <cellStyle name="Lien hypertexte visité" xfId="24168" builtinId="9" hidden="1"/>
    <cellStyle name="Lien hypertexte visité" xfId="4326" builtinId="9" hidden="1"/>
    <cellStyle name="Lien hypertexte visité" xfId="13294" builtinId="9" hidden="1"/>
    <cellStyle name="Lien hypertexte visité" xfId="15297" builtinId="9" hidden="1"/>
    <cellStyle name="Lien hypertexte visité" xfId="17459" builtinId="9" hidden="1"/>
    <cellStyle name="Lien hypertexte visité" xfId="23256" builtinId="9" hidden="1"/>
    <cellStyle name="Lien hypertexte visité" xfId="14777" builtinId="9" hidden="1"/>
    <cellStyle name="Lien hypertexte visité" xfId="10190" builtinId="9" hidden="1"/>
    <cellStyle name="Lien hypertexte visité" xfId="12471" builtinId="9" hidden="1"/>
    <cellStyle name="Lien hypertexte visité" xfId="6102" builtinId="9" hidden="1"/>
    <cellStyle name="Lien hypertexte visité" xfId="1662" builtinId="9" hidden="1"/>
    <cellStyle name="Lien hypertexte visité" xfId="8021" builtinId="9" hidden="1"/>
    <cellStyle name="Lien hypertexte visité" xfId="14389" builtinId="9" hidden="1"/>
    <cellStyle name="Lien hypertexte visité" xfId="6749" builtinId="9" hidden="1"/>
    <cellStyle name="Lien hypertexte visité" xfId="777" builtinId="9" hidden="1"/>
    <cellStyle name="Lien hypertexte visité" xfId="7357" builtinId="9" hidden="1"/>
    <cellStyle name="Lien hypertexte visité" xfId="18323" builtinId="9" hidden="1"/>
    <cellStyle name="Lien hypertexte visité" xfId="23752" builtinId="9" hidden="1"/>
    <cellStyle name="Lien hypertexte visité" xfId="12786" builtinId="9" hidden="1"/>
    <cellStyle name="Lien hypertexte visité" xfId="12847" builtinId="9" hidden="1"/>
    <cellStyle name="Lien hypertexte visité" xfId="3304" builtinId="9" hidden="1"/>
    <cellStyle name="Lien hypertexte visité" xfId="7452" builtinId="9" hidden="1"/>
    <cellStyle name="Lien hypertexte visité" xfId="20470" builtinId="9" hidden="1"/>
    <cellStyle name="Lien hypertexte visité" xfId="12108" builtinId="9" hidden="1"/>
    <cellStyle name="Lien hypertexte visité" xfId="2501" builtinId="9" hidden="1"/>
    <cellStyle name="Lien hypertexte visité" xfId="8704" builtinId="9" hidden="1"/>
    <cellStyle name="Lien hypertexte visité" xfId="7107" builtinId="9" hidden="1"/>
    <cellStyle name="Lien hypertexte visité" xfId="16085" builtinId="9" hidden="1"/>
    <cellStyle name="Lien hypertexte visité" xfId="12164" builtinId="9" hidden="1"/>
    <cellStyle name="Lien hypertexte visité" xfId="5027" builtinId="9" hidden="1"/>
    <cellStyle name="Lien hypertexte visité" xfId="8392" builtinId="9" hidden="1"/>
    <cellStyle name="Lien hypertexte visité" xfId="3341" builtinId="9" hidden="1"/>
    <cellStyle name="Lien hypertexte visité" xfId="19814" builtinId="9" hidden="1"/>
    <cellStyle name="Lien hypertexte visité" xfId="13780" builtinId="9" hidden="1"/>
    <cellStyle name="Lien hypertexte visité" xfId="18950" builtinId="9" hidden="1"/>
    <cellStyle name="Lien hypertexte visité" xfId="13095" builtinId="9" hidden="1"/>
    <cellStyle name="Lien hypertexte visité" xfId="18608" builtinId="9" hidden="1"/>
    <cellStyle name="Lien hypertexte visité" xfId="21346" builtinId="9" hidden="1"/>
    <cellStyle name="Lien hypertexte visité" xfId="15161" builtinId="9" hidden="1"/>
    <cellStyle name="Lien hypertexte visité" xfId="8462" builtinId="9" hidden="1"/>
    <cellStyle name="Lien hypertexte visité" xfId="6214" builtinId="9" hidden="1"/>
    <cellStyle name="Lien hypertexte visité" xfId="4500" builtinId="9" hidden="1"/>
    <cellStyle name="Lien hypertexte visité" xfId="14069" builtinId="9" hidden="1"/>
    <cellStyle name="Lien hypertexte visité" xfId="2671" builtinId="9" hidden="1"/>
    <cellStyle name="Lien hypertexte visité" xfId="7485" builtinId="9" hidden="1"/>
    <cellStyle name="Lien hypertexte visité" xfId="18107" builtinId="9" hidden="1"/>
    <cellStyle name="Lien hypertexte visité" xfId="12934" builtinId="9" hidden="1"/>
    <cellStyle name="Lien hypertexte visité" xfId="8655" builtinId="9" hidden="1"/>
    <cellStyle name="Lien hypertexte visité" xfId="6844" builtinId="9" hidden="1"/>
    <cellStyle name="Lien hypertexte visité" xfId="19860" builtinId="9" hidden="1"/>
    <cellStyle name="Lien hypertexte visité" xfId="2853" builtinId="9" hidden="1"/>
    <cellStyle name="Lien hypertexte visité" xfId="2778" builtinId="9" hidden="1"/>
    <cellStyle name="Lien hypertexte visité" xfId="12857" builtinId="9" hidden="1"/>
    <cellStyle name="Lien hypertexte visité" xfId="18924" builtinId="9" hidden="1"/>
    <cellStyle name="Lien hypertexte visité" xfId="13888" builtinId="9" hidden="1"/>
    <cellStyle name="Lien hypertexte visité" xfId="8139" builtinId="9" hidden="1"/>
    <cellStyle name="Lien hypertexte visité" xfId="7586" builtinId="9" hidden="1"/>
    <cellStyle name="Lien hypertexte visité" xfId="16179" builtinId="9" hidden="1"/>
    <cellStyle name="Lien hypertexte visité" xfId="1524" builtinId="9" hidden="1"/>
    <cellStyle name="Lien hypertexte visité" xfId="1015" builtinId="9" hidden="1"/>
    <cellStyle name="Lien hypertexte visité" xfId="9663" builtinId="9" hidden="1"/>
    <cellStyle name="Lien hypertexte visité" xfId="6271" builtinId="9" hidden="1"/>
    <cellStyle name="Lien hypertexte visité" xfId="8923" builtinId="9" hidden="1"/>
    <cellStyle name="Lien hypertexte visité" xfId="17997" builtinId="9" hidden="1"/>
    <cellStyle name="Lien hypertexte visité" xfId="15405" builtinId="9" hidden="1"/>
    <cellStyle name="Lien hypertexte visité" xfId="17471" builtinId="9" hidden="1"/>
    <cellStyle name="Lien hypertexte visité" xfId="7800" builtinId="9" hidden="1"/>
    <cellStyle name="Lien hypertexte visité" xfId="15837" builtinId="9" hidden="1"/>
    <cellStyle name="Lien hypertexte visité" xfId="15427" builtinId="9" hidden="1"/>
    <cellStyle name="Lien hypertexte visité" xfId="10891" builtinId="9" hidden="1"/>
    <cellStyle name="Lien hypertexte visité" xfId="4106" builtinId="9" hidden="1"/>
    <cellStyle name="Lien hypertexte visité" xfId="11139" builtinId="9" hidden="1"/>
    <cellStyle name="Lien hypertexte visité" xfId="1281" builtinId="9" hidden="1"/>
    <cellStyle name="Lien hypertexte visité" xfId="6810" builtinId="9" hidden="1"/>
    <cellStyle name="Lien hypertexte visité" xfId="2420" builtinId="9" hidden="1"/>
    <cellStyle name="Lien hypertexte visité" xfId="12803" builtinId="9" hidden="1"/>
    <cellStyle name="Lien hypertexte visité" xfId="16883" builtinId="9" hidden="1"/>
    <cellStyle name="Lien hypertexte visité" xfId="3170" builtinId="9" hidden="1"/>
    <cellStyle name="Lien hypertexte visité" xfId="5240" builtinId="9" hidden="1"/>
    <cellStyle name="Lien hypertexte visité" xfId="13817" builtinId="9" hidden="1"/>
    <cellStyle name="Lien hypertexte visité" xfId="19740" builtinId="9" hidden="1"/>
    <cellStyle name="Lien hypertexte visité" xfId="8944" builtinId="9" hidden="1"/>
    <cellStyle name="Lien hypertexte visité" xfId="4840" builtinId="9" hidden="1"/>
    <cellStyle name="Lien hypertexte visité" xfId="3773" builtinId="9" hidden="1"/>
    <cellStyle name="Lien hypertexte visité" xfId="12765" builtinId="9" hidden="1"/>
    <cellStyle name="Lien hypertexte visité" xfId="23938" builtinId="9" hidden="1"/>
    <cellStyle name="Lien hypertexte visité" xfId="9210" builtinId="9" hidden="1"/>
    <cellStyle name="Lien hypertexte visité" xfId="12343" builtinId="9" hidden="1"/>
    <cellStyle name="Lien hypertexte visité" xfId="16193" builtinId="9" hidden="1"/>
    <cellStyle name="Lien hypertexte visité" xfId="7270" builtinId="9" hidden="1"/>
    <cellStyle name="Lien hypertexte visité" xfId="20618" builtinId="9" hidden="1"/>
    <cellStyle name="Lien hypertexte visité" xfId="18930" builtinId="9" hidden="1"/>
    <cellStyle name="Lien hypertexte visité" xfId="17577" builtinId="9" hidden="1"/>
    <cellStyle name="Lien hypertexte visité" xfId="9678" builtinId="9" hidden="1"/>
    <cellStyle name="Lien hypertexte visité" xfId="8119" builtinId="9" hidden="1"/>
    <cellStyle name="Lien hypertexte visité" xfId="2606" builtinId="9" hidden="1"/>
    <cellStyle name="Lien hypertexte visité" xfId="12165" builtinId="9" hidden="1"/>
    <cellStyle name="Lien hypertexte visité" xfId="7665" builtinId="9" hidden="1"/>
    <cellStyle name="Lien hypertexte visité" xfId="2507" builtinId="9" hidden="1"/>
    <cellStyle name="Lien hypertexte visité" xfId="22672" builtinId="9" hidden="1"/>
    <cellStyle name="Lien hypertexte visité" xfId="14985" builtinId="9" hidden="1"/>
    <cellStyle name="Lien hypertexte visité" xfId="11375" builtinId="9" hidden="1"/>
    <cellStyle name="Lien hypertexte visité" xfId="4124" builtinId="9" hidden="1"/>
    <cellStyle name="Lien hypertexte visité" xfId="23670" builtinId="9" hidden="1"/>
    <cellStyle name="Lien hypertexte visité" xfId="5707" builtinId="9" hidden="1"/>
    <cellStyle name="Lien hypertexte visité" xfId="599" builtinId="9" hidden="1"/>
    <cellStyle name="Lien hypertexte visité" xfId="12740" builtinId="9" hidden="1"/>
    <cellStyle name="Lien hypertexte visité" xfId="2609" builtinId="9" hidden="1"/>
    <cellStyle name="Lien hypertexte visité" xfId="6407" builtinId="9" hidden="1"/>
    <cellStyle name="Lien hypertexte visité" xfId="2029" builtinId="9" hidden="1"/>
    <cellStyle name="Lien hypertexte visité" xfId="18436" builtinId="9" hidden="1"/>
    <cellStyle name="Lien hypertexte visité" xfId="13413" builtinId="9" hidden="1"/>
    <cellStyle name="Lien hypertexte visité" xfId="24424" builtinId="9" hidden="1"/>
    <cellStyle name="Lien hypertexte visité" xfId="23282" builtinId="9" hidden="1"/>
    <cellStyle name="Lien hypertexte visité" xfId="10678" builtinId="9" hidden="1"/>
    <cellStyle name="Lien hypertexte visité" xfId="4598" builtinId="9" hidden="1"/>
    <cellStyle name="Lien hypertexte visité" xfId="10901" builtinId="9" hidden="1"/>
    <cellStyle name="Lien hypertexte visité" xfId="3560" builtinId="9" hidden="1"/>
    <cellStyle name="Lien hypertexte visité" xfId="16417" builtinId="9" hidden="1"/>
    <cellStyle name="Lien hypertexte visité" xfId="11486" builtinId="9" hidden="1"/>
    <cellStyle name="Lien hypertexte visité" xfId="1846" builtinId="9" hidden="1"/>
    <cellStyle name="Lien hypertexte visité" xfId="15013" builtinId="9" hidden="1"/>
    <cellStyle name="Lien hypertexte visité" xfId="7904" builtinId="9" hidden="1"/>
    <cellStyle name="Lien hypertexte visité" xfId="13969" builtinId="9" hidden="1"/>
    <cellStyle name="Lien hypertexte visité" xfId="10160" builtinId="9" hidden="1"/>
    <cellStyle name="Lien hypertexte visité" xfId="6898" builtinId="9" hidden="1"/>
    <cellStyle name="Lien hypertexte visité" xfId="13427" builtinId="9" hidden="1"/>
    <cellStyle name="Lien hypertexte visité" xfId="2916" builtinId="9" hidden="1"/>
    <cellStyle name="Lien hypertexte visité" xfId="12799" builtinId="9" hidden="1"/>
    <cellStyle name="Lien hypertexte visité" xfId="2694" builtinId="9" hidden="1"/>
    <cellStyle name="Lien hypertexte visité" xfId="20886" builtinId="9" hidden="1"/>
    <cellStyle name="Lien hypertexte visité" xfId="7099" builtinId="9" hidden="1"/>
    <cellStyle name="Lien hypertexte visité" xfId="8400" builtinId="9" hidden="1"/>
    <cellStyle name="Lien hypertexte visité" xfId="9969" builtinId="9" hidden="1"/>
    <cellStyle name="Lien hypertexte visité" xfId="24510" builtinId="9" hidden="1"/>
    <cellStyle name="Lien hypertexte visité" xfId="10064" builtinId="9" hidden="1"/>
    <cellStyle name="Lien hypertexte visité" xfId="13897" builtinId="9" hidden="1"/>
    <cellStyle name="Lien hypertexte visité" xfId="7088" builtinId="9" hidden="1"/>
    <cellStyle name="Lien hypertexte visité" xfId="14061" builtinId="9" hidden="1"/>
    <cellStyle name="Lien hypertexte visité" xfId="4861" builtinId="9" hidden="1"/>
    <cellStyle name="Lien hypertexte visité" xfId="21482" builtinId="9" hidden="1"/>
    <cellStyle name="Lien hypertexte visité" xfId="12946" builtinId="9" hidden="1"/>
    <cellStyle name="Lien hypertexte visité" xfId="1803" builtinId="9" hidden="1"/>
    <cellStyle name="Lien hypertexte visité" xfId="7313" builtinId="9" hidden="1"/>
    <cellStyle name="Lien hypertexte visité" xfId="4289" builtinId="9" hidden="1"/>
    <cellStyle name="Lien hypertexte visité" xfId="8038" builtinId="9" hidden="1"/>
    <cellStyle name="Lien hypertexte visité" xfId="2123" builtinId="9" hidden="1"/>
    <cellStyle name="Lien hypertexte visité" xfId="9746" builtinId="9" hidden="1"/>
    <cellStyle name="Lien hypertexte visité" xfId="22112" builtinId="9" hidden="1"/>
    <cellStyle name="Lien hypertexte visité" xfId="13386" builtinId="9" hidden="1"/>
    <cellStyle name="Lien hypertexte visité" xfId="3873" builtinId="9" hidden="1"/>
    <cellStyle name="Lien hypertexte visité" xfId="6073" builtinId="9" hidden="1"/>
    <cellStyle name="Lien hypertexte visité" xfId="2883" builtinId="9" hidden="1"/>
    <cellStyle name="Lien hypertexte visité" xfId="22932" builtinId="9" hidden="1"/>
    <cellStyle name="Lien hypertexte visité" xfId="12808" builtinId="9" hidden="1"/>
    <cellStyle name="Lien hypertexte visité" xfId="2652" builtinId="9" hidden="1"/>
    <cellStyle name="Lien hypertexte visité" xfId="21768" builtinId="9" hidden="1"/>
    <cellStyle name="Lien hypertexte visité" xfId="19664" builtinId="9" hidden="1"/>
    <cellStyle name="Lien hypertexte visité" xfId="8294" builtinId="9" hidden="1"/>
    <cellStyle name="Lien hypertexte visité" xfId="18740" builtinId="9" hidden="1"/>
    <cellStyle name="Lien hypertexte visité" xfId="8961" builtinId="9" hidden="1"/>
    <cellStyle name="Lien hypertexte visité" xfId="24526" builtinId="9" hidden="1"/>
    <cellStyle name="Lien hypertexte visité" xfId="11872" builtinId="9" hidden="1"/>
    <cellStyle name="Lien hypertexte visité" xfId="17773" builtinId="9" hidden="1"/>
    <cellStyle name="Lien hypertexte visité" xfId="14895" builtinId="9" hidden="1"/>
    <cellStyle name="Lien hypertexte visité" xfId="6384" builtinId="9" hidden="1"/>
    <cellStyle name="Lien hypertexte visité" xfId="5583" builtinId="9" hidden="1"/>
    <cellStyle name="Lien hypertexte visité" xfId="8028" builtinId="9" hidden="1"/>
    <cellStyle name="Lien hypertexte visité" xfId="22742" builtinId="9" hidden="1"/>
    <cellStyle name="Lien hypertexte visité" xfId="6028" builtinId="9" hidden="1"/>
    <cellStyle name="Lien hypertexte visité" xfId="7614" builtinId="9" hidden="1"/>
    <cellStyle name="Lien hypertexte visité" xfId="14129" builtinId="9" hidden="1"/>
    <cellStyle name="Lien hypertexte visité" xfId="16737" builtinId="9" hidden="1"/>
    <cellStyle name="Lien hypertexte visité" xfId="6721" builtinId="9" hidden="1"/>
    <cellStyle name="Lien hypertexte visité" xfId="3941" builtinId="9" hidden="1"/>
    <cellStyle name="Lien hypertexte visité" xfId="3143" builtinId="9" hidden="1"/>
    <cellStyle name="Lien hypertexte visité" xfId="6601" builtinId="9" hidden="1"/>
    <cellStyle name="Lien hypertexte visité" xfId="1835" builtinId="9" hidden="1"/>
    <cellStyle name="Lien hypertexte visité" xfId="11046" builtinId="9" hidden="1"/>
    <cellStyle name="Lien hypertexte visité" xfId="22792" builtinId="9" hidden="1"/>
    <cellStyle name="Lien hypertexte visité" xfId="12242" builtinId="9" hidden="1"/>
    <cellStyle name="Lien hypertexte visité" xfId="3347" builtinId="9" hidden="1"/>
    <cellStyle name="Lien hypertexte visité" xfId="9418" builtinId="9" hidden="1"/>
    <cellStyle name="Lien hypertexte visité" xfId="20754" builtinId="9" hidden="1"/>
    <cellStyle name="Lien hypertexte visité" xfId="4333" builtinId="9" hidden="1"/>
    <cellStyle name="Lien hypertexte visité" xfId="3096" builtinId="9" hidden="1"/>
    <cellStyle name="Lien hypertexte visité" xfId="6597" builtinId="9" hidden="1"/>
    <cellStyle name="Lien hypertexte visité" xfId="22650" builtinId="9" hidden="1"/>
    <cellStyle name="Lien hypertexte visité" xfId="1262" builtinId="9" hidden="1"/>
    <cellStyle name="Lien hypertexte visité" xfId="15385" builtinId="9" hidden="1"/>
    <cellStyle name="Lien hypertexte visité" xfId="15433" builtinId="9" hidden="1"/>
    <cellStyle name="Lien hypertexte visité" xfId="23904" builtinId="9" hidden="1"/>
    <cellStyle name="Lien hypertexte visité" xfId="18440" builtinId="9" hidden="1"/>
    <cellStyle name="Lien hypertexte visité" xfId="2071" builtinId="9" hidden="1"/>
    <cellStyle name="Lien hypertexte visité" xfId="6885" builtinId="9" hidden="1"/>
    <cellStyle name="Lien hypertexte visité" xfId="4109" builtinId="9" hidden="1"/>
    <cellStyle name="Lien hypertexte visité" xfId="3055" builtinId="9" hidden="1"/>
    <cellStyle name="Lien hypertexte visité" xfId="5321" builtinId="9" hidden="1"/>
    <cellStyle name="Lien hypertexte visité" xfId="9649" builtinId="9" hidden="1"/>
    <cellStyle name="Lien hypertexte visité" xfId="8380" builtinId="9" hidden="1"/>
    <cellStyle name="Lien hypertexte visité" xfId="2296" builtinId="9" hidden="1"/>
    <cellStyle name="Lien hypertexte visité" xfId="11309" builtinId="9" hidden="1"/>
    <cellStyle name="Lien hypertexte visité" xfId="16261" builtinId="9" hidden="1"/>
    <cellStyle name="Lien hypertexte visité" xfId="2741" builtinId="9" hidden="1"/>
    <cellStyle name="Lien hypertexte visité" xfId="1594" builtinId="9" hidden="1"/>
    <cellStyle name="Lien hypertexte visité" xfId="9921" builtinId="9" hidden="1"/>
    <cellStyle name="Lien hypertexte visité" xfId="21918" builtinId="9" hidden="1"/>
    <cellStyle name="Lien hypertexte visité" xfId="12624" builtinId="9" hidden="1"/>
    <cellStyle name="Lien hypertexte visité" xfId="18766" builtinId="9" hidden="1"/>
    <cellStyle name="Lien hypertexte visité" xfId="16493" builtinId="9" hidden="1"/>
    <cellStyle name="Lien hypertexte visité" xfId="6031" builtinId="9" hidden="1"/>
    <cellStyle name="Lien hypertexte visité" xfId="6636" builtinId="9" hidden="1"/>
    <cellStyle name="Lien hypertexte visité" xfId="4897" builtinId="9" hidden="1"/>
    <cellStyle name="Lien hypertexte visité" xfId="19266" builtinId="9" hidden="1"/>
    <cellStyle name="Lien hypertexte visité" xfId="15769" builtinId="9" hidden="1"/>
    <cellStyle name="Lien hypertexte visité" xfId="8611" builtinId="9" hidden="1"/>
    <cellStyle name="Lien hypertexte visité" xfId="7905" builtinId="9" hidden="1"/>
    <cellStyle name="Lien hypertexte visité" xfId="8399" builtinId="9" hidden="1"/>
    <cellStyle name="Lien hypertexte visité" xfId="5085" builtinId="9" hidden="1"/>
    <cellStyle name="Lien hypertexte visité" xfId="14929" builtinId="9" hidden="1"/>
    <cellStyle name="Lien hypertexte visité" xfId="9396" builtinId="9" hidden="1"/>
    <cellStyle name="Lien hypertexte visité" xfId="5171" builtinId="9" hidden="1"/>
    <cellStyle name="Lien hypertexte visité" xfId="3778" builtinId="9" hidden="1"/>
    <cellStyle name="Lien hypertexte visité" xfId="3112" builtinId="9" hidden="1"/>
    <cellStyle name="Lien hypertexte visité" xfId="4433" builtinId="9" hidden="1"/>
    <cellStyle name="Lien hypertexte visité" xfId="8149" builtinId="9" hidden="1"/>
    <cellStyle name="Lien hypertexte visité" xfId="12374" builtinId="9" hidden="1"/>
    <cellStyle name="Lien hypertexte visité" xfId="13462" builtinId="9" hidden="1"/>
    <cellStyle name="Lien hypertexte visité" xfId="719" builtinId="9" hidden="1"/>
    <cellStyle name="Lien hypertexte visité" xfId="10159" builtinId="9" hidden="1"/>
    <cellStyle name="Lien hypertexte visité" xfId="7305" builtinId="9" hidden="1"/>
    <cellStyle name="Lien hypertexte visité" xfId="3326" builtinId="9" hidden="1"/>
    <cellStyle name="Lien hypertexte visité" xfId="16489" builtinId="9" hidden="1"/>
    <cellStyle name="Lien hypertexte visité" xfId="10087" builtinId="9" hidden="1"/>
    <cellStyle name="Lien hypertexte visité" xfId="11926" builtinId="9" hidden="1"/>
    <cellStyle name="Lien hypertexte visité" xfId="16001" builtinId="9" hidden="1"/>
    <cellStyle name="Lien hypertexte visité" xfId="24320" builtinId="9" hidden="1"/>
    <cellStyle name="Lien hypertexte visité" xfId="12918" builtinId="9" hidden="1"/>
    <cellStyle name="Lien hypertexte visité" xfId="13271" builtinId="9" hidden="1"/>
    <cellStyle name="Lien hypertexte visité" xfId="3585" builtinId="9" hidden="1"/>
    <cellStyle name="Lien hypertexte visité" xfId="7348" builtinId="9" hidden="1"/>
    <cellStyle name="Lien hypertexte visité" xfId="10618" builtinId="9" hidden="1"/>
    <cellStyle name="Lien hypertexte visité" xfId="2075" builtinId="9" hidden="1"/>
    <cellStyle name="Lien hypertexte visité" xfId="5089" builtinId="9" hidden="1"/>
    <cellStyle name="Lien hypertexte visité" xfId="23850" builtinId="9" hidden="1"/>
    <cellStyle name="Lien hypertexte visité" xfId="10270" builtinId="9" hidden="1"/>
    <cellStyle name="Lien hypertexte visité" xfId="4334" builtinId="9" hidden="1"/>
    <cellStyle name="Lien hypertexte visité" xfId="11357" builtinId="9" hidden="1"/>
    <cellStyle name="Lien hypertexte visité" xfId="13260" builtinId="9" hidden="1"/>
    <cellStyle name="Lien hypertexte visité" xfId="2553" builtinId="9" hidden="1"/>
    <cellStyle name="Lien hypertexte visité" xfId="6083" builtinId="9" hidden="1"/>
    <cellStyle name="Lien hypertexte visité" xfId="22500" builtinId="9" hidden="1"/>
    <cellStyle name="Lien hypertexte visité" xfId="4211" builtinId="9" hidden="1"/>
    <cellStyle name="Lien hypertexte visité" xfId="3409" builtinId="9" hidden="1"/>
    <cellStyle name="Lien hypertexte visité" xfId="20804" builtinId="9" hidden="1"/>
    <cellStyle name="Lien hypertexte visité" xfId="10420" builtinId="9" hidden="1"/>
    <cellStyle name="Lien hypertexte visité" xfId="9511" builtinId="9" hidden="1"/>
    <cellStyle name="Lien hypertexte visité" xfId="19504" builtinId="9" hidden="1"/>
    <cellStyle name="Lien hypertexte visité" xfId="16529" builtinId="9" hidden="1"/>
    <cellStyle name="Lien hypertexte visité" xfId="12359" builtinId="9" hidden="1"/>
    <cellStyle name="Lien hypertexte visité" xfId="3310" builtinId="9" hidden="1"/>
    <cellStyle name="Lien hypertexte visité" xfId="4061" builtinId="9" hidden="1"/>
    <cellStyle name="Lien hypertexte visité" xfId="6153" builtinId="9" hidden="1"/>
    <cellStyle name="Lien hypertexte visité" xfId="23624" builtinId="9" hidden="1"/>
    <cellStyle name="Lien hypertexte visité" xfId="10191" builtinId="9" hidden="1"/>
    <cellStyle name="Lien hypertexte visité" xfId="12733" builtinId="9" hidden="1"/>
    <cellStyle name="Lien hypertexte visité" xfId="4651" builtinId="9" hidden="1"/>
    <cellStyle name="Lien hypertexte visité" xfId="6712" builtinId="9" hidden="1"/>
    <cellStyle name="Lien hypertexte visité" xfId="21324" builtinId="9" hidden="1"/>
    <cellStyle name="Lien hypertexte visité" xfId="13993" builtinId="9" hidden="1"/>
    <cellStyle name="Lien hypertexte visité" xfId="1435" builtinId="9" hidden="1"/>
    <cellStyle name="Lien hypertexte visité" xfId="9723" builtinId="9" hidden="1"/>
    <cellStyle name="Lien hypertexte visité" xfId="8699" builtinId="9" hidden="1"/>
    <cellStyle name="Lien hypertexte visité" xfId="18678" builtinId="9" hidden="1"/>
    <cellStyle name="Lien hypertexte visité" xfId="8083" builtinId="9" hidden="1"/>
    <cellStyle name="Lien hypertexte visité" xfId="9672" builtinId="9" hidden="1"/>
    <cellStyle name="Lien hypertexte visité" xfId="19422" builtinId="9" hidden="1"/>
    <cellStyle name="Lien hypertexte visité" xfId="4472" builtinId="9" hidden="1"/>
    <cellStyle name="Lien hypertexte visité" xfId="13315" builtinId="9" hidden="1"/>
    <cellStyle name="Lien hypertexte visité" xfId="6178" builtinId="9" hidden="1"/>
    <cellStyle name="Lien hypertexte visité" xfId="11859" builtinId="9" hidden="1"/>
    <cellStyle name="Lien hypertexte visité" xfId="3202" builtinId="9" hidden="1"/>
    <cellStyle name="Lien hypertexte visité" xfId="1652" builtinId="9" hidden="1"/>
    <cellStyle name="Lien hypertexte visité" xfId="10347" builtinId="9" hidden="1"/>
    <cellStyle name="Lien hypertexte visité" xfId="4466" builtinId="9" hidden="1"/>
    <cellStyle name="Lien hypertexte visité" xfId="8529" builtinId="9" hidden="1"/>
    <cellStyle name="Lien hypertexte visité" xfId="21708" builtinId="9" hidden="1"/>
    <cellStyle name="Lien hypertexte visité" xfId="22332" builtinId="9" hidden="1"/>
    <cellStyle name="Lien hypertexte visité" xfId="4610" builtinId="9" hidden="1"/>
    <cellStyle name="Lien hypertexte visité" xfId="5806" builtinId="9" hidden="1"/>
    <cellStyle name="Lien hypertexte visité" xfId="6565" builtinId="9" hidden="1"/>
    <cellStyle name="Lien hypertexte visité" xfId="13570" builtinId="9" hidden="1"/>
    <cellStyle name="Lien hypertexte visité" xfId="3817" builtinId="9" hidden="1"/>
    <cellStyle name="Lien hypertexte visité" xfId="13402" builtinId="9" hidden="1"/>
    <cellStyle name="Lien hypertexte visité" xfId="19096" builtinId="9" hidden="1"/>
    <cellStyle name="Lien hypertexte visité" xfId="14263" builtinId="9" hidden="1"/>
    <cellStyle name="Lien hypertexte visité" xfId="1485" builtinId="9" hidden="1"/>
    <cellStyle name="Lien hypertexte visité" xfId="17591" builtinId="9" hidden="1"/>
    <cellStyle name="Lien hypertexte visité" xfId="3427" builtinId="9" hidden="1"/>
    <cellStyle name="Lien hypertexte visité" xfId="21970" builtinId="9" hidden="1"/>
    <cellStyle name="Lien hypertexte visité" xfId="13103" builtinId="9" hidden="1"/>
    <cellStyle name="Lien hypertexte visité" xfId="9885" builtinId="9" hidden="1"/>
    <cellStyle name="Lien hypertexte visité" xfId="7371" builtinId="9" hidden="1"/>
    <cellStyle name="Lien hypertexte visité" xfId="16791" builtinId="9" hidden="1"/>
    <cellStyle name="Lien hypertexte visité" xfId="13700" builtinId="9" hidden="1"/>
    <cellStyle name="Lien hypertexte visité" xfId="6983" builtinId="9" hidden="1"/>
    <cellStyle name="Lien hypertexte visité" xfId="21380" builtinId="9" hidden="1"/>
    <cellStyle name="Lien hypertexte visité" xfId="5158" builtinId="9" hidden="1"/>
    <cellStyle name="Lien hypertexte visité" xfId="21002" builtinId="9" hidden="1"/>
    <cellStyle name="Lien hypertexte visité" xfId="13815" builtinId="9" hidden="1"/>
    <cellStyle name="Lien hypertexte visité" xfId="9205" builtinId="9" hidden="1"/>
    <cellStyle name="Lien hypertexte visité" xfId="3067" builtinId="9" hidden="1"/>
    <cellStyle name="Lien hypertexte visité" xfId="13190" builtinId="9" hidden="1"/>
    <cellStyle name="Lien hypertexte visité" xfId="10557" builtinId="9" hidden="1"/>
    <cellStyle name="Lien hypertexte visité" xfId="5343" builtinId="9" hidden="1"/>
    <cellStyle name="Lien hypertexte visité" xfId="24220" builtinId="9" hidden="1"/>
    <cellStyle name="Lien hypertexte visité" xfId="8363" builtinId="9" hidden="1"/>
    <cellStyle name="Lien hypertexte visité" xfId="13795" builtinId="9" hidden="1"/>
    <cellStyle name="Lien hypertexte visité" xfId="14539" builtinId="9" hidden="1"/>
    <cellStyle name="Lien hypertexte visité" xfId="8493" builtinId="9" hidden="1"/>
    <cellStyle name="Lien hypertexte visité" xfId="8796" builtinId="9" hidden="1"/>
    <cellStyle name="Lien hypertexte visité" xfId="3827" builtinId="9" hidden="1"/>
    <cellStyle name="Lien hypertexte visité" xfId="22254" builtinId="9" hidden="1"/>
    <cellStyle name="Lien hypertexte visité" xfId="19196" builtinId="9" hidden="1"/>
    <cellStyle name="Lien hypertexte visité" xfId="10497" builtinId="9" hidden="1"/>
    <cellStyle name="Lien hypertexte visité" xfId="4510" builtinId="9" hidden="1"/>
    <cellStyle name="Lien hypertexte visité" xfId="19562" builtinId="9" hidden="1"/>
    <cellStyle name="Lien hypertexte visité" xfId="9618" builtinId="9" hidden="1"/>
    <cellStyle name="Lien hypertexte visité" xfId="8026" builtinId="9" hidden="1"/>
    <cellStyle name="Lien hypertexte visité" xfId="4197" builtinId="9" hidden="1"/>
    <cellStyle name="Lien hypertexte visité" xfId="2499" builtinId="9" hidden="1"/>
    <cellStyle name="Lien hypertexte visité" xfId="13054" builtinId="9" hidden="1"/>
    <cellStyle name="Lien hypertexte visité" xfId="18017" builtinId="9" hidden="1"/>
    <cellStyle name="Lien hypertexte visité" xfId="14197" builtinId="9" hidden="1"/>
    <cellStyle name="Lien hypertexte visité" xfId="1113" builtinId="9" hidden="1"/>
    <cellStyle name="Lien hypertexte visité" xfId="18195" builtinId="9" hidden="1"/>
    <cellStyle name="Lien hypertexte visité" xfId="17259" builtinId="9" hidden="1"/>
    <cellStyle name="Lien hypertexte visité" xfId="7036" builtinId="9" hidden="1"/>
    <cellStyle name="Lien hypertexte visité" xfId="10220" builtinId="9" hidden="1"/>
    <cellStyle name="Lien hypertexte visité" xfId="2906" builtinId="9" hidden="1"/>
    <cellStyle name="Lien hypertexte visité" xfId="20318" builtinId="9" hidden="1"/>
    <cellStyle name="Lien hypertexte visité" xfId="14016" builtinId="9" hidden="1"/>
    <cellStyle name="Lien hypertexte visité" xfId="4082" builtinId="9" hidden="1"/>
    <cellStyle name="Lien hypertexte visité" xfId="16371" builtinId="9" hidden="1"/>
    <cellStyle name="Lien hypertexte visité" xfId="5514" builtinId="9" hidden="1"/>
    <cellStyle name="Lien hypertexte visité" xfId="9535" builtinId="9" hidden="1"/>
    <cellStyle name="Lien hypertexte visité" xfId="6156" builtinId="9" hidden="1"/>
    <cellStyle name="Lien hypertexte visité" xfId="22260" builtinId="9" hidden="1"/>
    <cellStyle name="Lien hypertexte visité" xfId="3806" builtinId="9" hidden="1"/>
    <cellStyle name="Lien hypertexte visité" xfId="2258" builtinId="9" hidden="1"/>
    <cellStyle name="Lien hypertexte visité" xfId="11993" builtinId="9" hidden="1"/>
    <cellStyle name="Lien hypertexte visité" xfId="20316" builtinId="9" hidden="1"/>
    <cellStyle name="Lien hypertexte visité" xfId="12128" builtinId="9" hidden="1"/>
    <cellStyle name="Lien hypertexte visité" xfId="9448" builtinId="9" hidden="1"/>
    <cellStyle name="Lien hypertexte visité" xfId="123" builtinId="9" hidden="1"/>
    <cellStyle name="Lien hypertexte visité" xfId="20020" builtinId="9" hidden="1"/>
    <cellStyle name="Lien hypertexte visité" xfId="11792" builtinId="9" hidden="1"/>
    <cellStyle name="Lien hypertexte visité" xfId="5807" builtinId="9" hidden="1"/>
    <cellStyle name="Lien hypertexte visité" xfId="995" builtinId="9" hidden="1"/>
    <cellStyle name="Lien hypertexte visité" xfId="10259" builtinId="9" hidden="1"/>
    <cellStyle name="Lien hypertexte visité" xfId="11361" builtinId="9" hidden="1"/>
    <cellStyle name="Lien hypertexte visité" xfId="3208" builtinId="9" hidden="1"/>
    <cellStyle name="Lien hypertexte visité" xfId="8050" builtinId="9" hidden="1"/>
    <cellStyle name="Lien hypertexte visité" xfId="10228" builtinId="9" hidden="1"/>
    <cellStyle name="Lien hypertexte visité" xfId="4006" builtinId="9" hidden="1"/>
    <cellStyle name="Lien hypertexte visité" xfId="19120" builtinId="9" hidden="1"/>
    <cellStyle name="Lien hypertexte visité" xfId="24536" builtinId="9" hidden="1"/>
    <cellStyle name="Lien hypertexte visité" xfId="11222" builtinId="9" hidden="1"/>
    <cellStyle name="Lien hypertexte visité" xfId="7959" builtinId="9" hidden="1"/>
    <cellStyle name="Lien hypertexte visité" xfId="5748" builtinId="9" hidden="1"/>
    <cellStyle name="Lien hypertexte visité" xfId="16697" builtinId="9" hidden="1"/>
    <cellStyle name="Lien hypertexte visité" xfId="5575" builtinId="9" hidden="1"/>
    <cellStyle name="Lien hypertexte visité" xfId="2977" builtinId="9" hidden="1"/>
    <cellStyle name="Lien hypertexte visité" xfId="1745" builtinId="9" hidden="1"/>
    <cellStyle name="Lien hypertexte visité" xfId="16149" builtinId="9" hidden="1"/>
    <cellStyle name="Lien hypertexte visité" xfId="2641" builtinId="9" hidden="1"/>
    <cellStyle name="Lien hypertexte visité" xfId="13220" builtinId="9" hidden="1"/>
    <cellStyle name="Lien hypertexte visité" xfId="9381" builtinId="9" hidden="1"/>
    <cellStyle name="Lien hypertexte visité" xfId="11028" builtinId="9" hidden="1"/>
    <cellStyle name="Lien hypertexte visité" xfId="22596" builtinId="9" hidden="1"/>
    <cellStyle name="Lien hypertexte visité" xfId="19302" builtinId="9" hidden="1"/>
    <cellStyle name="Lien hypertexte visité" xfId="1517" builtinId="9" hidden="1"/>
    <cellStyle name="Lien hypertexte visité" xfId="7864" builtinId="9" hidden="1"/>
    <cellStyle name="Lien hypertexte visité" xfId="3911" builtinId="9" hidden="1"/>
    <cellStyle name="Lien hypertexte visité" xfId="7190" builtinId="9" hidden="1"/>
    <cellStyle name="Lien hypertexte visité" xfId="2926" builtinId="9" hidden="1"/>
    <cellStyle name="Lien hypertexte visité" xfId="10775" builtinId="9" hidden="1"/>
    <cellStyle name="Lien hypertexte visité" xfId="13102" builtinId="9" hidden="1"/>
    <cellStyle name="Lien hypertexte visité" xfId="20938" builtinId="9" hidden="1"/>
    <cellStyle name="Lien hypertexte visité" xfId="24600" builtinId="9" hidden="1"/>
    <cellStyle name="Lien hypertexte visité" xfId="5604" builtinId="9" hidden="1"/>
    <cellStyle name="Lien hypertexte visité" xfId="12644" builtinId="9" hidden="1"/>
    <cellStyle name="Lien hypertexte visité" xfId="6409" builtinId="9" hidden="1"/>
    <cellStyle name="Lien hypertexte visité" xfId="12797" builtinId="9" hidden="1"/>
    <cellStyle name="Lien hypertexte visité" xfId="423" builtinId="9" hidden="1"/>
    <cellStyle name="Lien hypertexte visité" xfId="12004" builtinId="9" hidden="1"/>
    <cellStyle name="Lien hypertexte visité" xfId="6531" builtinId="9" hidden="1"/>
    <cellStyle name="Lien hypertexte visité" xfId="6535" builtinId="9" hidden="1"/>
    <cellStyle name="Lien hypertexte visité" xfId="2717" builtinId="9" hidden="1"/>
    <cellStyle name="Lien hypertexte visité" xfId="19332" builtinId="9" hidden="1"/>
    <cellStyle name="Lien hypertexte visité" xfId="7685" builtinId="9" hidden="1"/>
    <cellStyle name="Lien hypertexte visité" xfId="2779" builtinId="9" hidden="1"/>
    <cellStyle name="Lien hypertexte visité" xfId="753" builtinId="9" hidden="1"/>
    <cellStyle name="Lien hypertexte visité" xfId="1679" builtinId="9" hidden="1"/>
    <cellStyle name="Lien hypertexte visité" xfId="2655" builtinId="9" hidden="1"/>
    <cellStyle name="Lien hypertexte visité" xfId="6605" builtinId="9" hidden="1"/>
    <cellStyle name="Lien hypertexte visité" xfId="4849" builtinId="9" hidden="1"/>
    <cellStyle name="Lien hypertexte visité" xfId="11130" builtinId="9" hidden="1"/>
    <cellStyle name="Lien hypertexte visité" xfId="15095" builtinId="9" hidden="1"/>
    <cellStyle name="Lien hypertexte visité" xfId="11605" builtinId="9" hidden="1"/>
    <cellStyle name="Lien hypertexte visité" xfId="9557" builtinId="9" hidden="1"/>
    <cellStyle name="Lien hypertexte visité" xfId="7508" builtinId="9" hidden="1"/>
    <cellStyle name="Lien hypertexte visité" xfId="4308" builtinId="9" hidden="1"/>
    <cellStyle name="Lien hypertexte visité" xfId="2254" builtinId="9" hidden="1"/>
    <cellStyle name="Lien hypertexte visité" xfId="723" builtinId="9" hidden="1"/>
    <cellStyle name="Lien hypertexte visité" xfId="3200" builtinId="9" hidden="1"/>
    <cellStyle name="Lien hypertexte visité" xfId="6150" builtinId="9" hidden="1"/>
    <cellStyle name="Lien hypertexte visité" xfId="8199" builtinId="9" hidden="1"/>
    <cellStyle name="Lien hypertexte visité" xfId="10503" builtinId="9" hidden="1"/>
    <cellStyle name="Lien hypertexte visité" xfId="13447" builtinId="9" hidden="1"/>
    <cellStyle name="Lien hypertexte visité" xfId="16475" builtinId="9" hidden="1"/>
    <cellStyle name="Lien hypertexte visité" xfId="9442" builtinId="9" hidden="1"/>
    <cellStyle name="Lien hypertexte visité" xfId="10806" builtinId="9" hidden="1"/>
    <cellStyle name="Lien hypertexte visité" xfId="12802" builtinId="9" hidden="1"/>
    <cellStyle name="Lien hypertexte visité" xfId="14306" builtinId="9" hidden="1"/>
    <cellStyle name="Lien hypertexte visité" xfId="16825" builtinId="9" hidden="1"/>
    <cellStyle name="Lien hypertexte visité" xfId="20736" builtinId="9" hidden="1"/>
    <cellStyle name="Lien hypertexte visité" xfId="23808" builtinId="9" hidden="1"/>
    <cellStyle name="Lien hypertexte visité" xfId="22690" builtinId="9" hidden="1"/>
    <cellStyle name="Lien hypertexte visité" xfId="19954" builtinId="9" hidden="1"/>
    <cellStyle name="Lien hypertexte visité" xfId="21978" builtinId="9" hidden="1"/>
    <cellStyle name="Lien hypertexte visité" xfId="19056" builtinId="9" hidden="1"/>
    <cellStyle name="Lien hypertexte visité" xfId="12698" builtinId="9" hidden="1"/>
    <cellStyle name="Lien hypertexte visité" xfId="19250" builtinId="9" hidden="1"/>
    <cellStyle name="Lien hypertexte visité" xfId="21784" builtinId="9" hidden="1"/>
    <cellStyle name="Lien hypertexte visité" xfId="14062" builtinId="9" hidden="1"/>
    <cellStyle name="Lien hypertexte visité" xfId="9966" builtinId="9" hidden="1"/>
    <cellStyle name="Lien hypertexte visité" xfId="8935" builtinId="9" hidden="1"/>
    <cellStyle name="Lien hypertexte visité" xfId="2784" builtinId="9" hidden="1"/>
    <cellStyle name="Lien hypertexte visité" xfId="4516" builtinId="9" hidden="1"/>
    <cellStyle name="Lien hypertexte visité" xfId="14230" builtinId="9" hidden="1"/>
    <cellStyle name="Lien hypertexte visité" xfId="13370" builtinId="9" hidden="1"/>
    <cellStyle name="Lien hypertexte visité" xfId="18027" builtinId="9" hidden="1"/>
    <cellStyle name="Lien hypertexte visité" xfId="23976" builtinId="9" hidden="1"/>
    <cellStyle name="Lien hypertexte visité" xfId="12886" builtinId="9" hidden="1"/>
    <cellStyle name="Lien hypertexte visité" xfId="8790" builtinId="9" hidden="1"/>
    <cellStyle name="Lien hypertexte visité" xfId="10631" builtinId="9" hidden="1"/>
    <cellStyle name="Lien hypertexte visité" xfId="979" builtinId="9" hidden="1"/>
    <cellStyle name="Lien hypertexte visité" xfId="6228" builtinId="9" hidden="1"/>
    <cellStyle name="Lien hypertexte visité" xfId="12373" builtinId="9" hidden="1"/>
    <cellStyle name="Lien hypertexte visité" xfId="4517" builtinId="9" hidden="1"/>
    <cellStyle name="Lien hypertexte visité" xfId="945" builtinId="9" hidden="1"/>
    <cellStyle name="Lien hypertexte visité" xfId="7029" builtinId="9" hidden="1"/>
    <cellStyle name="Lien hypertexte visité" xfId="17057" builtinId="9" hidden="1"/>
    <cellStyle name="Lien hypertexte visité" xfId="17801" builtinId="9" hidden="1"/>
    <cellStyle name="Lien hypertexte visité" xfId="10014" builtinId="9" hidden="1"/>
    <cellStyle name="Lien hypertexte visité" xfId="9391" builtinId="9" hidden="1"/>
    <cellStyle name="Lien hypertexte visité" xfId="799" builtinId="9" hidden="1"/>
    <cellStyle name="Lien hypertexte visité" xfId="16135" builtinId="9" hidden="1"/>
    <cellStyle name="Lien hypertexte visité" xfId="14693" builtinId="9" hidden="1"/>
    <cellStyle name="Lien hypertexte visité" xfId="5387" builtinId="9" hidden="1"/>
    <cellStyle name="Lien hypertexte visité" xfId="1031" builtinId="9" hidden="1"/>
    <cellStyle name="Lien hypertexte visité" xfId="4026" builtinId="9" hidden="1"/>
    <cellStyle name="Lien hypertexte visité" xfId="5522" builtinId="9" hidden="1"/>
    <cellStyle name="Lien hypertexte visité" xfId="7210" builtinId="9" hidden="1"/>
    <cellStyle name="Lien hypertexte visité" xfId="9363" builtinId="9" hidden="1"/>
    <cellStyle name="Lien hypertexte visité" xfId="5096" builtinId="9" hidden="1"/>
    <cellStyle name="Lien hypertexte visité" xfId="10985" builtinId="9" hidden="1"/>
    <cellStyle name="Lien hypertexte visité" xfId="22798" builtinId="9" hidden="1"/>
    <cellStyle name="Lien hypertexte visité" xfId="15949" builtinId="9" hidden="1"/>
    <cellStyle name="Lien hypertexte visité" xfId="9472" builtinId="9" hidden="1"/>
    <cellStyle name="Lien hypertexte visité" xfId="10440" builtinId="9" hidden="1"/>
    <cellStyle name="Lien hypertexte visité" xfId="12952" builtinId="9" hidden="1"/>
    <cellStyle name="Lien hypertexte visité" xfId="15325" builtinId="9" hidden="1"/>
    <cellStyle name="Lien hypertexte visité" xfId="18796" builtinId="9" hidden="1"/>
    <cellStyle name="Lien hypertexte visité" xfId="23836" builtinId="9" hidden="1"/>
    <cellStyle name="Lien hypertexte visité" xfId="21470" builtinId="9" hidden="1"/>
    <cellStyle name="Lien hypertexte visité" xfId="17983" builtinId="9" hidden="1"/>
    <cellStyle name="Lien hypertexte visité" xfId="14497" builtinId="9" hidden="1"/>
    <cellStyle name="Lien hypertexte visité" xfId="1412" builtinId="9" hidden="1"/>
    <cellStyle name="Lien hypertexte visité" xfId="1481" builtinId="9" hidden="1"/>
    <cellStyle name="Lien hypertexte visité" xfId="9956" builtinId="9" hidden="1"/>
    <cellStyle name="Lien hypertexte visité" xfId="10628" builtinId="9" hidden="1"/>
    <cellStyle name="Lien hypertexte visité" xfId="5287" builtinId="9" hidden="1"/>
    <cellStyle name="Lien hypertexte visité" xfId="7367" builtinId="9" hidden="1"/>
    <cellStyle name="Lien hypertexte visité" xfId="597" builtinId="9" hidden="1"/>
    <cellStyle name="Lien hypertexte visité" xfId="12836" builtinId="9" hidden="1"/>
    <cellStyle name="Lien hypertexte visité" xfId="10853" builtinId="9" hidden="1"/>
    <cellStyle name="Lien hypertexte visité" xfId="12994" builtinId="9" hidden="1"/>
    <cellStyle name="Lien hypertexte visité" xfId="21682" builtinId="9" hidden="1"/>
    <cellStyle name="Lien hypertexte visité" xfId="13750" builtinId="9" hidden="1"/>
    <cellStyle name="Lien hypertexte visité" xfId="13303" builtinId="9" hidden="1"/>
    <cellStyle name="Lien hypertexte visité" xfId="2368" builtinId="9" hidden="1"/>
    <cellStyle name="Lien hypertexte visité" xfId="15831" builtinId="9" hidden="1"/>
    <cellStyle name="Lien hypertexte visité" xfId="1631" builtinId="9" hidden="1"/>
    <cellStyle name="Lien hypertexte visité" xfId="4633" builtinId="9" hidden="1"/>
    <cellStyle name="Lien hypertexte visité" xfId="12678" builtinId="9" hidden="1"/>
    <cellStyle name="Lien hypertexte visité" xfId="6222" builtinId="9" hidden="1"/>
    <cellStyle name="Lien hypertexte visité" xfId="11325" builtinId="9" hidden="1"/>
    <cellStyle name="Lien hypertexte visité" xfId="11436" builtinId="9" hidden="1"/>
    <cellStyle name="Lien hypertexte visité" xfId="3900" builtinId="9" hidden="1"/>
    <cellStyle name="Lien hypertexte visité" xfId="15119" builtinId="9" hidden="1"/>
    <cellStyle name="Lien hypertexte visité" xfId="13400" builtinId="9" hidden="1"/>
    <cellStyle name="Lien hypertexte visité" xfId="7923" builtinId="9" hidden="1"/>
    <cellStyle name="Lien hypertexte visité" xfId="11867" builtinId="9" hidden="1"/>
    <cellStyle name="Lien hypertexte visité" xfId="14195" builtinId="9" hidden="1"/>
    <cellStyle name="Lien hypertexte visité" xfId="4818" builtinId="9" hidden="1"/>
    <cellStyle name="Lien hypertexte visité" xfId="8543" builtinId="9" hidden="1"/>
    <cellStyle name="Lien hypertexte visité" xfId="3526" builtinId="9" hidden="1"/>
    <cellStyle name="Lien hypertexte visité" xfId="14477" builtinId="9" hidden="1"/>
    <cellStyle name="Lien hypertexte visité" xfId="8284" builtinId="9" hidden="1"/>
    <cellStyle name="Lien hypertexte visité" xfId="3794" builtinId="9" hidden="1"/>
    <cellStyle name="Lien hypertexte visité" xfId="4160" builtinId="9" hidden="1"/>
    <cellStyle name="Lien hypertexte visité" xfId="11457" builtinId="9" hidden="1"/>
    <cellStyle name="Lien hypertexte visité" xfId="18988" builtinId="9" hidden="1"/>
    <cellStyle name="Lien hypertexte visité" xfId="9488" builtinId="9" hidden="1"/>
    <cellStyle name="Lien hypertexte visité" xfId="10377" builtinId="9" hidden="1"/>
    <cellStyle name="Lien hypertexte visité" xfId="9473" builtinId="9" hidden="1"/>
    <cellStyle name="Lien hypertexte visité" xfId="11260" builtinId="9" hidden="1"/>
    <cellStyle name="Lien hypertexte visité" xfId="6046" builtinId="9" hidden="1"/>
    <cellStyle name="Lien hypertexte visité" xfId="8778" builtinId="9" hidden="1"/>
    <cellStyle name="Lien hypertexte visité" xfId="22840" builtinId="9" hidden="1"/>
    <cellStyle name="Lien hypertexte visité" xfId="12454" builtinId="9" hidden="1"/>
    <cellStyle name="Lien hypertexte visité" xfId="5849" builtinId="9" hidden="1"/>
    <cellStyle name="Lien hypertexte visité" xfId="7789" builtinId="9" hidden="1"/>
    <cellStyle name="Lien hypertexte visité" xfId="4821" builtinId="9" hidden="1"/>
    <cellStyle name="Lien hypertexte visité" xfId="3981" builtinId="9" hidden="1"/>
    <cellStyle name="Lien hypertexte visité" xfId="7053" builtinId="9" hidden="1"/>
    <cellStyle name="Lien hypertexte visité" xfId="2067" builtinId="9" hidden="1"/>
    <cellStyle name="Lien hypertexte visité" xfId="10238" builtinId="9" hidden="1"/>
    <cellStyle name="Lien hypertexte visité" xfId="18400" builtinId="9" hidden="1"/>
    <cellStyle name="Lien hypertexte visité" xfId="16353" builtinId="9" hidden="1"/>
    <cellStyle name="Lien hypertexte visité" xfId="7221" builtinId="9" hidden="1"/>
    <cellStyle name="Lien hypertexte visité" xfId="14551" builtinId="9" hidden="1"/>
    <cellStyle name="Lien hypertexte visité" xfId="7317" builtinId="9" hidden="1"/>
    <cellStyle name="Lien hypertexte visité" xfId="7433" builtinId="9" hidden="1"/>
    <cellStyle name="Lien hypertexte visité" xfId="14625" builtinId="9" hidden="1"/>
    <cellStyle name="Lien hypertexte visité" xfId="23032" builtinId="9" hidden="1"/>
    <cellStyle name="Lien hypertexte visité" xfId="16235" builtinId="9" hidden="1"/>
    <cellStyle name="Lien hypertexte visité" xfId="4494" builtinId="9" hidden="1"/>
    <cellStyle name="Lien hypertexte visité" xfId="7548" builtinId="9" hidden="1"/>
    <cellStyle name="Lien hypertexte visité" xfId="22582" builtinId="9" hidden="1"/>
    <cellStyle name="Lien hypertexte visité" xfId="4203" builtinId="9" hidden="1"/>
    <cellStyle name="Lien hypertexte visité" xfId="7840" builtinId="9" hidden="1"/>
    <cellStyle name="Lien hypertexte visité" xfId="6840" builtinId="9" hidden="1"/>
    <cellStyle name="Lien hypertexte visité" xfId="20990" builtinId="9" hidden="1"/>
    <cellStyle name="Lien hypertexte visité" xfId="14040" builtinId="9" hidden="1"/>
    <cellStyle name="Lien hypertexte visité" xfId="15565" builtinId="9" hidden="1"/>
    <cellStyle name="Lien hypertexte visité" xfId="2338" builtinId="9" hidden="1"/>
    <cellStyle name="Lien hypertexte visité" xfId="2205" builtinId="9" hidden="1"/>
    <cellStyle name="Lien hypertexte visité" xfId="13259" builtinId="9" hidden="1"/>
    <cellStyle name="Lien hypertexte visité" xfId="9899" builtinId="9" hidden="1"/>
    <cellStyle name="Lien hypertexte visité" xfId="5810" builtinId="9" hidden="1"/>
    <cellStyle name="Lien hypertexte visité" xfId="8614" builtinId="9" hidden="1"/>
    <cellStyle name="Lien hypertexte visité" xfId="9183" builtinId="9" hidden="1"/>
    <cellStyle name="Lien hypertexte visité" xfId="1912" builtinId="9" hidden="1"/>
    <cellStyle name="Lien hypertexte visité" xfId="10157" builtinId="9" hidden="1"/>
    <cellStyle name="Lien hypertexte visité" xfId="20310" builtinId="9" hidden="1"/>
    <cellStyle name="Lien hypertexte visité" xfId="14396" builtinId="9" hidden="1"/>
    <cellStyle name="Lien hypertexte visité" xfId="3477" builtinId="9" hidden="1"/>
    <cellStyle name="Lien hypertexte visité" xfId="4943" builtinId="9" hidden="1"/>
    <cellStyle name="Lien hypertexte visité" xfId="2490" builtinId="9" hidden="1"/>
    <cellStyle name="Lien hypertexte visité" xfId="7384" builtinId="9" hidden="1"/>
    <cellStyle name="Lien hypertexte visité" xfId="14799" builtinId="9" hidden="1"/>
    <cellStyle name="Lien hypertexte visité" xfId="24478" builtinId="9" hidden="1"/>
    <cellStyle name="Lien hypertexte visité" xfId="15085" builtinId="9" hidden="1"/>
    <cellStyle name="Lien hypertexte visité" xfId="12832" builtinId="9" hidden="1"/>
    <cellStyle name="Lien hypertexte visité" xfId="11657" builtinId="9" hidden="1"/>
    <cellStyle name="Lien hypertexte visité" xfId="10128" builtinId="9" hidden="1"/>
    <cellStyle name="Lien hypertexte visité" xfId="14513" builtinId="9" hidden="1"/>
    <cellStyle name="Lien hypertexte visité" xfId="3710" builtinId="9" hidden="1"/>
    <cellStyle name="Lien hypertexte visité" xfId="13421" builtinId="9" hidden="1"/>
    <cellStyle name="Lien hypertexte visité" xfId="7512" builtinId="9" hidden="1"/>
    <cellStyle name="Lien hypertexte visité" xfId="12472" builtinId="9" hidden="1"/>
    <cellStyle name="Lien hypertexte visité" xfId="12097" builtinId="9" hidden="1"/>
    <cellStyle name="Lien hypertexte visité" xfId="4783" builtinId="9" hidden="1"/>
    <cellStyle name="Lien hypertexte visité" xfId="21940" builtinId="9" hidden="1"/>
    <cellStyle name="Lien hypertexte visité" xfId="13023" builtinId="9" hidden="1"/>
    <cellStyle name="Lien hypertexte visité" xfId="9755" builtinId="9" hidden="1"/>
    <cellStyle name="Lien hypertexte visité" xfId="7082" builtinId="9" hidden="1"/>
    <cellStyle name="Lien hypertexte visité" xfId="10337" builtinId="9" hidden="1"/>
    <cellStyle name="Lien hypertexte visité" xfId="9964" builtinId="9" hidden="1"/>
    <cellStyle name="Lien hypertexte visité" xfId="19732" builtinId="9" hidden="1"/>
    <cellStyle name="Lien hypertexte visité" xfId="6891" builtinId="9" hidden="1"/>
    <cellStyle name="Lien hypertexte visité" xfId="1457" builtinId="9" hidden="1"/>
    <cellStyle name="Lien hypertexte visité" xfId="8977" builtinId="9" hidden="1"/>
    <cellStyle name="Lien hypertexte visité" xfId="18430" builtinId="9" hidden="1"/>
    <cellStyle name="Lien hypertexte visité" xfId="11736" builtinId="9" hidden="1"/>
    <cellStyle name="Lien hypertexte visité" xfId="22414" builtinId="9" hidden="1"/>
    <cellStyle name="Lien hypertexte visité" xfId="8251" builtinId="9" hidden="1"/>
    <cellStyle name="Lien hypertexte visité" xfId="1804" builtinId="9" hidden="1"/>
    <cellStyle name="Lien hypertexte visité" xfId="16995" builtinId="9" hidden="1"/>
    <cellStyle name="Lien hypertexte visité" xfId="11395" builtinId="9" hidden="1"/>
    <cellStyle name="Lien hypertexte visité" xfId="4490" builtinId="9" hidden="1"/>
    <cellStyle name="Lien hypertexte visité" xfId="14399" builtinId="9" hidden="1"/>
    <cellStyle name="Lien hypertexte visité" xfId="6878" builtinId="9" hidden="1"/>
    <cellStyle name="Lien hypertexte visité" xfId="1023" builtinId="9" hidden="1"/>
    <cellStyle name="Lien hypertexte visité" xfId="8621" builtinId="9" hidden="1"/>
    <cellStyle name="Lien hypertexte visité" xfId="24534" builtinId="9" hidden="1"/>
    <cellStyle name="Lien hypertexte visité" xfId="12092" builtinId="9" hidden="1"/>
    <cellStyle name="Lien hypertexte visité" xfId="5275" builtinId="9" hidden="1"/>
    <cellStyle name="Lien hypertexte visité" xfId="6831" builtinId="9" hidden="1"/>
    <cellStyle name="Lien hypertexte visité" xfId="3908" builtinId="9" hidden="1"/>
    <cellStyle name="Lien hypertexte visité" xfId="8921" builtinId="9" hidden="1"/>
    <cellStyle name="Lien hypertexte visité" xfId="13465" builtinId="9" hidden="1"/>
    <cellStyle name="Lien hypertexte visité" xfId="22236" builtinId="9" hidden="1"/>
    <cellStyle name="Lien hypertexte visité" xfId="13392" builtinId="9" hidden="1"/>
    <cellStyle name="Lien hypertexte visité" xfId="10272" builtinId="9" hidden="1"/>
    <cellStyle name="Lien hypertexte visité" xfId="7048" builtinId="9" hidden="1"/>
    <cellStyle name="Lien hypertexte visité" xfId="13880" builtinId="9" hidden="1"/>
    <cellStyle name="Lien hypertexte visité" xfId="10241" builtinId="9" hidden="1"/>
    <cellStyle name="Lien hypertexte visité" xfId="1288" builtinId="9" hidden="1"/>
    <cellStyle name="Lien hypertexte visité" xfId="8813" builtinId="9" hidden="1"/>
    <cellStyle name="Lien hypertexte visité" xfId="16423" builtinId="9" hidden="1"/>
    <cellStyle name="Lien hypertexte visité" xfId="17477" builtinId="9" hidden="1"/>
    <cellStyle name="Lien hypertexte visité" xfId="5243" builtinId="9" hidden="1"/>
    <cellStyle name="Lien hypertexte visité" xfId="3594" builtinId="9" hidden="1"/>
    <cellStyle name="Lien hypertexte visité" xfId="1193" builtinId="9" hidden="1"/>
    <cellStyle name="Lien hypertexte visité" xfId="6320" builtinId="9" hidden="1"/>
    <cellStyle name="Lien hypertexte visité" xfId="13489" builtinId="9" hidden="1"/>
    <cellStyle name="Lien hypertexte visité" xfId="22686" builtinId="9" hidden="1"/>
    <cellStyle name="Lien hypertexte visité" xfId="17693" builtinId="9" hidden="1"/>
    <cellStyle name="Lien hypertexte visité" xfId="9120" builtinId="9" hidden="1"/>
    <cellStyle name="Lien hypertexte visité" xfId="15839" builtinId="9" hidden="1"/>
    <cellStyle name="Lien hypertexte visité" xfId="8585" builtinId="9" hidden="1"/>
    <cellStyle name="Lien hypertexte visité" xfId="13001" builtinId="9" hidden="1"/>
    <cellStyle name="Lien hypertexte visité" xfId="23036" builtinId="9" hidden="1"/>
    <cellStyle name="Lien hypertexte visité" xfId="13856" builtinId="9" hidden="1"/>
    <cellStyle name="Lien hypertexte visité" xfId="8888" builtinId="9" hidden="1"/>
    <cellStyle name="Lien hypertexte visité" xfId="11280" builtinId="9" hidden="1"/>
    <cellStyle name="Lien hypertexte visité" xfId="12816" builtinId="9" hidden="1"/>
    <cellStyle name="Lien hypertexte visité" xfId="14456" builtinId="9" hidden="1"/>
    <cellStyle name="Lien hypertexte visité" xfId="17821" builtinId="9" hidden="1"/>
    <cellStyle name="Lien hypertexte visité" xfId="22572" builtinId="9" hidden="1"/>
    <cellStyle name="Lien hypertexte visité" xfId="23582" builtinId="9" hidden="1"/>
    <cellStyle name="Lien hypertexte visité" xfId="20254" builtinId="9" hidden="1"/>
    <cellStyle name="Lien hypertexte visité" xfId="15407" builtinId="9" hidden="1"/>
    <cellStyle name="Lien hypertexte visité" xfId="13297" builtinId="9" hidden="1"/>
    <cellStyle name="Lien hypertexte visité" xfId="11761" builtinId="9" hidden="1"/>
    <cellStyle name="Lien hypertexte visité" xfId="10113" builtinId="9" hidden="1"/>
    <cellStyle name="Lien hypertexte visité" xfId="7664" builtinId="9" hidden="1"/>
    <cellStyle name="Lien hypertexte visité" xfId="6016" builtinId="9" hidden="1"/>
    <cellStyle name="Lien hypertexte visité" xfId="4480" builtinId="9" hidden="1"/>
    <cellStyle name="Lien hypertexte visité" xfId="2026" builtinId="9" hidden="1"/>
    <cellStyle name="Lien hypertexte visité" xfId="379" builtinId="9" hidden="1"/>
    <cellStyle name="Lien hypertexte visité" xfId="6575" builtinId="9" hidden="1"/>
    <cellStyle name="Lien hypertexte visité" xfId="4271" builtinId="9" hidden="1"/>
    <cellStyle name="Lien hypertexte visité" xfId="129" builtinId="9" hidden="1"/>
    <cellStyle name="Lien hypertexte visité" xfId="3029" builtinId="9" hidden="1"/>
    <cellStyle name="Lien hypertexte visité" xfId="5531" builtinId="9" hidden="1"/>
    <cellStyle name="Lien hypertexte visité" xfId="9180" builtinId="9" hidden="1"/>
    <cellStyle name="Lien hypertexte visité" xfId="11484" builtinId="9" hidden="1"/>
    <cellStyle name="Lien hypertexte visité" xfId="13980" builtinId="9" hidden="1"/>
    <cellStyle name="Lien hypertexte visité" xfId="18356" builtinId="9" hidden="1"/>
    <cellStyle name="Lien hypertexte visité" xfId="23510" builtinId="9" hidden="1"/>
    <cellStyle name="Lien hypertexte visité" xfId="18902" builtinId="9" hidden="1"/>
    <cellStyle name="Lien hypertexte visité" xfId="14253" builtinId="9" hidden="1"/>
    <cellStyle name="Lien hypertexte visité" xfId="10573" builtinId="9" hidden="1"/>
    <cellStyle name="Lien hypertexte visité" xfId="8109" builtinId="9" hidden="1"/>
    <cellStyle name="Lien hypertexte visité" xfId="5804" builtinId="9" hidden="1"/>
    <cellStyle name="Lien hypertexte visité" xfId="3334" builtinId="9" hidden="1"/>
    <cellStyle name="Lien hypertexte visité" xfId="1496" builtinId="9" hidden="1"/>
    <cellStyle name="Lien hypertexte visité" xfId="3966" builtinId="9" hidden="1"/>
    <cellStyle name="Lien hypertexte visité" xfId="6270" builtinId="9" hidden="1"/>
    <cellStyle name="Lien hypertexte visité" xfId="9855" builtinId="9" hidden="1"/>
    <cellStyle name="Lien hypertexte visité" xfId="12415" builtinId="9" hidden="1"/>
    <cellStyle name="Lien hypertexte visité" xfId="15307" builtinId="9" hidden="1"/>
    <cellStyle name="Lien hypertexte visité" xfId="9086" builtinId="9" hidden="1"/>
    <cellStyle name="Lien hypertexte visité" xfId="8371" builtinId="9" hidden="1"/>
    <cellStyle name="Lien hypertexte visité" xfId="6170" builtinId="9" hidden="1"/>
    <cellStyle name="Lien hypertexte visité" xfId="4050" builtinId="9" hidden="1"/>
    <cellStyle name="Lien hypertexte visité" xfId="635" builtinId="9" hidden="1"/>
    <cellStyle name="Lien hypertexte visité" xfId="12283" builtinId="9" hidden="1"/>
    <cellStyle name="Lien hypertexte visité" xfId="10235" builtinId="9" hidden="1"/>
    <cellStyle name="Lien hypertexte visité" xfId="13499" builtinId="9" hidden="1"/>
    <cellStyle name="Lien hypertexte visité" xfId="16547" builtinId="9" hidden="1"/>
    <cellStyle name="Lien hypertexte visité" xfId="13787" builtinId="9" hidden="1"/>
    <cellStyle name="Lien hypertexte visité" xfId="10603" builtinId="9" hidden="1"/>
    <cellStyle name="Lien hypertexte visité" xfId="5282" builtinId="9" hidden="1"/>
    <cellStyle name="Lien hypertexte visité" xfId="2468" builtinId="9" hidden="1"/>
    <cellStyle name="Lien hypertexte visité" xfId="4370" builtinId="9" hidden="1"/>
    <cellStyle name="Lien hypertexte visité" xfId="6570" builtinId="9" hidden="1"/>
    <cellStyle name="Lien hypertexte visité" xfId="439" builtinId="9" hidden="1"/>
    <cellStyle name="Lien hypertexte visité" xfId="8489" builtinId="9" hidden="1"/>
    <cellStyle name="Lien hypertexte visité" xfId="15775" builtinId="9" hidden="1"/>
    <cellStyle name="Lien hypertexte visité" xfId="12992" builtinId="9" hidden="1"/>
    <cellStyle name="Lien hypertexte visité" xfId="9944" builtinId="9" hidden="1"/>
    <cellStyle name="Lien hypertexte visité" xfId="12504" builtinId="9" hidden="1"/>
    <cellStyle name="Lien hypertexte visité" xfId="14941" builtinId="9" hidden="1"/>
    <cellStyle name="Lien hypertexte visité" xfId="22252" builtinId="9" hidden="1"/>
    <cellStyle name="Lien hypertexte visité" xfId="22014" builtinId="9" hidden="1"/>
    <cellStyle name="Lien hypertexte visité" xfId="16911" builtinId="9" hidden="1"/>
    <cellStyle name="Lien hypertexte visité" xfId="12129" builtinId="9" hidden="1"/>
    <cellStyle name="Lien hypertexte visité" xfId="9825" builtinId="9" hidden="1"/>
    <cellStyle name="Lien hypertexte visité" xfId="7352" builtinId="9" hidden="1"/>
    <cellStyle name="Lien hypertexte visité" xfId="4792" builtinId="9" hidden="1"/>
    <cellStyle name="Lien hypertexte visité" xfId="1201" builtinId="9" hidden="1"/>
    <cellStyle name="Lien hypertexte visité" xfId="6815" builtinId="9" hidden="1"/>
    <cellStyle name="Lien hypertexte visité" xfId="3097" builtinId="9" hidden="1"/>
    <cellStyle name="Lien hypertexte visité" xfId="3558" builtinId="9" hidden="1"/>
    <cellStyle name="Lien hypertexte visité" xfId="7275" builtinId="9" hidden="1"/>
    <cellStyle name="Lien hypertexte visité" xfId="10732" builtinId="9" hidden="1"/>
    <cellStyle name="Lien hypertexte visité" xfId="14444" builtinId="9" hidden="1"/>
    <cellStyle name="Lien hypertexte visité" xfId="23862" builtinId="9" hidden="1"/>
    <cellStyle name="Lien hypertexte visité" xfId="16455" builtinId="9" hidden="1"/>
    <cellStyle name="Lien hypertexte visité" xfId="12029" builtinId="9" hidden="1"/>
    <cellStyle name="Lien hypertexte visité" xfId="6524" builtinId="9" hidden="1"/>
    <cellStyle name="Lien hypertexte visité" xfId="2806" builtinId="9" hidden="1"/>
    <cellStyle name="Lien hypertexte visité" xfId="2056" builtinId="9" hidden="1"/>
    <cellStyle name="Lien hypertexte visité" xfId="5518" builtinId="9" hidden="1"/>
    <cellStyle name="Lien hypertexte visité" xfId="11023" builtinId="9" hidden="1"/>
    <cellStyle name="Lien hypertexte visité" xfId="14955" builtinId="9" hidden="1"/>
    <cellStyle name="Lien hypertexte visité" xfId="9906" builtinId="9" hidden="1"/>
    <cellStyle name="Lien hypertexte visité" xfId="13574" builtinId="9" hidden="1"/>
    <cellStyle name="Lien hypertexte visité" xfId="17241" builtinId="9" hidden="1"/>
    <cellStyle name="Lien hypertexte visité" xfId="22176" builtinId="9" hidden="1"/>
    <cellStyle name="Lien hypertexte visité" xfId="22098" builtinId="9" hidden="1"/>
    <cellStyle name="Lien hypertexte visité" xfId="24336" builtinId="9" hidden="1"/>
    <cellStyle name="Lien hypertexte visité" xfId="12522" builtinId="9" hidden="1"/>
    <cellStyle name="Lien hypertexte visité" xfId="4817" builtinId="9" hidden="1"/>
    <cellStyle name="Lien hypertexte visité" xfId="7962" builtinId="9" hidden="1"/>
    <cellStyle name="Lien hypertexte visité" xfId="3375" builtinId="9" hidden="1"/>
    <cellStyle name="Lien hypertexte visité" xfId="1398" builtinId="9" hidden="1"/>
    <cellStyle name="Lien hypertexte visité" xfId="1462" builtinId="9" hidden="1"/>
    <cellStyle name="Lien hypertexte visité" xfId="7681" builtinId="9" hidden="1"/>
    <cellStyle name="Lien hypertexte visité" xfId="5561" builtinId="9" hidden="1"/>
    <cellStyle name="Lien hypertexte visité" xfId="9402" builtinId="9" hidden="1"/>
    <cellStyle name="Lien hypertexte visité" xfId="13845" builtinId="9" hidden="1"/>
    <cellStyle name="Lien hypertexte visité" xfId="1894" builtinId="9" hidden="1"/>
    <cellStyle name="Lien hypertexte visité" xfId="10527" builtinId="9" hidden="1"/>
    <cellStyle name="Lien hypertexte visité" xfId="6709" builtinId="9" hidden="1"/>
    <cellStyle name="Lien hypertexte visité" xfId="4037" builtinId="9" hidden="1"/>
    <cellStyle name="Lien hypertexte visité" xfId="14218" builtinId="9" hidden="1"/>
    <cellStyle name="Lien hypertexte visité" xfId="22394" builtinId="9" hidden="1"/>
    <cellStyle name="Lien hypertexte visité" xfId="21826" builtinId="9" hidden="1"/>
    <cellStyle name="Lien hypertexte visité" xfId="23480" builtinId="9" hidden="1"/>
    <cellStyle name="Lien hypertexte visité" xfId="19208" builtinId="9" hidden="1"/>
    <cellStyle name="Lien hypertexte visité" xfId="14921" builtinId="9" hidden="1"/>
    <cellStyle name="Lien hypertexte visité" xfId="11602" builtinId="9" hidden="1"/>
    <cellStyle name="Lien hypertexte visité" xfId="9638" builtinId="9" hidden="1"/>
    <cellStyle name="Lien hypertexte visité" xfId="20882" builtinId="9" hidden="1"/>
    <cellStyle name="Lien hypertexte visité" xfId="1787" builtinId="9" hidden="1"/>
    <cellStyle name="Lien hypertexte visité" xfId="609" builtinId="9" hidden="1"/>
    <cellStyle name="Lien hypertexte visité" xfId="3820" builtinId="9" hidden="1"/>
    <cellStyle name="Lien hypertexte visité" xfId="2208" builtinId="9" hidden="1"/>
    <cellStyle name="Lien hypertexte visité" xfId="6757" builtinId="9" hidden="1"/>
    <cellStyle name="Lien hypertexte visité" xfId="6761" builtinId="9" hidden="1"/>
    <cellStyle name="Lien hypertexte visité" xfId="2835" builtinId="9" hidden="1"/>
    <cellStyle name="Lien hypertexte visité" xfId="4417" builtinId="9" hidden="1"/>
    <cellStyle name="Lien hypertexte visité" xfId="8922" builtinId="9" hidden="1"/>
    <cellStyle name="Lien hypertexte visité" xfId="5861" builtinId="9" hidden="1"/>
    <cellStyle name="Lien hypertexte visité" xfId="3039" builtinId="9" hidden="1"/>
    <cellStyle name="Lien hypertexte visité" xfId="7309" builtinId="9" hidden="1"/>
    <cellStyle name="Lien hypertexte visité" xfId="7477" builtinId="9" hidden="1"/>
    <cellStyle name="Lien hypertexte visité" xfId="2547" builtinId="9" hidden="1"/>
    <cellStyle name="Lien hypertexte visité" xfId="969" builtinId="9" hidden="1"/>
    <cellStyle name="Lien hypertexte visité" xfId="1089" builtinId="9" hidden="1"/>
    <cellStyle name="Lien hypertexte visité" xfId="3327" builtinId="9" hidden="1"/>
    <cellStyle name="Lien hypertexte visité" xfId="21856" builtinId="9" hidden="1"/>
    <cellStyle name="Lien hypertexte visité" xfId="11090" builtinId="9" hidden="1"/>
    <cellStyle name="Lien hypertexte visité" xfId="13030" builtinId="9" hidden="1"/>
    <cellStyle name="Lien hypertexte visité" xfId="15857" builtinId="9" hidden="1"/>
    <cellStyle name="Lien hypertexte visité" xfId="22072" builtinId="9" hidden="1"/>
    <cellStyle name="Lien hypertexte visité" xfId="22850" builtinId="9" hidden="1"/>
    <cellStyle name="Lien hypertexte visité" xfId="18962" builtinId="9" hidden="1"/>
    <cellStyle name="Lien hypertexte visité" xfId="24016" builtinId="9" hidden="1"/>
    <cellStyle name="Lien hypertexte visité" xfId="9930" builtinId="9" hidden="1"/>
    <cellStyle name="Lien hypertexte visité" xfId="5281" builtinId="9" hidden="1"/>
    <cellStyle name="Lien hypertexte visité" xfId="6945" builtinId="9" hidden="1"/>
    <cellStyle name="Lien hypertexte visité" xfId="2968" builtinId="9" hidden="1"/>
    <cellStyle name="Lien hypertexte visité" xfId="9453" builtinId="9" hidden="1"/>
    <cellStyle name="Lien hypertexte visité" xfId="22324" builtinId="9" hidden="1"/>
    <cellStyle name="Lien hypertexte visité" xfId="8188" builtinId="9" hidden="1"/>
    <cellStyle name="Lien hypertexte visité" xfId="59" builtinId="9" hidden="1"/>
    <cellStyle name="Lien hypertexte visité" xfId="8113" builtinId="9" hidden="1"/>
    <cellStyle name="Lien hypertexte visité" xfId="16719" builtinId="9" hidden="1"/>
    <cellStyle name="Lien hypertexte visité" xfId="12600" builtinId="9" hidden="1"/>
    <cellStyle name="Lien hypertexte visité" xfId="21628" builtinId="9" hidden="1"/>
    <cellStyle name="Lien hypertexte visité" xfId="8969" builtinId="9" hidden="1"/>
    <cellStyle name="Lien hypertexte visité" xfId="18510" builtinId="9" hidden="1"/>
    <cellStyle name="Lien hypertexte visité" xfId="11744" builtinId="9" hidden="1"/>
    <cellStyle name="Lien hypertexte visité" xfId="10168" builtinId="9" hidden="1"/>
    <cellStyle name="Lien hypertexte visité" xfId="12664" builtinId="9" hidden="1"/>
    <cellStyle name="Lien hypertexte visité" xfId="18109" builtinId="9" hidden="1"/>
    <cellStyle name="Lien hypertexte visité" xfId="23084" builtinId="9" hidden="1"/>
    <cellStyle name="Lien hypertexte visité" xfId="21566" builtinId="9" hidden="1"/>
    <cellStyle name="Lien hypertexte visité" xfId="16591" builtinId="9" hidden="1"/>
    <cellStyle name="Lien hypertexte visité" xfId="11905" builtinId="9" hidden="1"/>
    <cellStyle name="Lien hypertexte visité" xfId="9409" builtinId="9" hidden="1"/>
    <cellStyle name="Lien hypertexte visité" xfId="7128" builtinId="9" hidden="1"/>
    <cellStyle name="Lien hypertexte visité" xfId="3474" builtinId="9" hidden="1"/>
    <cellStyle name="Lien hypertexte visité" xfId="791" builtinId="9" hidden="1"/>
    <cellStyle name="Lien hypertexte visité" xfId="6191" builtinId="9" hidden="1"/>
    <cellStyle name="Lien hypertexte visité" xfId="2761" builtinId="9" hidden="1"/>
    <cellStyle name="Lien hypertexte visité" xfId="3870" builtinId="9" hidden="1"/>
    <cellStyle name="Lien hypertexte visité" xfId="7611" builtinId="9" hidden="1"/>
    <cellStyle name="Lien hypertexte visité" xfId="11356" builtinId="9" hidden="1"/>
    <cellStyle name="Lien hypertexte visité" xfId="19124" builtinId="9" hidden="1"/>
    <cellStyle name="Lien hypertexte visité" xfId="23254" builtinId="9" hidden="1"/>
    <cellStyle name="Lien hypertexte visité" xfId="15783" builtinId="9" hidden="1"/>
    <cellStyle name="Lien hypertexte visité" xfId="11405" builtinId="9" hidden="1"/>
    <cellStyle name="Lien hypertexte visité" xfId="5932" builtinId="9" hidden="1"/>
    <cellStyle name="Lien hypertexte visité" xfId="2502" builtinId="9" hidden="1"/>
    <cellStyle name="Lien hypertexte visité" xfId="2392" builtinId="9" hidden="1"/>
    <cellStyle name="Lien hypertexte visité" xfId="7871" builtinId="9" hidden="1"/>
    <cellStyle name="Lien hypertexte visité" xfId="11615" builtinId="9" hidden="1"/>
    <cellStyle name="Lien hypertexte visité" xfId="15563" builtinId="9" hidden="1"/>
    <cellStyle name="Lien hypertexte visité" xfId="2370" builtinId="9" hidden="1"/>
    <cellStyle name="Lien hypertexte visité" xfId="5402" builtinId="9" hidden="1"/>
    <cellStyle name="Lien hypertexte visité" xfId="2180" builtinId="9" hidden="1"/>
    <cellStyle name="Lien hypertexte visité" xfId="12523" builtinId="9" hidden="1"/>
    <cellStyle name="Lien hypertexte visité" xfId="13403" builtinId="9" hidden="1"/>
    <cellStyle name="Lien hypertexte visité" xfId="14659" builtinId="9" hidden="1"/>
    <cellStyle name="Lien hypertexte visité" xfId="9955" builtinId="9" hidden="1"/>
    <cellStyle name="Lien hypertexte visité" xfId="12683" builtinId="9" hidden="1"/>
    <cellStyle name="Lien hypertexte visité" xfId="4114" builtinId="9" hidden="1"/>
    <cellStyle name="Lien hypertexte visité" xfId="7338" builtinId="9" hidden="1"/>
    <cellStyle name="Lien hypertexte visité" xfId="4008" builtinId="9" hidden="1"/>
    <cellStyle name="Lien hypertexte visité" xfId="22972" builtinId="9" hidden="1"/>
    <cellStyle name="Lien hypertexte visité" xfId="8968" builtinId="9" hidden="1"/>
    <cellStyle name="Lien hypertexte visité" xfId="12720" builtinId="9" hidden="1"/>
    <cellStyle name="Lien hypertexte visité" xfId="18412" builtinId="9" hidden="1"/>
    <cellStyle name="Lien hypertexte visité" xfId="19886" builtinId="9" hidden="1"/>
    <cellStyle name="Lien hypertexte visité" xfId="13793" builtinId="9" hidden="1"/>
    <cellStyle name="Lien hypertexte visité" xfId="10041" builtinId="9" hidden="1"/>
    <cellStyle name="Lien hypertexte visité" xfId="4576" builtinId="9" hidden="1"/>
    <cellStyle name="Lien hypertexte visité" xfId="471" builtinId="9" hidden="1"/>
    <cellStyle name="Lien hypertexte visité" xfId="4575" builtinId="9" hidden="1"/>
    <cellStyle name="Lien hypertexte visité" xfId="2213" builtinId="9" hidden="1"/>
    <cellStyle name="Lien hypertexte visité" xfId="10412" builtinId="9" hidden="1"/>
    <cellStyle name="Lien hypertexte visité" xfId="17573" builtinId="9" hidden="1"/>
    <cellStyle name="Lien hypertexte visité" xfId="21430" builtinId="9" hidden="1"/>
    <cellStyle name="Lien hypertexte visité" xfId="9789" builtinId="9" hidden="1"/>
    <cellStyle name="Lien hypertexte visité" xfId="4156" builtinId="9" hidden="1"/>
    <cellStyle name="Lien hypertexte visité" xfId="2632" builtinId="9" hidden="1"/>
    <cellStyle name="Lien hypertexte visité" xfId="7758" builtinId="9" hidden="1"/>
    <cellStyle name="Lien hypertexte visité" xfId="8242" builtinId="9" hidden="1"/>
    <cellStyle name="Lien hypertexte visité" xfId="11998" builtinId="9" hidden="1"/>
    <cellStyle name="Lien hypertexte visité" xfId="16985" builtinId="9" hidden="1"/>
    <cellStyle name="Lien hypertexte visité" xfId="21330" builtinId="9" hidden="1"/>
    <cellStyle name="Lien hypertexte visité" xfId="23568" builtinId="9" hidden="1"/>
    <cellStyle name="Lien hypertexte visité" xfId="4049" builtinId="9" hidden="1"/>
    <cellStyle name="Lien hypertexte visité" xfId="7265" builtinId="9" hidden="1"/>
    <cellStyle name="Lien hypertexte visité" xfId="1302" builtinId="9" hidden="1"/>
    <cellStyle name="Lien hypertexte visité" xfId="3423" builtinId="9" hidden="1"/>
    <cellStyle name="Lien hypertexte visité" xfId="6913" builtinId="9" hidden="1"/>
    <cellStyle name="Lien hypertexte visité" xfId="17207" builtinId="9" hidden="1"/>
    <cellStyle name="Lien hypertexte visité" xfId="12101" builtinId="9" hidden="1"/>
    <cellStyle name="Lien hypertexte visité" xfId="8693" builtinId="9" hidden="1"/>
    <cellStyle name="Lien hypertexte visité" xfId="4932" builtinId="9" hidden="1"/>
    <cellStyle name="Lien hypertexte visité" xfId="1680" builtinId="9" hidden="1"/>
    <cellStyle name="Lien hypertexte visité" xfId="5446" builtinId="9" hidden="1"/>
    <cellStyle name="Lien hypertexte visité" xfId="8855" builtinId="9" hidden="1"/>
    <cellStyle name="Lien hypertexte visité" xfId="14327" builtinId="9" hidden="1"/>
    <cellStyle name="Lien hypertexte visité" xfId="9654" builtinId="9" hidden="1"/>
    <cellStyle name="Lien hypertexte visité" xfId="12162" builtinId="9" hidden="1"/>
    <cellStyle name="Lien hypertexte visité" xfId="14434" builtinId="9" hidden="1"/>
    <cellStyle name="Lien hypertexte visité" xfId="21632" builtinId="9" hidden="1"/>
    <cellStyle name="Lien hypertexte visité" xfId="22602" builtinId="9" hidden="1"/>
    <cellStyle name="Lien hypertexte visité" xfId="17603" builtinId="9" hidden="1"/>
    <cellStyle name="Lien hypertexte visité" xfId="12762" builtinId="9" hidden="1"/>
    <cellStyle name="Lien hypertexte visité" xfId="20018" builtinId="9" hidden="1"/>
    <cellStyle name="Lien hypertexte visité" xfId="14358" builtinId="9" hidden="1"/>
    <cellStyle name="Lien hypertexte visité" xfId="13863" builtinId="9" hidden="1"/>
    <cellStyle name="Lien hypertexte visité" xfId="3686" builtinId="9" hidden="1"/>
    <cellStyle name="Lien hypertexte visité" xfId="13925" builtinId="9" hidden="1"/>
    <cellStyle name="Lien hypertexte visité" xfId="7571" builtinId="9" hidden="1"/>
    <cellStyle name="Lien hypertexte visité" xfId="12244" builtinId="9" hidden="1"/>
    <cellStyle name="Lien hypertexte visité" xfId="16405" builtinId="9" hidden="1"/>
    <cellStyle name="Lien hypertexte visité" xfId="8743" builtinId="9" hidden="1"/>
    <cellStyle name="Lien hypertexte visité" xfId="17081" builtinId="9" hidden="1"/>
    <cellStyle name="Lien hypertexte visité" xfId="3214" builtinId="9" hidden="1"/>
    <cellStyle name="Lien hypertexte visité" xfId="4617" builtinId="9" hidden="1"/>
    <cellStyle name="Lien hypertexte visité" xfId="10831" builtinId="9" hidden="1"/>
    <cellStyle name="Lien hypertexte visité" xfId="4779" builtinId="9" hidden="1"/>
    <cellStyle name="Lien hypertexte visité" xfId="21836" builtinId="9" hidden="1"/>
    <cellStyle name="Lien hypertexte visité" xfId="1187" builtinId="9" hidden="1"/>
    <cellStyle name="Lien hypertexte visité" xfId="8627" builtinId="9" hidden="1"/>
    <cellStyle name="Lien hypertexte visité" xfId="9677" builtinId="9" hidden="1"/>
    <cellStyle name="Lien hypertexte visité" xfId="261" builtinId="9" hidden="1"/>
    <cellStyle name="Lien hypertexte visité" xfId="14401" builtinId="9" hidden="1"/>
    <cellStyle name="Lien hypertexte visité" xfId="23932" builtinId="9" hidden="1"/>
    <cellStyle name="Lien hypertexte visité" xfId="2037" builtinId="9" hidden="1"/>
    <cellStyle name="Lien hypertexte visité" xfId="18273" builtinId="9" hidden="1"/>
    <cellStyle name="Lien hypertexte visité" xfId="11366" builtinId="9" hidden="1"/>
    <cellStyle name="Lien hypertexte visité" xfId="4073" builtinId="9" hidden="1"/>
    <cellStyle name="Lien hypertexte visité" xfId="8046" builtinId="9" hidden="1"/>
    <cellStyle name="Lien hypertexte visité" xfId="13734" builtinId="9" hidden="1"/>
    <cellStyle name="Lien hypertexte visité" xfId="5721" builtinId="9" hidden="1"/>
    <cellStyle name="Lien hypertexte visité" xfId="3183" builtinId="9" hidden="1"/>
    <cellStyle name="Lien hypertexte visité" xfId="19714" builtinId="9" hidden="1"/>
    <cellStyle name="Lien hypertexte visité" xfId="7566" builtinId="9" hidden="1"/>
    <cellStyle name="Lien hypertexte visité" xfId="17957" builtinId="9" hidden="1"/>
    <cellStyle name="Lien hypertexte visité" xfId="3682" builtinId="9" hidden="1"/>
    <cellStyle name="Lien hypertexte visité" xfId="17661" builtinId="9" hidden="1"/>
    <cellStyle name="Lien hypertexte visité" xfId="7514" builtinId="9" hidden="1"/>
    <cellStyle name="Lien hypertexte visité" xfId="15459" builtinId="9" hidden="1"/>
    <cellStyle name="Lien hypertexte visité" xfId="3010" builtinId="9" hidden="1"/>
    <cellStyle name="Lien hypertexte visité" xfId="2214" builtinId="9" hidden="1"/>
    <cellStyle name="Lien hypertexte visité" xfId="20724" builtinId="9" hidden="1"/>
    <cellStyle name="Lien hypertexte visité" xfId="2889" builtinId="9" hidden="1"/>
    <cellStyle name="Lien hypertexte visité" xfId="9329" builtinId="9" hidden="1"/>
    <cellStyle name="Lien hypertexte visité" xfId="19292" builtinId="9" hidden="1"/>
    <cellStyle name="Lien hypertexte visité" xfId="16991" builtinId="9" hidden="1"/>
    <cellStyle name="Lien hypertexte visité" xfId="8537" builtinId="9" hidden="1"/>
    <cellStyle name="Lien hypertexte visité" xfId="10108" builtinId="9" hidden="1"/>
    <cellStyle name="Lien hypertexte visité" xfId="17871" builtinId="9" hidden="1"/>
    <cellStyle name="Lien hypertexte visité" xfId="12045" builtinId="9" hidden="1"/>
    <cellStyle name="Lien hypertexte visité" xfId="12171" builtinId="9" hidden="1"/>
    <cellStyle name="Lien hypertexte visité" xfId="317" builtinId="9" hidden="1"/>
    <cellStyle name="Lien hypertexte visité" xfId="9997" builtinId="9" hidden="1"/>
    <cellStyle name="Lien hypertexte visité" xfId="7168" builtinId="9" hidden="1"/>
    <cellStyle name="Lien hypertexte visité" xfId="9777" builtinId="9" hidden="1"/>
    <cellStyle name="Lien hypertexte visité" xfId="2886" builtinId="9" hidden="1"/>
    <cellStyle name="Lien hypertexte visité" xfId="6930" builtinId="9" hidden="1"/>
    <cellStyle name="Lien hypertexte visité" xfId="15909" builtinId="9" hidden="1"/>
    <cellStyle name="Lien hypertexte visité" xfId="3740" builtinId="9" hidden="1"/>
    <cellStyle name="Lien hypertexte visité" xfId="6089" builtinId="9" hidden="1"/>
    <cellStyle name="Lien hypertexte visité" xfId="21712" builtinId="9" hidden="1"/>
    <cellStyle name="Lien hypertexte visité" xfId="15663" builtinId="9" hidden="1"/>
    <cellStyle name="Lien hypertexte visité" xfId="491" builtinId="9" hidden="1"/>
    <cellStyle name="Lien hypertexte visité" xfId="3237" builtinId="9" hidden="1"/>
    <cellStyle name="Lien hypertexte visité" xfId="4244" builtinId="9" hidden="1"/>
    <cellStyle name="Lien hypertexte visité" xfId="19366" builtinId="9" hidden="1"/>
    <cellStyle name="Lien hypertexte visité" xfId="13689" builtinId="9" hidden="1"/>
    <cellStyle name="Lien hypertexte visité" xfId="11208" builtinId="9" hidden="1"/>
    <cellStyle name="Lien hypertexte visité" xfId="7867" builtinId="9" hidden="1"/>
    <cellStyle name="Lien hypertexte visité" xfId="6108" builtinId="9" hidden="1"/>
    <cellStyle name="Lien hypertexte visité" xfId="7445" builtinId="9" hidden="1"/>
    <cellStyle name="Lien hypertexte visité" xfId="19432" builtinId="9" hidden="1"/>
    <cellStyle name="Lien hypertexte visité" xfId="15643" builtinId="9" hidden="1"/>
    <cellStyle name="Lien hypertexte visité" xfId="18762" builtinId="9" hidden="1"/>
    <cellStyle name="Lien hypertexte visité" xfId="11438" builtinId="9" hidden="1"/>
    <cellStyle name="Lien hypertexte visité" xfId="4102" builtinId="9" hidden="1"/>
    <cellStyle name="Lien hypertexte visité" xfId="13653" builtinId="9" hidden="1"/>
    <cellStyle name="Lien hypertexte visité" xfId="3708" builtinId="9" hidden="1"/>
    <cellStyle name="Lien hypertexte visité" xfId="6434" builtinId="9" hidden="1"/>
    <cellStyle name="Lien hypertexte visité" xfId="12019" builtinId="9" hidden="1"/>
    <cellStyle name="Lien hypertexte visité" xfId="10859" builtinId="9" hidden="1"/>
    <cellStyle name="Lien hypertexte visité" xfId="9531" builtinId="9" hidden="1"/>
    <cellStyle name="Lien hypertexte visité" xfId="12915" builtinId="9" hidden="1"/>
    <cellStyle name="Lien hypertexte visité" xfId="16003" builtinId="9" hidden="1"/>
    <cellStyle name="Lien hypertexte visité" xfId="14643" builtinId="9" hidden="1"/>
    <cellStyle name="Lien hypertexte visité" xfId="13355" builtinId="9" hidden="1"/>
    <cellStyle name="Lien hypertexte visité" xfId="10659" builtinId="9" hidden="1"/>
    <cellStyle name="Lien hypertexte visité" xfId="10595" builtinId="9" hidden="1"/>
    <cellStyle name="Lien hypertexte visité" xfId="5224" builtinId="9" hidden="1"/>
    <cellStyle name="Lien hypertexte visité" xfId="11416" builtinId="9" hidden="1"/>
    <cellStyle name="Lien hypertexte visité" xfId="9977" builtinId="9" hidden="1"/>
    <cellStyle name="Lien hypertexte visité" xfId="2970" builtinId="9" hidden="1"/>
    <cellStyle name="Lien hypertexte visité" xfId="4560" builtinId="9" hidden="1"/>
    <cellStyle name="Lien hypertexte visité" xfId="6304" builtinId="9" hidden="1"/>
    <cellStyle name="Lien hypertexte visité" xfId="7841" builtinId="9" hidden="1"/>
    <cellStyle name="Lien hypertexte visité" xfId="9593" builtinId="9" hidden="1"/>
    <cellStyle name="Lien hypertexte visité" xfId="11169" builtinId="9" hidden="1"/>
    <cellStyle name="Lien hypertexte visité" xfId="6218" builtinId="9" hidden="1"/>
    <cellStyle name="Lien hypertexte visité" xfId="1908" builtinId="9" hidden="1"/>
    <cellStyle name="Lien hypertexte visité" xfId="11619" builtinId="9" hidden="1"/>
    <cellStyle name="Lien hypertexte visité" xfId="20684" builtinId="9" hidden="1"/>
    <cellStyle name="Lien hypertexte visité" xfId="23756" builtinId="9" hidden="1"/>
    <cellStyle name="Lien hypertexte visité" xfId="21982" builtinId="9" hidden="1"/>
    <cellStyle name="Lien hypertexte visité" xfId="18814" builtinId="9" hidden="1"/>
    <cellStyle name="Lien hypertexte visité" xfId="15759" builtinId="9" hidden="1"/>
    <cellStyle name="Lien hypertexte visité" xfId="12577" builtinId="9" hidden="1"/>
    <cellStyle name="Lien hypertexte visité" xfId="11041" builtinId="9" hidden="1"/>
    <cellStyle name="Lien hypertexte visité" xfId="9465" builtinId="9" hidden="1"/>
    <cellStyle name="Lien hypertexte visité" xfId="7889" builtinId="9" hidden="1"/>
    <cellStyle name="Lien hypertexte visité" xfId="6136" builtinId="9" hidden="1"/>
    <cellStyle name="Lien hypertexte visité" xfId="4600" builtinId="9" hidden="1"/>
    <cellStyle name="Lien hypertexte visité" xfId="3018" builtinId="9" hidden="1"/>
    <cellStyle name="Lien hypertexte visité" xfId="15679" builtinId="9" hidden="1"/>
    <cellStyle name="Lien hypertexte visité" xfId="13128" builtinId="9" hidden="1"/>
    <cellStyle name="Lien hypertexte visité" xfId="10345" builtinId="9" hidden="1"/>
    <cellStyle name="Lien hypertexte visité" xfId="2996" builtinId="9" hidden="1"/>
    <cellStyle name="Lien hypertexte visité" xfId="9603" builtinId="9" hidden="1"/>
    <cellStyle name="Lien hypertexte visité" xfId="13683" builtinId="9" hidden="1"/>
    <cellStyle name="Lien hypertexte visité" xfId="15219" builtinId="9" hidden="1"/>
    <cellStyle name="Lien hypertexte visité" xfId="17267" builtinId="9" hidden="1"/>
    <cellStyle name="Lien hypertexte visité" xfId="13147" builtinId="9" hidden="1"/>
    <cellStyle name="Lien hypertexte visité" xfId="14267" builtinId="9" hidden="1"/>
    <cellStyle name="Lien hypertexte visité" xfId="11001" builtinId="9" hidden="1"/>
    <cellStyle name="Lien hypertexte visité" xfId="3819" builtinId="9" hidden="1"/>
    <cellStyle name="Lien hypertexte visité" xfId="8553" builtinId="9" hidden="1"/>
    <cellStyle name="Lien hypertexte visité" xfId="13161" builtinId="9" hidden="1"/>
    <cellStyle name="Lien hypertexte visité" xfId="21262" builtinId="9" hidden="1"/>
    <cellStyle name="Lien hypertexte visité" xfId="13696" builtinId="9" hidden="1"/>
    <cellStyle name="Lien hypertexte visité" xfId="8960" builtinId="9" hidden="1"/>
    <cellStyle name="Lien hypertexte visité" xfId="10352" builtinId="9" hidden="1"/>
    <cellStyle name="Lien hypertexte visité" xfId="11928" builtinId="9" hidden="1"/>
    <cellStyle name="Lien hypertexte visité" xfId="13512" builtinId="9" hidden="1"/>
    <cellStyle name="Lien hypertexte visité" xfId="15581" builtinId="9" hidden="1"/>
    <cellStyle name="Lien hypertexte visité" xfId="18716" builtinId="9" hidden="1"/>
    <cellStyle name="Lien hypertexte visité" xfId="2956" builtinId="9" hidden="1"/>
    <cellStyle name="Lien hypertexte visité" xfId="4978" builtinId="9" hidden="1"/>
    <cellStyle name="Lien hypertexte visité" xfId="6330" builtinId="9" hidden="1"/>
    <cellStyle name="Lien hypertexte visité" xfId="7642" builtinId="9" hidden="1"/>
    <cellStyle name="Lien hypertexte visité" xfId="9003" builtinId="9" hidden="1"/>
    <cellStyle name="Lien hypertexte visité" xfId="11788" builtinId="9" hidden="1"/>
    <cellStyle name="Lien hypertexte visité" xfId="3590" builtinId="9" hidden="1"/>
    <cellStyle name="Lien hypertexte visité" xfId="5759" builtinId="9" hidden="1"/>
    <cellStyle name="Lien hypertexte visité" xfId="19284" builtinId="9" hidden="1"/>
    <cellStyle name="Lien hypertexte visité" xfId="3807" builtinId="9" hidden="1"/>
    <cellStyle name="Lien hypertexte visité" xfId="4828" builtinId="9" hidden="1"/>
    <cellStyle name="Lien hypertexte visité" xfId="17253" builtinId="9" hidden="1"/>
    <cellStyle name="Lien hypertexte visité" xfId="15623" builtinId="9" hidden="1"/>
    <cellStyle name="Lien hypertexte visité" xfId="2681" builtinId="9" hidden="1"/>
    <cellStyle name="Lien hypertexte visité" xfId="6667" builtinId="9" hidden="1"/>
    <cellStyle name="Lien hypertexte visité" xfId="15205" builtinId="9" hidden="1"/>
    <cellStyle name="Lien hypertexte visité" xfId="7827" builtinId="9" hidden="1"/>
    <cellStyle name="Lien hypertexte visité" xfId="6474" builtinId="9" hidden="1"/>
    <cellStyle name="Lien hypertexte visité" xfId="5162" builtinId="9" hidden="1"/>
    <cellStyle name="Lien hypertexte visité" xfId="3805" builtinId="9" hidden="1"/>
    <cellStyle name="Lien hypertexte visité" xfId="679" builtinId="9" hidden="1"/>
    <cellStyle name="Lien hypertexte visité" xfId="17533" builtinId="9" hidden="1"/>
    <cellStyle name="Lien hypertexte visité" xfId="14448" builtinId="9" hidden="1"/>
    <cellStyle name="Lien hypertexte visité" xfId="12144" builtinId="9" hidden="1"/>
    <cellStyle name="Lien hypertexte visité" xfId="10568" builtinId="9" hidden="1"/>
    <cellStyle name="Lien hypertexte visité" xfId="8984" builtinId="9" hidden="1"/>
    <cellStyle name="Lien hypertexte visité" xfId="13056" builtinId="9" hidden="1"/>
    <cellStyle name="Lien hypertexte visité" xfId="22076" builtinId="9" hidden="1"/>
    <cellStyle name="Lien hypertexte visité" xfId="17695" builtinId="9" hidden="1"/>
    <cellStyle name="Lien hypertexte visité" xfId="11497" builtinId="9" hidden="1"/>
    <cellStyle name="Lien hypertexte visité" xfId="6760" builtinId="9" hidden="1"/>
    <cellStyle name="Lien hypertexte visité" xfId="7328" builtinId="9" hidden="1"/>
    <cellStyle name="Lien hypertexte visité" xfId="14435" builtinId="9" hidden="1"/>
    <cellStyle name="Lien hypertexte visité" xfId="13275" builtinId="9" hidden="1"/>
    <cellStyle name="Lien hypertexte visité" xfId="14507" builtinId="9" hidden="1"/>
    <cellStyle name="Lien hypertexte visité" xfId="16083" builtinId="9" hidden="1"/>
    <cellStyle name="Lien hypertexte visité" xfId="12955" builtinId="9" hidden="1"/>
    <cellStyle name="Lien hypertexte visité" xfId="14075" builtinId="9" hidden="1"/>
    <cellStyle name="Lien hypertexte visité" xfId="10763" builtinId="9" hidden="1"/>
    <cellStyle name="Lien hypertexte visité" xfId="6248" builtinId="9" hidden="1"/>
    <cellStyle name="Lien hypertexte visité" xfId="11760" builtinId="9" hidden="1"/>
    <cellStyle name="Lien hypertexte visité" xfId="18398" builtinId="9" hidden="1"/>
    <cellStyle name="Lien hypertexte visité" xfId="4176" builtinId="9" hidden="1"/>
    <cellStyle name="Lien hypertexte visité" xfId="3611" builtinId="9" hidden="1"/>
    <cellStyle name="Lien hypertexte visité" xfId="5152" builtinId="9" hidden="1"/>
    <cellStyle name="Lien hypertexte visité" xfId="6736" builtinId="9" hidden="1"/>
    <cellStyle name="Lien hypertexte visité" xfId="9249" builtinId="9" hidden="1"/>
    <cellStyle name="Lien hypertexte visité" xfId="10833" builtinId="9" hidden="1"/>
    <cellStyle name="Lien hypertexte visité" xfId="12409" builtinId="9" hidden="1"/>
    <cellStyle name="Lien hypertexte visité" xfId="14161" builtinId="9" hidden="1"/>
    <cellStyle name="Lien hypertexte visité" xfId="16879" builtinId="9" hidden="1"/>
    <cellStyle name="Lien hypertexte visité" xfId="20014" builtinId="9" hidden="1"/>
    <cellStyle name="Lien hypertexte visité" xfId="23086" builtinId="9" hidden="1"/>
    <cellStyle name="Lien hypertexte visité" xfId="21020" builtinId="9" hidden="1"/>
    <cellStyle name="Lien hypertexte visité" xfId="2012" builtinId="9" hidden="1"/>
    <cellStyle name="Lien hypertexte visité" xfId="12715" builtinId="9" hidden="1"/>
    <cellStyle name="Lien hypertexte visité" xfId="14211" builtinId="9" hidden="1"/>
    <cellStyle name="Lien hypertexte visité" xfId="12321" builtinId="9" hidden="1"/>
    <cellStyle name="Lien hypertexte visité" xfId="10577" builtinId="9" hidden="1"/>
    <cellStyle name="Lien hypertexte visité" xfId="9041" builtinId="9" hidden="1"/>
    <cellStyle name="Lien hypertexte visité" xfId="7288" builtinId="9" hidden="1"/>
    <cellStyle name="Lien hypertexte visité" xfId="4728" builtinId="9" hidden="1"/>
    <cellStyle name="Lien hypertexte visité" xfId="3186" builtinId="9" hidden="1"/>
    <cellStyle name="Lien hypertexte visité" xfId="8609" builtinId="9" hidden="1"/>
    <cellStyle name="Lien hypertexte visité" xfId="24542" builtinId="9" hidden="1"/>
    <cellStyle name="Lien hypertexte visité" xfId="13440" builtinId="9" hidden="1"/>
    <cellStyle name="Lien hypertexte visité" xfId="7386" builtinId="9" hidden="1"/>
    <cellStyle name="Lien hypertexte visité" xfId="10155" builtinId="9" hidden="1"/>
    <cellStyle name="Lien hypertexte visité" xfId="13483" builtinId="9" hidden="1"/>
    <cellStyle name="Lien hypertexte visité" xfId="14899" builtinId="9" hidden="1"/>
    <cellStyle name="Lien hypertexte visité" xfId="16755" builtinId="9" hidden="1"/>
    <cellStyle name="Lien hypertexte visité" xfId="15667" builtinId="9" hidden="1"/>
    <cellStyle name="Lien hypertexte visité" xfId="14035" builtinId="9" hidden="1"/>
    <cellStyle name="Lien hypertexte visité" xfId="9971" builtinId="9" hidden="1"/>
    <cellStyle name="Lien hypertexte visité" xfId="11267" builtinId="9" hidden="1"/>
    <cellStyle name="Lien hypertexte visité" xfId="12603" builtinId="9" hidden="1"/>
    <cellStyle name="Lien hypertexte visité" xfId="1203" builtinId="9" hidden="1"/>
    <cellStyle name="Lien hypertexte visité" xfId="2596" builtinId="9" hidden="1"/>
    <cellStyle name="Lien hypertexte visité" xfId="10563" builtinId="9" hidden="1"/>
    <cellStyle name="Lien hypertexte visité" xfId="3260" builtinId="9" hidden="1"/>
    <cellStyle name="Lien hypertexte visité" xfId="2052" builtinId="9" hidden="1"/>
    <cellStyle name="Lien hypertexte visité" xfId="2268" builtinId="9" hidden="1"/>
    <cellStyle name="Lien hypertexte visité" xfId="12571" builtinId="9" hidden="1"/>
    <cellStyle name="Lien hypertexte visité" xfId="10899" builtinId="9" hidden="1"/>
    <cellStyle name="Lien hypertexte visité" xfId="6890" builtinId="9" hidden="1"/>
    <cellStyle name="Lien hypertexte visité" xfId="5682" builtinId="9" hidden="1"/>
    <cellStyle name="Lien hypertexte visité" xfId="9411" builtinId="9" hidden="1"/>
    <cellStyle name="Lien hypertexte visité" xfId="8243" builtinId="9" hidden="1"/>
    <cellStyle name="Lien hypertexte visité" xfId="4104" builtinId="9" hidden="1"/>
    <cellStyle name="Lien hypertexte visité" xfId="4744" builtinId="9" hidden="1"/>
    <cellStyle name="Lien hypertexte visité" xfId="8275" builtinId="9" hidden="1"/>
    <cellStyle name="Lien hypertexte visité" xfId="5130" builtinId="9" hidden="1"/>
    <cellStyle name="Lien hypertexte visité" xfId="6298" builtinId="9" hidden="1"/>
    <cellStyle name="Lien hypertexte visité" xfId="7658" builtinId="9" hidden="1"/>
    <cellStyle name="Lien hypertexte visité" xfId="11483" builtinId="9" hidden="1"/>
    <cellStyle name="Lien hypertexte visité" xfId="12779" builtinId="9" hidden="1"/>
    <cellStyle name="Lien hypertexte visité" xfId="811" builtinId="9" hidden="1"/>
    <cellStyle name="Lien hypertexte visité" xfId="2092" builtinId="9" hidden="1"/>
    <cellStyle name="Lien hypertexte visité" xfId="4034" builtinId="9" hidden="1"/>
    <cellStyle name="Lien hypertexte visité" xfId="10827" builtinId="9" hidden="1"/>
    <cellStyle name="Lien hypertexte visité" xfId="1788" builtinId="9" hidden="1"/>
    <cellStyle name="Lien hypertexte visité" xfId="3356" builtinId="9" hidden="1"/>
    <cellStyle name="Lien hypertexte visité" xfId="12395" builtinId="9" hidden="1"/>
    <cellStyle name="Lien hypertexte visité" xfId="11099" builtinId="9" hidden="1"/>
    <cellStyle name="Lien hypertexte visité" xfId="9939" builtinId="9" hidden="1"/>
    <cellStyle name="Lien hypertexte visité" xfId="14893" builtinId="9" hidden="1"/>
    <cellStyle name="Lien hypertexte visité" xfId="7026" builtinId="9" hidden="1"/>
    <cellStyle name="Lien hypertexte visité" xfId="10205" builtinId="9" hidden="1"/>
    <cellStyle name="Lien hypertexte visité" xfId="3255" builtinId="9" hidden="1"/>
    <cellStyle name="Lien hypertexte visité" xfId="14039" builtinId="9" hidden="1"/>
    <cellStyle name="Lien hypertexte visité" xfId="4454" builtinId="9" hidden="1"/>
    <cellStyle name="Lien hypertexte visité" xfId="18402" builtinId="9" hidden="1"/>
    <cellStyle name="Lien hypertexte visité" xfId="23464" builtinId="9" hidden="1"/>
    <cellStyle name="Lien hypertexte visité" xfId="10247" builtinId="9" hidden="1"/>
    <cellStyle name="Lien hypertexte visité" xfId="5460" builtinId="9" hidden="1"/>
    <cellStyle name="Lien hypertexte visité" xfId="5797" builtinId="9" hidden="1"/>
    <cellStyle name="Lien hypertexte visité" xfId="6701" builtinId="9" hidden="1"/>
    <cellStyle name="Lien hypertexte visité" xfId="19320" builtinId="9" hidden="1"/>
    <cellStyle name="Lien hypertexte visité" xfId="7150" builtinId="9" hidden="1"/>
    <cellStyle name="Lien hypertexte visité" xfId="17287" builtinId="9" hidden="1"/>
    <cellStyle name="Lien hypertexte visité" xfId="6219" builtinId="9" hidden="1"/>
    <cellStyle name="Lien hypertexte visité" xfId="10956" builtinId="9" hidden="1"/>
    <cellStyle name="Lien hypertexte visité" xfId="14028" builtinId="9" hidden="1"/>
    <cellStyle name="Lien hypertexte visité" xfId="19668" builtinId="9" hidden="1"/>
    <cellStyle name="Lien hypertexte visité" xfId="23414" builtinId="9" hidden="1"/>
    <cellStyle name="Lien hypertexte visité" xfId="16519" builtinId="9" hidden="1"/>
    <cellStyle name="Lien hypertexte visité" xfId="12445" builtinId="9" hidden="1"/>
    <cellStyle name="Lien hypertexte visité" xfId="9373" builtinId="9" hidden="1"/>
    <cellStyle name="Lien hypertexte visité" xfId="4636" builtinId="9" hidden="1"/>
    <cellStyle name="Lien hypertexte visité" xfId="1558" builtinId="9" hidden="1"/>
    <cellStyle name="Lien hypertexte visité" xfId="2664" builtinId="9" hidden="1"/>
    <cellStyle name="Lien hypertexte visité" xfId="5742" builtinId="9" hidden="1"/>
    <cellStyle name="Lien hypertexte visité" xfId="8815" builtinId="9" hidden="1"/>
    <cellStyle name="Lien hypertexte visité" xfId="11887" builtinId="9" hidden="1"/>
    <cellStyle name="Lien hypertexte visité" xfId="15403" builtinId="9" hidden="1"/>
    <cellStyle name="Lien hypertexte visité" xfId="9886" builtinId="9" hidden="1"/>
    <cellStyle name="Lien hypertexte visité" xfId="12830" builtinId="9" hidden="1"/>
    <cellStyle name="Lien hypertexte visité" xfId="15241" builtinId="9" hidden="1"/>
    <cellStyle name="Lien hypertexte visité" xfId="19744" builtinId="9" hidden="1"/>
    <cellStyle name="Lien hypertexte visité" xfId="23840" builtinId="9" hidden="1"/>
    <cellStyle name="Lien hypertexte visité" xfId="21290" builtinId="9" hidden="1"/>
    <cellStyle name="Lien hypertexte visité" xfId="17611" builtinId="9" hidden="1"/>
    <cellStyle name="Lien hypertexte visité" xfId="19344" builtinId="9" hidden="1"/>
    <cellStyle name="Lien hypertexte visité" xfId="4177" builtinId="9" hidden="1"/>
    <cellStyle name="Lien hypertexte visité" xfId="5933" builtinId="9" hidden="1"/>
    <cellStyle name="Lien hypertexte visité" xfId="10782" builtinId="9" hidden="1"/>
    <cellStyle name="Lien hypertexte visité" xfId="7884" builtinId="9" hidden="1"/>
    <cellStyle name="Lien hypertexte visité" xfId="9984" builtinId="9" hidden="1"/>
    <cellStyle name="Lien hypertexte visité" xfId="8859" builtinId="9" hidden="1"/>
    <cellStyle name="Lien hypertexte visité" xfId="7458" builtinId="9" hidden="1"/>
    <cellStyle name="Lien hypertexte visité" xfId="6480" builtinId="9" hidden="1"/>
    <cellStyle name="Lien hypertexte visité" xfId="7712" builtinId="9" hidden="1"/>
    <cellStyle name="Lien hypertexte visité" xfId="4456" builtinId="9" hidden="1"/>
    <cellStyle name="Lien hypertexte visité" xfId="9179" builtinId="9" hidden="1"/>
    <cellStyle name="Lien hypertexte visité" xfId="3653" builtinId="9" hidden="1"/>
    <cellStyle name="Lien hypertexte visité" xfId="16451" builtinId="9" hidden="1"/>
    <cellStyle name="Lien hypertexte visité" xfId="14329" builtinId="9" hidden="1"/>
    <cellStyle name="Lien hypertexte visité" xfId="21964" builtinId="9" hidden="1"/>
    <cellStyle name="Lien hypertexte visité" xfId="8246" builtinId="9" hidden="1"/>
    <cellStyle name="Lien hypertexte visité" xfId="13655" builtinId="9" hidden="1"/>
    <cellStyle name="Lien hypertexte visité" xfId="11607" builtinId="9" hidden="1"/>
    <cellStyle name="Lien hypertexte visité" xfId="9559" builtinId="9" hidden="1"/>
    <cellStyle name="Lien hypertexte visité" xfId="7510" builtinId="9" hidden="1"/>
    <cellStyle name="Lien hypertexte visité" xfId="5462" builtinId="9" hidden="1"/>
    <cellStyle name="Lien hypertexte visité" xfId="2304" builtinId="9" hidden="1"/>
    <cellStyle name="Lien hypertexte visité" xfId="623" builtinId="9" hidden="1"/>
    <cellStyle name="Lien hypertexte visité" xfId="2942" builtinId="9" hidden="1"/>
    <cellStyle name="Lien hypertexte visité" xfId="4996" builtinId="9" hidden="1"/>
    <cellStyle name="Lien hypertexte visité" xfId="7044" builtinId="9" hidden="1"/>
    <cellStyle name="Lien hypertexte visité" xfId="9349" builtinId="9" hidden="1"/>
    <cellStyle name="Lien hypertexte visité" xfId="11397" builtinId="9" hidden="1"/>
    <cellStyle name="Lien hypertexte visité" xfId="13445" builtinId="9" hidden="1"/>
    <cellStyle name="Lien hypertexte visité" xfId="16471" builtinId="9" hidden="1"/>
    <cellStyle name="Lien hypertexte visité" xfId="9082" builtinId="9" hidden="1"/>
    <cellStyle name="Lien hypertexte visité" xfId="5433" builtinId="9" hidden="1"/>
    <cellStyle name="Lien hypertexte visité" xfId="7189" builtinId="9" hidden="1"/>
    <cellStyle name="Lien hypertexte visité" xfId="2483" builtinId="9" hidden="1"/>
    <cellStyle name="Lien hypertexte visité" xfId="1515" builtinId="9" hidden="1"/>
    <cellStyle name="Lien hypertexte visité" xfId="537" builtinId="9" hidden="1"/>
    <cellStyle name="Lien hypertexte visité" xfId="2951" builtinId="9" hidden="1"/>
    <cellStyle name="Lien hypertexte visité" xfId="7870" builtinId="9" hidden="1"/>
    <cellStyle name="Lien hypertexte visité" xfId="6113" builtinId="9" hidden="1"/>
    <cellStyle name="Lien hypertexte visité" xfId="4357" builtinId="9" hidden="1"/>
    <cellStyle name="Lien hypertexte visité" xfId="12842" builtinId="9" hidden="1"/>
    <cellStyle name="Lien hypertexte visité" xfId="23440" builtinId="9" hidden="1"/>
    <cellStyle name="Lien hypertexte visité" xfId="18562" builtinId="9" hidden="1"/>
    <cellStyle name="Lien hypertexte visité" xfId="23082" builtinId="9" hidden="1"/>
    <cellStyle name="Lien hypertexte visité" xfId="22048" builtinId="9" hidden="1"/>
    <cellStyle name="Lien hypertexte visité" xfId="17969" builtinId="9" hidden="1"/>
    <cellStyle name="Lien hypertexte visité" xfId="14194" builtinId="9" hidden="1"/>
    <cellStyle name="Lien hypertexte visité" xfId="12146" builtinId="9" hidden="1"/>
    <cellStyle name="Lien hypertexte visité" xfId="10098" builtinId="9" hidden="1"/>
    <cellStyle name="Lien hypertexte visité" xfId="16811" builtinId="9" hidden="1"/>
    <cellStyle name="Lien hypertexte visité" xfId="12271" builtinId="9" hidden="1"/>
    <cellStyle name="Lien hypertexte visité" xfId="9199" builtinId="9" hidden="1"/>
    <cellStyle name="Lien hypertexte visité" xfId="4718" builtinId="9" hidden="1"/>
    <cellStyle name="Lien hypertexte visité" xfId="1319" builtinId="9" hidden="1"/>
    <cellStyle name="Lien hypertexte visité" xfId="2902" builtinId="9" hidden="1"/>
    <cellStyle name="Lien hypertexte visité" xfId="5980" builtinId="9" hidden="1"/>
    <cellStyle name="Lien hypertexte visité" xfId="9053" builtinId="9" hidden="1"/>
    <cellStyle name="Lien hypertexte visité" xfId="12125" builtinId="9" hidden="1"/>
    <cellStyle name="Lien hypertexte visité" xfId="15879" builtinId="9" hidden="1"/>
    <cellStyle name="Lien hypertexte visité" xfId="22006" builtinId="9" hidden="1"/>
    <cellStyle name="Lien hypertexte visité" xfId="20436" builtinId="9" hidden="1"/>
    <cellStyle name="Lien hypertexte visité" xfId="14412" builtinId="9" hidden="1"/>
    <cellStyle name="Lien hypertexte visité" xfId="11340" builtinId="9" hidden="1"/>
    <cellStyle name="Lien hypertexte visité" xfId="8268" builtinId="9" hidden="1"/>
    <cellStyle name="Lien hypertexte visité" xfId="9612" builtinId="9" hidden="1"/>
    <cellStyle name="Lien hypertexte visité" xfId="7708" builtinId="9" hidden="1"/>
    <cellStyle name="Lien hypertexte visité" xfId="16171" builtinId="9" hidden="1"/>
    <cellStyle name="Lien hypertexte visité" xfId="5165" builtinId="9" hidden="1"/>
    <cellStyle name="Lien hypertexte visité" xfId="7373" builtinId="9" hidden="1"/>
    <cellStyle name="Lien hypertexte visité" xfId="7300" builtinId="9" hidden="1"/>
    <cellStyle name="Lien hypertexte visité" xfId="8455" builtinId="9" hidden="1"/>
    <cellStyle name="Lien hypertexte visité" xfId="12942" builtinId="9" hidden="1"/>
    <cellStyle name="Lien hypertexte visité" xfId="18466" builtinId="9" hidden="1"/>
    <cellStyle name="Lien hypertexte visité" xfId="11758" builtinId="9" hidden="1"/>
    <cellStyle name="Lien hypertexte visité" xfId="20272" builtinId="9" hidden="1"/>
    <cellStyle name="Lien hypertexte visité" xfId="3502" builtinId="9" hidden="1"/>
    <cellStyle name="Lien hypertexte visité" xfId="23240" builtinId="9" hidden="1"/>
    <cellStyle name="Lien hypertexte visité" xfId="4363" builtinId="9" hidden="1"/>
    <cellStyle name="Lien hypertexte visité" xfId="5736" builtinId="9" hidden="1"/>
    <cellStyle name="Lien hypertexte visité" xfId="13168" builtinId="9" hidden="1"/>
    <cellStyle name="Lien hypertexte visité" xfId="13521" builtinId="9" hidden="1"/>
    <cellStyle name="Lien hypertexte visité" xfId="10963" builtinId="9" hidden="1"/>
    <cellStyle name="Lien hypertexte visité" xfId="12259" builtinId="9" hidden="1"/>
    <cellStyle name="Lien hypertexte visité" xfId="875" builtinId="9" hidden="1"/>
    <cellStyle name="Lien hypertexte visité" xfId="2260" builtinId="9" hidden="1"/>
    <cellStyle name="Lien hypertexte visité" xfId="13083" builtinId="9" hidden="1"/>
    <cellStyle name="Lien hypertexte visité" xfId="3589" builtinId="9" hidden="1"/>
    <cellStyle name="Lien hypertexte visité" xfId="2236" builtinId="9" hidden="1"/>
    <cellStyle name="Lien hypertexte visité" xfId="891" builtinId="9" hidden="1"/>
    <cellStyle name="Lien hypertexte visité" xfId="9443" builtinId="9" hidden="1"/>
    <cellStyle name="Lien hypertexte visité" xfId="11787" builtinId="9" hidden="1"/>
    <cellStyle name="Lien hypertexte visité" xfId="7802" builtinId="9" hidden="1"/>
    <cellStyle name="Lien hypertexte visité" xfId="6450" builtinId="9" hidden="1"/>
    <cellStyle name="Lien hypertexte visité" xfId="5274" builtinId="9" hidden="1"/>
    <cellStyle name="Lien hypertexte visité" xfId="9011" builtinId="9" hidden="1"/>
    <cellStyle name="Lien hypertexte visité" xfId="3074" builtinId="9" hidden="1"/>
    <cellStyle name="Lien hypertexte visité" xfId="6024" builtinId="9" hidden="1"/>
    <cellStyle name="Lien hypertexte visité" xfId="1409" builtinId="9" hidden="1"/>
    <cellStyle name="Lien hypertexte visité" xfId="9267" builtinId="9" hidden="1"/>
    <cellStyle name="Lien hypertexte visité" xfId="5530" builtinId="9" hidden="1"/>
    <cellStyle name="Lien hypertexte visité" xfId="6738" builtinId="9" hidden="1"/>
    <cellStyle name="Lien hypertexte visité" xfId="1836" builtinId="9" hidden="1"/>
    <cellStyle name="Lien hypertexte visité" xfId="11891" builtinId="9" hidden="1"/>
    <cellStyle name="Lien hypertexte visité" xfId="7650" builtinId="9" hidden="1"/>
    <cellStyle name="Lien hypertexte visité" xfId="1115" builtinId="9" hidden="1"/>
    <cellStyle name="Lien hypertexte visité" xfId="2492" builtinId="9" hidden="1"/>
    <cellStyle name="Lien hypertexte visité" xfId="3709" builtinId="9" hidden="1"/>
    <cellStyle name="Lien hypertexte visité" xfId="13339" builtinId="9" hidden="1"/>
    <cellStyle name="Lien hypertexte visité" xfId="2156" builtinId="9" hidden="1"/>
    <cellStyle name="Lien hypertexte visité" xfId="8683" builtinId="9" hidden="1"/>
    <cellStyle name="Lien hypertexte visité" xfId="18986" builtinId="9" hidden="1"/>
    <cellStyle name="Lien hypertexte visité" xfId="3880" builtinId="9" hidden="1"/>
    <cellStyle name="Lien hypertexte visité" xfId="1913" builtinId="9" hidden="1"/>
    <cellStyle name="Lien hypertexte visité" xfId="8460" builtinId="9" hidden="1"/>
    <cellStyle name="Lien hypertexte visité" xfId="20820" builtinId="9" hidden="1"/>
    <cellStyle name="Lien hypertexte visité" xfId="12253" builtinId="9" hidden="1"/>
    <cellStyle name="Lien hypertexte visité" xfId="3030" builtinId="9" hidden="1"/>
    <cellStyle name="Lien hypertexte visité" xfId="8367" builtinId="9" hidden="1"/>
    <cellStyle name="Lien hypertexte visité" xfId="9330" builtinId="9" hidden="1"/>
    <cellStyle name="Lien hypertexte visité" xfId="16433" builtinId="9" hidden="1"/>
    <cellStyle name="Lien hypertexte visité" xfId="20522" builtinId="9" hidden="1"/>
    <cellStyle name="Lien hypertexte visité" xfId="9642" builtinId="9" hidden="1"/>
    <cellStyle name="Lien hypertexte visité" xfId="4233" builtinId="9" hidden="1"/>
    <cellStyle name="Lien hypertexte visité" xfId="1579" builtinId="9" hidden="1"/>
    <cellStyle name="Lien hypertexte visité" xfId="5105" builtinId="9" hidden="1"/>
    <cellStyle name="Lien hypertexte visité" xfId="13061" builtinId="9" hidden="1"/>
    <cellStyle name="Lien hypertexte visité" xfId="6916" builtinId="9" hidden="1"/>
    <cellStyle name="Lien hypertexte visité" xfId="367" builtinId="9" hidden="1"/>
    <cellStyle name="Lien hypertexte visité" xfId="6534" builtinId="9" hidden="1"/>
    <cellStyle name="Lien hypertexte visité" xfId="12679" builtinId="9" hidden="1"/>
    <cellStyle name="Lien hypertexte visité" xfId="10158" builtinId="9" hidden="1"/>
    <cellStyle name="Lien hypertexte visité" xfId="14905" builtinId="9" hidden="1"/>
    <cellStyle name="Lien hypertexte visité" xfId="22514" builtinId="9" hidden="1"/>
    <cellStyle name="Lien hypertexte visité" xfId="23024" builtinId="9" hidden="1"/>
    <cellStyle name="Lien hypertexte visité" xfId="21642" builtinId="9" hidden="1"/>
    <cellStyle name="Lien hypertexte visité" xfId="8770" builtinId="9" hidden="1"/>
    <cellStyle name="Lien hypertexte visité" xfId="2846" builtinId="9" hidden="1"/>
    <cellStyle name="Lien hypertexte visité" xfId="2144" builtinId="9" hidden="1"/>
    <cellStyle name="Lien hypertexte visité" xfId="8295" builtinId="9" hidden="1"/>
    <cellStyle name="Lien hypertexte visité" xfId="14439" builtinId="9" hidden="1"/>
    <cellStyle name="Lien hypertexte visité" xfId="11330" builtinId="9" hidden="1"/>
    <cellStyle name="Lien hypertexte visité" xfId="17193" builtinId="9" hidden="1"/>
    <cellStyle name="Lien hypertexte visité" xfId="23858" builtinId="9" hidden="1"/>
    <cellStyle name="Lien hypertexte visité" xfId="22170" builtinId="9" hidden="1"/>
    <cellStyle name="Lien hypertexte visité" xfId="12186" builtinId="9" hidden="1"/>
    <cellStyle name="Lien hypertexte visité" xfId="18049" builtinId="9" hidden="1"/>
    <cellStyle name="Lien hypertexte visité" xfId="23002" builtinId="9" hidden="1"/>
    <cellStyle name="Lien hypertexte visité" xfId="18139" builtinId="9" hidden="1"/>
    <cellStyle name="Lien hypertexte visité" xfId="21194" builtinId="9" hidden="1"/>
    <cellStyle name="Lien hypertexte visité" xfId="23922" builtinId="9" hidden="1"/>
    <cellStyle name="Lien hypertexte visité" xfId="22568" builtinId="9" hidden="1"/>
    <cellStyle name="Lien hypertexte visité" xfId="19840" builtinId="9" hidden="1"/>
    <cellStyle name="Lien hypertexte visité" xfId="17129" builtinId="9" hidden="1"/>
    <cellStyle name="Lien hypertexte visité" xfId="14454" builtinId="9" hidden="1"/>
    <cellStyle name="Lien hypertexte visité" xfId="13090" builtinId="9" hidden="1"/>
    <cellStyle name="Lien hypertexte visité" xfId="11574" builtinId="9" hidden="1"/>
    <cellStyle name="Lien hypertexte visité" xfId="10210" builtinId="9" hidden="1"/>
    <cellStyle name="Lien hypertexte visité" xfId="8846" builtinId="9" hidden="1"/>
    <cellStyle name="Lien hypertexte visité" xfId="4900" builtinId="9" hidden="1"/>
    <cellStyle name="Lien hypertexte visité" xfId="997" builtinId="9" hidden="1"/>
    <cellStyle name="Lien hypertexte visité" xfId="13305" builtinId="9" hidden="1"/>
    <cellStyle name="Lien hypertexte visité" xfId="16015" builtinId="9" hidden="1"/>
    <cellStyle name="Lien hypertexte visité" xfId="19502" builtinId="9" hidden="1"/>
    <cellStyle name="Lien hypertexte visité" xfId="23006" builtinId="9" hidden="1"/>
    <cellStyle name="Lien hypertexte visité" xfId="22732" builtinId="9" hidden="1"/>
    <cellStyle name="Lien hypertexte visité" xfId="19148" builtinId="9" hidden="1"/>
    <cellStyle name="Lien hypertexte visité" xfId="15661" builtinId="9" hidden="1"/>
    <cellStyle name="Lien hypertexte visité" xfId="13336" builtinId="9" hidden="1"/>
    <cellStyle name="Lien hypertexte visité" xfId="11376" builtinId="9" hidden="1"/>
    <cellStyle name="Lien hypertexte visité" xfId="9624" builtinId="9" hidden="1"/>
    <cellStyle name="Lien hypertexte visité" xfId="11776" builtinId="9" hidden="1"/>
    <cellStyle name="Lien hypertexte visité" xfId="19516" builtinId="9" hidden="1"/>
    <cellStyle name="Lien hypertexte visité" xfId="19214" builtinId="9" hidden="1"/>
    <cellStyle name="Lien hypertexte visité" xfId="11625" builtinId="9" hidden="1"/>
    <cellStyle name="Lien hypertexte visité" xfId="6376" builtinId="9" hidden="1"/>
    <cellStyle name="Lien hypertexte visité" xfId="171" builtinId="9" hidden="1"/>
    <cellStyle name="Lien hypertexte visité" xfId="8051" builtinId="9" hidden="1"/>
    <cellStyle name="Lien hypertexte visité" xfId="6546" builtinId="9" hidden="1"/>
    <cellStyle name="Lien hypertexte visité" xfId="5010" builtinId="9" hidden="1"/>
    <cellStyle name="Lien hypertexte visité" xfId="3508" builtinId="9" hidden="1"/>
    <cellStyle name="Lien hypertexte visité" xfId="7039" builtinId="9" hidden="1"/>
    <cellStyle name="Lien hypertexte visité" xfId="23498" builtinId="9" hidden="1"/>
    <cellStyle name="Lien hypertexte visité" xfId="12986" builtinId="9" hidden="1"/>
    <cellStyle name="Lien hypertexte visité" xfId="10791" builtinId="9" hidden="1"/>
    <cellStyle name="Lien hypertexte visité" xfId="6979" builtinId="9" hidden="1"/>
    <cellStyle name="Lien hypertexte visité" xfId="18165" builtinId="9" hidden="1"/>
    <cellStyle name="Lien hypertexte visité" xfId="1985" builtinId="9" hidden="1"/>
    <cellStyle name="Lien hypertexte visité" xfId="3754" builtinId="9" hidden="1"/>
    <cellStyle name="Lien hypertexte visité" xfId="4215" builtinId="9" hidden="1"/>
    <cellStyle name="Lien hypertexte visité" xfId="2481" builtinId="9" hidden="1"/>
    <cellStyle name="Lien hypertexte visité" xfId="17109" builtinId="9" hidden="1"/>
    <cellStyle name="Lien hypertexte visité" xfId="6451" builtinId="9" hidden="1"/>
    <cellStyle name="Lien hypertexte visité" xfId="745" builtinId="9" hidden="1"/>
    <cellStyle name="Lien hypertexte visité" xfId="18534" builtinId="9" hidden="1"/>
    <cellStyle name="Lien hypertexte visité" xfId="5620" builtinId="9" hidden="1"/>
    <cellStyle name="Lien hypertexte visité" xfId="6470" builtinId="9" hidden="1"/>
    <cellStyle name="Lien hypertexte visité" xfId="9206" builtinId="9" hidden="1"/>
    <cellStyle name="Lien hypertexte visité" xfId="4174" builtinId="9" hidden="1"/>
    <cellStyle name="Lien hypertexte visité" xfId="11314" builtinId="9" hidden="1"/>
    <cellStyle name="Lien hypertexte visité" xfId="19282" builtinId="9" hidden="1"/>
    <cellStyle name="Lien hypertexte visité" xfId="20628" builtinId="9" hidden="1"/>
    <cellStyle name="Lien hypertexte visité" xfId="5180" builtinId="9" hidden="1"/>
    <cellStyle name="Lien hypertexte visité" xfId="1188" builtinId="9" hidden="1"/>
    <cellStyle name="Lien hypertexte visité" xfId="9388" builtinId="9" hidden="1"/>
    <cellStyle name="Lien hypertexte visité" xfId="13373" builtinId="9" hidden="1"/>
    <cellStyle name="Lien hypertexte visité" xfId="9834" builtinId="9" hidden="1"/>
    <cellStyle name="Lien hypertexte visité" xfId="19016" builtinId="9" hidden="1"/>
    <cellStyle name="Lien hypertexte visité" xfId="12367" builtinId="9" hidden="1"/>
    <cellStyle name="Lien hypertexte visité" xfId="12846" builtinId="9" hidden="1"/>
    <cellStyle name="Lien hypertexte visité" xfId="11927" builtinId="9" hidden="1"/>
    <cellStyle name="Lien hypertexte visité" xfId="851" builtinId="9" hidden="1"/>
    <cellStyle name="Lien hypertexte visité" xfId="11077" builtinId="9" hidden="1"/>
    <cellStyle name="Lien hypertexte visité" xfId="7501" builtinId="9" hidden="1"/>
    <cellStyle name="Lien hypertexte visité" xfId="8146" builtinId="9" hidden="1"/>
    <cellStyle name="Lien hypertexte visité" xfId="11124" builtinId="9" hidden="1"/>
    <cellStyle name="Lien hypertexte visité" xfId="22758" builtinId="9" hidden="1"/>
    <cellStyle name="Lien hypertexte visité" xfId="3037" builtinId="9" hidden="1"/>
    <cellStyle name="Lien hypertexte visité" xfId="8552" builtinId="9" hidden="1"/>
    <cellStyle name="Lien hypertexte visité" xfId="3533" builtinId="9" hidden="1"/>
    <cellStyle name="Lien hypertexte visité" xfId="21702" builtinId="9" hidden="1"/>
    <cellStyle name="Lien hypertexte visité" xfId="11668" builtinId="9" hidden="1"/>
    <cellStyle name="Lien hypertexte visité" xfId="6756" builtinId="9" hidden="1"/>
    <cellStyle name="Lien hypertexte visité" xfId="16937" builtinId="9" hidden="1"/>
    <cellStyle name="Lien hypertexte visité" xfId="20506" builtinId="9" hidden="1"/>
    <cellStyle name="Lien hypertexte visité" xfId="18432" builtinId="9" hidden="1"/>
    <cellStyle name="Lien hypertexte visité" xfId="1778" builtinId="9" hidden="1"/>
    <cellStyle name="Lien hypertexte visité" xfId="4210" builtinId="9" hidden="1"/>
    <cellStyle name="Lien hypertexte visité" xfId="5850" builtinId="9" hidden="1"/>
    <cellStyle name="Lien hypertexte visité" xfId="7354" builtinId="9" hidden="1"/>
    <cellStyle name="Lien hypertexte visité" xfId="8891" builtinId="9" hidden="1"/>
    <cellStyle name="Lien hypertexte visité" xfId="3426" builtinId="9" hidden="1"/>
    <cellStyle name="Lien hypertexte visité" xfId="8681" builtinId="9" hidden="1"/>
    <cellStyle name="Lien hypertexte visité" xfId="13929" builtinId="9" hidden="1"/>
    <cellStyle name="Lien hypertexte visité" xfId="23822" builtinId="9" hidden="1"/>
    <cellStyle name="Lien hypertexte visité" xfId="14080" builtinId="9" hidden="1"/>
    <cellStyle name="Lien hypertexte visité" xfId="8856" builtinId="9" hidden="1"/>
    <cellStyle name="Lien hypertexte visité" xfId="10608" builtinId="9" hidden="1"/>
    <cellStyle name="Lien hypertexte visité" xfId="12360" builtinId="9" hidden="1"/>
    <cellStyle name="Lien hypertexte visité" xfId="14104" builtinId="9" hidden="1"/>
    <cellStyle name="Lien hypertexte visité" xfId="17277" builtinId="9" hidden="1"/>
    <cellStyle name="Lien hypertexte visité" xfId="20764" builtinId="9" hidden="1"/>
    <cellStyle name="Lien hypertexte visité" xfId="24604" builtinId="9" hidden="1"/>
    <cellStyle name="Lien hypertexte visité" xfId="21038" builtinId="9" hidden="1"/>
    <cellStyle name="Lien hypertexte visité" xfId="17551" builtinId="9" hidden="1"/>
    <cellStyle name="Lien hypertexte visité" xfId="14289" builtinId="9" hidden="1"/>
    <cellStyle name="Lien hypertexte visité" xfId="5515" builtinId="9" hidden="1"/>
    <cellStyle name="Lien hypertexte visité" xfId="6591" builtinId="9" hidden="1"/>
    <cellStyle name="Lien hypertexte visité" xfId="18520" builtinId="9" hidden="1"/>
    <cellStyle name="Lien hypertexte visité" xfId="9614" builtinId="9" hidden="1"/>
    <cellStyle name="Lien hypertexte visité" xfId="10978" builtinId="9" hidden="1"/>
    <cellStyle name="Lien hypertexte visité" xfId="12342" builtinId="9" hidden="1"/>
    <cellStyle name="Lien hypertexte visité" xfId="13710" builtinId="9" hidden="1"/>
    <cellStyle name="Lien hypertexte visité" xfId="15633" builtinId="9" hidden="1"/>
    <cellStyle name="Lien hypertexte visité" xfId="18344" builtinId="9" hidden="1"/>
    <cellStyle name="Lien hypertexte visité" xfId="21376" builtinId="9" hidden="1"/>
    <cellStyle name="Lien hypertexte visité" xfId="24104" builtinId="9" hidden="1"/>
    <cellStyle name="Lien hypertexte visité" xfId="22386" builtinId="9" hidden="1"/>
    <cellStyle name="Lien hypertexte visité" xfId="19658" builtinId="9" hidden="1"/>
    <cellStyle name="Lien hypertexte visité" xfId="18394" builtinId="9" hidden="1"/>
    <cellStyle name="Lien hypertexte visité" xfId="22640" builtinId="9" hidden="1"/>
    <cellStyle name="Lien hypertexte visité" xfId="14490" builtinId="9" hidden="1"/>
    <cellStyle name="Lien hypertexte visité" xfId="15809" builtinId="9" hidden="1"/>
    <cellStyle name="Lien hypertexte visité" xfId="20106" builtinId="9" hidden="1"/>
    <cellStyle name="Lien hypertexte visité" xfId="20928" builtinId="9" hidden="1"/>
    <cellStyle name="Lien hypertexte visité" xfId="13634" builtinId="9" hidden="1"/>
    <cellStyle name="Lien hypertexte visité" xfId="9538" builtinId="9" hidden="1"/>
    <cellStyle name="Lien hypertexte visité" xfId="11751" builtinId="9" hidden="1"/>
    <cellStyle name="Lien hypertexte visité" xfId="5606" builtinId="9" hidden="1"/>
    <cellStyle name="Lien hypertexte visité" xfId="2462" builtinId="9" hidden="1"/>
    <cellStyle name="Lien hypertexte visité" xfId="8551" builtinId="9" hidden="1"/>
    <cellStyle name="Lien hypertexte visité" xfId="16681" builtinId="9" hidden="1"/>
    <cellStyle name="Lien hypertexte visité" xfId="11930" builtinId="9" hidden="1"/>
    <cellStyle name="Lien hypertexte visité" xfId="17971" builtinId="9" hidden="1"/>
    <cellStyle name="Lien hypertexte visité" xfId="23080" builtinId="9" hidden="1"/>
    <cellStyle name="Lien hypertexte visité" xfId="12430" builtinId="9" hidden="1"/>
    <cellStyle name="Lien hypertexte visité" xfId="8334" builtinId="9" hidden="1"/>
    <cellStyle name="Lien hypertexte visité" xfId="9943" builtinId="9" hidden="1"/>
    <cellStyle name="Lien hypertexte visité" xfId="3801" builtinId="9" hidden="1"/>
    <cellStyle name="Lien hypertexte visité" xfId="4180" builtinId="9" hidden="1"/>
    <cellStyle name="Lien hypertexte visité" xfId="10325" builtinId="9" hidden="1"/>
    <cellStyle name="Lien hypertexte visité" xfId="18406" builtinId="9" hidden="1"/>
    <cellStyle name="Lien hypertexte visité" xfId="8030" builtinId="9" hidden="1"/>
    <cellStyle name="Lien hypertexte visité" xfId="1017" builtinId="9" hidden="1"/>
    <cellStyle name="Lien hypertexte visité" xfId="6445" builtinId="9" hidden="1"/>
    <cellStyle name="Lien hypertexte visité" xfId="21136" builtinId="9" hidden="1"/>
    <cellStyle name="Lien hypertexte visité" xfId="21880" builtinId="9" hidden="1"/>
    <cellStyle name="Lien hypertexte visité" xfId="12062" builtinId="9" hidden="1"/>
    <cellStyle name="Lien hypertexte visité" xfId="12463" builtinId="9" hidden="1"/>
    <cellStyle name="Lien hypertexte visité" xfId="3240" builtinId="9" hidden="1"/>
    <cellStyle name="Lien hypertexte visité" xfId="7132" builtinId="9" hidden="1"/>
    <cellStyle name="Lien hypertexte visité" xfId="18183" builtinId="9" hidden="1"/>
    <cellStyle name="Lien hypertexte visité" xfId="13580" builtinId="9" hidden="1"/>
    <cellStyle name="Lien hypertexte visité" xfId="3333" builtinId="9" hidden="1"/>
    <cellStyle name="Lien hypertexte visité" xfId="4358" builtinId="9" hidden="1"/>
    <cellStyle name="Lien hypertexte visité" xfId="7790" builtinId="9" hidden="1"/>
    <cellStyle name="Lien hypertexte visité" xfId="12843" builtinId="9" hidden="1"/>
    <cellStyle name="Lien hypertexte visité" xfId="1347" builtinId="9" hidden="1"/>
    <cellStyle name="Lien hypertexte visité" xfId="2772" builtinId="9" hidden="1"/>
    <cellStyle name="Lien hypertexte visité" xfId="4474" builtinId="9" hidden="1"/>
    <cellStyle name="Lien hypertexte visité" xfId="3116" builtinId="9" hidden="1"/>
    <cellStyle name="Lien hypertexte visité" xfId="1724" builtinId="9" hidden="1"/>
    <cellStyle name="Lien hypertexte visité" xfId="3548" builtinId="9" hidden="1"/>
    <cellStyle name="Lien hypertexte visité" xfId="12435" builtinId="9" hidden="1"/>
    <cellStyle name="Lien hypertexte visité" xfId="11315" builtinId="9" hidden="1"/>
    <cellStyle name="Lien hypertexte visité" xfId="7322" builtinId="9" hidden="1"/>
    <cellStyle name="Lien hypertexte visité" xfId="6122" builtinId="9" hidden="1"/>
    <cellStyle name="Lien hypertexte visité" xfId="4802" builtinId="9" hidden="1"/>
    <cellStyle name="Lien hypertexte visité" xfId="3458" builtinId="9" hidden="1"/>
    <cellStyle name="Lien hypertexte visité" xfId="3587" builtinId="9" hidden="1"/>
    <cellStyle name="Lien hypertexte visité" xfId="887" builtinId="9" hidden="1"/>
    <cellStyle name="Lien hypertexte visité" xfId="8427" builtinId="9" hidden="1"/>
    <cellStyle name="Lien hypertexte visité" xfId="4690" builtinId="9" hidden="1"/>
    <cellStyle name="Lien hypertexte visité" xfId="5866" builtinId="9" hidden="1"/>
    <cellStyle name="Lien hypertexte visité" xfId="7218" builtinId="9" hidden="1"/>
    <cellStyle name="Lien hypertexte visité" xfId="11075" builtinId="9" hidden="1"/>
    <cellStyle name="Lien hypertexte visité" xfId="12339" builtinId="9" hidden="1"/>
    <cellStyle name="Lien hypertexte visité" xfId="5346" builtinId="9" hidden="1"/>
    <cellStyle name="Lien hypertexte visité" xfId="1612" builtinId="9" hidden="1"/>
    <cellStyle name="Lien hypertexte visité" xfId="2820" builtinId="9" hidden="1"/>
    <cellStyle name="Lien hypertexte visité" xfId="4218" builtinId="9" hidden="1"/>
    <cellStyle name="Lien hypertexte visité" xfId="8739" builtinId="9" hidden="1"/>
    <cellStyle name="Lien hypertexte visité" xfId="1644" builtinId="9" hidden="1"/>
    <cellStyle name="Lien hypertexte visité" xfId="5666" builtinId="9" hidden="1"/>
    <cellStyle name="Lien hypertexte visité" xfId="11675" builtinId="9" hidden="1"/>
    <cellStyle name="Lien hypertexte visité" xfId="10379" builtinId="9" hidden="1"/>
    <cellStyle name="Lien hypertexte visité" xfId="24268" builtinId="9" hidden="1"/>
    <cellStyle name="Lien hypertexte visité" xfId="14925" builtinId="9" hidden="1"/>
    <cellStyle name="Lien hypertexte visité" xfId="5706" builtinId="9" hidden="1"/>
    <cellStyle name="Lien hypertexte visité" xfId="2006" builtinId="9" hidden="1"/>
    <cellStyle name="Lien hypertexte visité" xfId="3644" builtinId="9" hidden="1"/>
    <cellStyle name="Lien hypertexte visité" xfId="10614" builtinId="9" hidden="1"/>
    <cellStyle name="Lien hypertexte visité" xfId="1694" builtinId="9" hidden="1"/>
    <cellStyle name="Lien hypertexte visité" xfId="13882" builtinId="9" hidden="1"/>
    <cellStyle name="Lien hypertexte visité" xfId="21080" builtinId="9" hidden="1"/>
    <cellStyle name="Lien hypertexte visité" xfId="16891" builtinId="9" hidden="1"/>
    <cellStyle name="Lien hypertexte visité" xfId="1139" builtinId="9" hidden="1"/>
    <cellStyle name="Lien hypertexte visité" xfId="14583" builtinId="9" hidden="1"/>
    <cellStyle name="Lien hypertexte visité" xfId="1963" builtinId="9" hidden="1"/>
    <cellStyle name="Lien hypertexte visité" xfId="15665" builtinId="9" hidden="1"/>
    <cellStyle name="Lien hypertexte visité" xfId="4398" builtinId="9" hidden="1"/>
    <cellStyle name="Lien hypertexte visité" xfId="22646" builtinId="9" hidden="1"/>
    <cellStyle name="Lien hypertexte visité" xfId="6539" builtinId="9" hidden="1"/>
    <cellStyle name="Lien hypertexte visité" xfId="9932" builtinId="9" hidden="1"/>
    <cellStyle name="Lien hypertexte visité" xfId="13004" builtinId="9" hidden="1"/>
    <cellStyle name="Lien hypertexte visité" xfId="17637" builtinId="9" hidden="1"/>
    <cellStyle name="Lien hypertexte visité" xfId="23764" builtinId="9" hidden="1"/>
    <cellStyle name="Lien hypertexte visité" xfId="19318" builtinId="9" hidden="1"/>
    <cellStyle name="Lien hypertexte visité" xfId="13853" builtinId="9" hidden="1"/>
    <cellStyle name="Lien hypertexte visité" xfId="10781" builtinId="9" hidden="1"/>
    <cellStyle name="Lien hypertexte visité" xfId="7324" builtinId="9" hidden="1"/>
    <cellStyle name="Lien hypertexte visité" xfId="4252" builtinId="9" hidden="1"/>
    <cellStyle name="Lien hypertexte visité" xfId="1173" builtinId="9" hidden="1"/>
    <cellStyle name="Lien hypertexte visité" xfId="3048" builtinId="9" hidden="1"/>
    <cellStyle name="Lien hypertexte visité" xfId="6126" builtinId="9" hidden="1"/>
    <cellStyle name="Lien hypertexte visité" xfId="10863" builtinId="9" hidden="1"/>
    <cellStyle name="Lien hypertexte visité" xfId="13935" builtinId="9" hidden="1"/>
    <cellStyle name="Lien hypertexte visité" xfId="8946" builtinId="9" hidden="1"/>
    <cellStyle name="Lien hypertexte visité" xfId="10994" builtinId="9" hidden="1"/>
    <cellStyle name="Lien hypertexte visité" xfId="13042" builtinId="9" hidden="1"/>
    <cellStyle name="Lien hypertexte visité" xfId="16177" builtinId="9" hidden="1"/>
    <cellStyle name="Lien hypertexte visité" xfId="20256" builtinId="9" hidden="1"/>
    <cellStyle name="Lien hypertexte visité" xfId="24352" builtinId="9" hidden="1"/>
    <cellStyle name="Lien hypertexte visité" xfId="20778" builtinId="9" hidden="1"/>
    <cellStyle name="Lien hypertexte visité" xfId="19130" builtinId="9" hidden="1"/>
    <cellStyle name="Lien hypertexte visité" xfId="17825" builtinId="9" hidden="1"/>
    <cellStyle name="Lien hypertexte visité" xfId="10026" builtinId="9" hidden="1"/>
    <cellStyle name="Lien hypertexte visité" xfId="5345" builtinId="9" hidden="1"/>
    <cellStyle name="Lien hypertexte visité" xfId="7101" builtinId="9" hidden="1"/>
    <cellStyle name="Lien hypertexte visité" xfId="2231" builtinId="9" hidden="1"/>
    <cellStyle name="Lien hypertexte visité" xfId="2163" builtinId="9" hidden="1"/>
    <cellStyle name="Lien hypertexte visité" xfId="2115" builtinId="9" hidden="1"/>
    <cellStyle name="Lien hypertexte visité" xfId="3199" builtinId="9" hidden="1"/>
    <cellStyle name="Lien hypertexte visité" xfId="8142" builtinId="9" hidden="1"/>
    <cellStyle name="Lien hypertexte visité" xfId="6385" builtinId="9" hidden="1"/>
    <cellStyle name="Lien hypertexte visité" xfId="4629" builtinId="9" hidden="1"/>
    <cellStyle name="Lien hypertexte visité" xfId="18662" builtinId="9" hidden="1"/>
    <cellStyle name="Lien hypertexte visité" xfId="14341" builtinId="9" hidden="1"/>
    <cellStyle name="Lien hypertexte visité" xfId="12293" builtinId="9" hidden="1"/>
    <cellStyle name="Lien hypertexte visité" xfId="10245" builtinId="9" hidden="1"/>
    <cellStyle name="Lien hypertexte visité" xfId="8197" builtinId="9" hidden="1"/>
    <cellStyle name="Lien hypertexte visité" xfId="6148" builtinId="9" hidden="1"/>
    <cellStyle name="Lien hypertexte visité" xfId="4100" builtinId="9" hidden="1"/>
    <cellStyle name="Lien hypertexte visité" xfId="2046" builtinId="9" hidden="1"/>
    <cellStyle name="Lien hypertexte visité" xfId="1359" builtinId="9" hidden="1"/>
    <cellStyle name="Lien hypertexte visité" xfId="3408" builtinId="9" hidden="1"/>
    <cellStyle name="Lien hypertexte visité" xfId="6406" builtinId="9" hidden="1"/>
    <cellStyle name="Lien hypertexte visité" xfId="8663" builtinId="9" hidden="1"/>
    <cellStyle name="Lien hypertexte visité" xfId="10711" builtinId="9" hidden="1"/>
    <cellStyle name="Lien hypertexte visité" xfId="12759" builtinId="9" hidden="1"/>
    <cellStyle name="Lien hypertexte visité" xfId="15099" builtinId="9" hidden="1"/>
    <cellStyle name="Lien hypertexte visité" xfId="13611" builtinId="9" hidden="1"/>
    <cellStyle name="Lien hypertexte visité" xfId="8825" builtinId="9" hidden="1"/>
    <cellStyle name="Lien hypertexte visité" xfId="8273" builtinId="9" hidden="1"/>
    <cellStyle name="Lien hypertexte visité" xfId="18748" builtinId="9" hidden="1"/>
    <cellStyle name="Lien hypertexte visité" xfId="21750" builtinId="9" hidden="1"/>
    <cellStyle name="Lien hypertexte visité" xfId="12912" builtinId="9" hidden="1"/>
    <cellStyle name="Lien hypertexte visité" xfId="10051" builtinId="9" hidden="1"/>
    <cellStyle name="Lien hypertexte visité" xfId="22556" builtinId="9" hidden="1"/>
    <cellStyle name="Lien hypertexte visité" xfId="14043" builtinId="9" hidden="1"/>
    <cellStyle name="Lien hypertexte visité" xfId="11451" builtinId="9" hidden="1"/>
    <cellStyle name="Lien hypertexte visité" xfId="3444" builtinId="9" hidden="1"/>
    <cellStyle name="Lien hypertexte visité" xfId="9302" builtinId="9" hidden="1"/>
    <cellStyle name="Lien hypertexte visité" xfId="6300" builtinId="9" hidden="1"/>
    <cellStyle name="Lien hypertexte visité" xfId="10794" builtinId="9" hidden="1"/>
    <cellStyle name="Lien hypertexte visité" xfId="4945" builtinId="9" hidden="1"/>
    <cellStyle name="Lien hypertexte visité" xfId="13482" builtinId="9" hidden="1"/>
    <cellStyle name="Lien hypertexte visité" xfId="24506" builtinId="9" hidden="1"/>
    <cellStyle name="Lien hypertexte visité" xfId="19410" builtinId="9" hidden="1"/>
    <cellStyle name="Lien hypertexte visité" xfId="23506" builtinId="9" hidden="1"/>
    <cellStyle name="Lien hypertexte visité" xfId="21624" builtinId="9" hidden="1"/>
    <cellStyle name="Lien hypertexte visité" xfId="17545" builtinId="9" hidden="1"/>
    <cellStyle name="Lien hypertexte visité" xfId="13982" builtinId="9" hidden="1"/>
    <cellStyle name="Lien hypertexte visité" xfId="11934" builtinId="9" hidden="1"/>
    <cellStyle name="Lien hypertexte visité" xfId="8734" builtinId="9" hidden="1"/>
    <cellStyle name="Lien hypertexte visité" xfId="13615" builtinId="9" hidden="1"/>
    <cellStyle name="Lien hypertexte visité" xfId="10543" builtinId="9" hidden="1"/>
    <cellStyle name="Lien hypertexte visité" xfId="7470" builtinId="9" hidden="1"/>
    <cellStyle name="Lien hypertexte visité" xfId="4078" builtinId="9" hidden="1"/>
    <cellStyle name="Lien hypertexte visité" xfId="835" builtinId="9" hidden="1"/>
    <cellStyle name="Lien hypertexte visité" xfId="3222" builtinId="9" hidden="1"/>
    <cellStyle name="Lien hypertexte visité" xfId="8029" builtinId="9" hidden="1"/>
    <cellStyle name="Lien hypertexte visité" xfId="11101" builtinId="9" hidden="1"/>
    <cellStyle name="Lien hypertexte visité" xfId="14173" builtinId="9" hidden="1"/>
    <cellStyle name="Lien hypertexte visité" xfId="19958" builtinId="9" hidden="1"/>
    <cellStyle name="Lien hypertexte visité" xfId="23124" builtinId="9" hidden="1"/>
    <cellStyle name="Lien hypertexte visité" xfId="16997" builtinId="9" hidden="1"/>
    <cellStyle name="Lien hypertexte visité" xfId="12684" builtinId="9" hidden="1"/>
    <cellStyle name="Lien hypertexte visité" xfId="9292" builtinId="9" hidden="1"/>
    <cellStyle name="Lien hypertexte visité" xfId="12364" builtinId="9" hidden="1"/>
    <cellStyle name="Lien hypertexte visité" xfId="4956" builtinId="9" hidden="1"/>
    <cellStyle name="Lien hypertexte visité" xfId="9630" builtinId="9" hidden="1"/>
    <cellStyle name="Lien hypertexte visité" xfId="23226" builtinId="9" hidden="1"/>
    <cellStyle name="Lien hypertexte visité" xfId="1394" builtinId="9" hidden="1"/>
    <cellStyle name="Lien hypertexte visité" xfId="12757" builtinId="9" hidden="1"/>
    <cellStyle name="Lien hypertexte visité" xfId="2992" builtinId="9" hidden="1"/>
    <cellStyle name="Lien hypertexte visité" xfId="14166" builtinId="9" hidden="1"/>
    <cellStyle name="Lien hypertexte visité" xfId="21082" builtinId="9" hidden="1"/>
    <cellStyle name="Lien hypertexte visité" xfId="17179" builtinId="9" hidden="1"/>
    <cellStyle name="Lien hypertexte visité" xfId="20682" builtinId="9" hidden="1"/>
    <cellStyle name="Lien hypertexte visité" xfId="8965" builtinId="9" hidden="1"/>
    <cellStyle name="Lien hypertexte visité" xfId="13426" builtinId="9" hidden="1"/>
    <cellStyle name="Lien hypertexte visité" xfId="4991" builtinId="9" hidden="1"/>
    <cellStyle name="Lien hypertexte visité" xfId="10473" builtinId="9" hidden="1"/>
    <cellStyle name="Lien hypertexte visité" xfId="21886" builtinId="9" hidden="1"/>
    <cellStyle name="Lien hypertexte visité" xfId="10515" builtinId="9" hidden="1"/>
    <cellStyle name="Lien hypertexte visité" xfId="11819" builtinId="9" hidden="1"/>
    <cellStyle name="Lien hypertexte visité" xfId="8995" builtinId="9" hidden="1"/>
    <cellStyle name="Lien hypertexte visité" xfId="1163" builtinId="9" hidden="1"/>
    <cellStyle name="Lien hypertexte visité" xfId="2412" builtinId="9" hidden="1"/>
    <cellStyle name="Lien hypertexte visité" xfId="10011" builtinId="9" hidden="1"/>
    <cellStyle name="Lien hypertexte visité" xfId="2676" builtinId="9" hidden="1"/>
    <cellStyle name="Lien hypertexte visité" xfId="1467" builtinId="9" hidden="1"/>
    <cellStyle name="Lien hypertexte visité" xfId="6370" builtinId="9" hidden="1"/>
    <cellStyle name="Lien hypertexte visité" xfId="12203" builtinId="9" hidden="1"/>
    <cellStyle name="Lien hypertexte visité" xfId="10939" builtinId="9" hidden="1"/>
    <cellStyle name="Lien hypertexte visité" xfId="7066" builtinId="9" hidden="1"/>
    <cellStyle name="Lien hypertexte visité" xfId="5714" builtinId="9" hidden="1"/>
    <cellStyle name="Lien hypertexte visité" xfId="119" builtinId="9" hidden="1"/>
    <cellStyle name="Lien hypertexte visité" xfId="2562" builtinId="9" hidden="1"/>
    <cellStyle name="Lien hypertexte visité" xfId="6280" builtinId="9" hidden="1"/>
    <cellStyle name="Lien hypertexte visité" xfId="1922" builtinId="9" hidden="1"/>
    <cellStyle name="Lien hypertexte visité" xfId="8827" builtinId="9" hidden="1"/>
    <cellStyle name="Lien hypertexte visité" xfId="4946" builtinId="9" hidden="1"/>
    <cellStyle name="Lien hypertexte visité" xfId="6266" builtinId="9" hidden="1"/>
    <cellStyle name="Lien hypertexte visité" xfId="7474" builtinId="9" hidden="1"/>
    <cellStyle name="Lien hypertexte visité" xfId="12027" builtinId="9" hidden="1"/>
    <cellStyle name="Lien hypertexte visité" xfId="6626" builtinId="9" hidden="1"/>
    <cellStyle name="Lien hypertexte visité" xfId="1283" builtinId="9" hidden="1"/>
    <cellStyle name="Lien hypertexte visité" xfId="2636" builtinId="9" hidden="1"/>
    <cellStyle name="Lien hypertexte visité" xfId="3853" builtinId="9" hidden="1"/>
    <cellStyle name="Lien hypertexte visité" xfId="10283" builtinId="9" hidden="1"/>
    <cellStyle name="Lien hypertexte visité" xfId="1972" builtinId="9" hidden="1"/>
    <cellStyle name="Lien hypertexte visité" xfId="3100" builtinId="9" hidden="1"/>
    <cellStyle name="Lien hypertexte visité" xfId="11851" builtinId="9" hidden="1"/>
    <cellStyle name="Lien hypertexte visité" xfId="10691" builtinId="9" hidden="1"/>
    <cellStyle name="Lien hypertexte visité" xfId="10787" builtinId="9" hidden="1"/>
    <cellStyle name="Lien hypertexte visité" xfId="13475" builtinId="9" hidden="1"/>
    <cellStyle name="Lien hypertexte visité" xfId="14563" builtinId="9" hidden="1"/>
    <cellStyle name="Lien hypertexte visité" xfId="16835" builtinId="9" hidden="1"/>
    <cellStyle name="Lien hypertexte visité" xfId="12923" builtinId="9" hidden="1"/>
    <cellStyle name="Lien hypertexte visité" xfId="9571" builtinId="9" hidden="1"/>
    <cellStyle name="Lien hypertexte visité" xfId="10731" builtinId="9" hidden="1"/>
    <cellStyle name="Lien hypertexte visité" xfId="9321" builtinId="9" hidden="1"/>
    <cellStyle name="Lien hypertexte visité" xfId="12784" builtinId="9" hidden="1"/>
    <cellStyle name="Lien hypertexte visité" xfId="14073" builtinId="9" hidden="1"/>
    <cellStyle name="Lien hypertexte visité" xfId="3146" builtinId="9" hidden="1"/>
    <cellStyle name="Lien hypertexte visité" xfId="3960" builtinId="9" hidden="1"/>
    <cellStyle name="Lien hypertexte visité" xfId="5496" builtinId="9" hidden="1"/>
    <cellStyle name="Lien hypertexte visité" xfId="8057" builtinId="9" hidden="1"/>
    <cellStyle name="Lien hypertexte visité" xfId="9809" builtinId="9" hidden="1"/>
    <cellStyle name="Lien hypertexte visité" xfId="11385" builtinId="9" hidden="1"/>
    <cellStyle name="Lien hypertexte visité" xfId="5712" builtinId="9" hidden="1"/>
    <cellStyle name="Lien hypertexte visité" xfId="12427" builtinId="9" hidden="1"/>
    <cellStyle name="Lien hypertexte visité" xfId="4232" builtinId="9" hidden="1"/>
    <cellStyle name="Lien hypertexte visité" xfId="11235" builtinId="9" hidden="1"/>
    <cellStyle name="Lien hypertexte visité" xfId="24524" builtinId="9" hidden="1"/>
    <cellStyle name="Lien hypertexte visité" xfId="21550" builtinId="9" hidden="1"/>
    <cellStyle name="Lien hypertexte visité" xfId="18478" builtinId="9" hidden="1"/>
    <cellStyle name="Lien hypertexte visité" xfId="15343" builtinId="9" hidden="1"/>
    <cellStyle name="Lien hypertexte visité" xfId="13177" builtinId="9" hidden="1"/>
    <cellStyle name="Lien hypertexte visité" xfId="11601" builtinId="9" hidden="1"/>
    <cellStyle name="Lien hypertexte visité" xfId="10065" builtinId="9" hidden="1"/>
    <cellStyle name="Lien hypertexte visité" xfId="8481" builtinId="9" hidden="1"/>
    <cellStyle name="Lien hypertexte visité" xfId="5968" builtinId="9" hidden="1"/>
    <cellStyle name="Lien hypertexte visité" xfId="4384" builtinId="9" hidden="1"/>
    <cellStyle name="Lien hypertexte visité" xfId="2842" builtinId="9" hidden="1"/>
    <cellStyle name="Lien hypertexte visité" xfId="9633" builtinId="9" hidden="1"/>
    <cellStyle name="Lien hypertexte visité" xfId="19916" builtinId="9" hidden="1"/>
    <cellStyle name="Lien hypertexte visité" xfId="18492" builtinId="9" hidden="1"/>
    <cellStyle name="Lien hypertexte visité" xfId="6514" builtinId="9" hidden="1"/>
    <cellStyle name="Lien hypertexte visité" xfId="10147" builtinId="9" hidden="1"/>
    <cellStyle name="Lien hypertexte visité" xfId="13515" builtinId="9" hidden="1"/>
    <cellStyle name="Lien hypertexte visité" xfId="14963" builtinId="9" hidden="1"/>
    <cellStyle name="Lien hypertexte visité" xfId="16963" builtinId="9" hidden="1"/>
    <cellStyle name="Lien hypertexte visité" xfId="15603" builtinId="9" hidden="1"/>
    <cellStyle name="Lien hypertexte visité" xfId="13835" builtinId="9" hidden="1"/>
    <cellStyle name="Lien hypertexte visité" xfId="9803" builtinId="9" hidden="1"/>
    <cellStyle name="Lien hypertexte visité" xfId="2018" builtinId="9" hidden="1"/>
    <cellStyle name="Lien hypertexte visité" xfId="9065" builtinId="9" hidden="1"/>
    <cellStyle name="Lien hypertexte visité" xfId="13801" builtinId="9" hidden="1"/>
    <cellStyle name="Lien hypertexte visité" xfId="22286" builtinId="9" hidden="1"/>
    <cellStyle name="Lien hypertexte visité" xfId="17485" builtinId="9" hidden="1"/>
    <cellStyle name="Lien hypertexte visité" xfId="10752" builtinId="9" hidden="1"/>
    <cellStyle name="Lien hypertexte visité" xfId="9800" builtinId="9" hidden="1"/>
    <cellStyle name="Lien hypertexte visité" xfId="11336" builtinId="9" hidden="1"/>
    <cellStyle name="Lien hypertexte visité" xfId="13680" builtinId="9" hidden="1"/>
    <cellStyle name="Lien hypertexte visité" xfId="15997" builtinId="9" hidden="1"/>
    <cellStyle name="Lien hypertexte visité" xfId="19052" builtinId="9" hidden="1"/>
    <cellStyle name="Lien hypertexte visité" xfId="3140" builtinId="9" hidden="1"/>
    <cellStyle name="Lien hypertexte visité" xfId="4498" builtinId="9" hidden="1"/>
    <cellStyle name="Lien hypertexte visité" xfId="5818" builtinId="9" hidden="1"/>
    <cellStyle name="Lien hypertexte visité" xfId="7170" builtinId="9" hidden="1"/>
    <cellStyle name="Lien hypertexte visité" xfId="8491" builtinId="9" hidden="1"/>
    <cellStyle name="Lien hypertexte visité" xfId="10764" builtinId="9" hidden="1"/>
    <cellStyle name="Lien hypertexte visité" xfId="2565" builtinId="9" hidden="1"/>
    <cellStyle name="Lien hypertexte visité" xfId="6783" builtinId="9" hidden="1"/>
    <cellStyle name="Lien hypertexte visité" xfId="23798" builtinId="9" hidden="1"/>
    <cellStyle name="Lien hypertexte visité" xfId="9949" builtinId="9" hidden="1"/>
    <cellStyle name="Lien hypertexte visité" xfId="1750" builtinId="9" hidden="1"/>
    <cellStyle name="Lien hypertexte visité" xfId="8925" builtinId="9" hidden="1"/>
    <cellStyle name="Lien hypertexte visité" xfId="14045" builtinId="9" hidden="1"/>
    <cellStyle name="Lien hypertexte visité" xfId="1657" builtinId="9" hidden="1"/>
    <cellStyle name="Lien hypertexte visité" xfId="7691" builtinId="9" hidden="1"/>
    <cellStyle name="Lien hypertexte visité" xfId="567" builtinId="9" hidden="1"/>
    <cellStyle name="Lien hypertexte visité" xfId="8339" builtinId="9" hidden="1"/>
    <cellStyle name="Lien hypertexte visité" xfId="6986" builtinId="9" hidden="1"/>
    <cellStyle name="Lien hypertexte visité" xfId="5674" builtinId="9" hidden="1"/>
    <cellStyle name="Lien hypertexte visité" xfId="4314" builtinId="9" hidden="1"/>
    <cellStyle name="Lien hypertexte visité" xfId="8832" builtinId="9" hidden="1"/>
    <cellStyle name="Lien hypertexte visité" xfId="17117" builtinId="9" hidden="1"/>
    <cellStyle name="Lien hypertexte visité" xfId="14280" builtinId="9" hidden="1"/>
    <cellStyle name="Lien hypertexte visité" xfId="12696" builtinId="9" hidden="1"/>
    <cellStyle name="Lien hypertexte visité" xfId="11160" builtinId="9" hidden="1"/>
    <cellStyle name="Lien hypertexte visité" xfId="9584" builtinId="9" hidden="1"/>
    <cellStyle name="Lien hypertexte visité" xfId="11264" builtinId="9" hidden="1"/>
    <cellStyle name="Lien hypertexte visité" xfId="23356" builtinId="9" hidden="1"/>
    <cellStyle name="Lien hypertexte visité" xfId="16671" builtinId="9" hidden="1"/>
    <cellStyle name="Lien hypertexte visité" xfId="10857" builtinId="9" hidden="1"/>
    <cellStyle name="Lien hypertexte visité" xfId="6120" builtinId="9" hidden="1"/>
    <cellStyle name="Lien hypertexte visité" xfId="1506" builtinId="9" hidden="1"/>
    <cellStyle name="Lien hypertexte visité" xfId="9627" builtinId="9" hidden="1"/>
    <cellStyle name="Lien hypertexte visité" xfId="13707" builtinId="9" hidden="1"/>
    <cellStyle name="Lien hypertexte visité" xfId="15347" builtinId="9" hidden="1"/>
    <cellStyle name="Lien hypertexte visité" xfId="16339" builtinId="9" hidden="1"/>
    <cellStyle name="Lien hypertexte visité" xfId="13123" builtinId="9" hidden="1"/>
    <cellStyle name="Lien hypertexte visité" xfId="14243" builtinId="9" hidden="1"/>
    <cellStyle name="Lien hypertexte visité" xfId="10323" builtinId="9" hidden="1"/>
    <cellStyle name="Lien hypertexte visité" xfId="7682" builtinId="9" hidden="1"/>
    <cellStyle name="Lien hypertexte visité" xfId="12416" builtinId="9" hidden="1"/>
    <cellStyle name="Lien hypertexte visité" xfId="22636" builtinId="9" hidden="1"/>
    <cellStyle name="Lien hypertexte visité" xfId="2802" builtinId="9" hidden="1"/>
    <cellStyle name="Lien hypertexte visité" xfId="3795" builtinId="9" hidden="1"/>
    <cellStyle name="Lien hypertexte visité" xfId="5368" builtinId="9" hidden="1"/>
    <cellStyle name="Lien hypertexte visité" xfId="6944" builtinId="9" hidden="1"/>
    <cellStyle name="Lien hypertexte visité" xfId="8697" builtinId="9" hidden="1"/>
    <cellStyle name="Lien hypertexte visité" xfId="10233" builtinId="9" hidden="1"/>
    <cellStyle name="Lien hypertexte visité" xfId="11809" builtinId="9" hidden="1"/>
    <cellStyle name="Lien hypertexte visité" xfId="13345" builtinId="9" hidden="1"/>
    <cellStyle name="Lien hypertexte visité" xfId="17295" builtinId="9" hidden="1"/>
    <cellStyle name="Lien hypertexte visité" xfId="20350" builtinId="9" hidden="1"/>
    <cellStyle name="Lien hypertexte visité" xfId="23518" builtinId="9" hidden="1"/>
    <cellStyle name="Lien hypertexte visité" xfId="22220" builtinId="9" hidden="1"/>
    <cellStyle name="Lien hypertexte visité" xfId="4386" builtinId="9" hidden="1"/>
    <cellStyle name="Lien hypertexte visité" xfId="8091" builtinId="9" hidden="1"/>
    <cellStyle name="Lien hypertexte visité" xfId="10107" builtinId="9" hidden="1"/>
    <cellStyle name="Lien hypertexte visité" xfId="12153" builtinId="9" hidden="1"/>
    <cellStyle name="Lien hypertexte visité" xfId="10401" builtinId="9" hidden="1"/>
    <cellStyle name="Lien hypertexte visité" xfId="8657" builtinId="9" hidden="1"/>
    <cellStyle name="Lien hypertexte visité" xfId="7072" builtinId="9" hidden="1"/>
    <cellStyle name="Lien hypertexte visité" xfId="5328" builtinId="9" hidden="1"/>
    <cellStyle name="Lien hypertexte visité" xfId="3747" builtinId="9" hidden="1"/>
    <cellStyle name="Lien hypertexte visité" xfId="4512" builtinId="9" hidden="1"/>
    <cellStyle name="Lien hypertexte visité" xfId="16367" builtinId="9" hidden="1"/>
    <cellStyle name="Lien hypertexte visité" xfId="20540" builtinId="9" hidden="1"/>
    <cellStyle name="Lien hypertexte visité" xfId="5050" builtinId="9" hidden="1"/>
    <cellStyle name="Lien hypertexte visité" xfId="9979" builtinId="9" hidden="1"/>
    <cellStyle name="Lien hypertexte visité" xfId="13915" builtinId="9" hidden="1"/>
    <cellStyle name="Lien hypertexte visité" xfId="15747" builtinId="9" hidden="1"/>
    <cellStyle name="Lien hypertexte visité" xfId="17107" builtinId="9" hidden="1"/>
    <cellStyle name="Lien hypertexte visité" xfId="14883" builtinId="9" hidden="1"/>
    <cellStyle name="Lien hypertexte visité" xfId="14171" builtinId="9" hidden="1"/>
    <cellStyle name="Lien hypertexte visité" xfId="10243" builtinId="9" hidden="1"/>
    <cellStyle name="Lien hypertexte visité" xfId="11443" builtinId="9" hidden="1"/>
    <cellStyle name="Lien hypertexte visité" xfId="12739" builtinId="9" hidden="1"/>
    <cellStyle name="Lien hypertexte visité" xfId="2076" builtinId="9" hidden="1"/>
    <cellStyle name="Lien hypertexte visité" xfId="7553" builtinId="9" hidden="1"/>
    <cellStyle name="Lien hypertexte visité" xfId="5252" builtinId="9" hidden="1"/>
    <cellStyle name="Lien hypertexte visité" xfId="12551" builtinId="9" hidden="1"/>
    <cellStyle name="Lien hypertexte visité" xfId="19544" builtinId="9" hidden="1"/>
    <cellStyle name="Lien hypertexte visité" xfId="23984" builtinId="9" hidden="1"/>
    <cellStyle name="Lien hypertexte visité" xfId="14875" builtinId="9" hidden="1"/>
    <cellStyle name="Lien hypertexte visité" xfId="4486" builtinId="9" hidden="1"/>
    <cellStyle name="Lien hypertexte visité" xfId="24608" builtinId="9" hidden="1"/>
    <cellStyle name="Lien hypertexte visité" xfId="6015" builtinId="9" hidden="1"/>
    <cellStyle name="Lien hypertexte visité" xfId="17951" builtinId="9" hidden="1"/>
    <cellStyle name="Lien hypertexte visité" xfId="22300" builtinId="9" hidden="1"/>
    <cellStyle name="Lien hypertexte visité" xfId="24100" builtinId="9" hidden="1"/>
    <cellStyle name="Lien hypertexte visité" xfId="23280" builtinId="9" hidden="1"/>
    <cellStyle name="Lien hypertexte visité" xfId="21752" builtinId="9" hidden="1"/>
    <cellStyle name="Lien hypertexte visité" xfId="11177" builtinId="9" hidden="1"/>
    <cellStyle name="Lien hypertexte visité" xfId="13756" builtinId="9" hidden="1"/>
    <cellStyle name="Lien hypertexte visité" xfId="22956" builtinId="9" hidden="1"/>
    <cellStyle name="Lien hypertexte visité" xfId="3572" builtinId="9" hidden="1"/>
    <cellStyle name="Lien hypertexte visité" xfId="18324" builtinId="9" hidden="1"/>
    <cellStyle name="Lien hypertexte visité" xfId="11526" builtinId="9" hidden="1"/>
    <cellStyle name="Lien hypertexte visité" xfId="14177" builtinId="9" hidden="1"/>
    <cellStyle name="Lien hypertexte visité" xfId="2660" builtinId="9" hidden="1"/>
    <cellStyle name="Lien hypertexte visité" xfId="7131" builtinId="9" hidden="1"/>
    <cellStyle name="Lien hypertexte visité" xfId="9912" builtinId="9" hidden="1"/>
    <cellStyle name="Lien hypertexte visité" xfId="24142" builtinId="9" hidden="1"/>
    <cellStyle name="Lien hypertexte visité" xfId="21228" builtinId="9" hidden="1"/>
    <cellStyle name="Lien hypertexte visité" xfId="17149" builtinId="9" hidden="1"/>
    <cellStyle name="Lien hypertexte visité" xfId="5320" builtinId="9" hidden="1"/>
    <cellStyle name="Lien hypertexte visité" xfId="3401" builtinId="9" hidden="1"/>
    <cellStyle name="Lien hypertexte visité" xfId="15967" builtinId="9" hidden="1"/>
    <cellStyle name="Lien hypertexte visité" xfId="8572" builtinId="9" hidden="1"/>
    <cellStyle name="Lien hypertexte visité" xfId="10984" builtinId="9" hidden="1"/>
    <cellStyle name="Lien hypertexte visité" xfId="10360" builtinId="9" hidden="1"/>
    <cellStyle name="Lien hypertexte visité" xfId="16847" builtinId="9" hidden="1"/>
    <cellStyle name="Lien hypertexte visité" xfId="2834" builtinId="9" hidden="1"/>
    <cellStyle name="Lien hypertexte visité" xfId="7836" builtinId="9" hidden="1"/>
    <cellStyle name="Lien hypertexte visité" xfId="11789" builtinId="9" hidden="1"/>
    <cellStyle name="Lien hypertexte visité" xfId="8767" builtinId="9" hidden="1"/>
    <cellStyle name="Lien hypertexte visité" xfId="2068" builtinId="9" hidden="1"/>
    <cellStyle name="Lien hypertexte visité" xfId="12587" builtinId="9" hidden="1"/>
    <cellStyle name="Lien hypertexte visité" xfId="18125" builtinId="9" hidden="1"/>
    <cellStyle name="Lien hypertexte visité" xfId="13497" builtinId="9" hidden="1"/>
    <cellStyle name="Lien hypertexte visité" xfId="1893" builtinId="9" hidden="1"/>
    <cellStyle name="Lien hypertexte visité" xfId="8317" builtinId="9" hidden="1"/>
    <cellStyle name="Lien hypertexte visité" xfId="12210" builtinId="9" hidden="1"/>
    <cellStyle name="Lien hypertexte visité" xfId="6937" builtinId="9" hidden="1"/>
    <cellStyle name="Lien hypertexte visité" xfId="15415" builtinId="9" hidden="1"/>
    <cellStyle name="Lien hypertexte visité" xfId="19474" builtinId="9" hidden="1"/>
    <cellStyle name="Lien hypertexte visité" xfId="3696" builtinId="9" hidden="1"/>
    <cellStyle name="Lien hypertexte visité" xfId="6209" builtinId="9" hidden="1"/>
    <cellStyle name="Lien hypertexte visité" xfId="2755" builtinId="9" hidden="1"/>
    <cellStyle name="Lien hypertexte visité" xfId="20104" builtinId="9" hidden="1"/>
    <cellStyle name="Lien hypertexte visité" xfId="8095" builtinId="9" hidden="1"/>
    <cellStyle name="Lien hypertexte visité" xfId="18860" builtinId="9" hidden="1"/>
    <cellStyle name="Lien hypertexte visité" xfId="15853" builtinId="9" hidden="1"/>
    <cellStyle name="Lien hypertexte visité" xfId="4632" builtinId="9" hidden="1"/>
    <cellStyle name="Lien hypertexte visité" xfId="15045" builtinId="9" hidden="1"/>
    <cellStyle name="Lien hypertexte visité" xfId="6142" builtinId="9" hidden="1"/>
    <cellStyle name="Lien hypertexte visité" xfId="9523" builtinId="9" hidden="1"/>
    <cellStyle name="Lien hypertexte visité" xfId="14249" builtinId="9" hidden="1"/>
    <cellStyle name="Lien hypertexte visité" xfId="6288" builtinId="9" hidden="1"/>
    <cellStyle name="Lien hypertexte visité" xfId="12349" builtinId="9" hidden="1"/>
    <cellStyle name="Lien hypertexte visité" xfId="23800" builtinId="9" hidden="1"/>
    <cellStyle name="Lien hypertexte visité" xfId="9018" builtinId="9" hidden="1"/>
    <cellStyle name="Lien hypertexte visité" xfId="12615" builtinId="9" hidden="1"/>
    <cellStyle name="Lien hypertexte visité" xfId="19184" builtinId="9" hidden="1"/>
    <cellStyle name="Lien hypertexte visité" xfId="10788" builtinId="9" hidden="1"/>
    <cellStyle name="Lien hypertexte visité" xfId="13716" builtinId="9" hidden="1"/>
    <cellStyle name="Lien hypertexte visité" xfId="9028" builtinId="9" hidden="1"/>
    <cellStyle name="Lien hypertexte visité" xfId="6099" builtinId="9" hidden="1"/>
    <cellStyle name="Lien hypertexte visité" xfId="8805" builtinId="9" hidden="1"/>
    <cellStyle name="Lien hypertexte visité" xfId="3617" builtinId="9" hidden="1"/>
    <cellStyle name="Lien hypertexte visité" xfId="10946" builtinId="9" hidden="1"/>
    <cellStyle name="Lien hypertexte visité" xfId="21016" builtinId="9" hidden="1"/>
    <cellStyle name="Lien hypertexte visité" xfId="19632" builtinId="9" hidden="1"/>
    <cellStyle name="Lien hypertexte visité" xfId="23258" builtinId="9" hidden="1"/>
    <cellStyle name="Lien hypertexte visité" xfId="20322" builtinId="9" hidden="1"/>
    <cellStyle name="Lien hypertexte visité" xfId="24360" builtinId="9" hidden="1"/>
    <cellStyle name="Lien hypertexte visité" xfId="19352" builtinId="9" hidden="1"/>
    <cellStyle name="Lien hypertexte visité" xfId="13302" builtinId="9" hidden="1"/>
    <cellStyle name="Lien hypertexte visité" xfId="10798" builtinId="9" hidden="1"/>
    <cellStyle name="Lien hypertexte visité" xfId="8526" builtinId="9" hidden="1"/>
    <cellStyle name="Lien hypertexte visité" xfId="10903" builtinId="9" hidden="1"/>
    <cellStyle name="Lien hypertexte visité" xfId="7158" builtinId="9" hidden="1"/>
    <cellStyle name="Lien hypertexte visité" xfId="3392" builtinId="9" hidden="1"/>
    <cellStyle name="Lien hypertexte visité" xfId="1165" builtinId="9" hidden="1"/>
    <cellStyle name="Lien hypertexte visité" xfId="6644" builtinId="9" hidden="1"/>
    <cellStyle name="Lien hypertexte visité" xfId="10389" builtinId="9" hidden="1"/>
    <cellStyle name="Lien hypertexte visité" xfId="14149" builtinId="9" hidden="1"/>
    <cellStyle name="Lien hypertexte visité" xfId="5453" builtinId="9" hidden="1"/>
    <cellStyle name="Lien hypertexte visité" xfId="7081" builtinId="9" hidden="1"/>
    <cellStyle name="Lien hypertexte visité" xfId="2159" builtinId="9" hidden="1"/>
    <cellStyle name="Lien hypertexte visité" xfId="3479" builtinId="9" hidden="1"/>
    <cellStyle name="Lien hypertexte visité" xfId="5509" builtinId="9" hidden="1"/>
    <cellStyle name="Lien hypertexte visité" xfId="12906" builtinId="9" hidden="1"/>
    <cellStyle name="Lien hypertexte visité" xfId="17939" builtinId="9" hidden="1"/>
    <cellStyle name="Lien hypertexte visité" xfId="20384" builtinId="9" hidden="1"/>
    <cellStyle name="Lien hypertexte visité" xfId="13702" builtinId="9" hidden="1"/>
    <cellStyle name="Lien hypertexte visité" xfId="10290" builtinId="9" hidden="1"/>
    <cellStyle name="Lien hypertexte visité" xfId="13391" builtinId="9" hidden="1"/>
    <cellStyle name="Lien hypertexte visité" xfId="5198" builtinId="9" hidden="1"/>
    <cellStyle name="Lien hypertexte visité" xfId="1590" builtinId="9" hidden="1"/>
    <cellStyle name="Lien hypertexte visité" xfId="6716" builtinId="9" hidden="1"/>
    <cellStyle name="Lien hypertexte visité" xfId="15303" builtinId="9" hidden="1"/>
    <cellStyle name="Lien hypertexte visité" xfId="22676" builtinId="9" hidden="1"/>
    <cellStyle name="Lien hypertexte visité" xfId="12972" builtinId="9" hidden="1"/>
    <cellStyle name="Lien hypertexte visité" xfId="7852" builtinId="9" hidden="1"/>
    <cellStyle name="Lien hypertexte visité" xfId="1497" builtinId="9" hidden="1"/>
    <cellStyle name="Lien hypertexte visité" xfId="7135" builtinId="9" hidden="1"/>
    <cellStyle name="Lien hypertexte visité" xfId="2866" builtinId="9" hidden="1"/>
    <cellStyle name="Lien hypertexte visité" xfId="8337" builtinId="9" hidden="1"/>
    <cellStyle name="Lien hypertexte visité" xfId="11745" builtinId="9" hidden="1"/>
    <cellStyle name="Lien hypertexte visité" xfId="16495" builtinId="9" hidden="1"/>
    <cellStyle name="Lien hypertexte visité" xfId="23982" builtinId="9" hidden="1"/>
    <cellStyle name="Lien hypertexte visité" xfId="14424" builtinId="9" hidden="1"/>
    <cellStyle name="Lien hypertexte visité" xfId="11016" builtinId="9" hidden="1"/>
    <cellStyle name="Lien hypertexte visité" xfId="13632" builtinId="9" hidden="1"/>
    <cellStyle name="Lien hypertexte visité" xfId="9129" builtinId="9" hidden="1"/>
    <cellStyle name="Lien hypertexte visité" xfId="8795" builtinId="9" hidden="1"/>
    <cellStyle name="Lien hypertexte visité" xfId="5874" builtinId="9" hidden="1"/>
    <cellStyle name="Lien hypertexte visité" xfId="2644" builtinId="9" hidden="1"/>
    <cellStyle name="Lien hypertexte visité" xfId="11323" builtinId="9" hidden="1"/>
    <cellStyle name="Lien hypertexte visité" xfId="13555" builtinId="9" hidden="1"/>
    <cellStyle name="Lien hypertexte visité" xfId="16051" builtinId="9" hidden="1"/>
    <cellStyle name="Lien hypertexte visité" xfId="10883" builtinId="9" hidden="1"/>
    <cellStyle name="Lien hypertexte visité" xfId="2140" builtinId="9" hidden="1"/>
    <cellStyle name="Lien hypertexte visité" xfId="3946" builtinId="9" hidden="1"/>
    <cellStyle name="Lien hypertexte visité" xfId="6866" builtinId="9" hidden="1"/>
    <cellStyle name="Lien hypertexte visité" xfId="8998" builtinId="9" hidden="1"/>
    <cellStyle name="Lien hypertexte visité" xfId="13311" builtinId="9" hidden="1"/>
    <cellStyle name="Lien hypertexte visité" xfId="9567" builtinId="9" hidden="1"/>
    <cellStyle name="Lien hypertexte visité" xfId="4094" builtinId="9" hidden="1"/>
    <cellStyle name="Lien hypertexte visité" xfId="227" builtinId="9" hidden="1"/>
    <cellStyle name="Lien hypertexte visité" xfId="4236" builtinId="9" hidden="1"/>
    <cellStyle name="Lien hypertexte visité" xfId="7981" builtinId="9" hidden="1"/>
    <cellStyle name="Lien hypertexte visité" xfId="13453" builtinId="9" hidden="1"/>
    <cellStyle name="Lien hypertexte visité" xfId="19158" builtinId="9" hidden="1"/>
    <cellStyle name="Lien hypertexte visité" xfId="22516" builtinId="9" hidden="1"/>
    <cellStyle name="Lien hypertexte visité" xfId="13084" builtinId="9" hidden="1"/>
    <cellStyle name="Lien hypertexte visité" xfId="9308" builtinId="9" hidden="1"/>
    <cellStyle name="Lien hypertexte visité" xfId="5915" builtinId="9" hidden="1"/>
    <cellStyle name="Lien hypertexte visité" xfId="2133" builtinId="9" hidden="1"/>
    <cellStyle name="Lien hypertexte visité" xfId="4463" builtinId="9" hidden="1"/>
    <cellStyle name="Lien hypertexte visité" xfId="8240" builtinId="9" hidden="1"/>
    <cellStyle name="Lien hypertexte visité" xfId="2106" builtinId="9" hidden="1"/>
    <cellStyle name="Lien hypertexte visité" xfId="5760" builtinId="9" hidden="1"/>
    <cellStyle name="Lien hypertexte visité" xfId="8257" builtinId="9" hidden="1"/>
    <cellStyle name="Lien hypertexte visité" xfId="10777" builtinId="9" hidden="1"/>
    <cellStyle name="Lien hypertexte visité" xfId="13041" builtinId="9" hidden="1"/>
    <cellStyle name="Lien hypertexte visité" xfId="18846" builtinId="9" hidden="1"/>
    <cellStyle name="Lien hypertexte visité" xfId="23838" builtinId="9" hidden="1"/>
    <cellStyle name="Lien hypertexte visité" xfId="20364" builtinId="9" hidden="1"/>
    <cellStyle name="Lien hypertexte visité" xfId="13816" builtinId="9" hidden="1"/>
    <cellStyle name="Lien hypertexte visité" xfId="11536" builtinId="9" hidden="1"/>
    <cellStyle name="Lien hypertexte visité" xfId="9040" builtinId="9" hidden="1"/>
    <cellStyle name="Lien hypertexte visité" xfId="17165" builtinId="9" hidden="1"/>
    <cellStyle name="Lien hypertexte visité" xfId="12425" builtinId="9" hidden="1"/>
    <cellStyle name="Lien hypertexte visité" xfId="8777" builtinId="9" hidden="1"/>
    <cellStyle name="Lien hypertexte visité" xfId="9192" builtinId="9" hidden="1"/>
    <cellStyle name="Lien hypertexte visité" xfId="23534" builtinId="9" hidden="1"/>
    <cellStyle name="Lien hypertexte visité" xfId="11521" builtinId="9" hidden="1"/>
    <cellStyle name="Lien hypertexte visité" xfId="4696" builtinId="9" hidden="1"/>
    <cellStyle name="Lien hypertexte visité" xfId="4239" builtinId="9" hidden="1"/>
    <cellStyle name="Lien hypertexte visité" xfId="13308" builtinId="9" hidden="1"/>
    <cellStyle name="Lien hypertexte visité" xfId="14631" builtinId="9" hidden="1"/>
    <cellStyle name="Lien hypertexte visité" xfId="4332" builtinId="9" hidden="1"/>
    <cellStyle name="Lien hypertexte visité" xfId="13215" builtinId="9" hidden="1"/>
    <cellStyle name="Lien hypertexte visité" xfId="6105" builtinId="9" hidden="1"/>
    <cellStyle name="Lien hypertexte visité" xfId="4277" builtinId="9" hidden="1"/>
    <cellStyle name="Lien hypertexte visité" xfId="12874" builtinId="9" hidden="1"/>
    <cellStyle name="Lien hypertexte visité" xfId="19322" builtinId="9" hidden="1"/>
    <cellStyle name="Lien hypertexte visité" xfId="20930" builtinId="9" hidden="1"/>
    <cellStyle name="Lien hypertexte visité" xfId="24032" builtinId="9" hidden="1"/>
    <cellStyle name="Lien hypertexte visité" xfId="17817" builtinId="9" hidden="1"/>
    <cellStyle name="Lien hypertexte visité" xfId="14206" builtinId="9" hidden="1"/>
    <cellStyle name="Lien hypertexte visité" xfId="12070" builtinId="9" hidden="1"/>
    <cellStyle name="Lien hypertexte visité" xfId="9918" builtinId="9" hidden="1"/>
    <cellStyle name="Lien hypertexte visité" xfId="13770" builtinId="9" hidden="1"/>
    <cellStyle name="Lien hypertexte visité" xfId="1454" builtinId="9" hidden="1"/>
    <cellStyle name="Lien hypertexte visité" xfId="313" builtinId="9" hidden="1"/>
    <cellStyle name="Lien hypertexte visité" xfId="3283" builtinId="9" hidden="1"/>
    <cellStyle name="Lien hypertexte visité" xfId="7882" builtinId="9" hidden="1"/>
    <cellStyle name="Lien hypertexte visité" xfId="6393" builtinId="9" hidden="1"/>
    <cellStyle name="Lien hypertexte visité" xfId="8058" builtinId="9" hidden="1"/>
    <cellStyle name="Lien hypertexte visité" xfId="5113" builtinId="9" hidden="1"/>
    <cellStyle name="Lien hypertexte visité" xfId="4217" builtinId="9" hidden="1"/>
    <cellStyle name="Lien hypertexte visité" xfId="10906" builtinId="9" hidden="1"/>
    <cellStyle name="Lien hypertexte visité" xfId="5477" builtinId="9" hidden="1"/>
    <cellStyle name="Lien hypertexte visité" xfId="2527" builtinId="9" hidden="1"/>
    <cellStyle name="Lien hypertexte visité" xfId="7509" builtinId="9" hidden="1"/>
    <cellStyle name="Lien hypertexte visité" xfId="2703" builtinId="9" hidden="1"/>
    <cellStyle name="Lien hypertexte visité" xfId="2923" builtinId="9" hidden="1"/>
    <cellStyle name="Lien hypertexte visité" xfId="1907" builtinId="9" hidden="1"/>
    <cellStyle name="Lien hypertexte visité" xfId="1322" builtinId="9" hidden="1"/>
    <cellStyle name="Lien hypertexte visité" xfId="3949" builtinId="9" hidden="1"/>
    <cellStyle name="Lien hypertexte visité" xfId="14705" builtinId="9" hidden="1"/>
    <cellStyle name="Lien hypertexte visité" xfId="10622" builtinId="9" hidden="1"/>
    <cellStyle name="Lien hypertexte visité" xfId="12774" builtinId="9" hidden="1"/>
    <cellStyle name="Lien hypertexte visité" xfId="17265" builtinId="9" hidden="1"/>
    <cellStyle name="Lien hypertexte visité" xfId="21128" builtinId="9" hidden="1"/>
    <cellStyle name="Lien hypertexte visité" xfId="23786" builtinId="9" hidden="1"/>
    <cellStyle name="Lien hypertexte visité" xfId="17571" builtinId="9" hidden="1"/>
    <cellStyle name="Lien hypertexte visité" xfId="19792" builtinId="9" hidden="1"/>
    <cellStyle name="Lien hypertexte visité" xfId="11338" builtinId="9" hidden="1"/>
    <cellStyle name="Lien hypertexte visité" xfId="4881" builtinId="9" hidden="1"/>
    <cellStyle name="Lien hypertexte visité" xfId="16779" builtinId="9" hidden="1"/>
    <cellStyle name="Lien hypertexte visité" xfId="4382" builtinId="9" hidden="1"/>
    <cellStyle name="Lien hypertexte visité" xfId="7020" builtinId="9" hidden="1"/>
    <cellStyle name="Lien hypertexte visité" xfId="17623" builtinId="9" hidden="1"/>
    <cellStyle name="Lien hypertexte visité" xfId="4609" builtinId="9" hidden="1"/>
    <cellStyle name="Lien hypertexte visité" xfId="6733" builtinId="9" hidden="1"/>
    <cellStyle name="Lien hypertexte visité" xfId="4777" builtinId="9" hidden="1"/>
    <cellStyle name="Lien hypertexte visité" xfId="1137" builtinId="9" hidden="1"/>
    <cellStyle name="Lien hypertexte visité" xfId="1651" builtinId="9" hidden="1"/>
    <cellStyle name="Lien hypertexte visité" xfId="2283" builtinId="9" hidden="1"/>
    <cellStyle name="Lien hypertexte visité" xfId="5765" builtinId="9" hidden="1"/>
    <cellStyle name="Lien hypertexte visité" xfId="8426" builtinId="9" hidden="1"/>
    <cellStyle name="Lien hypertexte visité" xfId="17697" builtinId="9" hidden="1"/>
    <cellStyle name="Lien hypertexte visité" xfId="17507" builtinId="9" hidden="1"/>
    <cellStyle name="Lien hypertexte visité" xfId="24392" builtinId="9" hidden="1"/>
    <cellStyle name="Lien hypertexte visité" xfId="19960" builtinId="9" hidden="1"/>
    <cellStyle name="Lien hypertexte visité" xfId="14857" builtinId="9" hidden="1"/>
    <cellStyle name="Lien hypertexte visité" xfId="11102" builtinId="9" hidden="1"/>
    <cellStyle name="Lien hypertexte visité" xfId="8542" builtinId="9" hidden="1"/>
    <cellStyle name="Lien hypertexte visité" xfId="13071" builtinId="9" hidden="1"/>
    <cellStyle name="Lien hypertexte visité" xfId="9231" builtinId="9" hidden="1"/>
    <cellStyle name="Lien hypertexte visité" xfId="3857" builtinId="9" hidden="1"/>
    <cellStyle name="Lien hypertexte visité" xfId="1119" builtinId="9" hidden="1"/>
    <cellStyle name="Lien hypertexte visité" xfId="4476" builtinId="9" hidden="1"/>
    <cellStyle name="Lien hypertexte visité" xfId="9981" builtinId="9" hidden="1"/>
    <cellStyle name="Lien hypertexte visité" xfId="13693" builtinId="9" hidden="1"/>
    <cellStyle name="Lien hypertexte visité" xfId="20534" builtinId="9" hidden="1"/>
    <cellStyle name="Lien hypertexte visité" xfId="22036" builtinId="9" hidden="1"/>
    <cellStyle name="Lien hypertexte visité" xfId="12780" builtinId="9" hidden="1"/>
    <cellStyle name="Lien hypertexte visité" xfId="9068" builtinId="9" hidden="1"/>
    <cellStyle name="Lien hypertexte visité" xfId="5227" builtinId="9" hidden="1"/>
    <cellStyle name="Lien hypertexte visité" xfId="1304" builtinId="9" hidden="1"/>
    <cellStyle name="Lien hypertexte visité" xfId="4767" builtinId="9" hidden="1"/>
    <cellStyle name="Lien hypertexte visité" xfId="8480" builtinId="9" hidden="1"/>
    <cellStyle name="Lien hypertexte visité" xfId="2570" builtinId="9" hidden="1"/>
    <cellStyle name="Lien hypertexte visité" xfId="6160" builtinId="9" hidden="1"/>
    <cellStyle name="Lien hypertexte visité" xfId="8465" builtinId="9" hidden="1"/>
    <cellStyle name="Lien hypertexte visité" xfId="10937" builtinId="9" hidden="1"/>
    <cellStyle name="Lien hypertexte visité" xfId="14703" builtinId="9" hidden="1"/>
    <cellStyle name="Lien hypertexte visité" xfId="19630" builtinId="9" hidden="1"/>
    <cellStyle name="Lien hypertexte visité" xfId="24238" builtinId="9" hidden="1"/>
    <cellStyle name="Lien hypertexte visité" xfId="20044" builtinId="9" hidden="1"/>
    <cellStyle name="Lien hypertexte visité" xfId="13616" builtinId="9" hidden="1"/>
    <cellStyle name="Lien hypertexte visité" xfId="11144" builtinId="9" hidden="1"/>
    <cellStyle name="Lien hypertexte visité" xfId="8896" builtinId="9" hidden="1"/>
    <cellStyle name="Lien hypertexte visité" xfId="23950" builtinId="9" hidden="1"/>
    <cellStyle name="Lien hypertexte visité" xfId="11817" builtinId="9" hidden="1"/>
    <cellStyle name="Lien hypertexte visité" xfId="4392" builtinId="9" hidden="1"/>
    <cellStyle name="Lien hypertexte visité" xfId="8691" builtinId="9" hidden="1"/>
    <cellStyle name="Lien hypertexte visité" xfId="5546" builtinId="9" hidden="1"/>
    <cellStyle name="Lien hypertexte visité" xfId="3412" builtinId="9" hidden="1"/>
    <cellStyle name="Lien hypertexte visité" xfId="1291" builtinId="9" hidden="1"/>
    <cellStyle name="Lien hypertexte visité" xfId="11491" builtinId="9" hidden="1"/>
    <cellStyle name="Lien hypertexte visité" xfId="9651" builtinId="9" hidden="1"/>
    <cellStyle name="Lien hypertexte visité" xfId="12931" builtinId="9" hidden="1"/>
    <cellStyle name="Lien hypertexte visité" xfId="16931" builtinId="9" hidden="1"/>
    <cellStyle name="Lien hypertexte visité" xfId="11427" builtinId="9" hidden="1"/>
    <cellStyle name="Lien hypertexte visité" xfId="11195" builtinId="9" hidden="1"/>
    <cellStyle name="Lien hypertexte visité" xfId="7522" builtinId="9" hidden="1"/>
    <cellStyle name="Lien hypertexte visité" xfId="3092" builtinId="9" hidden="1"/>
    <cellStyle name="Lien hypertexte visité" xfId="5226" builtinId="9" hidden="1"/>
    <cellStyle name="Lien hypertexte visité" xfId="7194" builtinId="9" hidden="1"/>
    <cellStyle name="Lien hypertexte visité" xfId="9323" builtinId="9" hidden="1"/>
    <cellStyle name="Lien hypertexte visité" xfId="8274" builtinId="9" hidden="1"/>
    <cellStyle name="Lien hypertexte visité" xfId="13535" builtinId="9" hidden="1"/>
    <cellStyle name="Lien hypertexte visité" xfId="11231" builtinId="9" hidden="1"/>
    <cellStyle name="Lien hypertexte visité" xfId="7646" builtinId="9" hidden="1"/>
    <cellStyle name="Lien hypertexte visité" xfId="5086" builtinId="9" hidden="1"/>
    <cellStyle name="Lien hypertexte visité" xfId="2616" builtinId="9" hidden="1"/>
    <cellStyle name="Lien hypertexte visité" xfId="511" builtinId="9" hidden="1"/>
    <cellStyle name="Lien hypertexte visité" xfId="4428" builtinId="9" hidden="1"/>
    <cellStyle name="Lien hypertexte visité" xfId="6988" builtinId="9" hidden="1"/>
    <cellStyle name="Lien hypertexte visité" xfId="9485" builtinId="9" hidden="1"/>
    <cellStyle name="Lien hypertexte visité" xfId="13133" builtinId="9" hidden="1"/>
    <cellStyle name="Lien hypertexte visité" xfId="16231" builtinId="9" hidden="1"/>
    <cellStyle name="Lien hypertexte visité" xfId="21334" builtinId="9" hidden="1"/>
    <cellStyle name="Lien hypertexte visité" xfId="22964" builtinId="9" hidden="1"/>
    <cellStyle name="Lien hypertexte visité" xfId="15621" builtinId="9" hidden="1"/>
    <cellStyle name="Lien hypertexte visité" xfId="12860" builtinId="9" hidden="1"/>
    <cellStyle name="Lien hypertexte visité" xfId="10300" builtinId="9" hidden="1"/>
    <cellStyle name="Lien hypertexte visité" xfId="6715" builtinId="9" hidden="1"/>
    <cellStyle name="Lien hypertexte visité" xfId="4155" builtinId="9" hidden="1"/>
    <cellStyle name="Lien hypertexte visité" xfId="1941" builtinId="9" hidden="1"/>
    <cellStyle name="Lien hypertexte visité" xfId="1769" builtinId="9" hidden="1"/>
    <cellStyle name="Lien hypertexte visité" xfId="5359" builtinId="9" hidden="1"/>
    <cellStyle name="Lien hypertexte visité" xfId="7920" builtinId="9" hidden="1"/>
    <cellStyle name="Lien hypertexte visité" xfId="1095" builtinId="9" hidden="1"/>
    <cellStyle name="Lien hypertexte visité" xfId="3563" builtinId="9" hidden="1"/>
    <cellStyle name="Lien hypertexte visité" xfId="5232" builtinId="9" hidden="1"/>
    <cellStyle name="Lien hypertexte visité" xfId="6936" builtinId="9" hidden="1"/>
    <cellStyle name="Lien hypertexte visité" xfId="8409" builtinId="9" hidden="1"/>
    <cellStyle name="Lien hypertexte visité" xfId="10865" builtinId="9" hidden="1"/>
    <cellStyle name="Lien hypertexte visité" xfId="12505" builtinId="9" hidden="1"/>
    <cellStyle name="Lien hypertexte visité" xfId="14209" builtinId="9" hidden="1"/>
    <cellStyle name="Lien hypertexte visité" xfId="18670" builtinId="9" hidden="1"/>
    <cellStyle name="Lien hypertexte visité" xfId="21742" builtinId="9" hidden="1"/>
    <cellStyle name="Lien hypertexte visité" xfId="24204" builtinId="9" hidden="1"/>
    <cellStyle name="Lien hypertexte visité" xfId="20780" builtinId="9" hidden="1"/>
    <cellStyle name="Lien hypertexte visité" xfId="16029" builtinId="9" hidden="1"/>
    <cellStyle name="Lien hypertexte visité" xfId="13736" builtinId="9" hidden="1"/>
    <cellStyle name="Lien hypertexte visité" xfId="12072" builtinId="9" hidden="1"/>
    <cellStyle name="Lien hypertexte visité" xfId="9640" builtinId="9" hidden="1"/>
    <cellStyle name="Lien hypertexte visité" xfId="11488" builtinId="9" hidden="1"/>
    <cellStyle name="Lien hypertexte visité" xfId="17677" builtinId="9" hidden="1"/>
    <cellStyle name="Lien hypertexte visité" xfId="21710" builtinId="9" hidden="1"/>
    <cellStyle name="Lien hypertexte visité" xfId="10761" builtinId="9" hidden="1"/>
    <cellStyle name="Lien hypertexte visité" xfId="8009" builtinId="9" hidden="1"/>
    <cellStyle name="Lien hypertexte visité" xfId="20092" builtinId="9" hidden="1"/>
    <cellStyle name="Lien hypertexte visité" xfId="13368" builtinId="9" hidden="1"/>
    <cellStyle name="Lien hypertexte visité" xfId="22108" builtinId="9" hidden="1"/>
    <cellStyle name="Lien hypertexte visité" xfId="17231" builtinId="9" hidden="1"/>
    <cellStyle name="Lien hypertexte visité" xfId="11265" builtinId="9" hidden="1"/>
    <cellStyle name="Lien hypertexte visité" xfId="3928" builtinId="9" hidden="1"/>
    <cellStyle name="Lien hypertexte visité" xfId="6927" builtinId="9" hidden="1"/>
    <cellStyle name="Lien hypertexte visité" xfId="1653" builtinId="9" hidden="1"/>
    <cellStyle name="Lien hypertexte visité" xfId="12668" builtinId="9" hidden="1"/>
    <cellStyle name="Lien hypertexte visité" xfId="24598" builtinId="9" hidden="1"/>
    <cellStyle name="Lien hypertexte visité" xfId="12141" builtinId="9" hidden="1"/>
    <cellStyle name="Lien hypertexte visité" xfId="23062" builtinId="9" hidden="1"/>
    <cellStyle name="Lien hypertexte visité" xfId="3410" builtinId="9" hidden="1"/>
    <cellStyle name="Lien hypertexte visité" xfId="19614" builtinId="9" hidden="1"/>
    <cellStyle name="Lien hypertexte visité" xfId="14240" builtinId="9" hidden="1"/>
    <cellStyle name="Lien hypertexte visité" xfId="19708" builtinId="9" hidden="1"/>
    <cellStyle name="Lien hypertexte visité" xfId="11112" builtinId="9" hidden="1"/>
    <cellStyle name="Lien hypertexte visité" xfId="16797" builtinId="9" hidden="1"/>
    <cellStyle name="Lien hypertexte visité" xfId="22430" builtinId="9" hidden="1"/>
    <cellStyle name="Lien hypertexte visité" xfId="11201" builtinId="9" hidden="1"/>
    <cellStyle name="Lien hypertexte visité" xfId="6192" builtinId="9" hidden="1"/>
    <cellStyle name="Lien hypertexte visité" xfId="1642" builtinId="9" hidden="1"/>
    <cellStyle name="Lien hypertexte visité" xfId="1172" builtinId="9" hidden="1"/>
    <cellStyle name="Lien hypertexte visité" xfId="8668" builtinId="9" hidden="1"/>
    <cellStyle name="Lien hypertexte visité" xfId="17861" builtinId="9" hidden="1"/>
    <cellStyle name="Lien hypertexte visité" xfId="17767" builtinId="9" hidden="1"/>
    <cellStyle name="Lien hypertexte visité" xfId="5196" builtinId="9" hidden="1"/>
    <cellStyle name="Lien hypertexte visité" xfId="3448" builtinId="9" hidden="1"/>
    <cellStyle name="Lien hypertexte visité" xfId="10975" builtinId="9" hidden="1"/>
    <cellStyle name="Lien hypertexte visité" xfId="7418" builtinId="9" hidden="1"/>
    <cellStyle name="Lien hypertexte visité" xfId="1556" builtinId="9" hidden="1"/>
    <cellStyle name="Lien hypertexte visité" xfId="13899" builtinId="9" hidden="1"/>
    <cellStyle name="Lien hypertexte visité" xfId="10019" builtinId="9" hidden="1"/>
    <cellStyle name="Lien hypertexte visité" xfId="5322" builtinId="9" hidden="1"/>
    <cellStyle name="Lien hypertexte visité" xfId="6184" builtinId="9" hidden="1"/>
    <cellStyle name="Lien hypertexte visité" xfId="10432" builtinId="9" hidden="1"/>
    <cellStyle name="Lien hypertexte visité" xfId="23964" builtinId="9" hidden="1"/>
    <cellStyle name="Lien hypertexte visité" xfId="12385" builtinId="9" hidden="1"/>
    <cellStyle name="Lien hypertexte visité" xfId="5560" builtinId="9" hidden="1"/>
    <cellStyle name="Lien hypertexte visité" xfId="5535" builtinId="9" hidden="1"/>
    <cellStyle name="Lien hypertexte visité" xfId="12012" builtinId="9" hidden="1"/>
    <cellStyle name="Lien hypertexte visité" xfId="17223" builtinId="9" hidden="1"/>
    <cellStyle name="Lien hypertexte visité" xfId="7583" builtinId="9" hidden="1"/>
    <cellStyle name="Lien hypertexte visité" xfId="14541" builtinId="9" hidden="1"/>
    <cellStyle name="Lien hypertexte visité" xfId="11083" builtinId="9" hidden="1"/>
    <cellStyle name="Lien hypertexte visité" xfId="5658" builtinId="9" hidden="1"/>
    <cellStyle name="Lien hypertexte visité" xfId="2104" builtinId="9" hidden="1"/>
    <cellStyle name="Lien hypertexte visité" xfId="7323" builtinId="9" hidden="1"/>
    <cellStyle name="Lien hypertexte visité" xfId="4824" builtinId="9" hidden="1"/>
    <cellStyle name="Lien hypertexte visité" xfId="24254" builtinId="9" hidden="1"/>
    <cellStyle name="Lien hypertexte visité" xfId="9784" builtinId="9" hidden="1"/>
    <cellStyle name="Lien hypertexte visité" xfId="14204" builtinId="9" hidden="1"/>
    <cellStyle name="Lien hypertexte visité" xfId="14917" builtinId="9" hidden="1"/>
    <cellStyle name="Lien hypertexte visité" xfId="8208" builtinId="9" hidden="1"/>
    <cellStyle name="Lien hypertexte visité" xfId="20396" builtinId="9" hidden="1"/>
    <cellStyle name="Lien hypertexte visité" xfId="12105" builtinId="9" hidden="1"/>
    <cellStyle name="Lien hypertexte visité" xfId="23374" builtinId="9" hidden="1"/>
    <cellStyle name="Lien hypertexte visité" xfId="12368" builtinId="9" hidden="1"/>
    <cellStyle name="Lien hypertexte visité" xfId="19852" builtinId="9" hidden="1"/>
    <cellStyle name="Lien hypertexte visité" xfId="19566" builtinId="9" hidden="1"/>
    <cellStyle name="Lien hypertexte visité" xfId="12225" builtinId="9" hidden="1"/>
    <cellStyle name="Lien hypertexte visité" xfId="4928" builtinId="9" hidden="1"/>
    <cellStyle name="Lien hypertexte visité" xfId="8624" builtinId="9" hidden="1"/>
    <cellStyle name="Lien hypertexte visité" xfId="1256" builtinId="9" hidden="1"/>
    <cellStyle name="Lien hypertexte visité" xfId="10812" builtinId="9" hidden="1"/>
    <cellStyle name="Lien hypertexte visité" xfId="21620" builtinId="9" hidden="1"/>
    <cellStyle name="Lien hypertexte visité" xfId="13837" builtinId="9" hidden="1"/>
    <cellStyle name="Lien hypertexte visité" xfId="6476" builtinId="9" hidden="1"/>
    <cellStyle name="Lien hypertexte visité" xfId="5598" builtinId="9" hidden="1"/>
    <cellStyle name="Lien hypertexte visité" xfId="12863" builtinId="9" hidden="1"/>
    <cellStyle name="Lien hypertexte visité" xfId="8955" builtinId="9" hidden="1"/>
    <cellStyle name="Lien hypertexte visité" xfId="12827" builtinId="9" hidden="1"/>
    <cellStyle name="Lien hypertexte visité" xfId="14675" builtinId="9" hidden="1"/>
    <cellStyle name="Lien hypertexte visité" xfId="10947" builtinId="9" hidden="1"/>
    <cellStyle name="Lien hypertexte visité" xfId="3789" builtinId="9" hidden="1"/>
    <cellStyle name="Lien hypertexte visité" xfId="13097" builtinId="9" hidden="1"/>
    <cellStyle name="Lien hypertexte visité" xfId="10456" builtinId="9" hidden="1"/>
    <cellStyle name="Lien hypertexte visité" xfId="20892" builtinId="9" hidden="1"/>
    <cellStyle name="Lien hypertexte visité" xfId="10513" builtinId="9" hidden="1"/>
    <cellStyle name="Lien hypertexte visité" xfId="3250" builtinId="9" hidden="1"/>
    <cellStyle name="Lien hypertexte visité" xfId="2329" builtinId="9" hidden="1"/>
    <cellStyle name="Lien hypertexte visité" xfId="9708" builtinId="9" hidden="1"/>
    <cellStyle name="Lien hypertexte visité" xfId="13053" builtinId="9" hidden="1"/>
    <cellStyle name="Lien hypertexte visité" xfId="2166" builtinId="9" hidden="1"/>
    <cellStyle name="Lien hypertexte visité" xfId="9999" builtinId="9" hidden="1"/>
    <cellStyle name="Lien hypertexte visité" xfId="15881" builtinId="9" hidden="1"/>
    <cellStyle name="Lien hypertexte visité" xfId="18858" builtinId="9" hidden="1"/>
    <cellStyle name="Lien hypertexte visité" xfId="5181" builtinId="9" hidden="1"/>
    <cellStyle name="Lien hypertexte visité" xfId="2047" builtinId="9" hidden="1"/>
    <cellStyle name="Lien hypertexte visité" xfId="4173" builtinId="9" hidden="1"/>
    <cellStyle name="Lien hypertexte visité" xfId="1303" builtinId="9" hidden="1"/>
    <cellStyle name="Lien hypertexte visité" xfId="4549" builtinId="9" hidden="1"/>
    <cellStyle name="Lien hypertexte visité" xfId="24554" builtinId="9" hidden="1"/>
    <cellStyle name="Lien hypertexte visité" xfId="13350" builtinId="9" hidden="1"/>
    <cellStyle name="Lien hypertexte visité" xfId="22906" builtinId="9" hidden="1"/>
    <cellStyle name="Lien hypertexte visité" xfId="1627" builtinId="9" hidden="1"/>
    <cellStyle name="Lien hypertexte visité" xfId="2799" builtinId="9" hidden="1"/>
    <cellStyle name="Lien hypertexte visité" xfId="4657" builtinId="9" hidden="1"/>
    <cellStyle name="Lien hypertexte visité" xfId="7765" builtinId="9" hidden="1"/>
    <cellStyle name="Lien hypertexte visité" xfId="825" builtinId="9" hidden="1"/>
    <cellStyle name="Lien hypertexte visité" xfId="9342" builtinId="9" hidden="1"/>
    <cellStyle name="Lien hypertexte visité" xfId="16625" builtinId="9" hidden="1"/>
    <cellStyle name="Lien hypertexte visité" xfId="20114" builtinId="9" hidden="1"/>
    <cellStyle name="Lien hypertexte visité" xfId="6453" builtinId="9" hidden="1"/>
    <cellStyle name="Lien hypertexte visité" xfId="11501" builtinId="9" hidden="1"/>
    <cellStyle name="Lien hypertexte visité" xfId="6287" builtinId="9" hidden="1"/>
    <cellStyle name="Lien hypertexte visité" xfId="11936" builtinId="9" hidden="1"/>
    <cellStyle name="Lien hypertexte visité" xfId="21244" builtinId="9" hidden="1"/>
    <cellStyle name="Lien hypertexte visité" xfId="13136" builtinId="9" hidden="1"/>
    <cellStyle name="Lien hypertexte visité" xfId="22942" builtinId="9" hidden="1"/>
    <cellStyle name="Lien hypertexte visité" xfId="7809" builtinId="9" hidden="1"/>
    <cellStyle name="Lien hypertexte visité" xfId="97" builtinId="9" hidden="1"/>
    <cellStyle name="Lien hypertexte visité" xfId="2837" builtinId="9" hidden="1"/>
    <cellStyle name="Lien hypertexte visité" xfId="23924" builtinId="9" hidden="1"/>
    <cellStyle name="Lien hypertexte visité" xfId="9005" builtinId="9" hidden="1"/>
    <cellStyle name="Lien hypertexte visité" xfId="3064" builtinId="9" hidden="1"/>
    <cellStyle name="Lien hypertexte visité" xfId="14015" builtinId="9" hidden="1"/>
    <cellStyle name="Lien hypertexte visité" xfId="6242" builtinId="9" hidden="1"/>
    <cellStyle name="Lien hypertexte visité" xfId="15699" builtinId="9" hidden="1"/>
    <cellStyle name="Lien hypertexte visité" xfId="3236" builtinId="9" hidden="1"/>
    <cellStyle name="Lien hypertexte visité" xfId="11584" builtinId="9" hidden="1"/>
    <cellStyle name="Lien hypertexte visité" xfId="23196" builtinId="9" hidden="1"/>
    <cellStyle name="Lien hypertexte visité" xfId="9361" builtinId="9" hidden="1"/>
    <cellStyle name="Lien hypertexte visité" xfId="6111" builtinId="9" hidden="1"/>
    <cellStyle name="Lien hypertexte visité" xfId="24502" builtinId="9" hidden="1"/>
    <cellStyle name="Lien hypertexte visité" xfId="3126" builtinId="9" hidden="1"/>
    <cellStyle name="Lien hypertexte visité" xfId="14415" builtinId="9" hidden="1"/>
    <cellStyle name="Lien hypertexte visité" xfId="19514" builtinId="9" hidden="1"/>
    <cellStyle name="Lien hypertexte visité" xfId="2659" builtinId="9" hidden="1"/>
    <cellStyle name="Lien hypertexte visité" xfId="6329" builtinId="9" hidden="1"/>
    <cellStyle name="Lien hypertexte visité" xfId="9717" builtinId="9" hidden="1"/>
    <cellStyle name="Lien hypertexte visité" xfId="7831" builtinId="9" hidden="1"/>
    <cellStyle name="Lien hypertexte visité" xfId="10114" builtinId="9" hidden="1"/>
    <cellStyle name="Lien hypertexte visité" xfId="20264" builtinId="9" hidden="1"/>
    <cellStyle name="Lien hypertexte visité" xfId="21402" builtinId="9" hidden="1"/>
    <cellStyle name="Lien hypertexte visité" xfId="6694" builtinId="9" hidden="1"/>
    <cellStyle name="Lien hypertexte visité" xfId="8148" builtinId="9" hidden="1"/>
    <cellStyle name="Lien hypertexte visité" xfId="20484" builtinId="9" hidden="1"/>
    <cellStyle name="Lien hypertexte visité" xfId="4643" builtinId="9" hidden="1"/>
    <cellStyle name="Lien hypertexte visité" xfId="7976" builtinId="9" hidden="1"/>
    <cellStyle name="Lien hypertexte visité" xfId="1949" builtinId="9" hidden="1"/>
    <cellStyle name="Lien hypertexte visité" xfId="14773" builtinId="9" hidden="1"/>
    <cellStyle name="Lien hypertexte visité" xfId="5283" builtinId="9" hidden="1"/>
    <cellStyle name="Lien hypertexte visité" xfId="5183" builtinId="9" hidden="1"/>
    <cellStyle name="Lien hypertexte visité" xfId="12753" builtinId="9" hidden="1"/>
    <cellStyle name="Lien hypertexte visité" xfId="16447" builtinId="9" hidden="1"/>
    <cellStyle name="Lien hypertexte visité" xfId="19934" builtinId="9" hidden="1"/>
    <cellStyle name="Lien hypertexte visité" xfId="23422" builtinId="9" hidden="1"/>
    <cellStyle name="Lien hypertexte visité" xfId="20332" builtinId="9" hidden="1"/>
    <cellStyle name="Lien hypertexte visité" xfId="16861" builtinId="9" hidden="1"/>
    <cellStyle name="Lien hypertexte visité" xfId="13936" builtinId="9" hidden="1"/>
    <cellStyle name="Lien hypertexte visité" xfId="12184" builtinId="9" hidden="1"/>
    <cellStyle name="Lien hypertexte visité" xfId="9456" builtinId="9" hidden="1"/>
    <cellStyle name="Lien hypertexte visité" xfId="12288" builtinId="9" hidden="1"/>
    <cellStyle name="Lien hypertexte visité" xfId="20796" builtinId="9" hidden="1"/>
    <cellStyle name="Lien hypertexte visité" xfId="13289" builtinId="9" hidden="1"/>
    <cellStyle name="Lien hypertexte visité" xfId="8041" builtinId="9" hidden="1"/>
    <cellStyle name="Lien hypertexte visité" xfId="2786" builtinId="9" hidden="1"/>
    <cellStyle name="Lien hypertexte visité" xfId="8707" builtinId="9" hidden="1"/>
    <cellStyle name="Lien hypertexte visité" xfId="6362" builtinId="9" hidden="1"/>
    <cellStyle name="Lien hypertexte visité" xfId="4866" builtinId="9" hidden="1"/>
    <cellStyle name="Lien hypertexte visité" xfId="3364" builtinId="9" hidden="1"/>
    <cellStyle name="Lien hypertexte visité" xfId="613" builtinId="9" hidden="1"/>
    <cellStyle name="Lien hypertexte visité" xfId="9484" builtinId="9" hidden="1"/>
    <cellStyle name="Lien hypertexte visité" xfId="22868" builtinId="9" hidden="1"/>
    <cellStyle name="Lien hypertexte visité" xfId="11229" builtinId="9" hidden="1"/>
    <cellStyle name="Lien hypertexte visité" xfId="4270" builtinId="9" hidden="1"/>
    <cellStyle name="Lien hypertexte visité" xfId="13487" builtinId="9" hidden="1"/>
    <cellStyle name="Lien hypertexte visité" xfId="12742" builtinId="9" hidden="1"/>
    <cellStyle name="Lien hypertexte visité" xfId="19154" builtinId="9" hidden="1"/>
    <cellStyle name="Lien hypertexte visité" xfId="4101" builtinId="9" hidden="1"/>
    <cellStyle name="Lien hypertexte visité" xfId="2711" builtinId="9" hidden="1"/>
    <cellStyle name="Lien hypertexte visité" xfId="3099" builtinId="9" hidden="1"/>
    <cellStyle name="Lien hypertexte visité" xfId="17079" builtinId="9" hidden="1"/>
    <cellStyle name="Lien hypertexte visité" xfId="9653" builtinId="9" hidden="1"/>
    <cellStyle name="Lien hypertexte visité" xfId="2814" builtinId="9" hidden="1"/>
    <cellStyle name="Lien hypertexte visité" xfId="7222" builtinId="9" hidden="1"/>
    <cellStyle name="Lien hypertexte visité" xfId="13367" builtinId="9" hidden="1"/>
    <cellStyle name="Lien hypertexte visité" xfId="11062" builtinId="9" hidden="1"/>
    <cellStyle name="Lien hypertexte visité" xfId="15801" builtinId="9" hidden="1"/>
    <cellStyle name="Lien hypertexte visité" xfId="21602" builtinId="9" hidden="1"/>
    <cellStyle name="Lien hypertexte visité" xfId="17537" builtinId="9" hidden="1"/>
    <cellStyle name="Lien hypertexte visité" xfId="24370" builtinId="9" hidden="1"/>
    <cellStyle name="Lien hypertexte visité" xfId="6502" builtinId="9" hidden="1"/>
    <cellStyle name="Lien hypertexte visité" xfId="943" builtinId="9" hidden="1"/>
    <cellStyle name="Lien hypertexte visité" xfId="6246" builtinId="9" hidden="1"/>
    <cellStyle name="Lien hypertexte visité" xfId="12391" builtinId="9" hidden="1"/>
    <cellStyle name="Lien hypertexte visité" xfId="12270" builtinId="9" hidden="1"/>
    <cellStyle name="Lien hypertexte visité" xfId="18217" builtinId="9" hidden="1"/>
    <cellStyle name="Lien hypertexte visité" xfId="22834" builtinId="9" hidden="1"/>
    <cellStyle name="Lien hypertexte visité" xfId="12602" builtinId="9" hidden="1"/>
    <cellStyle name="Lien hypertexte visité" xfId="15361" builtinId="9" hidden="1"/>
    <cellStyle name="Lien hypertexte visité" xfId="23536" builtinId="9" hidden="1"/>
    <cellStyle name="Lien hypertexte visité" xfId="17515" builtinId="9" hidden="1"/>
    <cellStyle name="Lien hypertexte visité" xfId="21490" builtinId="9" hidden="1"/>
    <cellStyle name="Lien hypertexte visité" xfId="24226" builtinId="9" hidden="1"/>
    <cellStyle name="Lien hypertexte visité" xfId="22272" builtinId="9" hidden="1"/>
    <cellStyle name="Lien hypertexte visité" xfId="18025" builtinId="9" hidden="1"/>
    <cellStyle name="Lien hypertexte visité" xfId="15289" builtinId="9" hidden="1"/>
    <cellStyle name="Lien hypertexte visité" xfId="13538" builtinId="9" hidden="1"/>
    <cellStyle name="Lien hypertexte visité" xfId="12174" builtinId="9" hidden="1"/>
    <cellStyle name="Lien hypertexte visité" xfId="10070" builtinId="9" hidden="1"/>
    <cellStyle name="Lien hypertexte visité" xfId="8706" builtinId="9" hidden="1"/>
    <cellStyle name="Lien hypertexte visité" xfId="14683" builtinId="9" hidden="1"/>
    <cellStyle name="Lien hypertexte visité" xfId="11399" builtinId="9" hidden="1"/>
    <cellStyle name="Lien hypertexte visité" xfId="9351" builtinId="9" hidden="1"/>
    <cellStyle name="Lien hypertexte visité" xfId="7302" builtinId="9" hidden="1"/>
    <cellStyle name="Lien hypertexte visité" xfId="5254" builtinId="9" hidden="1"/>
    <cellStyle name="Lien hypertexte visité" xfId="2048" builtinId="9" hidden="1"/>
    <cellStyle name="Lien hypertexte visité" xfId="1135" builtinId="9" hidden="1"/>
    <cellStyle name="Lien hypertexte visité" xfId="3198" builtinId="9" hidden="1"/>
    <cellStyle name="Lien hypertexte visité" xfId="6356" builtinId="9" hidden="1"/>
    <cellStyle name="Lien hypertexte visité" xfId="8405" builtinId="9" hidden="1"/>
    <cellStyle name="Lien hypertexte visité" xfId="10453" builtinId="9" hidden="1"/>
    <cellStyle name="Lien hypertexte visité" xfId="12501" builtinId="9" hidden="1"/>
    <cellStyle name="Lien hypertexte visité" xfId="16887" builtinId="9" hidden="1"/>
    <cellStyle name="Lien hypertexte visité" xfId="8442" builtinId="9" hidden="1"/>
    <cellStyle name="Lien hypertexte visité" xfId="5617" builtinId="9" hidden="1"/>
    <cellStyle name="Lien hypertexte visité" xfId="7209" builtinId="9" hidden="1"/>
    <cellStyle name="Lien hypertexte visité" xfId="3407" builtinId="9" hidden="1"/>
    <cellStyle name="Lien hypertexte visité" xfId="1234" builtinId="9" hidden="1"/>
    <cellStyle name="Lien hypertexte visité" xfId="1799" builtinId="9" hidden="1"/>
    <cellStyle name="Lien hypertexte visité" xfId="5001" builtinId="9" hidden="1"/>
    <cellStyle name="Lien hypertexte visité" xfId="6917" builtinId="9" hidden="1"/>
    <cellStyle name="Lien hypertexte visité" xfId="19780" builtinId="9" hidden="1"/>
    <cellStyle name="Lien hypertexte visité" xfId="3217" builtinId="9" hidden="1"/>
    <cellStyle name="Lien hypertexte visité" xfId="3878" builtinId="9" hidden="1"/>
    <cellStyle name="Lien hypertexte visité" xfId="22372" builtinId="9" hidden="1"/>
    <cellStyle name="Lien hypertexte visité" xfId="5859" builtinId="9" hidden="1"/>
    <cellStyle name="Lien hypertexte visité" xfId="2105" builtinId="9" hidden="1"/>
    <cellStyle name="Lien hypertexte visité" xfId="11698" builtinId="9" hidden="1"/>
    <cellStyle name="Lien hypertexte visité" xfId="21444" builtinId="9" hidden="1"/>
    <cellStyle name="Lien hypertexte visité" xfId="7315" builtinId="9" hidden="1"/>
    <cellStyle name="Lien hypertexte visité" xfId="14247" builtinId="9" hidden="1"/>
    <cellStyle name="Lien hypertexte visité" xfId="17985" builtinId="9" hidden="1"/>
    <cellStyle name="Lien hypertexte visité" xfId="19968" builtinId="9" hidden="1"/>
    <cellStyle name="Lien hypertexte visité" xfId="8950" builtinId="9" hidden="1"/>
    <cellStyle name="Lien hypertexte visité" xfId="4550" builtinId="9" hidden="1"/>
    <cellStyle name="Lien hypertexte visité" xfId="9157" builtinId="9" hidden="1"/>
    <cellStyle name="Lien hypertexte visité" xfId="14274" builtinId="9" hidden="1"/>
    <cellStyle name="Lien hypertexte visité" xfId="3057" builtinId="9" hidden="1"/>
    <cellStyle name="Lien hypertexte visité" xfId="5431" builtinId="9" hidden="1"/>
    <cellStyle name="Lien hypertexte visité" xfId="18261" builtinId="9" hidden="1"/>
    <cellStyle name="Lien hypertexte visité" xfId="21412" builtinId="9" hidden="1"/>
    <cellStyle name="Lien hypertexte visité" xfId="909" builtinId="9" hidden="1"/>
    <cellStyle name="Lien hypertexte visité" xfId="5683" builtinId="9" hidden="1"/>
    <cellStyle name="Lien hypertexte visité" xfId="7795" builtinId="9" hidden="1"/>
    <cellStyle name="Lien hypertexte visité" xfId="8468" builtinId="9" hidden="1"/>
    <cellStyle name="Lien hypertexte visité" xfId="23430" builtinId="9" hidden="1"/>
    <cellStyle name="Lien hypertexte visité" xfId="21926" builtinId="9" hidden="1"/>
    <cellStyle name="Lien hypertexte visité" xfId="4051" builtinId="9" hidden="1"/>
    <cellStyle name="Lien hypertexte visité" xfId="7944" builtinId="9" hidden="1"/>
    <cellStyle name="Lien hypertexte visité" xfId="10532" builtinId="9" hidden="1"/>
    <cellStyle name="Lien hypertexte visité" xfId="11973" builtinId="9" hidden="1"/>
    <cellStyle name="Lien hypertexte visité" xfId="1648" builtinId="9" hidden="1"/>
    <cellStyle name="Lien hypertexte visité" xfId="14199" builtinId="9" hidden="1"/>
    <cellStyle name="Lien hypertexte visité" xfId="16233" builtinId="9" hidden="1"/>
    <cellStyle name="Lien hypertexte visité" xfId="19994" builtinId="9" hidden="1"/>
    <cellStyle name="Lien hypertexte visité" xfId="12738" builtinId="9" hidden="1"/>
    <cellStyle name="Lien hypertexte visité" xfId="17175" builtinId="9" hidden="1"/>
    <cellStyle name="Lien hypertexte visité" xfId="16629" builtinId="9" hidden="1"/>
    <cellStyle name="Lien hypertexte visité" xfId="20562" builtinId="9" hidden="1"/>
    <cellStyle name="Lien hypertexte visité" xfId="8428" builtinId="9" hidden="1"/>
    <cellStyle name="Lien hypertexte visité" xfId="20668" builtinId="9" hidden="1"/>
    <cellStyle name="Lien hypertexte visité" xfId="6538" builtinId="9" hidden="1"/>
    <cellStyle name="Lien hypertexte visité" xfId="19892" builtinId="9" hidden="1"/>
    <cellStyle name="Lien hypertexte visité" xfId="12785" builtinId="9" hidden="1"/>
    <cellStyle name="Lien hypertexte visité" xfId="11832" builtinId="9" hidden="1"/>
    <cellStyle name="Lien hypertexte visité" xfId="13692" builtinId="9" hidden="1"/>
    <cellStyle name="Lien hypertexte visité" xfId="15871" builtinId="9" hidden="1"/>
    <cellStyle name="Lien hypertexte visité" xfId="12297" builtinId="9" hidden="1"/>
    <cellStyle name="Lien hypertexte visité" xfId="12584" builtinId="9" hidden="1"/>
    <cellStyle name="Lien hypertexte visité" xfId="19134" builtinId="9" hidden="1"/>
    <cellStyle name="Lien hypertexte visité" xfId="7152" builtinId="9" hidden="1"/>
    <cellStyle name="Lien hypertexte visité" xfId="4591" builtinId="9" hidden="1"/>
    <cellStyle name="Lien hypertexte visité" xfId="11164" builtinId="9" hidden="1"/>
    <cellStyle name="Lien hypertexte visité" xfId="13485" builtinId="9" hidden="1"/>
    <cellStyle name="Lien hypertexte visité" xfId="2264" builtinId="9" hidden="1"/>
    <cellStyle name="Lien hypertexte visité" xfId="8850" builtinId="9" hidden="1"/>
    <cellStyle name="Lien hypertexte visité" xfId="12555" builtinId="9" hidden="1"/>
    <cellStyle name="Lien hypertexte visité" xfId="11219" builtinId="9" hidden="1"/>
    <cellStyle name="Lien hypertexte visité" xfId="3362" builtinId="9" hidden="1"/>
    <cellStyle name="Lien hypertexte visité" xfId="14384" builtinId="9" hidden="1"/>
    <cellStyle name="Lien hypertexte visité" xfId="10169" builtinId="9" hidden="1"/>
    <cellStyle name="Lien hypertexte visité" xfId="1817" builtinId="9" hidden="1"/>
    <cellStyle name="Lien hypertexte visité" xfId="21558" builtinId="9" hidden="1"/>
    <cellStyle name="Lien hypertexte visité" xfId="5006" builtinId="9" hidden="1"/>
    <cellStyle name="Lien hypertexte visité" xfId="16561" builtinId="9" hidden="1"/>
    <cellStyle name="Lien hypertexte visité" xfId="5473" builtinId="9" hidden="1"/>
    <cellStyle name="Lien hypertexte visité" xfId="7025" builtinId="9" hidden="1"/>
    <cellStyle name="Lien hypertexte visité" xfId="6965" builtinId="9" hidden="1"/>
    <cellStyle name="Lien hypertexte visité" xfId="24072" builtinId="9" hidden="1"/>
    <cellStyle name="Lien hypertexte visité" xfId="14282" builtinId="9" hidden="1"/>
    <cellStyle name="Lien hypertexte visité" xfId="7289" builtinId="9" hidden="1"/>
    <cellStyle name="Lien hypertexte visité" xfId="2287" builtinId="9" hidden="1"/>
    <cellStyle name="Lien hypertexte visité" xfId="1338" builtinId="9" hidden="1"/>
    <cellStyle name="Lien hypertexte visité" xfId="17225" builtinId="9" hidden="1"/>
    <cellStyle name="Lien hypertexte visité" xfId="4021" builtinId="9" hidden="1"/>
    <cellStyle name="Lien hypertexte visité" xfId="9724" builtinId="9" hidden="1"/>
    <cellStyle name="Lien hypertexte visité" xfId="15501" builtinId="9" hidden="1"/>
    <cellStyle name="Lien hypertexte visité" xfId="13480" builtinId="9" hidden="1"/>
    <cellStyle name="Lien hypertexte visité" xfId="11121" builtinId="9" hidden="1"/>
    <cellStyle name="Lien hypertexte visité" xfId="3273" builtinId="9" hidden="1"/>
    <cellStyle name="Lien hypertexte visité" xfId="24278" builtinId="9" hidden="1"/>
    <cellStyle name="Lien hypertexte visité" xfId="3577" builtinId="9" hidden="1"/>
    <cellStyle name="Lien hypertexte visité" xfId="4378" builtinId="9" hidden="1"/>
    <cellStyle name="Lien hypertexte visité" xfId="12275" builtinId="9" hidden="1"/>
    <cellStyle name="Lien hypertexte visité" xfId="10048" builtinId="9" hidden="1"/>
    <cellStyle name="Lien hypertexte visité" xfId="8849" builtinId="9" hidden="1"/>
    <cellStyle name="Lien hypertexte visité" xfId="12204" builtinId="9" hidden="1"/>
    <cellStyle name="Lien hypertexte visité" xfId="6990" builtinId="9" hidden="1"/>
    <cellStyle name="Lien hypertexte visité" xfId="22586" builtinId="9" hidden="1"/>
    <cellStyle name="Lien hypertexte visité" xfId="5889" builtinId="9" hidden="1"/>
    <cellStyle name="Lien hypertexte visité" xfId="2880" builtinId="9" hidden="1"/>
    <cellStyle name="Lien hypertexte visité" xfId="14094" builtinId="9" hidden="1"/>
    <cellStyle name="Lien hypertexte visité" xfId="17987" builtinId="9" hidden="1"/>
    <cellStyle name="Lien hypertexte visité" xfId="8596" builtinId="9" hidden="1"/>
    <cellStyle name="Lien hypertexte visité" xfId="201" builtinId="9" hidden="1"/>
    <cellStyle name="Lien hypertexte visité" xfId="5671" builtinId="9" hidden="1"/>
    <cellStyle name="Lien hypertexte visité" xfId="14196" builtinId="9" hidden="1"/>
    <cellStyle name="Lien hypertexte visité" xfId="4671" builtinId="9" hidden="1"/>
    <cellStyle name="Lien hypertexte visité" xfId="22100" builtinId="9" hidden="1"/>
    <cellStyle name="Lien hypertexte visité" xfId="2152" builtinId="9" hidden="1"/>
    <cellStyle name="Lien hypertexte visité" xfId="13638" builtinId="9" hidden="1"/>
    <cellStyle name="Lien hypertexte visité" xfId="8362" builtinId="9" hidden="1"/>
    <cellStyle name="Lien hypertexte visité" xfId="5161" builtinId="9" hidden="1"/>
    <cellStyle name="Lien hypertexte visité" xfId="8757" builtinId="9" hidden="1"/>
    <cellStyle name="Lien hypertexte visité" xfId="6966" builtinId="9" hidden="1"/>
    <cellStyle name="Lien hypertexte visité" xfId="11950" builtinId="9" hidden="1"/>
    <cellStyle name="Lien hypertexte visité" xfId="20402" builtinId="9" hidden="1"/>
    <cellStyle name="Lien hypertexte visité" xfId="14969" builtinId="9" hidden="1"/>
    <cellStyle name="Lien hypertexte visité" xfId="24496" builtinId="9" hidden="1"/>
    <cellStyle name="Lien hypertexte visité" xfId="2096" builtinId="9" hidden="1"/>
    <cellStyle name="Lien hypertexte visité" xfId="17867" builtinId="9" hidden="1"/>
    <cellStyle name="Lien hypertexte visité" xfId="11020" builtinId="9" hidden="1"/>
    <cellStyle name="Lien hypertexte visité" xfId="1890" builtinId="9" hidden="1"/>
    <cellStyle name="Lien hypertexte visité" xfId="11888" builtinId="9" hidden="1"/>
    <cellStyle name="Lien hypertexte visité" xfId="15087" builtinId="9" hidden="1"/>
    <cellStyle name="Lien hypertexte visité" xfId="2458" builtinId="9" hidden="1"/>
    <cellStyle name="Lien hypertexte visité" xfId="15891" builtinId="9" hidden="1"/>
    <cellStyle name="Lien hypertexte visité" xfId="1900" builtinId="9" hidden="1"/>
    <cellStyle name="Lien hypertexte visité" xfId="7546" builtinId="9" hidden="1"/>
    <cellStyle name="Lien hypertexte visité" xfId="363" builtinId="9" hidden="1"/>
    <cellStyle name="Lien hypertexte visité" xfId="3372" builtinId="9" hidden="1"/>
    <cellStyle name="Lien hypertexte visité" xfId="13939" builtinId="9" hidden="1"/>
    <cellStyle name="Lien hypertexte visité" xfId="10368" builtinId="9" hidden="1"/>
    <cellStyle name="Lien hypertexte visité" xfId="10745" builtinId="9" hidden="1"/>
    <cellStyle name="Lien hypertexte visité" xfId="17373" builtinId="9" hidden="1"/>
    <cellStyle name="Lien hypertexte visité" xfId="14057" builtinId="9" hidden="1"/>
    <cellStyle name="Lien hypertexte visité" xfId="1946" builtinId="9" hidden="1"/>
    <cellStyle name="Lien hypertexte visité" xfId="13055" builtinId="9" hidden="1"/>
    <cellStyle name="Lien hypertexte visité" xfId="2548" builtinId="9" hidden="1"/>
    <cellStyle name="Lien hypertexte visité" xfId="13491" builtinId="9" hidden="1"/>
    <cellStyle name="Lien hypertexte visité" xfId="7114" builtinId="9" hidden="1"/>
    <cellStyle name="Lien hypertexte visité" xfId="10584" builtinId="9" hidden="1"/>
    <cellStyle name="Lien hypertexte visité" xfId="13881" builtinId="9" hidden="1"/>
    <cellStyle name="Lien hypertexte visité" xfId="7519" builtinId="9" hidden="1"/>
    <cellStyle name="Lien hypertexte visité" xfId="16293" builtinId="9" hidden="1"/>
    <cellStyle name="Lien hypertexte visité" xfId="1718" builtinId="9" hidden="1"/>
    <cellStyle name="Lien hypertexte visité" xfId="11742" builtinId="9" hidden="1"/>
    <cellStyle name="Lien hypertexte visité" xfId="14186" builtinId="9" hidden="1"/>
    <cellStyle name="Lien hypertexte visité" xfId="3491" builtinId="9" hidden="1"/>
    <cellStyle name="Lien hypertexte visité" xfId="10645" builtinId="9" hidden="1"/>
    <cellStyle name="Lien hypertexte visité" xfId="5014" builtinId="9" hidden="1"/>
    <cellStyle name="Lien hypertexte visité" xfId="10742" builtinId="9" hidden="1"/>
    <cellStyle name="Lien hypertexte visité" xfId="22946" builtinId="9" hidden="1"/>
    <cellStyle name="Lien hypertexte visité" xfId="22720" builtinId="9" hidden="1"/>
    <cellStyle name="Lien hypertexte visité" xfId="13669" builtinId="9" hidden="1"/>
    <cellStyle name="Lien hypertexte visité" xfId="18884" builtinId="9" hidden="1"/>
    <cellStyle name="Lien hypertexte visité" xfId="2381" builtinId="9" hidden="1"/>
    <cellStyle name="Lien hypertexte visité" xfId="6471" builtinId="9" hidden="1"/>
    <cellStyle name="Lien hypertexte visité" xfId="2817" builtinId="9" hidden="1"/>
    <cellStyle name="Lien hypertexte visité" xfId="12372" builtinId="9" hidden="1"/>
    <cellStyle name="Lien hypertexte visité" xfId="519" builtinId="9" hidden="1"/>
    <cellStyle name="Lien hypertexte visité" xfId="5963" builtinId="9" hidden="1"/>
    <cellStyle name="Lien hypertexte visité" xfId="22902" builtinId="9" hidden="1"/>
    <cellStyle name="Lien hypertexte visité" xfId="3996" builtinId="9" hidden="1"/>
    <cellStyle name="Lien hypertexte visité" xfId="11631" builtinId="9" hidden="1"/>
    <cellStyle name="Lien hypertexte visité" xfId="15577" builtinId="9" hidden="1"/>
    <cellStyle name="Lien hypertexte visité" xfId="22416" builtinId="9" hidden="1"/>
    <cellStyle name="Lien hypertexte visité" xfId="2643" builtinId="9" hidden="1"/>
    <cellStyle name="Lien hypertexte visité" xfId="7409" builtinId="9" hidden="1"/>
    <cellStyle name="Lien hypertexte visité" xfId="12117" builtinId="9" hidden="1"/>
    <cellStyle name="Lien hypertexte visité" xfId="2430" builtinId="9" hidden="1"/>
    <cellStyle name="Lien hypertexte visité" xfId="8375" builtinId="9" hidden="1"/>
    <cellStyle name="Lien hypertexte visité" xfId="9730" builtinId="9" hidden="1"/>
    <cellStyle name="Lien hypertexte visité" xfId="17809" builtinId="9" hidden="1"/>
    <cellStyle name="Lien hypertexte visité" xfId="18530" builtinId="9" hidden="1"/>
    <cellStyle name="Lien hypertexte visité" xfId="20786" builtinId="9" hidden="1"/>
    <cellStyle name="Lien hypertexte visité" xfId="6758" builtinId="9" hidden="1"/>
    <cellStyle name="Lien hypertexte visité" xfId="19568" builtinId="9" hidden="1"/>
    <cellStyle name="Lien hypertexte visité" xfId="12167" builtinId="9" hidden="1"/>
    <cellStyle name="Lien hypertexte visité" xfId="4081" builtinId="9" hidden="1"/>
    <cellStyle name="Lien hypertexte visité" xfId="23584" builtinId="9" hidden="1"/>
    <cellStyle name="Lien hypertexte visité" xfId="20866" builtinId="9" hidden="1"/>
    <cellStyle name="Lien hypertexte visité" xfId="12282" builtinId="9" hidden="1"/>
    <cellStyle name="Lien hypertexte visité" xfId="19618" builtinId="9" hidden="1"/>
    <cellStyle name="Lien hypertexte visité" xfId="7606" builtinId="9" hidden="1"/>
    <cellStyle name="Lien hypertexte visité" xfId="8102" builtinId="9" hidden="1"/>
    <cellStyle name="Lien hypertexte visité" xfId="14238" builtinId="9" hidden="1"/>
    <cellStyle name="Lien hypertexte visité" xfId="24020" builtinId="9" hidden="1"/>
    <cellStyle name="Lien hypertexte visité" xfId="13396" builtinId="9" hidden="1"/>
    <cellStyle name="Lien hypertexte visité" xfId="1420" builtinId="9" hidden="1"/>
    <cellStyle name="Lien hypertexte visité" xfId="21730" builtinId="9" hidden="1"/>
    <cellStyle name="Lien hypertexte visité" xfId="3833" builtinId="9" hidden="1"/>
    <cellStyle name="Lien hypertexte visité" xfId="21008" builtinId="9" hidden="1"/>
    <cellStyle name="Lien hypertexte visité" xfId="13612" builtinId="9" hidden="1"/>
    <cellStyle name="Lien hypertexte visité" xfId="9392" builtinId="9" hidden="1"/>
    <cellStyle name="Lien hypertexte visité" xfId="3573" builtinId="9" hidden="1"/>
    <cellStyle name="Lien hypertexte visité" xfId="22752" builtinId="9" hidden="1"/>
    <cellStyle name="Lien hypertexte visité" xfId="16225" builtinId="9" hidden="1"/>
    <cellStyle name="Lien hypertexte visité" xfId="12959" builtinId="9" hidden="1"/>
    <cellStyle name="Lien hypertexte visité" xfId="13564" builtinId="9" hidden="1"/>
    <cellStyle name="Lien hypertexte visité" xfId="11009" builtinId="9" hidden="1"/>
    <cellStyle name="Lien hypertexte visité" xfId="13385" builtinId="9" hidden="1"/>
    <cellStyle name="Lien hypertexte visité" xfId="10208" builtinId="9" hidden="1"/>
    <cellStyle name="Lien hypertexte visité" xfId="18908" builtinId="9" hidden="1"/>
    <cellStyle name="Lien hypertexte visité" xfId="14017" builtinId="9" hidden="1"/>
    <cellStyle name="Lien hypertexte visité" xfId="5696" builtinId="9" hidden="1"/>
    <cellStyle name="Lien hypertexte visité" xfId="4559" builtinId="9" hidden="1"/>
    <cellStyle name="Lien hypertexte visité" xfId="9052" builtinId="9" hidden="1"/>
    <cellStyle name="Lien hypertexte visité" xfId="20694" builtinId="9" hidden="1"/>
    <cellStyle name="Lien hypertexte visité" xfId="5164" builtinId="9" hidden="1"/>
    <cellStyle name="Lien hypertexte visité" xfId="8447" builtinId="9" hidden="1"/>
    <cellStyle name="Lien hypertexte visité" xfId="22814" builtinId="9" hidden="1"/>
    <cellStyle name="Lien hypertexte visité" xfId="20034" builtinId="9" hidden="1"/>
    <cellStyle name="Lien hypertexte visité" xfId="7181" builtinId="9" hidden="1"/>
    <cellStyle name="Lien hypertexte visité" xfId="4381" builtinId="9" hidden="1"/>
    <cellStyle name="Lien hypertexte visité" xfId="2783" builtinId="9" hidden="1"/>
    <cellStyle name="Lien hypertexte visité" xfId="2223" builtinId="9" hidden="1"/>
    <cellStyle name="Lien hypertexte visité" xfId="2307" builtinId="9" hidden="1"/>
    <cellStyle name="Lien hypertexte visité" xfId="11518" builtinId="9" hidden="1"/>
    <cellStyle name="Lien hypertexte visité" xfId="21816" builtinId="9" hidden="1"/>
    <cellStyle name="Lien hypertexte visité" xfId="11646" builtinId="9" hidden="1"/>
    <cellStyle name="Lien hypertexte visité" xfId="3800" builtinId="9" hidden="1"/>
    <cellStyle name="Lien hypertexte visité" xfId="10890" builtinId="9" hidden="1"/>
    <cellStyle name="Lien hypertexte visité" xfId="21738" builtinId="9" hidden="1"/>
    <cellStyle name="Lien hypertexte visité" xfId="8266" builtinId="9" hidden="1"/>
    <cellStyle name="Lien hypertexte visité" xfId="105" builtinId="9" hidden="1"/>
    <cellStyle name="Lien hypertexte visité" xfId="7001" builtinId="9" hidden="1"/>
    <cellStyle name="Lien hypertexte visité" xfId="22992" builtinId="9" hidden="1"/>
    <cellStyle name="Lien hypertexte visité" xfId="553" builtinId="9" hidden="1"/>
    <cellStyle name="Lien hypertexte visité" xfId="10854" builtinId="9" hidden="1"/>
    <cellStyle name="Lien hypertexte visité" xfId="16369" builtinId="9" hidden="1"/>
    <cellStyle name="Lien hypertexte visité" xfId="14354" builtinId="9" hidden="1"/>
    <cellStyle name="Lien hypertexte visité" xfId="22594" builtinId="9" hidden="1"/>
    <cellStyle name="Lien hypertexte visité" xfId="1707" builtinId="9" hidden="1"/>
    <cellStyle name="Lien hypertexte visité" xfId="7269" builtinId="9" hidden="1"/>
    <cellStyle name="Lien hypertexte visité" xfId="4473" builtinId="9" hidden="1"/>
    <cellStyle name="Lien hypertexte visité" xfId="2631" builtinId="9" hidden="1"/>
    <cellStyle name="Lien hypertexte visité" xfId="2379" builtinId="9" hidden="1"/>
    <cellStyle name="Lien hypertexte visité" xfId="17181" builtinId="9" hidden="1"/>
    <cellStyle name="Lien hypertexte visité" xfId="15877" builtinId="9" hidden="1"/>
    <cellStyle name="Lien hypertexte visité" xfId="1271" builtinId="9" hidden="1"/>
    <cellStyle name="Lien hypertexte visité" xfId="12333" builtinId="9" hidden="1"/>
    <cellStyle name="Lien hypertexte visité" xfId="14364" builtinId="9" hidden="1"/>
    <cellStyle name="Lien hypertexte visité" xfId="1877" builtinId="9" hidden="1"/>
    <cellStyle name="Lien hypertexte visité" xfId="2170" builtinId="9" hidden="1"/>
    <cellStyle name="Lien hypertexte visité" xfId="10609" builtinId="9" hidden="1"/>
    <cellStyle name="Lien hypertexte visité" xfId="23278" builtinId="9" hidden="1"/>
    <cellStyle name="Lien hypertexte visité" xfId="11944" builtinId="9" hidden="1"/>
    <cellStyle name="Lien hypertexte visité" xfId="14687" builtinId="9" hidden="1"/>
    <cellStyle name="Lien hypertexte visité" xfId="20572" builtinId="9" hidden="1"/>
    <cellStyle name="Lien hypertexte visité" xfId="3465" builtinId="9" hidden="1"/>
    <cellStyle name="Lien hypertexte visité" xfId="4076" builtinId="9" hidden="1"/>
    <cellStyle name="Lien hypertexte visité" xfId="4405" builtinId="9" hidden="1"/>
    <cellStyle name="Lien hypertexte visité" xfId="20418" builtinId="9" hidden="1"/>
    <cellStyle name="Lien hypertexte visité" xfId="14577" builtinId="9" hidden="1"/>
    <cellStyle name="Lien hypertexte visité" xfId="2724" builtinId="9" hidden="1"/>
    <cellStyle name="Lien hypertexte visité" xfId="4496" builtinId="9" hidden="1"/>
    <cellStyle name="Lien hypertexte visité" xfId="13519" builtinId="9" hidden="1"/>
    <cellStyle name="Lien hypertexte visité" xfId="3251" builtinId="9" hidden="1"/>
    <cellStyle name="Lien hypertexte visité" xfId="16087" builtinId="9" hidden="1"/>
    <cellStyle name="Lien hypertexte visité" xfId="6125" builtinId="9" hidden="1"/>
    <cellStyle name="Lien hypertexte visité" xfId="19306" builtinId="9" hidden="1"/>
    <cellStyle name="Lien hypertexte visité" xfId="14034" builtinId="9" hidden="1"/>
    <cellStyle name="Lien hypertexte visité" xfId="3311" builtinId="9" hidden="1"/>
    <cellStyle name="Lien hypertexte visité" xfId="8118" builtinId="9" hidden="1"/>
    <cellStyle name="Lien hypertexte visité" xfId="5989" builtinId="9" hidden="1"/>
    <cellStyle name="Lien hypertexte visité" xfId="2543" builtinId="9" hidden="1"/>
    <cellStyle name="Lien hypertexte visité" xfId="3788" builtinId="9" hidden="1"/>
    <cellStyle name="Lien hypertexte visité" xfId="13414" builtinId="9" hidden="1"/>
    <cellStyle name="Lien hypertexte visité" xfId="19168" builtinId="9" hidden="1"/>
    <cellStyle name="Lien hypertexte visité" xfId="18768" builtinId="9" hidden="1"/>
    <cellStyle name="Lien hypertexte visité" xfId="9631" builtinId="9" hidden="1"/>
    <cellStyle name="Lien hypertexte visité" xfId="4603" builtinId="9" hidden="1"/>
    <cellStyle name="Lien hypertexte visité" xfId="19548" builtinId="9" hidden="1"/>
    <cellStyle name="Lien hypertexte visité" xfId="23246" builtinId="9" hidden="1"/>
    <cellStyle name="Lien hypertexte visité" xfId="14701" builtinId="9" hidden="1"/>
    <cellStyle name="Lien hypertexte visité" xfId="14543" builtinId="9" hidden="1"/>
    <cellStyle name="Lien hypertexte visité" xfId="4976" builtinId="9" hidden="1"/>
    <cellStyle name="Lien hypertexte visité" xfId="1577" builtinId="9" hidden="1"/>
    <cellStyle name="Lien hypertexte visité" xfId="14725" builtinId="9" hidden="1"/>
    <cellStyle name="Lien hypertexte visité" xfId="10189" builtinId="9" hidden="1"/>
    <cellStyle name="Lien hypertexte visité" xfId="5310" builtinId="9" hidden="1"/>
    <cellStyle name="Lien hypertexte visité" xfId="8771" builtinId="9" hidden="1"/>
    <cellStyle name="Lien hypertexte visité" xfId="9931" builtinId="9" hidden="1"/>
    <cellStyle name="Lien hypertexte visité" xfId="4002" builtinId="9" hidden="1"/>
    <cellStyle name="Lien hypertexte visité" xfId="13737" builtinId="9" hidden="1"/>
    <cellStyle name="Lien hypertexte visité" xfId="20812" builtinId="9" hidden="1"/>
    <cellStyle name="Lien hypertexte visité" xfId="7136" builtinId="9" hidden="1"/>
    <cellStyle name="Lien hypertexte visité" xfId="4523" builtinId="9" hidden="1"/>
    <cellStyle name="Lien hypertexte visité" xfId="13117" builtinId="9" hidden="1"/>
    <cellStyle name="Lien hypertexte visité" xfId="9551" builtinId="9" hidden="1"/>
    <cellStyle name="Lien hypertexte visité" xfId="23456" builtinId="9" hidden="1"/>
    <cellStyle name="Lien hypertexte visité" xfId="7689" builtinId="9" hidden="1"/>
    <cellStyle name="Lien hypertexte visité" xfId="4429" builtinId="9" hidden="1"/>
    <cellStyle name="Lien hypertexte visité" xfId="3390" builtinId="9" hidden="1"/>
    <cellStyle name="Lien hypertexte visité" xfId="12103" builtinId="9" hidden="1"/>
    <cellStyle name="Lien hypertexte visité" xfId="15953" builtinId="9" hidden="1"/>
    <cellStyle name="Lien hypertexte visité" xfId="19824" builtinId="9" hidden="1"/>
    <cellStyle name="Lien hypertexte visité" xfId="10279" builtinId="9" hidden="1"/>
    <cellStyle name="Lien hypertexte visité" xfId="10052" builtinId="9" hidden="1"/>
    <cellStyle name="Lien hypertexte visité" xfId="21828" builtinId="9" hidden="1"/>
    <cellStyle name="Lien hypertexte visité" xfId="3602" builtinId="9" hidden="1"/>
    <cellStyle name="Lien hypertexte visité" xfId="4547" builtinId="9" hidden="1"/>
    <cellStyle name="Lien hypertexte visité" xfId="22660" builtinId="9" hidden="1"/>
    <cellStyle name="Lien hypertexte visité" xfId="6307" builtinId="9" hidden="1"/>
    <cellStyle name="Lien hypertexte visité" xfId="3001" builtinId="9" hidden="1"/>
    <cellStyle name="Lien hypertexte visité" xfId="13196" builtinId="9" hidden="1"/>
    <cellStyle name="Lien hypertexte visité" xfId="11613" builtinId="9" hidden="1"/>
    <cellStyle name="Lien hypertexte visité" xfId="3890" builtinId="9" hidden="1"/>
    <cellStyle name="Lien hypertexte visité" xfId="10226" builtinId="9" hidden="1"/>
    <cellStyle name="Lien hypertexte visité" xfId="24194" builtinId="9" hidden="1"/>
    <cellStyle name="Lien hypertexte visité" xfId="4869" builtinId="9" hidden="1"/>
    <cellStyle name="Lien hypertexte visité" xfId="2143" builtinId="9" hidden="1"/>
    <cellStyle name="Lien hypertexte visité" xfId="10106" builtinId="9" hidden="1"/>
    <cellStyle name="Lien hypertexte visité" xfId="7636" builtinId="9" hidden="1"/>
    <cellStyle name="Lien hypertexte visité" xfId="3536" builtinId="9" hidden="1"/>
    <cellStyle name="Lien hypertexte visité" xfId="13111" builtinId="9" hidden="1"/>
    <cellStyle name="Lien hypertexte visité" xfId="12718" builtinId="9" hidden="1"/>
    <cellStyle name="Lien hypertexte visité" xfId="24280" builtinId="9" hidden="1"/>
    <cellStyle name="Lien hypertexte visité" xfId="16705" builtinId="9" hidden="1"/>
    <cellStyle name="Lien hypertexte visité" xfId="12438" builtinId="9" hidden="1"/>
    <cellStyle name="Lien hypertexte visité" xfId="9575" builtinId="9" hidden="1"/>
    <cellStyle name="Lien hypertexte visité" xfId="17169" builtinId="9" hidden="1"/>
    <cellStyle name="Lien hypertexte visité" xfId="2478" builtinId="9" hidden="1"/>
    <cellStyle name="Lien hypertexte visité" xfId="6281" builtinId="9" hidden="1"/>
    <cellStyle name="Lien hypertexte visité" xfId="10927" builtinId="9" hidden="1"/>
    <cellStyle name="Lien hypertexte visité" xfId="5899" builtinId="9" hidden="1"/>
    <cellStyle name="Lien hypertexte visité" xfId="7466" builtinId="9" hidden="1"/>
    <cellStyle name="Lien hypertexte visité" xfId="21006" builtinId="9" hidden="1"/>
    <cellStyle name="Lien hypertexte visité" xfId="12872" builtinId="9" hidden="1"/>
    <cellStyle name="Lien hypertexte visité" xfId="20862" builtinId="9" hidden="1"/>
    <cellStyle name="Lien hypertexte visité" xfId="9505" builtinId="9" hidden="1"/>
    <cellStyle name="Lien hypertexte visité" xfId="9297" builtinId="9" hidden="1"/>
    <cellStyle name="Lien hypertexte visité" xfId="13843" builtinId="9" hidden="1"/>
    <cellStyle name="Lien hypertexte visité" xfId="9595" builtinId="9" hidden="1"/>
    <cellStyle name="Lien hypertexte visité" xfId="2668" builtinId="9" hidden="1"/>
    <cellStyle name="Lien hypertexte visité" xfId="12371" builtinId="9" hidden="1"/>
    <cellStyle name="Lien hypertexte visité" xfId="8603" builtinId="9" hidden="1"/>
    <cellStyle name="Lien hypertexte visité" xfId="5202" builtinId="9" hidden="1"/>
    <cellStyle name="Lien hypertexte visité" xfId="1035" builtinId="9" hidden="1"/>
    <cellStyle name="Lien hypertexte visité" xfId="651" builtinId="9" hidden="1"/>
    <cellStyle name="Lien hypertexte visité" xfId="13211" builtinId="9" hidden="1"/>
    <cellStyle name="Lien hypertexte visité" xfId="10523" builtinId="9" hidden="1"/>
    <cellStyle name="Lien hypertexte visité" xfId="3530" builtinId="9" hidden="1"/>
    <cellStyle name="Lien hypertexte visité" xfId="11729" builtinId="9" hidden="1"/>
    <cellStyle name="Lien hypertexte visité" xfId="23148" builtinId="9" hidden="1"/>
    <cellStyle name="Lien hypertexte visité" xfId="10648" builtinId="9" hidden="1"/>
    <cellStyle name="Lien hypertexte visité" xfId="11113" builtinId="9" hidden="1"/>
    <cellStyle name="Lien hypertexte visité" xfId="5234" builtinId="9" hidden="1"/>
    <cellStyle name="Lien hypertexte visité" xfId="20308" builtinId="9" hidden="1"/>
    <cellStyle name="Lien hypertexte visité" xfId="14271" builtinId="9" hidden="1"/>
    <cellStyle name="Lien hypertexte visité" xfId="5482" builtinId="9" hidden="1"/>
    <cellStyle name="Lien hypertexte visité" xfId="10683" builtinId="9" hidden="1"/>
    <cellStyle name="Lien hypertexte visité" xfId="14283" builtinId="9" hidden="1"/>
    <cellStyle name="Lien hypertexte visité" xfId="4186" builtinId="9" hidden="1"/>
    <cellStyle name="Lien hypertexte visité" xfId="10409" builtinId="9" hidden="1"/>
    <cellStyle name="Lien hypertexte visité" xfId="11784" builtinId="9" hidden="1"/>
    <cellStyle name="Lien hypertexte visité" xfId="20062" builtinId="9" hidden="1"/>
    <cellStyle name="Lien hypertexte visité" xfId="7736" builtinId="9" hidden="1"/>
    <cellStyle name="Lien hypertexte visité" xfId="5727" builtinId="9" hidden="1"/>
    <cellStyle name="Lien hypertexte visité" xfId="10284" builtinId="9" hidden="1"/>
    <cellStyle name="Lien hypertexte visité" xfId="14535" builtinId="9" hidden="1"/>
    <cellStyle name="Lien hypertexte visité" xfId="771" builtinId="9" hidden="1"/>
    <cellStyle name="Lien hypertexte visité" xfId="8326" builtinId="9" hidden="1"/>
    <cellStyle name="Lien hypertexte visité" xfId="21240" builtinId="9" hidden="1"/>
    <cellStyle name="Lien hypertexte visité" xfId="10602" builtinId="9" hidden="1"/>
    <cellStyle name="Lien hypertexte visité" xfId="1238" builtinId="9" hidden="1"/>
    <cellStyle name="Lien hypertexte visité" xfId="4941" builtinId="9" hidden="1"/>
    <cellStyle name="Lien hypertexte visité" xfId="9461" builtinId="9" hidden="1"/>
    <cellStyle name="Lien hypertexte visité" xfId="1600" builtinId="9" hidden="1"/>
    <cellStyle name="Lien hypertexte visité" xfId="11159" builtinId="9" hidden="1"/>
    <cellStyle name="Lien hypertexte visité" xfId="11426" builtinId="9" hidden="1"/>
    <cellStyle name="Lien hypertexte visité" xfId="21736" builtinId="9" hidden="1"/>
    <cellStyle name="Lien hypertexte visité" xfId="24304" builtinId="9" hidden="1"/>
    <cellStyle name="Lien hypertexte visité" xfId="17961" builtinId="9" hidden="1"/>
    <cellStyle name="Lien hypertexte visité" xfId="3422" builtinId="9" hidden="1"/>
    <cellStyle name="Lien hypertexte visité" xfId="9540" builtinId="9" hidden="1"/>
    <cellStyle name="Lien hypertexte visité" xfId="20932" builtinId="9" hidden="1"/>
    <cellStyle name="Lien hypertexte visité" xfId="1505" builtinId="9" hidden="1"/>
    <cellStyle name="Lien hypertexte visité" xfId="4343" builtinId="9" hidden="1"/>
    <cellStyle name="Lien hypertexte visité" xfId="7255" builtinId="9" hidden="1"/>
    <cellStyle name="Lien hypertexte visité" xfId="973" builtinId="9" hidden="1"/>
    <cellStyle name="Lien hypertexte visité" xfId="24548" builtinId="9" hidden="1"/>
    <cellStyle name="Lien hypertexte visité" xfId="11348" builtinId="9" hidden="1"/>
    <cellStyle name="Lien hypertexte visité" xfId="8229" builtinId="9" hidden="1"/>
    <cellStyle name="Lien hypertexte visité" xfId="3578" builtinId="9" hidden="1"/>
    <cellStyle name="Lien hypertexte visité" xfId="7115" builtinId="9" hidden="1"/>
    <cellStyle name="Lien hypertexte visité" xfId="19540" builtinId="9" hidden="1"/>
    <cellStyle name="Lien hypertexte visité" xfId="12573" builtinId="9" hidden="1"/>
    <cellStyle name="Lien hypertexte visité" xfId="2966" builtinId="9" hidden="1"/>
    <cellStyle name="Lien hypertexte visité" xfId="8239" builtinId="9" hidden="1"/>
    <cellStyle name="Lien hypertexte visité" xfId="9458" builtinId="9" hidden="1"/>
    <cellStyle name="Lien hypertexte visité" xfId="17201" builtinId="9" hidden="1"/>
    <cellStyle name="Lien hypertexte visité" xfId="18642" builtinId="9" hidden="1"/>
    <cellStyle name="Lien hypertexte visité" xfId="4505" builtinId="9" hidden="1"/>
    <cellStyle name="Lien hypertexte visité" xfId="3291" builtinId="9" hidden="1"/>
    <cellStyle name="Lien hypertexte visité" xfId="2723" builtinId="9" hidden="1"/>
    <cellStyle name="Lien hypertexte visité" xfId="8314" builtinId="9" hidden="1"/>
    <cellStyle name="Lien hypertexte visité" xfId="11445" builtinId="9" hidden="1"/>
    <cellStyle name="Lien hypertexte visité" xfId="4740" builtinId="9" hidden="1"/>
    <cellStyle name="Lien hypertexte visité" xfId="2816" builtinId="9" hidden="1"/>
    <cellStyle name="Lien hypertexte visité" xfId="9175" builtinId="9" hidden="1"/>
    <cellStyle name="Lien hypertexte visité" xfId="17243" builtinId="9" hidden="1"/>
    <cellStyle name="Lien hypertexte visité" xfId="12462" builtinId="9" hidden="1"/>
    <cellStyle name="Lien hypertexte visité" xfId="18856" builtinId="9" hidden="1"/>
    <cellStyle name="Lien hypertexte visité" xfId="21538" builtinId="9" hidden="1"/>
    <cellStyle name="Lien hypertexte visité" xfId="19248" builtinId="9" hidden="1"/>
    <cellStyle name="Lien hypertexte visité" xfId="23522" builtinId="9" hidden="1"/>
    <cellStyle name="Lien hypertexte visité" xfId="13543" builtinId="9" hidden="1"/>
    <cellStyle name="Lien hypertexte visité" xfId="2912" builtinId="9" hidden="1"/>
    <cellStyle name="Lien hypertexte visité" xfId="20058" builtinId="9" hidden="1"/>
    <cellStyle name="Lien hypertexte visité" xfId="10274" builtinId="9" hidden="1"/>
    <cellStyle name="Lien hypertexte visité" xfId="1277" builtinId="9" hidden="1"/>
    <cellStyle name="Lien hypertexte visité" xfId="6129" builtinId="9" hidden="1"/>
    <cellStyle name="Lien hypertexte visité" xfId="16033" builtinId="9" hidden="1"/>
    <cellStyle name="Lien hypertexte visité" xfId="13743" builtinId="9" hidden="1"/>
    <cellStyle name="Lien hypertexte visité" xfId="3957" builtinId="9" hidden="1"/>
    <cellStyle name="Lien hypertexte visité" xfId="13230" builtinId="9" hidden="1"/>
    <cellStyle name="Lien hypertexte visité" xfId="8942" builtinId="9" hidden="1"/>
    <cellStyle name="Lien hypertexte visité" xfId="22626" builtinId="9" hidden="1"/>
    <cellStyle name="Lien hypertexte visité" xfId="14423" builtinId="9" hidden="1"/>
    <cellStyle name="Lien hypertexte visité" xfId="5844" builtinId="9" hidden="1"/>
    <cellStyle name="Lien hypertexte visité" xfId="3339" builtinId="9" hidden="1"/>
    <cellStyle name="Lien hypertexte visité" xfId="21634" builtinId="9" hidden="1"/>
    <cellStyle name="Lien hypertexte visité" xfId="6510" builtinId="9" hidden="1"/>
    <cellStyle name="Lien hypertexte visité" xfId="17125" builtinId="9" hidden="1"/>
    <cellStyle name="Lien hypertexte visité" xfId="15255" builtinId="9" hidden="1"/>
    <cellStyle name="Lien hypertexte visité" xfId="2429" builtinId="9" hidden="1"/>
    <cellStyle name="Lien hypertexte visité" xfId="2465" builtinId="9" hidden="1"/>
    <cellStyle name="Lien hypertexte visité" xfId="4390" builtinId="9" hidden="1"/>
    <cellStyle name="Lien hypertexte visité" xfId="19456" builtinId="9" hidden="1"/>
    <cellStyle name="Lien hypertexte visité" xfId="335" builtinId="9" hidden="1"/>
    <cellStyle name="Lien hypertexte visité" xfId="3275" builtinId="9" hidden="1"/>
    <cellStyle name="Lien hypertexte visité" xfId="9350" builtinId="9" hidden="1"/>
    <cellStyle name="Lien hypertexte visité" xfId="23104" builtinId="9" hidden="1"/>
    <cellStyle name="Lien hypertexte visité" xfId="661" builtinId="9" hidden="1"/>
    <cellStyle name="Lien hypertexte visité" xfId="9263" builtinId="9" hidden="1"/>
    <cellStyle name="Lien hypertexte visité" xfId="4052" builtinId="9" hidden="1"/>
    <cellStyle name="Lien hypertexte visité" xfId="11495" builtinId="9" hidden="1"/>
    <cellStyle name="Lien hypertexte visité" xfId="8478" builtinId="9" hidden="1"/>
    <cellStyle name="Lien hypertexte visité" xfId="1920" builtinId="9" hidden="1"/>
    <cellStyle name="Lien hypertexte visité" xfId="3358" builtinId="9" hidden="1"/>
    <cellStyle name="Lien hypertexte visité" xfId="21488" builtinId="9" hidden="1"/>
    <cellStyle name="Lien hypertexte visité" xfId="12002" builtinId="9" hidden="1"/>
    <cellStyle name="Lien hypertexte visité" xfId="2224" builtinId="9" hidden="1"/>
    <cellStyle name="Lien hypertexte visité" xfId="4409" builtinId="9" hidden="1"/>
    <cellStyle name="Lien hypertexte visité" xfId="8234" builtinId="9" hidden="1"/>
    <cellStyle name="Lien hypertexte visité" xfId="8902" builtinId="9" hidden="1"/>
    <cellStyle name="Lien hypertexte visité" xfId="13405" builtinId="9" hidden="1"/>
    <cellStyle name="Lien hypertexte visité" xfId="4607" builtinId="9" hidden="1"/>
    <cellStyle name="Lien hypertexte visité" xfId="23206" builtinId="9" hidden="1"/>
    <cellStyle name="Lien hypertexte visité" xfId="4999" builtinId="9" hidden="1"/>
    <cellStyle name="Lien hypertexte visité" xfId="8660" builtinId="9" hidden="1"/>
    <cellStyle name="Lien hypertexte visité" xfId="21530" builtinId="9" hidden="1"/>
    <cellStyle name="Lien hypertexte visité" xfId="10311" builtinId="9" hidden="1"/>
    <cellStyle name="Lien hypertexte visité" xfId="5817" builtinId="9" hidden="1"/>
    <cellStyle name="Lien hypertexte visité" xfId="19528" builtinId="9" hidden="1"/>
    <cellStyle name="Lien hypertexte visité" xfId="17095" builtinId="9" hidden="1"/>
    <cellStyle name="Lien hypertexte visité" xfId="8761" builtinId="9" hidden="1"/>
    <cellStyle name="Lien hypertexte visité" xfId="7849" builtinId="9" hidden="1"/>
    <cellStyle name="Lien hypertexte visité" xfId="11363" builtinId="9" hidden="1"/>
    <cellStyle name="Lien hypertexte visité" xfId="13324" builtinId="9" hidden="1"/>
    <cellStyle name="Lien hypertexte visité" xfId="11464" builtinId="9" hidden="1"/>
    <cellStyle name="Lien hypertexte visité" xfId="2714" builtinId="9" hidden="1"/>
    <cellStyle name="Lien hypertexte visité" xfId="1572" builtinId="9" hidden="1"/>
    <cellStyle name="Lien hypertexte visité" xfId="9195" builtinId="9" hidden="1"/>
    <cellStyle name="Lien hypertexte visité" xfId="14235" builtinId="9" hidden="1"/>
    <cellStyle name="Lien hypertexte visité" xfId="10273" builtinId="9" hidden="1"/>
    <cellStyle name="Lien hypertexte visité" xfId="16159" builtinId="9" hidden="1"/>
    <cellStyle name="Lien hypertexte visité" xfId="15531" builtinId="9" hidden="1"/>
    <cellStyle name="Lien hypertexte visité" xfId="20800" builtinId="9" hidden="1"/>
    <cellStyle name="Lien hypertexte visité" xfId="20464" builtinId="9" hidden="1"/>
    <cellStyle name="Lien hypertexte visité" xfId="12215" builtinId="9" hidden="1"/>
    <cellStyle name="Lien hypertexte visité" xfId="4153" builtinId="9" hidden="1"/>
    <cellStyle name="Lien hypertexte visité" xfId="23160" builtinId="9" hidden="1"/>
    <cellStyle name="Lien hypertexte visité" xfId="12957" builtinId="9" hidden="1"/>
    <cellStyle name="Lien hypertexte visité" xfId="7475" builtinId="9" hidden="1"/>
    <cellStyle name="Lien hypertexte visité" xfId="4663" builtinId="9" hidden="1"/>
    <cellStyle name="Lien hypertexte visité" xfId="14375" builtinId="9" hidden="1"/>
    <cellStyle name="Lien hypertexte visité" xfId="10743" builtinId="9" hidden="1"/>
    <cellStyle name="Lien hypertexte visité" xfId="8506" builtinId="9" hidden="1"/>
    <cellStyle name="Lien hypertexte visité" xfId="1341" builtinId="9" hidden="1"/>
    <cellStyle name="Lien hypertexte visité" xfId="8406" builtinId="9" hidden="1"/>
    <cellStyle name="Lien hypertexte visité" xfId="16873" builtinId="9" hidden="1"/>
    <cellStyle name="Lien hypertexte visité" xfId="13082" builtinId="9" hidden="1"/>
    <cellStyle name="Lien hypertexte visité" xfId="3166" builtinId="9" hidden="1"/>
    <cellStyle name="Lien hypertexte visité" xfId="10644" builtinId="9" hidden="1"/>
    <cellStyle name="Lien hypertexte visité" xfId="5891" builtinId="9" hidden="1"/>
    <cellStyle name="Lien hypertexte visité" xfId="8456" builtinId="9" hidden="1"/>
    <cellStyle name="Lien hypertexte visité" xfId="4003" builtinId="9" hidden="1"/>
    <cellStyle name="Lien hypertexte visité" xfId="19140" builtinId="9" hidden="1"/>
    <cellStyle name="Lien hypertexte visité" xfId="8485" builtinId="9" hidden="1"/>
    <cellStyle name="Lien hypertexte visité" xfId="2297" builtinId="9" hidden="1"/>
    <cellStyle name="Lien hypertexte visité" xfId="15973" builtinId="9" hidden="1"/>
    <cellStyle name="Lien hypertexte visité" xfId="7516" builtinId="9" hidden="1"/>
    <cellStyle name="Lien hypertexte visité" xfId="4590" builtinId="9" hidden="1"/>
    <cellStyle name="Lien hypertexte visité" xfId="11590" builtinId="9" hidden="1"/>
    <cellStyle name="Lien hypertexte visité" xfId="18730" builtinId="9" hidden="1"/>
    <cellStyle name="Lien hypertexte visité" xfId="5237" builtinId="9" hidden="1"/>
    <cellStyle name="Lien hypertexte visité" xfId="3687" builtinId="9" hidden="1"/>
    <cellStyle name="Lien hypertexte visité" xfId="14469" builtinId="9" hidden="1"/>
    <cellStyle name="Lien hypertexte visité" xfId="7172" builtinId="9" hidden="1"/>
    <cellStyle name="Lien hypertexte visité" xfId="4918" builtinId="9" hidden="1"/>
    <cellStyle name="Lien hypertexte visité" xfId="17147" builtinId="9" hidden="1"/>
    <cellStyle name="Lien hypertexte visité" xfId="13026" builtinId="9" hidden="1"/>
    <cellStyle name="Lien hypertexte visité" xfId="23138" builtinId="9" hidden="1"/>
    <cellStyle name="Lien hypertexte visité" xfId="14785" builtinId="9" hidden="1"/>
    <cellStyle name="Lien hypertexte visité" xfId="11586" builtinId="9" hidden="1"/>
    <cellStyle name="Lien hypertexte visité" xfId="12182" builtinId="9" hidden="1"/>
    <cellStyle name="Lien hypertexte visité" xfId="10382" builtinId="9" hidden="1"/>
    <cellStyle name="Lien hypertexte visité" xfId="3847" builtinId="9" hidden="1"/>
    <cellStyle name="Lien hypertexte visité" xfId="4981" builtinId="9" hidden="1"/>
    <cellStyle name="Lien hypertexte visité" xfId="2518" builtinId="9" hidden="1"/>
    <cellStyle name="Lien hypertexte visité" xfId="3854" builtinId="9" hidden="1"/>
    <cellStyle name="Lien hypertexte visité" xfId="8451" builtinId="9" hidden="1"/>
    <cellStyle name="Lien hypertexte visité" xfId="14336" builtinId="9" hidden="1"/>
    <cellStyle name="Lien hypertexte visité" xfId="13256" builtinId="9" hidden="1"/>
    <cellStyle name="Lien hypertexte visité" xfId="18558" builtinId="9" hidden="1"/>
    <cellStyle name="Lien hypertexte visité" xfId="7160" builtinId="9" hidden="1"/>
    <cellStyle name="Lien hypertexte visité" xfId="12025" builtinId="9" hidden="1"/>
    <cellStyle name="Lien hypertexte visité" xfId="12987" builtinId="9" hidden="1"/>
    <cellStyle name="Lien hypertexte visité" xfId="11339" builtinId="9" hidden="1"/>
    <cellStyle name="Lien hypertexte visité" xfId="4642" builtinId="9" hidden="1"/>
    <cellStyle name="Lien hypertexte visité" xfId="11515" builtinId="9" hidden="1"/>
    <cellStyle name="Lien hypertexte visité" xfId="3851" builtinId="9" hidden="1"/>
    <cellStyle name="Lien hypertexte visité" xfId="5498" builtinId="9" hidden="1"/>
    <cellStyle name="Lien hypertexte visité" xfId="2020" builtinId="9" hidden="1"/>
    <cellStyle name="Lien hypertexte visité" xfId="12331" builtinId="9" hidden="1"/>
    <cellStyle name="Lien hypertexte visité" xfId="12947" builtinId="9" hidden="1"/>
    <cellStyle name="Lien hypertexte visité" xfId="7098" builtinId="9" hidden="1"/>
    <cellStyle name="Lien hypertexte visité" xfId="5840" builtinId="9" hidden="1"/>
    <cellStyle name="Lien hypertexte visité" xfId="12113" builtinId="9" hidden="1"/>
    <cellStyle name="Lien hypertexte visité" xfId="20844" builtinId="9" hidden="1"/>
    <cellStyle name="Lien hypertexte visité" xfId="10496" builtinId="9" hidden="1"/>
    <cellStyle name="Lien hypertexte visité" xfId="9961" builtinId="9" hidden="1"/>
    <cellStyle name="Lien hypertexte visité" xfId="4242" builtinId="9" hidden="1"/>
    <cellStyle name="Lien hypertexte visité" xfId="9437" builtinId="9" hidden="1"/>
    <cellStyle name="Lien hypertexte visité" xfId="14667" builtinId="9" hidden="1"/>
    <cellStyle name="Lien hypertexte visité" xfId="4306" builtinId="9" hidden="1"/>
    <cellStyle name="Lien hypertexte visité" xfId="13731" builtinId="9" hidden="1"/>
    <cellStyle name="Lien hypertexte visité" xfId="9507" builtinId="9" hidden="1"/>
    <cellStyle name="Lien hypertexte visité" xfId="5362" builtinId="9" hidden="1"/>
    <cellStyle name="Lien hypertexte visité" xfId="22670" builtinId="9" hidden="1"/>
    <cellStyle name="Lien hypertexte visité" xfId="12296" builtinId="9" hidden="1"/>
    <cellStyle name="Lien hypertexte visité" xfId="17343" builtinId="9" hidden="1"/>
    <cellStyle name="Lien hypertexte visité" xfId="5008" builtinId="9" hidden="1"/>
    <cellStyle name="Lien hypertexte visité" xfId="5215" builtinId="9" hidden="1"/>
    <cellStyle name="Lien hypertexte visité" xfId="12332" builtinId="9" hidden="1"/>
    <cellStyle name="Lien hypertexte visité" xfId="10429" builtinId="9" hidden="1"/>
    <cellStyle name="Lien hypertexte visité" xfId="1736" builtinId="9" hidden="1"/>
    <cellStyle name="Lien hypertexte visité" xfId="9694" builtinId="9" hidden="1"/>
    <cellStyle name="Lien hypertexte visité" xfId="22530" builtinId="9" hidden="1"/>
    <cellStyle name="Lien hypertexte visité" xfId="9066" builtinId="9" hidden="1"/>
    <cellStyle name="Lien hypertexte visité" xfId="1314" builtinId="9" hidden="1"/>
    <cellStyle name="Lien hypertexte visité" xfId="18039" builtinId="9" hidden="1"/>
    <cellStyle name="Lien hypertexte visité" xfId="9109" builtinId="9" hidden="1"/>
    <cellStyle name="Lien hypertexte visité" xfId="2960" builtinId="9" hidden="1"/>
    <cellStyle name="Lien hypertexte visité" xfId="13895" builtinId="9" hidden="1"/>
    <cellStyle name="Lien hypertexte visité" xfId="11766" builtinId="9" hidden="1"/>
    <cellStyle name="Lien hypertexte visité" xfId="23552" builtinId="9" hidden="1"/>
    <cellStyle name="Lien hypertexte visité" xfId="13946" builtinId="9" hidden="1"/>
    <cellStyle name="Lien hypertexte visité" xfId="15913" builtinId="9" hidden="1"/>
    <cellStyle name="Lien hypertexte visité" xfId="7524" builtinId="9" hidden="1"/>
    <cellStyle name="Lien hypertexte visité" xfId="11876" builtinId="9" hidden="1"/>
    <cellStyle name="Lien hypertexte visité" xfId="21508" builtinId="9" hidden="1"/>
    <cellStyle name="Lien hypertexte visité" xfId="301" builtinId="9" hidden="1"/>
    <cellStyle name="Lien hypertexte visité" xfId="6919" builtinId="9" hidden="1"/>
    <cellStyle name="Lien hypertexte visité" xfId="2961" builtinId="9" hidden="1"/>
    <cellStyle name="Lien hypertexte visité" xfId="1184" builtinId="9" hidden="1"/>
    <cellStyle name="Lien hypertexte visité" xfId="19876" builtinId="9" hidden="1"/>
    <cellStyle name="Lien hypertexte visité" xfId="10916" builtinId="9" hidden="1"/>
    <cellStyle name="Lien hypertexte visité" xfId="2203" builtinId="9" hidden="1"/>
    <cellStyle name="Lien hypertexte visité" xfId="485" builtinId="9" hidden="1"/>
    <cellStyle name="Lien hypertexte visité" xfId="7499" builtinId="9" hidden="1"/>
    <cellStyle name="Lien hypertexte visité" xfId="22228" builtinId="9" hidden="1"/>
    <cellStyle name="Lien hypertexte visité" xfId="9821" builtinId="9" hidden="1"/>
    <cellStyle name="Lien hypertexte visité" xfId="2454" builtinId="9" hidden="1"/>
    <cellStyle name="Lien hypertexte visité" xfId="9583" builtinId="9" hidden="1"/>
    <cellStyle name="Lien hypertexte visité" xfId="11294" builtinId="9" hidden="1"/>
    <cellStyle name="Lien hypertexte visité" xfId="17881" builtinId="9" hidden="1"/>
    <cellStyle name="Lien hypertexte visité" xfId="18618" builtinId="9" hidden="1"/>
    <cellStyle name="Lien hypertexte visité" xfId="6077" builtinId="9" hidden="1"/>
    <cellStyle name="Lien hypertexte visité" xfId="3463" builtinId="9" hidden="1"/>
    <cellStyle name="Lien hypertexte visité" xfId="5673" builtinId="9" hidden="1"/>
    <cellStyle name="Lien hypertexte visité" xfId="17495" builtinId="9" hidden="1"/>
    <cellStyle name="Lien hypertexte visité" xfId="11093" builtinId="9" hidden="1"/>
    <cellStyle name="Lien hypertexte visité" xfId="3799" builtinId="9" hidden="1"/>
    <cellStyle name="Lien hypertexte visité" xfId="4614" builtinId="9" hidden="1"/>
    <cellStyle name="Lien hypertexte visité" xfId="9527" builtinId="9" hidden="1"/>
    <cellStyle name="Lien hypertexte visité" xfId="8822" builtinId="9" hidden="1"/>
    <cellStyle name="Lien hypertexte visité" xfId="13654" builtinId="9" hidden="1"/>
    <cellStyle name="Lien hypertexte visité" xfId="19160" builtinId="9" hidden="1"/>
    <cellStyle name="Lien hypertexte visité" xfId="20338" builtinId="9" hidden="1"/>
    <cellStyle name="Lien hypertexte visité" xfId="13210" builtinId="9" hidden="1"/>
    <cellStyle name="Lien hypertexte visité" xfId="24344" builtinId="9" hidden="1"/>
    <cellStyle name="Lien hypertexte visité" xfId="10855" builtinId="9" hidden="1"/>
    <cellStyle name="Lien hypertexte visité" xfId="10478" builtinId="9" hidden="1"/>
    <cellStyle name="Lien hypertexte visité" xfId="17755" builtinId="9" hidden="1"/>
    <cellStyle name="Lien hypertexte visité" xfId="8450" builtinId="9" hidden="1"/>
    <cellStyle name="Lien hypertexte visité" xfId="6740" builtinId="9" hidden="1"/>
    <cellStyle name="Lien hypertexte visité" xfId="6713" builtinId="9" hidden="1"/>
    <cellStyle name="Lien hypertexte visité" xfId="17467" builtinId="9" hidden="1"/>
    <cellStyle name="Lien hypertexte visité" xfId="5550" builtinId="9" hidden="1"/>
    <cellStyle name="Lien hypertexte visité" xfId="6297" builtinId="9" hidden="1"/>
    <cellStyle name="Lien hypertexte visité" xfId="22848" builtinId="9" hidden="1"/>
    <cellStyle name="Lien hypertexte visité" xfId="24034" builtinId="9" hidden="1"/>
    <cellStyle name="Lien hypertexte visité" xfId="23818" builtinId="9" hidden="1"/>
    <cellStyle name="Lien hypertexte visité" xfId="11703" builtinId="9" hidden="1"/>
    <cellStyle name="Lien hypertexte visité" xfId="11317" builtinId="9" hidden="1"/>
    <cellStyle name="Lien hypertexte visité" xfId="1482" builtinId="9" hidden="1"/>
    <cellStyle name="Lien hypertexte visité" xfId="22136" builtinId="9" hidden="1"/>
    <cellStyle name="Lien hypertexte visité" xfId="2838" builtinId="9" hidden="1"/>
    <cellStyle name="Lien hypertexte visité" xfId="14476" builtinId="9" hidden="1"/>
    <cellStyle name="Lien hypertexte visité" xfId="8132" builtinId="9" hidden="1"/>
    <cellStyle name="Lien hypertexte visité" xfId="7383" builtinId="9" hidden="1"/>
    <cellStyle name="Lien hypertexte visité" xfId="10500" builtinId="9" hidden="1"/>
    <cellStyle name="Lien hypertexte visité" xfId="8726" builtinId="9" hidden="1"/>
    <cellStyle name="Lien hypertexte visité" xfId="11534" builtinId="9" hidden="1"/>
    <cellStyle name="Lien hypertexte visité" xfId="2110" builtinId="9" hidden="1"/>
    <cellStyle name="Lien hypertexte visité" xfId="6461" builtinId="9" hidden="1"/>
    <cellStyle name="Lien hypertexte visité" xfId="10718" builtinId="9" hidden="1"/>
    <cellStyle name="Lien hypertexte visité" xfId="20552" builtinId="9" hidden="1"/>
    <cellStyle name="Lien hypertexte visité" xfId="4121" builtinId="9" hidden="1"/>
    <cellStyle name="Lien hypertexte visité" xfId="2091" builtinId="9" hidden="1"/>
    <cellStyle name="Lien hypertexte visité" xfId="5669" builtinId="9" hidden="1"/>
    <cellStyle name="Lien hypertexte visité" xfId="8949" builtinId="9" hidden="1"/>
    <cellStyle name="Lien hypertexte visité" xfId="3136" builtinId="9" hidden="1"/>
    <cellStyle name="Lien hypertexte visité" xfId="11335" builtinId="9" hidden="1"/>
    <cellStyle name="Lien hypertexte visité" xfId="12450" builtinId="9" hidden="1"/>
    <cellStyle name="Lien hypertexte visité" xfId="24306" builtinId="9" hidden="1"/>
    <cellStyle name="Lien hypertexte visité" xfId="23578" builtinId="9" hidden="1"/>
    <cellStyle name="Lien hypertexte visité" xfId="14190" builtinId="9" hidden="1"/>
    <cellStyle name="Lien hypertexte visité" xfId="9061" builtinId="9" hidden="1"/>
    <cellStyle name="Lien hypertexte visité" xfId="8804" builtinId="9" hidden="1"/>
    <cellStyle name="Lien hypertexte visité" xfId="21796" builtinId="9" hidden="1"/>
    <cellStyle name="Lien hypertexte visité" xfId="589" builtinId="9" hidden="1"/>
    <cellStyle name="Lien hypertexte visité" xfId="4199" builtinId="9" hidden="1"/>
    <cellStyle name="Lien hypertexte visité" xfId="3770" builtinId="9" hidden="1"/>
    <cellStyle name="Lien hypertexte visité" xfId="2001" builtinId="9" hidden="1"/>
    <cellStyle name="Lien hypertexte visité" xfId="24102" builtinId="9" hidden="1"/>
    <cellStyle name="Lien hypertexte visité" xfId="10468" builtinId="9" hidden="1"/>
    <cellStyle name="Lien hypertexte visité" xfId="1866" builtinId="9" hidden="1"/>
    <cellStyle name="Lien hypertexte visité" xfId="4415" builtinId="9" hidden="1"/>
    <cellStyle name="Lien hypertexte visité" xfId="7627" builtinId="9" hidden="1"/>
    <cellStyle name="Lien hypertexte visité" xfId="22612" builtinId="9" hidden="1"/>
    <cellStyle name="Lien hypertexte visité" xfId="12381" builtinId="9" hidden="1"/>
    <cellStyle name="Lien hypertexte visité" xfId="1429" builtinId="9" hidden="1"/>
    <cellStyle name="Lien hypertexte visité" xfId="10607" builtinId="9" hidden="1"/>
    <cellStyle name="Lien hypertexte visité" xfId="9246" builtinId="9" hidden="1"/>
    <cellStyle name="Lien hypertexte visité" xfId="18552" builtinId="9" hidden="1"/>
    <cellStyle name="Lien hypertexte visité" xfId="20666" builtinId="9" hidden="1"/>
    <cellStyle name="Lien hypertexte visité" xfId="4029" builtinId="9" hidden="1"/>
    <cellStyle name="Lien hypertexte visité" xfId="3564" builtinId="9" hidden="1"/>
    <cellStyle name="Lien hypertexte visité" xfId="6185" builtinId="9" hidden="1"/>
    <cellStyle name="Lien hypertexte visité" xfId="8570" builtinId="9" hidden="1"/>
    <cellStyle name="Lien hypertexte visité" xfId="10421" builtinId="9" hidden="1"/>
    <cellStyle name="Lien hypertexte visité" xfId="3118" builtinId="9" hidden="1"/>
    <cellStyle name="Lien hypertexte visité" xfId="2560" builtinId="9" hidden="1"/>
    <cellStyle name="Lien hypertexte visité" xfId="9863" builtinId="9" hidden="1"/>
    <cellStyle name="Lien hypertexte visité" xfId="9046" builtinId="9" hidden="1"/>
    <cellStyle name="Lien hypertexte visité" xfId="12066" builtinId="9" hidden="1"/>
    <cellStyle name="Lien hypertexte visité" xfId="19328" builtinId="9" hidden="1"/>
    <cellStyle name="Lien hypertexte visité" xfId="20170" builtinId="9" hidden="1"/>
    <cellStyle name="Lien hypertexte visité" xfId="18736" builtinId="9" hidden="1"/>
    <cellStyle name="Lien hypertexte visité" xfId="21608" builtinId="9" hidden="1"/>
    <cellStyle name="Lien hypertexte visité" xfId="8807" builtinId="9" hidden="1"/>
    <cellStyle name="Lien hypertexte visité" xfId="563" builtinId="9" hidden="1"/>
    <cellStyle name="Lien hypertexte visité" xfId="19106" builtinId="9" hidden="1"/>
    <cellStyle name="Lien hypertexte visité" xfId="15963" builtinId="9" hidden="1"/>
    <cellStyle name="Lien hypertexte visité" xfId="1584" builtinId="9" hidden="1"/>
    <cellStyle name="Lien hypertexte visité" xfId="7005" builtinId="9" hidden="1"/>
    <cellStyle name="Lien hypertexte visité" xfId="18147" builtinId="9" hidden="1"/>
    <cellStyle name="Lien hypertexte visité" xfId="13231" builtinId="9" hidden="1"/>
    <cellStyle name="Lien hypertexte visité" xfId="6574" builtinId="9" hidden="1"/>
    <cellStyle name="Lien hypertexte visité" xfId="9502" builtinId="9" hidden="1"/>
    <cellStyle name="Lien hypertexte visité" xfId="13938" builtinId="9" hidden="1"/>
    <cellStyle name="Lien hypertexte visité" xfId="21546" builtinId="9" hidden="1"/>
    <cellStyle name="Lien hypertexte visité" xfId="4249" builtinId="9" hidden="1"/>
    <cellStyle name="Lien hypertexte visité" xfId="8054" builtinId="9" hidden="1"/>
    <cellStyle name="Lien hypertexte visité" xfId="1446" builtinId="9" hidden="1"/>
    <cellStyle name="Lien hypertexte visité" xfId="4373" builtinId="9" hidden="1"/>
    <cellStyle name="Lien hypertexte visité" xfId="12885" builtinId="9" hidden="1"/>
    <cellStyle name="Lien hypertexte visité" xfId="5716" builtinId="9" hidden="1"/>
    <cellStyle name="Lien hypertexte visité" xfId="2608" builtinId="9" hidden="1"/>
    <cellStyle name="Lien hypertexte visité" xfId="7382" builtinId="9" hidden="1"/>
    <cellStyle name="Lien hypertexte visité" xfId="14587" builtinId="9" hidden="1"/>
    <cellStyle name="Lien hypertexte visité" xfId="12086" builtinId="9" hidden="1"/>
    <cellStyle name="Lien hypertexte visité" xfId="16041" builtinId="9" hidden="1"/>
    <cellStyle name="Lien hypertexte visité" xfId="23650" builtinId="9" hidden="1"/>
    <cellStyle name="Lien hypertexte visité" xfId="22320" builtinId="9" hidden="1"/>
    <cellStyle name="Lien hypertexte visité" xfId="18586" builtinId="9" hidden="1"/>
    <cellStyle name="Lien hypertexte visité" xfId="8430" builtinId="9" hidden="1"/>
    <cellStyle name="Lien hypertexte visité" xfId="4004" builtinId="9" hidden="1"/>
    <cellStyle name="Lien hypertexte visité" xfId="1632" builtinId="9" hidden="1"/>
    <cellStyle name="Lien hypertexte visité" xfId="9191" builtinId="9" hidden="1"/>
    <cellStyle name="Lien hypertexte visité" xfId="8514" builtinId="9" hidden="1"/>
    <cellStyle name="Lien hypertexte visité" xfId="11414" builtinId="9" hidden="1"/>
    <cellStyle name="Lien hypertexte visité" xfId="18368" builtinId="9" hidden="1"/>
    <cellStyle name="Lien hypertexte visité" xfId="21298" builtinId="9" hidden="1"/>
    <cellStyle name="Lien hypertexte visité" xfId="21936" builtinId="9" hidden="1"/>
    <cellStyle name="Lien hypertexte visité" xfId="13722" builtinId="9" hidden="1"/>
    <cellStyle name="Lien hypertexte visité" xfId="22832" builtinId="9" hidden="1"/>
    <cellStyle name="Lien hypertexte visité" xfId="20442" builtinId="9" hidden="1"/>
    <cellStyle name="Lien hypertexte visité" xfId="19442" builtinId="9" hidden="1"/>
    <cellStyle name="Lien hypertexte visité" xfId="22794" builtinId="9" hidden="1"/>
    <cellStyle name="Lien hypertexte visité" xfId="24488" builtinId="9" hidden="1"/>
    <cellStyle name="Lien hypertexte visité" xfId="21312" builtinId="9" hidden="1"/>
    <cellStyle name="Lien hypertexte visité" xfId="17977" builtinId="9" hidden="1"/>
    <cellStyle name="Lien hypertexte visité" xfId="15529" builtinId="9" hidden="1"/>
    <cellStyle name="Lien hypertexte visité" xfId="13430" builtinId="9" hidden="1"/>
    <cellStyle name="Lien hypertexte visité" xfId="11830" builtinId="9" hidden="1"/>
    <cellStyle name="Lien hypertexte visité" xfId="10786" builtinId="9" hidden="1"/>
    <cellStyle name="Lien hypertexte visité" xfId="9186" builtinId="9" hidden="1"/>
    <cellStyle name="Lien hypertexte visité" xfId="15451" builtinId="9" hidden="1"/>
    <cellStyle name="Lien hypertexte visité" xfId="13399" builtinId="9" hidden="1"/>
    <cellStyle name="Lien hypertexte visité" xfId="11015" builtinId="9" hidden="1"/>
    <cellStyle name="Lien hypertexte visité" xfId="8631" builtinId="9" hidden="1"/>
    <cellStyle name="Lien hypertexte visité" xfId="6790" builtinId="9" hidden="1"/>
    <cellStyle name="Lien hypertexte visité" xfId="4278" builtinId="9" hidden="1"/>
    <cellStyle name="Lien hypertexte visité" xfId="1872" builtinId="9" hidden="1"/>
    <cellStyle name="Lien hypertexte visité" xfId="271" builtinId="9" hidden="1"/>
    <cellStyle name="Lien hypertexte visité" xfId="3246" builtinId="9" hidden="1"/>
    <cellStyle name="Lien hypertexte visité" xfId="5636" builtinId="9" hidden="1"/>
    <cellStyle name="Lien hypertexte visité" xfId="7124" builtinId="9" hidden="1"/>
    <cellStyle name="Lien hypertexte visité" xfId="9605" builtinId="9" hidden="1"/>
    <cellStyle name="Lien hypertexte visité" xfId="11989" builtinId="9" hidden="1"/>
    <cellStyle name="Lien hypertexte visité" xfId="13829" builtinId="9" hidden="1"/>
    <cellStyle name="Lien hypertexte visité" xfId="17911" builtinId="9" hidden="1"/>
    <cellStyle name="Lien hypertexte visité" xfId="4701" builtinId="9" hidden="1"/>
    <cellStyle name="Lien hypertexte visité" xfId="5945" builtinId="9" hidden="1"/>
    <cellStyle name="Lien hypertexte visité" xfId="7994" builtinId="9" hidden="1"/>
    <cellStyle name="Lien hypertexte visité" xfId="3439" builtinId="9" hidden="1"/>
    <cellStyle name="Lien hypertexte visité" xfId="2011" builtinId="9" hidden="1"/>
    <cellStyle name="Lien hypertexte visité" xfId="2095" builtinId="9" hidden="1"/>
    <cellStyle name="Lien hypertexte visité" xfId="2743" builtinId="9" hidden="1"/>
    <cellStyle name="Lien hypertexte visité" xfId="7834" builtinId="9" hidden="1"/>
    <cellStyle name="Lien hypertexte visité" xfId="5785" builtinId="9" hidden="1"/>
    <cellStyle name="Lien hypertexte visité" xfId="8874" builtinId="9" hidden="1"/>
    <cellStyle name="Lien hypertexte visité" xfId="13610" builtinId="9" hidden="1"/>
    <cellStyle name="Lien hypertexte visité" xfId="22202" builtinId="9" hidden="1"/>
    <cellStyle name="Lien hypertexte visité" xfId="20434" builtinId="9" hidden="1"/>
    <cellStyle name="Lien hypertexte visité" xfId="23682" builtinId="9" hidden="1"/>
    <cellStyle name="Lien hypertexte visité" xfId="20768" builtinId="9" hidden="1"/>
    <cellStyle name="Lien hypertexte visité" xfId="16009" builtinId="9" hidden="1"/>
    <cellStyle name="Lien hypertexte visité" xfId="13470" builtinId="9" hidden="1"/>
    <cellStyle name="Lien hypertexte visité" xfId="10950" builtinId="9" hidden="1"/>
    <cellStyle name="Lien hypertexte visité" xfId="8562" builtinId="9" hidden="1"/>
    <cellStyle name="Lien hypertexte visité" xfId="14191" builtinId="9" hidden="1"/>
    <cellStyle name="Lien hypertexte visité" xfId="10479" builtinId="9" hidden="1"/>
    <cellStyle name="Lien hypertexte visité" xfId="6894" builtinId="9" hidden="1"/>
    <cellStyle name="Lien hypertexte visité" xfId="4654" builtinId="9" hidden="1"/>
    <cellStyle name="Lien hypertexte visité" xfId="579" builtinId="9" hidden="1"/>
    <cellStyle name="Lien hypertexte visité" xfId="3871" builtinId="9" hidden="1"/>
    <cellStyle name="Lien hypertexte visité" xfId="6556" builtinId="9" hidden="1"/>
    <cellStyle name="Lien hypertexte visité" xfId="10141" builtinId="9" hidden="1"/>
    <cellStyle name="Lien hypertexte visité" xfId="13917" builtinId="9" hidden="1"/>
    <cellStyle name="Lien hypertexte visité" xfId="17799" builtinId="9" hidden="1"/>
    <cellStyle name="Lien hypertexte visité" xfId="24276" builtinId="9" hidden="1"/>
    <cellStyle name="Lien hypertexte visité" xfId="16869" builtinId="9" hidden="1"/>
    <cellStyle name="Lien hypertexte visité" xfId="13452" builtinId="9" hidden="1"/>
    <cellStyle name="Lien hypertexte visité" xfId="9868" builtinId="9" hidden="1"/>
    <cellStyle name="Lien hypertexte visité" xfId="6091" builtinId="9" hidden="1"/>
    <cellStyle name="Lien hypertexte visité" xfId="3397" builtinId="9" hidden="1"/>
    <cellStyle name="Lien hypertexte visité" xfId="1336" builtinId="9" hidden="1"/>
    <cellStyle name="Lien hypertexte visité" xfId="4927" builtinId="9" hidden="1"/>
    <cellStyle name="Lien hypertexte visité" xfId="7359" builtinId="9" hidden="1"/>
    <cellStyle name="Lien hypertexte visité" xfId="1650" builtinId="9" hidden="1"/>
    <cellStyle name="Lien hypertexte visité" xfId="12325" builtinId="9" hidden="1"/>
    <cellStyle name="Lien hypertexte visité" xfId="5939" builtinId="9" hidden="1"/>
    <cellStyle name="Lien hypertexte visité" xfId="9012" builtinId="9" hidden="1"/>
    <cellStyle name="Lien hypertexte visité" xfId="12084" builtinId="9" hidden="1"/>
    <cellStyle name="Lien hypertexte visité" xfId="14420" builtinId="9" hidden="1"/>
    <cellStyle name="Lien hypertexte visité" xfId="20740" builtinId="9" hidden="1"/>
    <cellStyle name="Lien hypertexte visité" xfId="22342" builtinId="9" hidden="1"/>
    <cellStyle name="Lien hypertexte visité" xfId="23046" builtinId="9" hidden="1"/>
    <cellStyle name="Lien hypertexte visité" xfId="1857" builtinId="9" hidden="1"/>
    <cellStyle name="Lien hypertexte visité" xfId="2157" builtinId="9" hidden="1"/>
    <cellStyle name="Lien hypertexte visité" xfId="3939" builtinId="9" hidden="1"/>
    <cellStyle name="Lien hypertexte visité" xfId="4679" builtinId="9" hidden="1"/>
    <cellStyle name="Lien hypertexte visité" xfId="6599" builtinId="9" hidden="1"/>
    <cellStyle name="Lien hypertexte visité" xfId="8776" builtinId="9" hidden="1"/>
    <cellStyle name="Lien hypertexte visité" xfId="7175" builtinId="9" hidden="1"/>
    <cellStyle name="Lien hypertexte visité" xfId="5399" builtinId="9" hidden="1"/>
    <cellStyle name="Lien hypertexte visité" xfId="4435" builtinId="9" hidden="1"/>
    <cellStyle name="Lien hypertexte visité" xfId="1565" builtinId="9" hidden="1"/>
    <cellStyle name="Lien hypertexte visité" xfId="2593" builtinId="9" hidden="1"/>
    <cellStyle name="Lien hypertexte visité" xfId="18756" builtinId="9" hidden="1"/>
    <cellStyle name="Lien hypertexte visité" xfId="23622" builtinId="9" hidden="1"/>
    <cellStyle name="Lien hypertexte visité" xfId="19172" builtinId="9" hidden="1"/>
    <cellStyle name="Lien hypertexte visité" xfId="14517" builtinId="9" hidden="1"/>
    <cellStyle name="Lien hypertexte visité" xfId="11444" builtinId="9" hidden="1"/>
    <cellStyle name="Lien hypertexte visité" xfId="8372" builtinId="9" hidden="1"/>
    <cellStyle name="Lien hypertexte visité" xfId="6323" builtinId="9" hidden="1"/>
    <cellStyle name="Lien hypertexte visité" xfId="10085" builtinId="9" hidden="1"/>
    <cellStyle name="Lien hypertexte visité" xfId="1824" builtinId="9" hidden="1"/>
    <cellStyle name="Lien hypertexte visité" xfId="8999" builtinId="9" hidden="1"/>
    <cellStyle name="Lien hypertexte visité" xfId="10774" builtinId="9" hidden="1"/>
    <cellStyle name="Lien hypertexte visité" xfId="21352" builtinId="9" hidden="1"/>
    <cellStyle name="Lien hypertexte visité" xfId="18330" builtinId="9" hidden="1"/>
    <cellStyle name="Lien hypertexte visité" xfId="15425" builtinId="9" hidden="1"/>
    <cellStyle name="Lien hypertexte visité" xfId="19482" builtinId="9" hidden="1"/>
    <cellStyle name="Lien hypertexte visité" xfId="19530" builtinId="9" hidden="1"/>
    <cellStyle name="Lien hypertexte visité" xfId="24522" builtinId="9" hidden="1"/>
    <cellStyle name="Lien hypertexte visité" xfId="19928" builtinId="9" hidden="1"/>
    <cellStyle name="Lien hypertexte visité" xfId="16977" builtinId="9" hidden="1"/>
    <cellStyle name="Lien hypertexte visité" xfId="13238" builtinId="9" hidden="1"/>
    <cellStyle name="Lien hypertexte visité" xfId="10850" builtinId="9" hidden="1"/>
    <cellStyle name="Lien hypertexte visité" xfId="9038" builtinId="9" hidden="1"/>
    <cellStyle name="Lien hypertexte visité" xfId="13559" builtinId="9" hidden="1"/>
    <cellStyle name="Lien hypertexte visité" xfId="9799" builtinId="9" hidden="1"/>
    <cellStyle name="Lien hypertexte visité" xfId="7574" builtinId="9" hidden="1"/>
    <cellStyle name="Lien hypertexte visité" xfId="3990" builtinId="9" hidden="1"/>
    <cellStyle name="Lien hypertexte visité" xfId="655" builtinId="9" hidden="1"/>
    <cellStyle name="Lien hypertexte visité" xfId="3134" builtinId="9" hidden="1"/>
    <cellStyle name="Lien hypertexte visité" xfId="6724" builtinId="9" hidden="1"/>
    <cellStyle name="Lien hypertexte visité" xfId="10485" builtinId="9" hidden="1"/>
    <cellStyle name="Lien hypertexte visité" xfId="13205" builtinId="9" hidden="1"/>
    <cellStyle name="Lien hypertexte visité" xfId="19046" builtinId="9" hidden="1"/>
    <cellStyle name="Lien hypertexte visité" xfId="6109" builtinId="9" hidden="1"/>
    <cellStyle name="Lien hypertexte visité" xfId="8158" builtinId="9" hidden="1"/>
    <cellStyle name="Lien hypertexte visité" xfId="1827" builtinId="9" hidden="1"/>
    <cellStyle name="Lien hypertexte visité" xfId="3395" builtinId="9" hidden="1"/>
    <cellStyle name="Lien hypertexte visité" xfId="5129" builtinId="9" hidden="1"/>
    <cellStyle name="Lien hypertexte visité" xfId="5585" builtinId="9" hidden="1"/>
    <cellStyle name="Lien hypertexte visité" xfId="13162" builtinId="9" hidden="1"/>
    <cellStyle name="Lien hypertexte visité" xfId="21050" builtinId="9" hidden="1"/>
    <cellStyle name="Lien hypertexte visité" xfId="23554" builtinId="9" hidden="1"/>
    <cellStyle name="Lien hypertexte visité" xfId="18504" builtinId="9" hidden="1"/>
    <cellStyle name="Lien hypertexte visité" xfId="14302" builtinId="9" hidden="1"/>
    <cellStyle name="Lien hypertexte visité" xfId="10546" builtinId="9" hidden="1"/>
    <cellStyle name="Lien hypertexte visité" xfId="14031" builtinId="9" hidden="1"/>
    <cellStyle name="Lien hypertexte visité" xfId="10703" builtinId="9" hidden="1"/>
    <cellStyle name="Lien hypertexte visité" xfId="5070" builtinId="9" hidden="1"/>
    <cellStyle name="Lien hypertexte visité" xfId="1461" builtinId="9" hidden="1"/>
    <cellStyle name="Lien hypertexte visité" xfId="5564" builtinId="9" hidden="1"/>
    <cellStyle name="Lien hypertexte visité" xfId="10941" builtinId="9" hidden="1"/>
    <cellStyle name="Lien hypertexte visité" xfId="18614" builtinId="9" hidden="1"/>
    <cellStyle name="Lien hypertexte visité" xfId="23956" builtinId="9" hidden="1"/>
    <cellStyle name="Lien hypertexte visité" xfId="13868" builtinId="9" hidden="1"/>
    <cellStyle name="Lien hypertexte visité" xfId="8236" builtinId="9" hidden="1"/>
    <cellStyle name="Lien hypertexte visité" xfId="4907" builtinId="9" hidden="1"/>
    <cellStyle name="Lien hypertexte visité" xfId="1625" builtinId="9" hidden="1"/>
    <cellStyle name="Lien hypertexte visité" xfId="7263" builtinId="9" hidden="1"/>
    <cellStyle name="Lien hypertexte visité" xfId="1930" builtinId="9" hidden="1"/>
    <cellStyle name="Lien hypertexte visité" xfId="5520" builtinId="9" hidden="1"/>
    <cellStyle name="Lien hypertexte visité" xfId="9105" builtinId="9" hidden="1"/>
    <cellStyle name="Lien hypertexte visité" xfId="11489" builtinId="9" hidden="1"/>
    <cellStyle name="Lien hypertexte visité" xfId="15631" builtinId="9" hidden="1"/>
    <cellStyle name="Lien hypertexte visité" xfId="22782" builtinId="9" hidden="1"/>
    <cellStyle name="Lien hypertexte visité" xfId="21660" builtinId="9" hidden="1"/>
    <cellStyle name="Lien hypertexte visité" xfId="14512" builtinId="9" hidden="1"/>
    <cellStyle name="Lien hypertexte visité" xfId="10928" builtinId="9" hidden="1"/>
    <cellStyle name="Lien hypertexte visité" xfId="10816" builtinId="9" hidden="1"/>
    <cellStyle name="Lien hypertexte visité" xfId="19598" builtinId="9" hidden="1"/>
    <cellStyle name="Lien hypertexte visité" xfId="6312" builtinId="9" hidden="1"/>
    <cellStyle name="Lien hypertexte visité" xfId="9307" builtinId="9" hidden="1"/>
    <cellStyle name="Lien hypertexte visité" xfId="6090" builtinId="9" hidden="1"/>
    <cellStyle name="Lien hypertexte visité" xfId="3012" builtinId="9" hidden="1"/>
    <cellStyle name="Lien hypertexte visité" xfId="1051" builtinId="9" hidden="1"/>
    <cellStyle name="Lien hypertexte visité" xfId="11251" builtinId="9" hidden="1"/>
    <cellStyle name="Lien hypertexte visité" xfId="13627" builtinId="9" hidden="1"/>
    <cellStyle name="Lien hypertexte visité" xfId="17059" builtinId="9" hidden="1"/>
    <cellStyle name="Lien hypertexte visité" xfId="13995" builtinId="9" hidden="1"/>
    <cellStyle name="Lien hypertexte visité" xfId="11771" builtinId="9" hidden="1"/>
    <cellStyle name="Lien hypertexte visité" xfId="4706" builtinId="9" hidden="1"/>
    <cellStyle name="Lien hypertexte visité" xfId="3428" builtinId="9" hidden="1"/>
    <cellStyle name="Lien hypertexte visité" xfId="6650" builtinId="9" hidden="1"/>
    <cellStyle name="Lien hypertexte visité" xfId="8555" builtinId="9" hidden="1"/>
    <cellStyle name="Lien hypertexte visité" xfId="8934" builtinId="9" hidden="1"/>
    <cellStyle name="Lien hypertexte visité" xfId="13247" builtinId="9" hidden="1"/>
    <cellStyle name="Lien hypertexte visité" xfId="10495" builtinId="9" hidden="1"/>
    <cellStyle name="Lien hypertexte visité" xfId="11485" builtinId="9" hidden="1"/>
    <cellStyle name="Lien hypertexte visité" xfId="11276" builtinId="9" hidden="1"/>
    <cellStyle name="Lien hypertexte visité" xfId="893" builtinId="9" hidden="1"/>
    <cellStyle name="Lien hypertexte visité" xfId="3540" builtinId="9" hidden="1"/>
    <cellStyle name="Lien hypertexte visité" xfId="6258" builtinId="9" hidden="1"/>
    <cellStyle name="Lien hypertexte visité" xfId="7899" builtinId="9" hidden="1"/>
    <cellStyle name="Lien hypertexte visité" xfId="4072" builtinId="9" hidden="1"/>
    <cellStyle name="Lien hypertexte visité" xfId="13545" builtinId="9" hidden="1"/>
    <cellStyle name="Lien hypertexte visité" xfId="22844" builtinId="9" hidden="1"/>
    <cellStyle name="Lien hypertexte visité" xfId="9216" builtinId="9" hidden="1"/>
    <cellStyle name="Lien hypertexte visité" xfId="11848" builtinId="9" hidden="1"/>
    <cellStyle name="Lien hypertexte visité" xfId="13768" builtinId="9" hidden="1"/>
    <cellStyle name="Lien hypertexte visité" xfId="19308" builtinId="9" hidden="1"/>
    <cellStyle name="Lien hypertexte visité" xfId="23678" builtinId="9" hidden="1"/>
    <cellStyle name="Lien hypertexte visité" xfId="19838" builtinId="9" hidden="1"/>
    <cellStyle name="Lien hypertexte visité" xfId="14033" builtinId="9" hidden="1"/>
    <cellStyle name="Lien hypertexte visité" xfId="10913" builtinId="9" hidden="1"/>
    <cellStyle name="Lien hypertexte visité" xfId="8569" builtinId="9" hidden="1"/>
    <cellStyle name="Lien hypertexte visité" xfId="5456" builtinId="9" hidden="1"/>
    <cellStyle name="Lien hypertexte visité" xfId="2330" builtinId="9" hidden="1"/>
    <cellStyle name="Lien hypertexte visité" xfId="17039" builtinId="9" hidden="1"/>
    <cellStyle name="Lien hypertexte visité" xfId="8297" builtinId="9" hidden="1"/>
    <cellStyle name="Lien hypertexte visité" xfId="9675" builtinId="9" hidden="1"/>
    <cellStyle name="Lien hypertexte visité" xfId="13451" builtinId="9" hidden="1"/>
    <cellStyle name="Lien hypertexte visité" xfId="17091" builtinId="9" hidden="1"/>
    <cellStyle name="Lien hypertexte visité" xfId="13771" builtinId="9" hidden="1"/>
    <cellStyle name="Lien hypertexte visité" xfId="10315" builtinId="9" hidden="1"/>
    <cellStyle name="Lien hypertexte visité" xfId="12635" builtinId="9" hidden="1"/>
    <cellStyle name="Lien hypertexte visité" xfId="1860" builtinId="9" hidden="1"/>
    <cellStyle name="Lien hypertexte visité" xfId="15795" builtinId="9" hidden="1"/>
    <cellStyle name="Lien hypertexte visité" xfId="2604" builtinId="9" hidden="1"/>
    <cellStyle name="Lien hypertexte visité" xfId="5858" builtinId="9" hidden="1"/>
    <cellStyle name="Lien hypertexte visité" xfId="11995" builtinId="9" hidden="1"/>
    <cellStyle name="Lien hypertexte visité" xfId="6994" builtinId="9" hidden="1"/>
    <cellStyle name="Lien hypertexte visité" xfId="4618" builtinId="9" hidden="1"/>
    <cellStyle name="Lien hypertexte visité" xfId="3330" builtinId="9" hidden="1"/>
    <cellStyle name="Lien hypertexte visité" xfId="4872" builtinId="9" hidden="1"/>
    <cellStyle name="Lien hypertexte visité" xfId="619" builtinId="9" hidden="1"/>
    <cellStyle name="Lien hypertexte visité" xfId="5898" builtinId="9" hidden="1"/>
    <cellStyle name="Lien hypertexte visité" xfId="10971" builtinId="9" hidden="1"/>
    <cellStyle name="Lien hypertexte visité" xfId="7138" builtinId="9" hidden="1"/>
    <cellStyle name="Lien hypertexte visité" xfId="1508" builtinId="9" hidden="1"/>
    <cellStyle name="Lien hypertexte visité" xfId="1157" builtinId="9" hidden="1"/>
    <cellStyle name="Lien hypertexte visité" xfId="2044" builtinId="9" hidden="1"/>
    <cellStyle name="Lien hypertexte visité" xfId="5922" builtinId="9" hidden="1"/>
    <cellStyle name="Lien hypertexte visité" xfId="11067" builtinId="9" hidden="1"/>
    <cellStyle name="Lien hypertexte visité" xfId="13971" builtinId="9" hidden="1"/>
    <cellStyle name="Lien hypertexte visité" xfId="15283" builtinId="9" hidden="1"/>
    <cellStyle name="Lien hypertexte visité" xfId="15027" builtinId="9" hidden="1"/>
    <cellStyle name="Lien hypertexte visité" xfId="9499" builtinId="9" hidden="1"/>
    <cellStyle name="Lien hypertexte visité" xfId="3284" builtinId="9" hidden="1"/>
    <cellStyle name="Lien hypertexte visité" xfId="13464" builtinId="9" hidden="1"/>
    <cellStyle name="Lien hypertexte visité" xfId="3835" builtinId="9" hidden="1"/>
    <cellStyle name="Lien hypertexte visité" xfId="4432" builtinId="9" hidden="1"/>
    <cellStyle name="Lien hypertexte visité" xfId="7544" builtinId="9" hidden="1"/>
    <cellStyle name="Lien hypertexte visité" xfId="10705" builtinId="9" hidden="1"/>
    <cellStyle name="Lien hypertexte visité" xfId="12625" builtinId="9" hidden="1"/>
    <cellStyle name="Lien hypertexte visité" xfId="16959" builtinId="9" hidden="1"/>
    <cellStyle name="Lien hypertexte visité" xfId="23262" builtinId="9" hidden="1"/>
    <cellStyle name="Lien hypertexte visité" xfId="22124" builtinId="9" hidden="1"/>
    <cellStyle name="Lien hypertexte visité" xfId="15917" builtinId="9" hidden="1"/>
    <cellStyle name="Lien hypertexte visité" xfId="12056" builtinId="9" hidden="1"/>
    <cellStyle name="Lien hypertexte visité" xfId="9752" builtinId="9" hidden="1"/>
    <cellStyle name="Lien hypertexte visité" xfId="16717" builtinId="9" hidden="1"/>
    <cellStyle name="Lien hypertexte visité" xfId="14185" builtinId="9" hidden="1"/>
    <cellStyle name="Lien hypertexte visité" xfId="8425" builtinId="9" hidden="1"/>
    <cellStyle name="Lien hypertexte visité" xfId="9107" builtinId="9" hidden="1"/>
    <cellStyle name="Lien hypertexte visité" xfId="6442" builtinId="9" hidden="1"/>
    <cellStyle name="Lien hypertexte visité" xfId="4794" builtinId="9" hidden="1"/>
    <cellStyle name="Lien hypertexte visité" xfId="7551" builtinId="9" hidden="1"/>
    <cellStyle name="Lien hypertexte visité" xfId="9996" builtinId="9" hidden="1"/>
    <cellStyle name="Lien hypertexte visité" xfId="19190" builtinId="9" hidden="1"/>
    <cellStyle name="Lien hypertexte visité" xfId="195" builtinId="9" hidden="1"/>
    <cellStyle name="Lien hypertexte visité" xfId="8990" builtinId="9" hidden="1"/>
    <cellStyle name="Lien hypertexte visité" xfId="17113" builtinId="9" hidden="1"/>
    <cellStyle name="Lien hypertexte visité" xfId="12714" builtinId="9" hidden="1"/>
    <cellStyle name="Lien hypertexte visité" xfId="1350" builtinId="9" hidden="1"/>
    <cellStyle name="Lien hypertexte visité" xfId="7153" builtinId="9" hidden="1"/>
    <cellStyle name="Lien hypertexte visité" xfId="10677" builtinId="9" hidden="1"/>
    <cellStyle name="Lien hypertexte visité" xfId="1407" builtinId="9" hidden="1"/>
    <cellStyle name="Lien hypertexte visité" xfId="9607" builtinId="9" hidden="1"/>
    <cellStyle name="Lien hypertexte visité" xfId="11298" builtinId="9" hidden="1"/>
    <cellStyle name="Lien hypertexte visité" xfId="22616" builtinId="9" hidden="1"/>
    <cellStyle name="Lien hypertexte visité" xfId="17523" builtinId="9" hidden="1"/>
    <cellStyle name="Lien hypertexte visité" xfId="20760" builtinId="9" hidden="1"/>
    <cellStyle name="Lien hypertexte visité" xfId="3879" builtinId="9" hidden="1"/>
    <cellStyle name="Lien hypertexte visité" xfId="3168" builtinId="9" hidden="1"/>
    <cellStyle name="Lien hypertexte visité" xfId="14055" builtinId="9" hidden="1"/>
    <cellStyle name="Lien hypertexte visité" xfId="14318" builtinId="9" hidden="1"/>
    <cellStyle name="Lien hypertexte visité" xfId="24202" builtinId="9" hidden="1"/>
    <cellStyle name="Lien hypertexte visité" xfId="11834" builtinId="9" hidden="1"/>
    <cellStyle name="Lien hypertexte visité" xfId="22128" builtinId="9" hidden="1"/>
    <cellStyle name="Lien hypertexte visité" xfId="17899" builtinId="9" hidden="1"/>
    <cellStyle name="Lien hypertexte visité" xfId="21938" builtinId="9" hidden="1"/>
    <cellStyle name="Lien hypertexte visité" xfId="22440" builtinId="9" hidden="1"/>
    <cellStyle name="Lien hypertexte visité" xfId="19368" builtinId="9" hidden="1"/>
    <cellStyle name="Lien hypertexte visité" xfId="14569" builtinId="9" hidden="1"/>
    <cellStyle name="Lien hypertexte visité" xfId="12118" builtinId="9" hidden="1"/>
    <cellStyle name="Lien hypertexte visité" xfId="10294" builtinId="9" hidden="1"/>
    <cellStyle name="Lien hypertexte visité" xfId="16219" builtinId="9" hidden="1"/>
    <cellStyle name="Lien hypertexte visité" xfId="11735" builtinId="9" hidden="1"/>
    <cellStyle name="Lien hypertexte visité" xfId="9479" builtinId="9" hidden="1"/>
    <cellStyle name="Lien hypertexte visité" xfId="5814" builtinId="9" hidden="1"/>
    <cellStyle name="Lien hypertexte visité" xfId="2176" builtinId="9" hidden="1"/>
    <cellStyle name="Lien hypertexte visité" xfId="1229" builtinId="9" hidden="1"/>
    <cellStyle name="Lien hypertexte visité" xfId="4916" builtinId="9" hidden="1"/>
    <cellStyle name="Lien hypertexte visité" xfId="8533" builtinId="9" hidden="1"/>
    <cellStyle name="Lien hypertexte visité" xfId="11269" builtinId="9" hidden="1"/>
    <cellStyle name="Lien hypertexte visité" xfId="15287" builtinId="9" hidden="1"/>
    <cellStyle name="Lien hypertexte visité" xfId="4557" builtinId="9" hidden="1"/>
    <cellStyle name="Lien hypertexte visité" xfId="6493" builtinId="9" hidden="1"/>
    <cellStyle name="Lien hypertexte visité" xfId="2927" builtinId="9" hidden="1"/>
    <cellStyle name="Lien hypertexte visité" xfId="881" builtinId="9" hidden="1"/>
    <cellStyle name="Lien hypertexte visité" xfId="3600" builtinId="9" hidden="1"/>
    <cellStyle name="Lien hypertexte visité" xfId="7213" builtinId="9" hidden="1"/>
    <cellStyle name="Lien hypertexte visité" xfId="4065" builtinId="9" hidden="1"/>
    <cellStyle name="Lien hypertexte visité" xfId="17313" builtinId="9" hidden="1"/>
    <cellStyle name="Lien hypertexte visité" xfId="19666" builtinId="9" hidden="1"/>
    <cellStyle name="Lien hypertexte visité" xfId="22304" builtinId="9" hidden="1"/>
    <cellStyle name="Lien hypertexte visité" xfId="17713" builtinId="9" hidden="1"/>
    <cellStyle name="Lien hypertexte visité" xfId="12486" builtinId="9" hidden="1"/>
    <cellStyle name="Lien hypertexte visité" xfId="8862" builtinId="9" hidden="1"/>
    <cellStyle name="Lien hypertexte visité" xfId="13423" builtinId="9" hidden="1"/>
    <cellStyle name="Lien hypertexte visité" xfId="7983" builtinId="9" hidden="1"/>
    <cellStyle name="Lien hypertexte visité" xfId="2536" builtinId="9" hidden="1"/>
    <cellStyle name="Lien hypertexte visité" xfId="2710" builtinId="9" hidden="1"/>
    <cellStyle name="Lien hypertexte visité" xfId="8221" builtinId="9" hidden="1"/>
    <cellStyle name="Lien hypertexte visité" xfId="13661" builtinId="9" hidden="1"/>
    <cellStyle name="Lien hypertexte visité" xfId="19574" builtinId="9" hidden="1"/>
    <cellStyle name="Lien hypertexte visité" xfId="18644" builtinId="9" hidden="1"/>
    <cellStyle name="Lien hypertexte visité" xfId="11148" builtinId="9" hidden="1"/>
    <cellStyle name="Lien hypertexte visité" xfId="7755" builtinId="9" hidden="1"/>
    <cellStyle name="Lien hypertexte visité" xfId="2245" builtinId="9" hidden="1"/>
    <cellStyle name="Lien hypertexte visité" xfId="4351" builtinId="9" hidden="1"/>
    <cellStyle name="Lien hypertexte visité" xfId="8448" builtinId="9" hidden="1"/>
    <cellStyle name="Lien hypertexte visité" xfId="10533" builtinId="9" hidden="1"/>
    <cellStyle name="Lien hypertexte visité" xfId="8052" builtinId="9" hidden="1"/>
    <cellStyle name="Lien hypertexte visité" xfId="10980" builtinId="9" hidden="1"/>
    <cellStyle name="Lien hypertexte visité" xfId="16821" builtinId="9" hidden="1"/>
    <cellStyle name="Lien hypertexte visité" xfId="23078" builtinId="9" hidden="1"/>
    <cellStyle name="Lien hypertexte visité" xfId="16981" builtinId="9" hidden="1"/>
    <cellStyle name="Lien hypertexte visité" xfId="1260" builtinId="9" hidden="1"/>
    <cellStyle name="Lien hypertexte visité" xfId="5943" builtinId="9" hidden="1"/>
    <cellStyle name="Lien hypertexte visité" xfId="5255" builtinId="9" hidden="1"/>
    <cellStyle name="Lien hypertexte visité" xfId="7896" builtinId="9" hidden="1"/>
    <cellStyle name="Lien hypertexte visité" xfId="5191" builtinId="9" hidden="1"/>
    <cellStyle name="Lien hypertexte visité" xfId="3685" builtinId="9" hidden="1"/>
    <cellStyle name="Lien hypertexte visité" xfId="1841" builtinId="9" hidden="1"/>
    <cellStyle name="Lien hypertexte visité" xfId="21414" builtinId="9" hidden="1"/>
    <cellStyle name="Lien hypertexte visité" xfId="21956" builtinId="9" hidden="1"/>
    <cellStyle name="Lien hypertexte visité" xfId="13556" builtinId="9" hidden="1"/>
    <cellStyle name="Lien hypertexte visité" xfId="8884" builtinId="9" hidden="1"/>
    <cellStyle name="Lien hypertexte visité" xfId="5363" builtinId="9" hidden="1"/>
    <cellStyle name="Lien hypertexte visité" xfId="1071" builtinId="9" hidden="1"/>
    <cellStyle name="Lien hypertexte visité" xfId="8558" builtinId="9" hidden="1"/>
    <cellStyle name="Lien hypertexte visité" xfId="16249" builtinId="9" hidden="1"/>
    <cellStyle name="Lien hypertexte visité" xfId="14010" builtinId="9" hidden="1"/>
    <cellStyle name="Lien hypertexte visité" xfId="21210" builtinId="9" hidden="1"/>
    <cellStyle name="Lien hypertexte visité" xfId="20554" builtinId="9" hidden="1"/>
    <cellStyle name="Lien hypertexte visité" xfId="21400" builtinId="9" hidden="1"/>
    <cellStyle name="Lien hypertexte visité" xfId="14326" builtinId="9" hidden="1"/>
    <cellStyle name="Lien hypertexte visité" xfId="11598" builtinId="9" hidden="1"/>
    <cellStyle name="Lien hypertexte visité" xfId="16507" builtinId="9" hidden="1"/>
    <cellStyle name="Lien hypertexte visité" xfId="10055" builtinId="9" hidden="1"/>
    <cellStyle name="Lien hypertexte visité" xfId="6646" builtinId="9" hidden="1"/>
    <cellStyle name="Lien hypertexte visité" xfId="1167" builtinId="9" hidden="1"/>
    <cellStyle name="Lien hypertexte visité" xfId="5444" builtinId="9" hidden="1"/>
    <cellStyle name="Lien hypertexte visité" xfId="8853" builtinId="9" hidden="1"/>
    <cellStyle name="Lien hypertexte visité" xfId="14325" builtinId="9" hidden="1"/>
    <cellStyle name="Lien hypertexte visité" xfId="5597" builtinId="9" hidden="1"/>
    <cellStyle name="Lien hypertexte visité" xfId="2467" builtinId="9" hidden="1"/>
    <cellStyle name="Lien hypertexte visité" xfId="1815" builtinId="9" hidden="1"/>
    <cellStyle name="Lien hypertexte visité" xfId="6533" builtinId="9" hidden="1"/>
    <cellStyle name="Lien hypertexte visité" xfId="9322" builtinId="9" hidden="1"/>
    <cellStyle name="Lien hypertexte visité" xfId="18946" builtinId="9" hidden="1"/>
    <cellStyle name="Lien hypertexte visité" xfId="19360" builtinId="9" hidden="1"/>
    <cellStyle name="Lien hypertexte visité" xfId="13534" builtinId="9" hidden="1"/>
    <cellStyle name="Lien hypertexte visité" xfId="16875" builtinId="9" hidden="1"/>
    <cellStyle name="Lien hypertexte visité" xfId="7502" builtinId="9" hidden="1"/>
    <cellStyle name="Lien hypertexte visité" xfId="1351" builtinId="9" hidden="1"/>
    <cellStyle name="Lien hypertexte visité" xfId="7997" builtinId="9" hidden="1"/>
    <cellStyle name="Lien hypertexte visité" xfId="17863" builtinId="9" hidden="1"/>
    <cellStyle name="Lien hypertexte visité" xfId="21140" builtinId="9" hidden="1"/>
    <cellStyle name="Lien hypertexte visité" xfId="9644" builtinId="9" hidden="1"/>
    <cellStyle name="Lien hypertexte visité" xfId="1444" builtinId="9" hidden="1"/>
    <cellStyle name="Lien hypertexte visité" xfId="4831" builtinId="9" hidden="1"/>
    <cellStyle name="Lien hypertexte visité" xfId="3034" builtinId="9" hidden="1"/>
    <cellStyle name="Lien hypertexte visité" xfId="8505" builtinId="9" hidden="1"/>
    <cellStyle name="Lien hypertexte visité" xfId="12601" builtinId="9" hidden="1"/>
    <cellStyle name="Lien hypertexte visité" xfId="21598" builtinId="9" hidden="1"/>
    <cellStyle name="Lien hypertexte visité" xfId="16733" builtinId="9" hidden="1"/>
    <cellStyle name="Lien hypertexte visité" xfId="12208" builtinId="9" hidden="1"/>
    <cellStyle name="Lien hypertexte visité" xfId="15821" builtinId="9" hidden="1"/>
    <cellStyle name="Lien hypertexte visité" xfId="7592" builtinId="9" hidden="1"/>
    <cellStyle name="Lien hypertexte visité" xfId="8651" builtinId="9" hidden="1"/>
    <cellStyle name="Lien hypertexte visité" xfId="3970" builtinId="9" hidden="1"/>
    <cellStyle name="Lien hypertexte visité" xfId="12547" builtinId="9" hidden="1"/>
    <cellStyle name="Lien hypertexte visité" xfId="12579" builtinId="9" hidden="1"/>
    <cellStyle name="Lien hypertexte visité" xfId="15123" builtinId="9" hidden="1"/>
    <cellStyle name="Lien hypertexte visité" xfId="11571" builtinId="9" hidden="1"/>
    <cellStyle name="Lien hypertexte visité" xfId="1147" builtinId="9" hidden="1"/>
    <cellStyle name="Lien hypertexte visité" xfId="5842" builtinId="9" hidden="1"/>
    <cellStyle name="Lien hypertexte visité" xfId="3916" builtinId="9" hidden="1"/>
    <cellStyle name="Lien hypertexte visité" xfId="15179" builtinId="9" hidden="1"/>
    <cellStyle name="Lien hypertexte visité" xfId="9407" builtinId="9" hidden="1"/>
    <cellStyle name="Lien hypertexte visité" xfId="3934" builtinId="9" hidden="1"/>
    <cellStyle name="Lien hypertexte visité" xfId="1317" builtinId="9" hidden="1"/>
    <cellStyle name="Lien hypertexte visité" xfId="6796" builtinId="9" hidden="1"/>
    <cellStyle name="Lien hypertexte visité" xfId="12237" builtinId="9" hidden="1"/>
    <cellStyle name="Lien hypertexte visité" xfId="16807" builtinId="9" hidden="1"/>
    <cellStyle name="Lien hypertexte visité" xfId="21492" builtinId="9" hidden="1"/>
    <cellStyle name="Lien hypertexte visité" xfId="12572" builtinId="9" hidden="1"/>
    <cellStyle name="Lien hypertexte visité" xfId="9148" builtinId="9" hidden="1"/>
    <cellStyle name="Lien hypertexte visité" xfId="3677" builtinId="9" hidden="1"/>
    <cellStyle name="Lien hypertexte visité" xfId="2921" builtinId="9" hidden="1"/>
    <cellStyle name="Lien hypertexte visité" xfId="7023" builtinId="9" hidden="1"/>
    <cellStyle name="Lien hypertexte visité" xfId="2682" builtinId="9" hidden="1"/>
    <cellStyle name="Lien hypertexte visité" xfId="6336" builtinId="9" hidden="1"/>
    <cellStyle name="Lien hypertexte visité" xfId="8601" builtinId="9" hidden="1"/>
    <cellStyle name="Lien hypertexte visité" xfId="12249" builtinId="9" hidden="1"/>
    <cellStyle name="Lien hypertexte visité" xfId="17279" builtinId="9" hidden="1"/>
    <cellStyle name="Lien hypertexte visité" xfId="21790" builtinId="9" hidden="1"/>
    <cellStyle name="Lien hypertexte visité" xfId="20140" builtinId="9" hidden="1"/>
    <cellStyle name="Lien hypertexte visité" xfId="13688" builtinId="9" hidden="1"/>
    <cellStyle name="Lien hypertexte visité" xfId="10960" builtinId="9" hidden="1"/>
    <cellStyle name="Lien hypertexte visité" xfId="13408" builtinId="9" hidden="1"/>
    <cellStyle name="Lien hypertexte visité" xfId="15071" builtinId="9" hidden="1"/>
    <cellStyle name="Lien hypertexte visité" xfId="7945" builtinId="9" hidden="1"/>
    <cellStyle name="Lien hypertexte visité" xfId="10216" builtinId="9" hidden="1"/>
    <cellStyle name="Lien hypertexte visité" xfId="21486" builtinId="9" hidden="1"/>
    <cellStyle name="Lien hypertexte visité" xfId="11185" builtinId="9" hidden="1"/>
    <cellStyle name="Lien hypertexte visité" xfId="8848" builtinId="9" hidden="1"/>
    <cellStyle name="Lien hypertexte visité" xfId="8700" builtinId="9" hidden="1"/>
    <cellStyle name="Lien hypertexte visité" xfId="21782" builtinId="9" hidden="1"/>
    <cellStyle name="Lien hypertexte visité" xfId="1766" builtinId="9" hidden="1"/>
    <cellStyle name="Lien hypertexte visité" xfId="17035" builtinId="9" hidden="1"/>
    <cellStyle name="Lien hypertexte visité" xfId="5869" builtinId="9" hidden="1"/>
    <cellStyle name="Lien hypertexte visité" xfId="10826" builtinId="9" hidden="1"/>
    <cellStyle name="Lien hypertexte visité" xfId="23418" builtinId="9" hidden="1"/>
    <cellStyle name="Lien hypertexte visité" xfId="19138" builtinId="9" hidden="1"/>
    <cellStyle name="Lien hypertexte visité" xfId="23816" builtinId="9" hidden="1"/>
    <cellStyle name="Lien hypertexte visité" xfId="17609" builtinId="9" hidden="1"/>
    <cellStyle name="Lien hypertexte visité" xfId="13714" builtinId="9" hidden="1"/>
    <cellStyle name="Lien hypertexte visité" xfId="10598" builtinId="9" hidden="1"/>
    <cellStyle name="Lien hypertexte visité" xfId="20546" builtinId="9" hidden="1"/>
    <cellStyle name="Lien hypertexte visité" xfId="3551" builtinId="9" hidden="1"/>
    <cellStyle name="Lien hypertexte visité" xfId="833" builtinId="9" hidden="1"/>
    <cellStyle name="Lien hypertexte visité" xfId="3059" builtinId="9" hidden="1"/>
    <cellStyle name="Lien hypertexte visité" xfId="8174" builtinId="9" hidden="1"/>
    <cellStyle name="Lien hypertexte visité" xfId="7381" builtinId="9" hidden="1"/>
    <cellStyle name="Lien hypertexte visité" xfId="3107" builtinId="9" hidden="1"/>
    <cellStyle name="Lien hypertexte visité" xfId="6229" builtinId="9" hidden="1"/>
    <cellStyle name="Lien hypertexte visité" xfId="8986" builtinId="9" hidden="1"/>
    <cellStyle name="Lien hypertexte visité" xfId="5093" builtinId="9" hidden="1"/>
    <cellStyle name="Lien hypertexte visité" xfId="2323" builtinId="9" hidden="1"/>
    <cellStyle name="Lien hypertexte visité" xfId="6521" builtinId="9" hidden="1"/>
    <cellStyle name="Lien hypertexte visité" xfId="2411" builtinId="9" hidden="1"/>
    <cellStyle name="Lien hypertexte visité" xfId="3889" builtinId="9" hidden="1"/>
    <cellStyle name="Lien hypertexte visité" xfId="1258" builtinId="9" hidden="1"/>
    <cellStyle name="Lien hypertexte visité" xfId="10186" builtinId="9" hidden="1"/>
    <cellStyle name="Lien hypertexte visité" xfId="11198" builtinId="9" hidden="1"/>
    <cellStyle name="Lien hypertexte visité" xfId="12094" builtinId="9" hidden="1"/>
    <cellStyle name="Lien hypertexte visité" xfId="15897" builtinId="9" hidden="1"/>
    <cellStyle name="Lien hypertexte visité" xfId="19768" builtinId="9" hidden="1"/>
    <cellStyle name="Lien hypertexte visité" xfId="23186" builtinId="9" hidden="1"/>
    <cellStyle name="Lien hypertexte visité" xfId="18312" builtinId="9" hidden="1"/>
    <cellStyle name="Lien hypertexte visité" xfId="19280" builtinId="9" hidden="1"/>
    <cellStyle name="Lien hypertexte visité" xfId="4129" builtinId="9" hidden="1"/>
    <cellStyle name="Lien hypertexte visité" xfId="6801" builtinId="9" hidden="1"/>
    <cellStyle name="Lien hypertexte visité" xfId="7967" builtinId="9" hidden="1"/>
    <cellStyle name="Lien hypertexte visité" xfId="12997" builtinId="9" hidden="1"/>
    <cellStyle name="Lien hypertexte visité" xfId="18790" builtinId="9" hidden="1"/>
    <cellStyle name="Lien hypertexte visité" xfId="4901" builtinId="9" hidden="1"/>
    <cellStyle name="Lien hypertexte visité" xfId="7974" builtinId="9" hidden="1"/>
    <cellStyle name="Lien hypertexte visité" xfId="1727" builtinId="9" hidden="1"/>
    <cellStyle name="Lien hypertexte visité" xfId="1270" builtinId="9" hidden="1"/>
    <cellStyle name="Lien hypertexte visité" xfId="2215" builtinId="9" hidden="1"/>
    <cellStyle name="Lien hypertexte visité" xfId="5326" builtinId="9" hidden="1"/>
    <cellStyle name="Lien hypertexte visité" xfId="12221" builtinId="9" hidden="1"/>
    <cellStyle name="Lien hypertexte visité" xfId="2341" builtinId="9" hidden="1"/>
    <cellStyle name="Lien hypertexte visité" xfId="9953" builtinId="9" hidden="1"/>
    <cellStyle name="Lien hypertexte visité" xfId="21996" builtinId="9" hidden="1"/>
    <cellStyle name="Lien hypertexte visité" xfId="9385" builtinId="9" hidden="1"/>
    <cellStyle name="Lien hypertexte visité" xfId="11387" builtinId="9" hidden="1"/>
    <cellStyle name="Lien hypertexte visité" xfId="9891" builtinId="9" hidden="1"/>
    <cellStyle name="Lien hypertexte visité" xfId="2114" builtinId="9" hidden="1"/>
    <cellStyle name="Lien hypertexte visité" xfId="16329" builtinId="9" hidden="1"/>
    <cellStyle name="Lien hypertexte visité" xfId="20024" builtinId="9" hidden="1"/>
    <cellStyle name="Lien hypertexte visité" xfId="23914" builtinId="9" hidden="1"/>
    <cellStyle name="Lien hypertexte visité" xfId="18666" builtinId="9" hidden="1"/>
    <cellStyle name="Lien hypertexte visité" xfId="24314" builtinId="9" hidden="1"/>
    <cellStyle name="Lien hypertexte visité" xfId="11850" builtinId="9" hidden="1"/>
    <cellStyle name="Lien hypertexte visité" xfId="5229" builtinId="9" hidden="1"/>
    <cellStyle name="Lien hypertexte visité" xfId="6745" builtinId="9" hidden="1"/>
    <cellStyle name="Lien hypertexte visité" xfId="6814" builtinId="9" hidden="1"/>
    <cellStyle name="Lien hypertexte visité" xfId="8685" builtinId="9" hidden="1"/>
    <cellStyle name="Lien hypertexte visité" xfId="21270" builtinId="9" hidden="1"/>
    <cellStyle name="Lien hypertexte visité" xfId="7419" builtinId="9" hidden="1"/>
    <cellStyle name="Lien hypertexte visité" xfId="8080" builtinId="9" hidden="1"/>
    <cellStyle name="Lien hypertexte visité" xfId="5888" builtinId="9" hidden="1"/>
    <cellStyle name="Lien hypertexte visité" xfId="16383" builtinId="9" hidden="1"/>
    <cellStyle name="Lien hypertexte visité" xfId="14480" builtinId="9" hidden="1"/>
    <cellStyle name="Lien hypertexte visité" xfId="10400" builtinId="9" hidden="1"/>
    <cellStyle name="Lien hypertexte visité" xfId="8457" builtinId="9" hidden="1"/>
    <cellStyle name="Lien hypertexte visité" xfId="20814" builtinId="9" hidden="1"/>
    <cellStyle name="Lien hypertexte visité" xfId="16141" builtinId="9" hidden="1"/>
    <cellStyle name="Lien hypertexte visité" xfId="9896" builtinId="9" hidden="1"/>
    <cellStyle name="Lien hypertexte visité" xfId="12968" builtinId="9" hidden="1"/>
    <cellStyle name="Lien hypertexte visité" xfId="15725" builtinId="9" hidden="1"/>
    <cellStyle name="Lien hypertexte visité" xfId="21852" builtinId="9" hidden="1"/>
    <cellStyle name="Lien hypertexte visité" xfId="21230" builtinId="9" hidden="1"/>
    <cellStyle name="Lien hypertexte visité" xfId="16943" builtinId="9" hidden="1"/>
    <cellStyle name="Lien hypertexte visité" xfId="12657" builtinId="9" hidden="1"/>
    <cellStyle name="Lien hypertexte visité" xfId="9457" builtinId="9" hidden="1"/>
    <cellStyle name="Lien hypertexte visité" xfId="7408" builtinId="9" hidden="1"/>
    <cellStyle name="Lien hypertexte visité" xfId="4336" builtinId="9" hidden="1"/>
    <cellStyle name="Lien hypertexte visité" xfId="1127" builtinId="9" hidden="1"/>
    <cellStyle name="Lien hypertexte visité" xfId="7119" builtinId="9" hidden="1"/>
    <cellStyle name="Lien hypertexte visité" xfId="2505" builtinId="9" hidden="1"/>
    <cellStyle name="Lien hypertexte visité" xfId="3413" builtinId="9" hidden="1"/>
    <cellStyle name="Lien hypertexte visité" xfId="6491" builtinId="9" hidden="1"/>
    <cellStyle name="Lien hypertexte visité" xfId="11292" builtinId="9" hidden="1"/>
    <cellStyle name="Lien hypertexte visité" xfId="17285" builtinId="9" hidden="1"/>
    <cellStyle name="Lien hypertexte visité" xfId="23412" builtinId="9" hidden="1"/>
    <cellStyle name="Lien hypertexte visité" xfId="16295" builtinId="9" hidden="1"/>
    <cellStyle name="Lien hypertexte visité" xfId="10797" builtinId="9" hidden="1"/>
    <cellStyle name="Lien hypertexte visité" xfId="7724" builtinId="9" hidden="1"/>
    <cellStyle name="Lien hypertexte visité" xfId="2950" builtinId="9" hidden="1"/>
    <cellStyle name="Lien hypertexte visité" xfId="2808" builtinId="9" hidden="1"/>
    <cellStyle name="Lien hypertexte visité" xfId="6078" builtinId="9" hidden="1"/>
    <cellStyle name="Lien hypertexte visité" xfId="2086" builtinId="9" hidden="1"/>
    <cellStyle name="Lien hypertexte visité" xfId="4283" builtinId="9" hidden="1"/>
    <cellStyle name="Lien hypertexte visité" xfId="6848" builtinId="9" hidden="1"/>
    <cellStyle name="Lien hypertexte visité" xfId="10448" builtinId="9" hidden="1"/>
    <cellStyle name="Lien hypertexte visité" xfId="1449" builtinId="9" hidden="1"/>
    <cellStyle name="Lien hypertexte visité" xfId="7149" builtinId="9" hidden="1"/>
    <cellStyle name="Lien hypertexte visité" xfId="3624" builtinId="9" hidden="1"/>
    <cellStyle name="Lien hypertexte visité" xfId="7497" builtinId="9" hidden="1"/>
    <cellStyle name="Lien hypertexte visité" xfId="1723" builtinId="9" hidden="1"/>
    <cellStyle name="Lien hypertexte visité" xfId="8002" builtinId="9" hidden="1"/>
    <cellStyle name="Lien hypertexte visité" xfId="7401" builtinId="9" hidden="1"/>
    <cellStyle name="Lien hypertexte visité" xfId="5881" builtinId="9" hidden="1"/>
    <cellStyle name="Lien hypertexte visité" xfId="9946" builtinId="9" hidden="1"/>
    <cellStyle name="Lien hypertexte visité" xfId="8346" builtinId="9" hidden="1"/>
    <cellStyle name="Lien hypertexte visité" xfId="5149" builtinId="9" hidden="1"/>
    <cellStyle name="Lien hypertexte visité" xfId="5865" builtinId="9" hidden="1"/>
    <cellStyle name="Lien hypertexte visité" xfId="6669" builtinId="9" hidden="1"/>
    <cellStyle name="Lien hypertexte visité" xfId="7749" builtinId="9" hidden="1"/>
    <cellStyle name="Lien hypertexte visité" xfId="3095" builtinId="9" hidden="1"/>
    <cellStyle name="Lien hypertexte visité" xfId="1178" builtinId="9" hidden="1"/>
    <cellStyle name="Lien hypertexte visité" xfId="1242" builtinId="9" hidden="1"/>
    <cellStyle name="Lien hypertexte visité" xfId="3227" builtinId="9" hidden="1"/>
    <cellStyle name="Lien hypertexte visité" xfId="14438" builtinId="9" hidden="1"/>
    <cellStyle name="Lien hypertexte visité" xfId="10150" builtinId="9" hidden="1"/>
    <cellStyle name="Lien hypertexte visité" xfId="12690" builtinId="9" hidden="1"/>
    <cellStyle name="Lien hypertexte visité" xfId="761" builtinId="9" hidden="1"/>
    <cellStyle name="Lien hypertexte visité" xfId="7089" builtinId="9" hidden="1"/>
    <cellStyle name="Lien hypertexte visité" xfId="19512" builtinId="9" hidden="1"/>
    <cellStyle name="Lien hypertexte visité" xfId="14617" builtinId="9" hidden="1"/>
    <cellStyle name="Lien hypertexte visité" xfId="13010" builtinId="9" hidden="1"/>
    <cellStyle name="Lien hypertexte visité" xfId="10578" builtinId="9" hidden="1"/>
    <cellStyle name="Lien hypertexte visité" xfId="19464" builtinId="9" hidden="1"/>
    <cellStyle name="Lien hypertexte visité" xfId="9162" builtinId="9" hidden="1"/>
    <cellStyle name="Lien hypertexte visité" xfId="1967" builtinId="9" hidden="1"/>
    <cellStyle name="Lien hypertexte visité" xfId="1731" builtinId="9" hidden="1"/>
    <cellStyle name="Lien hypertexte visité" xfId="801" builtinId="9" hidden="1"/>
    <cellStyle name="Lien hypertexte visité" xfId="14090" builtinId="9" hidden="1"/>
    <cellStyle name="Lien hypertexte visité" xfId="20986" builtinId="9" hidden="1"/>
    <cellStyle name="Lien hypertexte visité" xfId="19218" builtinId="9" hidden="1"/>
    <cellStyle name="Lien hypertexte visité" xfId="23874" builtinId="9" hidden="1"/>
    <cellStyle name="Lien hypertexte visité" xfId="6341" builtinId="9" hidden="1"/>
    <cellStyle name="Lien hypertexte visité" xfId="5009" builtinId="9" hidden="1"/>
    <cellStyle name="Lien hypertexte visité" xfId="9247" builtinId="9" hidden="1"/>
    <cellStyle name="Lien hypertexte visité" xfId="5228" builtinId="9" hidden="1"/>
    <cellStyle name="Lien hypertexte visité" xfId="2662" builtinId="9" hidden="1"/>
    <cellStyle name="Lien hypertexte visité" xfId="11807" builtinId="9" hidden="1"/>
    <cellStyle name="Lien hypertexte visité" xfId="4589" builtinId="9" hidden="1"/>
    <cellStyle name="Lien hypertexte visité" xfId="5921" builtinId="9" hidden="1"/>
    <cellStyle name="Lien hypertexte visité" xfId="24376" builtinId="9" hidden="1"/>
    <cellStyle name="Lien hypertexte visité" xfId="20162" builtinId="9" hidden="1"/>
    <cellStyle name="Lien hypertexte visité" xfId="18059" builtinId="9" hidden="1"/>
    <cellStyle name="Lien hypertexte visité" xfId="16609" builtinId="9" hidden="1"/>
    <cellStyle name="Lien hypertexte visité" xfId="21432" builtinId="9" hidden="1"/>
    <cellStyle name="Lien hypertexte visité" xfId="1875" builtinId="9" hidden="1"/>
    <cellStyle name="Lien hypertexte visité" xfId="1121" builtinId="9" hidden="1"/>
    <cellStyle name="Lien hypertexte visité" xfId="6581" builtinId="9" hidden="1"/>
    <cellStyle name="Lien hypertexte visité" xfId="22930" builtinId="9" hidden="1"/>
    <cellStyle name="Lien hypertexte visité" xfId="10086" builtinId="9" hidden="1"/>
    <cellStyle name="Lien hypertexte visité" xfId="12518" builtinId="9" hidden="1"/>
    <cellStyle name="Lien hypertexte visité" xfId="14078" builtinId="9" hidden="1"/>
    <cellStyle name="Lien hypertexte visité" xfId="18528" builtinId="9" hidden="1"/>
    <cellStyle name="Lien hypertexte visité" xfId="23392" builtinId="9" hidden="1"/>
    <cellStyle name="Lien hypertexte visité" xfId="6501" builtinId="9" hidden="1"/>
    <cellStyle name="Lien hypertexte visité" xfId="13182" builtinId="9" hidden="1"/>
    <cellStyle name="Lien hypertexte visité" xfId="10642" builtinId="9" hidden="1"/>
    <cellStyle name="Lien hypertexte visité" xfId="11026" builtinId="9" hidden="1"/>
    <cellStyle name="Lien hypertexte visité" xfId="8650" builtinId="9" hidden="1"/>
    <cellStyle name="Lien hypertexte visité" xfId="2051" builtinId="9" hidden="1"/>
    <cellStyle name="Lien hypertexte visité" xfId="769" builtinId="9" hidden="1"/>
    <cellStyle name="Lien hypertexte visité" xfId="3451" builtinId="9" hidden="1"/>
    <cellStyle name="Lien hypertexte visité" xfId="8138" builtinId="9" hidden="1"/>
    <cellStyle name="Lien hypertexte visité" xfId="377" builtinId="9" hidden="1"/>
    <cellStyle name="Lien hypertexte visité" xfId="8166" builtinId="9" hidden="1"/>
    <cellStyle name="Lien hypertexte visité" xfId="4709" builtinId="9" hidden="1"/>
    <cellStyle name="Lien hypertexte visité" xfId="6045" builtinId="9" hidden="1"/>
    <cellStyle name="Lien hypertexte visité" xfId="10714" builtinId="9" hidden="1"/>
    <cellStyle name="Lien hypertexte visité" xfId="6245" builtinId="9" hidden="1"/>
    <cellStyle name="Lien hypertexte visité" xfId="4985" builtinId="9" hidden="1"/>
    <cellStyle name="Lien hypertexte visité" xfId="6505" builtinId="9" hidden="1"/>
    <cellStyle name="Lien hypertexte visité" xfId="6485" builtinId="9" hidden="1"/>
    <cellStyle name="Lien hypertexte visité" xfId="7934" builtinId="9" hidden="1"/>
    <cellStyle name="Lien hypertexte visité" xfId="3263" builtinId="9" hidden="1"/>
    <cellStyle name="Lien hypertexte visité" xfId="8586" builtinId="9" hidden="1"/>
    <cellStyle name="Lien hypertexte visité" xfId="11004" builtinId="9" hidden="1"/>
    <cellStyle name="Lien hypertexte visité" xfId="20860" builtinId="9" hidden="1"/>
    <cellStyle name="Lien hypertexte visité" xfId="11393" builtinId="9" hidden="1"/>
    <cellStyle name="Lien hypertexte visité" xfId="3698" builtinId="9" hidden="1"/>
    <cellStyle name="Lien hypertexte visité" xfId="8909" builtinId="9" hidden="1"/>
    <cellStyle name="Lien hypertexte visité" xfId="6910" builtinId="9" hidden="1"/>
    <cellStyle name="Lien hypertexte visité" xfId="3841" builtinId="9" hidden="1"/>
    <cellStyle name="Lien hypertexte visité" xfId="1926" builtinId="9" hidden="1"/>
    <cellStyle name="Lien hypertexte visité" xfId="6700" builtinId="9" hidden="1"/>
    <cellStyle name="Lien hypertexte visité" xfId="9773" builtinId="9" hidden="1"/>
    <cellStyle name="Lien hypertexte visité" xfId="14567" builtinId="9" hidden="1"/>
    <cellStyle name="Lien hypertexte visité" xfId="23766" builtinId="9" hidden="1"/>
    <cellStyle name="Lien hypertexte visité" xfId="19316" builtinId="9" hidden="1"/>
    <cellStyle name="Lien hypertexte visité" xfId="12124" builtinId="9" hidden="1"/>
    <cellStyle name="Lien hypertexte visité" xfId="7515" builtinId="9" hidden="1"/>
    <cellStyle name="Lien hypertexte visité" xfId="4443" builtinId="9" hidden="1"/>
    <cellStyle name="Lien hypertexte visité" xfId="1480" builtinId="9" hidden="1"/>
    <cellStyle name="Lien hypertexte visité" xfId="6095" builtinId="9" hidden="1"/>
    <cellStyle name="Lien hypertexte visité" xfId="57" builtinId="9" hidden="1"/>
    <cellStyle name="Lien hypertexte visité" xfId="3643" builtinId="9" hidden="1"/>
    <cellStyle name="Lien hypertexte visité" xfId="6720" builtinId="9" hidden="1"/>
    <cellStyle name="Lien hypertexte visité" xfId="8897" builtinId="9" hidden="1"/>
    <cellStyle name="Lien hypertexte visité" xfId="11969" builtinId="9" hidden="1"/>
    <cellStyle name="Lien hypertexte visité" xfId="15791" builtinId="9" hidden="1"/>
    <cellStyle name="Lien hypertexte visité" xfId="19870" builtinId="9" hidden="1"/>
    <cellStyle name="Lien hypertexte visité" xfId="23212" builtinId="9" hidden="1"/>
    <cellStyle name="Lien hypertexte visité" xfId="16877" builtinId="9" hidden="1"/>
    <cellStyle name="Lien hypertexte visité" xfId="13648" builtinId="9" hidden="1"/>
    <cellStyle name="Lien hypertexte visité" xfId="10576" builtinId="9" hidden="1"/>
    <cellStyle name="Lien hypertexte visité" xfId="13280" builtinId="9" hidden="1"/>
    <cellStyle name="Lien hypertexte visité" xfId="24316" builtinId="9" hidden="1"/>
    <cellStyle name="Lien hypertexte visité" xfId="10185" builtinId="9" hidden="1"/>
    <cellStyle name="Lien hypertexte visité" xfId="18556" builtinId="9" hidden="1"/>
    <cellStyle name="Lien hypertexte visité" xfId="12432" builtinId="9" hidden="1"/>
    <cellStyle name="Lien hypertexte visité" xfId="19774" builtinId="9" hidden="1"/>
    <cellStyle name="Lien hypertexte visité" xfId="7937" builtinId="9" hidden="1"/>
    <cellStyle name="Lien hypertexte visité" xfId="1786" builtinId="9" hidden="1"/>
    <cellStyle name="Lien hypertexte visité" xfId="4347" builtinId="9" hidden="1"/>
    <cellStyle name="Lien hypertexte visité" xfId="21812" builtinId="9" hidden="1"/>
    <cellStyle name="Lien hypertexte visité" xfId="11245" builtinId="9" hidden="1"/>
    <cellStyle name="Lien hypertexte visité" xfId="3745" builtinId="9" hidden="1"/>
    <cellStyle name="Lien hypertexte visité" xfId="7237" builtinId="9" hidden="1"/>
    <cellStyle name="Lien hypertexte visité" xfId="5649" builtinId="9" hidden="1"/>
    <cellStyle name="Lien hypertexte visité" xfId="10058" builtinId="9" hidden="1"/>
    <cellStyle name="Lien hypertexte visité" xfId="21968" builtinId="9" hidden="1"/>
    <cellStyle name="Lien hypertexte visité" xfId="17531" builtinId="9" hidden="1"/>
    <cellStyle name="Lien hypertexte visité" xfId="22762" builtinId="9" hidden="1"/>
    <cellStyle name="Lien hypertexte visité" xfId="21000" builtinId="9" hidden="1"/>
    <cellStyle name="Lien hypertexte visité" xfId="17521" builtinId="9" hidden="1"/>
    <cellStyle name="Lien hypertexte visité" xfId="16395" builtinId="9" hidden="1"/>
    <cellStyle name="Lien hypertexte visité" xfId="12179" builtinId="9" hidden="1"/>
    <cellStyle name="Lien hypertexte visité" xfId="13891" builtinId="9" hidden="1"/>
    <cellStyle name="Lien hypertexte visité" xfId="9163" builtinId="9" hidden="1"/>
    <cellStyle name="Lien hypertexte visité" xfId="15197" builtinId="9" hidden="1"/>
    <cellStyle name="Lien hypertexte visité" xfId="13369" builtinId="9" hidden="1"/>
    <cellStyle name="Lien hypertexte visité" xfId="3935" builtinId="9" hidden="1"/>
    <cellStyle name="Lien hypertexte visité" xfId="20150" builtinId="9" hidden="1"/>
    <cellStyle name="Lien hypertexte visité" xfId="735" builtinId="9" hidden="1"/>
    <cellStyle name="Lien hypertexte visité" xfId="14130" builtinId="9" hidden="1"/>
    <cellStyle name="Lien hypertexte visité" xfId="5877" builtinId="9" hidden="1"/>
    <cellStyle name="Lien hypertexte visité" xfId="3083" builtinId="9" hidden="1"/>
    <cellStyle name="Lien hypertexte visité" xfId="8261" builtinId="9" hidden="1"/>
    <cellStyle name="Lien hypertexte visité" xfId="9287" builtinId="9" hidden="1"/>
    <cellStyle name="Lien hypertexte visité" xfId="11086" builtinId="9" hidden="1"/>
    <cellStyle name="Lien hypertexte visité" xfId="19746" builtinId="9" hidden="1"/>
    <cellStyle name="Lien hypertexte visité" xfId="10094" builtinId="9" hidden="1"/>
    <cellStyle name="Lien hypertexte visité" xfId="15895" builtinId="9" hidden="1"/>
    <cellStyle name="Lien hypertexte visité" xfId="22980" builtinId="9" hidden="1"/>
    <cellStyle name="Lien hypertexte visité" xfId="5799" builtinId="9" hidden="1"/>
    <cellStyle name="Lien hypertexte visité" xfId="6871" builtinId="9" hidden="1"/>
    <cellStyle name="Lien hypertexte visité" xfId="24132" builtinId="9" hidden="1"/>
    <cellStyle name="Lien hypertexte visité" xfId="8724" builtinId="9" hidden="1"/>
    <cellStyle name="Lien hypertexte visité" xfId="139" builtinId="9" hidden="1"/>
    <cellStyle name="Lien hypertexte visité" xfId="8332" builtinId="9" hidden="1"/>
    <cellStyle name="Lien hypertexte visité" xfId="14429" builtinId="9" hidden="1"/>
    <cellStyle name="Lien hypertexte visité" xfId="3478" builtinId="9" hidden="1"/>
    <cellStyle name="Lien hypertexte visité" xfId="14063" builtinId="9" hidden="1"/>
    <cellStyle name="Lien hypertexte visité" xfId="21280" builtinId="9" hidden="1"/>
    <cellStyle name="Lien hypertexte visité" xfId="20368" builtinId="9" hidden="1"/>
    <cellStyle name="Lien hypertexte visité" xfId="3913" builtinId="9" hidden="1"/>
    <cellStyle name="Lien hypertexte visité" xfId="4993" builtinId="9" hidden="1"/>
    <cellStyle name="Lien hypertexte visité" xfId="11781" builtinId="9" hidden="1"/>
    <cellStyle name="Lien hypertexte visité" xfId="527" builtinId="9" hidden="1"/>
    <cellStyle name="Lien hypertexte visité" xfId="11223" builtinId="9" hidden="1"/>
    <cellStyle name="Lien hypertexte visité" xfId="9954" builtinId="9" hidden="1"/>
    <cellStyle name="Lien hypertexte visité" xfId="19944" builtinId="9" hidden="1"/>
    <cellStyle name="Lien hypertexte visité" xfId="24176" builtinId="9" hidden="1"/>
    <cellStyle name="Lien hypertexte visité" xfId="22154" builtinId="9" hidden="1"/>
    <cellStyle name="Lien hypertexte visité" xfId="2016" builtinId="9" hidden="1"/>
    <cellStyle name="Lien hypertexte visité" xfId="24562" builtinId="9" hidden="1"/>
    <cellStyle name="Lien hypertexte visité" xfId="11143" builtinId="9" hidden="1"/>
    <cellStyle name="Lien hypertexte visité" xfId="8178" builtinId="9" hidden="1"/>
    <cellStyle name="Lien hypertexte visité" xfId="10526" builtinId="9" hidden="1"/>
    <cellStyle name="Lien hypertexte visité" xfId="4526" builtinId="9" hidden="1"/>
    <cellStyle name="Lien hypertexte visité" xfId="11550" builtinId="9" hidden="1"/>
    <cellStyle name="Lien hypertexte visité" xfId="18818" builtinId="9" hidden="1"/>
    <cellStyle name="Lien hypertexte visité" xfId="5421" builtinId="9" hidden="1"/>
    <cellStyle name="Lien hypertexte visité" xfId="3507" builtinId="9" hidden="1"/>
    <cellStyle name="Lien hypertexte visité" xfId="14261" builtinId="9" hidden="1"/>
    <cellStyle name="Lien hypertexte visité" xfId="7092" builtinId="9" hidden="1"/>
    <cellStyle name="Lien hypertexte visité" xfId="4998" builtinId="9" hidden="1"/>
    <cellStyle name="Lien hypertexte visité" xfId="8226" builtinId="9" hidden="1"/>
    <cellStyle name="Lien hypertexte visité" xfId="13006" builtinId="9" hidden="1"/>
    <cellStyle name="Lien hypertexte visité" xfId="23202" builtinId="9" hidden="1"/>
    <cellStyle name="Lien hypertexte visité" xfId="14394" builtinId="9" hidden="1"/>
    <cellStyle name="Lien hypertexte visité" xfId="11158" builtinId="9" hidden="1"/>
    <cellStyle name="Lien hypertexte visité" xfId="1566" builtinId="9" hidden="1"/>
    <cellStyle name="Lien hypertexte visité" xfId="10471" builtinId="9" hidden="1"/>
    <cellStyle name="Lien hypertexte visité" xfId="9366" builtinId="9" hidden="1"/>
    <cellStyle name="Lien hypertexte visité" xfId="18880" builtinId="9" hidden="1"/>
    <cellStyle name="Lien hypertexte visité" xfId="21658" builtinId="9" hidden="1"/>
    <cellStyle name="Lien hypertexte visité" xfId="12794" builtinId="9" hidden="1"/>
    <cellStyle name="Lien hypertexte visité" xfId="23642" builtinId="9" hidden="1"/>
    <cellStyle name="Lien hypertexte visité" xfId="20066" builtinId="9" hidden="1"/>
    <cellStyle name="Lien hypertexte visité" xfId="23370" builtinId="9" hidden="1"/>
    <cellStyle name="Lien hypertexte visité" xfId="20968" builtinId="9" hidden="1"/>
    <cellStyle name="Lien hypertexte visité" xfId="16145" builtinId="9" hidden="1"/>
    <cellStyle name="Lien hypertexte visité" xfId="13742" builtinId="9" hidden="1"/>
    <cellStyle name="Lien hypertexte visité" xfId="11318" builtinId="9" hidden="1"/>
    <cellStyle name="Lien hypertexte visité" xfId="8878" builtinId="9" hidden="1"/>
    <cellStyle name="Lien hypertexte visité" xfId="14523" builtinId="9" hidden="1"/>
    <cellStyle name="Lien hypertexte visité" xfId="10887" builtinId="9" hidden="1"/>
    <cellStyle name="Lien hypertexte visité" xfId="7254" builtinId="9" hidden="1"/>
    <cellStyle name="Lien hypertexte visité" xfId="4742" builtinId="9" hidden="1"/>
    <cellStyle name="Lien hypertexte visité" xfId="1043" builtinId="9" hidden="1"/>
    <cellStyle name="Lien hypertexte visité" xfId="3719" builtinId="9" hidden="1"/>
    <cellStyle name="Lien hypertexte visité" xfId="6100" builtinId="9" hidden="1"/>
    <cellStyle name="Lien hypertexte visité" xfId="9733" builtinId="9" hidden="1"/>
    <cellStyle name="Lien hypertexte visité" xfId="13365" builtinId="9" hidden="1"/>
    <cellStyle name="Lien hypertexte visité" xfId="16983" builtinId="9" hidden="1"/>
    <cellStyle name="Lien hypertexte visité" xfId="5285" builtinId="9" hidden="1"/>
    <cellStyle name="Lien hypertexte visité" xfId="6953" builtinId="9" hidden="1"/>
    <cellStyle name="Lien hypertexte visité" xfId="3824" builtinId="9" hidden="1"/>
    <cellStyle name="Lien hypertexte visité" xfId="1931" builtinId="9" hidden="1"/>
    <cellStyle name="Lien hypertexte visité" xfId="8074" builtinId="9" hidden="1"/>
    <cellStyle name="Lien hypertexte visité" xfId="6189" builtinId="9" hidden="1"/>
    <cellStyle name="Lien hypertexte visité" xfId="11306" builtinId="9" hidden="1"/>
    <cellStyle name="Lien hypertexte visité" xfId="19386" builtinId="9" hidden="1"/>
    <cellStyle name="Lien hypertexte visité" xfId="21378" builtinId="9" hidden="1"/>
    <cellStyle name="Lien hypertexte visité" xfId="20600" builtinId="9" hidden="1"/>
    <cellStyle name="Lien hypertexte visité" xfId="13894" builtinId="9" hidden="1"/>
    <cellStyle name="Lien hypertexte visité" xfId="11422" builtinId="9" hidden="1"/>
    <cellStyle name="Lien hypertexte visité" xfId="15915" builtinId="9" hidden="1"/>
    <cellStyle name="Lien hypertexte visité" xfId="9775" builtinId="9" hidden="1"/>
    <cellStyle name="Lien hypertexte visité" xfId="6190" builtinId="9" hidden="1"/>
    <cellStyle name="Lien hypertexte visité" xfId="323" builtinId="9" hidden="1"/>
    <cellStyle name="Lien hypertexte visité" xfId="5916" builtinId="9" hidden="1"/>
    <cellStyle name="Lien hypertexte visité" xfId="9501" builtinId="9" hidden="1"/>
    <cellStyle name="Lien hypertexte visité" xfId="15367" builtinId="9" hidden="1"/>
    <cellStyle name="Lien hypertexte visité" xfId="22996" builtinId="9" hidden="1"/>
    <cellStyle name="Lien hypertexte visité" xfId="15461" builtinId="9" hidden="1"/>
    <cellStyle name="Lien hypertexte visité" xfId="9548" builtinId="9" hidden="1"/>
    <cellStyle name="Lien hypertexte visité" xfId="4043" builtinId="9" hidden="1"/>
    <cellStyle name="Lien hypertexte visité" xfId="165" builtinId="9" hidden="1"/>
    <cellStyle name="Lien hypertexte visité" xfId="6143" builtinId="9" hidden="1"/>
    <cellStyle name="Lien hypertexte visité" xfId="2074" builtinId="9" hidden="1"/>
    <cellStyle name="Lien hypertexte visité" xfId="14373" builtinId="9" hidden="1"/>
    <cellStyle name="Lien hypertexte visité" xfId="9156" builtinId="9" hidden="1"/>
    <cellStyle name="Lien hypertexte visité" xfId="13844" builtinId="9" hidden="1"/>
    <cellStyle name="Lien hypertexte visité" xfId="19588" builtinId="9" hidden="1"/>
    <cellStyle name="Lien hypertexte visité" xfId="20294" builtinId="9" hidden="1"/>
    <cellStyle name="Lien hypertexte visité" xfId="1312" builtinId="9" hidden="1"/>
    <cellStyle name="Lien hypertexte visité" xfId="2701" builtinId="9" hidden="1"/>
    <cellStyle name="Lien hypertexte visité" xfId="4551" builtinId="9" hidden="1"/>
    <cellStyle name="Lien hypertexte visité" xfId="8344" builtinId="9" hidden="1"/>
    <cellStyle name="Lien hypertexte visité" xfId="6647" builtinId="9" hidden="1"/>
    <cellStyle name="Lien hypertexte visité" xfId="2045" builtinId="9" hidden="1"/>
    <cellStyle name="Lien hypertexte visité" xfId="845" builtinId="9" hidden="1"/>
    <cellStyle name="Lien hypertexte visité" xfId="7427" builtinId="9" hidden="1"/>
    <cellStyle name="Lien hypertexte visité" xfId="24198" builtinId="9" hidden="1"/>
    <cellStyle name="Lien hypertexte visité" xfId="15669" builtinId="9" hidden="1"/>
    <cellStyle name="Lien hypertexte visité" xfId="12020" builtinId="9" hidden="1"/>
    <cellStyle name="Lien hypertexte visité" xfId="7347" builtinId="9" hidden="1"/>
    <cellStyle name="Lien hypertexte visité" xfId="8037" builtinId="9" hidden="1"/>
    <cellStyle name="Lien hypertexte visité" xfId="3881" builtinId="9" hidden="1"/>
    <cellStyle name="Lien hypertexte visité" xfId="11118" builtinId="9" hidden="1"/>
    <cellStyle name="Lien hypertexte visité" xfId="19682" builtinId="9" hidden="1"/>
    <cellStyle name="Lien hypertexte visité" xfId="13594" builtinId="9" hidden="1"/>
    <cellStyle name="Lien hypertexte visité" xfId="18179" builtinId="9" hidden="1"/>
    <cellStyle name="Lien hypertexte visité" xfId="23784" builtinId="9" hidden="1"/>
    <cellStyle name="Lien hypertexte visité" xfId="19008" builtinId="9" hidden="1"/>
    <cellStyle name="Lien hypertexte visité" xfId="13134" builtinId="9" hidden="1"/>
    <cellStyle name="Lien hypertexte visité" xfId="9486" builtinId="9" hidden="1"/>
    <cellStyle name="Lien hypertexte visité" xfId="14231" builtinId="9" hidden="1"/>
    <cellStyle name="Lien hypertexte visité" xfId="8775" builtinId="9" hidden="1"/>
    <cellStyle name="Lien hypertexte visité" xfId="3312" builtinId="9" hidden="1"/>
    <cellStyle name="Lien hypertexte visité" xfId="1598" builtinId="9" hidden="1"/>
    <cellStyle name="Lien hypertexte visité" xfId="7060" builtinId="9" hidden="1"/>
    <cellStyle name="Lien hypertexte visité" xfId="12533" builtinId="9" hidden="1"/>
    <cellStyle name="Lien hypertexte visité" xfId="17719" builtinId="9" hidden="1"/>
    <cellStyle name="Lien hypertexte visité" xfId="7133" builtinId="9" hidden="1"/>
    <cellStyle name="Lien hypertexte visité" xfId="1182" builtinId="9" hidden="1"/>
    <cellStyle name="Lien hypertexte visité" xfId="3411" builtinId="9" hidden="1"/>
    <cellStyle name="Lien hypertexte visité" xfId="5437" builtinId="9" hidden="1"/>
    <cellStyle name="Lien hypertexte visité" xfId="24080" builtinId="9" hidden="1"/>
    <cellStyle name="Lien hypertexte visité" xfId="22186" builtinId="9" hidden="1"/>
    <cellStyle name="Lien hypertexte visité" xfId="16137" builtinId="9" hidden="1"/>
    <cellStyle name="Lien hypertexte visité" xfId="9862" builtinId="9" hidden="1"/>
    <cellStyle name="Lien hypertexte visité" xfId="13007" builtinId="9" hidden="1"/>
    <cellStyle name="Lien hypertexte visité" xfId="4814" builtinId="9" hidden="1"/>
    <cellStyle name="Lien hypertexte visité" xfId="4540" builtinId="9" hidden="1"/>
    <cellStyle name="Lien hypertexte visité" xfId="9917" builtinId="9" hidden="1"/>
    <cellStyle name="Lien hypertexte visité" xfId="21686" builtinId="9" hidden="1"/>
    <cellStyle name="Lien hypertexte visité" xfId="12844" builtinId="9" hidden="1"/>
    <cellStyle name="Lien hypertexte visité" xfId="7211" builtinId="9" hidden="1"/>
    <cellStyle name="Lien hypertexte visité" xfId="2137" builtinId="9" hidden="1"/>
    <cellStyle name="Lien hypertexte visité" xfId="1241" builtinId="9" hidden="1"/>
    <cellStyle name="Lien hypertexte visité" xfId="4832" builtinId="9" hidden="1"/>
    <cellStyle name="Lien hypertexte visité" xfId="10297" builtinId="9" hidden="1"/>
    <cellStyle name="Lien hypertexte visité" xfId="17007" builtinId="9" hidden="1"/>
    <cellStyle name="Lien hypertexte visité" xfId="24158" builtinId="9" hidden="1"/>
    <cellStyle name="Lien hypertexte visité" xfId="14344" builtinId="9" hidden="1"/>
    <cellStyle name="Lien hypertexte visité" xfId="8880" builtinId="9" hidden="1"/>
    <cellStyle name="Lien hypertexte visité" xfId="23694" builtinId="9" hidden="1"/>
    <cellStyle name="Lien hypertexte visité" xfId="2722" builtinId="9" hidden="1"/>
    <cellStyle name="Lien hypertexte visité" xfId="5506" builtinId="9" hidden="1"/>
    <cellStyle name="Lien hypertexte visité" xfId="2428" builtinId="9" hidden="1"/>
    <cellStyle name="Lien hypertexte visité" xfId="11115" builtinId="9" hidden="1"/>
    <cellStyle name="Lien hypertexte visité" xfId="16483" builtinId="9" hidden="1"/>
    <cellStyle name="Lien hypertexte visité" xfId="13467" builtinId="9" hidden="1"/>
    <cellStyle name="Lien hypertexte visité" xfId="12595" builtinId="9" hidden="1"/>
    <cellStyle name="Lien hypertexte visité" xfId="4018" builtinId="9" hidden="1"/>
    <cellStyle name="Lien hypertexte visité" xfId="7234" builtinId="9" hidden="1"/>
    <cellStyle name="Lien hypertexte visité" xfId="8702" builtinId="9" hidden="1"/>
    <cellStyle name="Lien hypertexte visité" xfId="11199" builtinId="9" hidden="1"/>
    <cellStyle name="Lien hypertexte visité" xfId="8413" builtinId="9" hidden="1"/>
    <cellStyle name="Lien hypertexte visité" xfId="6155" builtinId="9" hidden="1"/>
    <cellStyle name="Lien hypertexte visité" xfId="4058" builtinId="9" hidden="1"/>
    <cellStyle name="Lien hypertexte visité" xfId="6730" builtinId="9" hidden="1"/>
    <cellStyle name="Lien hypertexte visité" xfId="4712" builtinId="9" hidden="1"/>
    <cellStyle name="Lien hypertexte visité" xfId="23054" builtinId="9" hidden="1"/>
    <cellStyle name="Lien hypertexte visité" xfId="11008" builtinId="9" hidden="1"/>
    <cellStyle name="Lien hypertexte visité" xfId="12824" builtinId="9" hidden="1"/>
    <cellStyle name="Lien hypertexte visité" xfId="20428" builtinId="9" hidden="1"/>
    <cellStyle name="Lien hypertexte visité" xfId="22574" builtinId="9" hidden="1"/>
    <cellStyle name="Lien hypertexte visité" xfId="13857" builtinId="9" hidden="1"/>
    <cellStyle name="Lien hypertexte visité" xfId="9169" builtinId="9" hidden="1"/>
    <cellStyle name="Lien hypertexte visité" xfId="6048" builtinId="9" hidden="1"/>
    <cellStyle name="Lien hypertexte visité" xfId="8953" builtinId="9" hidden="1"/>
    <cellStyle name="Lien hypertexte visité" xfId="8267" builtinId="9" hidden="1"/>
    <cellStyle name="Lien hypertexte visité" xfId="14443" builtinId="9" hidden="1"/>
    <cellStyle name="Lien hypertexte visité" xfId="16819" builtinId="9" hidden="1"/>
    <cellStyle name="Lien hypertexte visité" xfId="9867" builtinId="9" hidden="1"/>
    <cellStyle name="Lien hypertexte visité" xfId="12187" builtinId="9" hidden="1"/>
    <cellStyle name="Lien hypertexte visité" xfId="2628" builtinId="9" hidden="1"/>
    <cellStyle name="Lien hypertexte visité" xfId="2164" builtinId="9" hidden="1"/>
    <cellStyle name="Lien hypertexte visité" xfId="8931" builtinId="9" hidden="1"/>
    <cellStyle name="Lien hypertexte visité" xfId="6850" builtinId="9" hidden="1"/>
    <cellStyle name="Lien hypertexte visité" xfId="8347" builtinId="9" hidden="1"/>
    <cellStyle name="Lien hypertexte visité" xfId="5512" builtinId="9" hidden="1"/>
    <cellStyle name="Lien hypertexte visité" xfId="5170" builtinId="9" hidden="1"/>
    <cellStyle name="Lien hypertexte visité" xfId="11379" builtinId="9" hidden="1"/>
    <cellStyle name="Lien hypertexte visité" xfId="4066" builtinId="9" hidden="1"/>
    <cellStyle name="Lien hypertexte visité" xfId="4074" builtinId="9" hidden="1"/>
    <cellStyle name="Lien hypertexte visité" xfId="2588" builtinId="9" hidden="1"/>
    <cellStyle name="Lien hypertexte visité" xfId="11507" builtinId="9" hidden="1"/>
    <cellStyle name="Lien hypertexte visité" xfId="13243" builtinId="9" hidden="1"/>
    <cellStyle name="Lien hypertexte visité" xfId="15875" builtinId="9" hidden="1"/>
    <cellStyle name="Lien hypertexte visité" xfId="9915" builtinId="9" hidden="1"/>
    <cellStyle name="Lien hypertexte visité" xfId="15149" builtinId="9" hidden="1"/>
    <cellStyle name="Lien hypertexte visité" xfId="3875" builtinId="9" hidden="1"/>
    <cellStyle name="Lien hypertexte visité" xfId="6992" builtinId="9" hidden="1"/>
    <cellStyle name="Lien hypertexte visité" xfId="11641" builtinId="9" hidden="1"/>
    <cellStyle name="Lien hypertexte visité" xfId="18159" builtinId="9" hidden="1"/>
    <cellStyle name="Lien hypertexte visité" xfId="24366" builtinId="9" hidden="1"/>
    <cellStyle name="Lien hypertexte visité" xfId="15485" builtinId="9" hidden="1"/>
    <cellStyle name="Lien hypertexte visité" xfId="10312" builtinId="9" hidden="1"/>
    <cellStyle name="Lien hypertexte visité" xfId="13824" builtinId="9" hidden="1"/>
    <cellStyle name="Lien hypertexte visité" xfId="11241" builtinId="9" hidden="1"/>
    <cellStyle name="Lien hypertexte visité" xfId="8635" builtinId="9" hidden="1"/>
    <cellStyle name="Lien hypertexte visité" xfId="5962" builtinId="9" hidden="1"/>
    <cellStyle name="Lien hypertexte visité" xfId="6527" builtinId="9" hidden="1"/>
    <cellStyle name="Lien hypertexte visité" xfId="23892" builtinId="9" hidden="1"/>
    <cellStyle name="Lien hypertexte visité" xfId="3542" builtinId="9" hidden="1"/>
    <cellStyle name="Lien hypertexte visité" xfId="12402" builtinId="9" hidden="1"/>
    <cellStyle name="Lien hypertexte visité" xfId="4397" builtinId="9" hidden="1"/>
    <cellStyle name="Lien hypertexte visité" xfId="1843" builtinId="9" hidden="1"/>
    <cellStyle name="Lien hypertexte visité" xfId="9989" builtinId="9" hidden="1"/>
    <cellStyle name="Lien hypertexte visité" xfId="7558" builtinId="9" hidden="1"/>
    <cellStyle name="Lien hypertexte visité" xfId="9934" builtinId="9" hidden="1"/>
    <cellStyle name="Lien hypertexte visité" xfId="22050" builtinId="9" hidden="1"/>
    <cellStyle name="Lien hypertexte visité" xfId="13550" builtinId="9" hidden="1"/>
    <cellStyle name="Lien hypertexte visité" xfId="2718" builtinId="9" hidden="1"/>
    <cellStyle name="Lien hypertexte visité" xfId="15131" builtinId="9" hidden="1"/>
    <cellStyle name="Lien hypertexte visité" xfId="22296" builtinId="9" hidden="1"/>
    <cellStyle name="Lien hypertexte visité" xfId="17345" builtinId="9" hidden="1"/>
    <cellStyle name="Lien hypertexte visité" xfId="22490" builtinId="9" hidden="1"/>
    <cellStyle name="Lien hypertexte visité" xfId="22858" builtinId="9" hidden="1"/>
    <cellStyle name="Lien hypertexte visité" xfId="21544" builtinId="9" hidden="1"/>
    <cellStyle name="Lien hypertexte visité" xfId="14390" builtinId="9" hidden="1"/>
    <cellStyle name="Lien hypertexte visité" xfId="10754" builtinId="9" hidden="1"/>
    <cellStyle name="Lien hypertexte visité" xfId="8310" builtinId="9" hidden="1"/>
    <cellStyle name="Lien hypertexte visité" xfId="10583" builtinId="9" hidden="1"/>
    <cellStyle name="Lien hypertexte visité" xfId="5126" builtinId="9" hidden="1"/>
    <cellStyle name="Lien hypertexte visité" xfId="1487" builtinId="9" hidden="1"/>
    <cellStyle name="Lien hypertexte visité" xfId="5124" builtinId="9" hidden="1"/>
    <cellStyle name="Lien hypertexte visité" xfId="10581" builtinId="9" hidden="1"/>
    <cellStyle name="Lien hypertexte visité" xfId="14213" builtinId="9" hidden="1"/>
    <cellStyle name="Lien hypertexte visité" xfId="5505" builtinId="9" hidden="1"/>
    <cellStyle name="Lien hypertexte visité" xfId="3475" builtinId="9" hidden="1"/>
    <cellStyle name="Lien hypertexte visité" xfId="1474" builtinId="9" hidden="1"/>
    <cellStyle name="Lien hypertexte visité" xfId="6993" builtinId="9" hidden="1"/>
    <cellStyle name="Lien hypertexte visité" xfId="13866" builtinId="9" hidden="1"/>
    <cellStyle name="Lien hypertexte visité" xfId="18316" builtinId="9" hidden="1"/>
    <cellStyle name="Lien hypertexte visité" xfId="20000" builtinId="9" hidden="1"/>
    <cellStyle name="Lien hypertexte visité" xfId="11806" builtinId="9" hidden="1"/>
    <cellStyle name="Lien hypertexte visité" xfId="17195" builtinId="9" hidden="1"/>
    <cellStyle name="Lien hypertexte visité" xfId="7662" builtinId="9" hidden="1"/>
    <cellStyle name="Lien hypertexte visité" xfId="1686" builtinId="9" hidden="1"/>
    <cellStyle name="Lien hypertexte visité" xfId="7196" builtinId="9" hidden="1"/>
    <cellStyle name="Lien hypertexte visité" xfId="16263" builtinId="9" hidden="1"/>
    <cellStyle name="Lien hypertexte visité" xfId="16613" builtinId="9" hidden="1"/>
    <cellStyle name="Lien hypertexte visité" xfId="10124" builtinId="9" hidden="1"/>
    <cellStyle name="Lien hypertexte visité" xfId="1925" builtinId="9" hidden="1"/>
    <cellStyle name="Lien hypertexte visité" xfId="7423" builtinId="9" hidden="1"/>
    <cellStyle name="Lien hypertexte visité" xfId="7460" builtinId="9" hidden="1"/>
    <cellStyle name="Lien hypertexte visité" xfId="9524" builtinId="9" hidden="1"/>
    <cellStyle name="Lien hypertexte visité" xfId="18564" builtinId="9" hidden="1"/>
    <cellStyle name="Lien hypertexte visité" xfId="21318" builtinId="9" hidden="1"/>
    <cellStyle name="Lien hypertexte visité" xfId="1549" builtinId="9" hidden="1"/>
    <cellStyle name="Lien hypertexte visité" xfId="3553" builtinId="9" hidden="1"/>
    <cellStyle name="Lien hypertexte visité" xfId="8200" builtinId="9" hidden="1"/>
    <cellStyle name="Lien hypertexte visité" xfId="5043" builtinId="9" hidden="1"/>
    <cellStyle name="Lien hypertexte visité" xfId="2657" builtinId="9" hidden="1"/>
    <cellStyle name="Lien hypertexte visité" xfId="23174" builtinId="9" hidden="1"/>
    <cellStyle name="Lien hypertexte visité" xfId="13268" builtinId="9" hidden="1"/>
    <cellStyle name="Lien hypertexte visité" xfId="6243" builtinId="9" hidden="1"/>
    <cellStyle name="Lien hypertexte visité" xfId="4196" builtinId="9" hidden="1"/>
    <cellStyle name="Lien hypertexte visité" xfId="11970" builtinId="9" hidden="1"/>
    <cellStyle name="Lien hypertexte visité" xfId="12410" builtinId="9" hidden="1"/>
    <cellStyle name="Lien hypertexte visité" xfId="17371" builtinId="9" hidden="1"/>
    <cellStyle name="Lien hypertexte visité" xfId="20952" builtinId="9" hidden="1"/>
    <cellStyle name="Lien hypertexte visité" xfId="12278" builtinId="9" hidden="1"/>
    <cellStyle name="Lien hypertexte visité" xfId="8630" builtinId="9" hidden="1"/>
    <cellStyle name="Lien hypertexte visité" xfId="8343" builtinId="9" hidden="1"/>
    <cellStyle name="Lien hypertexte visité" xfId="847" builtinId="9" hidden="1"/>
    <cellStyle name="Lien hypertexte visité" xfId="6468" builtinId="9" hidden="1"/>
    <cellStyle name="Lien hypertexte visité" xfId="14807" builtinId="9" hidden="1"/>
    <cellStyle name="Lien hypertexte visité" xfId="8106" builtinId="9" hidden="1"/>
    <cellStyle name="Lien hypertexte visité" xfId="1218" builtinId="9" hidden="1"/>
    <cellStyle name="Lien hypertexte visité" xfId="5073" builtinId="9" hidden="1"/>
    <cellStyle name="Lien hypertexte visité" xfId="20994" builtinId="9" hidden="1"/>
    <cellStyle name="Lien hypertexte visité" xfId="17329" builtinId="9" hidden="1"/>
    <cellStyle name="Lien hypertexte visité" xfId="15851" builtinId="9" hidden="1"/>
    <cellStyle name="Lien hypertexte visité" xfId="2888" builtinId="9" hidden="1"/>
    <cellStyle name="Lien hypertexte visité" xfId="6460" builtinId="9" hidden="1"/>
    <cellStyle name="Lien hypertexte visité" xfId="22966" builtinId="9" hidden="1"/>
    <cellStyle name="Lien hypertexte visité" xfId="8108" builtinId="9" hidden="1"/>
    <cellStyle name="Lien hypertexte visité" xfId="1240" builtinId="9" hidden="1"/>
    <cellStyle name="Lien hypertexte visité" xfId="3378" builtinId="9" hidden="1"/>
    <cellStyle name="Lien hypertexte visité" xfId="11577" builtinId="9" hidden="1"/>
    <cellStyle name="Lien hypertexte visité" xfId="19550" builtinId="9" hidden="1"/>
    <cellStyle name="Lien hypertexte visité" xfId="13912" builtinId="9" hidden="1"/>
    <cellStyle name="Lien hypertexte visité" xfId="21948" builtinId="9" hidden="1"/>
    <cellStyle name="Lien hypertexte visité" xfId="4520" builtinId="9" hidden="1"/>
    <cellStyle name="Lien hypertexte visité" xfId="3676" builtinId="9" hidden="1"/>
    <cellStyle name="Lien hypertexte visité" xfId="10091" builtinId="9" hidden="1"/>
    <cellStyle name="Lien hypertexte visité" xfId="16867" builtinId="9" hidden="1"/>
    <cellStyle name="Lien hypertexte visité" xfId="9315" builtinId="9" hidden="1"/>
    <cellStyle name="Lien hypertexte visité" xfId="6722" builtinId="9" hidden="1"/>
    <cellStyle name="Lien hypertexte visité" xfId="9106" builtinId="9" hidden="1"/>
    <cellStyle name="Lien hypertexte visité" xfId="9055" builtinId="9" hidden="1"/>
    <cellStyle name="Lien hypertexte visité" xfId="547" builtinId="9" hidden="1"/>
    <cellStyle name="Lien hypertexte visité" xfId="5772" builtinId="9" hidden="1"/>
    <cellStyle name="Lien hypertexte visité" xfId="13965" builtinId="9" hidden="1"/>
    <cellStyle name="Lien hypertexte visité" xfId="19444" builtinId="9" hidden="1"/>
    <cellStyle name="Lien hypertexte visité" xfId="11548" builtinId="9" hidden="1"/>
    <cellStyle name="Lien hypertexte visité" xfId="3349" builtinId="9" hidden="1"/>
    <cellStyle name="Lien hypertexte visité" xfId="5999" builtinId="9" hidden="1"/>
    <cellStyle name="Lien hypertexte visité" xfId="2002" builtinId="9" hidden="1"/>
    <cellStyle name="Lien hypertexte visité" xfId="7472" builtinId="9" hidden="1"/>
    <cellStyle name="Lien hypertexte visité" xfId="12929" builtinId="9" hidden="1"/>
    <cellStyle name="Lien hypertexte visité" xfId="18622" builtinId="9" hidden="1"/>
    <cellStyle name="Lien hypertexte visité" xfId="19676" builtinId="9" hidden="1"/>
    <cellStyle name="Lien hypertexte visité" xfId="11640" builtinId="9" hidden="1"/>
    <cellStyle name="Lien hypertexte visité" xfId="11360" builtinId="9" hidden="1"/>
    <cellStyle name="Lien hypertexte visité" xfId="11401" builtinId="9" hidden="1"/>
    <cellStyle name="Lien hypertexte visité" xfId="12264" builtinId="9" hidden="1"/>
    <cellStyle name="Lien hypertexte visité" xfId="17407" builtinId="9" hidden="1"/>
    <cellStyle name="Lien hypertexte visité" xfId="7824" builtinId="9" hidden="1"/>
    <cellStyle name="Lien hypertexte visité" xfId="21300" builtinId="9" hidden="1"/>
    <cellStyle name="Lien hypertexte visité" xfId="4844" builtinId="9" hidden="1"/>
    <cellStyle name="Lien hypertexte visité" xfId="6689" builtinId="9" hidden="1"/>
    <cellStyle name="Lien hypertexte visité" xfId="12554" builtinId="9" hidden="1"/>
    <cellStyle name="Lien hypertexte visité" xfId="19962" builtinId="9" hidden="1"/>
    <cellStyle name="Lien hypertexte visité" xfId="23432" builtinId="9" hidden="1"/>
    <cellStyle name="Lien hypertexte visité" xfId="14310" builtinId="9" hidden="1"/>
    <cellStyle name="Lien hypertexte visité" xfId="11174" builtinId="9" hidden="1"/>
    <cellStyle name="Lien hypertexte visité" xfId="4093" builtinId="9" hidden="1"/>
    <cellStyle name="Lien hypertexte visité" xfId="1129" builtinId="9" hidden="1"/>
    <cellStyle name="Lien hypertexte visité" xfId="2615" builtinId="9" hidden="1"/>
    <cellStyle name="Lien hypertexte visité" xfId="7525" builtinId="9" hidden="1"/>
    <cellStyle name="Lien hypertexte visité" xfId="5789" builtinId="9" hidden="1"/>
    <cellStyle name="Lien hypertexte visité" xfId="10650" builtinId="9" hidden="1"/>
    <cellStyle name="Lien hypertexte visité" xfId="3023" builtinId="9" hidden="1"/>
    <cellStyle name="Lien hypertexte visité" xfId="3804" builtinId="9" hidden="1"/>
    <cellStyle name="Lien hypertexte visité" xfId="2855" builtinId="9" hidden="1"/>
    <cellStyle name="Lien hypertexte visité" xfId="1057" builtinId="9" hidden="1"/>
    <cellStyle name="Lien hypertexte visité" xfId="16073" builtinId="9" hidden="1"/>
    <cellStyle name="Lien hypertexte visité" xfId="11494" builtinId="9" hidden="1"/>
    <cellStyle name="Lien hypertexte visité" xfId="17865" builtinId="9" hidden="1"/>
    <cellStyle name="Lien hypertexte visité" xfId="22034" builtinId="9" hidden="1"/>
    <cellStyle name="Lien hypertexte visité" xfId="21754" builtinId="9" hidden="1"/>
    <cellStyle name="Lien hypertexte visité" xfId="4293" builtinId="9" hidden="1"/>
    <cellStyle name="Lien hypertexte visité" xfId="11039" builtinId="9" hidden="1"/>
    <cellStyle name="Lien hypertexte visité" xfId="6508" builtinId="9" hidden="1"/>
    <cellStyle name="Lien hypertexte visité" xfId="8378" builtinId="9" hidden="1"/>
    <cellStyle name="Lien hypertexte visité" xfId="5801" builtinId="9" hidden="1"/>
    <cellStyle name="Lien hypertexte visité" xfId="1009" builtinId="9" hidden="1"/>
    <cellStyle name="Lien hypertexte visité" xfId="5385" builtinId="9" hidden="1"/>
    <cellStyle name="Lien hypertexte visité" xfId="3937" builtinId="9" hidden="1"/>
    <cellStyle name="Lien hypertexte visité" xfId="23824" builtinId="9" hidden="1"/>
    <cellStyle name="Lien hypertexte visité" xfId="23712" builtinId="9" hidden="1"/>
    <cellStyle name="Lien hypertexte visité" xfId="13662" builtinId="9" hidden="1"/>
    <cellStyle name="Lien hypertexte visité" xfId="10078" builtinId="9" hidden="1"/>
    <cellStyle name="Lien hypertexte visité" xfId="10511" builtinId="9" hidden="1"/>
    <cellStyle name="Lien hypertexte visité" xfId="2312" builtinId="9" hidden="1"/>
    <cellStyle name="Lien hypertexte visité" xfId="4348" builtinId="9" hidden="1"/>
    <cellStyle name="Lien hypertexte visité" xfId="12541" builtinId="9" hidden="1"/>
    <cellStyle name="Lien hypertexte visité" xfId="22292" builtinId="9" hidden="1"/>
    <cellStyle name="Lien hypertexte visité" xfId="12908" builtinId="9" hidden="1"/>
    <cellStyle name="Lien hypertexte visité" xfId="4715" builtinId="9" hidden="1"/>
    <cellStyle name="Lien hypertexte visité" xfId="4639" builtinId="9" hidden="1"/>
    <cellStyle name="Lien hypertexte visité" xfId="903" builtinId="9" hidden="1"/>
    <cellStyle name="Lien hypertexte visité" xfId="6496" builtinId="9" hidden="1"/>
    <cellStyle name="Lien hypertexte visité" xfId="11961" builtinId="9" hidden="1"/>
    <cellStyle name="Lien hypertexte visité" xfId="16751" builtinId="9" hidden="1"/>
    <cellStyle name="Lien hypertexte visité" xfId="21580" builtinId="9" hidden="1"/>
    <cellStyle name="Lien hypertexte visité" xfId="12592" builtinId="9" hidden="1"/>
    <cellStyle name="Lien hypertexte visité" xfId="8920" builtinId="9" hidden="1"/>
    <cellStyle name="Lien hypertexte visité" xfId="14121" builtinId="9" hidden="1"/>
    <cellStyle name="Lien hypertexte visité" xfId="8763" builtinId="9" hidden="1"/>
    <cellStyle name="Lien hypertexte visité" xfId="5690" builtinId="9" hidden="1"/>
    <cellStyle name="Lien hypertexte visité" xfId="843" builtinId="9" hidden="1"/>
    <cellStyle name="Lien hypertexte visité" xfId="9787" builtinId="9" hidden="1"/>
    <cellStyle name="Lien hypertexte visité" xfId="14491" builtinId="9" hidden="1"/>
    <cellStyle name="Lien hypertexte visité" xfId="9619" builtinId="9" hidden="1"/>
    <cellStyle name="Lien hypertexte visité" xfId="1371" builtinId="9" hidden="1"/>
    <cellStyle name="Lien hypertexte visité" xfId="3978" builtinId="9" hidden="1"/>
    <cellStyle name="Lien hypertexte visité" xfId="8659" builtinId="9" hidden="1"/>
    <cellStyle name="Lien hypertexte visité" xfId="15435" builtinId="9" hidden="1"/>
    <cellStyle name="Lien hypertexte visité" xfId="11391" builtinId="9" hidden="1"/>
    <cellStyle name="Lien hypertexte visité" xfId="5950" builtinId="9" hidden="1"/>
    <cellStyle name="Lien hypertexte visité" xfId="191" builtinId="9" hidden="1"/>
    <cellStyle name="Lien hypertexte visité" xfId="4364" builtinId="9" hidden="1"/>
    <cellStyle name="Lien hypertexte visité" xfId="9805" builtinId="9" hidden="1"/>
    <cellStyle name="Lien hypertexte visité" xfId="16039" builtinId="9" hidden="1"/>
    <cellStyle name="Lien hypertexte visité" xfId="23382" builtinId="9" hidden="1"/>
    <cellStyle name="Lien hypertexte visité" xfId="14981" builtinId="9" hidden="1"/>
    <cellStyle name="Lien hypertexte visité" xfId="9276" builtinId="9" hidden="1"/>
    <cellStyle name="Lien hypertexte visité" xfId="5691" builtinId="9" hidden="1"/>
    <cellStyle name="Lien hypertexte visité" xfId="709" builtinId="9" hidden="1"/>
    <cellStyle name="Lien hypertexte visité" xfId="6383" builtinId="9" hidden="1"/>
    <cellStyle name="Lien hypertexte visité" xfId="967" builtinId="9" hidden="1"/>
    <cellStyle name="Lien hypertexte visité" xfId="4720" builtinId="9" hidden="1"/>
    <cellStyle name="Lien hypertexte visité" xfId="8345" builtinId="9" hidden="1"/>
    <cellStyle name="Lien hypertexte visité" xfId="10801" builtinId="9" hidden="1"/>
    <cellStyle name="Lien hypertexte visité" xfId="14449" builtinId="9" hidden="1"/>
    <cellStyle name="Lien hypertexte visité" xfId="21614" builtinId="9" hidden="1"/>
    <cellStyle name="Lien hypertexte visité" xfId="22828" builtinId="9" hidden="1"/>
    <cellStyle name="Lien hypertexte visité" xfId="15549" builtinId="9" hidden="1"/>
    <cellStyle name="Lien hypertexte visité" xfId="11384" builtinId="9" hidden="1"/>
    <cellStyle name="Lien hypertexte visité" xfId="8952" builtinId="9" hidden="1"/>
    <cellStyle name="Lien hypertexte visité" xfId="24444" builtinId="9" hidden="1"/>
    <cellStyle name="Lien hypertexte visité" xfId="8713" builtinId="9" hidden="1"/>
    <cellStyle name="Lien hypertexte visité" xfId="21116" builtinId="9" hidden="1"/>
    <cellStyle name="Lien hypertexte visité" xfId="19036" builtinId="9" hidden="1"/>
    <cellStyle name="Lien hypertexte visité" xfId="11441" builtinId="9" hidden="1"/>
    <cellStyle name="Lien hypertexte visité" xfId="4272" builtinId="9" hidden="1"/>
    <cellStyle name="Lien hypertexte visité" xfId="2677" builtinId="9" hidden="1"/>
    <cellStyle name="Lien hypertexte visité" xfId="23604" builtinId="9" hidden="1"/>
    <cellStyle name="Lien hypertexte visité" xfId="9069" builtinId="9" hidden="1"/>
    <cellStyle name="Lien hypertexte visité" xfId="5464" builtinId="9" hidden="1"/>
    <cellStyle name="Lien hypertexte visité" xfId="6472" builtinId="9" hidden="1"/>
    <cellStyle name="Lien hypertexte visité" xfId="10976" builtinId="9" hidden="1"/>
    <cellStyle name="Lien hypertexte visité" xfId="23596" builtinId="9" hidden="1"/>
    <cellStyle name="Lien hypertexte visité" xfId="9153" builtinId="9" hidden="1"/>
    <cellStyle name="Lien hypertexte visité" xfId="1850" builtinId="9" hidden="1"/>
    <cellStyle name="Lien hypertexte visité" xfId="6299" builtinId="9" hidden="1"/>
    <cellStyle name="Lien hypertexte visité" xfId="18390" builtinId="9" hidden="1"/>
    <cellStyle name="Lien hypertexte visité" xfId="5548" builtinId="9" hidden="1"/>
    <cellStyle name="Lien hypertexte visité" xfId="11999" builtinId="9" hidden="1"/>
    <cellStyle name="Lien hypertexte visité" xfId="1852" builtinId="9" hidden="1"/>
    <cellStyle name="Lien hypertexte visité" xfId="17075" builtinId="9" hidden="1"/>
    <cellStyle name="Lien hypertexte visité" xfId="6202" builtinId="9" hidden="1"/>
    <cellStyle name="Lien hypertexte visité" xfId="11400" builtinId="9" hidden="1"/>
    <cellStyle name="Lien hypertexte visité" xfId="19118" builtinId="9" hidden="1"/>
    <cellStyle name="Lien hypertexte visité" xfId="267" builtinId="9" hidden="1"/>
    <cellStyle name="Lien hypertexte visité" xfId="18708" builtinId="9" hidden="1"/>
    <cellStyle name="Lien hypertexte visité" xfId="6140" builtinId="9" hidden="1"/>
    <cellStyle name="Lien hypertexte visité" xfId="10674" builtinId="9" hidden="1"/>
    <cellStyle name="Lien hypertexte visité" xfId="11754" builtinId="9" hidden="1"/>
    <cellStyle name="Lien hypertexte visité" xfId="913" builtinId="9" hidden="1"/>
    <cellStyle name="Lien hypertexte visité" xfId="22020" builtinId="9" hidden="1"/>
    <cellStyle name="Lien hypertexte visité" xfId="14260" builtinId="9" hidden="1"/>
    <cellStyle name="Lien hypertexte visité" xfId="11556" builtinId="9" hidden="1"/>
    <cellStyle name="Lien hypertexte visité" xfId="7523" builtinId="9" hidden="1"/>
    <cellStyle name="Lien hypertexte visité" xfId="11237" builtinId="9" hidden="1"/>
    <cellStyle name="Lien hypertexte visité" xfId="1758" builtinId="9" hidden="1"/>
    <cellStyle name="Lien hypertexte visité" xfId="13479" builtinId="9" hidden="1"/>
    <cellStyle name="Lien hypertexte visité" xfId="17449" builtinId="9" hidden="1"/>
    <cellStyle name="Lien hypertexte visité" xfId="19506" builtinId="9" hidden="1"/>
    <cellStyle name="Lien hypertexte visité" xfId="16641" builtinId="9" hidden="1"/>
    <cellStyle name="Lien hypertexte visité" xfId="18442" builtinId="9" hidden="1"/>
    <cellStyle name="Lien hypertexte visité" xfId="22642" builtinId="9" hidden="1"/>
    <cellStyle name="Lien hypertexte visité" xfId="20440" builtinId="9" hidden="1"/>
    <cellStyle name="Lien hypertexte visité" xfId="14350" builtinId="9" hidden="1"/>
    <cellStyle name="Lien hypertexte visité" xfId="12246" builtinId="9" hidden="1"/>
    <cellStyle name="Lien hypertexte visité" xfId="9122" builtinId="9" hidden="1"/>
    <cellStyle name="Lien hypertexte visité" xfId="12567" builtinId="9" hidden="1"/>
    <cellStyle name="Lien hypertexte visité" xfId="9495" builtinId="9" hidden="1"/>
    <cellStyle name="Lien hypertexte visité" xfId="4806" builtinId="9" hidden="1"/>
    <cellStyle name="Lien hypertexte visité" xfId="911" builtinId="9" hidden="1"/>
    <cellStyle name="Lien hypertexte visité" xfId="4116" builtinId="9" hidden="1"/>
    <cellStyle name="Lien hypertexte visité" xfId="8821" builtinId="9" hidden="1"/>
    <cellStyle name="Lien hypertexte visité" xfId="6932" builtinId="9" hidden="1"/>
    <cellStyle name="Lien hypertexte visité" xfId="8322" builtinId="9" hidden="1"/>
    <cellStyle name="Lien hypertexte visité" xfId="22208" builtinId="9" hidden="1"/>
    <cellStyle name="Lien hypertexte visité" xfId="2525" builtinId="9" hidden="1"/>
    <cellStyle name="Lien hypertexte visité" xfId="4851" builtinId="9" hidden="1"/>
    <cellStyle name="Lien hypertexte visité" xfId="3329" builtinId="9" hidden="1"/>
    <cellStyle name="Lien hypertexte visité" xfId="8728" builtinId="9" hidden="1"/>
    <cellStyle name="Lien hypertexte visité" xfId="6551" builtinId="9" hidden="1"/>
    <cellStyle name="Lien hypertexte visité" xfId="5223" builtinId="9" hidden="1"/>
    <cellStyle name="Lien hypertexte visité" xfId="2893" builtinId="9" hidden="1"/>
    <cellStyle name="Lien hypertexte visité" xfId="117" builtinId="9" hidden="1"/>
    <cellStyle name="Lien hypertexte visité" xfId="14340" builtinId="9" hidden="1"/>
    <cellStyle name="Lien hypertexte visité" xfId="24422" builtinId="9" hidden="1"/>
    <cellStyle name="Lien hypertexte visité" xfId="6295" builtinId="9" hidden="1"/>
    <cellStyle name="Lien hypertexte visité" xfId="20964" builtinId="9" hidden="1"/>
    <cellStyle name="Lien hypertexte visité" xfId="20934" builtinId="9" hidden="1"/>
    <cellStyle name="Lien hypertexte visité" xfId="11908" builtinId="9" hidden="1"/>
    <cellStyle name="Lien hypertexte visité" xfId="333" builtinId="9" hidden="1"/>
    <cellStyle name="Lien hypertexte visité" xfId="9636" builtinId="9" hidden="1"/>
    <cellStyle name="Lien hypertexte visité" xfId="12052" builtinId="9" hidden="1"/>
    <cellStyle name="Lien hypertexte visité" xfId="5459" builtinId="9" hidden="1"/>
    <cellStyle name="Lien hypertexte visité" xfId="12965" builtinId="9" hidden="1"/>
    <cellStyle name="Lien hypertexte visité" xfId="5028" builtinId="9" hidden="1"/>
    <cellStyle name="Lien hypertexte visité" xfId="8020" builtinId="9" hidden="1"/>
    <cellStyle name="Lien hypertexte visité" xfId="14709" builtinId="9" hidden="1"/>
    <cellStyle name="Lien hypertexte visité" xfId="12260" builtinId="9" hidden="1"/>
    <cellStyle name="Lien hypertexte visité" xfId="8676" builtinId="9" hidden="1"/>
    <cellStyle name="Lien hypertexte visité" xfId="1280" builtinId="9" hidden="1"/>
    <cellStyle name="Lien hypertexte visité" xfId="10372" builtinId="9" hidden="1"/>
    <cellStyle name="Lien hypertexte visité" xfId="22982" builtinId="9" hidden="1"/>
    <cellStyle name="Lien hypertexte visité" xfId="19076" builtinId="9" hidden="1"/>
    <cellStyle name="Lien hypertexte visité" xfId="8008" builtinId="9" hidden="1"/>
    <cellStyle name="Lien hypertexte visité" xfId="22374" builtinId="9" hidden="1"/>
    <cellStyle name="Lien hypertexte visité" xfId="7683" builtinId="9" hidden="1"/>
    <cellStyle name="Lien hypertexte visité" xfId="405" builtinId="9" hidden="1"/>
    <cellStyle name="Lien hypertexte visité" xfId="3862" builtinId="9" hidden="1"/>
    <cellStyle name="Lien hypertexte visité" xfId="4311" builtinId="9" hidden="1"/>
    <cellStyle name="Lien hypertexte visité" xfId="6743" builtinId="9" hidden="1"/>
    <cellStyle name="Lien hypertexte visité" xfId="7751" builtinId="9" hidden="1"/>
    <cellStyle name="Lien hypertexte visité" xfId="4183" builtinId="9" hidden="1"/>
    <cellStyle name="Lien hypertexte visité" xfId="5059" builtinId="9" hidden="1"/>
    <cellStyle name="Lien hypertexte visité" xfId="12276" builtinId="9" hidden="1"/>
    <cellStyle name="Lien hypertexte visité" xfId="23386" builtinId="9" hidden="1"/>
    <cellStyle name="Lien hypertexte visité" xfId="9686" builtinId="9" hidden="1"/>
    <cellStyle name="Lien hypertexte visité" xfId="12229" builtinId="9" hidden="1"/>
    <cellStyle name="Lien hypertexte visité" xfId="7540" builtinId="9" hidden="1"/>
    <cellStyle name="Lien hypertexte visité" xfId="4468" builtinId="9" hidden="1"/>
    <cellStyle name="Lien hypertexte visité" xfId="1391" builtinId="9" hidden="1"/>
    <cellStyle name="Lien hypertexte visité" xfId="6086" builtinId="9" hidden="1"/>
    <cellStyle name="Lien hypertexte visité" xfId="9159" builtinId="9" hidden="1"/>
    <cellStyle name="Lien hypertexte visité" xfId="13847" builtinId="9" hidden="1"/>
    <cellStyle name="Lien hypertexte visité" xfId="9974" builtinId="9" hidden="1"/>
    <cellStyle name="Lien hypertexte visité" xfId="12078" builtinId="9" hidden="1"/>
    <cellStyle name="Lien hypertexte visité" xfId="15889" builtinId="9" hidden="1"/>
    <cellStyle name="Lien hypertexte visité" xfId="22016" builtinId="9" hidden="1"/>
    <cellStyle name="Lien hypertexte visité" xfId="22986" builtinId="9" hidden="1"/>
    <cellStyle name="Lien hypertexte visité" xfId="18970" builtinId="9" hidden="1"/>
    <cellStyle name="Lien hypertexte visité" xfId="13018" builtinId="9" hidden="1"/>
    <cellStyle name="Lien hypertexte visité" xfId="18163" builtinId="9" hidden="1"/>
    <cellStyle name="Lien hypertexte visité" xfId="13422" builtinId="9" hidden="1"/>
    <cellStyle name="Lien hypertexte visité" xfId="9639" builtinId="9" hidden="1"/>
    <cellStyle name="Lien hypertexte visité" xfId="815" builtinId="9" hidden="1"/>
    <cellStyle name="Lien hypertexte visité" xfId="15127" builtinId="9" hidden="1"/>
    <cellStyle name="Lien hypertexte visité" xfId="8628" builtinId="9" hidden="1"/>
    <cellStyle name="Lien hypertexte visité" xfId="11332" builtinId="9" hidden="1"/>
    <cellStyle name="Lien hypertexte visité" xfId="16181" builtinId="9" hidden="1"/>
    <cellStyle name="Lien hypertexte visité" xfId="17783" builtinId="9" hidden="1"/>
    <cellStyle name="Lien hypertexte visité" xfId="1214" builtinId="9" hidden="1"/>
    <cellStyle name="Lien hypertexte visité" xfId="18514" builtinId="9" hidden="1"/>
    <cellStyle name="Lien hypertexte visité" xfId="12943" builtinId="9" hidden="1"/>
    <cellStyle name="Lien hypertexte visité" xfId="4604" builtinId="9" hidden="1"/>
    <cellStyle name="Lien hypertexte visité" xfId="2437" builtinId="9" hidden="1"/>
    <cellStyle name="Lien hypertexte visité" xfId="4159" builtinId="9" hidden="1"/>
    <cellStyle name="Lien hypertexte visité" xfId="7615" builtinId="9" hidden="1"/>
    <cellStyle name="Lien hypertexte visité" xfId="7973" builtinId="9" hidden="1"/>
    <cellStyle name="Lien hypertexte visité" xfId="7331" builtinId="9" hidden="1"/>
    <cellStyle name="Lien hypertexte visité" xfId="10548" builtinId="9" hidden="1"/>
    <cellStyle name="Lien hypertexte visité" xfId="15925" builtinId="9" hidden="1"/>
    <cellStyle name="Lien hypertexte visité" xfId="23942" builtinId="9" hidden="1"/>
    <cellStyle name="Lien hypertexte visité" xfId="19012" builtinId="9" hidden="1"/>
    <cellStyle name="Lien hypertexte visité" xfId="1101" builtinId="9" hidden="1"/>
    <cellStyle name="Lien hypertexte visité" xfId="629" builtinId="9" hidden="1"/>
    <cellStyle name="Lien hypertexte visité" xfId="3425" builtinId="9" hidden="1"/>
    <cellStyle name="Lien hypertexte visité" xfId="8328" builtinId="9" hidden="1"/>
    <cellStyle name="Lien hypertexte visité" xfId="4535" builtinId="9" hidden="1"/>
    <cellStyle name="Lien hypertexte visité" xfId="4083" builtinId="9" hidden="1"/>
    <cellStyle name="Lien hypertexte visité" xfId="1440" builtinId="9" hidden="1"/>
    <cellStyle name="Lien hypertexte visité" xfId="20550" builtinId="9" hidden="1"/>
    <cellStyle name="Lien hypertexte visité" xfId="22244" builtinId="9" hidden="1"/>
    <cellStyle name="Lien hypertexte visité" xfId="7121" builtinId="9" hidden="1"/>
    <cellStyle name="Lien hypertexte visité" xfId="10118" builtinId="9" hidden="1"/>
    <cellStyle name="Lien hypertexte visité" xfId="15815" builtinId="9" hidden="1"/>
    <cellStyle name="Lien hypertexte visité" xfId="807" builtinId="9" hidden="1"/>
    <cellStyle name="Lien hypertexte visité" xfId="18093" builtinId="9" hidden="1"/>
    <cellStyle name="Lien hypertexte visité" xfId="5722" builtinId="9" hidden="1"/>
    <cellStyle name="Lien hypertexte visité" xfId="11019" builtinId="9" hidden="1"/>
    <cellStyle name="Lien hypertexte visité" xfId="11455" builtinId="9" hidden="1"/>
    <cellStyle name="Lien hypertexte visité" xfId="11565" builtinId="9" hidden="1"/>
    <cellStyle name="Lien hypertexte visité" xfId="5723" builtinId="9" hidden="1"/>
    <cellStyle name="Lien hypertexte visité" xfId="5872" builtinId="9" hidden="1"/>
    <cellStyle name="Lien hypertexte visité" xfId="22876" builtinId="9" hidden="1"/>
    <cellStyle name="Lien hypertexte visité" xfId="17759" builtinId="9" hidden="1"/>
    <cellStyle name="Lien hypertexte visité" xfId="4352" builtinId="9" hidden="1"/>
    <cellStyle name="Lien hypertexte visité" xfId="13727" builtinId="9" hidden="1"/>
    <cellStyle name="Lien hypertexte visité" xfId="23058" builtinId="9" hidden="1"/>
    <cellStyle name="Lien hypertexte visité" xfId="23224" builtinId="9" hidden="1"/>
    <cellStyle name="Lien hypertexte visité" xfId="6465" builtinId="9" hidden="1"/>
    <cellStyle name="Lien hypertexte visité" xfId="5389" builtinId="9" hidden="1"/>
    <cellStyle name="Lien hypertexte visité" xfId="737" builtinId="9" hidden="1"/>
    <cellStyle name="Lien hypertexte visité" xfId="15129" builtinId="9" hidden="1"/>
    <cellStyle name="Lien hypertexte visité" xfId="11018" builtinId="9" hidden="1"/>
    <cellStyle name="Lien hypertexte visité" xfId="17975" builtinId="9" hidden="1"/>
    <cellStyle name="Lien hypertexte visité" xfId="3307" builtinId="9" hidden="1"/>
    <cellStyle name="Lien hypertexte visité" xfId="11639" builtinId="9" hidden="1"/>
    <cellStyle name="Lien hypertexte visité" xfId="15739" builtinId="9" hidden="1"/>
    <cellStyle name="Lien hypertexte visité" xfId="10030" builtinId="9" hidden="1"/>
    <cellStyle name="Lien hypertexte visité" xfId="12366" builtinId="9" hidden="1"/>
    <cellStyle name="Lien hypertexte visité" xfId="14993" builtinId="9" hidden="1"/>
    <cellStyle name="Lien hypertexte visité" xfId="19624" builtinId="9" hidden="1"/>
    <cellStyle name="Lien hypertexte visité" xfId="24482" builtinId="9" hidden="1"/>
    <cellStyle name="Lien hypertexte visité" xfId="19698" builtinId="9" hidden="1"/>
    <cellStyle name="Lien hypertexte visité" xfId="24090" builtinId="9" hidden="1"/>
    <cellStyle name="Lien hypertexte visité" xfId="12826" builtinId="9" hidden="1"/>
    <cellStyle name="Lien hypertexte visité" xfId="20194" builtinId="9" hidden="1"/>
    <cellStyle name="Lien hypertexte visité" xfId="15057" builtinId="9" hidden="1"/>
    <cellStyle name="Lien hypertexte visité" xfId="16027" builtinId="9" hidden="1"/>
    <cellStyle name="Lien hypertexte visité" xfId="3488" builtinId="9" hidden="1"/>
    <cellStyle name="Lien hypertexte visité" xfId="8165" builtinId="9" hidden="1"/>
    <cellStyle name="Lien hypertexte visité" xfId="5699" builtinId="9" hidden="1"/>
    <cellStyle name="Lien hypertexte visité" xfId="8692" builtinId="9" hidden="1"/>
    <cellStyle name="Lien hypertexte visité" xfId="11764" builtinId="9" hidden="1"/>
    <cellStyle name="Lien hypertexte visité" xfId="15029" builtinId="9" hidden="1"/>
    <cellStyle name="Lien hypertexte visité" xfId="20996" builtinId="9" hidden="1"/>
    <cellStyle name="Lien hypertexte visité" xfId="5289" builtinId="9" hidden="1"/>
    <cellStyle name="Lien hypertexte visité" xfId="5841" builtinId="9" hidden="1"/>
    <cellStyle name="Lien hypertexte visité" xfId="21832" builtinId="9" hidden="1"/>
    <cellStyle name="Lien hypertexte visité" xfId="12431" builtinId="9" hidden="1"/>
    <cellStyle name="Lien hypertexte visité" xfId="7164" builtinId="9" hidden="1"/>
    <cellStyle name="Lien hypertexte visité" xfId="13548" builtinId="9" hidden="1"/>
    <cellStyle name="Lien hypertexte visité" xfId="6047" builtinId="9" hidden="1"/>
    <cellStyle name="Lien hypertexte visité" xfId="12049" builtinId="9" hidden="1"/>
    <cellStyle name="Lien hypertexte visité" xfId="15101" builtinId="9" hidden="1"/>
    <cellStyle name="Lien hypertexte visité" xfId="11305" builtinId="9" hidden="1"/>
    <cellStyle name="Lien hypertexte visité" xfId="2100" builtinId="9" hidden="1"/>
    <cellStyle name="Lien hypertexte visité" xfId="16499" builtinId="9" hidden="1"/>
    <cellStyle name="Lien hypertexte visité" xfId="3605" builtinId="9" hidden="1"/>
    <cellStyle name="Lien hypertexte visité" xfId="14047" builtinId="9" hidden="1"/>
    <cellStyle name="Lien hypertexte visité" xfId="383" builtinId="9" hidden="1"/>
    <cellStyle name="Lien hypertexte visité" xfId="13069" builtinId="9" hidden="1"/>
    <cellStyle name="Lien hypertexte visité" xfId="13788" builtinId="9" hidden="1"/>
    <cellStyle name="Lien hypertexte visité" xfId="1492" builtinId="9" hidden="1"/>
    <cellStyle name="Lien hypertexte visité" xfId="2322" builtinId="9" hidden="1"/>
    <cellStyle name="Lien hypertexte visité" xfId="10521" builtinId="9" hidden="1"/>
    <cellStyle name="Lien hypertexte visité" xfId="22894" builtinId="9" hidden="1"/>
    <cellStyle name="Lien hypertexte visité" xfId="11344" builtinId="9" hidden="1"/>
    <cellStyle name="Lien hypertexte visité" xfId="13193" builtinId="9" hidden="1"/>
    <cellStyle name="Lien hypertexte visité" xfId="22796" builtinId="9" hidden="1"/>
    <cellStyle name="Lien hypertexte visité" xfId="2313" builtinId="9" hidden="1"/>
    <cellStyle name="Lien hypertexte visité" xfId="9837" builtinId="9" hidden="1"/>
    <cellStyle name="Lien hypertexte visité" xfId="19508" builtinId="9" hidden="1"/>
    <cellStyle name="Lien hypertexte visité" xfId="4731" builtinId="9" hidden="1"/>
    <cellStyle name="Lien hypertexte visité" xfId="871" builtinId="9" hidden="1"/>
    <cellStyle name="Lien hypertexte visité" xfId="9217" builtinId="9" hidden="1"/>
    <cellStyle name="Lien hypertexte visité" xfId="20286" builtinId="9" hidden="1"/>
    <cellStyle name="Lien hypertexte visité" xfId="13544" builtinId="9" hidden="1"/>
    <cellStyle name="Lien hypertexte visité" xfId="24188" builtinId="9" hidden="1"/>
    <cellStyle name="Lien hypertexte visité" xfId="10121" builtinId="9" hidden="1"/>
    <cellStyle name="Lien hypertexte visité" xfId="22094" builtinId="9" hidden="1"/>
    <cellStyle name="Lien hypertexte visité" xfId="11808" builtinId="9" hidden="1"/>
    <cellStyle name="Lien hypertexte visité" xfId="10600" builtinId="9" hidden="1"/>
    <cellStyle name="Lien hypertexte visité" xfId="13328" builtinId="9" hidden="1"/>
    <cellStyle name="Lien hypertexte visité" xfId="17597" builtinId="9" hidden="1"/>
    <cellStyle name="Lien hypertexte visité" xfId="23052" builtinId="9" hidden="1"/>
    <cellStyle name="Lien hypertexte visité" xfId="20718" builtinId="9" hidden="1"/>
    <cellStyle name="Lien hypertexte visité" xfId="15279" builtinId="9" hidden="1"/>
    <cellStyle name="Lien hypertexte visité" xfId="11825" builtinId="9" hidden="1"/>
    <cellStyle name="Lien hypertexte visité" xfId="9089" builtinId="9" hidden="1"/>
    <cellStyle name="Lien hypertexte visité" xfId="6360" builtinId="9" hidden="1"/>
    <cellStyle name="Lien hypertexte visité" xfId="3627" builtinId="9" hidden="1"/>
    <cellStyle name="Lien hypertexte visité" xfId="615" builtinId="9" hidden="1"/>
    <cellStyle name="Lien hypertexte visité" xfId="5711" builtinId="9" hidden="1"/>
    <cellStyle name="Lien hypertexte visité" xfId="1609" builtinId="9" hidden="1"/>
    <cellStyle name="Lien hypertexte visité" xfId="4059" builtinId="9" hidden="1"/>
    <cellStyle name="Lien hypertexte visité" xfId="8156" builtinId="9" hidden="1"/>
    <cellStyle name="Lien hypertexte visité" xfId="12252" builtinId="9" hidden="1"/>
    <cellStyle name="Lien hypertexte visité" xfId="18181" builtinId="9" hidden="1"/>
    <cellStyle name="Lien hypertexte visité" xfId="22870" builtinId="9" hidden="1"/>
    <cellStyle name="Lien hypertexte visité" xfId="14695" builtinId="9" hidden="1"/>
    <cellStyle name="Lien hypertexte visité" xfId="10509" builtinId="9" hidden="1"/>
    <cellStyle name="Lien hypertexte visité" xfId="5964" builtinId="9" hidden="1"/>
    <cellStyle name="Lien hypertexte visité" xfId="1862" builtinId="9" hidden="1"/>
    <cellStyle name="Lien hypertexte visité" xfId="3384" builtinId="9" hidden="1"/>
    <cellStyle name="Lien hypertexte visité" xfId="7486" builtinId="9" hidden="1"/>
    <cellStyle name="Lien hypertexte visité" xfId="11583" builtinId="9" hidden="1"/>
    <cellStyle name="Lien hypertexte visité" xfId="16843" builtinId="9" hidden="1"/>
    <cellStyle name="Lien hypertexte visité" xfId="9243" builtinId="9" hidden="1"/>
    <cellStyle name="Lien hypertexte visité" xfId="5298" builtinId="9" hidden="1"/>
    <cellStyle name="Lien hypertexte visité" xfId="1780" builtinId="9" hidden="1"/>
    <cellStyle name="Lien hypertexte visité" xfId="11603" builtinId="9" hidden="1"/>
    <cellStyle name="Lien hypertexte visité" xfId="13563" builtinId="9" hidden="1"/>
    <cellStyle name="Lien hypertexte visité" xfId="14851" builtinId="9" hidden="1"/>
    <cellStyle name="Lien hypertexte visité" xfId="10331" builtinId="9" hidden="1"/>
    <cellStyle name="Lien hypertexte visité" xfId="4258" builtinId="9" hidden="1"/>
    <cellStyle name="Lien hypertexte visité" xfId="4298" builtinId="9" hidden="1"/>
    <cellStyle name="Lien hypertexte visité" xfId="7811" builtinId="9" hidden="1"/>
    <cellStyle name="Lien hypertexte visité" xfId="6696" builtinId="9" hidden="1"/>
    <cellStyle name="Lien hypertexte visité" xfId="23438" builtinId="9" hidden="1"/>
    <cellStyle name="Lien hypertexte visité" xfId="9176" builtinId="9" hidden="1"/>
    <cellStyle name="Lien hypertexte visité" xfId="13272" builtinId="9" hidden="1"/>
    <cellStyle name="Lien hypertexte visité" xfId="20204" builtinId="9" hidden="1"/>
    <cellStyle name="Lien hypertexte visité" xfId="19966" builtinId="9" hidden="1"/>
    <cellStyle name="Lien hypertexte visité" xfId="13153" builtinId="9" hidden="1"/>
    <cellStyle name="Lien hypertexte visité" xfId="9057" builtinId="9" hidden="1"/>
    <cellStyle name="Lien hypertexte visité" xfId="4960" builtinId="9" hidden="1"/>
    <cellStyle name="Lien hypertexte visité" xfId="551" builtinId="9" hidden="1"/>
    <cellStyle name="Lien hypertexte visité" xfId="3610" builtinId="9" hidden="1"/>
    <cellStyle name="Lien hypertexte visité" xfId="3693" builtinId="9" hidden="1"/>
    <cellStyle name="Lien hypertexte visité" xfId="10604" builtinId="9" hidden="1"/>
    <cellStyle name="Lien hypertexte visité" xfId="18964" builtinId="9" hidden="1"/>
    <cellStyle name="Lien hypertexte visité" xfId="17991" builtinId="9" hidden="1"/>
    <cellStyle name="Lien hypertexte visité" xfId="10109" builtinId="9" hidden="1"/>
    <cellStyle name="Lien hypertexte visité" xfId="3964" builtinId="9" hidden="1"/>
    <cellStyle name="Lien hypertexte visité" xfId="3336" builtinId="9" hidden="1"/>
    <cellStyle name="Lien hypertexte visité" xfId="9487" builtinId="9" hidden="1"/>
    <cellStyle name="Lien hypertexte visité" xfId="8454" builtinId="9" hidden="1"/>
    <cellStyle name="Lien hypertexte visité" xfId="12550" builtinId="9" hidden="1"/>
    <cellStyle name="Lien hypertexte visité" xfId="18760" builtinId="9" hidden="1"/>
    <cellStyle name="Lien hypertexte visité" xfId="22274" builtinId="9" hidden="1"/>
    <cellStyle name="Lien hypertexte visité" xfId="22288" builtinId="9" hidden="1"/>
    <cellStyle name="Lien hypertexte visité" xfId="4525" builtinId="9" hidden="1"/>
    <cellStyle name="Lien hypertexte visité" xfId="23368" builtinId="9" hidden="1"/>
    <cellStyle name="Lien hypertexte visité" xfId="12925" builtinId="9" hidden="1"/>
    <cellStyle name="Lien hypertexte visité" xfId="6752" builtinId="9" hidden="1"/>
    <cellStyle name="Lien hypertexte visité" xfId="13609" builtinId="9" hidden="1"/>
    <cellStyle name="Lien hypertexte visité" xfId="9827" builtinId="9" hidden="1"/>
    <cellStyle name="Lien hypertexte visité" xfId="5694" builtinId="9" hidden="1"/>
    <cellStyle name="Lien hypertexte visité" xfId="14597" builtinId="9" hidden="1"/>
    <cellStyle name="Lien hypertexte visité" xfId="4888" builtinId="9" hidden="1"/>
    <cellStyle name="Lien hypertexte visité" xfId="15213" builtinId="9" hidden="1"/>
    <cellStyle name="Lien hypertexte visité" xfId="19724" builtinId="9" hidden="1"/>
    <cellStyle name="Lien hypertexte visité" xfId="6832" builtinId="9" hidden="1"/>
    <cellStyle name="Lien hypertexte visité" xfId="6971" builtinId="9" hidden="1"/>
    <cellStyle name="Lien hypertexte visité" xfId="6786" builtinId="9" hidden="1"/>
    <cellStyle name="Lien hypertexte visité" xfId="11358" builtinId="9" hidden="1"/>
    <cellStyle name="Lien hypertexte visité" xfId="7379" builtinId="9" hidden="1"/>
    <cellStyle name="Lien hypertexte visité" xfId="17281" builtinId="9" hidden="1"/>
    <cellStyle name="Lien hypertexte visité" xfId="9006" builtinId="9" hidden="1"/>
    <cellStyle name="Lien hypertexte visité" xfId="2829" builtinId="9" hidden="1"/>
    <cellStyle name="Lien hypertexte visité" xfId="821" builtinId="9" hidden="1"/>
    <cellStyle name="Lien hypertexte visité" xfId="8708" builtinId="9" hidden="1"/>
    <cellStyle name="Lien hypertexte visité" xfId="20774" builtinId="9" hidden="1"/>
    <cellStyle name="Lien hypertexte visité" xfId="23492" builtinId="9" hidden="1"/>
    <cellStyle name="Lien hypertexte visité" xfId="15733" builtinId="9" hidden="1"/>
    <cellStyle name="Lien hypertexte visité" xfId="20516" builtinId="9" hidden="1"/>
    <cellStyle name="Lien hypertexte visité" xfId="23270" builtinId="9" hidden="1"/>
    <cellStyle name="Lien hypertexte visité" xfId="20548" builtinId="9" hidden="1"/>
    <cellStyle name="Lien hypertexte visité" xfId="2241" builtinId="9" hidden="1"/>
    <cellStyle name="Lien hypertexte visité" xfId="1436" builtinId="9" hidden="1"/>
    <cellStyle name="Lien hypertexte visité" xfId="9124" builtinId="9" hidden="1"/>
    <cellStyle name="Lien hypertexte visité" xfId="11828" builtinId="9" hidden="1"/>
    <cellStyle name="Lien hypertexte visité" xfId="14164" builtinId="9" hidden="1"/>
    <cellStyle name="Lien hypertexte visité" xfId="6707" builtinId="9" hidden="1"/>
    <cellStyle name="Lien hypertexte visité" xfId="13221" builtinId="9" hidden="1"/>
    <cellStyle name="Lien hypertexte visité" xfId="5540" builtinId="9" hidden="1"/>
    <cellStyle name="Lien hypertexte visité" xfId="12453" builtinId="9" hidden="1"/>
    <cellStyle name="Lien hypertexte visité" xfId="6195" builtinId="9" hidden="1"/>
    <cellStyle name="Lien hypertexte visité" xfId="13940" builtinId="9" hidden="1"/>
    <cellStyle name="Lien hypertexte visité" xfId="11316" builtinId="9" hidden="1"/>
    <cellStyle name="Lien hypertexte visité" xfId="8900" builtinId="9" hidden="1"/>
    <cellStyle name="Lien hypertexte visité" xfId="749" builtinId="9" hidden="1"/>
    <cellStyle name="Lien hypertexte visité" xfId="2785" builtinId="9" hidden="1"/>
    <cellStyle name="Lien hypertexte visité" xfId="20486" builtinId="9" hidden="1"/>
    <cellStyle name="Lien hypertexte visité" xfId="24294" builtinId="9" hidden="1"/>
    <cellStyle name="Lien hypertexte visité" xfId="20100" builtinId="9" hidden="1"/>
    <cellStyle name="Lien hypertexte visité" xfId="4263" builtinId="9" hidden="1"/>
    <cellStyle name="Lien hypertexte visité" xfId="23940" builtinId="9" hidden="1"/>
    <cellStyle name="Lien hypertexte visité" xfId="19750" builtinId="9" hidden="1"/>
    <cellStyle name="Lien hypertexte visité" xfId="7171" builtinId="9" hidden="1"/>
    <cellStyle name="Lien hypertexte visité" xfId="161" builtinId="9" hidden="1"/>
    <cellStyle name="Lien hypertexte visité" xfId="3021" builtinId="9" hidden="1"/>
    <cellStyle name="Lien hypertexte visité" xfId="2689" builtinId="9" hidden="1"/>
    <cellStyle name="Lien hypertexte visité" xfId="3634" builtinId="9" hidden="1"/>
    <cellStyle name="Lien hypertexte visité" xfId="8056" builtinId="9" hidden="1"/>
    <cellStyle name="Lien hypertexte visité" xfId="7559" builtinId="9" hidden="1"/>
    <cellStyle name="Lien hypertexte visité" xfId="3121" builtinId="9" hidden="1"/>
    <cellStyle name="Lien hypertexte visité" xfId="5703" builtinId="9" hidden="1"/>
    <cellStyle name="Lien hypertexte visité" xfId="3549" builtinId="9" hidden="1"/>
    <cellStyle name="Lien hypertexte visité" xfId="7011" builtinId="9" hidden="1"/>
    <cellStyle name="Lien hypertexte visité" xfId="13242" builtinId="9" hidden="1"/>
    <cellStyle name="Lien hypertexte visité" xfId="11054" builtinId="9" hidden="1"/>
    <cellStyle name="Lien hypertexte visité" xfId="2830" builtinId="9" hidden="1"/>
    <cellStyle name="Lien hypertexte visité" xfId="10613" builtinId="9" hidden="1"/>
    <cellStyle name="Lien hypertexte visité" xfId="7444" builtinId="9" hidden="1"/>
    <cellStyle name="Lien hypertexte visité" xfId="3956" builtinId="9" hidden="1"/>
    <cellStyle name="Lien hypertexte visité" xfId="591" builtinId="9" hidden="1"/>
    <cellStyle name="Lien hypertexte visité" xfId="3865" builtinId="9" hidden="1"/>
    <cellStyle name="Lien hypertexte visité" xfId="6934" builtinId="9" hidden="1"/>
    <cellStyle name="Lien hypertexte visité" xfId="12149" builtinId="9" hidden="1"/>
    <cellStyle name="Lien hypertexte visité" xfId="22214" builtinId="9" hidden="1"/>
    <cellStyle name="Lien hypertexte visité" xfId="5539" builtinId="9" hidden="1"/>
    <cellStyle name="Lien hypertexte visité" xfId="17721" builtinId="9" hidden="1"/>
    <cellStyle name="Lien hypertexte visité" xfId="14006" builtinId="9" hidden="1"/>
    <cellStyle name="Lien hypertexte visité" xfId="11682" builtinId="9" hidden="1"/>
    <cellStyle name="Lien hypertexte visité" xfId="9570" builtinId="9" hidden="1"/>
    <cellStyle name="Lien hypertexte visité" xfId="15227" builtinId="9" hidden="1"/>
    <cellStyle name="Lien hypertexte visité" xfId="11719" builtinId="9" hidden="1"/>
    <cellStyle name="Lien hypertexte visité" xfId="8215" builtinId="9" hidden="1"/>
    <cellStyle name="Lien hypertexte visité" xfId="5062" builtinId="9" hidden="1"/>
    <cellStyle name="Lien hypertexte visité" xfId="1984" builtinId="9" hidden="1"/>
    <cellStyle name="Lien hypertexte visité" xfId="2318" builtinId="9" hidden="1"/>
    <cellStyle name="Lien hypertexte visité" xfId="5828" builtinId="9" hidden="1"/>
    <cellStyle name="Lien hypertexte visité" xfId="8901" builtinId="9" hidden="1"/>
    <cellStyle name="Lien hypertexte visité" xfId="12053" builtinId="9" hidden="1"/>
    <cellStyle name="Lien hypertexte visité" xfId="8567" builtinId="9" hidden="1"/>
    <cellStyle name="Lien hypertexte visité" xfId="21224" builtinId="9" hidden="1"/>
    <cellStyle name="Lien hypertexte visité" xfId="11542" builtinId="9" hidden="1"/>
    <cellStyle name="Lien hypertexte visité" xfId="13460" builtinId="9" hidden="1"/>
    <cellStyle name="Lien hypertexte visité" xfId="4387" builtinId="9" hidden="1"/>
    <cellStyle name="Lien hypertexte visité" xfId="4919" builtinId="9" hidden="1"/>
    <cellStyle name="Lien hypertexte visité" xfId="7351" builtinId="9" hidden="1"/>
    <cellStyle name="Lien hypertexte visité" xfId="8440" builtinId="9" hidden="1"/>
    <cellStyle name="Lien hypertexte visité" xfId="6359" builtinId="9" hidden="1"/>
    <cellStyle name="Lien hypertexte visité" xfId="3915" builtinId="9" hidden="1"/>
    <cellStyle name="Lien hypertexte visité" xfId="1533" builtinId="9" hidden="1"/>
    <cellStyle name="Lien hypertexte visité" xfId="10951" builtinId="9" hidden="1"/>
    <cellStyle name="Lien hypertexte visité" xfId="7396" builtinId="9" hidden="1"/>
    <cellStyle name="Lien hypertexte visité" xfId="3232" builtinId="9" hidden="1"/>
    <cellStyle name="Lien hypertexte visité" xfId="12455" builtinId="9" hidden="1"/>
    <cellStyle name="Lien hypertexte visité" xfId="12226" builtinId="9" hidden="1"/>
    <cellStyle name="Lien hypertexte visité" xfId="22552" builtinId="9" hidden="1"/>
    <cellStyle name="Lien hypertexte visité" xfId="18113" builtinId="9" hidden="1"/>
    <cellStyle name="Lien hypertexte visité" xfId="16961" builtinId="9" hidden="1"/>
    <cellStyle name="Lien hypertexte visité" xfId="19674" builtinId="9" hidden="1"/>
    <cellStyle name="Lien hypertexte visité" xfId="20594" builtinId="9" hidden="1"/>
    <cellStyle name="Lien hypertexte visité" xfId="24408" builtinId="9" hidden="1"/>
    <cellStyle name="Lien hypertexte visité" xfId="20200" builtinId="9" hidden="1"/>
    <cellStyle name="Lien hypertexte visité" xfId="14101" builtinId="9" hidden="1"/>
    <cellStyle name="Lien hypertexte visité" xfId="17813" builtinId="9" hidden="1"/>
    <cellStyle name="Lien hypertexte visité" xfId="13524" builtinId="9" hidden="1"/>
    <cellStyle name="Lien hypertexte visité" xfId="10820" builtinId="9" hidden="1"/>
    <cellStyle name="Lien hypertexte visité" xfId="8116" builtinId="9" hidden="1"/>
    <cellStyle name="Lien hypertexte visité" xfId="5475" builtinId="9" hidden="1"/>
    <cellStyle name="Lien hypertexte visité" xfId="15137" builtinId="9" hidden="1"/>
    <cellStyle name="Lien hypertexte visité" xfId="1979" builtinId="9" hidden="1"/>
    <cellStyle name="Lien hypertexte visité" xfId="4245" builtinId="9" hidden="1"/>
    <cellStyle name="Lien hypertexte visité" xfId="13746" builtinId="9" hidden="1"/>
    <cellStyle name="Lien hypertexte visité" xfId="5774" builtinId="9" hidden="1"/>
    <cellStyle name="Lien hypertexte visité" xfId="11773" builtinId="9" hidden="1"/>
    <cellStyle name="Lien hypertexte visité" xfId="1526" builtinId="9" hidden="1"/>
    <cellStyle name="Lien hypertexte visité" xfId="9650" builtinId="9" hidden="1"/>
    <cellStyle name="Lien hypertexte visité" xfId="7757" builtinId="9" hidden="1"/>
    <cellStyle name="Lien hypertexte visité" xfId="7890" builtinId="9" hidden="1"/>
    <cellStyle name="Lien hypertexte visité" xfId="19882" builtinId="9" hidden="1"/>
    <cellStyle name="Lien hypertexte visité" xfId="6499" builtinId="9" hidden="1"/>
    <cellStyle name="Lien hypertexte visité" xfId="9140" builtinId="9" hidden="1"/>
    <cellStyle name="Lien hypertexte visité" xfId="11844" builtinId="9" hidden="1"/>
    <cellStyle name="Lien hypertexte visité" xfId="14484" builtinId="9" hidden="1"/>
    <cellStyle name="Lien hypertexte visité" xfId="19844" builtinId="9" hidden="1"/>
    <cellStyle name="Lien hypertexte visité" xfId="23912" builtinId="9" hidden="1"/>
    <cellStyle name="Lien hypertexte visité" xfId="21800" builtinId="9" hidden="1"/>
    <cellStyle name="Lien hypertexte visité" xfId="23218" builtinId="9" hidden="1"/>
    <cellStyle name="Lien hypertexte visité" xfId="19122" builtinId="9" hidden="1"/>
    <cellStyle name="Lien hypertexte visité" xfId="24410" builtinId="9" hidden="1"/>
    <cellStyle name="Lien hypertexte visité" xfId="13530" builtinId="9" hidden="1"/>
    <cellStyle name="Lien hypertexte visité" xfId="17475" builtinId="9" hidden="1"/>
    <cellStyle name="Lien hypertexte visité" xfId="17785" builtinId="9" hidden="1"/>
    <cellStyle name="Lien hypertexte visité" xfId="9838" builtinId="9" hidden="1"/>
    <cellStyle name="Lien hypertexte visité" xfId="9127" builtinId="9" hidden="1"/>
    <cellStyle name="Lien hypertexte visité" xfId="1502" builtinId="9" hidden="1"/>
    <cellStyle name="Lien hypertexte visité" xfId="10725" builtinId="9" hidden="1"/>
    <cellStyle name="Lien hypertexte visité" xfId="3766" builtinId="9" hidden="1"/>
    <cellStyle name="Lien hypertexte visité" xfId="5303" builtinId="9" hidden="1"/>
    <cellStyle name="Lien hypertexte visité" xfId="3041" builtinId="9" hidden="1"/>
    <cellStyle name="Lien hypertexte visité" xfId="8488" builtinId="9" hidden="1"/>
    <cellStyle name="Lien hypertexte visité" xfId="5991" builtinId="9" hidden="1"/>
    <cellStyle name="Lien hypertexte visité" xfId="3521" builtinId="9" hidden="1"/>
    <cellStyle name="Lien hypertexte visité" xfId="5783" builtinId="9" hidden="1"/>
    <cellStyle name="Lien hypertexte visité" xfId="3213" builtinId="9" hidden="1"/>
    <cellStyle name="Lien hypertexte visité" xfId="6435" builtinId="9" hidden="1"/>
    <cellStyle name="Lien hypertexte visité" xfId="11994" builtinId="9" hidden="1"/>
    <cellStyle name="Lien hypertexte visité" xfId="12418" builtinId="9" hidden="1"/>
    <cellStyle name="Lien hypertexte visité" xfId="3518" builtinId="9" hidden="1"/>
    <cellStyle name="Lien hypertexte visité" xfId="10869" builtinId="9" hidden="1"/>
    <cellStyle name="Lien hypertexte visité" xfId="7796" builtinId="9" hidden="1"/>
    <cellStyle name="Lien hypertexte visité" xfId="4628" builtinId="9" hidden="1"/>
    <cellStyle name="Lien hypertexte visité" xfId="1103" builtinId="9" hidden="1"/>
    <cellStyle name="Lien hypertexte visité" xfId="3184" builtinId="9" hidden="1"/>
    <cellStyle name="Lien hypertexte visité" xfId="6262" builtinId="9" hidden="1"/>
    <cellStyle name="Lien hypertexte visité" xfId="9415" builtinId="9" hidden="1"/>
    <cellStyle name="Lien hypertexte visité" xfId="12919" builtinId="9" hidden="1"/>
    <cellStyle name="Lien hypertexte visité" xfId="8270" builtinId="9" hidden="1"/>
    <cellStyle name="Lien hypertexte visité" xfId="10370" builtinId="9" hidden="1"/>
    <cellStyle name="Lien hypertexte visité" xfId="12470" builtinId="9" hidden="1"/>
    <cellStyle name="Lien hypertexte visité" xfId="15097" builtinId="9" hidden="1"/>
    <cellStyle name="Lien hypertexte visité" xfId="23974" builtinId="9" hidden="1"/>
    <cellStyle name="Lien hypertexte visité" xfId="13364" builtinId="9" hidden="1"/>
    <cellStyle name="Lien hypertexte visité" xfId="3105" builtinId="9" hidden="1"/>
    <cellStyle name="Lien hypertexte visité" xfId="7702" builtinId="9" hidden="1"/>
    <cellStyle name="Lien hypertexte visité" xfId="5750" builtinId="9" hidden="1"/>
    <cellStyle name="Lien hypertexte visité" xfId="2672" builtinId="9" hidden="1"/>
    <cellStyle name="Lien hypertexte visité" xfId="1982" builtinId="9" hidden="1"/>
    <cellStyle name="Lien hypertexte visité" xfId="5140" builtinId="9" hidden="1"/>
    <cellStyle name="Lien hypertexte visité" xfId="8645" builtinId="9" hidden="1"/>
    <cellStyle name="Lien hypertexte visité" xfId="11797" builtinId="9" hidden="1"/>
    <cellStyle name="Lien hypertexte visité" xfId="6518" builtinId="9" hidden="1"/>
    <cellStyle name="Lien hypertexte visité" xfId="22144" builtinId="9" hidden="1"/>
    <cellStyle name="Lien hypertexte visité" xfId="10178" builtinId="9" hidden="1"/>
    <cellStyle name="Lien hypertexte visité" xfId="18229" builtinId="9" hidden="1"/>
    <cellStyle name="Lien hypertexte visité" xfId="4451" builtinId="9" hidden="1"/>
    <cellStyle name="Lien hypertexte visité" xfId="4583" builtinId="9" hidden="1"/>
    <cellStyle name="Lien hypertexte visité" xfId="7031" builtinId="9" hidden="1"/>
    <cellStyle name="Lien hypertexte visité" xfId="8840" builtinId="9" hidden="1"/>
    <cellStyle name="Lien hypertexte visité" xfId="6679" builtinId="9" hidden="1"/>
    <cellStyle name="Lien hypertexte visité" xfId="4503" builtinId="9" hidden="1"/>
    <cellStyle name="Lien hypertexte visité" xfId="4803" builtinId="9" hidden="1"/>
    <cellStyle name="Lien hypertexte visité" xfId="2141" builtinId="9" hidden="1"/>
    <cellStyle name="Lien hypertexte visité" xfId="1328" builtinId="9" hidden="1"/>
    <cellStyle name="Lien hypertexte visité" xfId="13316" builtinId="9" hidden="1"/>
    <cellStyle name="Lien hypertexte visité" xfId="21478" builtinId="9" hidden="1"/>
    <cellStyle name="Lien hypertexte visité" xfId="21638" builtinId="9" hidden="1"/>
    <cellStyle name="Lien hypertexte visité" xfId="17173" builtinId="9" hidden="1"/>
    <cellStyle name="Lien hypertexte visité" xfId="21988" builtinId="9" hidden="1"/>
    <cellStyle name="Lien hypertexte visité" xfId="21830" builtinId="9" hidden="1"/>
    <cellStyle name="Lien hypertexte visité" xfId="15445" builtinId="9" hidden="1"/>
    <cellStyle name="Lien hypertexte visité" xfId="1617" builtinId="9" hidden="1"/>
    <cellStyle name="Lien hypertexte visité" xfId="1773" builtinId="9" hidden="1"/>
    <cellStyle name="Lien hypertexte visité" xfId="9780" builtinId="9" hidden="1"/>
    <cellStyle name="Lien hypertexte visité" xfId="12196" builtinId="9" hidden="1"/>
    <cellStyle name="Lien hypertexte visité" xfId="15125" builtinId="9" hidden="1"/>
    <cellStyle name="Lien hypertexte visité" xfId="7075" builtinId="9" hidden="1"/>
    <cellStyle name="Lien hypertexte visité" xfId="16535" builtinId="9" hidden="1"/>
    <cellStyle name="Lien hypertexte visité" xfId="6564" builtinId="9" hidden="1"/>
    <cellStyle name="Lien hypertexte visité" xfId="8164" builtinId="9" hidden="1"/>
    <cellStyle name="Lien hypertexte visité" xfId="5827" builtinId="9" hidden="1"/>
    <cellStyle name="Lien hypertexte visité" xfId="13284" builtinId="9" hidden="1"/>
    <cellStyle name="Lien hypertexte visité" xfId="10580" builtinId="9" hidden="1"/>
    <cellStyle name="Lien hypertexte visité" xfId="8244" builtinId="9" hidden="1"/>
    <cellStyle name="Lien hypertexte visité" xfId="565" builtinId="9" hidden="1"/>
    <cellStyle name="Lien hypertexte visité" xfId="7299" builtinId="9" hidden="1"/>
    <cellStyle name="Lien hypertexte visité" xfId="20198" builtinId="9" hidden="1"/>
    <cellStyle name="Lien hypertexte visité" xfId="24196" builtinId="9" hidden="1"/>
    <cellStyle name="Lien hypertexte visité" xfId="18788" builtinId="9" hidden="1"/>
    <cellStyle name="Lien hypertexte visité" xfId="7479" builtinId="9" hidden="1"/>
    <cellStyle name="Lien hypertexte visité" xfId="23846" builtinId="9" hidden="1"/>
    <cellStyle name="Lien hypertexte visité" xfId="20742" builtinId="9" hidden="1"/>
    <cellStyle name="Lien hypertexte visité" xfId="2417" builtinId="9" hidden="1"/>
    <cellStyle name="Lien hypertexte visité" xfId="941" builtinId="9" hidden="1"/>
    <cellStyle name="Lien hypertexte visité" xfId="3718" builtinId="9" hidden="1"/>
    <cellStyle name="Lien hypertexte visité" xfId="16017" builtinId="9" hidden="1"/>
    <cellStyle name="Lien hypertexte visité" xfId="13250" builtinId="9" hidden="1"/>
    <cellStyle name="Lien hypertexte visité" xfId="16341" builtinId="9" hidden="1"/>
    <cellStyle name="Lien hypertexte visité" xfId="9452" builtinId="9" hidden="1"/>
    <cellStyle name="Lien hypertexte visité" xfId="5954" builtinId="9" hidden="1"/>
    <cellStyle name="Lien hypertexte visité" xfId="12337" builtinId="9" hidden="1"/>
    <cellStyle name="Lien hypertexte visité" xfId="14460" builtinId="9" hidden="1"/>
    <cellStyle name="Lien hypertexte visité" xfId="11977" builtinId="9" hidden="1"/>
    <cellStyle name="Lien hypertexte visité" xfId="19486" builtinId="9" hidden="1"/>
    <cellStyle name="Lien hypertexte visité" xfId="4847" builtinId="9" hidden="1"/>
    <cellStyle name="Lien hypertexte visité" xfId="13645" builtinId="9" hidden="1"/>
    <cellStyle name="Lien hypertexte visité" xfId="8678" builtinId="9" hidden="1"/>
    <cellStyle name="Lien hypertexte visité" xfId="11011" builtinId="9" hidden="1"/>
    <cellStyle name="Lien hypertexte visité" xfId="14216" builtinId="9" hidden="1"/>
    <cellStyle name="Lien hypertexte visité" xfId="2202" builtinId="9" hidden="1"/>
    <cellStyle name="Lien hypertexte visité" xfId="4622" builtinId="9" hidden="1"/>
    <cellStyle name="Lien hypertexte visité" xfId="5329" builtinId="9" hidden="1"/>
    <cellStyle name="Lien hypertexte visité" xfId="10218" builtinId="9" hidden="1"/>
    <cellStyle name="Lien hypertexte visité" xfId="18746" builtinId="9" hidden="1"/>
    <cellStyle name="Lien hypertexte visité" xfId="24224" builtinId="9" hidden="1"/>
    <cellStyle name="Lien hypertexte visité" xfId="15193" builtinId="9" hidden="1"/>
    <cellStyle name="Lien hypertexte visité" xfId="10758" builtinId="9" hidden="1"/>
    <cellStyle name="Lien hypertexte visité" xfId="13583" builtinId="9" hidden="1"/>
    <cellStyle name="Lien hypertexte visité" xfId="7438" builtinId="9" hidden="1"/>
    <cellStyle name="Lien hypertexte visité" xfId="1287" builtinId="9" hidden="1"/>
    <cellStyle name="Lien hypertexte visité" xfId="6012" builtinId="9" hidden="1"/>
    <cellStyle name="Lien hypertexte visité" xfId="12157" builtinId="9" hidden="1"/>
    <cellStyle name="Lien hypertexte visité" xfId="23606" builtinId="9" hidden="1"/>
    <cellStyle name="Lien hypertexte visité" xfId="13932" builtinId="9" hidden="1"/>
    <cellStyle name="Lien hypertexte visité" xfId="7787" builtinId="9" hidden="1"/>
    <cellStyle name="Lien hypertexte visité" xfId="1637" builtinId="9" hidden="1"/>
    <cellStyle name="Lien hypertexte visité" xfId="5663" builtinId="9" hidden="1"/>
    <cellStyle name="Lien hypertexte visité" xfId="2226" builtinId="9" hidden="1"/>
    <cellStyle name="Lien hypertexte visité" xfId="6328" builtinId="9" hidden="1"/>
    <cellStyle name="Lien hypertexte visité" xfId="10849" builtinId="9" hidden="1"/>
    <cellStyle name="Lien hypertexte visité" xfId="15375" builtinId="9" hidden="1"/>
    <cellStyle name="Lien hypertexte visité" xfId="23550" builtinId="9" hidden="1"/>
    <cellStyle name="Lien hypertexte visité" xfId="17501" builtinId="9" hidden="1"/>
    <cellStyle name="Lien hypertexte visité" xfId="11912" builtinId="9" hidden="1"/>
    <cellStyle name="Lien hypertexte visité" xfId="11968" builtinId="9" hidden="1"/>
    <cellStyle name="Lien hypertexte visité" xfId="15263" builtinId="9" hidden="1"/>
    <cellStyle name="Lien hypertexte visité" xfId="1313" builtinId="9" hidden="1"/>
    <cellStyle name="Lien hypertexte visité" xfId="6274" builtinId="9" hidden="1"/>
    <cellStyle name="Lien hypertexte visité" xfId="2756" builtinId="9" hidden="1"/>
    <cellStyle name="Lien hypertexte visité" xfId="12515" builtinId="9" hidden="1"/>
    <cellStyle name="Lien hypertexte visité" xfId="14451" builtinId="9" hidden="1"/>
    <cellStyle name="Lien hypertexte visité" xfId="17219" builtinId="9" hidden="1"/>
    <cellStyle name="Lien hypertexte visité" xfId="10403" builtinId="9" hidden="1"/>
    <cellStyle name="Lien hypertexte visité" xfId="8035" builtinId="9" hidden="1"/>
    <cellStyle name="Lien hypertexte visité" xfId="3388" builtinId="9" hidden="1"/>
    <cellStyle name="Lien hypertexte visité" xfId="6906" builtinId="9" hidden="1"/>
    <cellStyle name="Lien hypertexte visité" xfId="3522" builtinId="9" hidden="1"/>
    <cellStyle name="Lien hypertexte visité" xfId="14303" builtinId="9" hidden="1"/>
    <cellStyle name="Lien hypertexte visité" xfId="10207" builtinId="9" hidden="1"/>
    <cellStyle name="Lien hypertexte visité" xfId="6110" builtinId="9" hidden="1"/>
    <cellStyle name="Lien hypertexte visité" xfId="1592" builtinId="9" hidden="1"/>
    <cellStyle name="Lien hypertexte visité" xfId="3657" builtinId="9" hidden="1"/>
    <cellStyle name="Lien hypertexte visité" xfId="7756" builtinId="9" hidden="1"/>
    <cellStyle name="Lien hypertexte visité" xfId="11853" builtinId="9" hidden="1"/>
    <cellStyle name="Lien hypertexte visité" xfId="17383" builtinId="9" hidden="1"/>
    <cellStyle name="Lien hypertexte visité" xfId="23668" builtinId="9" hidden="1"/>
    <cellStyle name="Lien hypertexte visité" xfId="15493" builtinId="9" hidden="1"/>
    <cellStyle name="Lien hypertexte visité" xfId="10460" builtinId="9" hidden="1"/>
    <cellStyle name="Lien hypertexte visité" xfId="6363" builtinId="9" hidden="1"/>
    <cellStyle name="Lien hypertexte visité" xfId="2261" builtinId="9" hidden="1"/>
    <cellStyle name="Lien hypertexte visité" xfId="2985" builtinId="9" hidden="1"/>
    <cellStyle name="Lien hypertexte visité" xfId="7087" builtinId="9" hidden="1"/>
    <cellStyle name="Lien hypertexte visité" xfId="1810" builtinId="9" hidden="1"/>
    <cellStyle name="Lien hypertexte visité" xfId="4544" builtinId="9" hidden="1"/>
    <cellStyle name="Lien hypertexte visité" xfId="7616" builtinId="9" hidden="1"/>
    <cellStyle name="Lien hypertexte visité" xfId="10353" builtinId="9" hidden="1"/>
    <cellStyle name="Lien hypertexte visité" xfId="13081" builtinId="9" hidden="1"/>
    <cellStyle name="Lien hypertexte visité" xfId="17103" builtinId="9" hidden="1"/>
    <cellStyle name="Lien hypertexte visité" xfId="22558" builtinId="9" hidden="1"/>
    <cellStyle name="Lien hypertexte visité" xfId="21212" builtinId="9" hidden="1"/>
    <cellStyle name="Lien hypertexte visité" xfId="15773" builtinId="9" hidden="1"/>
    <cellStyle name="Lien hypertexte visité" xfId="12136" builtinId="9" hidden="1"/>
    <cellStyle name="Lien hypertexte visité" xfId="9400" builtinId="9" hidden="1"/>
    <cellStyle name="Lien hypertexte visité" xfId="16269" builtinId="9" hidden="1"/>
    <cellStyle name="Lien hypertexte visité" xfId="16607" builtinId="9" hidden="1"/>
    <cellStyle name="Lien hypertexte visité" xfId="7368" builtinId="9" hidden="1"/>
    <cellStyle name="Lien hypertexte visité" xfId="11168" builtinId="9" hidden="1"/>
    <cellStyle name="Lien hypertexte visité" xfId="18029" builtinId="9" hidden="1"/>
    <cellStyle name="Lien hypertexte visité" xfId="13825" builtinId="9" hidden="1"/>
    <cellStyle name="Lien hypertexte visité" xfId="5632" builtinId="9" hidden="1"/>
    <cellStyle name="Lien hypertexte visité" xfId="4623" builtinId="9" hidden="1"/>
    <cellStyle name="Lien hypertexte visité" xfId="8828" builtinId="9" hidden="1"/>
    <cellStyle name="Lien hypertexte visité" xfId="21526" builtinId="9" hidden="1"/>
    <cellStyle name="Lien hypertexte visité" xfId="16935" builtinId="9" hidden="1"/>
    <cellStyle name="Lien hypertexte visité" xfId="4096" builtinId="9" hidden="1"/>
    <cellStyle name="Lien hypertexte visité" xfId="12192" builtinId="9" hidden="1"/>
    <cellStyle name="Lien hypertexte visité" xfId="15629" builtinId="9" hidden="1"/>
    <cellStyle name="Lien hypertexte visité" xfId="15421" builtinId="9" hidden="1"/>
    <cellStyle name="Lien hypertexte visité" xfId="17455" builtinId="9" hidden="1"/>
    <cellStyle name="Lien hypertexte visité" xfId="7792" builtinId="9" hidden="1"/>
    <cellStyle name="Lien hypertexte visité" xfId="7856" builtinId="9" hidden="1"/>
    <cellStyle name="Lien hypertexte visité" xfId="5595" builtinId="9" hidden="1"/>
    <cellStyle name="Lien hypertexte visité" xfId="23988" builtinId="9" hidden="1"/>
    <cellStyle name="Lien hypertexte visité" xfId="7596" builtinId="9" hidden="1"/>
    <cellStyle name="Lien hypertexte visité" xfId="5854" builtinId="9" hidden="1"/>
    <cellStyle name="Lien hypertexte visité" xfId="4296" builtinId="9" hidden="1"/>
    <cellStyle name="Lien hypertexte visité" xfId="6498" builtinId="9" hidden="1"/>
    <cellStyle name="Lien hypertexte visité" xfId="13851" builtinId="9" hidden="1"/>
    <cellStyle name="Lien hypertexte visité" xfId="5618" builtinId="9" hidden="1"/>
    <cellStyle name="Lien hypertexte visité" xfId="11456" builtinId="9" hidden="1"/>
    <cellStyle name="Lien hypertexte visité" xfId="23214" builtinId="9" hidden="1"/>
    <cellStyle name="Lien hypertexte visité" xfId="6584" builtinId="9" hidden="1"/>
    <cellStyle name="Lien hypertexte visité" xfId="1252" builtinId="9" hidden="1"/>
    <cellStyle name="Lien hypertexte visité" xfId="24374" builtinId="9" hidden="1"/>
    <cellStyle name="Lien hypertexte visité" xfId="863" builtinId="9" hidden="1"/>
    <cellStyle name="Lien hypertexte visité" xfId="9990" builtinId="9" hidden="1"/>
    <cellStyle name="Lien hypertexte visité" xfId="19770" builtinId="9" hidden="1"/>
    <cellStyle name="Lien hypertexte visité" xfId="3796" builtinId="9" hidden="1"/>
    <cellStyle name="Lien hypertexte visité" xfId="3953" builtinId="9" hidden="1"/>
    <cellStyle name="Lien hypertexte visité" xfId="18948" builtinId="9" hidden="1"/>
    <cellStyle name="Lien hypertexte visité" xfId="13748" builtinId="9" hidden="1"/>
    <cellStyle name="Lien hypertexte visité" xfId="10740" builtinId="9" hidden="1"/>
    <cellStyle name="Lien hypertexte visité" xfId="7747" builtinId="9" hidden="1"/>
    <cellStyle name="Lien hypertexte visité" xfId="14053" builtinId="9" hidden="1"/>
    <cellStyle name="Lien hypertexte visité" xfId="3550" builtinId="9" hidden="1"/>
    <cellStyle name="Lien hypertexte visité" xfId="8103" builtinId="9" hidden="1"/>
    <cellStyle name="Lien hypertexte visité" xfId="10006" builtinId="9" hidden="1"/>
    <cellStyle name="Lien hypertexte visité" xfId="19816" builtinId="9" hidden="1"/>
    <cellStyle name="Lien hypertexte visité" xfId="22938" builtinId="9" hidden="1"/>
    <cellStyle name="Lien hypertexte visité" xfId="15937" builtinId="9" hidden="1"/>
    <cellStyle name="Lien hypertexte visité" xfId="17643" builtinId="9" hidden="1"/>
    <cellStyle name="Lien hypertexte visité" xfId="21858" builtinId="9" hidden="1"/>
    <cellStyle name="Lien hypertexte visité" xfId="22696" builtinId="9" hidden="1"/>
    <cellStyle name="Lien hypertexte visité" xfId="18065" builtinId="9" hidden="1"/>
    <cellStyle name="Lien hypertexte visité" xfId="13954" builtinId="9" hidden="1"/>
    <cellStyle name="Lien hypertexte visité" xfId="11618" builtinId="9" hidden="1"/>
    <cellStyle name="Lien hypertexte visité" xfId="9294" builtinId="9" hidden="1"/>
    <cellStyle name="Lien hypertexte visité" xfId="13591" builtinId="9" hidden="1"/>
    <cellStyle name="Lien hypertexte visité" xfId="10103" builtinId="9" hidden="1"/>
    <cellStyle name="Lien hypertexte visité" xfId="3596" builtinId="9" hidden="1"/>
    <cellStyle name="Lien hypertexte visité" xfId="1816" builtinId="9" hidden="1"/>
    <cellStyle name="Lien hypertexte visité" xfId="18538" builtinId="9" hidden="1"/>
    <cellStyle name="Lien hypertexte visité" xfId="10130" builtinId="9" hidden="1"/>
    <cellStyle name="Lien hypertexte visité" xfId="6729" builtinId="9" hidden="1"/>
    <cellStyle name="Lien hypertexte visité" xfId="4581" builtinId="9" hidden="1"/>
    <cellStyle name="Lien hypertexte visité" xfId="3640" builtinId="9" hidden="1"/>
    <cellStyle name="Lien hypertexte visité" xfId="12542" builtinId="9" hidden="1"/>
    <cellStyle name="Lien hypertexte visité" xfId="21072" builtinId="9" hidden="1"/>
    <cellStyle name="Lien hypertexte visité" xfId="12013" builtinId="9" hidden="1"/>
    <cellStyle name="Lien hypertexte visité" xfId="22284" builtinId="9" hidden="1"/>
    <cellStyle name="Lien hypertexte visité" xfId="9592" builtinId="9" hidden="1"/>
    <cellStyle name="Lien hypertexte visité" xfId="15439" builtinId="9" hidden="1"/>
    <cellStyle name="Lien hypertexte visité" xfId="331" builtinId="9" hidden="1"/>
    <cellStyle name="Lien hypertexte visité" xfId="13916" builtinId="9" hidden="1"/>
    <cellStyle name="Lien hypertexte visité" xfId="3366" builtinId="9" hidden="1"/>
    <cellStyle name="Lien hypertexte visité" xfId="9355" builtinId="9" hidden="1"/>
    <cellStyle name="Lien hypertexte visité" xfId="13347" builtinId="9" hidden="1"/>
    <cellStyle name="Lien hypertexte visité" xfId="11689" builtinId="9" hidden="1"/>
    <cellStyle name="Lien hypertexte visité" xfId="14783" builtinId="9" hidden="1"/>
    <cellStyle name="Lien hypertexte visité" xfId="3493" builtinId="9" hidden="1"/>
    <cellStyle name="Lien hypertexte visité" xfId="2870" builtinId="9" hidden="1"/>
    <cellStyle name="Lien hypertexte visité" xfId="22088" builtinId="9" hidden="1"/>
    <cellStyle name="Lien hypertexte visité" xfId="1499" builtinId="9" hidden="1"/>
    <cellStyle name="Lien hypertexte visité" xfId="4084" builtinId="9" hidden="1"/>
    <cellStyle name="Lien hypertexte visité" xfId="10230" builtinId="9" hidden="1"/>
    <cellStyle name="Lien hypertexte visité" xfId="22576" builtinId="9" hidden="1"/>
    <cellStyle name="Lien hypertexte visité" xfId="11365" builtinId="9" hidden="1"/>
    <cellStyle name="Lien hypertexte visité" xfId="19206" builtinId="9" hidden="1"/>
    <cellStyle name="Lien hypertexte visité" xfId="8104" builtinId="9" hidden="1"/>
    <cellStyle name="Lien hypertexte visité" xfId="23812" builtinId="9" hidden="1"/>
    <cellStyle name="Lien hypertexte visité" xfId="1353" builtinId="9" hidden="1"/>
    <cellStyle name="Lien hypertexte visité" xfId="12492" builtinId="9" hidden="1"/>
    <cellStyle name="Lien hypertexte visité" xfId="4764" builtinId="9" hidden="1"/>
    <cellStyle name="Lien hypertexte visité" xfId="9758" builtinId="9" hidden="1"/>
    <cellStyle name="Lien hypertexte visité" xfId="23738" builtinId="9" hidden="1"/>
    <cellStyle name="Lien hypertexte visité" xfId="1298" builtinId="9" hidden="1"/>
    <cellStyle name="Lien hypertexte visité" xfId="12629" builtinId="9" hidden="1"/>
    <cellStyle name="Lien hypertexte visité" xfId="3072" builtinId="9" hidden="1"/>
    <cellStyle name="Lien hypertexte visité" xfId="9390" builtinId="9" hidden="1"/>
    <cellStyle name="Lien hypertexte visité" xfId="23640" builtinId="9" hidden="1"/>
    <cellStyle name="Lien hypertexte visité" xfId="18738" builtinId="9" hidden="1"/>
    <cellStyle name="Lien hypertexte visité" xfId="5478" builtinId="9" hidden="1"/>
    <cellStyle name="Lien hypertexte visité" xfId="13703" builtinId="9" hidden="1"/>
    <cellStyle name="Lien hypertexte visité" xfId="2983" builtinId="9" hidden="1"/>
    <cellStyle name="Lien hypertexte visité" xfId="10717" builtinId="9" hidden="1"/>
    <cellStyle name="Lien hypertexte visité" xfId="7130" builtinId="9" hidden="1"/>
    <cellStyle name="Lien hypertexte visité" xfId="9728" builtinId="9" hidden="1"/>
    <cellStyle name="Lien hypertexte visité" xfId="21630" builtinId="9" hidden="1"/>
    <cellStyle name="Lien hypertexte visité" xfId="5624" builtinId="9" hidden="1"/>
    <cellStyle name="Lien hypertexte visité" xfId="14107" builtinId="9" hidden="1"/>
    <cellStyle name="Lien hypertexte visité" xfId="12531" builtinId="9" hidden="1"/>
    <cellStyle name="Lien hypertexte visité" xfId="12643" builtinId="9" hidden="1"/>
    <cellStyle name="Lien hypertexte visité" xfId="4488" builtinId="9" hidden="1"/>
    <cellStyle name="Lien hypertexte visité" xfId="1500" builtinId="9" hidden="1"/>
    <cellStyle name="Lien hypertexte visité" xfId="11163" builtinId="9" hidden="1"/>
    <cellStyle name="Lien hypertexte visité" xfId="10251" builtinId="9" hidden="1"/>
    <cellStyle name="Lien hypertexte visité" xfId="7416" builtinId="9" hidden="1"/>
    <cellStyle name="Lien hypertexte visité" xfId="23916" builtinId="9" hidden="1"/>
    <cellStyle name="Lien hypertexte visité" xfId="15693" builtinId="9" hidden="1"/>
    <cellStyle name="Lien hypertexte visité" xfId="5562" builtinId="9" hidden="1"/>
    <cellStyle name="Lien hypertexte visité" xfId="1237" builtinId="9" hidden="1"/>
    <cellStyle name="Lien hypertexte visité" xfId="5770" builtinId="9" hidden="1"/>
    <cellStyle name="Lien hypertexte visité" xfId="14739" builtinId="9" hidden="1"/>
    <cellStyle name="Lien hypertexte visité" xfId="3757" builtinId="9" hidden="1"/>
    <cellStyle name="Lien hypertexte visité" xfId="15309" builtinId="9" hidden="1"/>
    <cellStyle name="Lien hypertexte visité" xfId="21086" builtinId="9" hidden="1"/>
    <cellStyle name="Lien hypertexte visité" xfId="3290" builtinId="9" hidden="1"/>
    <cellStyle name="Lien hypertexte visité" xfId="9772" builtinId="9" hidden="1"/>
    <cellStyle name="Lien hypertexte visité" xfId="7612" builtinId="9" hidden="1"/>
    <cellStyle name="Lien hypertexte visité" xfId="16107" builtinId="9" hidden="1"/>
    <cellStyle name="Lien hypertexte visité" xfId="18770" builtinId="9" hidden="1"/>
    <cellStyle name="Lien hypertexte visité" xfId="2015" builtinId="9" hidden="1"/>
    <cellStyle name="Lien hypertexte visité" xfId="14647" builtinId="9" hidden="1"/>
    <cellStyle name="Lien hypertexte visité" xfId="1263" builtinId="9" hidden="1"/>
    <cellStyle name="Lien hypertexte visité" xfId="17019" builtinId="9" hidden="1"/>
    <cellStyle name="Lien hypertexte visité" xfId="21056" builtinId="9" hidden="1"/>
    <cellStyle name="Lien hypertexte visité" xfId="14529" builtinId="9" hidden="1"/>
    <cellStyle name="Lien hypertexte visité" xfId="1886" builtinId="9" hidden="1"/>
    <cellStyle name="Lien hypertexte visité" xfId="13348" builtinId="9" hidden="1"/>
    <cellStyle name="Lien hypertexte visité" xfId="1777" builtinId="9" hidden="1"/>
    <cellStyle name="Lien hypertexte visité" xfId="7703" builtinId="9" hidden="1"/>
    <cellStyle name="Lien hypertexte visité" xfId="1468" builtinId="9" hidden="1"/>
    <cellStyle name="Lien hypertexte visité" xfId="16661" builtinId="9" hidden="1"/>
    <cellStyle name="Lien hypertexte visité" xfId="9765" builtinId="9" hidden="1"/>
    <cellStyle name="Lien hypertexte visité" xfId="1989" builtinId="9" hidden="1"/>
    <cellStyle name="Lien hypertexte visité" xfId="18900" builtinId="9" hidden="1"/>
    <cellStyle name="Lien hypertexte visité" xfId="7965" builtinId="9" hidden="1"/>
    <cellStyle name="Lien hypertexte visité" xfId="7726" builtinId="9" hidden="1"/>
    <cellStyle name="Lien hypertexte visité" xfId="12530" builtinId="9" hidden="1"/>
    <cellStyle name="Lien hypertexte visité" xfId="19330" builtinId="9" hidden="1"/>
    <cellStyle name="Lien hypertexte visité" xfId="7065" builtinId="9" hidden="1"/>
    <cellStyle name="Lien hypertexte visité" xfId="2895" builtinId="9" hidden="1"/>
    <cellStyle name="Lien hypertexte visité" xfId="14935" builtinId="9" hidden="1"/>
    <cellStyle name="Lien hypertexte visité" xfId="5076" builtinId="9" hidden="1"/>
    <cellStyle name="Lien hypertexte visité" xfId="5894" builtinId="9" hidden="1"/>
    <cellStyle name="Lien hypertexte visité" xfId="16571" builtinId="9" hidden="1"/>
    <cellStyle name="Lien hypertexte visité" xfId="14422" builtinId="9" hidden="1"/>
    <cellStyle name="Lien hypertexte visité" xfId="21874" builtinId="9" hidden="1"/>
    <cellStyle name="Lien hypertexte visité" xfId="12858" builtinId="9" hidden="1"/>
    <cellStyle name="Lien hypertexte visité" xfId="14619" builtinId="9" hidden="1"/>
    <cellStyle name="Lien hypertexte visité" xfId="21440" builtinId="9" hidden="1"/>
    <cellStyle name="Lien hypertexte visité" xfId="10958" builtinId="9" hidden="1"/>
    <cellStyle name="Lien hypertexte visité" xfId="10165" builtinId="9" hidden="1"/>
    <cellStyle name="Lien hypertexte visité" xfId="13226" builtinId="9" hidden="1"/>
    <cellStyle name="Lien hypertexte visité" xfId="707" builtinId="9" hidden="1"/>
    <cellStyle name="Lien hypertexte visité" xfId="11406" builtinId="9" hidden="1"/>
    <cellStyle name="Lien hypertexte visité" xfId="11578" builtinId="9" hidden="1"/>
    <cellStyle name="Lien hypertexte visité" xfId="16123" builtinId="9" hidden="1"/>
    <cellStyle name="Lien hypertexte visité" xfId="15447" builtinId="9" hidden="1"/>
    <cellStyle name="Lien hypertexte visité" xfId="19754" builtinId="9" hidden="1"/>
    <cellStyle name="Lien hypertexte visité" xfId="8285" builtinId="9" hidden="1"/>
    <cellStyle name="Lien hypertexte visité" xfId="10789" builtinId="9" hidden="1"/>
    <cellStyle name="Lien hypertexte visité" xfId="7960" builtinId="9" hidden="1"/>
    <cellStyle name="Lien hypertexte visité" xfId="559" builtinId="9" hidden="1"/>
    <cellStyle name="Lien hypertexte visité" xfId="16347" builtinId="9" hidden="1"/>
    <cellStyle name="Lien hypertexte visité" xfId="1751" builtinId="9" hidden="1"/>
    <cellStyle name="Lien hypertexte visité" xfId="12082" builtinId="9" hidden="1"/>
    <cellStyle name="Lien hypertexte visité" xfId="11626" builtinId="9" hidden="1"/>
    <cellStyle name="Lien hypertexte visité" xfId="3628" builtinId="9" hidden="1"/>
    <cellStyle name="Lien hypertexte visité" xfId="10309" builtinId="9" hidden="1"/>
    <cellStyle name="Lien hypertexte visité" xfId="5878" builtinId="9" hidden="1"/>
    <cellStyle name="Lien hypertexte visité" xfId="10626" builtinId="9" hidden="1"/>
    <cellStyle name="Lien hypertexte visité" xfId="22474" builtinId="9" hidden="1"/>
    <cellStyle name="Lien hypertexte visité" xfId="19304" builtinId="9" hidden="1"/>
    <cellStyle name="Lien hypertexte visité" xfId="13157" builtinId="9" hidden="1"/>
    <cellStyle name="Lien hypertexte visité" xfId="19460" builtinId="9" hidden="1"/>
    <cellStyle name="Lien hypertexte visité" xfId="3053" builtinId="9" hidden="1"/>
    <cellStyle name="Lien hypertexte visité" xfId="6343" builtinId="9" hidden="1"/>
    <cellStyle name="Lien hypertexte visité" xfId="7043" builtinId="9" hidden="1"/>
    <cellStyle name="Lien hypertexte visité" xfId="11636" builtinId="9" hidden="1"/>
    <cellStyle name="Lien hypertexte visité" xfId="775" builtinId="9" hidden="1"/>
    <cellStyle name="Lien hypertexte visité" xfId="6283" builtinId="9" hidden="1"/>
    <cellStyle name="Lien hypertexte visité" xfId="21110" builtinId="9" hidden="1"/>
    <cellStyle name="Lien hypertexte visité" xfId="4188" builtinId="9" hidden="1"/>
    <cellStyle name="Lien hypertexte visité" xfId="12015" builtinId="9" hidden="1"/>
    <cellStyle name="Lien hypertexte visité" xfId="16689" builtinId="9" hidden="1"/>
    <cellStyle name="Lien hypertexte visité" xfId="22928" builtinId="9" hidden="1"/>
    <cellStyle name="Lien hypertexte visité" xfId="2811" builtinId="9" hidden="1"/>
    <cellStyle name="Lien hypertexte visité" xfId="6933" builtinId="9" hidden="1"/>
    <cellStyle name="Lien hypertexte visité" xfId="12245" builtinId="9" hidden="1"/>
    <cellStyle name="Lien hypertexte visité" xfId="2222" builtinId="9" hidden="1"/>
    <cellStyle name="Lien hypertexte visité" xfId="8967" builtinId="9" hidden="1"/>
    <cellStyle name="Lien hypertexte visité" xfId="9646" builtinId="9" hidden="1"/>
    <cellStyle name="Lien hypertexte visité" xfId="18153" builtinId="9" hidden="1"/>
    <cellStyle name="Lien hypertexte visité" xfId="17795" builtinId="9" hidden="1"/>
    <cellStyle name="Lien hypertexte visité" xfId="20450" builtinId="9" hidden="1"/>
    <cellStyle name="Lien hypertexte visité" xfId="6118" builtinId="9" hidden="1"/>
    <cellStyle name="Lien hypertexte visité" xfId="22810" builtinId="9" hidden="1"/>
    <cellStyle name="Lien hypertexte visité" xfId="12503" builtinId="9" hidden="1"/>
    <cellStyle name="Lien hypertexte visité" xfId="4665" builtinId="9" hidden="1"/>
    <cellStyle name="Lien hypertexte visité" xfId="20168" builtinId="9" hidden="1"/>
    <cellStyle name="Lien hypertexte visité" xfId="4014" builtinId="9" hidden="1"/>
    <cellStyle name="Lien hypertexte visité" xfId="10182" builtinId="9" hidden="1"/>
    <cellStyle name="Lien hypertexte visité" xfId="22914" builtinId="9" hidden="1"/>
    <cellStyle name="Lien hypertexte visité" xfId="4833" builtinId="9" hidden="1"/>
    <cellStyle name="Lien hypertexte visité" xfId="1975" builtinId="9" hidden="1"/>
    <cellStyle name="Lien hypertexte visité" xfId="18758" builtinId="9" hidden="1"/>
    <cellStyle name="Lien hypertexte visité" xfId="7428" builtinId="9" hidden="1"/>
    <cellStyle name="Lien hypertexte visité" xfId="3633" builtinId="9" hidden="1"/>
    <cellStyle name="Lien hypertexte visité" xfId="13527" builtinId="9" hidden="1"/>
    <cellStyle name="Lien hypertexte visité" xfId="12770" builtinId="9" hidden="1"/>
    <cellStyle name="Lien hypertexte visité" xfId="24216" builtinId="9" hidden="1"/>
    <cellStyle name="Lien hypertexte visité" xfId="14330" builtinId="9" hidden="1"/>
    <cellStyle name="Lien hypertexte visité" xfId="12526" builtinId="9" hidden="1"/>
    <cellStyle name="Lien hypertexte visité" xfId="2974" builtinId="9" hidden="1"/>
    <cellStyle name="Lien hypertexte visité" xfId="8167" builtinId="9" hidden="1"/>
    <cellStyle name="Lien hypertexte visité" xfId="9198" builtinId="9" hidden="1"/>
    <cellStyle name="Lien hypertexte visité" xfId="17017" builtinId="9" hidden="1"/>
    <cellStyle name="Lien hypertexte visité" xfId="19082" builtinId="9" hidden="1"/>
    <cellStyle name="Lien hypertexte visité" xfId="12538" builtinId="9" hidden="1"/>
    <cellStyle name="Lien hypertexte visité" xfId="23856" builtinId="9" hidden="1"/>
    <cellStyle name="Lien hypertexte visité" xfId="19146" builtinId="9" hidden="1"/>
    <cellStyle name="Lien hypertexte visité" xfId="23074" builtinId="9" hidden="1"/>
    <cellStyle name="Lien hypertexte visité" xfId="21592" builtinId="9" hidden="1"/>
    <cellStyle name="Lien hypertexte visité" xfId="17233" builtinId="9" hidden="1"/>
    <cellStyle name="Lien hypertexte visité" xfId="13826" builtinId="9" hidden="1"/>
    <cellStyle name="Lien hypertexte visité" xfId="11606" builtinId="9" hidden="1"/>
    <cellStyle name="Lien hypertexte visité" xfId="9422" builtinId="9" hidden="1"/>
    <cellStyle name="Lien hypertexte visité" xfId="14779" builtinId="9" hidden="1"/>
    <cellStyle name="Lien hypertexte visité" xfId="11351" builtinId="9" hidden="1"/>
    <cellStyle name="Lien hypertexte visité" xfId="7943" builtinId="9" hidden="1"/>
    <cellStyle name="Lien hypertexte visité" xfId="4950" builtinId="9" hidden="1"/>
    <cellStyle name="Lien hypertexte visité" xfId="1536" builtinId="9" hidden="1"/>
    <cellStyle name="Lien hypertexte visité" xfId="2894" builtinId="9" hidden="1"/>
    <cellStyle name="Lien hypertexte visité" xfId="5972" builtinId="9" hidden="1"/>
    <cellStyle name="Lien hypertexte visité" xfId="9269" builtinId="9" hidden="1"/>
    <cellStyle name="Lien hypertexte visité" xfId="12597" builtinId="9" hidden="1"/>
    <cellStyle name="Lien hypertexte visité" xfId="16823" builtinId="9" hidden="1"/>
    <cellStyle name="Lien hypertexte visité" xfId="4885" builtinId="9" hidden="1"/>
    <cellStyle name="Lien hypertexte visité" xfId="7810" builtinId="9" hidden="1"/>
    <cellStyle name="Lien hypertexte visité" xfId="3612" builtinId="9" hidden="1"/>
    <cellStyle name="Lien hypertexte visité" xfId="1081" builtinId="9" hidden="1"/>
    <cellStyle name="Lien hypertexte visité" xfId="2267" builtinId="9" hidden="1"/>
    <cellStyle name="Lien hypertexte visité" xfId="6261" builtinId="9" hidden="1"/>
    <cellStyle name="Lien hypertexte visité" xfId="9898" builtinId="9" hidden="1"/>
    <cellStyle name="Lien hypertexte visité" xfId="24250" builtinId="9" hidden="1"/>
    <cellStyle name="Lien hypertexte visité" xfId="21122" builtinId="9" hidden="1"/>
    <cellStyle name="Lien hypertexte visité" xfId="21448" builtinId="9" hidden="1"/>
    <cellStyle name="Lien hypertexte visité" xfId="14641" builtinId="9" hidden="1"/>
    <cellStyle name="Lien hypertexte visité" xfId="11634" builtinId="9" hidden="1"/>
    <cellStyle name="Lien hypertexte visité" xfId="8222" builtinId="9" hidden="1"/>
    <cellStyle name="Lien hypertexte visité" xfId="10991" builtinId="9" hidden="1"/>
    <cellStyle name="Lien hypertexte visité" xfId="6382" builtinId="9" hidden="1"/>
    <cellStyle name="Lien hypertexte visité" xfId="1383" builtinId="9" hidden="1"/>
    <cellStyle name="Lien hypertexte visité" xfId="4700" builtinId="9" hidden="1"/>
    <cellStyle name="Lien hypertexte visité" xfId="9309" builtinId="9" hidden="1"/>
    <cellStyle name="Lien hypertexte visité" xfId="14237" builtinId="9" hidden="1"/>
    <cellStyle name="Lien hypertexte visité" xfId="24182" builtinId="9" hidden="1"/>
    <cellStyle name="Lien hypertexte visité" xfId="16101" builtinId="9" hidden="1"/>
    <cellStyle name="Lien hypertexte visité" xfId="10188" builtinId="9" hidden="1"/>
    <cellStyle name="Lien hypertexte visité" xfId="5259" builtinId="9" hidden="1"/>
    <cellStyle name="Lien hypertexte visité" xfId="233" builtinId="9" hidden="1"/>
    <cellStyle name="Lien hypertexte visité" xfId="5439" builtinId="9" hidden="1"/>
    <cellStyle name="Lien hypertexte visité" xfId="1305" builtinId="9" hidden="1"/>
    <cellStyle name="Lien hypertexte visité" xfId="13861" builtinId="9" hidden="1"/>
    <cellStyle name="Lien hypertexte visité" xfId="8564" builtinId="9" hidden="1"/>
    <cellStyle name="Lien hypertexte visité" xfId="12964" builtinId="9" hidden="1"/>
    <cellStyle name="Lien hypertexte visité" xfId="18980" builtinId="9" hidden="1"/>
    <cellStyle name="Lien hypertexte visité" xfId="21446" builtinId="9" hidden="1"/>
    <cellStyle name="Lien hypertexte visité" xfId="2273" builtinId="9" hidden="1"/>
    <cellStyle name="Lien hypertexte visité" xfId="2573" builtinId="9" hidden="1"/>
    <cellStyle name="Lien hypertexte visité" xfId="5079" builtinId="9" hidden="1"/>
    <cellStyle name="Lien hypertexte visité" xfId="5959" builtinId="9" hidden="1"/>
    <cellStyle name="Lien hypertexte visité" xfId="6519" builtinId="9" hidden="1"/>
    <cellStyle name="Lien hypertexte visité" xfId="5655" builtinId="9" hidden="1"/>
    <cellStyle name="Lien hypertexte visité" xfId="1837" builtinId="9" hidden="1"/>
    <cellStyle name="Lien hypertexte visité" xfId="5379" builtinId="9" hidden="1"/>
    <cellStyle name="Lien hypertexte visité" xfId="23014" builtinId="9" hidden="1"/>
    <cellStyle name="Lien hypertexte visité" xfId="17717" builtinId="9" hidden="1"/>
    <cellStyle name="Lien hypertexte visité" xfId="12180" builtinId="9" hidden="1"/>
    <cellStyle name="Lien hypertexte visité" xfId="7924" builtinId="9" hidden="1"/>
    <cellStyle name="Lien hypertexte visité" xfId="11621" builtinId="9" hidden="1"/>
    <cellStyle name="Lien hypertexte visité" xfId="3360" builtinId="9" hidden="1"/>
    <cellStyle name="Lien hypertexte visité" xfId="9750" builtinId="9" hidden="1"/>
    <cellStyle name="Lien hypertexte visité" xfId="23778" builtinId="9" hidden="1"/>
    <cellStyle name="Lien hypertexte visité" xfId="12922" builtinId="9" hidden="1"/>
    <cellStyle name="Lien hypertexte visité" xfId="17451" builtinId="9" hidden="1"/>
    <cellStyle name="Lien hypertexte visité" xfId="23842" builtinId="9" hidden="1"/>
    <cellStyle name="Lien hypertexte visité" xfId="19240" builtinId="9" hidden="1"/>
    <cellStyle name="Lien hypertexte visité" xfId="13582" builtinId="9" hidden="1"/>
    <cellStyle name="Lien hypertexte visité" xfId="10286" builtinId="9" hidden="1"/>
    <cellStyle name="Lien hypertexte visité" xfId="14407" builtinId="9" hidden="1"/>
    <cellStyle name="Lien hypertexte visité" xfId="9463" builtinId="9" hidden="1"/>
    <cellStyle name="Lien hypertexte visité" xfId="4342" builtinId="9" hidden="1"/>
    <cellStyle name="Lien hypertexte visité" xfId="1261" builtinId="9" hidden="1"/>
    <cellStyle name="Lien hypertexte visité" xfId="6388" builtinId="9" hidden="1"/>
    <cellStyle name="Lien hypertexte visité" xfId="11333" builtinId="9" hidden="1"/>
    <cellStyle name="Lien hypertexte visité" xfId="17367" builtinId="9" hidden="1"/>
    <cellStyle name="Lien hypertexte visité" xfId="6549" builtinId="9" hidden="1"/>
    <cellStyle name="Lien hypertexte visité" xfId="1430" builtinId="9" hidden="1"/>
    <cellStyle name="Lien hypertexte visité" xfId="3547" builtinId="9" hidden="1"/>
    <cellStyle name="Lien hypertexte visité" xfId="6021" builtinId="9" hidden="1"/>
    <cellStyle name="Lien hypertexte visité" xfId="17953" builtinId="9" hidden="1"/>
    <cellStyle name="Lien hypertexte visité" xfId="21506" builtinId="9" hidden="1"/>
    <cellStyle name="Lien hypertexte visité" xfId="17497" builtinId="9" hidden="1"/>
    <cellStyle name="Lien hypertexte visité" xfId="11058" builtinId="9" hidden="1"/>
    <cellStyle name="Lien hypertexte visité" xfId="13263" builtinId="9" hidden="1"/>
    <cellStyle name="Lien hypertexte visité" xfId="5838" builtinId="9" hidden="1"/>
    <cellStyle name="Lien hypertexte visité" xfId="2742" builtinId="9" hidden="1"/>
    <cellStyle name="Lien hypertexte visité" xfId="9661" builtinId="9" hidden="1"/>
    <cellStyle name="Lien hypertexte visité" xfId="19638" builtinId="9" hidden="1"/>
    <cellStyle name="Lien hypertexte visité" xfId="14380" builtinId="9" hidden="1"/>
    <cellStyle name="Lien hypertexte visité" xfId="7723" builtinId="9" hidden="1"/>
    <cellStyle name="Lien hypertexte visité" xfId="1061" builtinId="9" hidden="1"/>
    <cellStyle name="Lien hypertexte visité" xfId="8544" builtinId="9" hidden="1"/>
    <cellStyle name="Lien hypertexte visité" xfId="4664" builtinId="9" hidden="1"/>
    <cellStyle name="Lien hypertexte visité" xfId="9617" builtinId="9" hidden="1"/>
    <cellStyle name="Lien hypertexte visité" xfId="14607" builtinId="9" hidden="1"/>
    <cellStyle name="Lien hypertexte visité" xfId="23806" builtinId="9" hidden="1"/>
    <cellStyle name="Lien hypertexte visité" xfId="15533" builtinId="9" hidden="1"/>
    <cellStyle name="Lien hypertexte visité" xfId="9904" builtinId="9" hidden="1"/>
    <cellStyle name="Lien hypertexte visité" xfId="23484" builtinId="9" hidden="1"/>
    <cellStyle name="Lien hypertexte visité" xfId="4776" builtinId="9" hidden="1"/>
    <cellStyle name="Lien hypertexte visité" xfId="6530" builtinId="9" hidden="1"/>
    <cellStyle name="Lien hypertexte visité" xfId="2572" builtinId="9" hidden="1"/>
    <cellStyle name="Lien hypertexte visité" xfId="11659" builtinId="9" hidden="1"/>
    <cellStyle name="Lien hypertexte visité" xfId="12963" builtinId="9" hidden="1"/>
    <cellStyle name="Lien hypertexte visité" xfId="13331" builtinId="9" hidden="1"/>
    <cellStyle name="Lien hypertexte visité" xfId="12043" builtinId="9" hidden="1"/>
    <cellStyle name="Lien hypertexte visité" xfId="3132" builtinId="9" hidden="1"/>
    <cellStyle name="Lien hypertexte visité" xfId="6938" builtinId="9" hidden="1"/>
    <cellStyle name="Lien hypertexte visité" xfId="9170" builtinId="9" hidden="1"/>
    <cellStyle name="Lien hypertexte visité" xfId="12383" builtinId="9" hidden="1"/>
    <cellStyle name="Lien hypertexte visité" xfId="7388" builtinId="9" hidden="1"/>
    <cellStyle name="Lien hypertexte visité" xfId="9228" builtinId="9" hidden="1"/>
    <cellStyle name="Lien hypertexte visité" xfId="3212" builtinId="9" hidden="1"/>
    <cellStyle name="Lien hypertexte visité" xfId="6586" builtinId="9" hidden="1"/>
    <cellStyle name="Lien hypertexte visité" xfId="2914" builtinId="9" hidden="1"/>
    <cellStyle name="Lien hypertexte visité" xfId="17183" builtinId="9" hidden="1"/>
    <cellStyle name="Lien hypertexte visité" xfId="11648" builtinId="9" hidden="1"/>
    <cellStyle name="Lien hypertexte visité" xfId="12232" builtinId="9" hidden="1"/>
    <cellStyle name="Lien hypertexte visité" xfId="18460" builtinId="9" hidden="1"/>
    <cellStyle name="Lien hypertexte visité" xfId="22910" builtinId="9" hidden="1"/>
    <cellStyle name="Lien hypertexte visité" xfId="14457" builtinId="9" hidden="1"/>
    <cellStyle name="Lien hypertexte visité" xfId="10145" builtinId="9" hidden="1"/>
    <cellStyle name="Lien hypertexte visité" xfId="6264" builtinId="9" hidden="1"/>
    <cellStyle name="Lien hypertexte visité" xfId="4856" builtinId="9" hidden="1"/>
    <cellStyle name="Lien hypertexte visité" xfId="18446" builtinId="9" hidden="1"/>
    <cellStyle name="Lien hypertexte visité" xfId="11171" builtinId="9" hidden="1"/>
    <cellStyle name="Lien hypertexte visité" xfId="16979" builtinId="9" hidden="1"/>
    <cellStyle name="Lien hypertexte visité" xfId="14331" builtinId="9" hidden="1"/>
    <cellStyle name="Lien hypertexte visité" xfId="12051" builtinId="9" hidden="1"/>
    <cellStyle name="Lien hypertexte visité" xfId="2188" builtinId="9" hidden="1"/>
    <cellStyle name="Lien hypertexte visité" xfId="2892" builtinId="9" hidden="1"/>
    <cellStyle name="Lien hypertexte visité" xfId="7907" builtinId="9" hidden="1"/>
    <cellStyle name="Lien hypertexte visité" xfId="7290" builtinId="9" hidden="1"/>
    <cellStyle name="Lien hypertexte visité" xfId="9083" builtinId="9" hidden="1"/>
    <cellStyle name="Lien hypertexte visité" xfId="5000" builtinId="9" hidden="1"/>
    <cellStyle name="Lien hypertexte visité" xfId="4730" builtinId="9" hidden="1"/>
    <cellStyle name="Lien hypertexte visité" xfId="4178" builtinId="9" hidden="1"/>
    <cellStyle name="Lien hypertexte visité" xfId="5090" builtinId="9" hidden="1"/>
    <cellStyle name="Lien hypertexte visité" xfId="3629" builtinId="9" hidden="1"/>
    <cellStyle name="Lien hypertexte visité" xfId="1419" builtinId="9" hidden="1"/>
    <cellStyle name="Lien hypertexte visité" xfId="11643" builtinId="9" hidden="1"/>
    <cellStyle name="Lien hypertexte visité" xfId="13675" builtinId="9" hidden="1"/>
    <cellStyle name="Lien hypertexte visité" xfId="14515" builtinId="9" hidden="1"/>
    <cellStyle name="Lien hypertexte visité" xfId="9779" builtinId="9" hidden="1"/>
    <cellStyle name="Lien hypertexte visité" xfId="10736" builtinId="9" hidden="1"/>
    <cellStyle name="Lien hypertexte visité" xfId="2890" builtinId="9" hidden="1"/>
    <cellStyle name="Lien hypertexte visité" xfId="6776" builtinId="9" hidden="1"/>
    <cellStyle name="Lien hypertexte visité" xfId="11089" builtinId="9" hidden="1"/>
    <cellStyle name="Lien hypertexte visité" xfId="16191" builtinId="9" hidden="1"/>
    <cellStyle name="Lien hypertexte visité" xfId="24030" builtinId="9" hidden="1"/>
    <cellStyle name="Lien hypertexte visité" xfId="16685" builtinId="9" hidden="1"/>
    <cellStyle name="Lien hypertexte visité" xfId="11288" builtinId="9" hidden="1"/>
    <cellStyle name="Lien hypertexte visité" xfId="13184" builtinId="9" hidden="1"/>
    <cellStyle name="Lien hypertexte visité" xfId="13033" builtinId="9" hidden="1"/>
    <cellStyle name="Lien hypertexte visité" xfId="9475" builtinId="9" hidden="1"/>
    <cellStyle name="Lien hypertexte visité" xfId="6106" builtinId="9" hidden="1"/>
    <cellStyle name="Lien hypertexte visité" xfId="343" builtinId="9" hidden="1"/>
    <cellStyle name="Lien hypertexte visité" xfId="14092" builtinId="9" hidden="1"/>
    <cellStyle name="Lien hypertexte visité" xfId="4572" builtinId="9" hidden="1"/>
    <cellStyle name="Lien hypertexte visité" xfId="10354" builtinId="9" hidden="1"/>
    <cellStyle name="Lien hypertexte visité" xfId="19088" builtinId="9" hidden="1"/>
    <cellStyle name="Lien hypertexte visité" xfId="1198" builtinId="9" hidden="1"/>
    <cellStyle name="Lien hypertexte visité" xfId="12037" builtinId="9" hidden="1"/>
    <cellStyle name="Lien hypertexte visité" xfId="4150" builtinId="9" hidden="1"/>
    <cellStyle name="Lien hypertexte visité" xfId="9474" builtinId="9" hidden="1"/>
    <cellStyle name="Lien hypertexte visité" xfId="24448" builtinId="9" hidden="1"/>
    <cellStyle name="Lien hypertexte visité" xfId="23010" builtinId="9" hidden="1"/>
    <cellStyle name="Lien hypertexte visité" xfId="3486" builtinId="9" hidden="1"/>
    <cellStyle name="Lien hypertexte visité" xfId="12775" builtinId="9" hidden="1"/>
    <cellStyle name="Lien hypertexte visité" xfId="17705" builtinId="9" hidden="1"/>
    <cellStyle name="Lien hypertexte visité" xfId="19888" builtinId="9" hidden="1"/>
    <cellStyle name="Lien hypertexte visité" xfId="24048" builtinId="9" hidden="1"/>
    <cellStyle name="Lien hypertexte visité" xfId="21322" builtinId="9" hidden="1"/>
    <cellStyle name="Lien hypertexte visité" xfId="21824" builtinId="9" hidden="1"/>
    <cellStyle name="Lien hypertexte visité" xfId="15185" builtinId="9" hidden="1"/>
    <cellStyle name="Lien hypertexte visité" xfId="11490" builtinId="9" hidden="1"/>
    <cellStyle name="Lien hypertexte visité" xfId="8482" builtinId="9" hidden="1"/>
    <cellStyle name="Lien hypertexte visité" xfId="11271" builtinId="9" hidden="1"/>
    <cellStyle name="Lien hypertexte visité" xfId="6278" builtinId="9" hidden="1"/>
    <cellStyle name="Lien hypertexte visité" xfId="1712" builtinId="9" hidden="1"/>
    <cellStyle name="Lien hypertexte visité" xfId="4436" builtinId="9" hidden="1"/>
    <cellStyle name="Lien hypertexte visité" xfId="9429" builtinId="9" hidden="1"/>
    <cellStyle name="Lien hypertexte visité" xfId="14005" builtinId="9" hidden="1"/>
    <cellStyle name="Lien hypertexte visité" xfId="4921" builtinId="9" hidden="1"/>
    <cellStyle name="Lien hypertexte visité" xfId="2587" builtinId="9" hidden="1"/>
    <cellStyle name="Lien hypertexte visité" xfId="1254" builtinId="9" hidden="1"/>
    <cellStyle name="Lien hypertexte visité" xfId="7577" builtinId="9" hidden="1"/>
    <cellStyle name="Lien hypertexte visité" xfId="10410" builtinId="9" hidden="1"/>
    <cellStyle name="Lien hypertexte visité" xfId="17891" builtinId="9" hidden="1"/>
    <cellStyle name="Lien hypertexte visité" xfId="21368" builtinId="9" hidden="1"/>
    <cellStyle name="Lien hypertexte visité" xfId="12958" builtinId="9" hidden="1"/>
    <cellStyle name="Lien hypertexte visité" xfId="8390" builtinId="9" hidden="1"/>
    <cellStyle name="Lien hypertexte visité" xfId="8687" builtinId="9" hidden="1"/>
    <cellStyle name="Lien hypertexte visité" xfId="1091" builtinId="9" hidden="1"/>
    <cellStyle name="Lien hypertexte visité" xfId="6812" builtinId="9" hidden="1"/>
    <cellStyle name="Lien hypertexte visité" xfId="14365" builtinId="9" hidden="1"/>
    <cellStyle name="Lien hypertexte visité" xfId="20052" builtinId="9" hidden="1"/>
    <cellStyle name="Lien hypertexte visité" xfId="10444" builtinId="9" hidden="1"/>
    <cellStyle name="Lien hypertexte visité" xfId="2949" builtinId="9" hidden="1"/>
    <cellStyle name="Lien hypertexte visité" xfId="5695" builtinId="9" hidden="1"/>
    <cellStyle name="Lien hypertexte visité" xfId="6436" builtinId="9" hidden="1"/>
    <cellStyle name="Lien hypertexte visité" xfId="8644" builtinId="9" hidden="1"/>
    <cellStyle name="Lien hypertexte visité" xfId="15637" builtinId="9" hidden="1"/>
    <cellStyle name="Lien hypertexte visité" xfId="21894" builtinId="9" hidden="1"/>
    <cellStyle name="Lien hypertexte visité" xfId="269" builtinId="9" hidden="1"/>
    <cellStyle name="Lien hypertexte visité" xfId="4887" builtinId="9" hidden="1"/>
    <cellStyle name="Lien hypertexte visité" xfId="8744" builtinId="9" hidden="1"/>
    <cellStyle name="Lien hypertexte visité" xfId="5719" builtinId="9" hidden="1"/>
    <cellStyle name="Lien hypertexte visité" xfId="1296" builtinId="9" hidden="1"/>
    <cellStyle name="Lien hypertexte visité" xfId="22598" builtinId="9" hidden="1"/>
    <cellStyle name="Lien hypertexte visité" xfId="14148" builtinId="9" hidden="1"/>
    <cellStyle name="Lien hypertexte visité" xfId="7715" builtinId="9" hidden="1"/>
    <cellStyle name="Lien hypertexte visité" xfId="5220" builtinId="9" hidden="1"/>
    <cellStyle name="Lien hypertexte visité" xfId="9922" builtinId="9" hidden="1"/>
    <cellStyle name="Lien hypertexte visité" xfId="21680" builtinId="9" hidden="1"/>
    <cellStyle name="Lien hypertexte visité" xfId="18458" builtinId="9" hidden="1"/>
    <cellStyle name="Lien hypertexte visité" xfId="22312" builtinId="9" hidden="1"/>
    <cellStyle name="Lien hypertexte visité" xfId="13410" builtinId="9" hidden="1"/>
    <cellStyle name="Lien hypertexte visité" xfId="8866" builtinId="9" hidden="1"/>
    <cellStyle name="Lien hypertexte visité" xfId="9367" builtinId="9" hidden="1"/>
    <cellStyle name="Lien hypertexte visité" xfId="1856" builtinId="9" hidden="1"/>
    <cellStyle name="Lien hypertexte visité" xfId="6132" builtinId="9" hidden="1"/>
    <cellStyle name="Lien hypertexte visité" xfId="13637" builtinId="9" hidden="1"/>
    <cellStyle name="Lien hypertexte visité" xfId="6769" builtinId="9" hidden="1"/>
    <cellStyle name="Lien hypertexte visité" xfId="569" builtinId="9" hidden="1"/>
    <cellStyle name="Lien hypertexte visité" xfId="5949" builtinId="9" hidden="1"/>
    <cellStyle name="Lien hypertexte visité" xfId="17595" builtinId="9" hidden="1"/>
    <cellStyle name="Lien hypertexte visité" xfId="18009" builtinId="9" hidden="1"/>
    <cellStyle name="Lien hypertexte visité" xfId="8754" builtinId="9" hidden="1"/>
    <cellStyle name="Lien hypertexte visité" xfId="5454" builtinId="9" hidden="1"/>
    <cellStyle name="Lien hypertexte visité" xfId="5948" builtinId="9" hidden="1"/>
    <cellStyle name="Lien hypertexte visité" xfId="19894" builtinId="9" hidden="1"/>
    <cellStyle name="Lien hypertexte visité" xfId="10668" builtinId="9" hidden="1"/>
    <cellStyle name="Lien hypertexte visité" xfId="293" builtinId="9" hidden="1"/>
    <cellStyle name="Lien hypertexte visité" xfId="2354" builtinId="9" hidden="1"/>
    <cellStyle name="Lien hypertexte visité" xfId="9873" builtinId="9" hidden="1"/>
    <cellStyle name="Lien hypertexte visité" xfId="18862" builtinId="9" hidden="1"/>
    <cellStyle name="Lien hypertexte visité" xfId="15357" builtinId="9" hidden="1"/>
    <cellStyle name="Lien hypertexte visité" xfId="13120" builtinId="9" hidden="1"/>
    <cellStyle name="Lien hypertexte visité" xfId="5544" builtinId="9" hidden="1"/>
    <cellStyle name="Lien hypertexte visité" xfId="4554" builtinId="9" hidden="1"/>
    <cellStyle name="Lien hypertexte visité" xfId="11459" builtinId="9" hidden="1"/>
    <cellStyle name="Lien hypertexte visité" xfId="17155" builtinId="9" hidden="1"/>
    <cellStyle name="Lien hypertexte visité" xfId="12115" builtinId="9" hidden="1"/>
    <cellStyle name="Lien hypertexte visité" xfId="5258" builtinId="9" hidden="1"/>
    <cellStyle name="Lien hypertexte visité" xfId="5960" builtinId="9" hidden="1"/>
    <cellStyle name="Lien hypertexte visité" xfId="10079" builtinId="9" hidden="1"/>
    <cellStyle name="Lien hypertexte visité" xfId="2552" builtinId="9" hidden="1"/>
    <cellStyle name="Lien hypertexte visité" xfId="5420" builtinId="9" hidden="1"/>
    <cellStyle name="Lien hypertexte visité" xfId="12941" builtinId="9" hidden="1"/>
    <cellStyle name="Lien hypertexte visité" xfId="22900" builtinId="9" hidden="1"/>
    <cellStyle name="Lien hypertexte visité" xfId="11868" builtinId="9" hidden="1"/>
    <cellStyle name="Lien hypertexte visité" xfId="4379" builtinId="9" hidden="1"/>
    <cellStyle name="Lien hypertexte visité" xfId="4303" builtinId="9" hidden="1"/>
    <cellStyle name="Lien hypertexte visité" xfId="1770" builtinId="9" hidden="1"/>
    <cellStyle name="Lien hypertexte visité" xfId="6784" builtinId="9" hidden="1"/>
    <cellStyle name="Lien hypertexte visité" xfId="11801" builtinId="9" hidden="1"/>
    <cellStyle name="Lien hypertexte visité" xfId="18175" builtinId="9" hidden="1"/>
    <cellStyle name="Lien hypertexte visité" xfId="21036" builtinId="9" hidden="1"/>
    <cellStyle name="Lien hypertexte visité" xfId="12792" builtinId="9" hidden="1"/>
    <cellStyle name="Lien hypertexte visité" xfId="10720" builtinId="9" hidden="1"/>
    <cellStyle name="Lien hypertexte visité" xfId="13449" builtinId="9" hidden="1"/>
    <cellStyle name="Lien hypertexte visité" xfId="8864" builtinId="9" hidden="1"/>
    <cellStyle name="Lien hypertexte visité" xfId="18750" builtinId="9" hidden="1"/>
    <cellStyle name="Lien hypertexte visité" xfId="1618" builtinId="9" hidden="1"/>
    <cellStyle name="Lien hypertexte visité" xfId="12796" builtinId="9" hidden="1"/>
    <cellStyle name="Lien hypertexte visité" xfId="5868" builtinId="9" hidden="1"/>
    <cellStyle name="Lien hypertexte visité" xfId="7201" builtinId="9" hidden="1"/>
    <cellStyle name="Lien hypertexte visité" xfId="9610" builtinId="9" hidden="1"/>
    <cellStyle name="Lien hypertexte visité" xfId="21114" builtinId="9" hidden="1"/>
    <cellStyle name="Lien hypertexte visité" xfId="24594" builtinId="9" hidden="1"/>
    <cellStyle name="Lien hypertexte visité" xfId="16025" builtinId="9" hidden="1"/>
    <cellStyle name="Lien hypertexte visité" xfId="11390" builtinId="9" hidden="1"/>
    <cellStyle name="Lien hypertexte visité" xfId="23930" builtinId="9" hidden="1"/>
    <cellStyle name="Lien hypertexte visité" xfId="305" builtinId="9" hidden="1"/>
    <cellStyle name="Lien hypertexte visité" xfId="2771" builtinId="9" hidden="1"/>
    <cellStyle name="Lien hypertexte visité" xfId="7069" builtinId="9" hidden="1"/>
    <cellStyle name="Lien hypertexte visité" xfId="5041" builtinId="9" hidden="1"/>
    <cellStyle name="Lien hypertexte visité" xfId="11162" builtinId="9" hidden="1"/>
    <cellStyle name="Lien hypertexte visité" xfId="4801" builtinId="9" hidden="1"/>
    <cellStyle name="Lien hypertexte visité" xfId="6833" builtinId="9" hidden="1"/>
    <cellStyle name="Lien hypertexte visité" xfId="2719" builtinId="9" hidden="1"/>
    <cellStyle name="Lien hypertexte visité" xfId="793" builtinId="9" hidden="1"/>
    <cellStyle name="Lien hypertexte visité" xfId="19522" builtinId="9" hidden="1"/>
    <cellStyle name="Lien hypertexte visité" xfId="11302" builtinId="9" hidden="1"/>
    <cellStyle name="Lien hypertexte visité" xfId="16665" builtinId="9" hidden="1"/>
    <cellStyle name="Lien hypertexte visité" xfId="24002" builtinId="9" hidden="1"/>
    <cellStyle name="Lien hypertexte visité" xfId="20602" builtinId="9" hidden="1"/>
    <cellStyle name="Lien hypertexte visité" xfId="8714" builtinId="9" hidden="1"/>
    <cellStyle name="Lien hypertexte visité" xfId="8382" builtinId="9" hidden="1"/>
    <cellStyle name="Lien hypertexte visité" xfId="5484" builtinId="9" hidden="1"/>
    <cellStyle name="Lien hypertexte visité" xfId="10426" builtinId="9" hidden="1"/>
    <cellStyle name="Lien hypertexte visité" xfId="7609" builtinId="9" hidden="1"/>
    <cellStyle name="Lien hypertexte visité" xfId="2059" builtinId="9" hidden="1"/>
    <cellStyle name="Lien hypertexte visité" xfId="2555" builtinId="9" hidden="1"/>
    <cellStyle name="Lien hypertexte visité" xfId="1223" builtinId="9" hidden="1"/>
    <cellStyle name="Lien hypertexte visité" xfId="6443" builtinId="9" hidden="1"/>
    <cellStyle name="Lien hypertexte visité" xfId="12689" builtinId="9" hidden="1"/>
    <cellStyle name="Lien hypertexte visité" xfId="20622" builtinId="9" hidden="1"/>
    <cellStyle name="Lien hypertexte visité" xfId="14419" builtinId="9" hidden="1"/>
    <cellStyle name="Lien hypertexte visité" xfId="7674" builtinId="9" hidden="1"/>
    <cellStyle name="Lien hypertexte visité" xfId="17305" builtinId="9" hidden="1"/>
    <cellStyle name="Lien hypertexte visité" xfId="24328" builtinId="9" hidden="1"/>
    <cellStyle name="Lien hypertexte visité" xfId="17699" builtinId="9" hidden="1"/>
    <cellStyle name="Lien hypertexte visité" xfId="13002" builtinId="9" hidden="1"/>
    <cellStyle name="Lien hypertexte visité" xfId="5573" builtinId="9" hidden="1"/>
    <cellStyle name="Lien hypertexte visité" xfId="8863" builtinId="9" hidden="1"/>
    <cellStyle name="Lien hypertexte visité" xfId="10733" builtinId="9" hidden="1"/>
    <cellStyle name="Lien hypertexte visité" xfId="9468" builtinId="9" hidden="1"/>
    <cellStyle name="Lien hypertexte visité" xfId="1047" builtinId="9" hidden="1"/>
    <cellStyle name="Lien hypertexte visité" xfId="13745" builtinId="9" hidden="1"/>
    <cellStyle name="Lien hypertexte visité" xfId="12776" builtinId="9" hidden="1"/>
    <cellStyle name="Lien hypertexte visité" xfId="6792" builtinId="9" hidden="1"/>
    <cellStyle name="Lien hypertexte visité" xfId="24270" builtinId="9" hidden="1"/>
    <cellStyle name="Lien hypertexte visité" xfId="9320" builtinId="9" hidden="1"/>
    <cellStyle name="Lien hypertexte visité" xfId="13520" builtinId="9" hidden="1"/>
    <cellStyle name="Lien hypertexte visité" xfId="20700" builtinId="9" hidden="1"/>
    <cellStyle name="Lien hypertexte visité" xfId="20078" builtinId="9" hidden="1"/>
    <cellStyle name="Lien hypertexte visité" xfId="13105" builtinId="9" hidden="1"/>
    <cellStyle name="Lien hypertexte visité" xfId="9009" builtinId="9" hidden="1"/>
    <cellStyle name="Lien hypertexte visité" xfId="4800" builtinId="9" hidden="1"/>
    <cellStyle name="Lien hypertexte visité" xfId="231" builtinId="9" hidden="1"/>
    <cellStyle name="Lien hypertexte visité" xfId="3177" builtinId="9" hidden="1"/>
    <cellStyle name="Lien hypertexte visité" xfId="4123" builtinId="9" hidden="1"/>
    <cellStyle name="Lien hypertexte visité" xfId="10428" builtinId="9" hidden="1"/>
    <cellStyle name="Lien hypertexte visité" xfId="18932" builtinId="9" hidden="1"/>
    <cellStyle name="Lien hypertexte visité" xfId="18023" builtinId="9" hidden="1"/>
    <cellStyle name="Lien hypertexte visité" xfId="9933" builtinId="9" hidden="1"/>
    <cellStyle name="Lien hypertexte visité" xfId="3791" builtinId="9" hidden="1"/>
    <cellStyle name="Lien hypertexte visité" xfId="3680" builtinId="9" hidden="1"/>
    <cellStyle name="Lien hypertexte visité" xfId="4542" builtinId="9" hidden="1"/>
    <cellStyle name="Lien hypertexte visité" xfId="2345" builtinId="9" hidden="1"/>
    <cellStyle name="Lien hypertexte visité" xfId="14096" builtinId="9" hidden="1"/>
    <cellStyle name="Lien hypertexte visité" xfId="6907" builtinId="9" hidden="1"/>
    <cellStyle name="Lien hypertexte visité" xfId="18289" builtinId="9" hidden="1"/>
    <cellStyle name="Lien hypertexte visité" xfId="8006" builtinId="9" hidden="1"/>
    <cellStyle name="Lien hypertexte visité" xfId="7693" builtinId="9" hidden="1"/>
    <cellStyle name="Lien hypertexte visité" xfId="4913" builtinId="9" hidden="1"/>
    <cellStyle name="Lien hypertexte visité" xfId="9114" builtinId="9" hidden="1"/>
    <cellStyle name="Lien hypertexte visité" xfId="6117" builtinId="9" hidden="1"/>
    <cellStyle name="Lien hypertexte visité" xfId="2219" builtinId="9" hidden="1"/>
    <cellStyle name="Lien hypertexte visité" xfId="1851" builtinId="9" hidden="1"/>
    <cellStyle name="Lien hypertexte visité" xfId="2803" builtinId="9" hidden="1"/>
    <cellStyle name="Lien hypertexte visité" xfId="641" builtinId="9" hidden="1"/>
    <cellStyle name="Lien hypertexte visité" xfId="3515" builtinId="9" hidden="1"/>
    <cellStyle name="Lien hypertexte visité" xfId="11710" builtinId="9" hidden="1"/>
    <cellStyle name="Lien hypertexte visité" xfId="12198" builtinId="9" hidden="1"/>
    <cellStyle name="Lien hypertexte visité" xfId="7826" builtinId="9" hidden="1"/>
    <cellStyle name="Lien hypertexte visité" xfId="20280" builtinId="9" hidden="1"/>
    <cellStyle name="Lien hypertexte visité" xfId="14182" builtinId="9" hidden="1"/>
    <cellStyle name="Lien hypertexte visité" xfId="10962" builtinId="9" hidden="1"/>
    <cellStyle name="Lien hypertexte visité" xfId="24298" builtinId="9" hidden="1"/>
    <cellStyle name="Lien hypertexte visité" xfId="1687" builtinId="9" hidden="1"/>
    <cellStyle name="Lien hypertexte visité" xfId="1939" builtinId="9" hidden="1"/>
    <cellStyle name="Lien hypertexte visité" xfId="12938" builtinId="9" hidden="1"/>
    <cellStyle name="Lien hypertexte visité" xfId="18554" builtinId="9" hidden="1"/>
    <cellStyle name="Lien hypertexte visité" xfId="23106" builtinId="9" hidden="1"/>
    <cellStyle name="Lien hypertexte visité" xfId="6013" builtinId="9" hidden="1"/>
    <cellStyle name="Lien hypertexte visité" xfId="7198" builtinId="9" hidden="1"/>
    <cellStyle name="Lien hypertexte visité" xfId="3174" builtinId="9" hidden="1"/>
    <cellStyle name="Lien hypertexte visité" xfId="13855" builtinId="9" hidden="1"/>
    <cellStyle name="Lien hypertexte visité" xfId="4917" builtinId="9" hidden="1"/>
    <cellStyle name="Lien hypertexte visité" xfId="23290" builtinId="9" hidden="1"/>
    <cellStyle name="Lien hypertexte visité" xfId="19394" builtinId="9" hidden="1"/>
    <cellStyle name="Lien hypertexte visité" xfId="18896" builtinId="9" hidden="1"/>
    <cellStyle name="Lien hypertexte visité" xfId="3568" builtinId="9" hidden="1"/>
    <cellStyle name="Lien hypertexte visité" xfId="1418" builtinId="9" hidden="1"/>
    <cellStyle name="Lien hypertexte visité" xfId="4241" builtinId="9" hidden="1"/>
    <cellStyle name="Lien hypertexte visité" xfId="9702" builtinId="9" hidden="1"/>
    <cellStyle name="Lien hypertexte visité" xfId="12926" builtinId="9" hidden="1"/>
    <cellStyle name="Lien hypertexte visité" xfId="17737" builtinId="9" hidden="1"/>
    <cellStyle name="Lien hypertexte visité" xfId="7605" builtinId="9" hidden="1"/>
    <cellStyle name="Lien hypertexte visité" xfId="13566" builtinId="9" hidden="1"/>
    <cellStyle name="Lien hypertexte visité" xfId="10258" builtinId="9" hidden="1"/>
    <cellStyle name="Lien hypertexte visité" xfId="19152" builtinId="9" hidden="1"/>
    <cellStyle name="Lien hypertexte visité" xfId="1152" builtinId="9" hidden="1"/>
    <cellStyle name="Lien hypertexte visité" xfId="3836" builtinId="9" hidden="1"/>
    <cellStyle name="Lien hypertexte visité" xfId="7918" builtinId="9" hidden="1"/>
    <cellStyle name="Lien hypertexte visité" xfId="7874" builtinId="9" hidden="1"/>
    <cellStyle name="Lien hypertexte visité" xfId="5077" builtinId="9" hidden="1"/>
    <cellStyle name="Lien hypertexte visité" xfId="8538" builtinId="9" hidden="1"/>
    <cellStyle name="Lien hypertexte visité" xfId="5953" builtinId="9" hidden="1"/>
    <cellStyle name="Lien hypertexte visité" xfId="4457" builtinId="9" hidden="1"/>
    <cellStyle name="Lien hypertexte visité" xfId="929" builtinId="9" hidden="1"/>
    <cellStyle name="Lien hypertexte visité" xfId="2891" builtinId="9" hidden="1"/>
    <cellStyle name="Lien hypertexte visité" xfId="6489" builtinId="9" hidden="1"/>
    <cellStyle name="Lien hypertexte visité" xfId="10505" builtinId="9" hidden="1"/>
    <cellStyle name="Lien hypertexte visité" xfId="7744" builtinId="9" hidden="1"/>
    <cellStyle name="Lien hypertexte visité" xfId="14381" builtinId="9" hidden="1"/>
    <cellStyle name="Lien hypertexte visité" xfId="6238" builtinId="9" hidden="1"/>
    <cellStyle name="Lien hypertexte visité" xfId="1221" builtinId="9" hidden="1"/>
    <cellStyle name="Lien hypertexte visité" xfId="7372" builtinId="9" hidden="1"/>
    <cellStyle name="Lien hypertexte visité" xfId="13709" builtinId="9" hidden="1"/>
    <cellStyle name="Lien hypertexte visité" xfId="23732" builtinId="9" hidden="1"/>
    <cellStyle name="Lien hypertexte visité" xfId="12988" builtinId="9" hidden="1"/>
    <cellStyle name="Lien hypertexte visité" xfId="6683" builtinId="9" hidden="1"/>
    <cellStyle name="Lien hypertexte visité" xfId="157" builtinId="9" hidden="1"/>
    <cellStyle name="Lien hypertexte visité" xfId="6959" builtinId="9" hidden="1"/>
    <cellStyle name="Lien hypertexte visité" xfId="3090" builtinId="9" hidden="1"/>
    <cellStyle name="Lien hypertexte visité" xfId="7296" builtinId="9" hidden="1"/>
    <cellStyle name="Lien hypertexte visité" xfId="11505" builtinId="9" hidden="1"/>
    <cellStyle name="Lien hypertexte visité" xfId="16687" builtinId="9" hidden="1"/>
    <cellStyle name="Lien hypertexte visité" xfId="24108" builtinId="9" hidden="1"/>
    <cellStyle name="Lien hypertexte visité" xfId="15933" builtinId="9" hidden="1"/>
    <cellStyle name="Lien hypertexte visité" xfId="11024" builtinId="9" hidden="1"/>
    <cellStyle name="Lien hypertexte visité" xfId="14733" builtinId="9" hidden="1"/>
    <cellStyle name="Lien hypertexte visité" xfId="11913" builtinId="9" hidden="1"/>
    <cellStyle name="Lien hypertexte visité" xfId="11424" builtinId="9" hidden="1"/>
    <cellStyle name="Lien hypertexte visité" xfId="23198" builtinId="9" hidden="1"/>
    <cellStyle name="Lien hypertexte visité" xfId="6232" builtinId="9" hidden="1"/>
    <cellStyle name="Lien hypertexte visité" xfId="1781" builtinId="9" hidden="1"/>
    <cellStyle name="Lien hypertexte visité" xfId="22294" builtinId="9" hidden="1"/>
    <cellStyle name="Lien hypertexte visité" xfId="1175" builtinId="9" hidden="1"/>
    <cellStyle name="Lien hypertexte visité" xfId="6817" builtinId="9" hidden="1"/>
    <cellStyle name="Lien hypertexte visité" xfId="8906" builtinId="9" hidden="1"/>
    <cellStyle name="Lien hypertexte visité" xfId="24400" builtinId="9" hidden="1"/>
    <cellStyle name="Lien hypertexte visité" xfId="21994" builtinId="9" hidden="1"/>
    <cellStyle name="Lien hypertexte visité" xfId="20232" builtinId="9" hidden="1"/>
    <cellStyle name="Lien hypertexte visité" xfId="12735" builtinId="9" hidden="1"/>
    <cellStyle name="Lien hypertexte visité" xfId="9995" builtinId="9" hidden="1"/>
    <cellStyle name="Lien hypertexte visité" xfId="6826" builtinId="9" hidden="1"/>
    <cellStyle name="Lien hypertexte visité" xfId="20636" builtinId="9" hidden="1"/>
    <cellStyle name="Lien hypertexte visité" xfId="8032" builtinId="9" hidden="1"/>
    <cellStyle name="Lien hypertexte visité" xfId="13245" builtinId="9" hidden="1"/>
    <cellStyle name="Lien hypertexte visité" xfId="11398" builtinId="9" hidden="1"/>
    <cellStyle name="Lien hypertexte visité" xfId="8202" builtinId="9" hidden="1"/>
    <cellStyle name="Lien hypertexte visité" xfId="10997" builtinId="9" hidden="1"/>
    <cellStyle name="Lien hypertexte visité" xfId="12023" builtinId="9" hidden="1"/>
    <cellStyle name="Lien hypertexte visité" xfId="23394" builtinId="9" hidden="1"/>
    <cellStyle name="Lien hypertexte visité" xfId="10535" builtinId="9" hidden="1"/>
    <cellStyle name="Lien hypertexte visité" xfId="18317" builtinId="9" hidden="1"/>
    <cellStyle name="Lien hypertexte visité" xfId="3671" builtinId="9" hidden="1"/>
    <cellStyle name="Lien hypertexte visité" xfId="2545" builtinId="9" hidden="1"/>
    <cellStyle name="Lien hypertexte visité" xfId="6371" builtinId="9" hidden="1"/>
    <cellStyle name="Lien hypertexte visité" xfId="5579" builtinId="9" hidden="1"/>
    <cellStyle name="Lien hypertexte visité" xfId="11677" builtinId="9" hidden="1"/>
    <cellStyle name="Lien hypertexte visité" xfId="11311" builtinId="9" hidden="1"/>
    <cellStyle name="Lien hypertexte visité" xfId="24362" builtinId="9" hidden="1"/>
    <cellStyle name="Lien hypertexte visité" xfId="2471" builtinId="9" hidden="1"/>
    <cellStyle name="Lien hypertexte visité" xfId="9978" builtinId="9" hidden="1"/>
    <cellStyle name="Lien hypertexte visité" xfId="2686" builtinId="9" hidden="1"/>
    <cellStyle name="Lien hypertexte visité" xfId="13063" builtinId="9" hidden="1"/>
    <cellStyle name="Lien hypertexte visité" xfId="17513" builtinId="9" hidden="1"/>
    <cellStyle name="Lien hypertexte visité" xfId="17025" builtinId="9" hidden="1"/>
    <cellStyle name="Lien hypertexte visité" xfId="7398" builtinId="9" hidden="1"/>
    <cellStyle name="Lien hypertexte visité" xfId="17401" builtinId="9" hidden="1"/>
    <cellStyle name="Lien hypertexte visité" xfId="9722" builtinId="9" hidden="1"/>
    <cellStyle name="Lien hypertexte visité" xfId="11183" builtinId="9" hidden="1"/>
    <cellStyle name="Lien hypertexte visité" xfId="9842" builtinId="9" hidden="1"/>
    <cellStyle name="Lien hypertexte visité" xfId="24208" builtinId="9" hidden="1"/>
    <cellStyle name="Lien hypertexte visité" xfId="1330" builtinId="9" hidden="1"/>
    <cellStyle name="Lien hypertexte visité" xfId="12549" builtinId="9" hidden="1"/>
    <cellStyle name="Lien hypertexte visité" xfId="3280" builtinId="9" hidden="1"/>
    <cellStyle name="Lien hypertexte visité" xfId="9358" builtinId="9" hidden="1"/>
    <cellStyle name="Lien hypertexte visité" xfId="23768" builtinId="9" hidden="1"/>
    <cellStyle name="Lien hypertexte visité" xfId="19594" builtinId="9" hidden="1"/>
    <cellStyle name="Lien hypertexte visité" xfId="3615" builtinId="9" hidden="1"/>
    <cellStyle name="Lien hypertexte visité" xfId="12263" builtinId="9" hidden="1"/>
    <cellStyle name="Lien hypertexte visité" xfId="16505" builtinId="9" hidden="1"/>
    <cellStyle name="Lien hypertexte visité" xfId="20912" builtinId="9" hidden="1"/>
    <cellStyle name="Lien hypertexte visité" xfId="23344" builtinId="9" hidden="1"/>
    <cellStyle name="Lien hypertexte visité" xfId="20978" builtinId="9" hidden="1"/>
    <cellStyle name="Lien hypertexte visité" xfId="21888" builtinId="9" hidden="1"/>
    <cellStyle name="Lien hypertexte visité" xfId="15417" builtinId="9" hidden="1"/>
    <cellStyle name="Lien hypertexte visité" xfId="11694" builtinId="9" hidden="1"/>
    <cellStyle name="Lien hypertexte visité" xfId="8502" builtinId="9" hidden="1"/>
    <cellStyle name="Lien hypertexte visité" xfId="11447" builtinId="9" hidden="1"/>
    <cellStyle name="Lien hypertexte visité" xfId="6582" builtinId="9" hidden="1"/>
    <cellStyle name="Lien hypertexte visité" xfId="1792" builtinId="9" hidden="1"/>
    <cellStyle name="Lien hypertexte visité" xfId="4276" builtinId="9" hidden="1"/>
    <cellStyle name="Lien hypertexte visité" xfId="9173" builtinId="9" hidden="1"/>
    <cellStyle name="Lien hypertexte visité" xfId="13957" builtinId="9" hidden="1"/>
    <cellStyle name="Lien hypertexte visité" xfId="4773" builtinId="9" hidden="1"/>
    <cellStyle name="Lien hypertexte visité" xfId="2347" builtinId="9" hidden="1"/>
    <cellStyle name="Lien hypertexte visité" xfId="1286" builtinId="9" hidden="1"/>
    <cellStyle name="Lien hypertexte visité" xfId="7725" builtinId="9" hidden="1"/>
    <cellStyle name="Lien hypertexte visité" xfId="9514" builtinId="9" hidden="1"/>
    <cellStyle name="Lien hypertexte visité" xfId="17723" builtinId="9" hidden="1"/>
    <cellStyle name="Lien hypertexte visité" xfId="21704" builtinId="9" hidden="1"/>
    <cellStyle name="Lien hypertexte visité" xfId="13214" builtinId="9" hidden="1"/>
    <cellStyle name="Lien hypertexte visité" xfId="8434" builtinId="9" hidden="1"/>
    <cellStyle name="Lien hypertexte visité" xfId="8943" builtinId="9" hidden="1"/>
    <cellStyle name="Lien hypertexte visité" xfId="1576" builtinId="9" hidden="1"/>
    <cellStyle name="Lien hypertexte visité" xfId="6748" builtinId="9" hidden="1"/>
    <cellStyle name="Lien hypertexte visité" xfId="14109" builtinId="9" hidden="1"/>
    <cellStyle name="Lien hypertexte visité" xfId="20948" builtinId="9" hidden="1"/>
    <cellStyle name="Lien hypertexte visité" xfId="10572" builtinId="9" hidden="1"/>
    <cellStyle name="Lien hypertexte visité" xfId="3205" builtinId="9" hidden="1"/>
    <cellStyle name="Lien hypertexte visité" xfId="5311" builtinId="9" hidden="1"/>
    <cellStyle name="Lien hypertexte visité" xfId="6180" builtinId="9" hidden="1"/>
    <cellStyle name="Lien hypertexte visité" xfId="8420" builtinId="9" hidden="1"/>
    <cellStyle name="Lien hypertexte visité" xfId="14901" builtinId="9" hidden="1"/>
    <cellStyle name="Lien hypertexte visité" xfId="22054" builtinId="9" hidden="1"/>
    <cellStyle name="Lien hypertexte visité" xfId="189" builtinId="9" hidden="1"/>
    <cellStyle name="Lien hypertexte visité" xfId="5207" builtinId="9" hidden="1"/>
    <cellStyle name="Lien hypertexte visité" xfId="8680" builtinId="9" hidden="1"/>
    <cellStyle name="Lien hypertexte visité" xfId="5527" builtinId="9" hidden="1"/>
    <cellStyle name="Lien hypertexte visité" xfId="757" builtinId="9" hidden="1"/>
    <cellStyle name="Lien hypertexte visité" xfId="22438" builtinId="9" hidden="1"/>
    <cellStyle name="Lien hypertexte visité" xfId="14372" builtinId="9" hidden="1"/>
    <cellStyle name="Lien hypertexte visité" xfId="8084" builtinId="9" hidden="1"/>
    <cellStyle name="Lien hypertexte visité" xfId="5476" builtinId="9" hidden="1"/>
    <cellStyle name="Lien hypertexte visité" xfId="9410" builtinId="9" hidden="1"/>
    <cellStyle name="Lien hypertexte visité" xfId="22426" builtinId="9" hidden="1"/>
    <cellStyle name="Lien hypertexte visité" xfId="18778" builtinId="9" hidden="1"/>
    <cellStyle name="Lien hypertexte visité" xfId="22656" builtinId="9" hidden="1"/>
    <cellStyle name="Lien hypertexte visité" xfId="13698" builtinId="9" hidden="1"/>
    <cellStyle name="Lien hypertexte visité" xfId="8918" builtinId="9" hidden="1"/>
    <cellStyle name="Lien hypertexte visité" xfId="9623" builtinId="9" hidden="1"/>
    <cellStyle name="Lien hypertexte visité" xfId="2288" builtinId="9" hidden="1"/>
    <cellStyle name="Lien hypertexte visité" xfId="6036" builtinId="9" hidden="1"/>
    <cellStyle name="Lien hypertexte visité" xfId="13381" builtinId="9" hidden="1"/>
    <cellStyle name="Lien hypertexte visité" xfId="6401" builtinId="9" hidden="1"/>
    <cellStyle name="Lien hypertexte visité" xfId="297" builtinId="9" hidden="1"/>
    <cellStyle name="Lien hypertexte visité" xfId="6169" builtinId="9" hidden="1"/>
    <cellStyle name="Lien hypertexte visité" xfId="19002" builtinId="9" hidden="1"/>
    <cellStyle name="Lien hypertexte visité" xfId="18185" builtinId="9" hidden="1"/>
    <cellStyle name="Lien hypertexte visité" xfId="9010" builtinId="9" hidden="1"/>
    <cellStyle name="Lien hypertexte visité" xfId="6094" builtinId="9" hidden="1"/>
    <cellStyle name="Lien hypertexte visité" xfId="5820" builtinId="9" hidden="1"/>
    <cellStyle name="Lien hypertexte visité" xfId="19126" builtinId="9" hidden="1"/>
    <cellStyle name="Lien hypertexte visité" xfId="11308" builtinId="9" hidden="1"/>
    <cellStyle name="Lien hypertexte visité" xfId="149" builtinId="9" hidden="1"/>
    <cellStyle name="Lien hypertexte visité" xfId="2098" builtinId="9" hidden="1"/>
    <cellStyle name="Lien hypertexte visité" xfId="9441" builtinId="9" hidden="1"/>
    <cellStyle name="Lien hypertexte visité" xfId="18686" builtinId="9" hidden="1"/>
    <cellStyle name="Lien hypertexte visité" xfId="15869" builtinId="9" hidden="1"/>
    <cellStyle name="Lien hypertexte visité" xfId="11840" builtinId="9" hidden="1"/>
    <cellStyle name="Lien hypertexte visité" xfId="5800" builtinId="9" hidden="1"/>
    <cellStyle name="Lien hypertexte visité" xfId="4778" builtinId="9" hidden="1"/>
    <cellStyle name="Lien hypertexte visité" xfId="11795" builtinId="9" hidden="1"/>
    <cellStyle name="Lien hypertexte visité" xfId="17283" builtinId="9" hidden="1"/>
    <cellStyle name="Lien hypertexte visité" xfId="11907" builtinId="9" hidden="1"/>
    <cellStyle name="Lien hypertexte visité" xfId="4890" builtinId="9" hidden="1"/>
    <cellStyle name="Lien hypertexte visité" xfId="5704" builtinId="9" hidden="1"/>
    <cellStyle name="Lien hypertexte visité" xfId="10335" builtinId="9" hidden="1"/>
    <cellStyle name="Lien hypertexte visité" xfId="10252" builtinId="9" hidden="1"/>
    <cellStyle name="Lien hypertexte visité" xfId="4722" builtinId="9" hidden="1"/>
    <cellStyle name="Lien hypertexte visité" xfId="2402" builtinId="9" hidden="1"/>
    <cellStyle name="Lien hypertexte visité" xfId="21564" builtinId="9" hidden="1"/>
    <cellStyle name="Lien hypertexte visité" xfId="12016" builtinId="9" hidden="1"/>
    <cellStyle name="Lien hypertexte visité" xfId="22044" builtinId="9" hidden="1"/>
    <cellStyle name="Lien hypertexte visité" xfId="14735" builtinId="9" hidden="1"/>
    <cellStyle name="Lien hypertexte visité" xfId="8401" builtinId="9" hidden="1"/>
    <cellStyle name="Lien hypertexte visité" xfId="3482" builtinId="9" hidden="1"/>
    <cellStyle name="Lien hypertexte visité" xfId="3581" builtinId="9" hidden="1"/>
    <cellStyle name="Lien hypertexte visité" xfId="16771" builtinId="9" hidden="1"/>
    <cellStyle name="Lien hypertexte visité" xfId="10451" builtinId="9" hidden="1"/>
    <cellStyle name="Lien hypertexte visité" xfId="2004" builtinId="9" hidden="1"/>
    <cellStyle name="Lien hypertexte visité" xfId="1540" builtinId="9" hidden="1"/>
    <cellStyle name="Lien hypertexte visité" xfId="7434" builtinId="9" hidden="1"/>
    <cellStyle name="Lien hypertexte visité" xfId="2818" builtinId="9" hidden="1"/>
    <cellStyle name="Lien hypertexte visité" xfId="6522" builtinId="9" hidden="1"/>
    <cellStyle name="Lien hypertexte visité" xfId="11963" builtinId="9" hidden="1"/>
    <cellStyle name="Lien hypertexte visité" xfId="3476" builtinId="9" hidden="1"/>
    <cellStyle name="Lien hypertexte visité" xfId="6946" builtinId="9" hidden="1"/>
    <cellStyle name="Lien hypertexte visité" xfId="13803" builtinId="9" hidden="1"/>
    <cellStyle name="Lien hypertexte visité" xfId="13419" builtinId="9" hidden="1"/>
    <cellStyle name="Lien hypertexte visité" xfId="9368" builtinId="9" hidden="1"/>
    <cellStyle name="Lien hypertexte visité" xfId="4640" builtinId="9" hidden="1"/>
    <cellStyle name="Lien hypertexte visité" xfId="10873" builtinId="9" hidden="1"/>
    <cellStyle name="Lien hypertexte visité" xfId="19678" builtinId="9" hidden="1"/>
    <cellStyle name="Lien hypertexte visité" xfId="17021" builtinId="9" hidden="1"/>
    <cellStyle name="Lien hypertexte visité" xfId="9544" builtinId="9" hidden="1"/>
    <cellStyle name="Lien hypertexte visité" xfId="13673" builtinId="9" hidden="1"/>
    <cellStyle name="Lien hypertexte visité" xfId="7939" builtinId="9" hidden="1"/>
    <cellStyle name="Lien hypertexte visité" xfId="1433" builtinId="9" hidden="1"/>
    <cellStyle name="Lien hypertexte visité" xfId="17159" builtinId="9" hidden="1"/>
    <cellStyle name="Lien hypertexte visité" xfId="9670" builtinId="9" hidden="1"/>
    <cellStyle name="Lien hypertexte visité" xfId="6737" builtinId="9" hidden="1"/>
    <cellStyle name="Lien hypertexte visité" xfId="12725" builtinId="9" hidden="1"/>
    <cellStyle name="Lien hypertexte visité" xfId="10295" builtinId="9" hidden="1"/>
    <cellStyle name="Lien hypertexte visité" xfId="23528" builtinId="9" hidden="1"/>
    <cellStyle name="Lien hypertexte visité" xfId="16923" builtinId="9" hidden="1"/>
    <cellStyle name="Lien hypertexte visité" xfId="12007" builtinId="9" hidden="1"/>
    <cellStyle name="Lien hypertexte visité" xfId="23346" builtinId="9" hidden="1"/>
    <cellStyle name="Lien hypertexte visité" xfId="23152" builtinId="9" hidden="1"/>
    <cellStyle name="Lien hypertexte visité" xfId="24050" builtinId="9" hidden="1"/>
    <cellStyle name="Lien hypertexte visité" xfId="15465" builtinId="9" hidden="1"/>
    <cellStyle name="Lien hypertexte visité" xfId="10126" builtinId="9" hidden="1"/>
    <cellStyle name="Lien hypertexte visité" xfId="11527" builtinId="9" hidden="1"/>
    <cellStyle name="Lien hypertexte visité" xfId="4230" builtinId="9" hidden="1"/>
    <cellStyle name="Lien hypertexte visité" xfId="4228" builtinId="9" hidden="1"/>
    <cellStyle name="Lien hypertexte visité" xfId="11477" builtinId="9" hidden="1"/>
    <cellStyle name="Lien hypertexte visité" xfId="4737" builtinId="9" hidden="1"/>
    <cellStyle name="Lien hypertexte visité" xfId="1615" builtinId="9" hidden="1"/>
    <cellStyle name="Lien hypertexte visité" xfId="7797" builtinId="9" hidden="1"/>
    <cellStyle name="Lien hypertexte visité" xfId="18576" builtinId="9" hidden="1"/>
    <cellStyle name="Lien hypertexte visité" xfId="21792" builtinId="9" hidden="1"/>
    <cellStyle name="Lien hypertexte visité" xfId="10910" builtinId="9" hidden="1"/>
    <cellStyle name="Lien hypertexte visité" xfId="9007" builtinId="9" hidden="1"/>
    <cellStyle name="Lien hypertexte visité" xfId="3094" builtinId="9" hidden="1"/>
    <cellStyle name="Lien hypertexte visité" xfId="13981" builtinId="9" hidden="1"/>
    <cellStyle name="Lien hypertexte visité" xfId="14220" builtinId="9" hidden="1"/>
    <cellStyle name="Lien hypertexte visité" xfId="3269" builtinId="9" hidden="1"/>
    <cellStyle name="Lien hypertexte visité" xfId="8768" builtinId="9" hidden="1"/>
    <cellStyle name="Lien hypertexte visité" xfId="8356" builtinId="9" hidden="1"/>
    <cellStyle name="Lien hypertexte visité" xfId="20900" builtinId="9" hidden="1"/>
    <cellStyle name="Lien hypertexte visité" xfId="245" builtinId="9" hidden="1"/>
    <cellStyle name="Lien hypertexte visité" xfId="7191" builtinId="9" hidden="1"/>
    <cellStyle name="Lien hypertexte visité" xfId="5463" builtinId="9" hidden="1"/>
    <cellStyle name="Lien hypertexte visité" xfId="12036" builtinId="9" hidden="1"/>
    <cellStyle name="Lien hypertexte visité" xfId="14436" builtinId="9" hidden="1"/>
    <cellStyle name="Lien hypertexte visité" xfId="18438" builtinId="9" hidden="1"/>
    <cellStyle name="Lien hypertexte visité" xfId="9238" builtinId="9" hidden="1"/>
    <cellStyle name="Lien hypertexte visité" xfId="15745" builtinId="9" hidden="1"/>
    <cellStyle name="Lien hypertexte visité" xfId="22760" builtinId="9" hidden="1"/>
    <cellStyle name="Lien hypertexte visité" xfId="11362" builtinId="9" hidden="1"/>
    <cellStyle name="Lien hypertexte visité" xfId="9719" builtinId="9" hidden="1"/>
    <cellStyle name="Lien hypertexte visité" xfId="2366" builtinId="9" hidden="1"/>
    <cellStyle name="Lien hypertexte visité" xfId="13301" builtinId="9" hidden="1"/>
    <cellStyle name="Lien hypertexte visité" xfId="2739" builtinId="9" hidden="1"/>
    <cellStyle name="Lien hypertexte visité" xfId="6241" builtinId="9" hidden="1"/>
    <cellStyle name="Lien hypertexte visité" xfId="23722" builtinId="9" hidden="1"/>
    <cellStyle name="Lien hypertexte visité" xfId="9094" builtinId="9" hidden="1"/>
    <cellStyle name="Lien hypertexte visité" xfId="515" builtinId="9" hidden="1"/>
    <cellStyle name="Lien hypertexte visité" xfId="18870" builtinId="9" hidden="1"/>
    <cellStyle name="Lien hypertexte visité" xfId="6059" builtinId="9" hidden="1"/>
    <cellStyle name="Lien hypertexte visité" xfId="2010" builtinId="9" hidden="1"/>
    <cellStyle name="Lien hypertexte visité" xfId="12945" builtinId="9" hidden="1"/>
    <cellStyle name="Lien hypertexte visité" xfId="16045" builtinId="9" hidden="1"/>
    <cellStyle name="Lien hypertexte visité" xfId="19086" builtinId="9" hidden="1"/>
    <cellStyle name="Lien hypertexte visité" xfId="4850" builtinId="9" hidden="1"/>
    <cellStyle name="Lien hypertexte visité" xfId="14219" builtinId="9" hidden="1"/>
    <cellStyle name="Lien hypertexte visité" xfId="11843" builtinId="9" hidden="1"/>
    <cellStyle name="Lien hypertexte visité" xfId="7891" builtinId="9" hidden="1"/>
    <cellStyle name="Lien hypertexte visité" xfId="10431" builtinId="9" hidden="1"/>
    <cellStyle name="Lien hypertexte visité" xfId="1670" builtinId="9" hidden="1"/>
    <cellStyle name="Lien hypertexte visité" xfId="12589" builtinId="9" hidden="1"/>
    <cellStyle name="Lien hypertexte visité" xfId="16773" builtinId="9" hidden="1"/>
    <cellStyle name="Lien hypertexte visité" xfId="4699" builtinId="9" hidden="1"/>
    <cellStyle name="Lien hypertexte visité" xfId="7375" builtinId="9" hidden="1"/>
    <cellStyle name="Lien hypertexte visité" xfId="6552" builtinId="9" hidden="1"/>
    <cellStyle name="Lien hypertexte visité" xfId="13849" builtinId="9" hidden="1"/>
    <cellStyle name="Lien hypertexte visité" xfId="21516" builtinId="9" hidden="1"/>
    <cellStyle name="Lien hypertexte visité" xfId="10744" builtinId="9" hidden="1"/>
    <cellStyle name="Lien hypertexte visité" xfId="14089" builtinId="9" hidden="1"/>
    <cellStyle name="Lien hypertexte visité" xfId="15469" builtinId="9" hidden="1"/>
    <cellStyle name="Lien hypertexte visité" xfId="2298" builtinId="9" hidden="1"/>
    <cellStyle name="Lien hypertexte visité" xfId="19734" builtinId="9" hidden="1"/>
    <cellStyle name="Lien hypertexte visité" xfId="8806" builtinId="9" hidden="1"/>
    <cellStyle name="Lien hypertexte visité" xfId="15329" builtinId="9" hidden="1"/>
    <cellStyle name="Lien hypertexte visité" xfId="24210" builtinId="9" hidden="1"/>
    <cellStyle name="Lien hypertexte visité" xfId="13522" builtinId="9" hidden="1"/>
    <cellStyle name="Lien hypertexte visité" xfId="17827" builtinId="9" hidden="1"/>
    <cellStyle name="Lien hypertexte visité" xfId="1759" builtinId="9" hidden="1"/>
    <cellStyle name="Lien hypertexte visité" xfId="6925" builtinId="9" hidden="1"/>
    <cellStyle name="Lien hypertexte visité" xfId="5405" builtinId="9" hidden="1"/>
    <cellStyle name="Lien hypertexte visité" xfId="4949" builtinId="9" hidden="1"/>
    <cellStyle name="Lien hypertexte visité" xfId="7661" builtinId="9" hidden="1"/>
    <cellStyle name="Lien hypertexte visité" xfId="513" builtinId="9" hidden="1"/>
    <cellStyle name="Lien hypertexte visité" xfId="9830" builtinId="9" hidden="1"/>
    <cellStyle name="Lien hypertexte visité" xfId="16281" builtinId="9" hidden="1"/>
    <cellStyle name="Lien hypertexte visité" xfId="20458" builtinId="9" hidden="1"/>
    <cellStyle name="Lien hypertexte visité" xfId="9290" builtinId="9" hidden="1"/>
    <cellStyle name="Lien hypertexte visité" xfId="6942" builtinId="9" hidden="1"/>
    <cellStyle name="Lien hypertexte visité" xfId="10938" builtinId="9" hidden="1"/>
    <cellStyle name="Lien hypertexte visité" xfId="2707" builtinId="9" hidden="1"/>
    <cellStyle name="Lien hypertexte visité" xfId="2763" builtinId="9" hidden="1"/>
    <cellStyle name="Lien hypertexte visité" xfId="10986" builtinId="9" hidden="1"/>
    <cellStyle name="Lien hypertexte visité" xfId="23634" builtinId="9" hidden="1"/>
    <cellStyle name="Lien hypertexte visité" xfId="12806" builtinId="9" hidden="1"/>
    <cellStyle name="Lien hypertexte visité" xfId="11791" builtinId="9" hidden="1"/>
    <cellStyle name="Lien hypertexte visité" xfId="643" builtinId="9" hidden="1"/>
    <cellStyle name="Lien hypertexte visité" xfId="11133" builtinId="9" hidden="1"/>
    <cellStyle name="Lien hypertexte visité" xfId="19476" builtinId="9" hidden="1"/>
    <cellStyle name="Lien hypertexte visité" xfId="6123" builtinId="9" hidden="1"/>
    <cellStyle name="Lien hypertexte visité" xfId="5919" builtinId="9" hidden="1"/>
    <cellStyle name="Lien hypertexte visité" xfId="5648" builtinId="9" hidden="1"/>
    <cellStyle name="Lien hypertexte visité" xfId="12897" builtinId="9" hidden="1"/>
    <cellStyle name="Lien hypertexte visité" xfId="23452" builtinId="9" hidden="1"/>
    <cellStyle name="Lien hypertexte visité" xfId="11656" builtinId="9" hidden="1"/>
    <cellStyle name="Lien hypertexte visité" xfId="19342" builtinId="9" hidden="1"/>
    <cellStyle name="Lien hypertexte visité" xfId="8027" builtinId="9" hidden="1"/>
    <cellStyle name="Lien hypertexte visité" xfId="1732" builtinId="9" hidden="1"/>
    <cellStyle name="Lien hypertexte visité" xfId="14251" builtinId="9" hidden="1"/>
    <cellStyle name="Lien hypertexte visité" xfId="14091" builtinId="9" hidden="1"/>
    <cellStyle name="Lien hypertexte visité" xfId="1636" builtinId="9" hidden="1"/>
    <cellStyle name="Lien hypertexte visité" xfId="7859" builtinId="9" hidden="1"/>
    <cellStyle name="Lien hypertexte visité" xfId="14143" builtinId="9" hidden="1"/>
    <cellStyle name="Lien hypertexte visité" xfId="6782" builtinId="9" hidden="1"/>
    <cellStyle name="Lien hypertexte visité" xfId="1606" builtinId="9" hidden="1"/>
    <cellStyle name="Lien hypertexte visité" xfId="8877" builtinId="9" hidden="1"/>
    <cellStyle name="Lien hypertexte visité" xfId="17895" builtinId="9" hidden="1"/>
    <cellStyle name="Lien hypertexte visité" xfId="16837" builtinId="9" hidden="1"/>
    <cellStyle name="Lien hypertexte visité" xfId="8412" builtinId="9" hidden="1"/>
    <cellStyle name="Lien hypertexte visité" xfId="989" builtinId="9" hidden="1"/>
    <cellStyle name="Lien hypertexte visité" xfId="7343" builtinId="9" hidden="1"/>
    <cellStyle name="Lien hypertexte visité" xfId="4080" builtinId="9" hidden="1"/>
    <cellStyle name="Lien hypertexte visité" xfId="8985" builtinId="9" hidden="1"/>
    <cellStyle name="Lien hypertexte visité" xfId="13809" builtinId="9" hidden="1"/>
    <cellStyle name="Lien hypertexte visité" xfId="22766" builtinId="9" hidden="1"/>
    <cellStyle name="Lien hypertexte visité" xfId="16701" builtinId="9" hidden="1"/>
    <cellStyle name="Lien hypertexte visité" xfId="10768" builtinId="9" hidden="1"/>
    <cellStyle name="Lien hypertexte visité" xfId="20732" builtinId="9" hidden="1"/>
    <cellStyle name="Lien hypertexte visité" xfId="6856" builtinId="9" hidden="1"/>
    <cellStyle name="Lien hypertexte visité" xfId="15293" builtinId="9" hidden="1"/>
    <cellStyle name="Lien hypertexte visité" xfId="9729" builtinId="9" hidden="1"/>
    <cellStyle name="Lien hypertexte visité" xfId="901" builtinId="9" hidden="1"/>
    <cellStyle name="Lien hypertexte visité" xfId="19990" builtinId="9" hidden="1"/>
    <cellStyle name="Lien hypertexte visité" xfId="8464" builtinId="9" hidden="1"/>
    <cellStyle name="Lien hypertexte visité" xfId="11785" builtinId="9" hidden="1"/>
    <cellStyle name="Lien hypertexte visité" xfId="19980" builtinId="9" hidden="1"/>
    <cellStyle name="Lien hypertexte visité" xfId="7320" builtinId="9" hidden="1"/>
    <cellStyle name="Lien hypertexte visité" xfId="3541" builtinId="9" hidden="1"/>
    <cellStyle name="Lien hypertexte visité" xfId="13741" builtinId="9" hidden="1"/>
    <cellStyle name="Lien hypertexte visité" xfId="9279" builtinId="9" hidden="1"/>
    <cellStyle name="Lien hypertexte visité" xfId="12763" builtinId="9" hidden="1"/>
    <cellStyle name="Lien hypertexte visité" xfId="3861" builtinId="9" hidden="1"/>
    <cellStyle name="Lien hypertexte visité" xfId="14128" builtinId="9" hidden="1"/>
    <cellStyle name="Lien hypertexte visité" xfId="3162" builtinId="9" hidden="1"/>
    <cellStyle name="Lien hypertexte visité" xfId="22326" builtinId="9" hidden="1"/>
    <cellStyle name="Lien hypertexte visité" xfId="16491" builtinId="9" hidden="1"/>
    <cellStyle name="Lien hypertexte visité" xfId="5253" builtinId="9" hidden="1"/>
    <cellStyle name="Lien hypertexte visité" xfId="14453" builtinId="9" hidden="1"/>
    <cellStyle name="Lien hypertexte visité" xfId="13604" builtinId="9" hidden="1"/>
    <cellStyle name="Lien hypertexte visité" xfId="8260" builtinId="9" hidden="1"/>
    <cellStyle name="Lien hypertexte visité" xfId="8677" builtinId="9" hidden="1"/>
    <cellStyle name="Lien hypertexte visité" xfId="11175" builtinId="9" hidden="1"/>
    <cellStyle name="Lien hypertexte visité" xfId="20504" builtinId="9" hidden="1"/>
    <cellStyle name="Lien hypertexte visité" xfId="14042" builtinId="9" hidden="1"/>
    <cellStyle name="Lien hypertexte visité" xfId="19466" builtinId="9" hidden="1"/>
    <cellStyle name="Lien hypertexte visité" xfId="21464" builtinId="9" hidden="1"/>
    <cellStyle name="Lien hypertexte visité" xfId="13838" builtinId="9" hidden="1"/>
    <cellStyle name="Lien hypertexte visité" xfId="9634" builtinId="9" hidden="1"/>
    <cellStyle name="Lien hypertexte visité" xfId="11799" builtinId="9" hidden="1"/>
    <cellStyle name="Lien hypertexte visité" xfId="5574" builtinId="9" hidden="1"/>
    <cellStyle name="Lien hypertexte visité" xfId="1806" builtinId="9" hidden="1"/>
    <cellStyle name="Lien hypertexte visité" xfId="8053" builtinId="9" hidden="1"/>
    <cellStyle name="Lien hypertexte visité" xfId="1469" builtinId="9" hidden="1"/>
    <cellStyle name="Lien hypertexte visité" xfId="13338" builtinId="9" hidden="1"/>
    <cellStyle name="Lien hypertexte visité" xfId="3149" builtinId="9" hidden="1"/>
    <cellStyle name="Lien hypertexte visité" xfId="3866" builtinId="9" hidden="1"/>
    <cellStyle name="Lien hypertexte visité" xfId="8168" builtinId="9" hidden="1"/>
    <cellStyle name="Lien hypertexte visité" xfId="4631" builtinId="9" hidden="1"/>
    <cellStyle name="Lien hypertexte visité" xfId="2269" builtinId="9" hidden="1"/>
    <cellStyle name="Lien hypertexte visité" xfId="10244" builtinId="9" hidden="1"/>
    <cellStyle name="Lien hypertexte visité" xfId="23652" builtinId="9" hidden="1"/>
    <cellStyle name="Lien hypertexte visité" xfId="19812" builtinId="9" hidden="1"/>
    <cellStyle name="Lien hypertexte visité" xfId="19782" builtinId="9" hidden="1"/>
    <cellStyle name="Lien hypertexte visité" xfId="725" builtinId="9" hidden="1"/>
    <cellStyle name="Lien hypertexte visité" xfId="10212" builtinId="9" hidden="1"/>
    <cellStyle name="Lien hypertexte visité" xfId="11092" builtinId="9" hidden="1"/>
    <cellStyle name="Lien hypertexte visité" xfId="15511" builtinId="9" hidden="1"/>
    <cellStyle name="Lien hypertexte visité" xfId="11685" builtinId="9" hidden="1"/>
    <cellStyle name="Lien hypertexte visité" xfId="14020" builtinId="9" hidden="1"/>
    <cellStyle name="Lien hypertexte visité" xfId="9268" builtinId="9" hidden="1"/>
    <cellStyle name="Lien hypertexte visité" xfId="1825" builtinId="9" hidden="1"/>
    <cellStyle name="Lien hypertexte visité" xfId="21670" builtinId="9" hidden="1"/>
    <cellStyle name="Lien hypertexte visité" xfId="17909" builtinId="9" hidden="1"/>
    <cellStyle name="Lien hypertexte visité" xfId="23526" builtinId="9" hidden="1"/>
    <cellStyle name="Lien hypertexte visité" xfId="2561" builtinId="9" hidden="1"/>
    <cellStyle name="Lien hypertexte visité" xfId="3229" builtinId="9" hidden="1"/>
    <cellStyle name="Lien hypertexte visité" xfId="3786" builtinId="9" hidden="1"/>
    <cellStyle name="Lien hypertexte visité" xfId="8312" builtinId="9" hidden="1"/>
    <cellStyle name="Lien hypertexte visité" xfId="4791" builtinId="9" hidden="1"/>
    <cellStyle name="Lien hypertexte visité" xfId="19396" builtinId="9" hidden="1"/>
    <cellStyle name="Lien hypertexte visité" xfId="22538" builtinId="9" hidden="1"/>
    <cellStyle name="Lien hypertexte visité" xfId="10357" builtinId="9" hidden="1"/>
    <cellStyle name="Lien hypertexte visité" xfId="6772" builtinId="9" hidden="1"/>
    <cellStyle name="Lien hypertexte visité" xfId="91" builtinId="9" hidden="1"/>
    <cellStyle name="Lien hypertexte visité" xfId="6854" builtinId="9" hidden="1"/>
    <cellStyle name="Lien hypertexte visité" xfId="13079" builtinId="9" hidden="1"/>
    <cellStyle name="Lien hypertexte visité" xfId="10486" builtinId="9" hidden="1"/>
    <cellStyle name="Lien hypertexte visité" xfId="14761" builtinId="9" hidden="1"/>
    <cellStyle name="Lien hypertexte visité" xfId="23168" builtinId="9" hidden="1"/>
    <cellStyle name="Lien hypertexte visité" xfId="17779" builtinId="9" hidden="1"/>
    <cellStyle name="Lien hypertexte visité" xfId="11482" builtinId="9" hidden="1"/>
    <cellStyle name="Lien hypertexte visité" xfId="15401" builtinId="9" hidden="1"/>
    <cellStyle name="Lien hypertexte visité" xfId="7334" builtinId="9" hidden="1"/>
    <cellStyle name="Lien hypertexte visité" xfId="12517" builtinId="9" hidden="1"/>
    <cellStyle name="Lien hypertexte visité" xfId="9284" builtinId="9" hidden="1"/>
    <cellStyle name="Lien hypertexte visité" xfId="14869" builtinId="9" hidden="1"/>
    <cellStyle name="Lien hypertexte visité" xfId="4829" builtinId="9" hidden="1"/>
    <cellStyle name="Lien hypertexte visité" xfId="19216" builtinId="9" hidden="1"/>
    <cellStyle name="Lien hypertexte visité" xfId="8847" builtinId="9" hidden="1"/>
    <cellStyle name="Lien hypertexte visité" xfId="3461" builtinId="9" hidden="1"/>
    <cellStyle name="Lien hypertexte visité" xfId="4863" builtinId="9" hidden="1"/>
    <cellStyle name="Lien hypertexte visité" xfId="5924" builtinId="9" hidden="1"/>
    <cellStyle name="Lien hypertexte visité" xfId="8212" builtinId="9" hidden="1"/>
    <cellStyle name="Lien hypertexte visité" xfId="14356" builtinId="9" hidden="1"/>
    <cellStyle name="Lien hypertexte visité" xfId="22182" builtinId="9" hidden="1"/>
    <cellStyle name="Lien hypertexte visité" xfId="501" builtinId="9" hidden="1"/>
    <cellStyle name="Lien hypertexte visité" xfId="5543" builtinId="9" hidden="1"/>
    <cellStyle name="Lien hypertexte visité" xfId="8824" builtinId="9" hidden="1"/>
    <cellStyle name="Lien hypertexte visité" xfId="5335" builtinId="9" hidden="1"/>
    <cellStyle name="Lien hypertexte visité" xfId="137" builtinId="9" hidden="1"/>
    <cellStyle name="Lien hypertexte visité" xfId="22310" builtinId="9" hidden="1"/>
    <cellStyle name="Lien hypertexte visité" xfId="14645" builtinId="9" hidden="1"/>
    <cellStyle name="Lien hypertexte visité" xfId="8436" builtinId="9" hidden="1"/>
    <cellStyle name="Lien hypertexte visité" xfId="5732" builtinId="9" hidden="1"/>
    <cellStyle name="Lien hypertexte visité" xfId="8898" builtinId="9" hidden="1"/>
    <cellStyle name="Lien hypertexte visité" xfId="17323" builtinId="9" hidden="1"/>
    <cellStyle name="Lien hypertexte visité" xfId="19162" builtinId="9" hidden="1"/>
    <cellStyle name="Lien hypertexte visité" xfId="23000" builtinId="9" hidden="1"/>
    <cellStyle name="Lien hypertexte visité" xfId="13986" builtinId="9" hidden="1"/>
    <cellStyle name="Lien hypertexte visité" xfId="8974" builtinId="9" hidden="1"/>
    <cellStyle name="Lien hypertexte visité" xfId="9879" builtinId="9" hidden="1"/>
    <cellStyle name="Lien hypertexte visité" xfId="2704" builtinId="9" hidden="1"/>
    <cellStyle name="Lien hypertexte visité" xfId="5956" builtinId="9" hidden="1"/>
    <cellStyle name="Lien hypertexte visité" xfId="13125" builtinId="9" hidden="1"/>
    <cellStyle name="Lien hypertexte visité" xfId="6037" builtinId="9" hidden="1"/>
    <cellStyle name="Lien hypertexte visité" xfId="321" builtinId="9" hidden="1"/>
    <cellStyle name="Lien hypertexte visité" xfId="6389" builtinId="9" hidden="1"/>
    <cellStyle name="Lien hypertexte visité" xfId="21562" builtinId="9" hidden="1"/>
    <cellStyle name="Lien hypertexte visité" xfId="18336" builtinId="9" hidden="1"/>
    <cellStyle name="Lien hypertexte visité" xfId="9266" builtinId="9" hidden="1"/>
    <cellStyle name="Lien hypertexte visité" xfId="6734" builtinId="9" hidden="1"/>
    <cellStyle name="Lien hypertexte visité" xfId="5692" builtinId="9" hidden="1"/>
    <cellStyle name="Lien hypertexte visité" xfId="18358" builtinId="9" hidden="1"/>
    <cellStyle name="Lien hypertexte visité" xfId="11948" builtinId="9" hidden="1"/>
    <cellStyle name="Lien hypertexte visité" xfId="193" builtinId="9" hidden="1"/>
    <cellStyle name="Lien hypertexte visité" xfId="1842" builtinId="9" hidden="1"/>
    <cellStyle name="Lien hypertexte visité" xfId="9017" builtinId="9" hidden="1"/>
    <cellStyle name="Lien hypertexte visité" xfId="18526" builtinId="9" hidden="1"/>
    <cellStyle name="Lien hypertexte visité" xfId="16381" builtinId="9" hidden="1"/>
    <cellStyle name="Lien hypertexte visité" xfId="10560" builtinId="9" hidden="1"/>
    <cellStyle name="Lien hypertexte visité" xfId="6056" builtinId="9" hidden="1"/>
    <cellStyle name="Lien hypertexte visité" xfId="4994" builtinId="9" hidden="1"/>
    <cellStyle name="Lien hypertexte visité" xfId="12139" builtinId="9" hidden="1"/>
    <cellStyle name="Lien hypertexte visité" xfId="17203" builtinId="9" hidden="1"/>
    <cellStyle name="Lien hypertexte visité" xfId="11707" builtinId="9" hidden="1"/>
    <cellStyle name="Lien hypertexte visité" xfId="4530" builtinId="9" hidden="1"/>
    <cellStyle name="Lien hypertexte visité" xfId="5448" builtinId="9" hidden="1"/>
    <cellStyle name="Lien hypertexte visité" xfId="10591" builtinId="9" hidden="1"/>
    <cellStyle name="Lien hypertexte visité" xfId="3416" builtinId="9" hidden="1"/>
    <cellStyle name="Lien hypertexte visité" xfId="5260" builtinId="9" hidden="1"/>
    <cellStyle name="Lien hypertexte visité" xfId="12429" builtinId="9" hidden="1"/>
    <cellStyle name="Lien hypertexte visité" xfId="24564" builtinId="9" hidden="1"/>
    <cellStyle name="Lien hypertexte visité" xfId="12060" builtinId="9" hidden="1"/>
    <cellStyle name="Lien hypertexte visité" xfId="4891" builtinId="9" hidden="1"/>
    <cellStyle name="Lien hypertexte visité" xfId="3433" builtinId="9" hidden="1"/>
    <cellStyle name="Lien hypertexte visité" xfId="1658" builtinId="9" hidden="1"/>
    <cellStyle name="Lien hypertexte visité" xfId="6448" builtinId="9" hidden="1"/>
    <cellStyle name="Lien hypertexte visité" xfId="11225" builtinId="9" hidden="1"/>
    <cellStyle name="Lien hypertexte visité" xfId="17967" builtinId="9" hidden="1"/>
    <cellStyle name="Lien hypertexte visité" xfId="21724" builtinId="9" hidden="1"/>
    <cellStyle name="Lien hypertexte visité" xfId="13352" builtinId="9" hidden="1"/>
    <cellStyle name="Lien hypertexte visité" xfId="10336" builtinId="9" hidden="1"/>
    <cellStyle name="Lien hypertexte visité" xfId="14473" builtinId="9" hidden="1"/>
    <cellStyle name="Lien hypertexte visité" xfId="13984" builtinId="9" hidden="1"/>
    <cellStyle name="Lien hypertexte visité" xfId="19438" builtinId="9" hidden="1"/>
    <cellStyle name="Lien hypertexte visité" xfId="2642" builtinId="9" hidden="1"/>
    <cellStyle name="Lien hypertexte visité" xfId="10236" builtinId="9" hidden="1"/>
    <cellStyle name="Lien hypertexte visité" xfId="6380" builtinId="9" hidden="1"/>
    <cellStyle name="Lien hypertexte visité" xfId="8466" builtinId="9" hidden="1"/>
    <cellStyle name="Lien hypertexte visité" xfId="3929" builtinId="9" hidden="1"/>
    <cellStyle name="Lien hypertexte visité" xfId="21626" builtinId="9" hidden="1"/>
    <cellStyle name="Lien hypertexte visité" xfId="24042" builtinId="9" hidden="1"/>
    <cellStyle name="Lien hypertexte visité" xfId="17009" builtinId="9" hidden="1"/>
    <cellStyle name="Lien hypertexte visité" xfId="11474" builtinId="9" hidden="1"/>
    <cellStyle name="Lien hypertexte visité" xfId="19178" builtinId="9" hidden="1"/>
    <cellStyle name="Lien hypertexte visité" xfId="1402" builtinId="9" hidden="1"/>
    <cellStyle name="Lien hypertexte visité" xfId="2839" builtinId="9" hidden="1"/>
    <cellStyle name="Lien hypertexte visité" xfId="6849" builtinId="9" hidden="1"/>
    <cellStyle name="Lien hypertexte visité" xfId="6577" builtinId="9" hidden="1"/>
    <cellStyle name="Lien hypertexte visité" xfId="10586" builtinId="9" hidden="1"/>
    <cellStyle name="Lien hypertexte visité" xfId="5021" builtinId="9" hidden="1"/>
    <cellStyle name="Lien hypertexte visité" xfId="7217" builtinId="9" hidden="1"/>
    <cellStyle name="Lien hypertexte visité" xfId="2635" builtinId="9" hidden="1"/>
    <cellStyle name="Lien hypertexte visité" xfId="409" builtinId="9" hidden="1"/>
    <cellStyle name="Lien hypertexte visité" xfId="18145" builtinId="9" hidden="1"/>
    <cellStyle name="Lien hypertexte visité" xfId="11218" builtinId="9" hidden="1"/>
    <cellStyle name="Lien hypertexte visité" xfId="16113" builtinId="9" hidden="1"/>
    <cellStyle name="Lien hypertexte visité" xfId="24288" builtinId="9" hidden="1"/>
    <cellStyle name="Lien hypertexte visité" xfId="20090" builtinId="9" hidden="1"/>
    <cellStyle name="Lien hypertexte visité" xfId="9546" builtinId="9" hidden="1"/>
    <cellStyle name="Lien hypertexte visité" xfId="7057" builtinId="9" hidden="1"/>
    <cellStyle name="Lien hypertexte visité" xfId="4972" builtinId="9" hidden="1"/>
    <cellStyle name="Lien hypertexte visité" xfId="18982" builtinId="9" hidden="1"/>
    <cellStyle name="Lien hypertexte visité" xfId="7097" builtinId="9" hidden="1"/>
    <cellStyle name="Lien hypertexte visité" xfId="1995" builtinId="9" hidden="1"/>
    <cellStyle name="Lien hypertexte visité" xfId="2831" builtinId="9" hidden="1"/>
    <cellStyle name="Lien hypertexte visité" xfId="5401" builtinId="9" hidden="1"/>
    <cellStyle name="Lien hypertexte visité" xfId="21776" builtinId="9" hidden="1"/>
    <cellStyle name="Lien hypertexte visité" xfId="23466" builtinId="9" hidden="1"/>
    <cellStyle name="Lien hypertexte visité" xfId="16217" builtinId="9" hidden="1"/>
    <cellStyle name="Lien hypertexte visité" xfId="10418" builtinId="9" hidden="1"/>
    <cellStyle name="Lien hypertexte visité" xfId="12047" builtinId="9" hidden="1"/>
    <cellStyle name="Lien hypertexte visité" xfId="4878" builtinId="9" hidden="1"/>
    <cellStyle name="Lien hypertexte visité" xfId="3839" builtinId="9" hidden="1"/>
    <cellStyle name="Lien hypertexte visité" xfId="11005" builtinId="9" hidden="1"/>
    <cellStyle name="Lien hypertexte visité" xfId="21814" builtinId="9" hidden="1"/>
    <cellStyle name="Lien hypertexte visité" xfId="13420" builtinId="9" hidden="1"/>
    <cellStyle name="Lien hypertexte visité" xfId="6251" builtinId="9" hidden="1"/>
    <cellStyle name="Lien hypertexte visité" xfId="2073" builtinId="9" hidden="1"/>
    <cellStyle name="Lien hypertexte visité" xfId="215" builtinId="9" hidden="1"/>
    <cellStyle name="Lien hypertexte visité" xfId="5472" builtinId="9" hidden="1"/>
    <cellStyle name="Lien hypertexte visité" xfId="10257" builtinId="9" hidden="1"/>
    <cellStyle name="Lien hypertexte visité" xfId="16063" builtinId="9" hidden="1"/>
    <cellStyle name="Lien hypertexte visité" xfId="23628" builtinId="9" hidden="1"/>
    <cellStyle name="Lien hypertexte visité" xfId="14296" builtinId="9" hidden="1"/>
    <cellStyle name="Lien hypertexte visité" xfId="9264" builtinId="9" hidden="1"/>
    <cellStyle name="Lien hypertexte visité" xfId="19854" builtinId="9" hidden="1"/>
    <cellStyle name="Lien hypertexte visité" xfId="2850" builtinId="9" hidden="1"/>
    <cellStyle name="Lien hypertexte visité" xfId="5978" builtinId="9" hidden="1"/>
    <cellStyle name="Lien hypertexte visité" xfId="1876" builtinId="9" hidden="1"/>
    <cellStyle name="Lien hypertexte visité" xfId="11147" builtinId="9" hidden="1"/>
    <cellStyle name="Lien hypertexte visité" xfId="14979" builtinId="9" hidden="1"/>
    <cellStyle name="Lien hypertexte visité" xfId="14027" builtinId="9" hidden="1"/>
    <cellStyle name="Lien hypertexte visité" xfId="12627" builtinId="9" hidden="1"/>
    <cellStyle name="Lien hypertexte visité" xfId="3692" builtinId="9" hidden="1"/>
    <cellStyle name="Lien hypertexte visité" xfId="7786" builtinId="9" hidden="1"/>
    <cellStyle name="Lien hypertexte visité" xfId="8742" builtinId="9" hidden="1"/>
    <cellStyle name="Lien hypertexte visité" xfId="11743" builtinId="9" hidden="1"/>
    <cellStyle name="Lien hypertexte visité" xfId="6974" builtinId="9" hidden="1"/>
    <cellStyle name="Lien hypertexte visité" xfId="2168" builtinId="9" hidden="1"/>
    <cellStyle name="Lien hypertexte visité" xfId="4012" builtinId="9" hidden="1"/>
    <cellStyle name="Lien hypertexte visité" xfId="8781" builtinId="9" hidden="1"/>
    <cellStyle name="Lien hypertexte visité" xfId="13581" builtinId="9" hidden="1"/>
    <cellStyle name="Lien hypertexte visité" xfId="22678" builtinId="9" hidden="1"/>
    <cellStyle name="Lien hypertexte visité" xfId="17029" builtinId="9" hidden="1"/>
    <cellStyle name="Lien hypertexte visité" xfId="10972" builtinId="9" hidden="1"/>
    <cellStyle name="Lien hypertexte visité" xfId="6043" builtinId="9" hidden="1"/>
    <cellStyle name="Lien hypertexte visité" xfId="1236" builtinId="9" hidden="1"/>
    <cellStyle name="Lien hypertexte visité" xfId="4687" builtinId="9" hidden="1"/>
    <cellStyle name="Lien hypertexte visité" xfId="487" builtinId="9" hidden="1"/>
    <cellStyle name="Lien hypertexte visité" xfId="4032" builtinId="9" hidden="1"/>
    <cellStyle name="Lien hypertexte visité" xfId="7216" builtinId="9" hidden="1"/>
    <cellStyle name="Lien hypertexte visité" xfId="10561" builtinId="9" hidden="1"/>
    <cellStyle name="Lien hypertexte visité" xfId="13761" builtinId="9" hidden="1"/>
    <cellStyle name="Lien hypertexte visité" xfId="19358" builtinId="9" hidden="1"/>
    <cellStyle name="Lien hypertexte visité" xfId="23260" builtinId="9" hidden="1"/>
    <cellStyle name="Lien hypertexte visité" xfId="16925" builtinId="9" hidden="1"/>
    <cellStyle name="Lien hypertexte visité" xfId="12536" builtinId="9" hidden="1"/>
    <cellStyle name="Lien hypertexte visité" xfId="9168" builtinId="9" hidden="1"/>
    <cellStyle name="Lien hypertexte visité" xfId="20348" builtinId="9" hidden="1"/>
    <cellStyle name="Lien hypertexte visité" xfId="12169" builtinId="9" hidden="1"/>
    <cellStyle name="Lien hypertexte visité" xfId="24014" builtinId="9" hidden="1"/>
    <cellStyle name="Lien hypertexte visité" xfId="14957" builtinId="9" hidden="1"/>
    <cellStyle name="Lien hypertexte visité" xfId="15183" builtinId="9" hidden="1"/>
    <cellStyle name="Lien hypertexte visité" xfId="4952" builtinId="9" hidden="1"/>
    <cellStyle name="Lien hypertexte visité" xfId="1545" builtinId="9" hidden="1"/>
    <cellStyle name="Lien hypertexte visité" xfId="13948" builtinId="9" hidden="1"/>
    <cellStyle name="Lien hypertexte visité" xfId="10093" builtinId="9" hidden="1"/>
    <cellStyle name="Lien hypertexte visité" xfId="7439" builtinId="9" hidden="1"/>
    <cellStyle name="Lien hypertexte visité" xfId="11152" builtinId="9" hidden="1"/>
    <cellStyle name="Lien hypertexte visité" xfId="13024" builtinId="9" hidden="1"/>
    <cellStyle name="Lien hypertexte visité" xfId="19500" builtinId="9" hidden="1"/>
    <cellStyle name="Lien hypertexte visité" xfId="12569" builtinId="9" hidden="1"/>
    <cellStyle name="Lien hypertexte visité" xfId="2538" builtinId="9" hidden="1"/>
    <cellStyle name="Lien hypertexte visité" xfId="3221" builtinId="9" hidden="1"/>
    <cellStyle name="Lien hypertexte visité" xfId="20596" builtinId="9" hidden="1"/>
    <cellStyle name="Lien hypertexte visité" xfId="6572" builtinId="9" hidden="1"/>
    <cellStyle name="Lien hypertexte visité" xfId="8927" builtinId="9" hidden="1"/>
    <cellStyle name="Lien hypertexte visité" xfId="6250" builtinId="9" hidden="1"/>
    <cellStyle name="Lien hypertexte visité" xfId="14803" builtinId="9" hidden="1"/>
    <cellStyle name="Lien hypertexte visité" xfId="3565" builtinId="9" hidden="1"/>
    <cellStyle name="Lien hypertexte visité" xfId="18620" builtinId="9" hidden="1"/>
    <cellStyle name="Lien hypertexte visité" xfId="21166" builtinId="9" hidden="1"/>
    <cellStyle name="Lien hypertexte visité" xfId="3506" builtinId="9" hidden="1"/>
    <cellStyle name="Lien hypertexte visité" xfId="8940" builtinId="9" hidden="1"/>
    <cellStyle name="Lien hypertexte visité" xfId="1765" builtinId="9" hidden="1"/>
    <cellStyle name="Lien hypertexte visité" xfId="8233" builtinId="9" hidden="1"/>
    <cellStyle name="Lien hypertexte visité" xfId="3266" builtinId="9" hidden="1"/>
    <cellStyle name="Lien hypertexte visité" xfId="12764" builtinId="9" hidden="1"/>
    <cellStyle name="Lien hypertexte visité" xfId="16975" builtinId="9" hidden="1"/>
    <cellStyle name="Lien hypertexte visité" xfId="22334" builtinId="9" hidden="1"/>
    <cellStyle name="Lien hypertexte visité" xfId="9340" builtinId="9" hidden="1"/>
    <cellStyle name="Lien hypertexte visité" xfId="21662" builtinId="9" hidden="1"/>
    <cellStyle name="Lien hypertexte visité" xfId="16223" builtinId="9" hidden="1"/>
    <cellStyle name="Lien hypertexte visité" xfId="13560" builtinId="9" hidden="1"/>
    <cellStyle name="Lien hypertexte visité" xfId="17199" builtinId="9" hidden="1"/>
    <cellStyle name="Lien hypertexte visité" xfId="6128" builtinId="9" hidden="1"/>
    <cellStyle name="Lien hypertexte visité" xfId="3145" builtinId="9" hidden="1"/>
    <cellStyle name="Lien hypertexte visité" xfId="12604" builtinId="9" hidden="1"/>
    <cellStyle name="Lien hypertexte visité" xfId="11949" builtinId="9" hidden="1"/>
    <cellStyle name="Lien hypertexte visité" xfId="3713" builtinId="9" hidden="1"/>
    <cellStyle name="Lien hypertexte visité" xfId="3787" builtinId="9" hidden="1"/>
    <cellStyle name="Lien hypertexte visité" xfId="11331" builtinId="9" hidden="1"/>
    <cellStyle name="Lien hypertexte visité" xfId="12379" builtinId="9" hidden="1"/>
    <cellStyle name="Lien hypertexte visité" xfId="7720" builtinId="9" hidden="1"/>
    <cellStyle name="Lien hypertexte visité" xfId="17325" builtinId="9" hidden="1"/>
    <cellStyle name="Lien hypertexte visité" xfId="8721" builtinId="9" hidden="1"/>
    <cellStyle name="Lien hypertexte visité" xfId="1509" builtinId="9" hidden="1"/>
    <cellStyle name="Lien hypertexte visité" xfId="16967" builtinId="9" hidden="1"/>
    <cellStyle name="Lien hypertexte visité" xfId="7182" builtinId="9" hidden="1"/>
    <cellStyle name="Lien hypertexte visité" xfId="19448" builtinId="9" hidden="1"/>
    <cellStyle name="Lien hypertexte visité" xfId="6789" builtinId="9" hidden="1"/>
    <cellStyle name="Lien hypertexte visité" xfId="5781" builtinId="9" hidden="1"/>
    <cellStyle name="Lien hypertexte visité" xfId="5885" builtinId="9" hidden="1"/>
    <cellStyle name="Lien hypertexte visité" xfId="21560" builtinId="9" hidden="1"/>
    <cellStyle name="Lien hypertexte visité" xfId="3535" builtinId="9" hidden="1"/>
    <cellStyle name="Lien hypertexte visité" xfId="7914" builtinId="9" hidden="1"/>
    <cellStyle name="Lien hypertexte visité" xfId="2339" builtinId="9" hidden="1"/>
    <cellStyle name="Lien hypertexte visité" xfId="1607" builtinId="9" hidden="1"/>
    <cellStyle name="Lien hypertexte visité" xfId="19720" builtinId="9" hidden="1"/>
    <cellStyle name="Lien hypertexte visité" xfId="5101" builtinId="9" hidden="1"/>
    <cellStyle name="Lien hypertexte visité" xfId="3061" builtinId="9" hidden="1"/>
    <cellStyle name="Lien hypertexte visité" xfId="10825" builtinId="9" hidden="1"/>
    <cellStyle name="Lien hypertexte visité" xfId="15389" builtinId="9" hidden="1"/>
    <cellStyle name="Lien hypertexte visité" xfId="9625" builtinId="9" hidden="1"/>
    <cellStyle name="Lien hypertexte visité" xfId="965" builtinId="9" hidden="1"/>
    <cellStyle name="Lien hypertexte visité" xfId="19862" builtinId="9" hidden="1"/>
    <cellStyle name="Lien hypertexte visité" xfId="5822" builtinId="9" hidden="1"/>
    <cellStyle name="Lien hypertexte visité" xfId="2476" builtinId="9" hidden="1"/>
    <cellStyle name="Lien hypertexte visité" xfId="683" builtinId="9" hidden="1"/>
    <cellStyle name="Lien hypertexte visité" xfId="10672" builtinId="9" hidden="1"/>
    <cellStyle name="Lien hypertexte visité" xfId="6624" builtinId="9" hidden="1"/>
    <cellStyle name="Lien hypertexte visité" xfId="16549" builtinId="9" hidden="1"/>
    <cellStyle name="Lien hypertexte visité" xfId="10319" builtinId="9" hidden="1"/>
    <cellStyle name="Lien hypertexte visité" xfId="13930" builtinId="9" hidden="1"/>
    <cellStyle name="Lien hypertexte visité" xfId="3989" builtinId="9" hidden="1"/>
    <cellStyle name="Lien hypertexte visité" xfId="5110" builtinId="9" hidden="1"/>
    <cellStyle name="Lien hypertexte visité" xfId="16633" builtinId="9" hidden="1"/>
    <cellStyle name="Lien hypertexte visité" xfId="22376" builtinId="9" hidden="1"/>
    <cellStyle name="Lien hypertexte visité" xfId="10484" builtinId="9" hidden="1"/>
    <cellStyle name="Lien hypertexte visité" xfId="2445" builtinId="9" hidden="1"/>
    <cellStyle name="Lien hypertexte visité" xfId="4147" builtinId="9" hidden="1"/>
    <cellStyle name="Lien hypertexte visité" xfId="12308" builtinId="9" hidden="1"/>
    <cellStyle name="Lien hypertexte visité" xfId="2489" builtinId="9" hidden="1"/>
    <cellStyle name="Lien hypertexte visité" xfId="15247" builtinId="9" hidden="1"/>
    <cellStyle name="Lien hypertexte visité" xfId="22654" builtinId="9" hidden="1"/>
    <cellStyle name="Lien hypertexte visité" xfId="19564" builtinId="9" hidden="1"/>
    <cellStyle name="Lien hypertexte visité" xfId="13552" builtinId="9" hidden="1"/>
    <cellStyle name="Lien hypertexte visité" xfId="9840" builtinId="9" hidden="1"/>
    <cellStyle name="Lien hypertexte visité" xfId="18253" builtinId="9" hidden="1"/>
    <cellStyle name="Lien hypertexte visité" xfId="12137" builtinId="9" hidden="1"/>
    <cellStyle name="Lien hypertexte visité" xfId="1634" builtinId="9" hidden="1"/>
    <cellStyle name="Lien hypertexte visité" xfId="6698" builtinId="9" hidden="1"/>
    <cellStyle name="Lien hypertexte visité" xfId="3701" builtinId="9" hidden="1"/>
    <cellStyle name="Lien hypertexte visité" xfId="2309" builtinId="9" hidden="1"/>
    <cellStyle name="Lien hypertexte visité" xfId="20214" builtinId="9" hidden="1"/>
    <cellStyle name="Lien hypertexte visité" xfId="2216" builtinId="9" hidden="1"/>
    <cellStyle name="Lien hypertexte visité" xfId="11378" builtinId="9" hidden="1"/>
    <cellStyle name="Lien hypertexte visité" xfId="19898" builtinId="9" hidden="1"/>
    <cellStyle name="Lien hypertexte visité" xfId="1735" builtinId="9" hidden="1"/>
    <cellStyle name="Lien hypertexte visité" xfId="10234" builtinId="9" hidden="1"/>
    <cellStyle name="Lien hypertexte visité" xfId="4868" builtinId="9" hidden="1"/>
    <cellStyle name="Lien hypertexte visité" xfId="9271" builtinId="9" hidden="1"/>
    <cellStyle name="Lien hypertexte visité" xfId="11982" builtinId="9" hidden="1"/>
    <cellStyle name="Lien hypertexte visité" xfId="23410" builtinId="9" hidden="1"/>
    <cellStyle name="Lien hypertexte visité" xfId="20634" builtinId="9" hidden="1"/>
    <cellStyle name="Lien hypertexte visité" xfId="431" builtinId="9" hidden="1"/>
    <cellStyle name="Lien hypertexte visité" xfId="7654" builtinId="9" hidden="1"/>
    <cellStyle name="Lien hypertexte visité" xfId="10902" builtinId="9" hidden="1"/>
    <cellStyle name="Lien hypertexte visité" xfId="24512" builtinId="9" hidden="1"/>
    <cellStyle name="Lien hypertexte visité" xfId="11770" builtinId="9" hidden="1"/>
    <cellStyle name="Lien hypertexte visité" xfId="23834" builtinId="9" hidden="1"/>
    <cellStyle name="Lien hypertexte visité" xfId="20578" builtinId="9" hidden="1"/>
    <cellStyle name="Lien hypertexte visité" xfId="22912" builtinId="9" hidden="1"/>
    <cellStyle name="Lien hypertexte visité" xfId="17465" builtinId="9" hidden="1"/>
    <cellStyle name="Lien hypertexte visité" xfId="13262" builtinId="9" hidden="1"/>
    <cellStyle name="Lien hypertexte visité" xfId="10358" builtinId="9" hidden="1"/>
    <cellStyle name="Lien hypertexte visité" xfId="15547" builtinId="9" hidden="1"/>
    <cellStyle name="Lien hypertexte visité" xfId="10935" builtinId="9" hidden="1"/>
    <cellStyle name="Lien hypertexte visité" xfId="6838" builtinId="9" hidden="1"/>
    <cellStyle name="Lien hypertexte visité" xfId="2512" builtinId="9" hidden="1"/>
    <cellStyle name="Lien hypertexte visité" xfId="2734" builtinId="9" hidden="1"/>
    <cellStyle name="Lien hypertexte visité" xfId="6836" builtinId="9" hidden="1"/>
    <cellStyle name="Lien hypertexte visité" xfId="11141" builtinId="9" hidden="1"/>
    <cellStyle name="Lien hypertexte visité" xfId="15959" builtinId="9" hidden="1"/>
    <cellStyle name="Lien hypertexte visité" xfId="5213" builtinId="9" hidden="1"/>
    <cellStyle name="Lien hypertexte visité" xfId="4649" builtinId="9" hidden="1"/>
    <cellStyle name="Lien hypertexte visité" xfId="289" builtinId="9" hidden="1"/>
    <cellStyle name="Lien hypertexte visité" xfId="2403" builtinId="9" hidden="1"/>
    <cellStyle name="Lien hypertexte visité" xfId="5529" builtinId="9" hidden="1"/>
    <cellStyle name="Lien hypertexte visité" xfId="16545" builtinId="9" hidden="1"/>
    <cellStyle name="Lien hypertexte visité" xfId="20354" builtinId="9" hidden="1"/>
    <cellStyle name="Lien hypertexte visité" xfId="20680" builtinId="9" hidden="1"/>
    <cellStyle name="Lien hypertexte visité" xfId="13510" builtinId="9" hidden="1"/>
    <cellStyle name="Lien hypertexte visité" xfId="9202" builtinId="9" hidden="1"/>
    <cellStyle name="Lien hypertexte visité" xfId="11247" builtinId="9" hidden="1"/>
    <cellStyle name="Lien hypertexte visité" xfId="5102" builtinId="9" hidden="1"/>
    <cellStyle name="Lien hypertexte visité" xfId="2582" builtinId="9" hidden="1"/>
    <cellStyle name="Lien hypertexte visité" xfId="8733" builtinId="9" hidden="1"/>
    <cellStyle name="Lien hypertexte visité" xfId="15239" builtinId="9" hidden="1"/>
    <cellStyle name="Lien hypertexte visité" xfId="21716" builtinId="9" hidden="1"/>
    <cellStyle name="Lien hypertexte visité" xfId="11660" builtinId="9" hidden="1"/>
    <cellStyle name="Lien hypertexte visité" xfId="6859" builtinId="9" hidden="1"/>
    <cellStyle name="Lien hypertexte visité" xfId="12591" builtinId="9" hidden="1"/>
    <cellStyle name="Lien hypertexte visité" xfId="3155" builtinId="9" hidden="1"/>
    <cellStyle name="Lien hypertexte visité" xfId="1838" builtinId="9" hidden="1"/>
    <cellStyle name="Lien hypertexte visité" xfId="18648" builtinId="9" hidden="1"/>
    <cellStyle name="Lien hypertexte visité" xfId="4838" builtinId="9" hidden="1"/>
    <cellStyle name="Lien hypertexte visité" xfId="5689" builtinId="9" hidden="1"/>
    <cellStyle name="Lien hypertexte visité" xfId="4354" builtinId="9" hidden="1"/>
    <cellStyle name="Lien hypertexte visité" xfId="21100" builtinId="9" hidden="1"/>
    <cellStyle name="Lien hypertexte visité" xfId="11539" builtinId="9" hidden="1"/>
    <cellStyle name="Lien hypertexte visité" xfId="1307" builtinId="9" hidden="1"/>
    <cellStyle name="Lien hypertexte visité" xfId="15939" builtinId="9" hidden="1"/>
    <cellStyle name="Lien hypertexte visité" xfId="2380" builtinId="9" hidden="1"/>
    <cellStyle name="Lien hypertexte visité" xfId="8419" builtinId="9" hidden="1"/>
    <cellStyle name="Lien hypertexte visité" xfId="7947" builtinId="9" hidden="1"/>
    <cellStyle name="Lien hypertexte visité" xfId="5426" builtinId="9" hidden="1"/>
    <cellStyle name="Lien hypertexte visité" xfId="7987" builtinId="9" hidden="1"/>
    <cellStyle name="Lien hypertexte visité" xfId="631" builtinId="9" hidden="1"/>
    <cellStyle name="Lien hypertexte visité" xfId="4658" builtinId="9" hidden="1"/>
    <cellStyle name="Lien hypertexte visité" xfId="7178" builtinId="9" hidden="1"/>
    <cellStyle name="Lien hypertexte visité" xfId="12299" builtinId="9" hidden="1"/>
    <cellStyle name="Lien hypertexte visité" xfId="1580" builtinId="9" hidden="1"/>
    <cellStyle name="Lien hypertexte visité" xfId="4146" builtinId="9" hidden="1"/>
    <cellStyle name="Lien hypertexte visité" xfId="1491" builtinId="9" hidden="1"/>
    <cellStyle name="Lien hypertexte visité" xfId="12155" builtinId="9" hidden="1"/>
    <cellStyle name="Lien hypertexte visité" xfId="9667" builtinId="9" hidden="1"/>
    <cellStyle name="Lien hypertexte visité" xfId="15139" builtinId="9" hidden="1"/>
    <cellStyle name="Lien hypertexte visité" xfId="15491" builtinId="9" hidden="1"/>
    <cellStyle name="Lien hypertexte visité" xfId="9843" builtinId="9" hidden="1"/>
    <cellStyle name="Lien hypertexte visité" xfId="20494" builtinId="9" hidden="1"/>
    <cellStyle name="Lien hypertexte visité" xfId="11345" builtinId="9" hidden="1"/>
    <cellStyle name="Lien hypertexte visité" xfId="4344" builtinId="9" hidden="1"/>
    <cellStyle name="Lien hypertexte visité" xfId="7672" builtinId="9" hidden="1"/>
    <cellStyle name="Lien hypertexte visité" xfId="10961" builtinId="9" hidden="1"/>
    <cellStyle name="Lien hypertexte visité" xfId="13043" builtinId="9" hidden="1"/>
    <cellStyle name="Lien hypertexte visité" xfId="2116" builtinId="9" hidden="1"/>
    <cellStyle name="Lien hypertexte visité" xfId="23934" builtinId="9" hidden="1"/>
    <cellStyle name="Lien hypertexte visité" xfId="17647" builtinId="9" hidden="1"/>
    <cellStyle name="Lien hypertexte visité" xfId="12793" builtinId="9" hidden="1"/>
    <cellStyle name="Lien hypertexte visité" xfId="9681" builtinId="9" hidden="1"/>
    <cellStyle name="Lien hypertexte visité" xfId="6352" builtinId="9" hidden="1"/>
    <cellStyle name="Lien hypertexte visité" xfId="3226" builtinId="9" hidden="1"/>
    <cellStyle name="Lien hypertexte visité" xfId="23854" builtinId="9" hidden="1"/>
    <cellStyle name="Lien hypertexte visité" xfId="8851" builtinId="9" hidden="1"/>
    <cellStyle name="Lien hypertexte visité" xfId="14379" builtinId="9" hidden="1"/>
    <cellStyle name="Lien hypertexte visité" xfId="14483" builtinId="9" hidden="1"/>
    <cellStyle name="Lien hypertexte visité" xfId="13011" builtinId="9" hidden="1"/>
    <cellStyle name="Lien hypertexte visité" xfId="10187" builtinId="9" hidden="1"/>
    <cellStyle name="Lien hypertexte visité" xfId="7913" builtinId="9" hidden="1"/>
    <cellStyle name="Lien hypertexte visité" xfId="19982" builtinId="9" hidden="1"/>
    <cellStyle name="Lien hypertexte visité" xfId="11904" builtinId="9" hidden="1"/>
    <cellStyle name="Lien hypertexte visité" xfId="10952" builtinId="9" hidden="1"/>
    <cellStyle name="Lien hypertexte visité" xfId="14064" builtinId="9" hidden="1"/>
    <cellStyle name="Lien hypertexte visité" xfId="15181" builtinId="9" hidden="1"/>
    <cellStyle name="Lien hypertexte visité" xfId="4826" builtinId="9" hidden="1"/>
    <cellStyle name="Lien hypertexte visité" xfId="7498" builtinId="9" hidden="1"/>
    <cellStyle name="Lien hypertexte visité" xfId="12812" builtinId="9" hidden="1"/>
    <cellStyle name="Lien hypertexte visité" xfId="4735" builtinId="9" hidden="1"/>
    <cellStyle name="Lien hypertexte visité" xfId="7901" builtinId="9" hidden="1"/>
    <cellStyle name="Lien hypertexte visité" xfId="10973" builtinId="9" hidden="1"/>
    <cellStyle name="Lien hypertexte visité" xfId="7807" builtinId="9" hidden="1"/>
    <cellStyle name="Lien hypertexte visité" xfId="9740" builtinId="9" hidden="1"/>
    <cellStyle name="Lien hypertexte visité" xfId="8011" builtinId="9" hidden="1"/>
    <cellStyle name="Lien hypertexte visité" xfId="5306" builtinId="9" hidden="1"/>
    <cellStyle name="Lien hypertexte visité" xfId="1610" builtinId="9" hidden="1"/>
    <cellStyle name="Lien hypertexte visité" xfId="14813" builtinId="9" hidden="1"/>
    <cellStyle name="Lien hypertexte visité" xfId="11544" builtinId="9" hidden="1"/>
    <cellStyle name="Lien hypertexte visité" xfId="10112" builtinId="9" hidden="1"/>
    <cellStyle name="Lien hypertexte visité" xfId="23566" builtinId="9" hidden="1"/>
    <cellStyle name="Lien hypertexte visité" xfId="9705" builtinId="9" hidden="1"/>
    <cellStyle name="Lien hypertexte visité" xfId="13561" builtinId="9" hidden="1"/>
    <cellStyle name="Lien hypertexte visité" xfId="13443" builtinId="9" hidden="1"/>
    <cellStyle name="Lien hypertexte visité" xfId="16899" builtinId="9" hidden="1"/>
    <cellStyle name="Lien hypertexte visité" xfId="13947" builtinId="9" hidden="1"/>
    <cellStyle name="Lien hypertexte visité" xfId="5338" builtinId="9" hidden="1"/>
    <cellStyle name="Lien hypertexte visité" xfId="17197" builtinId="9" hidden="1"/>
    <cellStyle name="Lien hypertexte visité" xfId="2634" builtinId="9" hidden="1"/>
    <cellStyle name="Lien hypertexte visité" xfId="5752" builtinId="9" hidden="1"/>
    <cellStyle name="Lien hypertexte visité" xfId="9081" builtinId="9" hidden="1"/>
    <cellStyle name="Lien hypertexte visité" xfId="12193" builtinId="9" hidden="1"/>
    <cellStyle name="Lien hypertexte visité" xfId="16527" builtinId="9" hidden="1"/>
    <cellStyle name="Lien hypertexte visité" xfId="22750" builtinId="9" hidden="1"/>
    <cellStyle name="Lien hypertexte visité" xfId="19820" builtinId="9" hidden="1"/>
    <cellStyle name="Lien hypertexte visité" xfId="1676" builtinId="9" hidden="1"/>
    <cellStyle name="Lien hypertexte visité" xfId="11553" builtinId="9" hidden="1"/>
    <cellStyle name="Lien hypertexte visité" xfId="8225" builtinId="9" hidden="1"/>
    <cellStyle name="Lien hypertexte visité" xfId="4944" builtinId="9" hidden="1"/>
    <cellStyle name="Lien hypertexte visité" xfId="7248" builtinId="9" hidden="1"/>
    <cellStyle name="Lien hypertexte visité" xfId="9344" builtinId="9" hidden="1"/>
    <cellStyle name="Lien hypertexte visité" xfId="10291" builtinId="9" hidden="1"/>
    <cellStyle name="Lien hypertexte visité" xfId="13051" builtinId="9" hidden="1"/>
    <cellStyle name="Lien hypertexte visité" xfId="16515" builtinId="9" hidden="1"/>
    <cellStyle name="Lien hypertexte visité" xfId="12835" builtinId="9" hidden="1"/>
    <cellStyle name="Lien hypertexte visité" xfId="11715" builtinId="9" hidden="1"/>
    <cellStyle name="Lien hypertexte visité" xfId="955" builtinId="9" hidden="1"/>
    <cellStyle name="Lien hypertexte visité" xfId="13619" builtinId="9" hidden="1"/>
    <cellStyle name="Lien hypertexte visité" xfId="2196" builtinId="9" hidden="1"/>
    <cellStyle name="Lien hypertexte visité" xfId="12883" builtinId="9" hidden="1"/>
    <cellStyle name="Lien hypertexte visité" xfId="7618" builtinId="9" hidden="1"/>
    <cellStyle name="Lien hypertexte visité" xfId="5098" builtinId="9" hidden="1"/>
    <cellStyle name="Lien hypertexte visité" xfId="2434" builtinId="9" hidden="1"/>
    <cellStyle name="Lien hypertexte visité" xfId="2050" builtinId="9" hidden="1"/>
    <cellStyle name="Lien hypertexte visité" xfId="4986" builtinId="9" hidden="1"/>
    <cellStyle name="Lien hypertexte visité" xfId="7506" builtinId="9" hidden="1"/>
    <cellStyle name="Lien hypertexte visité" xfId="12611" builtinId="9" hidden="1"/>
    <cellStyle name="Lien hypertexte visité" xfId="1940" builtinId="9" hidden="1"/>
    <cellStyle name="Lien hypertexte visité" xfId="4506" builtinId="9" hidden="1"/>
    <cellStyle name="Lien hypertexte visité" xfId="1315" builtinId="9" hidden="1"/>
    <cellStyle name="Lien hypertexte visité" xfId="11987" builtinId="9" hidden="1"/>
    <cellStyle name="Lien hypertexte visité" xfId="18734" builtinId="9" hidden="1"/>
    <cellStyle name="Lien hypertexte visité" xfId="8379" builtinId="9" hidden="1"/>
    <cellStyle name="Lien hypertexte visité" xfId="5273" builtinId="9" hidden="1"/>
    <cellStyle name="Lien hypertexte visité" xfId="11502" builtinId="9" hidden="1"/>
    <cellStyle name="Lien hypertexte visité" xfId="23306" builtinId="9" hidden="1"/>
    <cellStyle name="Lien hypertexte visité" xfId="4790" builtinId="9" hidden="1"/>
    <cellStyle name="Lien hypertexte visité" xfId="3756" builtinId="9" hidden="1"/>
    <cellStyle name="Lien hypertexte visité" xfId="11462" builtinId="9" hidden="1"/>
    <cellStyle name="Lien hypertexte visité" xfId="15589" builtinId="9" hidden="1"/>
    <cellStyle name="Lien hypertexte visité" xfId="10636" builtinId="9" hidden="1"/>
    <cellStyle name="Lien hypertexte visité" xfId="19028" builtinId="9" hidden="1"/>
    <cellStyle name="Lien hypertexte visité" xfId="17927" builtinId="9" hidden="1"/>
    <cellStyle name="Lien hypertexte visité" xfId="9757" builtinId="9" hidden="1"/>
    <cellStyle name="Lien hypertexte visité" xfId="3607" builtinId="9" hidden="1"/>
    <cellStyle name="Lien hypertexte visité" xfId="3697" builtinId="9" hidden="1"/>
    <cellStyle name="Lien hypertexte visité" xfId="10223" builtinId="9" hidden="1"/>
    <cellStyle name="Lien hypertexte visité" xfId="8518" builtinId="9" hidden="1"/>
    <cellStyle name="Lien hypertexte visité" xfId="12614" builtinId="9" hidden="1"/>
    <cellStyle name="Lien hypertexte visité" xfId="18888" builtinId="9" hidden="1"/>
    <cellStyle name="Lien hypertexte visité" xfId="21714" builtinId="9" hidden="1"/>
    <cellStyle name="Lien hypertexte visité" xfId="20624" builtinId="9" hidden="1"/>
    <cellStyle name="Lien hypertexte visité" xfId="4761" builtinId="9" hidden="1"/>
    <cellStyle name="Lien hypertexte visité" xfId="6537" builtinId="9" hidden="1"/>
    <cellStyle name="Lien hypertexte visité" xfId="1318" builtinId="9" hidden="1"/>
    <cellStyle name="Lien hypertexte visité" xfId="2859" builtinId="9" hidden="1"/>
    <cellStyle name="Lien hypertexte visité" xfId="6017" builtinId="9" hidden="1"/>
    <cellStyle name="Lien hypertexte visité" xfId="17335" builtinId="9" hidden="1"/>
    <cellStyle name="Lien hypertexte visité" xfId="11829" builtinId="9" hidden="1"/>
    <cellStyle name="Lien hypertexte visité" xfId="7732" builtinId="9" hidden="1"/>
    <cellStyle name="Lien hypertexte visité" xfId="3406" builtinId="9" hidden="1"/>
    <cellStyle name="Lien hypertexte visité" xfId="1840" builtinId="9" hidden="1"/>
    <cellStyle name="Lien hypertexte visité" xfId="5942" builtinId="9" hidden="1"/>
    <cellStyle name="Lien hypertexte visité" xfId="10039" builtinId="9" hidden="1"/>
    <cellStyle name="Lien hypertexte visité" xfId="14343" builtinId="9" hidden="1"/>
    <cellStyle name="Lien hypertexte visité" xfId="9902" builtinId="9" hidden="1"/>
    <cellStyle name="Lien hypertexte visité" xfId="12630" builtinId="9" hidden="1"/>
    <cellStyle name="Lien hypertexte visité" xfId="16553" builtinId="9" hidden="1"/>
    <cellStyle name="Lien hypertexte visité" xfId="21992" builtinId="9" hidden="1"/>
    <cellStyle name="Lien hypertexte visité" xfId="21770" builtinId="9" hidden="1"/>
    <cellStyle name="Lien hypertexte visité" xfId="20250" builtinId="9" hidden="1"/>
    <cellStyle name="Lien hypertexte visité" xfId="13146" builtinId="9" hidden="1"/>
    <cellStyle name="Lien hypertexte visité" xfId="21986" builtinId="9" hidden="1"/>
    <cellStyle name="Lien hypertexte visité" xfId="12694" builtinId="9" hidden="1"/>
    <cellStyle name="Lien hypertexte visité" xfId="9703" builtinId="9" hidden="1"/>
    <cellStyle name="Lien hypertexte visité" xfId="3751" builtinId="9" hidden="1"/>
    <cellStyle name="Lien hypertexte visité" xfId="22120" builtinId="9" hidden="1"/>
    <cellStyle name="Lien hypertexte visité" xfId="19786" builtinId="9" hidden="1"/>
    <cellStyle name="Lien hypertexte visité" xfId="13346" builtinId="9" hidden="1"/>
    <cellStyle name="Lien hypertexte visité" xfId="11319" builtinId="9" hidden="1"/>
    <cellStyle name="Lien hypertexte visité" xfId="2126" builtinId="9" hidden="1"/>
    <cellStyle name="Lien hypertexte visité" xfId="15703" builtinId="9" hidden="1"/>
    <cellStyle name="Lien hypertexte visité" xfId="649" builtinId="9" hidden="1"/>
    <cellStyle name="Lien hypertexte visité" xfId="13738" builtinId="9" hidden="1"/>
    <cellStyle name="Lien hypertexte visité" xfId="14110" builtinId="9" hidden="1"/>
    <cellStyle name="Lien hypertexte visité" xfId="5294" builtinId="9" hidden="1"/>
    <cellStyle name="Lien hypertexte visité" xfId="14301" builtinId="9" hidden="1"/>
    <cellStyle name="Lien hypertexte visité" xfId="6411" builtinId="9" hidden="1"/>
    <cellStyle name="Lien hypertexte visité" xfId="3180" builtinId="9" hidden="1"/>
    <cellStyle name="Lien hypertexte visité" xfId="6186" builtinId="9" hidden="1"/>
    <cellStyle name="Lien hypertexte visité" xfId="9219" builtinId="9" hidden="1"/>
    <cellStyle name="Lien hypertexte visité" xfId="9833" builtinId="9" hidden="1"/>
    <cellStyle name="Lien hypertexte visité" xfId="21820" builtinId="9" hidden="1"/>
    <cellStyle name="Lien hypertexte visité" xfId="9240" builtinId="9" hidden="1"/>
    <cellStyle name="Lien hypertexte visité" xfId="12744" builtinId="9" hidden="1"/>
    <cellStyle name="Lien hypertexte visité" xfId="18380" builtinId="9" hidden="1"/>
    <cellStyle name="Lien hypertexte visité" xfId="23774" builtinId="9" hidden="1"/>
    <cellStyle name="Lien hypertexte visité" xfId="16783" builtinId="9" hidden="1"/>
    <cellStyle name="Lien hypertexte visité" xfId="2757" builtinId="9" hidden="1"/>
    <cellStyle name="Lien hypertexte visité" xfId="8788" builtinId="9" hidden="1"/>
    <cellStyle name="Lien hypertexte visité" xfId="557" builtinId="9" hidden="1"/>
    <cellStyle name="Lien hypertexte visité" xfId="5863" builtinId="9" hidden="1"/>
    <cellStyle name="Lien hypertexte visité" xfId="14004" builtinId="9" hidden="1"/>
    <cellStyle name="Lien hypertexte visité" xfId="10262" builtinId="9" hidden="1"/>
    <cellStyle name="Lien hypertexte visité" xfId="22080" builtinId="9" hidden="1"/>
    <cellStyle name="Lien hypertexte visité" xfId="9207" builtinId="9" hidden="1"/>
    <cellStyle name="Lien hypertexte visité" xfId="13813" builtinId="9" hidden="1"/>
    <cellStyle name="Lien hypertexte visité" xfId="5805" builtinId="9" hidden="1"/>
    <cellStyle name="Lien hypertexte visité" xfId="8582" builtinId="9" hidden="1"/>
    <cellStyle name="Lien hypertexte visité" xfId="20406" builtinId="9" hidden="1"/>
    <cellStyle name="Lien hypertexte visité" xfId="2868" builtinId="9" hidden="1"/>
    <cellStyle name="Lien hypertexte visité" xfId="12211" builtinId="9" hidden="1"/>
    <cellStyle name="Lien hypertexte visité" xfId="13755" builtinId="9" hidden="1"/>
    <cellStyle name="Lien hypertexte visité" xfId="13203" builtinId="9" hidden="1"/>
    <cellStyle name="Lien hypertexte visité" xfId="11499" builtinId="9" hidden="1"/>
    <cellStyle name="Lien hypertexte visité" xfId="2108" builtinId="9" hidden="1"/>
    <cellStyle name="Lien hypertexte visité" xfId="6794" builtinId="9" hidden="1"/>
    <cellStyle name="Lien hypertexte visité" xfId="4680" builtinId="9" hidden="1"/>
    <cellStyle name="Lien hypertexte visité" xfId="13567" builtinId="9" hidden="1"/>
    <cellStyle name="Lien hypertexte visité" xfId="6364" builtinId="9" hidden="1"/>
    <cellStyle name="Lien hypertexte visité" xfId="12300" builtinId="9" hidden="1"/>
    <cellStyle name="Lien hypertexte visité" xfId="69" builtinId="9" hidden="1"/>
    <cellStyle name="Lien hypertexte visité" xfId="6402" builtinId="9" hidden="1"/>
    <cellStyle name="Lien hypertexte visité" xfId="1249" builtinId="9" hidden="1"/>
    <cellStyle name="Lien hypertexte visité" xfId="12905" builtinId="9" hidden="1"/>
    <cellStyle name="Lien hypertexte visité" xfId="12160" builtinId="9" hidden="1"/>
    <cellStyle name="Lien hypertexte visité" xfId="11632" builtinId="9" hidden="1"/>
    <cellStyle name="Lien hypertexte visité" xfId="16605" builtinId="9" hidden="1"/>
    <cellStyle name="Lien hypertexte visité" xfId="23342" builtinId="9" hidden="1"/>
    <cellStyle name="Lien hypertexte visité" xfId="15503" builtinId="9" hidden="1"/>
    <cellStyle name="Lien hypertexte visité" xfId="11129" builtinId="9" hidden="1"/>
    <cellStyle name="Lien hypertexte visité" xfId="6432" builtinId="9" hidden="1"/>
    <cellStyle name="Lien hypertexte visité" xfId="2546" builtinId="9" hidden="1"/>
    <cellStyle name="Lien hypertexte visité" xfId="11080" builtinId="9" hidden="1"/>
    <cellStyle name="Lien hypertexte visité" xfId="9539" builtinId="9" hidden="1"/>
    <cellStyle name="Lien hypertexte visité" xfId="16211" builtinId="9" hidden="1"/>
    <cellStyle name="Lien hypertexte visité" xfId="13643" builtinId="9" hidden="1"/>
    <cellStyle name="Lien hypertexte visité" xfId="11883" builtinId="9" hidden="1"/>
    <cellStyle name="Lien hypertexte visité" xfId="1716" builtinId="9" hidden="1"/>
    <cellStyle name="Lien hypertexte visité" xfId="3666" builtinId="9" hidden="1"/>
    <cellStyle name="Lien hypertexte visité" xfId="6882" builtinId="9" hidden="1"/>
    <cellStyle name="Lien hypertexte visité" xfId="7730" builtinId="9" hidden="1"/>
    <cellStyle name="Lien hypertexte visité" xfId="4762" builtinId="9" hidden="1"/>
    <cellStyle name="Lien hypertexte visité" xfId="6152" builtinId="9" hidden="1"/>
    <cellStyle name="Lien hypertexte visité" xfId="9339" builtinId="9" hidden="1"/>
    <cellStyle name="Lien hypertexte visité" xfId="7250" builtinId="9" hidden="1"/>
    <cellStyle name="Lien hypertexte visité" xfId="6114" builtinId="9" hidden="1"/>
    <cellStyle name="Lien hypertexte visité" xfId="3188" builtinId="9" hidden="1"/>
    <cellStyle name="Lien hypertexte visité" xfId="2228" builtinId="9" hidden="1"/>
    <cellStyle name="Lien hypertexte visité" xfId="11779" builtinId="9" hidden="1"/>
    <cellStyle name="Lien hypertexte visité" xfId="14099" builtinId="9" hidden="1"/>
    <cellStyle name="Lien hypertexte visité" xfId="17187" builtinId="9" hidden="1"/>
    <cellStyle name="Lien hypertexte visité" xfId="9643" builtinId="9" hidden="1"/>
    <cellStyle name="Lien hypertexte visité" xfId="16461" builtinId="9" hidden="1"/>
    <cellStyle name="Lien hypertexte visité" xfId="5200" builtinId="9" hidden="1"/>
    <cellStyle name="Lien hypertexte visité" xfId="6608" builtinId="9" hidden="1"/>
    <cellStyle name="Lien hypertexte visité" xfId="10489" builtinId="9" hidden="1"/>
    <cellStyle name="Lien hypertexte visité" xfId="14369" builtinId="9" hidden="1"/>
    <cellStyle name="Lien hypertexte visité" xfId="23598" builtinId="9" hidden="1"/>
    <cellStyle name="Lien hypertexte visité" xfId="17789" builtinId="9" hidden="1"/>
    <cellStyle name="Lien hypertexte visité" xfId="12272" builtinId="9" hidden="1"/>
    <cellStyle name="Lien hypertexte visité" xfId="12672" builtinId="9" hidden="1"/>
    <cellStyle name="Lien hypertexte visité" xfId="15135" builtinId="9" hidden="1"/>
    <cellStyle name="Lien hypertexte visité" xfId="3042" builtinId="9" hidden="1"/>
    <cellStyle name="Lien hypertexte visité" xfId="6290" builtinId="9" hidden="1"/>
    <cellStyle name="Lien hypertexte visité" xfId="2924" builtinId="9" hidden="1"/>
    <cellStyle name="Lien hypertexte visité" xfId="8972" builtinId="9" hidden="1"/>
    <cellStyle name="Lien hypertexte visité" xfId="5596" builtinId="9" hidden="1"/>
    <cellStyle name="Lien hypertexte visité" xfId="8306" builtinId="9" hidden="1"/>
    <cellStyle name="Lien hypertexte visité" xfId="19842" builtinId="9" hidden="1"/>
    <cellStyle name="Lien hypertexte visité" xfId="361" builtinId="9" hidden="1"/>
    <cellStyle name="Lien hypertexte visité" xfId="14085" builtinId="9" hidden="1"/>
    <cellStyle name="Lien hypertexte visité" xfId="275" builtinId="9" hidden="1"/>
    <cellStyle name="Lien hypertexte visité" xfId="9014" builtinId="9" hidden="1"/>
    <cellStyle name="Lien hypertexte visité" xfId="21720" builtinId="9" hidden="1"/>
    <cellStyle name="Lien hypertexte visité" xfId="11322" builtinId="9" hidden="1"/>
    <cellStyle name="Lien hypertexte visité" xfId="4132" builtinId="9" hidden="1"/>
    <cellStyle name="Lien hypertexte visité" xfId="10727" builtinId="9" hidden="1"/>
    <cellStyle name="Lien hypertexte visité" xfId="13806" builtinId="9" hidden="1"/>
    <cellStyle name="Lien hypertexte visité" xfId="22960" builtinId="9" hidden="1"/>
    <cellStyle name="Lien hypertexte visité" xfId="21296" builtinId="9" hidden="1"/>
    <cellStyle name="Lien hypertexte visité" xfId="19826" builtinId="9" hidden="1"/>
    <cellStyle name="Lien hypertexte visité" xfId="22104" builtinId="9" hidden="1"/>
    <cellStyle name="Lien hypertexte visité" xfId="16105" builtinId="9" hidden="1"/>
    <cellStyle name="Lien hypertexte visité" xfId="12258" builtinId="9" hidden="1"/>
    <cellStyle name="Lien hypertexte visité" xfId="8622" builtinId="9" hidden="1"/>
    <cellStyle name="Lien hypertexte visité" xfId="11959" builtinId="9" hidden="1"/>
    <cellStyle name="Lien hypertexte visité" xfId="7430" builtinId="9" hidden="1"/>
    <cellStyle name="Lien hypertexte visité" xfId="1968" builtinId="9" hidden="1"/>
    <cellStyle name="Lien hypertexte visité" xfId="3767" builtinId="9" hidden="1"/>
    <cellStyle name="Lien hypertexte visité" xfId="8325" builtinId="9" hidden="1"/>
    <cellStyle name="Lien hypertexte visité" xfId="13781" builtinId="9" hidden="1"/>
    <cellStyle name="Lien hypertexte visité" xfId="4337" builtinId="9" hidden="1"/>
    <cellStyle name="Lien hypertexte visité" xfId="7978" builtinId="9" hidden="1"/>
    <cellStyle name="Lien hypertexte visité" xfId="1414" builtinId="9" hidden="1"/>
    <cellStyle name="Lien hypertexte visité" xfId="8162" builtinId="9" hidden="1"/>
    <cellStyle name="Lien hypertexte visité" xfId="4285" builtinId="9" hidden="1"/>
    <cellStyle name="Lien hypertexte visité" xfId="17379" builtinId="9" hidden="1"/>
    <cellStyle name="Lien hypertexte visité" xfId="22728" builtinId="9" hidden="1"/>
    <cellStyle name="Lien hypertexte visité" xfId="14066" builtinId="9" hidden="1"/>
    <cellStyle name="Lien hypertexte visité" xfId="8606" builtinId="9" hidden="1"/>
    <cellStyle name="Lien hypertexte visité" xfId="9711" builtinId="9" hidden="1"/>
    <cellStyle name="Lien hypertexte visité" xfId="2856" builtinId="9" hidden="1"/>
    <cellStyle name="Lien hypertexte visité" xfId="6492" builtinId="9" hidden="1"/>
    <cellStyle name="Lien hypertexte visité" xfId="13341" builtinId="9" hidden="1"/>
    <cellStyle name="Lien hypertexte visité" xfId="23508" builtinId="9" hidden="1"/>
    <cellStyle name="Lien hypertexte visité" xfId="10828" builtinId="9" hidden="1"/>
    <cellStyle name="Lien hypertexte visité" xfId="3979" builtinId="9" hidden="1"/>
    <cellStyle name="Lien hypertexte visité" xfId="4031" builtinId="9" hidden="1"/>
    <cellStyle name="Lien hypertexte visité" xfId="5412" builtinId="9" hidden="1"/>
    <cellStyle name="Lien hypertexte visité" xfId="7763" builtinId="9" hidden="1"/>
    <cellStyle name="Lien hypertexte visité" xfId="13620" builtinId="9" hidden="1"/>
    <cellStyle name="Lien hypertexte visité" xfId="22470" builtinId="9" hidden="1"/>
    <cellStyle name="Lien hypertexte visité" xfId="1248" builtinId="9" hidden="1"/>
    <cellStyle name="Lien hypertexte visité" xfId="2301" builtinId="9" hidden="1"/>
    <cellStyle name="Lien hypertexte visité" xfId="8696" builtinId="9" hidden="1"/>
    <cellStyle name="Lien hypertexte visité" xfId="4935" builtinId="9" hidden="1"/>
    <cellStyle name="Lien hypertexte visité" xfId="1212" builtinId="9" hidden="1"/>
    <cellStyle name="Lien hypertexte visité" xfId="21990" builtinId="9" hidden="1"/>
    <cellStyle name="Lien hypertexte visité" xfId="15541" builtinId="9" hidden="1"/>
    <cellStyle name="Lien hypertexte visité" xfId="9172" builtinId="9" hidden="1"/>
    <cellStyle name="Lien hypertexte visité" xfId="6244" builtinId="9" hidden="1"/>
    <cellStyle name="Lien hypertexte visité" xfId="16283" builtinId="9" hidden="1"/>
    <cellStyle name="Lien hypertexte visité" xfId="20706" builtinId="9" hidden="1"/>
    <cellStyle name="Lien hypertexte visité" xfId="19802" builtinId="9" hidden="1"/>
    <cellStyle name="Lien hypertexte visité" xfId="23680" builtinId="9" hidden="1"/>
    <cellStyle name="Lien hypertexte visité" xfId="14585" builtinId="9" hidden="1"/>
    <cellStyle name="Lien hypertexte visité" xfId="9090" builtinId="9" hidden="1"/>
    <cellStyle name="Lien hypertexte visité" xfId="10391" builtinId="9" hidden="1"/>
    <cellStyle name="Lien hypertexte visité" xfId="3569" builtinId="9" hidden="1"/>
    <cellStyle name="Lien hypertexte visité" xfId="5780" builtinId="9" hidden="1"/>
    <cellStyle name="Lien hypertexte visité" xfId="12613" builtinId="9" hidden="1"/>
    <cellStyle name="Lien hypertexte visité" xfId="5305" builtinId="9" hidden="1"/>
    <cellStyle name="Lien hypertexte visité" xfId="465" builtinId="9" hidden="1"/>
    <cellStyle name="Lien hypertexte visité" xfId="6829" builtinId="9" hidden="1"/>
    <cellStyle name="Lien hypertexte visité" xfId="22544" builtinId="9" hidden="1"/>
    <cellStyle name="Lien hypertexte visité" xfId="18680" builtinId="9" hidden="1"/>
    <cellStyle name="Lien hypertexte visité" xfId="9778" builtinId="9" hidden="1"/>
    <cellStyle name="Lien hypertexte visité" xfId="8015" builtinId="9" hidden="1"/>
    <cellStyle name="Lien hypertexte visité" xfId="5436" builtinId="9" hidden="1"/>
    <cellStyle name="Lien hypertexte visité" xfId="16839" builtinId="9" hidden="1"/>
    <cellStyle name="Lien hypertexte visité" xfId="13228" builtinId="9" hidden="1"/>
    <cellStyle name="Lien hypertexte visité" xfId="701" builtinId="9" hidden="1"/>
    <cellStyle name="Lien hypertexte visité" xfId="1329" builtinId="9" hidden="1"/>
    <cellStyle name="Lien hypertexte visité" xfId="8161" builtinId="9" hidden="1"/>
    <cellStyle name="Lien hypertexte visité" xfId="18191" builtinId="9" hidden="1"/>
    <cellStyle name="Lien hypertexte visité" xfId="17405" builtinId="9" hidden="1"/>
    <cellStyle name="Lien hypertexte visité" xfId="9136" builtinId="9" hidden="1"/>
    <cellStyle name="Lien hypertexte visité" xfId="6568" builtinId="9" hidden="1"/>
    <cellStyle name="Lien hypertexte visité" xfId="5434" builtinId="9" hidden="1"/>
    <cellStyle name="Lien hypertexte visité" xfId="12819" builtinId="9" hidden="1"/>
    <cellStyle name="Lien hypertexte visité" xfId="16659" builtinId="9" hidden="1"/>
    <cellStyle name="Lien hypertexte visité" xfId="11291" builtinId="9" hidden="1"/>
    <cellStyle name="Lien hypertexte visité" xfId="3797" builtinId="9" hidden="1"/>
    <cellStyle name="Lien hypertexte visité" xfId="4936" builtinId="9" hidden="1"/>
    <cellStyle name="Lien hypertexte visité" xfId="11103" builtinId="9" hidden="1"/>
    <cellStyle name="Lien hypertexte visité" xfId="4286" builtinId="9" hidden="1"/>
    <cellStyle name="Lien hypertexte visité" xfId="5068" builtinId="9" hidden="1"/>
    <cellStyle name="Lien hypertexte visité" xfId="11917" builtinId="9" hidden="1"/>
    <cellStyle name="Lien hypertexte visité" xfId="22934" builtinId="9" hidden="1"/>
    <cellStyle name="Lien hypertexte visité" xfId="12220" builtinId="9" hidden="1"/>
    <cellStyle name="Lien hypertexte visité" xfId="5403" builtinId="9" hidden="1"/>
    <cellStyle name="Lien hypertexte visité" xfId="2601" builtinId="9" hidden="1"/>
    <cellStyle name="Lien hypertexte visité" xfId="1554" builtinId="9" hidden="1"/>
    <cellStyle name="Lien hypertexte visité" xfId="6104" builtinId="9" hidden="1"/>
    <cellStyle name="Lien hypertexte visité" xfId="10649" builtinId="9" hidden="1"/>
    <cellStyle name="Lien hypertexte visité" xfId="17711" builtinId="9" hidden="1"/>
    <cellStyle name="Lien hypertexte visité" xfId="22412" builtinId="9" hidden="1"/>
    <cellStyle name="Lien hypertexte visité" xfId="13928" builtinId="9" hidden="1"/>
    <cellStyle name="Lien hypertexte visité" xfId="10016" builtinId="9" hidden="1"/>
    <cellStyle name="Lien hypertexte visité" xfId="16479" builtinId="9" hidden="1"/>
    <cellStyle name="Lien hypertexte visité" xfId="23676" builtinId="9" hidden="1"/>
    <cellStyle name="Lien hypertexte visité" xfId="20126" builtinId="9" hidden="1"/>
    <cellStyle name="Lien hypertexte visité" xfId="3672" builtinId="9" hidden="1"/>
    <cellStyle name="Lien hypertexte visité" xfId="7675" builtinId="9" hidden="1"/>
    <cellStyle name="Lien hypertexte visité" xfId="6892" builtinId="9" hidden="1"/>
    <cellStyle name="Lien hypertexte visité" xfId="14987" builtinId="9" hidden="1"/>
    <cellStyle name="Lien hypertexte visité" xfId="4349" builtinId="9" hidden="1"/>
    <cellStyle name="Lien hypertexte visité" xfId="22266" builtinId="9" hidden="1"/>
    <cellStyle name="Lien hypertexte visité" xfId="23442" builtinId="9" hidden="1"/>
    <cellStyle name="Lien hypertexte visité" xfId="17993" builtinId="9" hidden="1"/>
    <cellStyle name="Lien hypertexte visité" xfId="11582" builtinId="9" hidden="1"/>
    <cellStyle name="Lien hypertexte visité" xfId="23274" builtinId="9" hidden="1"/>
    <cellStyle name="Lien hypertexte visité" xfId="961" builtinId="9" hidden="1"/>
    <cellStyle name="Lien hypertexte visité" xfId="2907" builtinId="9" hidden="1"/>
    <cellStyle name="Lien hypertexte visité" xfId="6629" builtinId="9" hidden="1"/>
    <cellStyle name="Lien hypertexte visité" xfId="2971" builtinId="9" hidden="1"/>
    <cellStyle name="Lien hypertexte visité" xfId="10842" builtinId="9" hidden="1"/>
    <cellStyle name="Lien hypertexte visité" xfId="5241" builtinId="9" hidden="1"/>
    <cellStyle name="Lien hypertexte visité" xfId="7581" builtinId="9" hidden="1"/>
    <cellStyle name="Lien hypertexte visité" xfId="2567" builtinId="9" hidden="1"/>
    <cellStyle name="Lien hypertexte visité" xfId="489" builtinId="9" hidden="1"/>
    <cellStyle name="Lien hypertexte visité" xfId="4533" builtinId="9" hidden="1"/>
    <cellStyle name="Lien hypertexte visité" xfId="11110" builtinId="9" hidden="1"/>
    <cellStyle name="Lien hypertexte visité" xfId="15513" builtinId="9" hidden="1"/>
    <cellStyle name="Lien hypertexte visité" xfId="23304" builtinId="9" hidden="1"/>
    <cellStyle name="Lien hypertexte visité" xfId="19450" builtinId="9" hidden="1"/>
    <cellStyle name="Lien hypertexte visité" xfId="10442" builtinId="9" hidden="1"/>
    <cellStyle name="Lien hypertexte visité" xfId="6637" builtinId="9" hidden="1"/>
    <cellStyle name="Lien hypertexte visité" xfId="4460" builtinId="9" hidden="1"/>
    <cellStyle name="Lien hypertexte visité" xfId="18295" builtinId="9" hidden="1"/>
    <cellStyle name="Lien hypertexte visité" xfId="6657" builtinId="9" hidden="1"/>
    <cellStyle name="Lien hypertexte visité" xfId="1927" builtinId="9" hidden="1"/>
    <cellStyle name="Lien hypertexte visité" xfId="3103" builtinId="9" hidden="1"/>
    <cellStyle name="Lien hypertexte visité" xfId="5913" builtinId="9" hidden="1"/>
    <cellStyle name="Lien hypertexte visité" xfId="20752" builtinId="9" hidden="1"/>
    <cellStyle name="Lien hypertexte visité" xfId="22786" builtinId="9" hidden="1"/>
    <cellStyle name="Lien hypertexte visité" xfId="17417" builtinId="9" hidden="1"/>
    <cellStyle name="Lien hypertexte visité" xfId="10502" builtinId="9" hidden="1"/>
    <cellStyle name="Lien hypertexte visité" xfId="12559" builtinId="9" hidden="1"/>
    <cellStyle name="Lien hypertexte visité" xfId="5646" builtinId="9" hidden="1"/>
    <cellStyle name="Lien hypertexte visité" xfId="3711" builtinId="9" hidden="1"/>
    <cellStyle name="Lien hypertexte visité" xfId="10493" builtinId="9" hidden="1"/>
    <cellStyle name="Lien hypertexte visité" xfId="20022" builtinId="9" hidden="1"/>
    <cellStyle name="Lien hypertexte visité" xfId="13676" builtinId="9" hidden="1"/>
    <cellStyle name="Lien hypertexte visité" xfId="6763" builtinId="9" hidden="1"/>
    <cellStyle name="Lien hypertexte visité" xfId="1176" builtinId="9" hidden="1"/>
    <cellStyle name="Lien hypertexte visité" xfId="95" builtinId="9" hidden="1"/>
    <cellStyle name="Lien hypertexte visité" xfId="5136" builtinId="9" hidden="1"/>
    <cellStyle name="Lien hypertexte visité" xfId="9745" builtinId="9" hidden="1"/>
    <cellStyle name="Lien hypertexte visité" xfId="15887" builtinId="9" hidden="1"/>
    <cellStyle name="Lien hypertexte visité" xfId="24300" builtinId="9" hidden="1"/>
    <cellStyle name="Lien hypertexte visité" xfId="15277" builtinId="9" hidden="1"/>
    <cellStyle name="Lien hypertexte visité" xfId="9432" builtinId="9" hidden="1"/>
    <cellStyle name="Lien hypertexte visité" xfId="21902" builtinId="9" hidden="1"/>
    <cellStyle name="Lien hypertexte visité" xfId="4648" builtinId="9" hidden="1"/>
    <cellStyle name="Lien hypertexte visité" xfId="6058" builtinId="9" hidden="1"/>
    <cellStyle name="Lien hypertexte visité" xfId="2172" builtinId="9" hidden="1"/>
    <cellStyle name="Lien hypertexte visité" xfId="11563" builtinId="9" hidden="1"/>
    <cellStyle name="Lien hypertexte visité" xfId="15107" builtinId="9" hidden="1"/>
    <cellStyle name="Lien hypertexte visité" xfId="13763" builtinId="9" hidden="1"/>
    <cellStyle name="Lien hypertexte visité" xfId="12147" builtinId="9" hidden="1"/>
    <cellStyle name="Lien hypertexte visité" xfId="3532" builtinId="9" hidden="1"/>
    <cellStyle name="Lien hypertexte visité" xfId="7490" builtinId="9" hidden="1"/>
    <cellStyle name="Lien hypertexte visité" xfId="9126" builtinId="9" hidden="1"/>
    <cellStyle name="Lien hypertexte visité" xfId="11839" builtinId="9" hidden="1"/>
    <cellStyle name="Lien hypertexte visité" xfId="7294" builtinId="9" hidden="1"/>
    <cellStyle name="Lien hypertexte visité" xfId="2680" builtinId="9" hidden="1"/>
    <cellStyle name="Lien hypertexte visité" xfId="3920" builtinId="9" hidden="1"/>
    <cellStyle name="Lien hypertexte visité" xfId="8461" builtinId="9" hidden="1"/>
    <cellStyle name="Lien hypertexte visité" xfId="12973" builtinId="9" hidden="1"/>
    <cellStyle name="Lien hypertexte visité" xfId="22358" builtinId="9" hidden="1"/>
    <cellStyle name="Lien hypertexte visité" xfId="17669" builtinId="9" hidden="1"/>
    <cellStyle name="Lien hypertexte visité" xfId="11580" builtinId="9" hidden="1"/>
    <cellStyle name="Lien hypertexte visité" xfId="6107" builtinId="9" hidden="1"/>
    <cellStyle name="Lien hypertexte visité" xfId="1589" builtinId="9" hidden="1"/>
    <cellStyle name="Lien hypertexte visité" xfId="4175" builtinId="9" hidden="1"/>
    <cellStyle name="Lien hypertexte visité" xfId="407" builtinId="9" hidden="1"/>
    <cellStyle name="Lien hypertexte visité" xfId="3803" builtinId="9" hidden="1"/>
    <cellStyle name="Lien hypertexte visité" xfId="6808" builtinId="9" hidden="1"/>
    <cellStyle name="Lien hypertexte visité" xfId="10457" builtinId="9" hidden="1"/>
    <cellStyle name="Lien hypertexte visité" xfId="13529" builtinId="9" hidden="1"/>
    <cellStyle name="Lien hypertexte visité" xfId="18542" builtinId="9" hidden="1"/>
    <cellStyle name="Lien hypertexte visité" xfId="23388" builtinId="9" hidden="1"/>
    <cellStyle name="Lien hypertexte visité" xfId="17389" builtinId="9" hidden="1"/>
    <cellStyle name="Lien hypertexte visité" xfId="12880" builtinId="9" hidden="1"/>
    <cellStyle name="Lien hypertexte visité" xfId="9232" builtinId="9" hidden="1"/>
    <cellStyle name="Lien hypertexte visité" xfId="18940" builtinId="9" hidden="1"/>
    <cellStyle name="Lien hypertexte visité" xfId="13321" builtinId="9" hidden="1"/>
    <cellStyle name="Lien hypertexte visité" xfId="21966" builtinId="9" hidden="1"/>
    <cellStyle name="Lien hypertexte visité" xfId="14056" builtinId="9" hidden="1"/>
    <cellStyle name="Lien hypertexte visité" xfId="17583" builtinId="9" hidden="1"/>
    <cellStyle name="Lien hypertexte visité" xfId="5120" builtinId="9" hidden="1"/>
    <cellStyle name="Lien hypertexte visité" xfId="2569" builtinId="9" hidden="1"/>
    <cellStyle name="Lien hypertexte visité" xfId="12412" builtinId="9" hidden="1"/>
    <cellStyle name="Lien hypertexte visité" xfId="10349" builtinId="9" hidden="1"/>
    <cellStyle name="Lien hypertexte visité" xfId="4367" builtinId="9" hidden="1"/>
    <cellStyle name="Lien hypertexte visité" xfId="14621" builtinId="9" hidden="1"/>
    <cellStyle name="Lien hypertexte visité" xfId="13664" builtinId="9" hidden="1"/>
    <cellStyle name="Lien hypertexte visité" xfId="18157" builtinId="9" hidden="1"/>
    <cellStyle name="Lien hypertexte visité" xfId="13697" builtinId="9" hidden="1"/>
    <cellStyle name="Lien hypertexte visité" xfId="2770" builtinId="9" hidden="1"/>
    <cellStyle name="Lien hypertexte visité" xfId="2197" builtinId="9" hidden="1"/>
    <cellStyle name="Lien hypertexte visité" xfId="17157" builtinId="9" hidden="1"/>
    <cellStyle name="Lien hypertexte visité" xfId="6924" builtinId="9" hidden="1"/>
    <cellStyle name="Lien hypertexte visité" xfId="7903" builtinId="9" hidden="1"/>
    <cellStyle name="Lien hypertexte visité" xfId="7706" builtinId="9" hidden="1"/>
    <cellStyle name="Lien hypertexte visité" xfId="15331" builtinId="9" hidden="1"/>
    <cellStyle name="Lien hypertexte visité" xfId="2684" builtinId="9" hidden="1"/>
    <cellStyle name="Lien hypertexte visité" xfId="20366" builtinId="9" hidden="1"/>
    <cellStyle name="Lien hypertexte visité" xfId="21854" builtinId="9" hidden="1"/>
    <cellStyle name="Lien hypertexte visité" xfId="4536" builtinId="9" hidden="1"/>
    <cellStyle name="Lien hypertexte visité" xfId="6379" builtinId="9" hidden="1"/>
    <cellStyle name="Lien hypertexte visité" xfId="8189" builtinId="9" hidden="1"/>
    <cellStyle name="Lien hypertexte visité" xfId="13455" builtinId="9" hidden="1"/>
    <cellStyle name="Lien hypertexte visité" xfId="23298" builtinId="9" hidden="1"/>
    <cellStyle name="Lien hypertexte visité" xfId="1715" builtinId="9" hidden="1"/>
    <cellStyle name="Lien hypertexte visité" xfId="17111" builtinId="9" hidden="1"/>
    <cellStyle name="Lien hypertexte visité" xfId="17365" builtinId="9" hidden="1"/>
    <cellStyle name="Lien hypertexte visité" xfId="11924" builtinId="9" hidden="1"/>
    <cellStyle name="Lien hypertexte visité" xfId="8548" builtinId="9" hidden="1"/>
    <cellStyle name="Lien hypertexte visité" xfId="5187" builtinId="9" hidden="1"/>
    <cellStyle name="Lien hypertexte visité" xfId="3038" builtinId="9" hidden="1"/>
    <cellStyle name="Lien hypertexte visité" xfId="9895" builtinId="9" hidden="1"/>
    <cellStyle name="Lien hypertexte visité" xfId="12054" builtinId="9" hidden="1"/>
    <cellStyle name="Lien hypertexte visité" xfId="20874" builtinId="9" hidden="1"/>
    <cellStyle name="Lien hypertexte visité" xfId="13178" builtinId="9" hidden="1"/>
    <cellStyle name="Lien hypertexte visité" xfId="21722" builtinId="9" hidden="1"/>
    <cellStyle name="Lien hypertexte visité" xfId="22090" builtinId="9" hidden="1"/>
    <cellStyle name="Lien hypertexte visité" xfId="21912" builtinId="9" hidden="1"/>
    <cellStyle name="Lien hypertexte visité" xfId="16809" builtinId="9" hidden="1"/>
    <cellStyle name="Lien hypertexte visité" xfId="12534" builtinId="9" hidden="1"/>
    <cellStyle name="Lien hypertexte visité" xfId="9910" builtinId="9" hidden="1"/>
    <cellStyle name="Lien hypertexte visité" xfId="14555" builtinId="9" hidden="1"/>
    <cellStyle name="Lien hypertexte visité" xfId="9847" builtinId="9" hidden="1"/>
    <cellStyle name="Lien hypertexte visité" xfId="6006" builtinId="9" hidden="1"/>
    <cellStyle name="Lien hypertexte visité" xfId="2064" builtinId="9" hidden="1"/>
    <cellStyle name="Lien hypertexte visité" xfId="3783" builtinId="9" hidden="1"/>
    <cellStyle name="Lien hypertexte visité" xfId="7700" builtinId="9" hidden="1"/>
    <cellStyle name="Lien hypertexte visité" xfId="11541" builtinId="9" hidden="1"/>
    <cellStyle name="Lien hypertexte visité" xfId="13335" builtinId="9" hidden="1"/>
    <cellStyle name="Lien hypertexte visité" xfId="23088" builtinId="9" hidden="1"/>
    <cellStyle name="Lien hypertexte visité" xfId="8180" builtinId="9" hidden="1"/>
    <cellStyle name="Lien hypertexte visité" xfId="4579" builtinId="9" hidden="1"/>
    <cellStyle name="Lien hypertexte visité" xfId="4119" builtinId="9" hidden="1"/>
    <cellStyle name="Lien hypertexte visité" xfId="6055" builtinId="9" hidden="1"/>
    <cellStyle name="Lien hypertexte visité" xfId="6231" builtinId="9" hidden="1"/>
    <cellStyle name="Lien hypertexte visité" xfId="4375" builtinId="9" hidden="1"/>
    <cellStyle name="Lien hypertexte visité" xfId="4323" builtinId="9" hidden="1"/>
    <cellStyle name="Lien hypertexte visité" xfId="525" builtinId="9" hidden="1"/>
    <cellStyle name="Lien hypertexte visité" xfId="8196" builtinId="9" hidden="1"/>
    <cellStyle name="Lien hypertexte visité" xfId="21190" builtinId="9" hidden="1"/>
    <cellStyle name="Lien hypertexte visité" xfId="5831" builtinId="9" hidden="1"/>
    <cellStyle name="Lien hypertexte visité" xfId="19204" builtinId="9" hidden="1"/>
    <cellStyle name="Lien hypertexte visité" xfId="24006" builtinId="9" hidden="1"/>
    <cellStyle name="Lien hypertexte visité" xfId="13956" builtinId="9" hidden="1"/>
    <cellStyle name="Lien hypertexte visité" xfId="1216" builtinId="9" hidden="1"/>
    <cellStyle name="Lien hypertexte visité" xfId="17045" builtinId="9" hidden="1"/>
    <cellStyle name="Lien hypertexte visité" xfId="11748" builtinId="9" hidden="1"/>
    <cellStyle name="Lien hypertexte visité" xfId="14837" builtinId="9" hidden="1"/>
    <cellStyle name="Lien hypertexte visité" xfId="7507" builtinId="9" hidden="1"/>
    <cellStyle name="Lien hypertexte visité" xfId="7332" builtinId="9" hidden="1"/>
    <cellStyle name="Lien hypertexte visité" xfId="12709" builtinId="9" hidden="1"/>
    <cellStyle name="Lien hypertexte visité" xfId="5971" builtinId="9" hidden="1"/>
    <cellStyle name="Lien hypertexte visité" xfId="12564" builtinId="9" hidden="1"/>
    <cellStyle name="Lien hypertexte visité" xfId="9556" builtinId="9" hidden="1"/>
    <cellStyle name="Lien hypertexte visité" xfId="1308" builtinId="9" hidden="1"/>
    <cellStyle name="Lien hypertexte visité" xfId="8324" builtinId="9" hidden="1"/>
    <cellStyle name="Lien hypertexte visité" xfId="21094" builtinId="9" hidden="1"/>
    <cellStyle name="Lien hypertexte visité" xfId="22148" builtinId="9" hidden="1"/>
    <cellStyle name="Lien hypertexte visité" xfId="5319" builtinId="9" hidden="1"/>
    <cellStyle name="Lien hypertexte visité" xfId="24262" builtinId="9" hidden="1"/>
    <cellStyle name="Lien hypertexte visité" xfId="22340" builtinId="9" hidden="1"/>
    <cellStyle name="Lien hypertexte visité" xfId="1077" builtinId="9" hidden="1"/>
    <cellStyle name="Lien hypertexte visité" xfId="2957" builtinId="9" hidden="1"/>
    <cellStyle name="Lien hypertexte visité" xfId="5687" builtinId="9" hidden="1"/>
    <cellStyle name="Lien hypertexte visité" xfId="7015" builtinId="9" hidden="1"/>
    <cellStyle name="Lien hypertexte visité" xfId="8520" builtinId="9" hidden="1"/>
    <cellStyle name="Lien hypertexte visité" xfId="4231" builtinId="9" hidden="1"/>
    <cellStyle name="Lien hypertexte visité" xfId="1789" builtinId="9" hidden="1"/>
    <cellStyle name="Lien hypertexte visité" xfId="2461" builtinId="9" hidden="1"/>
    <cellStyle name="Lien hypertexte visité" xfId="8814" builtinId="9" hidden="1"/>
    <cellStyle name="Lien hypertexte visité" xfId="11510" builtinId="9" hidden="1"/>
    <cellStyle name="Lien hypertexte visité" xfId="7620" builtinId="9" hidden="1"/>
    <cellStyle name="Lien hypertexte visité" xfId="9493" builtinId="9" hidden="1"/>
    <cellStyle name="Lien hypertexte visité" xfId="4804" builtinId="9" hidden="1"/>
    <cellStyle name="Lien hypertexte visité" xfId="751" builtinId="9" hidden="1"/>
    <cellStyle name="Lien hypertexte visité" xfId="4118" builtinId="9" hidden="1"/>
    <cellStyle name="Lien hypertexte visité" xfId="8823" builtinId="9" hidden="1"/>
    <cellStyle name="Lien hypertexte visité" xfId="12743" builtinId="9" hidden="1"/>
    <cellStyle name="Lien hypertexte visité" xfId="8662" builtinId="9" hidden="1"/>
    <cellStyle name="Lien hypertexte visité" xfId="11790" builtinId="9" hidden="1"/>
    <cellStyle name="Lien hypertexte visité" xfId="14414" builtinId="9" hidden="1"/>
    <cellStyle name="Lien hypertexte visité" xfId="19520" builtinId="9" hidden="1"/>
    <cellStyle name="Lien hypertexte visité" xfId="23562" builtinId="9" hidden="1"/>
    <cellStyle name="Lien hypertexte visité" xfId="18338" builtinId="9" hidden="1"/>
    <cellStyle name="Lien hypertexte visité" xfId="19312" builtinId="9" hidden="1"/>
    <cellStyle name="Lien hypertexte visité" xfId="18842" builtinId="9" hidden="1"/>
    <cellStyle name="Lien hypertexte visité" xfId="17105" builtinId="9" hidden="1"/>
    <cellStyle name="Lien hypertexte visité" xfId="16539" builtinId="9" hidden="1"/>
    <cellStyle name="Lien hypertexte visité" xfId="1439" builtinId="9" hidden="1"/>
    <cellStyle name="Lien hypertexte visité" xfId="11493" builtinId="9" hidden="1"/>
    <cellStyle name="Lien hypertexte visité" xfId="6947" builtinId="9" hidden="1"/>
    <cellStyle name="Lien hypertexte visité" xfId="10964" builtinId="9" hidden="1"/>
    <cellStyle name="Lien hypertexte visité" xfId="14324" builtinId="9" hidden="1"/>
    <cellStyle name="Lien hypertexte visité" xfId="20868" builtinId="9" hidden="1"/>
    <cellStyle name="Lien hypertexte visité" xfId="3724" builtinId="9" hidden="1"/>
    <cellStyle name="Lien hypertexte visité" xfId="12778" builtinId="9" hidden="1"/>
    <cellStyle name="Lien hypertexte visité" xfId="13062" builtinId="9" hidden="1"/>
    <cellStyle name="Lien hypertexte visité" xfId="2550" builtinId="9" hidden="1"/>
    <cellStyle name="Lien hypertexte visité" xfId="3790" builtinId="9" hidden="1"/>
    <cellStyle name="Lien hypertexte visité" xfId="1785" builtinId="9" hidden="1"/>
    <cellStyle name="Lien hypertexte visité" xfId="7231" builtinId="9" hidden="1"/>
    <cellStyle name="Lien hypertexte visité" xfId="2162" builtinId="9" hidden="1"/>
    <cellStyle name="Lien hypertexte visité" xfId="5571" builtinId="9" hidden="1"/>
    <cellStyle name="Lien hypertexte visité" xfId="10260" builtinId="9" hidden="1"/>
    <cellStyle name="Lien hypertexte visité" xfId="14052" builtinId="9" hidden="1"/>
    <cellStyle name="Lien hypertexte visité" xfId="21188" builtinId="9" hidden="1"/>
    <cellStyle name="Lien hypertexte visité" xfId="22022" builtinId="9" hidden="1"/>
    <cellStyle name="Lien hypertexte visité" xfId="1045" builtinId="9" hidden="1"/>
    <cellStyle name="Lien hypertexte visité" xfId="3598" builtinId="9" hidden="1"/>
    <cellStyle name="Lien hypertexte visité" xfId="3689" builtinId="9" hidden="1"/>
    <cellStyle name="Lien hypertexte visité" xfId="8280" builtinId="9" hidden="1"/>
    <cellStyle name="Lien hypertexte visité" xfId="2945" builtinId="9" hidden="1"/>
    <cellStyle name="Lien hypertexte visité" xfId="4371" builtinId="9" hidden="1"/>
    <cellStyle name="Lien hypertexte visité" xfId="461" builtinId="9" hidden="1"/>
    <cellStyle name="Lien hypertexte visité" xfId="13060" builtinId="9" hidden="1"/>
    <cellStyle name="Lien hypertexte visité" xfId="23428" builtinId="9" hidden="1"/>
    <cellStyle name="Lien hypertexte visité" xfId="15253" builtinId="9" hidden="1"/>
    <cellStyle name="Lien hypertexte visité" xfId="11076" builtinId="9" hidden="1"/>
    <cellStyle name="Lien hypertexte visité" xfId="6387" builtinId="9" hidden="1"/>
    <cellStyle name="Lien hypertexte visité" xfId="7780" builtinId="9" hidden="1"/>
    <cellStyle name="Lien hypertexte visité" xfId="7718" builtinId="9" hidden="1"/>
    <cellStyle name="Lien hypertexte visité" xfId="13678" builtinId="9" hidden="1"/>
    <cellStyle name="Lien hypertexte visité" xfId="18658" builtinId="9" hidden="1"/>
    <cellStyle name="Lien hypertexte visité" xfId="16449" builtinId="9" hidden="1"/>
    <cellStyle name="Lien hypertexte visité" xfId="19402" builtinId="9" hidden="1"/>
    <cellStyle name="Lien hypertexte visité" xfId="23448" builtinId="9" hidden="1"/>
    <cellStyle name="Lien hypertexte visité" xfId="17553" builtinId="9" hidden="1"/>
    <cellStyle name="Lien hypertexte visité" xfId="12386" builtinId="9" hidden="1"/>
    <cellStyle name="Lien hypertexte visité" xfId="9430" builtinId="9" hidden="1"/>
    <cellStyle name="Lien hypertexte visité" xfId="12951" builtinId="9" hidden="1"/>
    <cellStyle name="Lien hypertexte visité" xfId="7494" builtinId="9" hidden="1"/>
    <cellStyle name="Lien hypertexte visité" xfId="3056" builtinId="9" hidden="1"/>
    <cellStyle name="Lien hypertexte visité" xfId="2542" builtinId="9" hidden="1"/>
    <cellStyle name="Lien hypertexte visité" xfId="8005" builtinId="9" hidden="1"/>
    <cellStyle name="Lien hypertexte visité" xfId="12789" builtinId="9" hidden="1"/>
    <cellStyle name="Lien hypertexte visité" xfId="10042" builtinId="9" hidden="1"/>
    <cellStyle name="Lien hypertexte visité" xfId="8086" builtinId="9" hidden="1"/>
    <cellStyle name="Lien hypertexte visité" xfId="1250" builtinId="9" hidden="1"/>
    <cellStyle name="Lien hypertexte visité" xfId="2387" builtinId="9" hidden="1"/>
    <cellStyle name="Lien hypertexte visité" xfId="4341" builtinId="9" hidden="1"/>
    <cellStyle name="Lien hypertexte visité" xfId="23610" builtinId="9" hidden="1"/>
    <cellStyle name="Lien hypertexte visité" xfId="24066" builtinId="9" hidden="1"/>
    <cellStyle name="Lien hypertexte visité" xfId="14386" builtinId="9" hidden="1"/>
    <cellStyle name="Lien hypertexte visité" xfId="9606" builtinId="9" hidden="1"/>
    <cellStyle name="Lien hypertexte visité" xfId="11343" builtinId="9" hidden="1"/>
    <cellStyle name="Lien hypertexte visité" xfId="3144" builtinId="9" hidden="1"/>
    <cellStyle name="Lien hypertexte visité" xfId="4668" builtinId="9" hidden="1"/>
    <cellStyle name="Lien hypertexte visité" xfId="11837" builtinId="9" hidden="1"/>
    <cellStyle name="Lien hypertexte visité" xfId="23700" builtinId="9" hidden="1"/>
    <cellStyle name="Lien hypertexte visité" xfId="12460" builtinId="9" hidden="1"/>
    <cellStyle name="Lien hypertexte visité" xfId="5803" builtinId="9" hidden="1"/>
    <cellStyle name="Lien hypertexte visité" xfId="3545" builtinId="9" hidden="1"/>
    <cellStyle name="Lien hypertexte visité" xfId="1498" builtinId="9" hidden="1"/>
    <cellStyle name="Lien hypertexte visité" xfId="5944" builtinId="9" hidden="1"/>
    <cellStyle name="Lien hypertexte visité" xfId="11409" builtinId="9" hidden="1"/>
    <cellStyle name="Lien hypertexte visité" xfId="17167" builtinId="9" hidden="1"/>
    <cellStyle name="Lien hypertexte visité" xfId="22508" builtinId="9" hidden="1"/>
    <cellStyle name="Lien hypertexte visité" xfId="13064" builtinId="9" hidden="1"/>
    <cellStyle name="Lien hypertexte visité" xfId="9536" builtinId="9" hidden="1"/>
    <cellStyle name="Lien hypertexte visité" xfId="18079" builtinId="9" hidden="1"/>
    <cellStyle name="Lien hypertexte visité" xfId="9387" builtinId="9" hidden="1"/>
    <cellStyle name="Lien hypertexte visité" xfId="5290" builtinId="9" hidden="1"/>
    <cellStyle name="Lien hypertexte visité" xfId="1475" builtinId="9" hidden="1"/>
    <cellStyle name="Lien hypertexte visité" xfId="10227" builtinId="9" hidden="1"/>
    <cellStyle name="Lien hypertexte visité" xfId="16355" builtinId="9" hidden="1"/>
    <cellStyle name="Lien hypertexte visité" xfId="14459" builtinId="9" hidden="1"/>
    <cellStyle name="Lien hypertexte visité" xfId="4194" builtinId="9" hidden="1"/>
    <cellStyle name="Lien hypertexte visité" xfId="4234" builtinId="9" hidden="1"/>
    <cellStyle name="Lien hypertexte visité" xfId="8043" builtinId="9" hidden="1"/>
    <cellStyle name="Lien hypertexte visité" xfId="16907" builtinId="9" hidden="1"/>
    <cellStyle name="Lien hypertexte visité" xfId="10943" builtinId="9" hidden="1"/>
    <cellStyle name="Lien hypertexte visité" xfId="6494" builtinId="9" hidden="1"/>
    <cellStyle name="Lien hypertexte visité" xfId="867" builtinId="9" hidden="1"/>
    <cellStyle name="Lien hypertexte visité" xfId="4556" builtinId="9" hidden="1"/>
    <cellStyle name="Lien hypertexte visité" xfId="9357" builtinId="9" hidden="1"/>
    <cellStyle name="Lien hypertexte visité" xfId="15079" builtinId="9" hidden="1"/>
    <cellStyle name="Lien hypertexte visité" xfId="23958" builtinId="9" hidden="1"/>
    <cellStyle name="Lien hypertexte visité" xfId="16389" builtinId="9" hidden="1"/>
    <cellStyle name="Lien hypertexte visité" xfId="10012" builtinId="9" hidden="1"/>
    <cellStyle name="Lien hypertexte visité" xfId="5211" builtinId="9" hidden="1"/>
    <cellStyle name="Lien hypertexte visité" xfId="413" builtinId="9" hidden="1"/>
    <cellStyle name="Lien hypertexte visité" xfId="5839" builtinId="9" hidden="1"/>
    <cellStyle name="Lien hypertexte visité" xfId="1209" builtinId="9" hidden="1"/>
    <cellStyle name="Lien hypertexte visité" xfId="4400" builtinId="9" hidden="1"/>
    <cellStyle name="Lien hypertexte visité" xfId="8049" builtinId="9" hidden="1"/>
    <cellStyle name="Lien hypertexte visité" xfId="10993" builtinId="9" hidden="1"/>
    <cellStyle name="Lien hypertexte visité" xfId="13953" builtinId="9" hidden="1"/>
    <cellStyle name="Lien hypertexte visité" xfId="20670" builtinId="9" hidden="1"/>
    <cellStyle name="Lien hypertexte visité" xfId="22188" builtinId="9" hidden="1"/>
    <cellStyle name="Lien hypertexte visité" xfId="16285" builtinId="9" hidden="1"/>
    <cellStyle name="Lien hypertexte visité" xfId="11768" builtinId="9" hidden="1"/>
    <cellStyle name="Lien hypertexte visité" xfId="8992" builtinId="9" hidden="1"/>
    <cellStyle name="Lien hypertexte visité" xfId="22524" builtinId="9" hidden="1"/>
    <cellStyle name="Lien hypertexte visité" xfId="9673" builtinId="9" hidden="1"/>
    <cellStyle name="Lien hypertexte visité" xfId="17549" builtinId="9" hidden="1"/>
    <cellStyle name="Lien hypertexte visité" xfId="16157" builtinId="9" hidden="1"/>
    <cellStyle name="Lien hypertexte visité" xfId="12889" builtinId="9" hidden="1"/>
    <cellStyle name="Lien hypertexte visité" xfId="3322" builtinId="9" hidden="1"/>
    <cellStyle name="Lien hypertexte visité" xfId="861" builtinId="9" hidden="1"/>
    <cellStyle name="Lien hypertexte visité" xfId="20276" builtinId="9" hidden="1"/>
    <cellStyle name="Lien hypertexte visité" xfId="8429" builtinId="9" hidden="1"/>
    <cellStyle name="Lien hypertexte visité" xfId="7070" builtinId="9" hidden="1"/>
    <cellStyle name="Lien hypertexte visité" xfId="6269" builtinId="9" hidden="1"/>
    <cellStyle name="Lien hypertexte visité" xfId="4113" builtinId="9" hidden="1"/>
    <cellStyle name="Lien hypertexte visité" xfId="15841" builtinId="9" hidden="1"/>
    <cellStyle name="Lien hypertexte visité" xfId="18211" builtinId="9" hidden="1"/>
    <cellStyle name="Lien hypertexte visité" xfId="23658" builtinId="9" hidden="1"/>
    <cellStyle name="Lien hypertexte visité" xfId="20536" builtinId="9" hidden="1"/>
    <cellStyle name="Lien hypertexte visité" xfId="14398" builtinId="9" hidden="1"/>
    <cellStyle name="Lien hypertexte visité" xfId="11858" builtinId="9" hidden="1"/>
    <cellStyle name="Lien hypertexte visité" xfId="10002" builtinId="9" hidden="1"/>
    <cellStyle name="Lien hypertexte visité" xfId="7021" builtinId="9" hidden="1"/>
    <cellStyle name="Lien hypertexte visité" xfId="1274" builtinId="9" hidden="1"/>
    <cellStyle name="Lien hypertexte visité" xfId="1675" builtinId="9" hidden="1"/>
    <cellStyle name="Lien hypertexte visité" xfId="5705" builtinId="9" hidden="1"/>
    <cellStyle name="Lien hypertexte visité" xfId="6705" builtinId="9" hidden="1"/>
    <cellStyle name="Lien hypertexte visité" xfId="5097" builtinId="9" hidden="1"/>
    <cellStyle name="Lien hypertexte visité" xfId="5717" builtinId="9" hidden="1"/>
    <cellStyle name="Lien hypertexte visité" xfId="10522" builtinId="9" hidden="1"/>
    <cellStyle name="Lien hypertexte visité" xfId="6357" builtinId="9" hidden="1"/>
    <cellStyle name="Lien hypertexte visité" xfId="2663" builtinId="9" hidden="1"/>
    <cellStyle name="Lien hypertexte visité" xfId="7361" builtinId="9" hidden="1"/>
    <cellStyle name="Lien hypertexte visité" xfId="7733" builtinId="9" hidden="1"/>
    <cellStyle name="Lien hypertexte visité" xfId="3503" builtinId="9" hidden="1"/>
    <cellStyle name="Lien hypertexte visité" xfId="353" builtinId="9" hidden="1"/>
    <cellStyle name="Lien hypertexte visité" xfId="3832" builtinId="9" hidden="1"/>
    <cellStyle name="Lien hypertexte visité" xfId="17433" builtinId="9" hidden="1"/>
    <cellStyle name="Lien hypertexte visité" xfId="10814" builtinId="9" hidden="1"/>
    <cellStyle name="Lien hypertexte visité" xfId="13542" builtinId="9" hidden="1"/>
    <cellStyle name="Lien hypertexte visité" xfId="18824" builtinId="9" hidden="1"/>
    <cellStyle name="Lien hypertexte visité" xfId="23864" builtinId="9" hidden="1"/>
    <cellStyle name="Lien hypertexte visité" xfId="20290" builtinId="9" hidden="1"/>
    <cellStyle name="Lien hypertexte visité" xfId="22096" builtinId="9" hidden="1"/>
    <cellStyle name="Lien hypertexte visité" xfId="10122" builtinId="9" hidden="1"/>
    <cellStyle name="Lien hypertexte visité" xfId="5537" builtinId="9" hidden="1"/>
    <cellStyle name="Lien hypertexte visité" xfId="11551" builtinId="9" hidden="1"/>
    <cellStyle name="Lien hypertexte visité" xfId="2918" builtinId="9" hidden="1"/>
    <cellStyle name="Lien hypertexte visité" xfId="14903" builtinId="9" hidden="1"/>
    <cellStyle name="Lien hypertexte visité" xfId="4389" builtinId="9" hidden="1"/>
    <cellStyle name="Lien hypertexte visité" xfId="6949" builtinId="9" hidden="1"/>
    <cellStyle name="Lien hypertexte visité" xfId="2775" builtinId="9" hidden="1"/>
    <cellStyle name="Lien hypertexte visité" xfId="369" builtinId="9" hidden="1"/>
    <cellStyle name="Lien hypertexte visité" xfId="3035" builtinId="9" hidden="1"/>
    <cellStyle name="Lien hypertexte visité" xfId="7157" builtinId="9" hidden="1"/>
    <cellStyle name="Lien hypertexte visité" xfId="4013" builtinId="9" hidden="1"/>
    <cellStyle name="Lien hypertexte visité" xfId="18704" builtinId="9" hidden="1"/>
    <cellStyle name="Lien hypertexte visité" xfId="19370" builtinId="9" hidden="1"/>
    <cellStyle name="Lien hypertexte visité" xfId="22688" builtinId="9" hidden="1"/>
    <cellStyle name="Lien hypertexte visité" xfId="16729" builtinId="9" hidden="1"/>
    <cellStyle name="Lien hypertexte visité" xfId="12638" builtinId="9" hidden="1"/>
    <cellStyle name="Lien hypertexte visité" xfId="9054" builtinId="9" hidden="1"/>
    <cellStyle name="Lien hypertexte visité" xfId="12303" builtinId="9" hidden="1"/>
    <cellStyle name="Lien hypertexte visité" xfId="7951" builtinId="9" hidden="1"/>
    <cellStyle name="Lien hypertexte visité" xfId="2440" builtinId="9" hidden="1"/>
    <cellStyle name="Lien hypertexte visité" xfId="3190" builtinId="9" hidden="1"/>
    <cellStyle name="Lien hypertexte visité" xfId="7933" builtinId="9" hidden="1"/>
    <cellStyle name="Lien hypertexte visité" xfId="13437" builtinId="9" hidden="1"/>
    <cellStyle name="Lien hypertexte visité" xfId="21046" builtinId="9" hidden="1"/>
    <cellStyle name="Lien hypertexte visité" xfId="19220" builtinId="9" hidden="1"/>
    <cellStyle name="Lien hypertexte visité" xfId="11372" builtinId="9" hidden="1"/>
    <cellStyle name="Lien hypertexte visité" xfId="6635" builtinId="9" hidden="1"/>
    <cellStyle name="Lien hypertexte visité" xfId="2150" builtinId="9" hidden="1"/>
    <cellStyle name="Lien hypertexte visité" xfId="4383" builtinId="9" hidden="1"/>
    <cellStyle name="Lien hypertexte visité" xfId="603" builtinId="9" hidden="1"/>
    <cellStyle name="Lien hypertexte visité" xfId="3418" builtinId="9" hidden="1"/>
    <cellStyle name="Lien hypertexte visité" xfId="7096" builtinId="9" hidden="1"/>
    <cellStyle name="Lien hypertexte visité" xfId="10081" builtinId="9" hidden="1"/>
    <cellStyle name="Lien hypertexte visité" xfId="12985" builtinId="9" hidden="1"/>
    <cellStyle name="Lien hypertexte visité" xfId="18782" builtinId="9" hidden="1"/>
    <cellStyle name="Lien hypertexte visité" xfId="24140" builtinId="9" hidden="1"/>
    <cellStyle name="Lien hypertexte visité" xfId="18173" builtinId="9" hidden="1"/>
    <cellStyle name="Lien hypertexte visité" xfId="12680" builtinId="9" hidden="1"/>
    <cellStyle name="Lien hypertexte visité" xfId="9776" builtinId="9" hidden="1"/>
    <cellStyle name="Lien hypertexte visité" xfId="17101" builtinId="9" hidden="1"/>
    <cellStyle name="Lien hypertexte visité" xfId="12585" builtinId="9" hidden="1"/>
    <cellStyle name="Lien hypertexte visité" xfId="3619" builtinId="9" hidden="1"/>
    <cellStyle name="Lien hypertexte visité" xfId="7883" builtinId="9" hidden="1"/>
    <cellStyle name="Lien hypertexte visité" xfId="4810" builtinId="9" hidden="1"/>
    <cellStyle name="Lien hypertexte visité" xfId="2028" builtinId="9" hidden="1"/>
    <cellStyle name="Lien hypertexte visité" xfId="12787" builtinId="9" hidden="1"/>
    <cellStyle name="Lien hypertexte visité" xfId="9851" builtinId="9" hidden="1"/>
    <cellStyle name="Lien hypertexte visité" xfId="15635" builtinId="9" hidden="1"/>
    <cellStyle name="Lien hypertexte visité" xfId="15059" builtinId="9" hidden="1"/>
    <cellStyle name="Lien hypertexte visité" xfId="10099" builtinId="9" hidden="1"/>
    <cellStyle name="Lien hypertexte visité" xfId="12419" builtinId="9" hidden="1"/>
    <cellStyle name="Lien hypertexte visité" xfId="1708" builtinId="9" hidden="1"/>
    <cellStyle name="Lien hypertexte visité" xfId="4858" builtinId="9" hidden="1"/>
    <cellStyle name="Lien hypertexte visité" xfId="7562" builtinId="9" hidden="1"/>
    <cellStyle name="Lien hypertexte visité" xfId="2498" builtinId="9" hidden="1"/>
    <cellStyle name="Lien hypertexte visité" xfId="15819" builtinId="9" hidden="1"/>
    <cellStyle name="Lien hypertexte visité" xfId="12159" builtinId="9" hidden="1"/>
    <cellStyle name="Lien hypertexte visité" xfId="9023" builtinId="9" hidden="1"/>
    <cellStyle name="Lien hypertexte visité" xfId="5342" builtinId="9" hidden="1"/>
    <cellStyle name="Lien hypertexte visité" xfId="2360" builtinId="9" hidden="1"/>
    <cellStyle name="Lien hypertexte visité" xfId="1702" builtinId="9" hidden="1"/>
    <cellStyle name="Lien hypertexte visité" xfId="5388" builtinId="9" hidden="1"/>
    <cellStyle name="Lien hypertexte visité" xfId="8525" builtinId="9" hidden="1"/>
    <cellStyle name="Lien hypertexte visité" xfId="11533" builtinId="9" hidden="1"/>
    <cellStyle name="Lien hypertexte visité" xfId="15847" builtinId="9" hidden="1"/>
    <cellStyle name="Lien hypertexte visité" xfId="21654" builtinId="9" hidden="1"/>
    <cellStyle name="Lien hypertexte visité" xfId="21108" builtinId="9" hidden="1"/>
    <cellStyle name="Lien hypertexte visité" xfId="14236" builtinId="9" hidden="1"/>
    <cellStyle name="Lien hypertexte visité" xfId="11228" builtinId="9" hidden="1"/>
    <cellStyle name="Lien hypertexte visité" xfId="8252" builtinId="9" hidden="1"/>
    <cellStyle name="Lien hypertexte visité" xfId="4667" builtinId="9" hidden="1"/>
    <cellStyle name="Lien hypertexte visité" xfId="1428" builtinId="9" hidden="1"/>
    <cellStyle name="Lien hypertexte visité" xfId="2633" builtinId="9" hidden="1"/>
    <cellStyle name="Lien hypertexte visité" xfId="6319" builtinId="9" hidden="1"/>
    <cellStyle name="Lien hypertexte visité" xfId="71" builtinId="9" hidden="1"/>
    <cellStyle name="Lien hypertexte visité" xfId="2666" builtinId="9" hidden="1"/>
    <cellStyle name="Lien hypertexte visité" xfId="5104" builtinId="9" hidden="1"/>
    <cellStyle name="Lien hypertexte visité" xfId="7040" builtinId="9" hidden="1"/>
    <cellStyle name="Lien hypertexte visité" xfId="9025" builtinId="9" hidden="1"/>
    <cellStyle name="Lien hypertexte visité" xfId="11481" builtinId="9" hidden="1"/>
    <cellStyle name="Lien hypertexte visité" xfId="13593" builtinId="9" hidden="1"/>
    <cellStyle name="Lien hypertexte visité" xfId="16639" builtinId="9" hidden="1"/>
    <cellStyle name="Lien hypertexte visité" xfId="21406" builtinId="9" hidden="1"/>
    <cellStyle name="Lien hypertexte visité" xfId="23852" builtinId="9" hidden="1"/>
    <cellStyle name="Lien hypertexte visité" xfId="19628" builtinId="9" hidden="1"/>
    <cellStyle name="Lien hypertexte visité" xfId="14749" builtinId="9" hidden="1"/>
    <cellStyle name="Lien hypertexte visité" xfId="12648" builtinId="9" hidden="1"/>
    <cellStyle name="Lien hypertexte visité" xfId="10704" builtinId="9" hidden="1"/>
    <cellStyle name="Lien hypertexte visité" xfId="10592" builtinId="9" hidden="1"/>
    <cellStyle name="Lien hypertexte visité" xfId="19324" builtinId="9" hidden="1"/>
    <cellStyle name="Lien hypertexte visité" xfId="18015" builtinId="9" hidden="1"/>
    <cellStyle name="Lien hypertexte visité" xfId="8905" builtinId="9" hidden="1"/>
    <cellStyle name="Lien hypertexte visité" xfId="17887" builtinId="9" hidden="1"/>
    <cellStyle name="Lien hypertexte visité" xfId="10640" builtinId="9" hidden="1"/>
    <cellStyle name="Lien hypertexte visité" xfId="21084" builtinId="9" hidden="1"/>
    <cellStyle name="Lien hypertexte visité" xfId="16207" builtinId="9" hidden="1"/>
    <cellStyle name="Lien hypertexte visité" xfId="9393" builtinId="9" hidden="1"/>
    <cellStyle name="Lien hypertexte visité" xfId="2218" builtinId="9" hidden="1"/>
    <cellStyle name="Lien hypertexte visité" xfId="2057" builtinId="9" hidden="1"/>
    <cellStyle name="Lien hypertexte visité" xfId="7803" builtinId="9" hidden="1"/>
    <cellStyle name="Lien hypertexte visité" xfId="23092" builtinId="9" hidden="1"/>
    <cellStyle name="Lien hypertexte visité" xfId="11373" builtinId="9" hidden="1"/>
    <cellStyle name="Lien hypertexte visité" xfId="12156" builtinId="9" hidden="1"/>
    <cellStyle name="Lien hypertexte visité" xfId="8881" builtinId="9" hidden="1"/>
    <cellStyle name="Lien hypertexte visité" xfId="12520" builtinId="9" hidden="1"/>
    <cellStyle name="Lien hypertexte visité" xfId="12489" builtinId="9" hidden="1"/>
    <cellStyle name="Lien hypertexte visité" xfId="10192" builtinId="9" hidden="1"/>
    <cellStyle name="Lien hypertexte visité" xfId="18604" builtinId="9" hidden="1"/>
    <cellStyle name="Lien hypertexte visité" xfId="18798" builtinId="9" hidden="1"/>
    <cellStyle name="Lien hypertexte visité" xfId="9369" builtinId="9" hidden="1"/>
    <cellStyle name="Lien hypertexte visité" xfId="3450" builtinId="9" hidden="1"/>
    <cellStyle name="Lien hypertexte visité" xfId="4079" builtinId="9" hidden="1"/>
    <cellStyle name="Lien hypertexte visité" xfId="7996" builtinId="9" hidden="1"/>
    <cellStyle name="Lien hypertexte visité" xfId="19188" builtinId="9" hidden="1"/>
    <cellStyle name="Lien hypertexte visité" xfId="13389" builtinId="9" hidden="1"/>
    <cellStyle name="Lien hypertexte visité" xfId="2470" builtinId="9" hidden="1"/>
    <cellStyle name="Lien hypertexte visité" xfId="8255" builtinId="9" hidden="1"/>
    <cellStyle name="Lien hypertexte visité" xfId="9022" builtinId="9" hidden="1"/>
    <cellStyle name="Lien hypertexte visité" xfId="2148" builtinId="9" hidden="1"/>
    <cellStyle name="Lien hypertexte visité" xfId="13371" builtinId="9" hidden="1"/>
    <cellStyle name="Lien hypertexte visité" xfId="11627" builtinId="9" hidden="1"/>
    <cellStyle name="Lien hypertexte visité" xfId="7666" builtinId="9" hidden="1"/>
    <cellStyle name="Lien hypertexte visité" xfId="22716" builtinId="9" hidden="1"/>
    <cellStyle name="Lien hypertexte visité" xfId="14472" builtinId="9" hidden="1"/>
    <cellStyle name="Lien hypertexte visité" xfId="13753" builtinId="9" hidden="1"/>
    <cellStyle name="Lien hypertexte visité" xfId="4192" builtinId="9" hidden="1"/>
    <cellStyle name="Lien hypertexte visité" xfId="1432" builtinId="9" hidden="1"/>
    <cellStyle name="Lien hypertexte visité" xfId="17701" builtinId="9" hidden="1"/>
    <cellStyle name="Lien hypertexte visité" xfId="5867" builtinId="9" hidden="1"/>
    <cellStyle name="Lien hypertexte visité" xfId="22526" builtinId="9" hidden="1"/>
    <cellStyle name="Lien hypertexte visité" xfId="6818" builtinId="9" hidden="1"/>
    <cellStyle name="Lien hypertexte visité" xfId="8003" builtinId="9" hidden="1"/>
    <cellStyle name="Lien hypertexte visité" xfId="7244" builtinId="9" hidden="1"/>
    <cellStyle name="Lien hypertexte visité" xfId="2025" builtinId="9" hidden="1"/>
    <cellStyle name="Lien hypertexte visité" xfId="13937" builtinId="9" hidden="1"/>
    <cellStyle name="Lien hypertexte visité" xfId="14368" builtinId="9" hidden="1"/>
    <cellStyle name="Lien hypertexte visité" xfId="6011" builtinId="9" hidden="1"/>
    <cellStyle name="Lien hypertexte visité" xfId="11900" builtinId="9" hidden="1"/>
    <cellStyle name="Lien hypertexte visité" xfId="5296" builtinId="9" hidden="1"/>
    <cellStyle name="Lien hypertexte visité" xfId="12008" builtinId="9" hidden="1"/>
    <cellStyle name="Lien hypertexte visité" xfId="13513" builtinId="9" hidden="1"/>
    <cellStyle name="Lien hypertexte visité" xfId="9336" builtinId="9" hidden="1"/>
    <cellStyle name="Lien hypertexte visité" xfId="18732" builtinId="9" hidden="1"/>
    <cellStyle name="Lien hypertexte visité" xfId="18462" builtinId="9" hidden="1"/>
    <cellStyle name="Lien hypertexte visité" xfId="10393" builtinId="9" hidden="1"/>
    <cellStyle name="Lien hypertexte visité" xfId="3114" builtinId="9" hidden="1"/>
    <cellStyle name="Lien hypertexte visité" xfId="4015" builtinId="9" hidden="1"/>
    <cellStyle name="Lien hypertexte visité" xfId="6203" builtinId="9" hidden="1"/>
    <cellStyle name="Lien hypertexte visité" xfId="19700" builtinId="9" hidden="1"/>
    <cellStyle name="Lien hypertexte visité" xfId="12877" builtinId="9" hidden="1"/>
    <cellStyle name="Lien hypertexte visité" xfId="3759" builtinId="9" hidden="1"/>
    <cellStyle name="Lien hypertexte visité" xfId="8319" builtinId="9" hidden="1"/>
    <cellStyle name="Lien hypertexte visité" xfId="9190" builtinId="9" hidden="1"/>
    <cellStyle name="Lien hypertexte visité" xfId="3460" builtinId="9" hidden="1"/>
    <cellStyle name="Lien hypertexte visité" xfId="12971" builtinId="9" hidden="1"/>
    <cellStyle name="Lien hypertexte visité" xfId="11699" builtinId="9" hidden="1"/>
    <cellStyle name="Lien hypertexte visité" xfId="6130" builtinId="9" hidden="1"/>
    <cellStyle name="Lien hypertexte visité" xfId="21180" builtinId="9" hidden="1"/>
    <cellStyle name="Lien hypertexte visité" xfId="15453" builtinId="9" hidden="1"/>
    <cellStyle name="Lien hypertexte visité" xfId="15551" builtinId="9" hidden="1"/>
    <cellStyle name="Lien hypertexte visité" xfId="4112" builtinId="9" hidden="1"/>
    <cellStyle name="Lien hypertexte visité" xfId="933" builtinId="9" hidden="1"/>
    <cellStyle name="Lien hypertexte visité" xfId="13804" builtinId="9" hidden="1"/>
    <cellStyle name="Lien hypertexte visité" xfId="8957" builtinId="9" hidden="1"/>
    <cellStyle name="Lien hypertexte visité" xfId="5902" builtinId="9" hidden="1"/>
    <cellStyle name="Lien hypertexte visité" xfId="10590" builtinId="9" hidden="1"/>
    <cellStyle name="Lien hypertexte visité" xfId="20738" builtinId="9" hidden="1"/>
    <cellStyle name="Lien hypertexte visité" xfId="5985" builtinId="9" hidden="1"/>
    <cellStyle name="Lien hypertexte visité" xfId="1795" builtinId="9" hidden="1"/>
    <cellStyle name="Lien hypertexte visité" xfId="16247" builtinId="9" hidden="1"/>
    <cellStyle name="Lien hypertexte visité" xfId="6545" builtinId="9" hidden="1"/>
    <cellStyle name="Lien hypertexte visité" xfId="18938" builtinId="9" hidden="1"/>
    <cellStyle name="Lien hypertexte visité" xfId="14142" builtinId="9" hidden="1"/>
    <cellStyle name="Lien hypertexte visité" xfId="5117" builtinId="9" hidden="1"/>
    <cellStyle name="Lien hypertexte visité" xfId="2495" builtinId="9" hidden="1"/>
    <cellStyle name="Lien hypertexte visité" xfId="5917" builtinId="9" hidden="1"/>
    <cellStyle name="Lien hypertexte visité" xfId="2903" builtinId="9" hidden="1"/>
    <cellStyle name="Lien hypertexte visité" xfId="2991" builtinId="9" hidden="1"/>
    <cellStyle name="Lien hypertexte visité" xfId="14098" builtinId="9" hidden="1"/>
    <cellStyle name="Lien hypertexte visité" xfId="18201" builtinId="9" hidden="1"/>
    <cellStyle name="Lien hypertexte visité" xfId="22778" builtinId="9" hidden="1"/>
    <cellStyle name="Lien hypertexte visité" xfId="10143" builtinId="9" hidden="1"/>
    <cellStyle name="Lien hypertexte visité" xfId="7163" builtinId="9" hidden="1"/>
    <cellStyle name="Lien hypertexte visité" xfId="20798" builtinId="9" hidden="1"/>
    <cellStyle name="Lien hypertexte visité" xfId="22606" builtinId="9" hidden="1"/>
    <cellStyle name="Lien hypertexte visité" xfId="14032" builtinId="9" hidden="1"/>
    <cellStyle name="Lien hypertexte visité" xfId="17487" builtinId="9" hidden="1"/>
    <cellStyle name="Lien hypertexte visité" xfId="5080" builtinId="9" hidden="1"/>
    <cellStyle name="Lien hypertexte visité" xfId="2409" builtinId="9" hidden="1"/>
    <cellStyle name="Lien hypertexte visité" xfId="12380" builtinId="9" hidden="1"/>
    <cellStyle name="Lien hypertexte visité" xfId="10381" builtinId="9" hidden="1"/>
    <cellStyle name="Lien hypertexte visité" xfId="4446" builtinId="9" hidden="1"/>
    <cellStyle name="Lien hypertexte visité" xfId="4424" builtinId="9" hidden="1"/>
    <cellStyle name="Lien hypertexte visité" xfId="10067" builtinId="9" hidden="1"/>
    <cellStyle name="Lien hypertexte visité" xfId="9123" builtinId="9" hidden="1"/>
    <cellStyle name="Lien hypertexte visité" xfId="7080" builtinId="9" hidden="1"/>
    <cellStyle name="Lien hypertexte visité" xfId="20460" builtinId="9" hidden="1"/>
    <cellStyle name="Lien hypertexte visité" xfId="7993" builtinId="9" hidden="1"/>
    <cellStyle name="Lien hypertexte visité" xfId="13457" builtinId="9" hidden="1"/>
    <cellStyle name="Lien hypertexte visité" xfId="13819" builtinId="9" hidden="1"/>
    <cellStyle name="Lien hypertexte visité" xfId="2182" builtinId="9" hidden="1"/>
    <cellStyle name="Lien hypertexte visité" xfId="7888" builtinId="9" hidden="1"/>
    <cellStyle name="Lien hypertexte visité" xfId="10408" builtinId="9" hidden="1"/>
    <cellStyle name="Lien hypertexte visité" xfId="16679" builtinId="9" hidden="1"/>
    <cellStyle name="Lien hypertexte visité" xfId="13222" builtinId="9" hidden="1"/>
    <cellStyle name="Lien hypertexte visité" xfId="4069" builtinId="9" hidden="1"/>
    <cellStyle name="Lien hypertexte visité" xfId="9446" builtinId="9" hidden="1"/>
    <cellStyle name="Lien hypertexte visité" xfId="5406" builtinId="9" hidden="1"/>
    <cellStyle name="Lien hypertexte visité" xfId="12010" builtinId="9" hidden="1"/>
    <cellStyle name="Lien hypertexte visité" xfId="351" builtinId="9" hidden="1"/>
    <cellStyle name="Lien hypertexte visité" xfId="6431" builtinId="9" hidden="1"/>
    <cellStyle name="Lien hypertexte visité" xfId="11312" builtinId="9" hidden="1"/>
    <cellStyle name="Lien hypertexte visité" xfId="13987" builtinId="9" hidden="1"/>
    <cellStyle name="Lien hypertexte visité" xfId="13791" builtinId="9" hidden="1"/>
    <cellStyle name="Lien hypertexte visité" xfId="18582" builtinId="9" hidden="1"/>
    <cellStyle name="Lien hypertexte visité" xfId="7663" builtinId="9" hidden="1"/>
    <cellStyle name="Lien hypertexte visité" xfId="23230" builtinId="9" hidden="1"/>
    <cellStyle name="Lien hypertexte visité" xfId="6984" builtinId="9" hidden="1"/>
    <cellStyle name="Lien hypertexte visité" xfId="17959" builtinId="9" hidden="1"/>
    <cellStyle name="Lien hypertexte visité" xfId="6640" builtinId="9" hidden="1"/>
    <cellStyle name="Lien hypertexte visité" xfId="11947" builtinId="9" hidden="1"/>
    <cellStyle name="Lien hypertexte visité" xfId="19254" builtinId="9" hidden="1"/>
    <cellStyle name="Lien hypertexte visité" xfId="8289" builtinId="9" hidden="1"/>
    <cellStyle name="Lien hypertexte visité" xfId="10281" builtinId="9" hidden="1"/>
    <cellStyle name="Lien hypertexte visité" xfId="10851" builtinId="9" hidden="1"/>
    <cellStyle name="Lien hypertexte visité" xfId="4158" builtinId="9" hidden="1"/>
    <cellStyle name="Lien hypertexte visité" xfId="13468" builtinId="9" hidden="1"/>
    <cellStyle name="Lien hypertexte visité" xfId="5744" builtinId="9" hidden="1"/>
    <cellStyle name="Lien hypertexte visité" xfId="13840" builtinId="9" hidden="1"/>
    <cellStyle name="Lien hypertexte visité" xfId="24156" builtinId="9" hidden="1"/>
    <cellStyle name="Lien hypertexte visité" xfId="15399" builtinId="9" hidden="1"/>
    <cellStyle name="Lien hypertexte visité" xfId="6159" builtinId="9" hidden="1"/>
    <cellStyle name="Lien hypertexte visité" xfId="20638" builtinId="9" hidden="1"/>
    <cellStyle name="Lien hypertexte visité" xfId="9545" builtinId="9" hidden="1"/>
    <cellStyle name="Lien hypertexte visité" xfId="14176" builtinId="9" hidden="1"/>
    <cellStyle name="Lien hypertexte visité" xfId="13432" builtinId="9" hidden="1"/>
    <cellStyle name="Lien hypertexte visité" xfId="23918" builtinId="9" hidden="1"/>
    <cellStyle name="Lien hypertexte visité" xfId="12673" builtinId="9" hidden="1"/>
    <cellStyle name="Lien hypertexte visité" xfId="6296" builtinId="9" hidden="1"/>
    <cellStyle name="Lien hypertexte visité" xfId="8112" builtinId="9" hidden="1"/>
    <cellStyle name="Lien hypertexte visité" xfId="2773" builtinId="9" hidden="1"/>
    <cellStyle name="Lien hypertexte visité" xfId="12348" builtinId="9" hidden="1"/>
    <cellStyle name="Lien hypertexte visité" xfId="19414" builtinId="9" hidden="1"/>
    <cellStyle name="Lien hypertexte visité" xfId="7180" builtinId="9" hidden="1"/>
    <cellStyle name="Lien hypertexte visité" xfId="3544" builtinId="9" hidden="1"/>
    <cellStyle name="Lien hypertexte visité" xfId="13279" builtinId="9" hidden="1"/>
    <cellStyle name="Lien hypertexte visité" xfId="6394" builtinId="9" hidden="1"/>
    <cellStyle name="Lien hypertexte visité" xfId="11531" builtinId="9" hidden="1"/>
    <cellStyle name="Lien hypertexte visité" xfId="13659" builtinId="9" hidden="1"/>
    <cellStyle name="Lien hypertexte visité" xfId="3196" builtinId="9" hidden="1"/>
    <cellStyle name="Lien hypertexte visité" xfId="6952" builtinId="9" hidden="1"/>
    <cellStyle name="Lien hypertexte visité" xfId="10888" builtinId="9" hidden="1"/>
    <cellStyle name="Lien hypertexte visité" xfId="22366" builtinId="9" hidden="1"/>
    <cellStyle name="Lien hypertexte visité" xfId="8889" builtinId="9" hidden="1"/>
    <cellStyle name="Lien hypertexte visité" xfId="7199" builtinId="9" hidden="1"/>
    <cellStyle name="Lien hypertexte visité" xfId="8684" builtinId="9" hidden="1"/>
    <cellStyle name="Lien hypertexte visité" xfId="17735" builtinId="9" hidden="1"/>
    <cellStyle name="Lien hypertexte visité" xfId="1397" builtinId="9" hidden="1"/>
    <cellStyle name="Lien hypertexte visité" xfId="14351" builtinId="9" hidden="1"/>
    <cellStyle name="Lien hypertexte visité" xfId="18936" builtinId="9" hidden="1"/>
    <cellStyle name="Lien hypertexte visité" xfId="13290" builtinId="9" hidden="1"/>
    <cellStyle name="Lien hypertexte visité" xfId="1519" builtinId="9" hidden="1"/>
    <cellStyle name="Lien hypertexte visité" xfId="5925" builtinId="9" hidden="1"/>
    <cellStyle name="Lien hypertexte visité" xfId="3352" builtinId="9" hidden="1"/>
    <cellStyle name="Lien hypertexte visité" xfId="13642" builtinId="9" hidden="1"/>
    <cellStyle name="Lien hypertexte visité" xfId="21944" builtinId="9" hidden="1"/>
    <cellStyle name="Lien hypertexte visité" xfId="9854" builtinId="9" hidden="1"/>
    <cellStyle name="Lien hypertexte visité" xfId="2055" builtinId="9" hidden="1"/>
    <cellStyle name="Lien hypertexte visité" xfId="8114" builtinId="9" hidden="1"/>
    <cellStyle name="Lien hypertexte visité" xfId="4365" builtinId="9" hidden="1"/>
    <cellStyle name="Lien hypertexte visité" xfId="7329" builtinId="9" hidden="1"/>
    <cellStyle name="Lien hypertexte visité" xfId="1739" builtinId="9" hidden="1"/>
    <cellStyle name="Lien hypertexte visité" xfId="12838" builtinId="9" hidden="1"/>
    <cellStyle name="Lien hypertexte visité" xfId="21314" builtinId="9" hidden="1"/>
    <cellStyle name="Lien hypertexte visité" xfId="4933" builtinId="9" hidden="1"/>
    <cellStyle name="Lien hypertexte visité" xfId="13549" builtinId="9" hidden="1"/>
    <cellStyle name="Lien hypertexte visité" xfId="7424" builtinId="9" hidden="1"/>
    <cellStyle name="Lien hypertexte visité" xfId="12873" builtinId="9" hidden="1"/>
    <cellStyle name="Lien hypertexte visité" xfId="9936" builtinId="9" hidden="1"/>
    <cellStyle name="Lien hypertexte visité" xfId="24302" builtinId="9" hidden="1"/>
    <cellStyle name="Lien hypertexte visité" xfId="9857" builtinId="9" hidden="1"/>
    <cellStyle name="Lien hypertexte visité" xfId="8560" builtinId="9" hidden="1"/>
    <cellStyle name="Lien hypertexte visité" xfId="7259" builtinId="9" hidden="1"/>
    <cellStyle name="Lien hypertexte visité" xfId="20566" builtinId="9" hidden="1"/>
    <cellStyle name="Lien hypertexte visité" xfId="2854" builtinId="9" hidden="1"/>
    <cellStyle name="Lien hypertexte visité" xfId="12991" builtinId="9" hidden="1"/>
    <cellStyle name="Lien hypertexte visité" xfId="2764" builtinId="9" hidden="1"/>
    <cellStyle name="Lien hypertexte visité" xfId="13291" builtinId="9" hidden="1"/>
    <cellStyle name="Lien hypertexte visité" xfId="7042" builtinId="9" hidden="1"/>
    <cellStyle name="Lien hypertexte visité" xfId="10328" builtinId="9" hidden="1"/>
    <cellStyle name="Lien hypertexte visité" xfId="14137" builtinId="9" hidden="1"/>
    <cellStyle name="Lien hypertexte visité" xfId="7647" builtinId="9" hidden="1"/>
    <cellStyle name="Lien hypertexte visité" xfId="15525" builtinId="9" hidden="1"/>
    <cellStyle name="Lien hypertexte visité" xfId="2102" builtinId="9" hidden="1"/>
    <cellStyle name="Lien hypertexte visité" xfId="11654" builtinId="9" hidden="1"/>
    <cellStyle name="Lien hypertexte visité" xfId="15393" builtinId="9" hidden="1"/>
    <cellStyle name="Lien hypertexte visité" xfId="3704" builtinId="9" hidden="1"/>
    <cellStyle name="Lien hypertexte visité" xfId="10741" builtinId="9" hidden="1"/>
    <cellStyle name="Lien hypertexte visité" xfId="4758" builtinId="9" hidden="1"/>
    <cellStyle name="Lien hypertexte visité" xfId="10574" builtinId="9" hidden="1"/>
    <cellStyle name="Lien hypertexte visité" xfId="23050" builtinId="9" hidden="1"/>
    <cellStyle name="Lien hypertexte visité" xfId="23744" builtinId="9" hidden="1"/>
    <cellStyle name="Lien hypertexte visité" xfId="12901" builtinId="9" hidden="1"/>
    <cellStyle name="Lien hypertexte visité" xfId="18724" builtinId="9" hidden="1"/>
    <cellStyle name="Lien hypertexte visité" xfId="2173" builtinId="9" hidden="1"/>
    <cellStyle name="Lien hypertexte visité" xfId="6279" builtinId="9" hidden="1"/>
    <cellStyle name="Lien hypertexte visité" xfId="2753" builtinId="9" hidden="1"/>
    <cellStyle name="Lien hypertexte visité" xfId="12596" builtinId="9" hidden="1"/>
    <cellStyle name="Lien hypertexte visité" xfId="855" builtinId="9" hidden="1"/>
    <cellStyle name="Lien hypertexte visité" xfId="15175" builtinId="9" hidden="1"/>
    <cellStyle name="Lien hypertexte visité" xfId="7301" builtinId="9" hidden="1"/>
    <cellStyle name="Lien hypertexte visité" xfId="13012" builtinId="9" hidden="1"/>
    <cellStyle name="Lien hypertexte visité" xfId="6628" builtinId="9" hidden="1"/>
    <cellStyle name="Lien hypertexte visité" xfId="23232" builtinId="9" hidden="1"/>
    <cellStyle name="Lien hypertexte visité" xfId="20386" builtinId="9" hidden="1"/>
    <cellStyle name="Lien hypertexte visité" xfId="13390" builtinId="9" hidden="1"/>
    <cellStyle name="Lien hypertexte visité" xfId="11127" builtinId="9" hidden="1"/>
    <cellStyle name="Lien hypertexte visité" xfId="2494" builtinId="9" hidden="1"/>
    <cellStyle name="Lien hypertexte visité" xfId="4470" builtinId="9" hidden="1"/>
    <cellStyle name="Lien hypertexte visité" xfId="3630" builtinId="9" hidden="1"/>
    <cellStyle name="Lien hypertexte visité" xfId="7607" builtinId="9" hidden="1"/>
    <cellStyle name="Lien hypertexte visité" xfId="1805" builtinId="9" hidden="1"/>
    <cellStyle name="Lien hypertexte visité" xfId="22468" builtinId="9" hidden="1"/>
    <cellStyle name="Lien hypertexte visité" xfId="21510" builtinId="9" hidden="1"/>
    <cellStyle name="Lien hypertexte visité" xfId="10724" builtinId="9" hidden="1"/>
    <cellStyle name="Lien hypertexte visité" xfId="8357" builtinId="9" hidden="1"/>
    <cellStyle name="Lien hypertexte visité" xfId="13508" builtinId="9" hidden="1"/>
    <cellStyle name="Lien hypertexte visité" xfId="2305" builtinId="9" hidden="1"/>
    <cellStyle name="Lien hypertexte visité" xfId="16757" builtinId="9" hidden="1"/>
    <cellStyle name="Lien hypertexte visité" xfId="2081" builtinId="9" hidden="1"/>
    <cellStyle name="Lien hypertexte visité" xfId="3249" builtinId="9" hidden="1"/>
    <cellStyle name="Lien hypertexte visité" xfId="5239" builtinId="9" hidden="1"/>
    <cellStyle name="Lien hypertexte visité" xfId="20312" builtinId="9" hidden="1"/>
    <cellStyle name="Lien hypertexte visité" xfId="6084" builtinId="9" hidden="1"/>
    <cellStyle name="Lien hypertexte visité" xfId="7542" builtinId="9" hidden="1"/>
    <cellStyle name="Lien hypertexte visité" xfId="10934" builtinId="9" hidden="1"/>
    <cellStyle name="Lien hypertexte visité" xfId="24064" builtinId="9" hidden="1"/>
    <cellStyle name="Lien hypertexte visité" xfId="15041" builtinId="9" hidden="1"/>
    <cellStyle name="Lien hypertexte visité" xfId="5286" builtinId="9" hidden="1"/>
    <cellStyle name="Lien hypertexte visité" xfId="9876" builtinId="9" hidden="1"/>
    <cellStyle name="Lien hypertexte visité" xfId="6877" builtinId="9" hidden="1"/>
    <cellStyle name="Lien hypertexte visité" xfId="5262" builtinId="9" hidden="1"/>
    <cellStyle name="Lien hypertexte visité" xfId="10001" builtinId="9" hidden="1"/>
    <cellStyle name="Lien hypertexte visité" xfId="11355" builtinId="9" hidden="1"/>
    <cellStyle name="Lien hypertexte visité" xfId="2424" builtinId="9" hidden="1"/>
    <cellStyle name="Lien hypertexte visité" xfId="4431" builtinId="9" hidden="1"/>
    <cellStyle name="Lien hypertexte visité" xfId="12712" builtinId="9" hidden="1"/>
    <cellStyle name="Lien hypertexte visité" xfId="13180" builtinId="9" hidden="1"/>
    <cellStyle name="Lien hypertexte visité" xfId="7952" builtinId="9" hidden="1"/>
    <cellStyle name="Lien hypertexte visité" xfId="10296" builtinId="9" hidden="1"/>
    <cellStyle name="Lien hypertexte visité" xfId="13152" builtinId="9" hidden="1"/>
    <cellStyle name="Lien hypertexte visité" xfId="19756" builtinId="9" hidden="1"/>
    <cellStyle name="Lien hypertexte visité" xfId="12273" builtinId="9" hidden="1"/>
    <cellStyle name="Lien hypertexte visité" xfId="2602" builtinId="9" hidden="1"/>
    <cellStyle name="Lien hypertexte visité" xfId="3381" builtinId="9" hidden="1"/>
    <cellStyle name="Lien hypertexte visité" xfId="21428" builtinId="9" hidden="1"/>
    <cellStyle name="Lien hypertexte visité" xfId="6668" builtinId="9" hidden="1"/>
    <cellStyle name="Lien hypertexte visité" xfId="9087" builtinId="9" hidden="1"/>
    <cellStyle name="Lien hypertexte visité" xfId="5882" builtinId="9" hidden="1"/>
    <cellStyle name="Lien hypertexte visité" xfId="14931" builtinId="9" hidden="1"/>
    <cellStyle name="Lien hypertexte visité" xfId="3717" builtinId="9" hidden="1"/>
    <cellStyle name="Lien hypertexte visité" xfId="16077" builtinId="9" hidden="1"/>
    <cellStyle name="Lien hypertexte visité" xfId="21342" builtinId="9" hidden="1"/>
    <cellStyle name="Lien hypertexte visité" xfId="3338" builtinId="9" hidden="1"/>
    <cellStyle name="Lien hypertexte visité" xfId="9580" builtinId="9" hidden="1"/>
    <cellStyle name="Lien hypertexte visité" xfId="7804" builtinId="9" hidden="1"/>
    <cellStyle name="Lien hypertexte visité" xfId="15979" builtinId="9" hidden="1"/>
    <cellStyle name="Lien hypertexte visité" xfId="19026" builtinId="9" hidden="1"/>
    <cellStyle name="Lien hypertexte visité" xfId="1915" builtinId="9" hidden="1"/>
    <cellStyle name="Lien hypertexte visité" xfId="14711" builtinId="9" hidden="1"/>
    <cellStyle name="Lien hypertexte visité" xfId="15713" builtinId="9" hidden="1"/>
    <cellStyle name="Lien hypertexte visité" xfId="13458" builtinId="9" hidden="1"/>
    <cellStyle name="Lien hypertexte visité" xfId="1691" builtinId="9" hidden="1"/>
    <cellStyle name="Lien hypertexte visité" xfId="8282" builtinId="9" hidden="1"/>
    <cellStyle name="Lien hypertexte visité" xfId="7713" builtinId="9" hidden="1"/>
    <cellStyle name="Lien hypertexte visité" xfId="9318" builtinId="9" hidden="1"/>
    <cellStyle name="Lien hypertexte visité" xfId="20330" builtinId="9" hidden="1"/>
    <cellStyle name="Lien hypertexte visité" xfId="6558" builtinId="9" hidden="1"/>
    <cellStyle name="Lien hypertexte visité" xfId="9137" builtinId="9" hidden="1"/>
    <cellStyle name="Lien hypertexte visité" xfId="21884" builtinId="9" hidden="1"/>
    <cellStyle name="Lien hypertexte visité" xfId="23150" builtinId="9" hidden="1"/>
    <cellStyle name="Lien hypertexte visité" xfId="4288" builtinId="9" hidden="1"/>
    <cellStyle name="Lien hypertexte visité" xfId="8124" builtinId="9" hidden="1"/>
    <cellStyle name="Lien hypertexte visité" xfId="9165" builtinId="9" hidden="1"/>
    <cellStyle name="Lien hypertexte visité" xfId="13823" builtinId="9" hidden="1"/>
    <cellStyle name="Lien hypertexte visité" xfId="14323" builtinId="9" hidden="1"/>
    <cellStyle name="Lien hypertexte visité" xfId="7770" builtinId="9" hidden="1"/>
    <cellStyle name="Lien hypertexte visité" xfId="22860" builtinId="9" hidden="1"/>
    <cellStyle name="Lien hypertexte visité" xfId="6367" builtinId="9" hidden="1"/>
    <cellStyle name="Lien hypertexte visité" xfId="11581" builtinId="9" hidden="1"/>
    <cellStyle name="Lien hypertexte visité" xfId="12510" builtinId="9" hidden="1"/>
    <cellStyle name="Lien hypertexte visité" xfId="2523" builtinId="9" hidden="1"/>
    <cellStyle name="Lien hypertexte visité" xfId="9877" builtinId="9" hidden="1"/>
    <cellStyle name="Lien hypertexte visité" xfId="13127" builtinId="9" hidden="1"/>
    <cellStyle name="Lien hypertexte visité" xfId="21922" builtinId="9" hidden="1"/>
    <cellStyle name="Lien hypertexte visité" xfId="7206" builtinId="9" hidden="1"/>
    <cellStyle name="Lien hypertexte visité" xfId="20196" builtinId="9" hidden="1"/>
    <cellStyle name="Lien hypertexte visité" xfId="3722" builtinId="9" hidden="1"/>
    <cellStyle name="Lien hypertexte visité" xfId="9604" builtinId="9" hidden="1"/>
    <cellStyle name="Lien hypertexte visité" xfId="5427" builtinId="9" hidden="1"/>
    <cellStyle name="Lien hypertexte visité" xfId="6731" builtinId="9" hidden="1"/>
    <cellStyle name="Lien hypertexte visité" xfId="10589" builtinId="9" hidden="1"/>
    <cellStyle name="Lien hypertexte visité" xfId="12399" builtinId="9" hidden="1"/>
    <cellStyle name="Lien hypertexte visité" xfId="22826" builtinId="9" hidden="1"/>
    <cellStyle name="Lien hypertexte visité" xfId="3051" builtinId="9" hidden="1"/>
    <cellStyle name="Lien hypertexte visité" xfId="18502" builtinId="9" hidden="1"/>
    <cellStyle name="Lien hypertexte visité" xfId="1918" builtinId="9" hidden="1"/>
    <cellStyle name="Lien hypertexte visité" xfId="13783" builtinId="9" hidden="1"/>
    <cellStyle name="Lien hypertexte visité" xfId="18472" builtinId="9" hidden="1"/>
    <cellStyle name="Lien hypertexte visité" xfId="14234" builtinId="9" hidden="1"/>
    <cellStyle name="Lien hypertexte visité" xfId="5222" builtinId="9" hidden="1"/>
    <cellStyle name="Lien hypertexte visité" xfId="14478" builtinId="9" hidden="1"/>
    <cellStyle name="Lien hypertexte visité" xfId="5397" builtinId="9" hidden="1"/>
    <cellStyle name="Lien hypertexte visité" xfId="7855" builtinId="9" hidden="1"/>
    <cellStyle name="Lien hypertexte visité" xfId="4282" builtinId="9" hidden="1"/>
    <cellStyle name="Lien hypertexte visité" xfId="24334" builtinId="9" hidden="1"/>
    <cellStyle name="Lien hypertexte visité" xfId="20940" builtinId="9" hidden="1"/>
    <cellStyle name="Lien hypertexte visité" xfId="8913" builtinId="9" hidden="1"/>
    <cellStyle name="Lien hypertexte visité" xfId="6802" builtinId="9" hidden="1"/>
    <cellStyle name="Lien hypertexte visité" xfId="10043" builtinId="9" hidden="1"/>
    <cellStyle name="Lien hypertexte visité" xfId="1980" builtinId="9" hidden="1"/>
    <cellStyle name="Lien hypertexte visité" xfId="8171" builtinId="9" hidden="1"/>
    <cellStyle name="Lien hypertexte visité" xfId="11547" builtinId="9" hidden="1"/>
    <cellStyle name="Lien hypertexte visité" xfId="3877" builtinId="9" hidden="1"/>
    <cellStyle name="Lien hypertexte visité" xfId="13019" builtinId="9" hidden="1"/>
    <cellStyle name="Lien hypertexte visité" xfId="4088" builtinId="9" hidden="1"/>
    <cellStyle name="Lien hypertexte visité" xfId="18654" builtinId="9" hidden="1"/>
    <cellStyle name="Lien hypertexte visité" xfId="10096" builtinId="9" hidden="1"/>
    <cellStyle name="Lien hypertexte visité" xfId="8411" builtinId="9" hidden="1"/>
    <cellStyle name="Lien hypertexte visité" xfId="22774" builtinId="9" hidden="1"/>
    <cellStyle name="Lien hypertexte visité" xfId="9139" builtinId="9" hidden="1"/>
    <cellStyle name="Lien hypertexte visité" xfId="10131" builtinId="9" hidden="1"/>
    <cellStyle name="Lien hypertexte visité" xfId="3484" builtinId="9" hidden="1"/>
    <cellStyle name="Lien hypertexte visité" xfId="3931" builtinId="9" hidden="1"/>
    <cellStyle name="Lien hypertexte visité" xfId="1093" builtinId="9" hidden="1"/>
    <cellStyle name="Lien hypertexte visité" xfId="4207" builtinId="9" hidden="1"/>
    <cellStyle name="Lien hypertexte visité" xfId="8144" builtinId="9" hidden="1"/>
    <cellStyle name="Lien hypertexte visité" xfId="2410" builtinId="9" hidden="1"/>
    <cellStyle name="Lien hypertexte visité" xfId="4464" builtinId="9" hidden="1"/>
    <cellStyle name="Lien hypertexte visité" xfId="7064" builtinId="9" hidden="1"/>
    <cellStyle name="Lien hypertexte visité" xfId="9113" builtinId="9" hidden="1"/>
    <cellStyle name="Lien hypertexte visité" xfId="11737" builtinId="9" hidden="1"/>
    <cellStyle name="Lien hypertexte visité" xfId="13785" builtinId="9" hidden="1"/>
    <cellStyle name="Lien hypertexte visité" xfId="18303" builtinId="9" hidden="1"/>
    <cellStyle name="Lien hypertexte visité" xfId="23486" builtinId="9" hidden="1"/>
    <cellStyle name="Lien hypertexte visité" xfId="21644" builtinId="9" hidden="1"/>
    <cellStyle name="Lien hypertexte visité" xfId="16413" builtinId="9" hidden="1"/>
    <cellStyle name="Lien hypertexte visité" xfId="13416" builtinId="9" hidden="1"/>
    <cellStyle name="Lien hypertexte visité" xfId="10792" builtinId="9" hidden="1"/>
    <cellStyle name="Lien hypertexte visité" xfId="9184" builtinId="9" hidden="1"/>
    <cellStyle name="Lien hypertexte visité" xfId="19452" builtinId="9" hidden="1"/>
    <cellStyle name="Lien hypertexte visité" xfId="14281" builtinId="9" hidden="1"/>
    <cellStyle name="Lien hypertexte visité" xfId="8137" builtinId="9" hidden="1"/>
    <cellStyle name="Lien hypertexte visité" xfId="14496" builtinId="9" hidden="1"/>
    <cellStyle name="Lien hypertexte visité" xfId="13456" builtinId="9" hidden="1"/>
    <cellStyle name="Lien hypertexte visité" xfId="21822" builtinId="9" hidden="1"/>
    <cellStyle name="Lien hypertexte visité" xfId="11697" builtinId="9" hidden="1"/>
    <cellStyle name="Lien hypertexte visité" xfId="3843" builtinId="9" hidden="1"/>
    <cellStyle name="Lien hypertexte visité" xfId="2953" builtinId="9" hidden="1"/>
    <cellStyle name="Lien hypertexte visité" xfId="7932" builtinId="9" hidden="1"/>
    <cellStyle name="Lien hypertexte visité" xfId="24342" builtinId="9" hidden="1"/>
    <cellStyle name="Lien hypertexte visité" xfId="10221" builtinId="9" hidden="1"/>
    <cellStyle name="Lien hypertexte visité" xfId="2712" builtinId="9" hidden="1"/>
    <cellStyle name="Lien hypertexte visité" xfId="11935" builtinId="9" hidden="1"/>
    <cellStyle name="Lien hypertexte visité" xfId="6233" builtinId="9" hidden="1"/>
    <cellStyle name="Lien hypertexte visité" xfId="4313" builtinId="9" hidden="1"/>
    <cellStyle name="Lien hypertexte visité" xfId="12106" builtinId="9" hidden="1"/>
    <cellStyle name="Lien hypertexte visité" xfId="23120" builtinId="9" hidden="1"/>
    <cellStyle name="Lien hypertexte visité" xfId="17915" builtinId="9" hidden="1"/>
    <cellStyle name="Lien hypertexte visité" xfId="22378" builtinId="9" hidden="1"/>
    <cellStyle name="Lien hypertexte visité" xfId="23352" builtinId="9" hidden="1"/>
    <cellStyle name="Lien hypertexte visité" xfId="18872" builtinId="9" hidden="1"/>
    <cellStyle name="Lien hypertexte visité" xfId="14462" builtinId="9" hidden="1"/>
    <cellStyle name="Lien hypertexte visité" xfId="9427" builtinId="9" hidden="1"/>
    <cellStyle name="Lien hypertexte visité" xfId="11091" builtinId="9" hidden="1"/>
    <cellStyle name="Lien hypertexte visité" xfId="9747" builtinId="9" hidden="1"/>
    <cellStyle name="Lien hypertexte visité" xfId="7995" builtinId="9" hidden="1"/>
    <cellStyle name="Lien hypertexte visité" xfId="11328" builtinId="9" hidden="1"/>
    <cellStyle name="Lien hypertexte visité" xfId="20398" builtinId="9" hidden="1"/>
    <cellStyle name="Lien hypertexte visité" xfId="3811" builtinId="9" hidden="1"/>
    <cellStyle name="Lien hypertexte visité" xfId="3365" builtinId="9" hidden="1"/>
    <cellStyle name="Lien hypertexte visité" xfId="16071" builtinId="9" hidden="1"/>
    <cellStyle name="Lien hypertexte visité" xfId="2248" builtinId="9" hidden="1"/>
    <cellStyle name="Lien hypertexte visité" xfId="12766" builtinId="9" hidden="1"/>
    <cellStyle name="Lien hypertexte visité" xfId="20026" builtinId="9" hidden="1"/>
    <cellStyle name="Lien hypertexte visité" xfId="1049" builtinId="9" hidden="1"/>
    <cellStyle name="Lien hypertexte visité" xfId="15671" builtinId="9" hidden="1"/>
    <cellStyle name="Lien hypertexte visité" xfId="4164" builtinId="9" hidden="1"/>
    <cellStyle name="Lien hypertexte visité" xfId="10647" builtinId="9" hidden="1"/>
    <cellStyle name="Lien hypertexte visité" xfId="11990" builtinId="9" hidden="1"/>
    <cellStyle name="Lien hypertexte visité" xfId="21578" builtinId="9" hidden="1"/>
    <cellStyle name="Lien hypertexte visité" xfId="20378" builtinId="9" hidden="1"/>
    <cellStyle name="Lien hypertexte visité" xfId="2910" builtinId="9" hidden="1"/>
    <cellStyle name="Lien hypertexte visité" xfId="12900" builtinId="9" hidden="1"/>
    <cellStyle name="Lien hypertexte visité" xfId="19238" builtinId="9" hidden="1"/>
    <cellStyle name="Lien hypertexte visité" xfId="4727" builtinId="9" hidden="1"/>
    <cellStyle name="Lien hypertexte visité" xfId="3233" builtinId="9" hidden="1"/>
    <cellStyle name="Lien hypertexte visité" xfId="11140" builtinId="9" hidden="1"/>
    <cellStyle name="Lien hypertexte visité" xfId="14613" builtinId="9" hidden="1"/>
    <cellStyle name="Lien hypertexte visité" xfId="8741" builtinId="9" hidden="1"/>
    <cellStyle name="Lien hypertexte visité" xfId="1476" builtinId="9" hidden="1"/>
    <cellStyle name="Lien hypertexte visité" xfId="12428" builtinId="9" hidden="1"/>
    <cellStyle name="Lien hypertexte visité" xfId="13085" builtinId="9" hidden="1"/>
    <cellStyle name="Lien hypertexte visité" xfId="2134" builtinId="9" hidden="1"/>
    <cellStyle name="Lien hypertexte visité" xfId="12655" builtinId="9" hidden="1"/>
    <cellStyle name="Lien hypertexte visité" xfId="13342" builtinId="9" hidden="1"/>
    <cellStyle name="Lien hypertexte visité" xfId="18898" builtinId="9" hidden="1"/>
    <cellStyle name="Lien hypertexte visité" xfId="6773" builtinId="9" hidden="1"/>
    <cellStyle name="Lien hypertexte visité" xfId="1362" builtinId="9" hidden="1"/>
    <cellStyle name="Lien hypertexte visité" xfId="4189" builtinId="9" hidden="1"/>
    <cellStyle name="Lien hypertexte visité" xfId="10885" builtinId="9" hidden="1"/>
    <cellStyle name="Lien hypertexte visité" xfId="1742" builtinId="9" hidden="1"/>
    <cellStyle name="Lien hypertexte visité" xfId="6662" builtinId="9" hidden="1"/>
    <cellStyle name="Lien hypertexte visité" xfId="17083" builtinId="9" hidden="1"/>
    <cellStyle name="Lien hypertexte visité" xfId="14198" builtinId="9" hidden="1"/>
    <cellStyle name="Lien hypertexte visité" xfId="23592" builtinId="9" hidden="1"/>
    <cellStyle name="Lien hypertexte visité" xfId="20592" builtinId="9" hidden="1"/>
    <cellStyle name="Lien hypertexte visité" xfId="23320" builtinId="9" hidden="1"/>
    <cellStyle name="Lien hypertexte visité" xfId="4710" builtinId="9" hidden="1"/>
    <cellStyle name="Lien hypertexte visité" xfId="18243" builtinId="9" hidden="1"/>
    <cellStyle name="Lien hypertexte visité" xfId="10498" builtinId="9" hidden="1"/>
    <cellStyle name="Lien hypertexte visité" xfId="9141" builtinId="9" hidden="1"/>
    <cellStyle name="Lien hypertexte visité" xfId="3119" builtinId="9" hidden="1"/>
    <cellStyle name="Lien hypertexte visité" xfId="16043" builtinId="9" hidden="1"/>
    <cellStyle name="Lien hypertexte visité" xfId="6062" builtinId="9" hidden="1"/>
    <cellStyle name="Lien hypertexte visité" xfId="10866" builtinId="9" hidden="1"/>
    <cellStyle name="Lien hypertexte visité" xfId="21536" builtinId="9" hidden="1"/>
    <cellStyle name="Lien hypertexte visité" xfId="11178" builtinId="9" hidden="1"/>
    <cellStyle name="Lien hypertexte visité" xfId="3652" builtinId="9" hidden="1"/>
    <cellStyle name="Lien hypertexte visité" xfId="7886" builtinId="9" hidden="1"/>
    <cellStyle name="Lien hypertexte visité" xfId="13573" builtinId="9" hidden="1"/>
    <cellStyle name="Lien hypertexte visité" xfId="6068" builtinId="9" hidden="1"/>
    <cellStyle name="Lien hypertexte visité" xfId="3974" builtinId="9" hidden="1"/>
    <cellStyle name="Lien hypertexte visité" xfId="11479" builtinId="9" hidden="1"/>
    <cellStyle name="Lien hypertexte visité" xfId="11182" builtinId="9" hidden="1"/>
    <cellStyle name="Lien hypertexte visité" xfId="20120" builtinId="9" hidden="1"/>
    <cellStyle name="Lien hypertexte visité" xfId="19554" builtinId="9" hidden="1"/>
    <cellStyle name="Lien hypertexte visité" xfId="22682" builtinId="9" hidden="1"/>
    <cellStyle name="Lien hypertexte visité" xfId="9794" builtinId="9" hidden="1"/>
    <cellStyle name="Lien hypertexte visité" xfId="2590" builtinId="9" hidden="1"/>
    <cellStyle name="Lien hypertexte visité" xfId="5734" builtinId="9" hidden="1"/>
    <cellStyle name="Lien hypertexte visité" xfId="15387" builtinId="9" hidden="1"/>
    <cellStyle name="Lien hypertexte visité" xfId="13718" builtinId="9" hidden="1"/>
    <cellStyle name="Lien hypertexte visité" xfId="22464" builtinId="9" hidden="1"/>
    <cellStyle name="Lien hypertexte visité" xfId="23472" builtinId="9" hidden="1"/>
    <cellStyle name="Lien hypertexte visité" xfId="13466" builtinId="9" hidden="1"/>
    <cellStyle name="Lien hypertexte visité" xfId="24538" builtinId="9" hidden="1"/>
    <cellStyle name="Lien hypertexte visité" xfId="18099" builtinId="9" hidden="1"/>
    <cellStyle name="Lien hypertexte visité" xfId="22178" builtinId="9" hidden="1"/>
    <cellStyle name="Lien hypertexte visité" xfId="23128" builtinId="9" hidden="1"/>
    <cellStyle name="Lien hypertexte visité" xfId="19776" builtinId="9" hidden="1"/>
    <cellStyle name="Lien hypertexte visité" xfId="15865" builtinId="9" hidden="1"/>
    <cellStyle name="Lien hypertexte visité" xfId="13518" builtinId="9" hidden="1"/>
    <cellStyle name="Lien hypertexte visité" xfId="11554" builtinId="9" hidden="1"/>
    <cellStyle name="Lien hypertexte visité" xfId="9870" builtinId="9" hidden="1"/>
    <cellStyle name="Lien hypertexte visité" xfId="16379" builtinId="9" hidden="1"/>
    <cellStyle name="Lien hypertexte visité" xfId="12375" builtinId="9" hidden="1"/>
    <cellStyle name="Lien hypertexte visité" xfId="9991" builtinId="9" hidden="1"/>
    <cellStyle name="Lien hypertexte visité" xfId="6918" builtinId="9" hidden="1"/>
    <cellStyle name="Lien hypertexte visité" xfId="4534" builtinId="9" hidden="1"/>
    <cellStyle name="Lien hypertexte visité" xfId="1455" builtinId="9" hidden="1"/>
    <cellStyle name="Lien hypertexte visité" xfId="2094" builtinId="9" hidden="1"/>
    <cellStyle name="Lien hypertexte visité" xfId="5172" builtinId="9" hidden="1"/>
    <cellStyle name="Lien hypertexte visité" xfId="8245" builtinId="9" hidden="1"/>
    <cellStyle name="Lien hypertexte visité" xfId="10629" builtinId="9" hidden="1"/>
    <cellStyle name="Lien hypertexte visité" xfId="13701" builtinId="9" hidden="1"/>
    <cellStyle name="Lien hypertexte visité" xfId="17655" builtinId="9" hidden="1"/>
    <cellStyle name="Lien hypertexte visité" xfId="5069" builtinId="9" hidden="1"/>
    <cellStyle name="Lien hypertexte visité" xfId="7117" builtinId="9" hidden="1"/>
    <cellStyle name="Lien hypertexte visité" xfId="3063" builtinId="9" hidden="1"/>
    <cellStyle name="Lien hypertexte visité" xfId="433" builtinId="9" hidden="1"/>
    <cellStyle name="Lien hypertexte visité" xfId="3844" builtinId="9" hidden="1"/>
    <cellStyle name="Lien hypertexte visité" xfId="8018" builtinId="9" hidden="1"/>
    <cellStyle name="Lien hypertexte visité" xfId="5893" builtinId="9" hidden="1"/>
    <cellStyle name="Lien hypertexte visité" xfId="10282" builtinId="9" hidden="1"/>
    <cellStyle name="Lien hypertexte visité" xfId="20880" builtinId="9" hidden="1"/>
    <cellStyle name="Lien hypertexte visité" xfId="19586" builtinId="9" hidden="1"/>
    <cellStyle name="Lien hypertexte visité" xfId="23496" builtinId="9" hidden="1"/>
    <cellStyle name="Lien hypertexte visité" xfId="18720" builtinId="9" hidden="1"/>
    <cellStyle name="Lien hypertexte visité" xfId="13554" builtinId="9" hidden="1"/>
    <cellStyle name="Lien hypertexte visité" xfId="11166" builtinId="9" hidden="1"/>
    <cellStyle name="Lien hypertexte visité" xfId="16939" builtinId="9" hidden="1"/>
    <cellStyle name="Lien hypertexte visité" xfId="12143" builtinId="9" hidden="1"/>
    <cellStyle name="Lien hypertexte visité" xfId="7534" builtinId="9" hidden="1"/>
    <cellStyle name="Lien hypertexte visité" xfId="2920" builtinId="9" hidden="1"/>
    <cellStyle name="Lien hypertexte visité" xfId="1814" builtinId="9" hidden="1"/>
    <cellStyle name="Lien hypertexte visité" xfId="6428" builtinId="9" hidden="1"/>
    <cellStyle name="Lien hypertexte visité" xfId="10013" builtinId="9" hidden="1"/>
    <cellStyle name="Lien hypertexte visité" xfId="14727" builtinId="9" hidden="1"/>
    <cellStyle name="Lien hypertexte visité" xfId="21878" builtinId="9" hidden="1"/>
    <cellStyle name="Lien hypertexte visité" xfId="18149" builtinId="9" hidden="1"/>
    <cellStyle name="Lien hypertexte visité" xfId="11916" builtinId="9" hidden="1"/>
    <cellStyle name="Lien hypertexte visité" xfId="8140" builtinId="9" hidden="1"/>
    <cellStyle name="Lien hypertexte visité" xfId="3726" builtinId="9" hidden="1"/>
    <cellStyle name="Lien hypertexte visité" xfId="1208" builtinId="9" hidden="1"/>
    <cellStyle name="Lien hypertexte visité" xfId="5631" builtinId="9" hidden="1"/>
    <cellStyle name="Lien hypertexte visité" xfId="89" builtinId="9" hidden="1"/>
    <cellStyle name="Lien hypertexte visité" xfId="10277" builtinId="9" hidden="1"/>
    <cellStyle name="Lien hypertexte visité" xfId="7251" builtinId="9" hidden="1"/>
    <cellStyle name="Lien hypertexte visité" xfId="10324" builtinId="9" hidden="1"/>
    <cellStyle name="Lien hypertexte visité" xfId="14276" builtinId="9" hidden="1"/>
    <cellStyle name="Lien hypertexte visité" xfId="20164" builtinId="9" hidden="1"/>
    <cellStyle name="Lien hypertexte visité" xfId="21158" builtinId="9" hidden="1"/>
    <cellStyle name="Lien hypertexte visité" xfId="8068" builtinId="9" hidden="1"/>
    <cellStyle name="Lien hypertexte visité" xfId="1613" builtinId="9" hidden="1"/>
    <cellStyle name="Lien hypertexte visité" xfId="3325" builtinId="9" hidden="1"/>
    <cellStyle name="Lien hypertexte visité" xfId="3489" builtinId="9" hidden="1"/>
    <cellStyle name="Lien hypertexte visité" xfId="8760" builtinId="9" hidden="1"/>
    <cellStyle name="Lien hypertexte visité" xfId="7047" builtinId="9" hidden="1"/>
    <cellStyle name="Lien hypertexte visité" xfId="5927" builtinId="9" hidden="1"/>
    <cellStyle name="Lien hypertexte visité" xfId="2781" builtinId="9" hidden="1"/>
    <cellStyle name="Lien hypertexte visité" xfId="2049" builtinId="9" hidden="1"/>
    <cellStyle name="Lien hypertexte visité" xfId="20102" builtinId="9" hidden="1"/>
    <cellStyle name="Lien hypertexte visité" xfId="22692" builtinId="9" hidden="1"/>
    <cellStyle name="Lien hypertexte visité" xfId="15093" builtinId="9" hidden="1"/>
    <cellStyle name="Lien hypertexte visité" xfId="11588" builtinId="9" hidden="1"/>
    <cellStyle name="Lien hypertexte visité" xfId="7779" builtinId="9" hidden="1"/>
    <cellStyle name="Lien hypertexte visité" xfId="14871" builtinId="9" hidden="1"/>
    <cellStyle name="Lien hypertexte visité" xfId="1373" builtinId="9" hidden="1"/>
    <cellStyle name="Lien hypertexte visité" xfId="13607" builtinId="9" hidden="1"/>
    <cellStyle name="Lien hypertexte visité" xfId="13846" builtinId="9" hidden="1"/>
    <cellStyle name="Lien hypertexte visité" xfId="17651" builtinId="9" hidden="1"/>
    <cellStyle name="Lien hypertexte visité" xfId="14298" builtinId="9" hidden="1"/>
    <cellStyle name="Lien hypertexte visité" xfId="17499" builtinId="9" hidden="1"/>
    <cellStyle name="Lien hypertexte visité" xfId="22258" builtinId="9" hidden="1"/>
    <cellStyle name="Lien hypertexte visité" xfId="20824" builtinId="9" hidden="1"/>
    <cellStyle name="Lien hypertexte visité" xfId="14697" builtinId="9" hidden="1"/>
    <cellStyle name="Lien hypertexte visité" xfId="12214" builtinId="9" hidden="1"/>
    <cellStyle name="Lien hypertexte visité" xfId="9142" builtinId="9" hidden="1"/>
    <cellStyle name="Lien hypertexte visité" xfId="13719" builtinId="9" hidden="1"/>
    <cellStyle name="Lien hypertexte visité" xfId="9111" builtinId="9" hidden="1"/>
    <cellStyle name="Lien hypertexte visité" xfId="5526" builtinId="9" hidden="1"/>
    <cellStyle name="Lien hypertexte visité" xfId="659" builtinId="9" hidden="1"/>
    <cellStyle name="Lien hypertexte visité" xfId="4676" builtinId="9" hidden="1"/>
    <cellStyle name="Lien hypertexte visité" xfId="8437" builtinId="9" hidden="1"/>
    <cellStyle name="Lien hypertexte visité" xfId="12869" builtinId="9" hidden="1"/>
    <cellStyle name="Lien hypertexte visité" xfId="18726" builtinId="9" hidden="1"/>
    <cellStyle name="Lien hypertexte visité" xfId="6693" builtinId="9" hidden="1"/>
    <cellStyle name="Lien hypertexte visité" xfId="3219" builtinId="9" hidden="1"/>
    <cellStyle name="Lien hypertexte visité" xfId="1883" builtinId="9" hidden="1"/>
    <cellStyle name="Lien hypertexte visité" xfId="7341" builtinId="9" hidden="1"/>
    <cellStyle name="Lien hypertexte visité" xfId="4269" builtinId="9" hidden="1"/>
    <cellStyle name="Lien hypertexte visité" xfId="22074" builtinId="9" hidden="1"/>
    <cellStyle name="Lien hypertexte visité" xfId="22866" builtinId="9" hidden="1"/>
    <cellStyle name="Lien hypertexte visité" xfId="17161" builtinId="9" hidden="1"/>
    <cellStyle name="Lien hypertexte visité" xfId="12254" builtinId="9" hidden="1"/>
    <cellStyle name="Lien hypertexte visité" xfId="15595" builtinId="9" hidden="1"/>
    <cellStyle name="Lien hypertexte visité" xfId="8143" builtinId="9" hidden="1"/>
    <cellStyle name="Lien hypertexte visité" xfId="2760" builtinId="9" hidden="1"/>
    <cellStyle name="Lien hypertexte visité" xfId="5308" builtinId="9" hidden="1"/>
    <cellStyle name="Lien hypertexte visité" xfId="10685" builtinId="9" hidden="1"/>
    <cellStyle name="Lien hypertexte visité" xfId="20662" builtinId="9" hidden="1"/>
    <cellStyle name="Lien hypertexte visité" xfId="17829" builtinId="9" hidden="1"/>
    <cellStyle name="Lien hypertexte visité" xfId="9260" builtinId="9" hidden="1"/>
    <cellStyle name="Lien hypertexte visité" xfId="2597" builtinId="9" hidden="1"/>
    <cellStyle name="Lien hypertexte visité" xfId="4191" builtinId="9" hidden="1"/>
    <cellStyle name="Lien hypertexte visité" xfId="1586" builtinId="9" hidden="1"/>
    <cellStyle name="Lien hypertexte visité" xfId="5344" builtinId="9" hidden="1"/>
    <cellStyle name="Lien hypertexte visité" xfId="9785" builtinId="9" hidden="1"/>
    <cellStyle name="Lien hypertexte visité" xfId="13537" builtinId="9" hidden="1"/>
    <cellStyle name="Lien hypertexte visité" xfId="21422" builtinId="9" hidden="1"/>
    <cellStyle name="Lien hypertexte visité" xfId="18588" builtinId="9" hidden="1"/>
    <cellStyle name="Lien hypertexte visité" xfId="12976" builtinId="9" hidden="1"/>
    <cellStyle name="Lien hypertexte visité" xfId="10304" builtinId="9" hidden="1"/>
    <cellStyle name="Lien hypertexte visité" xfId="21646" builtinId="9" hidden="1"/>
    <cellStyle name="Lien hypertexte visité" xfId="4264" builtinId="9" hidden="1"/>
    <cellStyle name="Lien hypertexte visité" xfId="7554" builtinId="9" hidden="1"/>
    <cellStyle name="Lien hypertexte visité" xfId="6674" builtinId="9" hidden="1"/>
    <cellStyle name="Lien hypertexte visité" xfId="14393" builtinId="9" hidden="1"/>
    <cellStyle name="Lien hypertexte visité" xfId="15269" builtinId="9" hidden="1"/>
    <cellStyle name="Lien hypertexte visité" xfId="11230" builtinId="9" hidden="1"/>
    <cellStyle name="Lien hypertexte visité" xfId="3909" builtinId="9" hidden="1"/>
    <cellStyle name="Lien hypertexte visité" xfId="4678" builtinId="9" hidden="1"/>
    <cellStyle name="Lien hypertexte visité" xfId="23626" builtinId="9" hidden="1"/>
    <cellStyle name="Lien hypertexte visité" xfId="12133" builtinId="9" hidden="1"/>
    <cellStyle name="Lien hypertexte visité" xfId="2109" builtinId="9" hidden="1"/>
    <cellStyle name="Lien hypertexte visité" xfId="2401" builtinId="9" hidden="1"/>
    <cellStyle name="Lien hypertexte visité" xfId="1177" builtinId="9" hidden="1"/>
    <cellStyle name="Lien hypertexte visité" xfId="23542" builtinId="9" hidden="1"/>
    <cellStyle name="Lien hypertexte visité" xfId="11119" builtinId="9" hidden="1"/>
    <cellStyle name="Lien hypertexte visité" xfId="24464" builtinId="9" hidden="1"/>
    <cellStyle name="Lien hypertexte visité" xfId="7629" builtinId="9" hidden="1"/>
    <cellStyle name="Lien hypertexte visité" xfId="2766" builtinId="9" hidden="1"/>
    <cellStyle name="Lien hypertexte visité" xfId="9506" builtinId="9" hidden="1"/>
    <cellStyle name="Lien hypertexte visité" xfId="18802" builtinId="9" hidden="1"/>
    <cellStyle name="Lien hypertexte visité" xfId="7782" builtinId="9" hidden="1"/>
    <cellStyle name="Lien hypertexte visité" xfId="13191" builtinId="9" hidden="1"/>
    <cellStyle name="Lien hypertexte visité" xfId="24274" builtinId="9" hidden="1"/>
    <cellStyle name="Lien hypertexte visité" xfId="20976" builtinId="9" hidden="1"/>
    <cellStyle name="Lien hypertexte visité" xfId="8503" builtinId="9" hidden="1"/>
    <cellStyle name="Lien hypertexte visité" xfId="15833" builtinId="9" hidden="1"/>
    <cellStyle name="Lien hypertexte visité" xfId="12228" builtinId="9" hidden="1"/>
    <cellStyle name="Lien hypertexte visité" xfId="22040" builtinId="9" hidden="1"/>
    <cellStyle name="Lien hypertexte visité" xfId="13674" builtinId="9" hidden="1"/>
    <cellStyle name="Lien hypertexte visité" xfId="10760" builtinId="9" hidden="1"/>
    <cellStyle name="Lien hypertexte visité" xfId="22368" builtinId="9" hidden="1"/>
    <cellStyle name="Lien hypertexte visité" xfId="14495" builtinId="9" hidden="1"/>
    <cellStyle name="Lien hypertexte visité" xfId="10329" builtinId="9" hidden="1"/>
    <cellStyle name="Lien hypertexte visité" xfId="10848" builtinId="9" hidden="1"/>
    <cellStyle name="Lien hypertexte visité" xfId="14361" builtinId="9" hidden="1"/>
    <cellStyle name="Lien hypertexte visité" xfId="4911" builtinId="9" hidden="1"/>
    <cellStyle name="Lien hypertexte visité" xfId="2291" builtinId="9" hidden="1"/>
    <cellStyle name="Lien hypertexte visité" xfId="3539" builtinId="9" hidden="1"/>
    <cellStyle name="Lien hypertexte visité" xfId="1310" builtinId="9" hidden="1"/>
    <cellStyle name="Lien hypertexte visité" xfId="1025" builtinId="9" hidden="1"/>
    <cellStyle name="Lien hypertexte visité" xfId="3679" builtinId="9" hidden="1"/>
    <cellStyle name="Lien hypertexte visité" xfId="23248" builtinId="9" hidden="1"/>
    <cellStyle name="Lien hypertexte visité" xfId="10342" builtinId="9" hidden="1"/>
    <cellStyle name="Lien hypertexte visité" xfId="10750" builtinId="9" hidden="1"/>
    <cellStyle name="Lien hypertexte visité" xfId="12414" builtinId="9" hidden="1"/>
    <cellStyle name="Lien hypertexte visité" xfId="14162" builtinId="9" hidden="1"/>
    <cellStyle name="Lien hypertexte visité" xfId="4621" builtinId="9" hidden="1"/>
    <cellStyle name="Lien hypertexte visité" xfId="22408" builtinId="9" hidden="1"/>
    <cellStyle name="Lien hypertexte visité" xfId="19080" builtinId="9" hidden="1"/>
    <cellStyle name="Lien hypertexte visité" xfId="15001" builtinId="9" hidden="1"/>
    <cellStyle name="Lien hypertexte visité" xfId="13202" builtinId="9" hidden="1"/>
    <cellStyle name="Lien hypertexte visité" xfId="11558" builtinId="9" hidden="1"/>
    <cellStyle name="Lien hypertexte visité" xfId="9982" builtinId="9" hidden="1"/>
    <cellStyle name="Lien hypertexte visité" xfId="22200" builtinId="9" hidden="1"/>
    <cellStyle name="Lien hypertexte visité" xfId="4825" builtinId="9" hidden="1"/>
    <cellStyle name="Lien hypertexte visité" xfId="1539" builtinId="9" hidden="1"/>
    <cellStyle name="Lien hypertexte visité" xfId="729" builtinId="9" hidden="1"/>
    <cellStyle name="Lien hypertexte visité" xfId="1807" builtinId="9" hidden="1"/>
    <cellStyle name="Lien hypertexte visité" xfId="8842" builtinId="9" hidden="1"/>
    <cellStyle name="Lien hypertexte visité" xfId="13514" builtinId="9" hidden="1"/>
    <cellStyle name="Lien hypertexte visité" xfId="21840" builtinId="9" hidden="1"/>
    <cellStyle name="Lien hypertexte visité" xfId="18043" builtinId="9" hidden="1"/>
    <cellStyle name="Lien hypertexte visité" xfId="21138" builtinId="9" hidden="1"/>
    <cellStyle name="Lien hypertexte visité" xfId="24258" builtinId="9" hidden="1"/>
    <cellStyle name="Lien hypertexte visité" xfId="6509" builtinId="9" hidden="1"/>
    <cellStyle name="Lien hypertexte visité" xfId="5173" builtinId="9" hidden="1"/>
    <cellStyle name="Lien hypertexte visité" xfId="8522" builtinId="9" hidden="1"/>
    <cellStyle name="Lien hypertexte visité" xfId="12319" builtinId="9" hidden="1"/>
    <cellStyle name="Lien hypertexte visité" xfId="4204" builtinId="9" hidden="1"/>
    <cellStyle name="Lien hypertexte visité" xfId="3694" builtinId="9" hidden="1"/>
    <cellStyle name="Lien hypertexte visité" xfId="15243" builtinId="9" hidden="1"/>
    <cellStyle name="Lien hypertexte visité" xfId="6686" builtinId="9" hidden="1"/>
    <cellStyle name="Lien hypertexte visité" xfId="5081" builtinId="9" hidden="1"/>
    <cellStyle name="Lien hypertexte visité" xfId="6417" builtinId="9" hidden="1"/>
    <cellStyle name="Lien hypertexte visité" xfId="23992" builtinId="9" hidden="1"/>
    <cellStyle name="Lien hypertexte visité" xfId="22122" builtinId="9" hidden="1"/>
    <cellStyle name="Lien hypertexte visité" xfId="18259" builtinId="9" hidden="1"/>
    <cellStyle name="Lien hypertexte visité" xfId="24442" builtinId="9" hidden="1"/>
    <cellStyle name="Lien hypertexte visité" xfId="15457" builtinId="9" hidden="1"/>
    <cellStyle name="Lien hypertexte visité" xfId="9098" builtinId="9" hidden="1"/>
    <cellStyle name="Lien hypertexte visité" xfId="1743" builtinId="9" hidden="1"/>
    <cellStyle name="Lien hypertexte visité" xfId="417" builtinId="9" hidden="1"/>
    <cellStyle name="Lien hypertexte visité" xfId="1903" builtinId="9" hidden="1"/>
    <cellStyle name="Lien hypertexte visité" xfId="5409" builtinId="9" hidden="1"/>
    <cellStyle name="Lien hypertexte visité" xfId="23560" builtinId="9" hidden="1"/>
    <cellStyle name="Lien hypertexte visité" xfId="9510" builtinId="9" hidden="1"/>
    <cellStyle name="Lien hypertexte visité" xfId="11070" builtinId="9" hidden="1"/>
    <cellStyle name="Lien hypertexte visité" xfId="13118" builtinId="9" hidden="1"/>
    <cellStyle name="Lien hypertexte visité" xfId="14833" builtinId="9" hidden="1"/>
    <cellStyle name="Lien hypertexte visité" xfId="18161" builtinId="9" hidden="1"/>
    <cellStyle name="Lien hypertexte visité" xfId="21256" builtinId="9" hidden="1"/>
    <cellStyle name="Lien hypertexte visité" xfId="10202" builtinId="9" hidden="1"/>
    <cellStyle name="Lien hypertexte visité" xfId="10942" builtinId="9" hidden="1"/>
    <cellStyle name="Lien hypertexte visité" xfId="12990" builtinId="9" hidden="1"/>
    <cellStyle name="Lien hypertexte visité" xfId="10834" builtinId="9" hidden="1"/>
    <cellStyle name="Lien hypertexte visité" xfId="9662" builtinId="9" hidden="1"/>
    <cellStyle name="Lien hypertexte visité" xfId="21226" builtinId="9" hidden="1"/>
    <cellStyle name="Lien hypertexte visité" xfId="3295" builtinId="9" hidden="1"/>
    <cellStyle name="Lien hypertexte visité" xfId="2199" builtinId="9" hidden="1"/>
    <cellStyle name="Lien hypertexte visité" xfId="1390" builtinId="9" hidden="1"/>
    <cellStyle name="Lien hypertexte visité" xfId="3267" builtinId="9" hidden="1"/>
    <cellStyle name="Lien hypertexte visité" xfId="2735" builtinId="9" hidden="1"/>
    <cellStyle name="Lien hypertexte visité" xfId="7677" builtinId="9" hidden="1"/>
    <cellStyle name="Lien hypertexte visité" xfId="6741" builtinId="9" hidden="1"/>
    <cellStyle name="Lien hypertexte visité" xfId="8022" builtinId="9" hidden="1"/>
    <cellStyle name="Lien hypertexte visité" xfId="2647" builtinId="9" hidden="1"/>
    <cellStyle name="Lien hypertexte visité" xfId="5533" builtinId="9" hidden="1"/>
    <cellStyle name="Lien hypertexte visité" xfId="4253" builtinId="9" hidden="1"/>
    <cellStyle name="Lien hypertexte visité" xfId="11226" builtinId="9" hidden="1"/>
    <cellStyle name="Lien hypertexte visité" xfId="8410" builtinId="9" hidden="1"/>
    <cellStyle name="Lien hypertexte visité" xfId="5133" builtinId="9" hidden="1"/>
    <cellStyle name="Lien hypertexte visité" xfId="2559" builtinId="9" hidden="1"/>
    <cellStyle name="Lien hypertexte visité" xfId="7930" builtinId="9" hidden="1"/>
    <cellStyle name="Lien hypertexte visité" xfId="3658" builtinId="9" hidden="1"/>
    <cellStyle name="Lien hypertexte visité" xfId="8082" builtinId="9" hidden="1"/>
    <cellStyle name="Lien hypertexte visité" xfId="2751" builtinId="9" hidden="1"/>
    <cellStyle name="Lien hypertexte visité" xfId="19848" builtinId="9" hidden="1"/>
    <cellStyle name="Lien hypertexte visité" xfId="13983" builtinId="9" hidden="1"/>
    <cellStyle name="Lien hypertexte visité" xfId="4184" builtinId="9" hidden="1"/>
    <cellStyle name="Lien hypertexte visité" xfId="17503" builtinId="9" hidden="1"/>
    <cellStyle name="Lien hypertexte visité" xfId="22748" builtinId="9" hidden="1"/>
    <cellStyle name="Lien hypertexte visité" xfId="2282" builtinId="9" hidden="1"/>
    <cellStyle name="Lien hypertexte visité" xfId="11100" builtinId="9" hidden="1"/>
    <cellStyle name="Lien hypertexte visité" xfId="6188" builtinId="9" hidden="1"/>
    <cellStyle name="Lien hypertexte visité" xfId="7422" builtinId="9" hidden="1"/>
    <cellStyle name="Lien hypertexte visité" xfId="4190" builtinId="9" hidden="1"/>
    <cellStyle name="Lien hypertexte visité" xfId="1059" builtinId="9" hidden="1"/>
    <cellStyle name="Lien hypertexte visité" xfId="3110" builtinId="9" hidden="1"/>
    <cellStyle name="Lien hypertexte visité" xfId="7052" builtinId="9" hidden="1"/>
    <cellStyle name="Lien hypertexte visité" xfId="10125" builtinId="9" hidden="1"/>
    <cellStyle name="Lien hypertexte visité" xfId="13357" builtinId="9" hidden="1"/>
    <cellStyle name="Lien hypertexte visité" xfId="18326" builtinId="9" hidden="1"/>
    <cellStyle name="Lien hypertexte visité" xfId="23028" builtinId="9" hidden="1"/>
    <cellStyle name="Lien hypertexte visité" xfId="16901" builtinId="9" hidden="1"/>
    <cellStyle name="Lien hypertexte visité" xfId="12636" builtinId="9" hidden="1"/>
    <cellStyle name="Lien hypertexte visité" xfId="9404" builtinId="9" hidden="1"/>
    <cellStyle name="Lien hypertexte visité" xfId="8732" builtinId="9" hidden="1"/>
    <cellStyle name="Lien hypertexte visité" xfId="19182" builtinId="9" hidden="1"/>
    <cellStyle name="Lien hypertexte visité" xfId="2935" builtinId="9" hidden="1"/>
    <cellStyle name="Lien hypertexte visité" xfId="22240" builtinId="9" hidden="1"/>
    <cellStyle name="Lien hypertexte visité" xfId="21354" builtinId="9" hidden="1"/>
    <cellStyle name="Lien hypertexte visité" xfId="24144" builtinId="9" hidden="1"/>
    <cellStyle name="Lien hypertexte visité" xfId="12498" builtinId="9" hidden="1"/>
    <cellStyle name="Lien hypertexte visité" xfId="16463" builtinId="9" hidden="1"/>
    <cellStyle name="Lien hypertexte visité" xfId="13441" builtinId="9" hidden="1"/>
    <cellStyle name="Lien hypertexte visité" xfId="11289" builtinId="9" hidden="1"/>
    <cellStyle name="Lien hypertexte visité" xfId="8769" builtinId="9" hidden="1"/>
    <cellStyle name="Lien hypertexte visité" xfId="6616" builtinId="9" hidden="1"/>
    <cellStyle name="Lien hypertexte visité" xfId="4568" builtinId="9" hidden="1"/>
    <cellStyle name="Lien hypertexte visité" xfId="2514" builtinId="9" hidden="1"/>
    <cellStyle name="Lien hypertexte visité" xfId="411" builtinId="9" hidden="1"/>
    <cellStyle name="Lien hypertexte visité" xfId="5935" builtinId="9" hidden="1"/>
    <cellStyle name="Lien hypertexte visité" xfId="2857" builtinId="9" hidden="1"/>
    <cellStyle name="Lien hypertexte visité" xfId="1364" builtinId="9" hidden="1"/>
    <cellStyle name="Lien hypertexte visité" xfId="5307" builtinId="9" hidden="1"/>
    <cellStyle name="Lien hypertexte visité" xfId="8540" builtinId="9" hidden="1"/>
    <cellStyle name="Lien hypertexte visité" xfId="11612" builtinId="9" hidden="1"/>
    <cellStyle name="Lien hypertexte visité" xfId="14853" builtinId="9" hidden="1"/>
    <cellStyle name="Lien hypertexte visité" xfId="20980" builtinId="9" hidden="1"/>
    <cellStyle name="Lien hypertexte visité" xfId="21718" builtinId="9" hidden="1"/>
    <cellStyle name="Lien hypertexte visité" xfId="15591" builtinId="9" hidden="1"/>
    <cellStyle name="Lien hypertexte visité" xfId="11149" builtinId="9" hidden="1"/>
    <cellStyle name="Lien hypertexte visité" xfId="8077" builtinId="9" hidden="1"/>
    <cellStyle name="Lien hypertexte visité" xfId="5004" builtinId="9" hidden="1"/>
    <cellStyle name="Lien hypertexte visité" xfId="1734" builtinId="9" hidden="1"/>
    <cellStyle name="Lien hypertexte visité" xfId="2488" builtinId="9" hidden="1"/>
    <cellStyle name="Lien hypertexte visité" xfId="5566" builtinId="9" hidden="1"/>
    <cellStyle name="Lien hypertexte visité" xfId="8799" builtinId="9" hidden="1"/>
    <cellStyle name="Lien hypertexte visité" xfId="10285" builtinId="9" hidden="1"/>
    <cellStyle name="Lien hypertexte visité" xfId="1557" builtinId="9" hidden="1"/>
    <cellStyle name="Lien hypertexte visité" xfId="8665" builtinId="9" hidden="1"/>
    <cellStyle name="Lien hypertexte visité" xfId="17309" builtinId="9" hidden="1"/>
    <cellStyle name="Lien hypertexte visité" xfId="7817" builtinId="9" hidden="1"/>
    <cellStyle name="Lien hypertexte visité" xfId="2441" builtinId="9" hidden="1"/>
    <cellStyle name="Lien hypertexte visité" xfId="5813" builtinId="9" hidden="1"/>
    <cellStyle name="Lien hypertexte visité" xfId="21384" builtinId="9" hidden="1"/>
    <cellStyle name="Lien hypertexte visité" xfId="2823" builtinId="9" hidden="1"/>
    <cellStyle name="Lien hypertexte visité" xfId="7842" builtinId="9" hidden="1"/>
    <cellStyle name="Lien hypertexte visité" xfId="6557" builtinId="9" hidden="1"/>
    <cellStyle name="Lien hypertexte visité" xfId="7858" builtinId="9" hidden="1"/>
    <cellStyle name="Lien hypertexte visité" xfId="2491" builtinId="9" hidden="1"/>
    <cellStyle name="Lien hypertexte visité" xfId="5057" builtinId="9" hidden="1"/>
    <cellStyle name="Lien hypertexte visité" xfId="6321" builtinId="9" hidden="1"/>
    <cellStyle name="Lien hypertexte visité" xfId="8602" builtinId="9" hidden="1"/>
    <cellStyle name="Lien hypertexte visité" xfId="9818" builtinId="9" hidden="1"/>
    <cellStyle name="Lien hypertexte visité" xfId="5605" builtinId="9" hidden="1"/>
    <cellStyle name="Lien hypertexte visité" xfId="3003" builtinId="9" hidden="1"/>
    <cellStyle name="Lien hypertexte visité" xfId="6889" builtinId="9" hidden="1"/>
    <cellStyle name="Lien hypertexte visité" xfId="7105" builtinId="9" hidden="1"/>
    <cellStyle name="Lien hypertexte visité" xfId="7277" builtinId="9" hidden="1"/>
    <cellStyle name="Lien hypertexte visité" xfId="2239" builtinId="9" hidden="1"/>
    <cellStyle name="Lien hypertexte visité" xfId="10265" builtinId="9" hidden="1"/>
    <cellStyle name="Lien hypertexte visité" xfId="5278" builtinId="9" hidden="1"/>
    <cellStyle name="Lien hypertexte visité" xfId="5100" builtinId="9" hidden="1"/>
    <cellStyle name="Lien hypertexte visité" xfId="14317" builtinId="9" hidden="1"/>
    <cellStyle name="Lien hypertexte visité" xfId="16709" builtinId="9" hidden="1"/>
    <cellStyle name="Lien hypertexte visité" xfId="5883" builtinId="9" hidden="1"/>
    <cellStyle name="Lien hypertexte visité" xfId="4495" builtinId="9" hidden="1"/>
    <cellStyle name="Lien hypertexte visité" xfId="3498" builtinId="9" hidden="1"/>
    <cellStyle name="Lien hypertexte visité" xfId="9985" builtinId="9" hidden="1"/>
    <cellStyle name="Lien hypertexte visité" xfId="17743" builtinId="9" hidden="1"/>
    <cellStyle name="Lien hypertexte visité" xfId="15805" builtinId="9" hidden="1"/>
    <cellStyle name="Lien hypertexte visité" xfId="9016" builtinId="9" hidden="1"/>
    <cellStyle name="Lien hypertexte visité" xfId="12361" builtinId="9" hidden="1"/>
    <cellStyle name="Lien hypertexte visité" xfId="10889" builtinId="9" hidden="1"/>
    <cellStyle name="Lien hypertexte visité" xfId="19534" builtinId="9" hidden="1"/>
    <cellStyle name="Lien hypertexte visité" xfId="17421" builtinId="9" hidden="1"/>
    <cellStyle name="Lien hypertexte visité" xfId="9824" builtinId="9" hidden="1"/>
    <cellStyle name="Lien hypertexte visité" xfId="10680" builtinId="9" hidden="1"/>
    <cellStyle name="Lien hypertexte visité" xfId="12728" builtinId="9" hidden="1"/>
    <cellStyle name="Lien hypertexte visité" xfId="15037" builtinId="9" hidden="1"/>
    <cellStyle name="Lien hypertexte visité" xfId="19340" builtinId="9" hidden="1"/>
    <cellStyle name="Lien hypertexte visité" xfId="23436" builtinId="9" hidden="1"/>
    <cellStyle name="Lien hypertexte visité" xfId="21694" builtinId="9" hidden="1"/>
    <cellStyle name="Lien hypertexte visité" xfId="19212" builtinId="9" hidden="1"/>
    <cellStyle name="Lien hypertexte visité" xfId="9311" builtinId="9" hidden="1"/>
    <cellStyle name="Lien hypertexte visité" xfId="17689" builtinId="9" hidden="1"/>
    <cellStyle name="Lien hypertexte visité" xfId="21216" builtinId="9" hidden="1"/>
    <cellStyle name="Lien hypertexte visité" xfId="24338" builtinId="9" hidden="1"/>
    <cellStyle name="Lien hypertexte visité" xfId="20802" builtinId="9" hidden="1"/>
    <cellStyle name="Lien hypertexte visité" xfId="17315" builtinId="9" hidden="1"/>
    <cellStyle name="Lien hypertexte visité" xfId="20816" builtinId="9" hidden="1"/>
    <cellStyle name="Lien hypertexte visité" xfId="12426" builtinId="9" hidden="1"/>
    <cellStyle name="Lien hypertexte visité" xfId="4221" builtinId="9" hidden="1"/>
    <cellStyle name="Lien hypertexte visité" xfId="5741" builtinId="9" hidden="1"/>
    <cellStyle name="Lien hypertexte visité" xfId="8978" builtinId="9" hidden="1"/>
    <cellStyle name="Lien hypertexte visité" xfId="11440" builtinId="9" hidden="1"/>
    <cellStyle name="Lien hypertexte visité" xfId="5288" builtinId="9" hidden="1"/>
    <cellStyle name="Lien hypertexte visité" xfId="1548" builtinId="9" hidden="1"/>
    <cellStyle name="Lien hypertexte visité" xfId="17011" builtinId="9" hidden="1"/>
    <cellStyle name="Lien hypertexte visité" xfId="1812" builtinId="9" hidden="1"/>
    <cellStyle name="Lien hypertexte visité" xfId="4395" builtinId="9" hidden="1"/>
    <cellStyle name="Lien hypertexte visité" xfId="3122" builtinId="9" hidden="1"/>
    <cellStyle name="Lien hypertexte visité" xfId="14049" builtinId="9" hidden="1"/>
    <cellStyle name="Lien hypertexte visité" xfId="14269" builtinId="9" hidden="1"/>
    <cellStyle name="Lien hypertexte visité" xfId="8492" builtinId="9" hidden="1"/>
    <cellStyle name="Lien hypertexte visité" xfId="7374" builtinId="9" hidden="1"/>
    <cellStyle name="Lien hypertexte visité" xfId="6076" builtinId="9" hidden="1"/>
    <cellStyle name="Lien hypertexte visité" xfId="12588" builtinId="9" hidden="1"/>
    <cellStyle name="Lien hypertexte visité" xfId="10173" builtinId="9" hidden="1"/>
    <cellStyle name="Lien hypertexte visité" xfId="11321" builtinId="9" hidden="1"/>
    <cellStyle name="Lien hypertexte visité" xfId="347" builtinId="9" hidden="1"/>
    <cellStyle name="Lien hypertexte visité" xfId="8843" builtinId="9" hidden="1"/>
    <cellStyle name="Lien hypertexte visité" xfId="12731" builtinId="9" hidden="1"/>
    <cellStyle name="Lien hypertexte visité" xfId="13363" builtinId="9" hidden="1"/>
    <cellStyle name="Lien hypertexte visité" xfId="3902" builtinId="9" hidden="1"/>
    <cellStyle name="Lien hypertexte visité" xfId="13481" builtinId="9" hidden="1"/>
    <cellStyle name="Lien hypertexte visité" xfId="14168" builtinId="9" hidden="1"/>
    <cellStyle name="Lien hypertexte visité" xfId="6909" builtinId="9" hidden="1"/>
    <cellStyle name="Lien hypertexte visité" xfId="5393" builtinId="9" hidden="1"/>
    <cellStyle name="Lien hypertexte visité" xfId="8330" builtinId="9" hidden="1"/>
    <cellStyle name="Lien hypertexte visité" xfId="13898" builtinId="9" hidden="1"/>
    <cellStyle name="Lien hypertexte visité" xfId="23760" builtinId="9" hidden="1"/>
    <cellStyle name="Lien hypertexte visité" xfId="18083" builtinId="9" hidden="1"/>
    <cellStyle name="Lien hypertexte visité" xfId="21778" builtinId="9" hidden="1"/>
    <cellStyle name="Lien hypertexte visité" xfId="23944" builtinId="9" hidden="1"/>
    <cellStyle name="Lien hypertexte visité" xfId="20408" builtinId="9" hidden="1"/>
    <cellStyle name="Lien hypertexte visité" xfId="16921" builtinId="9" hidden="1"/>
    <cellStyle name="Lien hypertexte visité" xfId="12031" builtinId="9" hidden="1"/>
    <cellStyle name="Lien hypertexte visité" xfId="18494" builtinId="9" hidden="1"/>
    <cellStyle name="Lien hypertexte visité" xfId="22590" builtinId="9" hidden="1"/>
    <cellStyle name="Lien hypertexte visité" xfId="22316" builtinId="9" hidden="1"/>
    <cellStyle name="Lien hypertexte visité" xfId="18237" builtinId="9" hidden="1"/>
    <cellStyle name="Lien hypertexte visité" xfId="14328" builtinId="9" hidden="1"/>
    <cellStyle name="Lien hypertexte visité" xfId="12152" builtinId="9" hidden="1"/>
    <cellStyle name="Lien hypertexte visité" xfId="10104" builtinId="9" hidden="1"/>
    <cellStyle name="Lien hypertexte visité" xfId="11232" builtinId="9" hidden="1"/>
    <cellStyle name="Lien hypertexte visité" xfId="20220" builtinId="9" hidden="1"/>
    <cellStyle name="Lien hypertexte visité" xfId="16095" builtinId="9" hidden="1"/>
    <cellStyle name="Lien hypertexte visité" xfId="9161" builtinId="9" hidden="1"/>
    <cellStyle name="Lien hypertexte visité" xfId="18382" builtinId="9" hidden="1"/>
    <cellStyle name="Lien hypertexte visité" xfId="10728" builtinId="9" hidden="1"/>
    <cellStyle name="Lien hypertexte visité" xfId="21932" builtinId="9" hidden="1"/>
    <cellStyle name="Lien hypertexte visité" xfId="14425" builtinId="9" hidden="1"/>
    <cellStyle name="Lien hypertexte visité" xfId="8281" builtinId="9" hidden="1"/>
    <cellStyle name="Lien hypertexte visité" xfId="2130" builtinId="9" hidden="1"/>
    <cellStyle name="Lien hypertexte visité" xfId="1929" builtinId="9" hidden="1"/>
    <cellStyle name="Lien hypertexte visité" xfId="8444" builtinId="9" hidden="1"/>
    <cellStyle name="Lien hypertexte visité" xfId="20788" builtinId="9" hidden="1"/>
    <cellStyle name="Lien hypertexte visité" xfId="12269" builtinId="9" hidden="1"/>
    <cellStyle name="Lien hypertexte visité" xfId="2534" builtinId="9" hidden="1"/>
    <cellStyle name="Lien hypertexte visité" xfId="7839" builtinId="9" hidden="1"/>
    <cellStyle name="Lien hypertexte visité" xfId="2229" builtinId="9" hidden="1"/>
    <cellStyle name="Lien hypertexte visité" xfId="4325" builtinId="9" hidden="1"/>
    <cellStyle name="Lien hypertexte visité" xfId="1991" builtinId="9" hidden="1"/>
    <cellStyle name="Lien hypertexte visité" xfId="7417" builtinId="9" hidden="1"/>
    <cellStyle name="Lien hypertexte visité" xfId="4841" builtinId="9" hidden="1"/>
    <cellStyle name="Lien hypertexte visité" xfId="7745" builtinId="9" hidden="1"/>
    <cellStyle name="Lien hypertexte visité" xfId="5901" builtinId="9" hidden="1"/>
    <cellStyle name="Lien hypertexte visité" xfId="8794" builtinId="9" hidden="1"/>
    <cellStyle name="Lien hypertexte visité" xfId="9626" builtinId="9" hidden="1"/>
    <cellStyle name="Lien hypertexte visité" xfId="6029" builtinId="9" hidden="1"/>
    <cellStyle name="Lien hypertexte visité" xfId="4765" builtinId="9" hidden="1"/>
    <cellStyle name="Lien hypertexte visité" xfId="3945" builtinId="9" hidden="1"/>
    <cellStyle name="Lien hypertexte visité" xfId="7545" builtinId="9" hidden="1"/>
    <cellStyle name="Lien hypertexte visité" xfId="2119" builtinId="9" hidden="1"/>
    <cellStyle name="Lien hypertexte visité" xfId="8154" builtinId="9" hidden="1"/>
    <cellStyle name="Lien hypertexte visité" xfId="3179" builtinId="9" hidden="1"/>
    <cellStyle name="Lien hypertexte visité" xfId="21610" builtinId="9" hidden="1"/>
    <cellStyle name="Lien hypertexte visité" xfId="9887" builtinId="9" hidden="1"/>
    <cellStyle name="Lien hypertexte visité" xfId="6912" builtinId="9" hidden="1"/>
    <cellStyle name="Lien hypertexte visité" xfId="22862" builtinId="9" hidden="1"/>
    <cellStyle name="Lien hypertexte visité" xfId="24588" builtinId="9" hidden="1"/>
    <cellStyle name="Lien hypertexte visité" xfId="5016" builtinId="9" hidden="1"/>
    <cellStyle name="Lien hypertexte visité" xfId="7003" builtinId="9" hidden="1"/>
    <cellStyle name="Lien hypertexte visité" xfId="4812" builtinId="9" hidden="1"/>
    <cellStyle name="Lien hypertexte visité" xfId="7935" builtinId="9" hidden="1"/>
    <cellStyle name="Lien hypertexte visité" xfId="4862" builtinId="9" hidden="1"/>
    <cellStyle name="Lien hypertexte visité" xfId="1624" builtinId="9" hidden="1"/>
    <cellStyle name="Lien hypertexte visité" xfId="2598" builtinId="9" hidden="1"/>
    <cellStyle name="Lien hypertexte visité" xfId="5676" builtinId="9" hidden="1"/>
    <cellStyle name="Lien hypertexte visité" xfId="8749" builtinId="9" hidden="1"/>
    <cellStyle name="Lien hypertexte visité" xfId="12685" builtinId="9" hidden="1"/>
    <cellStyle name="Lien hypertexte visité" xfId="17319" builtinId="9" hidden="1"/>
    <cellStyle name="Lien hypertexte visité" xfId="23446" builtinId="9" hidden="1"/>
    <cellStyle name="Lien hypertexte visité" xfId="19636" builtinId="9" hidden="1"/>
    <cellStyle name="Lien hypertexte visité" xfId="14012" builtinId="9" hidden="1"/>
    <cellStyle name="Lien hypertexte visité" xfId="10780" builtinId="9" hidden="1"/>
    <cellStyle name="Lien hypertexte visité" xfId="7707" builtinId="9" hidden="1"/>
    <cellStyle name="Lien hypertexte visité" xfId="4635" builtinId="9" hidden="1"/>
    <cellStyle name="Lien hypertexte visité" xfId="169" builtinId="9" hidden="1"/>
    <cellStyle name="Lien hypertexte visité" xfId="3529" builtinId="9" hidden="1"/>
    <cellStyle name="Lien hypertexte visité" xfId="6767" builtinId="9" hidden="1"/>
    <cellStyle name="Lien hypertexte visité" xfId="663" builtinId="9" hidden="1"/>
    <cellStyle name="Lien hypertexte visité" xfId="2962" builtinId="9" hidden="1"/>
    <cellStyle name="Lien hypertexte visité" xfId="5144" builtinId="9" hidden="1"/>
    <cellStyle name="Lien hypertexte visité" xfId="7192" builtinId="9" hidden="1"/>
    <cellStyle name="Lien hypertexte visité" xfId="9241" builtinId="9" hidden="1"/>
    <cellStyle name="Lien hypertexte visité" xfId="11841" builtinId="9" hidden="1"/>
    <cellStyle name="Lien hypertexte visité" xfId="13889" builtinId="9" hidden="1"/>
    <cellStyle name="Lien hypertexte visité" xfId="17615" builtinId="9" hidden="1"/>
    <cellStyle name="Lien hypertexte visité" xfId="15985" builtinId="9" hidden="1"/>
    <cellStyle name="Lien hypertexte visité" xfId="6837" builtinId="9" hidden="1"/>
    <cellStyle name="Lien hypertexte visité" xfId="10314" builtinId="9" hidden="1"/>
    <cellStyle name="Lien hypertexte visité" xfId="11326" builtinId="9" hidden="1"/>
    <cellStyle name="Lien hypertexte visité" xfId="4237" builtinId="9" hidden="1"/>
    <cellStyle name="Lien hypertexte visité" xfId="8127" builtinId="9" hidden="1"/>
    <cellStyle name="Lien hypertexte visité" xfId="6331" builtinId="9" hidden="1"/>
    <cellStyle name="Lien hypertexte visité" xfId="10268" builtinId="9" hidden="1"/>
    <cellStyle name="Lien hypertexte visité" xfId="13340" builtinId="9" hidden="1"/>
    <cellStyle name="Lien hypertexte visité" xfId="18309" builtinId="9" hidden="1"/>
    <cellStyle name="Lien hypertexte visité" xfId="24470" builtinId="9" hidden="1"/>
    <cellStyle name="Lien hypertexte visité" xfId="16615" builtinId="9" hidden="1"/>
    <cellStyle name="Lien hypertexte visité" xfId="12493" builtinId="9" hidden="1"/>
    <cellStyle name="Lien hypertexte visité" xfId="9421" builtinId="9" hidden="1"/>
    <cellStyle name="Lien hypertexte visité" xfId="6348" builtinId="9" hidden="1"/>
    <cellStyle name="Lien hypertexte visité" xfId="2438" builtinId="9" hidden="1"/>
    <cellStyle name="Lien hypertexte visité" xfId="1976" builtinId="9" hidden="1"/>
    <cellStyle name="Lien hypertexte visité" xfId="5054" builtinId="9" hidden="1"/>
    <cellStyle name="Lien hypertexte visité" xfId="8959" builtinId="9" hidden="1"/>
    <cellStyle name="Lien hypertexte visité" xfId="11661" builtinId="9" hidden="1"/>
    <cellStyle name="Lien hypertexte visité" xfId="5659" builtinId="9" hidden="1"/>
    <cellStyle name="Lien hypertexte visité" xfId="5936" builtinId="9" hidden="1"/>
    <cellStyle name="Lien hypertexte visité" xfId="15517" builtinId="9" hidden="1"/>
    <cellStyle name="Lien hypertexte visité" xfId="10313" builtinId="9" hidden="1"/>
    <cellStyle name="Lien hypertexte visité" xfId="2805" builtinId="9" hidden="1"/>
    <cellStyle name="Lien hypertexte visité" xfId="5153" builtinId="9" hidden="1"/>
    <cellStyle name="Lien hypertexte visité" xfId="3700" builtinId="9" hidden="1"/>
    <cellStyle name="Lien hypertexte visité" xfId="2463" builtinId="9" hidden="1"/>
    <cellStyle name="Lien hypertexte visité" xfId="7769" builtinId="9" hidden="1"/>
    <cellStyle name="Lien hypertexte visité" xfId="6649" builtinId="9" hidden="1"/>
    <cellStyle name="Lien hypertexte visité" xfId="8170" builtinId="9" hidden="1"/>
    <cellStyle name="Lien hypertexte visité" xfId="2919" builtinId="9" hidden="1"/>
    <cellStyle name="Lien hypertexte visité" xfId="5517" builtinId="9" hidden="1"/>
    <cellStyle name="Lien hypertexte visité" xfId="4529" builtinId="9" hidden="1"/>
    <cellStyle name="Lien hypertexte visité" xfId="10138" builtinId="9" hidden="1"/>
    <cellStyle name="Lien hypertexte visité" xfId="3961" builtinId="9" hidden="1"/>
    <cellStyle name="Lien hypertexte visité" xfId="5221" builtinId="9" hidden="1"/>
    <cellStyle name="Lien hypertexte visité" xfId="2375" builtinId="9" hidden="1"/>
    <cellStyle name="Lien hypertexte visité" xfId="7637" builtinId="9" hidden="1"/>
    <cellStyle name="Lien hypertexte visité" xfId="3379" builtinId="9" hidden="1"/>
    <cellStyle name="Lien hypertexte visité" xfId="8062" builtinId="9" hidden="1"/>
    <cellStyle name="Lien hypertexte visité" xfId="3027" builtinId="9" hidden="1"/>
    <cellStyle name="Lien hypertexte visité" xfId="1643" builtinId="9" hidden="1"/>
    <cellStyle name="Lien hypertexte visité" xfId="521" builtinId="9" hidden="1"/>
    <cellStyle name="Lien hypertexte visité" xfId="1919" builtinId="9" hidden="1"/>
    <cellStyle name="Lien hypertexte visité" xfId="4973" builtinId="9" hidden="1"/>
    <cellStyle name="Lien hypertexte visité" xfId="21176" builtinId="9" hidden="1"/>
    <cellStyle name="Lien hypertexte visité" xfId="9682" builtinId="9" hidden="1"/>
    <cellStyle name="Lien hypertexte visité" xfId="11730" builtinId="9" hidden="1"/>
    <cellStyle name="Lien hypertexte visité" xfId="13374" builtinId="9" hidden="1"/>
    <cellStyle name="Lien hypertexte visité" xfId="1555" builtinId="9" hidden="1"/>
    <cellStyle name="Lien hypertexte visité" xfId="7657" builtinId="9" hidden="1"/>
    <cellStyle name="Lien hypertexte visité" xfId="20448" builtinId="9" hidden="1"/>
    <cellStyle name="Lien hypertexte visité" xfId="17353" builtinId="9" hidden="1"/>
    <cellStyle name="Lien hypertexte visité" xfId="14290" builtinId="9" hidden="1"/>
    <cellStyle name="Lien hypertexte visité" xfId="12710" builtinId="9" hidden="1"/>
    <cellStyle name="Lien hypertexte visité" xfId="10662" builtinId="9" hidden="1"/>
    <cellStyle name="Lien hypertexte visité" xfId="10174" builtinId="9" hidden="1"/>
    <cellStyle name="Lien hypertexte visité" xfId="20202" builtinId="9" hidden="1"/>
    <cellStyle name="Lien hypertexte visité" xfId="3279" builtinId="9" hidden="1"/>
    <cellStyle name="Lien hypertexte visité" xfId="2183" builtinId="9" hidden="1"/>
    <cellStyle name="Lien hypertexte visité" xfId="1406" builtinId="9" hidden="1"/>
    <cellStyle name="Lien hypertexte visité" xfId="1442" builtinId="9" hidden="1"/>
    <cellStyle name="Lien hypertexte visité" xfId="11466" builtinId="9" hidden="1"/>
    <cellStyle name="Lien hypertexte visité" xfId="17761" builtinId="9" hidden="1"/>
    <cellStyle name="Lien hypertexte visité" xfId="21498" builtinId="9" hidden="1"/>
    <cellStyle name="Lien hypertexte visité" xfId="19010" builtinId="9" hidden="1"/>
    <cellStyle name="Lien hypertexte visité" xfId="22890" builtinId="9" hidden="1"/>
    <cellStyle name="Lien hypertexte visité" xfId="8550" builtinId="9" hidden="1"/>
    <cellStyle name="Lien hypertexte visité" xfId="6085" builtinId="9" hidden="1"/>
    <cellStyle name="Lien hypertexte visité" xfId="4753" builtinId="9" hidden="1"/>
    <cellStyle name="Lien hypertexte visité" xfId="8735" builtinId="9" hidden="1"/>
    <cellStyle name="Lien hypertexte visité" xfId="1087" builtinId="9" hidden="1"/>
    <cellStyle name="Lien hypertexte visité" xfId="6252" builtinId="9" hidden="1"/>
    <cellStyle name="Lien hypertexte visité" xfId="3609" builtinId="9" hidden="1"/>
    <cellStyle name="Lien hypertexte visité" xfId="10271" builtinId="9" hidden="1"/>
    <cellStyle name="Lien hypertexte visité" xfId="4165" builtinId="9" hidden="1"/>
    <cellStyle name="Lien hypertexte visité" xfId="5501" builtinId="9" hidden="1"/>
    <cellStyle name="Lien hypertexte visité" xfId="7185" builtinId="9" hidden="1"/>
    <cellStyle name="Lien hypertexte visité" xfId="23490" builtinId="9" hidden="1"/>
    <cellStyle name="Lien hypertexte visité" xfId="20370" builtinId="9" hidden="1"/>
    <cellStyle name="Lien hypertexte visité" xfId="17419" builtinId="9" hidden="1"/>
    <cellStyle name="Lien hypertexte visité" xfId="19536" builtinId="9" hidden="1"/>
    <cellStyle name="Lien hypertexte visité" xfId="12362" builtinId="9" hidden="1"/>
    <cellStyle name="Lien hypertexte visité" xfId="13586" builtinId="9" hidden="1"/>
    <cellStyle name="Lien hypertexte visité" xfId="2087" builtinId="9" hidden="1"/>
    <cellStyle name="Lien hypertexte visité" xfId="1226" builtinId="9" hidden="1"/>
    <cellStyle name="Lien hypertexte visité" xfId="3868" builtinId="9" hidden="1"/>
    <cellStyle name="Lien hypertexte visité" xfId="13258" builtinId="9" hidden="1"/>
    <cellStyle name="Lien hypertexte visité" xfId="16753" builtinId="9" hidden="1"/>
    <cellStyle name="Lien hypertexte visité" xfId="10386" builtinId="9" hidden="1"/>
    <cellStyle name="Lien hypertexte visité" xfId="12030" builtinId="9" hidden="1"/>
    <cellStyle name="Lien hypertexte visité" xfId="13606" builtinId="9" hidden="1"/>
    <cellStyle name="Lien hypertexte visité" xfId="16793" builtinId="9" hidden="1"/>
    <cellStyle name="Lien hypertexte visité" xfId="19896" builtinId="9" hidden="1"/>
    <cellStyle name="Lien hypertexte visité" xfId="23176" builtinId="9" hidden="1"/>
    <cellStyle name="Lien hypertexte visité" xfId="7709" builtinId="9" hidden="1"/>
    <cellStyle name="Lien hypertexte visité" xfId="13670" builtinId="9" hidden="1"/>
    <cellStyle name="Lien hypertexte visité" xfId="12006" builtinId="9" hidden="1"/>
    <cellStyle name="Lien hypertexte visité" xfId="10366" builtinId="9" hidden="1"/>
    <cellStyle name="Lien hypertexte visité" xfId="13074" builtinId="9" hidden="1"/>
    <cellStyle name="Lien hypertexte visité" xfId="10698" builtinId="9" hidden="1"/>
    <cellStyle name="Lien hypertexte visité" xfId="3331" builtinId="9" hidden="1"/>
    <cellStyle name="Lien hypertexte visité" xfId="1370" builtinId="9" hidden="1"/>
    <cellStyle name="Lien hypertexte visité" xfId="2204" builtinId="9" hidden="1"/>
    <cellStyle name="Lien hypertexte visité" xfId="3231" builtinId="9" hidden="1"/>
    <cellStyle name="Lien hypertexte visité" xfId="5449" builtinId="9" hidden="1"/>
    <cellStyle name="Lien hypertexte visité" xfId="1834" builtinId="9" hidden="1"/>
    <cellStyle name="Lien hypertexte visité" xfId="22382" builtinId="9" hidden="1"/>
    <cellStyle name="Lien hypertexte visité" xfId="16735" builtinId="9" hidden="1"/>
    <cellStyle name="Lien hypertexte visité" xfId="5007" builtinId="9" hidden="1"/>
    <cellStyle name="Lien hypertexte visité" xfId="4733" builtinId="9" hidden="1"/>
    <cellStyle name="Lien hypertexte visité" xfId="15345" builtinId="9" hidden="1"/>
    <cellStyle name="Lien hypertexte visité" xfId="6544" builtinId="9" hidden="1"/>
    <cellStyle name="Lien hypertexte visité" xfId="8250" builtinId="9" hidden="1"/>
    <cellStyle name="Lien hypertexte visité" xfId="10564" builtinId="9" hidden="1"/>
    <cellStyle name="Lien hypertexte visité" xfId="2361" builtinId="9" hidden="1"/>
    <cellStyle name="Lien hypertexte visité" xfId="5201" builtinId="9" hidden="1"/>
    <cellStyle name="Lien hypertexte visité" xfId="12974" builtinId="9" hidden="1"/>
    <cellStyle name="Lien hypertexte visité" xfId="3668" builtinId="9" hidden="1"/>
    <cellStyle name="Lien hypertexte visité" xfId="2575" builtinId="9" hidden="1"/>
    <cellStyle name="Lien hypertexte visité" xfId="17849" builtinId="9" hidden="1"/>
    <cellStyle name="Lien hypertexte visité" xfId="12354" builtinId="9" hidden="1"/>
    <cellStyle name="Lien hypertexte visité" xfId="23872" builtinId="9" hidden="1"/>
    <cellStyle name="Lien hypertexte visité" xfId="12935" builtinId="9" hidden="1"/>
    <cellStyle name="Lien hypertexte visité" xfId="7556" builtinId="9" hidden="1"/>
    <cellStyle name="Lien hypertexte visité" xfId="1166" builtinId="9" hidden="1"/>
    <cellStyle name="Lien hypertexte visité" xfId="24530" builtinId="9" hidden="1"/>
    <cellStyle name="Lien hypertexte visité" xfId="3950" builtinId="9" hidden="1"/>
    <cellStyle name="Lien hypertexte visité" xfId="12748" builtinId="9" hidden="1"/>
    <cellStyle name="Lien hypertexte visité" xfId="6515" builtinId="9" hidden="1"/>
    <cellStyle name="Lien hypertexte visité" xfId="4483" builtinId="9" hidden="1"/>
    <cellStyle name="Lien hypertexte visité" xfId="22278" builtinId="9" hidden="1"/>
    <cellStyle name="Lien hypertexte visité" xfId="11047" builtinId="9" hidden="1"/>
    <cellStyle name="Lien hypertexte visité" xfId="16057" builtinId="9" hidden="1"/>
    <cellStyle name="Lien hypertexte visité" xfId="3831" builtinId="9" hidden="1"/>
    <cellStyle name="Lien hypertexte visité" xfId="8070" builtinId="9" hidden="1"/>
    <cellStyle name="Lien hypertexte visité" xfId="9679" builtinId="9" hidden="1"/>
    <cellStyle name="Lien hypertexte visité" xfId="3887" builtinId="9" hidden="1"/>
    <cellStyle name="Lien hypertexte visité" xfId="20300" builtinId="9" hidden="1"/>
    <cellStyle name="Lien hypertexte visité" xfId="4338" builtinId="9" hidden="1"/>
    <cellStyle name="Lien hypertexte visité" xfId="8283" builtinId="9" hidden="1"/>
    <cellStyle name="Lien hypertexte visité" xfId="6824" builtinId="9" hidden="1"/>
    <cellStyle name="Lien hypertexte visité" xfId="22460" builtinId="9" hidden="1"/>
    <cellStyle name="Lien hypertexte visité" xfId="9224" builtinId="9" hidden="1"/>
    <cellStyle name="Lien hypertexte visité" xfId="13832" builtinId="9" hidden="1"/>
    <cellStyle name="Lien hypertexte visité" xfId="22348" builtinId="9" hidden="1"/>
    <cellStyle name="Lien hypertexte visité" xfId="19710" builtinId="9" hidden="1"/>
    <cellStyle name="Lien hypertexte visité" xfId="12513" builtinId="9" hidden="1"/>
    <cellStyle name="Lien hypertexte visité" xfId="8929" builtinId="9" hidden="1"/>
    <cellStyle name="Lien hypertexte visité" xfId="4320" builtinId="9" hidden="1"/>
    <cellStyle name="Lien hypertexte visité" xfId="295" builtinId="9" hidden="1"/>
    <cellStyle name="Lien hypertexte visité" xfId="2649" builtinId="9" hidden="1"/>
    <cellStyle name="Lien hypertexte visité" xfId="5163" builtinId="9" hidden="1"/>
    <cellStyle name="Lien hypertexte visité" xfId="10796" builtinId="9" hidden="1"/>
    <cellStyle name="Lien hypertexte visité" xfId="20372" builtinId="9" hidden="1"/>
    <cellStyle name="Lien hypertexte visité" xfId="17607" builtinId="9" hidden="1"/>
    <cellStyle name="Lien hypertexte visité" xfId="9405" builtinId="9" hidden="1"/>
    <cellStyle name="Lien hypertexte visité" xfId="3775" builtinId="9" hidden="1"/>
    <cellStyle name="Lien hypertexte visité" xfId="4046" builtinId="9" hidden="1"/>
    <cellStyle name="Lien hypertexte visité" xfId="10959" builtinId="9" hidden="1"/>
    <cellStyle name="Lien hypertexte visité" xfId="8498" builtinId="9" hidden="1"/>
    <cellStyle name="Lien hypertexte visité" xfId="13106" builtinId="9" hidden="1"/>
    <cellStyle name="Lien hypertexte visité" xfId="18848" builtinId="9" hidden="1"/>
    <cellStyle name="Lien hypertexte visité" xfId="21162" builtinId="9" hidden="1"/>
    <cellStyle name="Lien hypertexte visité" xfId="22032" builtinId="9" hidden="1"/>
    <cellStyle name="Lien hypertexte visité" xfId="4997" builtinId="9" hidden="1"/>
    <cellStyle name="Lien hypertexte visité" xfId="2319" builtinId="9" hidden="1"/>
    <cellStyle name="Lien hypertexte visité" xfId="1366" builtinId="9" hidden="1"/>
    <cellStyle name="Lien hypertexte visité" xfId="2399" builtinId="9" hidden="1"/>
    <cellStyle name="Lien hypertexte visité" xfId="5965" builtinId="9" hidden="1"/>
    <cellStyle name="Lien hypertexte visité" xfId="16695" builtinId="9" hidden="1"/>
    <cellStyle name="Lien hypertexte visité" xfId="12021" builtinId="9" hidden="1"/>
    <cellStyle name="Lien hypertexte visité" xfId="7412" builtinId="9" hidden="1"/>
    <cellStyle name="Lien hypertexte visité" xfId="2958" builtinId="9" hidden="1"/>
    <cellStyle name="Lien hypertexte visité" xfId="1936" builtinId="9" hidden="1"/>
    <cellStyle name="Lien hypertexte visité" xfId="6390" builtinId="9" hidden="1"/>
    <cellStyle name="Lien hypertexte visité" xfId="10135" builtinId="9" hidden="1"/>
    <cellStyle name="Lien hypertexte visité" xfId="14651" builtinId="9" hidden="1"/>
    <cellStyle name="Lien hypertexte visité" xfId="9826" builtinId="9" hidden="1"/>
    <cellStyle name="Lien hypertexte visité" xfId="12790" builtinId="9" hidden="1"/>
    <cellStyle name="Lien hypertexte visité" xfId="17209" builtinId="9" hidden="1"/>
    <cellStyle name="Lien hypertexte visité" xfId="21976" builtinId="9" hidden="1"/>
    <cellStyle name="Lien hypertexte visité" xfId="21106" builtinId="9" hidden="1"/>
    <cellStyle name="Lien hypertexte visité" xfId="20186" builtinId="9" hidden="1"/>
    <cellStyle name="Lien hypertexte visité" xfId="12570" builtinId="9" hidden="1"/>
    <cellStyle name="Lien hypertexte visité" xfId="21042" builtinId="9" hidden="1"/>
    <cellStyle name="Lien hypertexte visité" xfId="12142" builtinId="9" hidden="1"/>
    <cellStyle name="Lien hypertexte visité" xfId="7975" builtinId="9" hidden="1"/>
    <cellStyle name="Lien hypertexte visité" xfId="3940" builtinId="9" hidden="1"/>
    <cellStyle name="Lien hypertexte visité" xfId="5443" builtinId="9" hidden="1"/>
    <cellStyle name="Lien hypertexte visité" xfId="8516" builtinId="9" hidden="1"/>
    <cellStyle name="Lien hypertexte visité" xfId="12468" builtinId="9" hidden="1"/>
    <cellStyle name="Lien hypertexte visité" xfId="16565" builtinId="9" hidden="1"/>
    <cellStyle name="Lien hypertexte visité" xfId="24452" builtinId="9" hidden="1"/>
    <cellStyle name="Lien hypertexte visité" xfId="16725" builtinId="9" hidden="1"/>
    <cellStyle name="Lien hypertexte visité" xfId="1232" builtinId="9" hidden="1"/>
    <cellStyle name="Lien hypertexte visité" xfId="3469" builtinId="9" hidden="1"/>
    <cellStyle name="Lien hypertexte visité" xfId="5127" builtinId="9" hidden="1"/>
    <cellStyle name="Lien hypertexte visité" xfId="6391" builtinId="9" hidden="1"/>
    <cellStyle name="Lien hypertexte visité" xfId="7655" builtinId="9" hidden="1"/>
    <cellStyle name="Lien hypertexte visité" xfId="4151" builtinId="9" hidden="1"/>
    <cellStyle name="Lien hypertexte visité" xfId="3798" builtinId="9" hidden="1"/>
    <cellStyle name="Lien hypertexte visité" xfId="685" builtinId="9" hidden="1"/>
    <cellStyle name="Lien hypertexte visité" xfId="13188" builtinId="9" hidden="1"/>
    <cellStyle name="Lien hypertexte visité" xfId="22630" builtinId="9" hidden="1"/>
    <cellStyle name="Lien hypertexte visité" xfId="18692" builtinId="9" hidden="1"/>
    <cellStyle name="Lien hypertexte visité" xfId="13540" builtinId="9" hidden="1"/>
    <cellStyle name="Lien hypertexte visité" xfId="9588" builtinId="9" hidden="1"/>
    <cellStyle name="Lien hypertexte visité" xfId="5651" builtinId="9" hidden="1"/>
    <cellStyle name="Lien hypertexte visité" xfId="7716" builtinId="9" hidden="1"/>
    <cellStyle name="Lien hypertexte visité" xfId="8384" builtinId="9" hidden="1"/>
    <cellStyle name="Lien hypertexte visité" xfId="4799" builtinId="9" hidden="1"/>
    <cellStyle name="Lien hypertexte visité" xfId="765" builtinId="9" hidden="1"/>
    <cellStyle name="Lien hypertexte visité" xfId="4555" builtinId="9" hidden="1"/>
    <cellStyle name="Lien hypertexte visité" xfId="9164" builtinId="9" hidden="1"/>
    <cellStyle name="Lien hypertexte visité" xfId="13644" builtinId="9" hidden="1"/>
    <cellStyle name="Lien hypertexte visité" xfId="20180" builtinId="9" hidden="1"/>
    <cellStyle name="Lien hypertexte visité" xfId="20086" builtinId="9" hidden="1"/>
    <cellStyle name="Lien hypertexte visité" xfId="13597" builtinId="9" hidden="1"/>
    <cellStyle name="Lien hypertexte visité" xfId="9117" builtinId="9" hidden="1"/>
    <cellStyle name="Lien hypertexte visité" xfId="5404" builtinId="9" hidden="1"/>
    <cellStyle name="Lien hypertexte visité" xfId="671" builtinId="9" hidden="1"/>
    <cellStyle name="Lien hypertexte visité" xfId="4846" builtinId="9" hidden="1"/>
    <cellStyle name="Lien hypertexte visité" xfId="8431" builtinId="9" hidden="1"/>
    <cellStyle name="Lien hypertexte visité" xfId="13039" builtinId="9" hidden="1"/>
    <cellStyle name="Lien hypertexte visité" xfId="8690" builtinId="9" hidden="1"/>
    <cellStyle name="Lien hypertexte visité" xfId="11762" builtinId="9" hidden="1"/>
    <cellStyle name="Lien hypertexte visité" xfId="14150" builtinId="9" hidden="1"/>
    <cellStyle name="Lien hypertexte visité" xfId="19912" builtinId="9" hidden="1"/>
    <cellStyle name="Lien hypertexte visité" xfId="23170" builtinId="9" hidden="1"/>
    <cellStyle name="Lien hypertexte visité" xfId="18386" builtinId="9" hidden="1"/>
    <cellStyle name="Lien hypertexte visité" xfId="16801" builtinId="9" hidden="1"/>
    <cellStyle name="Lien hypertexte visité" xfId="8490" builtinId="9" hidden="1"/>
    <cellStyle name="Lien hypertexte visité" xfId="6481" builtinId="9" hidden="1"/>
    <cellStyle name="Lien hypertexte visité" xfId="6025" builtinId="9" hidden="1"/>
    <cellStyle name="Lien hypertexte visité" xfId="1767" builtinId="9" hidden="1"/>
    <cellStyle name="Lien hypertexte visité" xfId="1911" builtinId="9" hidden="1"/>
    <cellStyle name="Lien hypertexte visité" xfId="2519" builtinId="9" hidden="1"/>
    <cellStyle name="Lien hypertexte visité" xfId="6641" builtinId="9" hidden="1"/>
    <cellStyle name="Lien hypertexte visité" xfId="4481" builtinId="9" hidden="1"/>
    <cellStyle name="Lien hypertexte visité" xfId="16567" builtinId="9" hidden="1"/>
    <cellStyle name="Lien hypertexte visité" xfId="13013" builtinId="9" hidden="1"/>
    <cellStyle name="Lien hypertexte visité" xfId="10069" builtinId="9" hidden="1"/>
    <cellStyle name="Lien hypertexte visité" xfId="6996" builtinId="9" hidden="1"/>
    <cellStyle name="Lien hypertexte visité" xfId="4612" builtinId="9" hidden="1"/>
    <cellStyle name="Lien hypertexte visité" xfId="1534" builtinId="9" hidden="1"/>
    <cellStyle name="Lien hypertexte visité" xfId="2000" builtinId="9" hidden="1"/>
    <cellStyle name="Lien hypertexte visité" xfId="5078" builtinId="9" hidden="1"/>
    <cellStyle name="Lien hypertexte visité" xfId="7478" builtinId="9" hidden="1"/>
    <cellStyle name="Lien hypertexte visité" xfId="10551" builtinId="9" hidden="1"/>
    <cellStyle name="Lien hypertexte visité" xfId="13623" builtinId="9" hidden="1"/>
    <cellStyle name="Lien hypertexte visité" xfId="8278" builtinId="9" hidden="1"/>
    <cellStyle name="Lien hypertexte visité" xfId="10326" builtinId="9" hidden="1"/>
    <cellStyle name="Lien hypertexte visité" xfId="11918" builtinId="9" hidden="1"/>
    <cellStyle name="Lien hypertexte visité" xfId="13966" builtinId="9" hidden="1"/>
    <cellStyle name="Lien hypertexte visité" xfId="16617" builtinId="9" hidden="1"/>
    <cellStyle name="Lien hypertexte visité" xfId="20696" builtinId="9" hidden="1"/>
    <cellStyle name="Lien hypertexte visité" xfId="24610" builtinId="9" hidden="1"/>
    <cellStyle name="Lien hypertexte visité" xfId="21258" builtinId="9" hidden="1"/>
    <cellStyle name="Lien hypertexte visité" xfId="17347" builtinId="9" hidden="1"/>
    <cellStyle name="Lien hypertexte visité" xfId="22000" builtinId="9" hidden="1"/>
    <cellStyle name="Lien hypertexte visité" xfId="12378" builtinId="9" hidden="1"/>
    <cellStyle name="Lien hypertexte visité" xfId="17579" builtinId="9" hidden="1"/>
    <cellStyle name="Lien hypertexte visité" xfId="20248" builtinId="9" hidden="1"/>
    <cellStyle name="Lien hypertexte visité" xfId="11246" builtinId="9" hidden="1"/>
    <cellStyle name="Lien hypertexte visité" xfId="13287" builtinId="9" hidden="1"/>
    <cellStyle name="Lien hypertexte visité" xfId="4070" builtinId="9" hidden="1"/>
    <cellStyle name="Lien hypertexte visité" xfId="4260" builtinId="9" hidden="1"/>
    <cellStyle name="Lien hypertexte visité" xfId="13206" builtinId="9" hidden="1"/>
    <cellStyle name="Lien hypertexte visité" xfId="11610" builtinId="9" hidden="1"/>
    <cellStyle name="Lien hypertexte visité" xfId="21834" builtinId="9" hidden="1"/>
    <cellStyle name="Lien hypertexte visité" xfId="15121" builtinId="9" hidden="1"/>
    <cellStyle name="Lien hypertexte visité" xfId="10038" builtinId="9" hidden="1"/>
    <cellStyle name="Lien hypertexte visité" xfId="9431" builtinId="9" hidden="1"/>
    <cellStyle name="Lien hypertexte visité" xfId="2256" builtinId="9" hidden="1"/>
    <cellStyle name="Lien hypertexte visité" xfId="8117" builtinId="9" hidden="1"/>
    <cellStyle name="Lien hypertexte visité" xfId="16055" builtinId="9" hidden="1"/>
    <cellStyle name="Lien hypertexte visité" xfId="2963" builtinId="9" hidden="1"/>
    <cellStyle name="Lien hypertexte visité" xfId="7761" builtinId="9" hidden="1"/>
    <cellStyle name="Lien hypertexte visité" xfId="20112" builtinId="9" hidden="1"/>
    <cellStyle name="Lien hypertexte visité" xfId="18137" builtinId="9" hidden="1"/>
    <cellStyle name="Lien hypertexte visité" xfId="8818" builtinId="9" hidden="1"/>
    <cellStyle name="Lien hypertexte visité" xfId="3496" builtinId="9" hidden="1"/>
    <cellStyle name="Lien hypertexte visité" xfId="13254" builtinId="9" hidden="1"/>
    <cellStyle name="Lien hypertexte visité" xfId="3792" builtinId="9" hidden="1"/>
    <cellStyle name="Lien hypertexte visité" xfId="2944" builtinId="9" hidden="1"/>
    <cellStyle name="Lien hypertexte visité" xfId="14134" builtinId="9" hidden="1"/>
    <cellStyle name="Lien hypertexte visité" xfId="11842" builtinId="9" hidden="1"/>
    <cellStyle name="Lien hypertexte visité" xfId="10215" builtinId="9" hidden="1"/>
    <cellStyle name="Lien hypertexte visité" xfId="18570" builtinId="9" hidden="1"/>
    <cellStyle name="Lien hypertexte visité" xfId="21274" builtinId="9" hidden="1"/>
    <cellStyle name="Lien hypertexte visité" xfId="21144" builtinId="9" hidden="1"/>
    <cellStyle name="Lien hypertexte visité" xfId="11778" builtinId="9" hidden="1"/>
    <cellStyle name="Lien hypertexte visité" xfId="13959" builtinId="9" hidden="1"/>
    <cellStyle name="Lien hypertexte visité" xfId="4870" builtinId="9" hidden="1"/>
    <cellStyle name="Lien hypertexte visité" xfId="3583" builtinId="9" hidden="1"/>
    <cellStyle name="Lien hypertexte visité" xfId="12677" builtinId="9" hidden="1"/>
    <cellStyle name="Lien hypertexte visité" xfId="5761" builtinId="9" hidden="1"/>
    <cellStyle name="Lien hypertexte visité" xfId="2031" builtinId="9" hidden="1"/>
    <cellStyle name="Lien hypertexte visité" xfId="9258" builtinId="9" hidden="1"/>
    <cellStyle name="Lien hypertexte visité" xfId="22482" builtinId="9" hidden="1"/>
    <cellStyle name="Lien hypertexte visité" xfId="11506" builtinId="9" hidden="1"/>
    <cellStyle name="Lien hypertexte visité" xfId="9967" builtinId="9" hidden="1"/>
    <cellStyle name="Lien hypertexte visité" xfId="4892" builtinId="9" hidden="1"/>
    <cellStyle name="Lien hypertexte visité" xfId="17031" builtinId="9" hidden="1"/>
    <cellStyle name="Lien hypertexte visité" xfId="9676" builtinId="9" hidden="1"/>
    <cellStyle name="Lien hypertexte visité" xfId="5119" builtinId="9" hidden="1"/>
    <cellStyle name="Lien hypertexte visité" xfId="5203" builtinId="9" hidden="1"/>
    <cellStyle name="Lien hypertexte visité" xfId="19300" builtinId="9" hidden="1"/>
    <cellStyle name="Lien hypertexte visité" xfId="1456" builtinId="9" hidden="1"/>
    <cellStyle name="Lien hypertexte visité" xfId="8040" builtinId="9" hidden="1"/>
    <cellStyle name="Lien hypertexte visité" xfId="4707" builtinId="9" hidden="1"/>
    <cellStyle name="Lien hypertexte visité" xfId="23910" builtinId="9" hidden="1"/>
    <cellStyle name="Lien hypertexte visité" xfId="8228" builtinId="9" hidden="1"/>
    <cellStyle name="Lien hypertexte visité" xfId="6438" builtinId="9" hidden="1"/>
    <cellStyle name="Lien hypertexte visité" xfId="13274" builtinId="9" hidden="1"/>
    <cellStyle name="Lien hypertexte visité" xfId="24024" builtinId="9" hidden="1"/>
    <cellStyle name="Lien hypertexte visité" xfId="10166" builtinId="9" hidden="1"/>
    <cellStyle name="Lien hypertexte visité" xfId="7927" builtinId="9" hidden="1"/>
    <cellStyle name="Lien hypertexte visité" xfId="6900" builtinId="9" hidden="1"/>
    <cellStyle name="Lien hypertexte visité" xfId="6257" builtinId="9" hidden="1"/>
    <cellStyle name="Lien hypertexte visité" xfId="2727" builtinId="9" hidden="1"/>
    <cellStyle name="Lien hypertexte visité" xfId="21842" builtinId="9" hidden="1"/>
    <cellStyle name="Lien hypertexte visité" xfId="10034" builtinId="9" hidden="1"/>
    <cellStyle name="Lien hypertexte visité" xfId="2998" builtinId="9" hidden="1"/>
    <cellStyle name="Lien hypertexte visité" xfId="24246" builtinId="9" hidden="1"/>
    <cellStyle name="Lien hypertexte visité" xfId="1881" builtinId="9" hidden="1"/>
    <cellStyle name="Lien hypertexte visité" xfId="9273" builtinId="9" hidden="1"/>
    <cellStyle name="Lien hypertexte visité" xfId="23372" builtinId="9" hidden="1"/>
    <cellStyle name="Lien hypertexte visité" xfId="24508" builtinId="9" hidden="1"/>
    <cellStyle name="Lien hypertexte visité" xfId="5650" builtinId="9" hidden="1"/>
    <cellStyle name="Lien hypertexte visité" xfId="15827" builtinId="9" hidden="1"/>
    <cellStyle name="Lien hypertexte visité" xfId="6754" builtinId="9" hidden="1"/>
    <cellStyle name="Lien hypertexte visité" xfId="8830" builtinId="9" hidden="1"/>
    <cellStyle name="Lien hypertexte visité" xfId="16153" builtinId="9" hidden="1"/>
    <cellStyle name="Lien hypertexte visité" xfId="19640" builtinId="9" hidden="1"/>
    <cellStyle name="Lien hypertexte visité" xfId="24120" builtinId="9" hidden="1"/>
    <cellStyle name="Lien hypertexte visité" xfId="21394" builtinId="9" hidden="1"/>
    <cellStyle name="Lien hypertexte visité" xfId="17931" builtinId="9" hidden="1"/>
    <cellStyle name="Lien hypertexte visité" xfId="20304" builtinId="9" hidden="1"/>
    <cellStyle name="Lien hypertexte visité" xfId="10634" builtinId="9" hidden="1"/>
    <cellStyle name="Lien hypertexte visité" xfId="5061" builtinId="9" hidden="1"/>
    <cellStyle name="Lien hypertexte visité" xfId="6653" builtinId="9" hidden="1"/>
    <cellStyle name="Lien hypertexte visité" xfId="9375" builtinId="9" hidden="1"/>
    <cellStyle name="Lien hypertexte visité" xfId="831" builtinId="9" hidden="1"/>
    <cellStyle name="Lien hypertexte visité" xfId="12781" builtinId="9" hidden="1"/>
    <cellStyle name="Lien hypertexte visité" xfId="19764" builtinId="9" hidden="1"/>
    <cellStyle name="Lien hypertexte visité" xfId="5371" builtinId="9" hidden="1"/>
    <cellStyle name="Lien hypertexte visité" xfId="7567" builtinId="9" hidden="1"/>
    <cellStyle name="Lien hypertexte visité" xfId="5552" builtinId="9" hidden="1"/>
    <cellStyle name="Lien hypertexte visité" xfId="13401" builtinId="9" hidden="1"/>
    <cellStyle name="Lien hypertexte visité" xfId="24558" builtinId="9" hidden="1"/>
    <cellStyle name="Lien hypertexte visité" xfId="11752" builtinId="9" hidden="1"/>
    <cellStyle name="Lien hypertexte visité" xfId="22652" builtinId="9" hidden="1"/>
    <cellStyle name="Lien hypertexte visité" xfId="9481" builtinId="9" hidden="1"/>
    <cellStyle name="Lien hypertexte visité" xfId="20174" builtinId="9" hidden="1"/>
    <cellStyle name="Lien hypertexte visité" xfId="16781" builtinId="9" hidden="1"/>
    <cellStyle name="Lien hypertexte visité" xfId="9208" builtinId="9" hidden="1"/>
    <cellStyle name="Lien hypertexte visité" xfId="11256" builtinId="9" hidden="1"/>
    <cellStyle name="Lien hypertexte visité" xfId="13864" builtinId="9" hidden="1"/>
    <cellStyle name="Lien hypertexte visité" xfId="17565" builtinId="9" hidden="1"/>
    <cellStyle name="Lien hypertexte visité" xfId="22540" builtinId="9" hidden="1"/>
    <cellStyle name="Lien hypertexte visité" xfId="21438" builtinId="9" hidden="1"/>
    <cellStyle name="Lien hypertexte visité" xfId="17151" builtinId="9" hidden="1"/>
    <cellStyle name="Lien hypertexte visité" xfId="13337" builtinId="9" hidden="1"/>
    <cellStyle name="Lien hypertexte visité" xfId="11161" builtinId="9" hidden="1"/>
    <cellStyle name="Lien hypertexte visité" xfId="8561" builtinId="9" hidden="1"/>
    <cellStyle name="Lien hypertexte visité" xfId="6512" builtinId="9" hidden="1"/>
    <cellStyle name="Lien hypertexte visité" xfId="3892" builtinId="9" hidden="1"/>
    <cellStyle name="Lien hypertexte visité" xfId="1257" builtinId="9" hidden="1"/>
    <cellStyle name="Lien hypertexte visité" xfId="7279" builtinId="9" hidden="1"/>
    <cellStyle name="Lien hypertexte visité" xfId="3369" builtinId="9" hidden="1"/>
    <cellStyle name="Lien hypertexte visité" xfId="541" builtinId="9" hidden="1"/>
    <cellStyle name="Lien hypertexte visité" xfId="4795" builtinId="9" hidden="1"/>
    <cellStyle name="Lien hypertexte visité" xfId="10707" builtinId="9" hidden="1"/>
    <cellStyle name="Lien hypertexte visité" xfId="8803" builtinId="9" hidden="1"/>
    <cellStyle name="Lien hypertexte visité" xfId="8486" builtinId="9" hidden="1"/>
    <cellStyle name="Lien hypertexte visité" xfId="4107" builtinId="9" hidden="1"/>
    <cellStyle name="Lien hypertexte visité" xfId="5864" builtinId="9" hidden="1"/>
    <cellStyle name="Lien hypertexte visité" xfId="13208" builtinId="9" hidden="1"/>
    <cellStyle name="Lien hypertexte visité" xfId="13473" builtinId="9" hidden="1"/>
    <cellStyle name="Lien hypertexte visité" xfId="11681" builtinId="9" hidden="1"/>
    <cellStyle name="Lien hypertexte visité" xfId="16323" builtinId="9" hidden="1"/>
    <cellStyle name="Lien hypertexte visité" xfId="731" builtinId="9" hidden="1"/>
    <cellStyle name="Lien hypertexte visité" xfId="6554" builtinId="9" hidden="1"/>
    <cellStyle name="Lien hypertexte visité" xfId="5458" builtinId="9" hidden="1"/>
    <cellStyle name="Lien hypertexte visité" xfId="4402" builtinId="9" hidden="1"/>
    <cellStyle name="Lien hypertexte visité" xfId="12979" builtinId="9" hidden="1"/>
    <cellStyle name="Lien hypertexte visité" xfId="20588" builtinId="9" hidden="1"/>
    <cellStyle name="Lien hypertexte visité" xfId="12065" builtinId="9" hidden="1"/>
    <cellStyle name="Lien hypertexte visité" xfId="14717" builtinId="9" hidden="1"/>
    <cellStyle name="Lien hypertexte visité" xfId="10089" builtinId="9" hidden="1"/>
    <cellStyle name="Lien hypertexte visité" xfId="4479" builtinId="9" hidden="1"/>
    <cellStyle name="Lien hypertexte visité" xfId="13766" builtinId="9" hidden="1"/>
    <cellStyle name="Lien hypertexte visité" xfId="8629" builtinId="9" hidden="1"/>
    <cellStyle name="Lien hypertexte visité" xfId="20234" builtinId="9" hidden="1"/>
    <cellStyle name="Lien hypertexte visité" xfId="8342" builtinId="9" hidden="1"/>
    <cellStyle name="Lien hypertexte visité" xfId="20570" builtinId="9" hidden="1"/>
    <cellStyle name="Lien hypertexte visité" xfId="14082" builtinId="9" hidden="1"/>
    <cellStyle name="Lien hypertexte visité" xfId="10167" builtinId="9" hidden="1"/>
    <cellStyle name="Lien hypertexte visité" xfId="5588" builtinId="9" hidden="1"/>
    <cellStyle name="Lien hypertexte visité" xfId="5909" builtinId="9" hidden="1"/>
    <cellStyle name="Lien hypertexte visité" xfId="6625" builtinId="9" hidden="1"/>
    <cellStyle name="Lien hypertexte visité" xfId="19064" builtinId="9" hidden="1"/>
    <cellStyle name="Lien hypertexte visité" xfId="6958" builtinId="9" hidden="1"/>
    <cellStyle name="Lien hypertexte visité" xfId="17543" builtinId="9" hidden="1"/>
    <cellStyle name="Lien hypertexte visité" xfId="1220" builtinId="9" hidden="1"/>
    <cellStyle name="Lien hypertexte visité" xfId="10100" builtinId="9" hidden="1"/>
    <cellStyle name="Lien hypertexte visité" xfId="2093" builtinId="9" hidden="1"/>
    <cellStyle name="Lien hypertexte visité" xfId="4499" builtinId="9" hidden="1"/>
    <cellStyle name="Lien hypertexte visité" xfId="12692" builtinId="9" hidden="1"/>
    <cellStyle name="Lien hypertexte visité" xfId="13334" builtinId="9" hidden="1"/>
    <cellStyle name="Lien hypertexte visité" xfId="20032" builtinId="9" hidden="1"/>
    <cellStyle name="Lien hypertexte visité" xfId="7670" builtinId="9" hidden="1"/>
    <cellStyle name="Lien hypertexte visité" xfId="16183" builtinId="9" hidden="1"/>
    <cellStyle name="Lien hypertexte visité" xfId="4485" builtinId="9" hidden="1"/>
    <cellStyle name="Lien hypertexte visité" xfId="14159" builtinId="9" hidden="1"/>
    <cellStyle name="Lien hypertexte visité" xfId="24212" builtinId="9" hidden="1"/>
    <cellStyle name="Lien hypertexte visité" xfId="4064" builtinId="9" hidden="1"/>
    <cellStyle name="Lien hypertexte visité" xfId="13232" builtinId="9" hidden="1"/>
    <cellStyle name="Lien hypertexte visité" xfId="3084" builtinId="9" hidden="1"/>
    <cellStyle name="Lien hypertexte visité" xfId="5218" builtinId="9" hidden="1"/>
    <cellStyle name="Lien hypertexte visité" xfId="14502" builtinId="9" hidden="1"/>
    <cellStyle name="Lien hypertexte visité" xfId="12158" builtinId="9" hidden="1"/>
    <cellStyle name="Lien hypertexte visité" xfId="10214" builtinId="9" hidden="1"/>
    <cellStyle name="Lien hypertexte visité" xfId="3259" builtinId="9" hidden="1"/>
    <cellStyle name="Lien hypertexte visité" xfId="2083" builtinId="9" hidden="1"/>
    <cellStyle name="Lien hypertexte visité" xfId="1278" builtinId="9" hidden="1"/>
    <cellStyle name="Lien hypertexte visité" xfId="6217" builtinId="9" hidden="1"/>
    <cellStyle name="Lien hypertexte visité" xfId="1342" builtinId="9" hidden="1"/>
    <cellStyle name="Lien hypertexte visité" xfId="7986" builtinId="9" hidden="1"/>
    <cellStyle name="Lien hypertexte visité" xfId="5645" builtinId="9" hidden="1"/>
    <cellStyle name="Lien hypertexte visité" xfId="9178" builtinId="9" hidden="1"/>
    <cellStyle name="Lien hypertexte visité" xfId="4637" builtinId="9" hidden="1"/>
    <cellStyle name="Lien hypertexte visité" xfId="2595" builtinId="9" hidden="1"/>
    <cellStyle name="Lien hypertexte visité" xfId="7729" builtinId="9" hidden="1"/>
    <cellStyle name="Lien hypertexte visité" xfId="665" builtinId="9" hidden="1"/>
    <cellStyle name="Lien hypertexte visité" xfId="3592" builtinId="9" hidden="1"/>
    <cellStyle name="Lien hypertexte visité" xfId="1230" builtinId="9" hidden="1"/>
    <cellStyle name="Lien hypertexte visité" xfId="1871" builtinId="9" hidden="1"/>
    <cellStyle name="Lien hypertexte visité" xfId="18784" builtinId="9" hidden="1"/>
    <cellStyle name="Lien hypertexte visité" xfId="10534" builtinId="9" hidden="1"/>
    <cellStyle name="Lien hypertexte visité" xfId="12478" builtinId="9" hidden="1"/>
    <cellStyle name="Lien hypertexte visité" xfId="19000" builtinId="9" hidden="1"/>
    <cellStyle name="Lien hypertexte visité" xfId="22920" builtinId="9" hidden="1"/>
    <cellStyle name="Lien hypertexte visité" xfId="22418" builtinId="9" hidden="1"/>
    <cellStyle name="Lien hypertexte visité" xfId="21584" builtinId="9" hidden="1"/>
    <cellStyle name="Lien hypertexte visité" xfId="12170" builtinId="9" hidden="1"/>
    <cellStyle name="Lien hypertexte visité" xfId="4789" builtinId="9" hidden="1"/>
    <cellStyle name="Lien hypertexte visité" xfId="12063" builtinId="9" hidden="1"/>
    <cellStyle name="Lien hypertexte visité" xfId="1381" builtinId="9" hidden="1"/>
    <cellStyle name="Lien hypertexte visité" xfId="13509" builtinId="9" hidden="1"/>
    <cellStyle name="Lien hypertexte visité" xfId="4465" builtinId="9" hidden="1"/>
    <cellStyle name="Lien hypertexte visité" xfId="6437" builtinId="9" hidden="1"/>
    <cellStyle name="Lien hypertexte visité" xfId="6825" builtinId="9" hidden="1"/>
    <cellStyle name="Lien hypertexte visité" xfId="505" builtinId="9" hidden="1"/>
    <cellStyle name="Lien hypertexte visité" xfId="3648" builtinId="9" hidden="1"/>
    <cellStyle name="Lien hypertexte visité" xfId="8034" builtinId="9" hidden="1"/>
    <cellStyle name="Lien hypertexte visité" xfId="8125" builtinId="9" hidden="1"/>
    <cellStyle name="Lien hypertexte visité" xfId="14757" builtinId="9" hidden="1"/>
    <cellStyle name="Lien hypertexte visité" xfId="2905" builtinId="9" hidden="1"/>
    <cellStyle name="Lien hypertexte visité" xfId="21758" builtinId="9" hidden="1"/>
    <cellStyle name="Lien hypertexte visité" xfId="10072" builtinId="9" hidden="1"/>
    <cellStyle name="Lien hypertexte visité" xfId="1185" builtinId="9" hidden="1"/>
    <cellStyle name="Lien hypertexte visité" xfId="15267" builtinId="9" hidden="1"/>
    <cellStyle name="Lien hypertexte visité" xfId="2988" builtinId="9" hidden="1"/>
    <cellStyle name="Lien hypertexte visité" xfId="8358" builtinId="9" hidden="1"/>
    <cellStyle name="Lien hypertexte visité" xfId="19040" builtinId="9" hidden="1"/>
    <cellStyle name="Lien hypertexte visité" xfId="22584" builtinId="9" hidden="1"/>
    <cellStyle name="Lien hypertexte visité" xfId="22978" builtinId="9" hidden="1"/>
    <cellStyle name="Lien hypertexte visité" xfId="21370" builtinId="9" hidden="1"/>
    <cellStyle name="Lien hypertexte visité" xfId="17377" builtinId="9" hidden="1"/>
    <cellStyle name="Lien hypertexte visité" xfId="10378" builtinId="9" hidden="1"/>
    <cellStyle name="Lien hypertexte visité" xfId="6325" builtinId="9" hidden="1"/>
    <cellStyle name="Lien hypertexte visité" xfId="13471" builtinId="9" hidden="1"/>
    <cellStyle name="Lien hypertexte visité" xfId="4254" builtinId="9" hidden="1"/>
    <cellStyle name="Lien hypertexte visité" xfId="16167" builtinId="9" hidden="1"/>
    <cellStyle name="Lien hypertexte visité" xfId="14076" builtinId="9" hidden="1"/>
    <cellStyle name="Lien hypertexte visité" xfId="4859" builtinId="9" hidden="1"/>
    <cellStyle name="Lien hypertexte visité" xfId="4528" builtinId="9" hidden="1"/>
    <cellStyle name="Lien hypertexte visité" xfId="10673" builtinId="9" hidden="1"/>
    <cellStyle name="Lien hypertexte visité" xfId="19102" builtinId="9" hidden="1"/>
    <cellStyle name="Lien hypertexte visité" xfId="9704" builtinId="9" hidden="1"/>
    <cellStyle name="Lien hypertexte visité" xfId="14409" builtinId="9" hidden="1"/>
    <cellStyle name="Lien hypertexte visité" xfId="9865" builtinId="9" hidden="1"/>
    <cellStyle name="Lien hypertexte visité" xfId="18812" builtinId="9" hidden="1"/>
    <cellStyle name="Lien hypertexte visité" xfId="10528" builtinId="9" hidden="1"/>
    <cellStyle name="Lien hypertexte visité" xfId="10344" builtinId="9" hidden="1"/>
    <cellStyle name="Lien hypertexte visité" xfId="14573" builtinId="9" hidden="1"/>
    <cellStyle name="Lien hypertexte visité" xfId="18652" builtinId="9" hidden="1"/>
    <cellStyle name="Lien hypertexte visité" xfId="23004" builtinId="9" hidden="1"/>
    <cellStyle name="Lien hypertexte visité" xfId="18047" builtinId="9" hidden="1"/>
    <cellStyle name="Lien hypertexte visité" xfId="14233" builtinId="9" hidden="1"/>
    <cellStyle name="Lien hypertexte visité" xfId="12081" builtinId="9" hidden="1"/>
    <cellStyle name="Lien hypertexte visité" xfId="7985" builtinId="9" hidden="1"/>
    <cellStyle name="Lien hypertexte visité" xfId="5824" builtinId="9" hidden="1"/>
    <cellStyle name="Lien hypertexte visité" xfId="3779" builtinId="9" hidden="1"/>
    <cellStyle name="Lien hypertexte visité" xfId="7984" builtinId="9" hidden="1"/>
    <cellStyle name="Lien hypertexte visité" xfId="4719" builtinId="9" hidden="1"/>
    <cellStyle name="Lien hypertexte visité" xfId="1641" builtinId="9" hidden="1"/>
    <cellStyle name="Lien hypertexte visité" xfId="5819" builtinId="9" hidden="1"/>
    <cellStyle name="Lien hypertexte visité" xfId="8892" builtinId="9" hidden="1"/>
    <cellStyle name="Lien hypertexte visité" xfId="11964" builtinId="9" hidden="1"/>
    <cellStyle name="Lien hypertexte visité" xfId="22004" builtinId="9" hidden="1"/>
    <cellStyle name="Lien hypertexte visité" xfId="21078" builtinId="9" hidden="1"/>
    <cellStyle name="Lien hypertexte visité" xfId="14951" builtinId="9" hidden="1"/>
    <cellStyle name="Lien hypertexte visité" xfId="8397" builtinId="9" hidden="1"/>
    <cellStyle name="Lien hypertexte visité" xfId="5324" builtinId="9" hidden="1"/>
    <cellStyle name="Lien hypertexte visité" xfId="2246" builtinId="9" hidden="1"/>
    <cellStyle name="Lien hypertexte visité" xfId="5214" builtinId="9" hidden="1"/>
    <cellStyle name="Lien hypertexte visité" xfId="8287" builtinId="9" hidden="1"/>
    <cellStyle name="Lien hypertexte visité" xfId="7564" builtinId="9" hidden="1"/>
    <cellStyle name="Lien hypertexte visité" xfId="3194" builtinId="9" hidden="1"/>
    <cellStyle name="Lien hypertexte visité" xfId="21022" builtinId="9" hidden="1"/>
    <cellStyle name="Lien hypertexte visité" xfId="15373" builtinId="9" hidden="1"/>
    <cellStyle name="Lien hypertexte visité" xfId="1688" builtinId="9" hidden="1"/>
    <cellStyle name="Lien hypertexte visité" xfId="18450" builtinId="9" hidden="1"/>
    <cellStyle name="Lien hypertexte visité" xfId="3335" builtinId="9" hidden="1"/>
    <cellStyle name="Lien hypertexte visité" xfId="7385" builtinId="9" hidden="1"/>
    <cellStyle name="Lien hypertexte visité" xfId="7013" builtinId="9" hidden="1"/>
    <cellStyle name="Lien hypertexte visité" xfId="7017" builtinId="9" hidden="1"/>
    <cellStyle name="Lien hypertexte visité" xfId="5589" builtinId="9" hidden="1"/>
    <cellStyle name="Lien hypertexte visité" xfId="4309" builtinId="9" hidden="1"/>
    <cellStyle name="Lien hypertexte visité" xfId="11034" builtinId="9" hidden="1"/>
    <cellStyle name="Lien hypertexte visité" xfId="5461" builtinId="9" hidden="1"/>
    <cellStyle name="Lien hypertexte visité" xfId="2867" builtinId="9" hidden="1"/>
    <cellStyle name="Lien hypertexte visité" xfId="8042" builtinId="9" hidden="1"/>
    <cellStyle name="Lien hypertexte visité" xfId="7441" builtinId="9" hidden="1"/>
    <cellStyle name="Lien hypertexte visité" xfId="4425" builtinId="9" hidden="1"/>
    <cellStyle name="Lien hypertexte visité" xfId="3383" builtinId="9" hidden="1"/>
    <cellStyle name="Lien hypertexte visité" xfId="889" builtinId="9" hidden="1"/>
    <cellStyle name="Lien hypertexte visité" xfId="1490" builtinId="9" hidden="1"/>
    <cellStyle name="Lien hypertexte visité" xfId="4385" builtinId="9" hidden="1"/>
    <cellStyle name="Lien hypertexte visité" xfId="9766" builtinId="9" hidden="1"/>
    <cellStyle name="Lien hypertexte visité" xfId="11430" builtinId="9" hidden="1"/>
    <cellStyle name="Lien hypertexte visité" xfId="13094" builtinId="9" hidden="1"/>
    <cellStyle name="Lien hypertexte visité" xfId="4017" builtinId="9" hidden="1"/>
    <cellStyle name="Lien hypertexte visité" xfId="22024" builtinId="9" hidden="1"/>
    <cellStyle name="Lien hypertexte visité" xfId="18696" builtinId="9" hidden="1"/>
    <cellStyle name="Lien hypertexte visité" xfId="13394" builtinId="9" hidden="1"/>
    <cellStyle name="Lien hypertexte visité" xfId="11838" builtinId="9" hidden="1"/>
    <cellStyle name="Lien hypertexte visité" xfId="10194" builtinId="9" hidden="1"/>
    <cellStyle name="Lien hypertexte visité" xfId="20176" builtinId="9" hidden="1"/>
    <cellStyle name="Lien hypertexte visité" xfId="3732" builtinId="9" hidden="1"/>
    <cellStyle name="Lien hypertexte visité" xfId="993" builtinId="9" hidden="1"/>
    <cellStyle name="Lien hypertexte visité" xfId="3011" builtinId="9" hidden="1"/>
    <cellStyle name="Lien hypertexte visité" xfId="10570" builtinId="9" hidden="1"/>
    <cellStyle name="Lien hypertexte visité" xfId="15969" builtinId="9" hidden="1"/>
    <cellStyle name="Lien hypertexte visité" xfId="18410" builtinId="9" hidden="1"/>
    <cellStyle name="Lien hypertexte visité" xfId="21522" builtinId="9" hidden="1"/>
    <cellStyle name="Lien hypertexte visité" xfId="24544" builtinId="9" hidden="1"/>
    <cellStyle name="Lien hypertexte visité" xfId="5337" builtinId="9" hidden="1"/>
    <cellStyle name="Lien hypertexte visité" xfId="4001" builtinId="9" hidden="1"/>
    <cellStyle name="Lien hypertexte visité" xfId="11295" builtinId="9" hidden="1"/>
    <cellStyle name="Lien hypertexte visité" xfId="7276" builtinId="9" hidden="1"/>
    <cellStyle name="Lien hypertexte visité" xfId="931" builtinId="9" hidden="1"/>
    <cellStyle name="Lien hypertexte visité" xfId="9759" builtinId="9" hidden="1"/>
    <cellStyle name="Lien hypertexte visité" xfId="5593" builtinId="9" hidden="1"/>
    <cellStyle name="Lien hypertexte visité" xfId="6929" builtinId="9" hidden="1"/>
    <cellStyle name="Lien hypertexte visité" xfId="24082" builtinId="9" hidden="1"/>
    <cellStyle name="Lien hypertexte visité" xfId="17875" builtinId="9" hidden="1"/>
    <cellStyle name="Lien hypertexte visité" xfId="23632" builtinId="9" hidden="1"/>
    <cellStyle name="Lien hypertexte visité" xfId="14410" builtinId="9" hidden="1"/>
    <cellStyle name="Lien hypertexte visité" xfId="1591" builtinId="9" hidden="1"/>
    <cellStyle name="Lien hypertexte visité" xfId="425" builtinId="9" hidden="1"/>
    <cellStyle name="Lien hypertexte visité" xfId="2035" builtinId="9" hidden="1"/>
    <cellStyle name="Lien hypertexte visité" xfId="17491" builtinId="9" hidden="1"/>
    <cellStyle name="Lien hypertexte visité" xfId="11538" builtinId="9" hidden="1"/>
    <cellStyle name="Lien hypertexte visité" xfId="10470" builtinId="9" hidden="1"/>
    <cellStyle name="Lien hypertexte visité" xfId="13694" builtinId="9" hidden="1"/>
    <cellStyle name="Lien hypertexte visité" xfId="16201" builtinId="9" hidden="1"/>
    <cellStyle name="Lien hypertexte visité" xfId="19296" builtinId="9" hidden="1"/>
    <cellStyle name="Lien hypertexte visité" xfId="5973" builtinId="9" hidden="1"/>
    <cellStyle name="Lien hypertexte visité" xfId="14054" builtinId="9" hidden="1"/>
    <cellStyle name="Lien hypertexte visité" xfId="12798" builtinId="9" hidden="1"/>
    <cellStyle name="Lien hypertexte visité" xfId="9470" builtinId="9" hidden="1"/>
    <cellStyle name="Lien hypertexte visité" xfId="23954" builtinId="9" hidden="1"/>
    <cellStyle name="Lien hypertexte visité" xfId="6725" builtinId="9" hidden="1"/>
    <cellStyle name="Lien hypertexte visité" xfId="249" builtinId="9" hidden="1"/>
    <cellStyle name="Lien hypertexte visité" xfId="1791" builtinId="9" hidden="1"/>
    <cellStyle name="Lien hypertexte visité" xfId="3163" builtinId="9" hidden="1"/>
    <cellStyle name="Lien hypertexte visité" xfId="7898" builtinId="9" hidden="1"/>
    <cellStyle name="Lien hypertexte visité" xfId="7197" builtinId="9" hidden="1"/>
    <cellStyle name="Lien hypertexte visité" xfId="6377" builtinId="9" hidden="1"/>
    <cellStyle name="Lien hypertexte visité" xfId="5681" builtinId="9" hidden="1"/>
    <cellStyle name="Lien hypertexte visité" xfId="4401" builtinId="9" hidden="1"/>
    <cellStyle name="Lien hypertexte visité" xfId="10778" builtinId="9" hidden="1"/>
    <cellStyle name="Lien hypertexte visité" xfId="5277" builtinId="9" hidden="1"/>
    <cellStyle name="Lien hypertexte visité" xfId="2699" builtinId="9" hidden="1"/>
    <cellStyle name="Lien hypertexte visité" xfId="8078" builtinId="9" hidden="1"/>
    <cellStyle name="Lien hypertexte visité" xfId="7621" builtinId="9" hidden="1"/>
    <cellStyle name="Lien hypertexte visité" xfId="2311" builtinId="9" hidden="1"/>
    <cellStyle name="Lien hypertexte visité" xfId="3555" builtinId="9" hidden="1"/>
    <cellStyle name="Lien hypertexte visité" xfId="11757" builtinId="9" hidden="1"/>
    <cellStyle name="Lien hypertexte visité" xfId="22620" builtinId="9" hidden="1"/>
    <cellStyle name="Lien hypertexte visité" xfId="9552" builtinId="9" hidden="1"/>
    <cellStyle name="Lien hypertexte visité" xfId="203" builtinId="9" hidden="1"/>
    <cellStyle name="Lien hypertexte visité" xfId="13852" builtinId="9" hidden="1"/>
    <cellStyle name="Lien hypertexte visité" xfId="3462" builtinId="9" hidden="1"/>
    <cellStyle name="Lien hypertexte visité" xfId="4702" builtinId="9" hidden="1"/>
    <cellStyle name="Lien hypertexte visité" xfId="1463" builtinId="9" hidden="1"/>
    <cellStyle name="Lien hypertexte visité" xfId="2758" builtinId="9" hidden="1"/>
    <cellStyle name="Lien hypertexte visité" xfId="9101" builtinId="9" hidden="1"/>
    <cellStyle name="Lien hypertexte visité" xfId="12173" builtinId="9" hidden="1"/>
    <cellStyle name="Lien hypertexte visité" xfId="15975" builtinId="9" hidden="1"/>
    <cellStyle name="Lien hypertexte visité" xfId="20660" builtinId="9" hidden="1"/>
    <cellStyle name="Lien hypertexte visité" xfId="14533" builtinId="9" hidden="1"/>
    <cellStyle name="Lien hypertexte visité" xfId="11452" builtinId="9" hidden="1"/>
    <cellStyle name="Lien hypertexte visité" xfId="5147" builtinId="9" hidden="1"/>
    <cellStyle name="Lien hypertexte visité" xfId="2069" builtinId="9" hidden="1"/>
    <cellStyle name="Lien hypertexte visité" xfId="2153" builtinId="9" hidden="1"/>
    <cellStyle name="Lien hypertexte visité" xfId="8496" builtinId="9" hidden="1"/>
    <cellStyle name="Lien hypertexte visité" xfId="2066" builtinId="9" hidden="1"/>
    <cellStyle name="Lien hypertexte visité" xfId="4224" builtinId="9" hidden="1"/>
    <cellStyle name="Lien hypertexte visité" xfId="8321" builtinId="9" hidden="1"/>
    <cellStyle name="Lien hypertexte visité" xfId="10369" builtinId="9" hidden="1"/>
    <cellStyle name="Lien hypertexte visité" xfId="12529" builtinId="9" hidden="1"/>
    <cellStyle name="Lien hypertexte visité" xfId="18718" builtinId="9" hidden="1"/>
    <cellStyle name="Lien hypertexte visité" xfId="23070" builtinId="9" hidden="1"/>
    <cellStyle name="Lien hypertexte visité" xfId="22060" builtinId="9" hidden="1"/>
    <cellStyle name="Lien hypertexte visité" xfId="14200" builtinId="9" hidden="1"/>
    <cellStyle name="Lien hypertexte visité" xfId="12048" builtinId="9" hidden="1"/>
    <cellStyle name="Lien hypertexte visité" xfId="10000" builtinId="9" hidden="1"/>
    <cellStyle name="Lien hypertexte visité" xfId="21500" builtinId="9" hidden="1"/>
    <cellStyle name="Lien hypertexte visité" xfId="15455" builtinId="9" hidden="1"/>
    <cellStyle name="Lien hypertexte visité" xfId="8841" builtinId="9" hidden="1"/>
    <cellStyle name="Lien hypertexte visité" xfId="11064" builtinId="9" hidden="1"/>
    <cellStyle name="Lien hypertexte visité" xfId="19884" builtinId="9" hidden="1"/>
    <cellStyle name="Lien hypertexte visité" xfId="17071" builtinId="9" hidden="1"/>
    <cellStyle name="Lien hypertexte visité" xfId="3154" builtinId="9" hidden="1"/>
    <cellStyle name="Lien hypertexte visité" xfId="3983" builtinId="9" hidden="1"/>
    <cellStyle name="Lien hypertexte visité" xfId="6395" builtinId="9" hidden="1"/>
    <cellStyle name="Lien hypertexte visité" xfId="13805" builtinId="9" hidden="1"/>
    <cellStyle name="Lien hypertexte visité" xfId="4588" builtinId="9" hidden="1"/>
    <cellStyle name="Lien hypertexte visité" xfId="6302" builtinId="9" hidden="1"/>
    <cellStyle name="Lien hypertexte visité" xfId="6069" builtinId="9" hidden="1"/>
    <cellStyle name="Lien hypertexte visité" xfId="4569" builtinId="9" hidden="1"/>
    <cellStyle name="Lien hypertexte visité" xfId="11530" builtinId="9" hidden="1"/>
    <cellStyle name="Lien hypertexte visité" xfId="19578" builtinId="9" hidden="1"/>
    <cellStyle name="Lien hypertexte visité" xfId="20242" builtinId="9" hidden="1"/>
    <cellStyle name="Lien hypertexte visité" xfId="23746" builtinId="9" hidden="1"/>
    <cellStyle name="Lien hypertexte visité" xfId="18488" builtinId="9" hidden="1"/>
    <cellStyle name="Lien hypertexte visité" xfId="14793" builtinId="9" hidden="1"/>
    <cellStyle name="Lien hypertexte visité" xfId="4168" builtinId="9" hidden="1"/>
    <cellStyle name="Lien hypertexte visité" xfId="15971" builtinId="9" hidden="1"/>
    <cellStyle name="Lien hypertexte visité" xfId="2132" builtinId="9" hidden="1"/>
    <cellStyle name="Lien hypertexte visité" xfId="7336" builtinId="9" hidden="1"/>
    <cellStyle name="Lien hypertexte visité" xfId="17679" builtinId="9" hidden="1"/>
    <cellStyle name="Lien hypertexte visité" xfId="5176" builtinId="9" hidden="1"/>
    <cellStyle name="Lien hypertexte visité" xfId="1316" builtinId="9" hidden="1"/>
    <cellStyle name="Lien hypertexte visité" xfId="5052" builtinId="9" hidden="1"/>
    <cellStyle name="Lien hypertexte visité" xfId="12495" builtinId="9" hidden="1"/>
    <cellStyle name="Lien hypertexte visité" xfId="19192" builtinId="9" hidden="1"/>
    <cellStyle name="Lien hypertexte visité" xfId="617" builtinId="9" hidden="1"/>
    <cellStyle name="Lien hypertexte visité" xfId="18374" builtinId="9" hidden="1"/>
    <cellStyle name="Lien hypertexte visité" xfId="5524" builtinId="9" hidden="1"/>
    <cellStyle name="Lien hypertexte visité" xfId="9262" builtinId="9" hidden="1"/>
    <cellStyle name="Lien hypertexte visité" xfId="18560" builtinId="9" hidden="1"/>
    <cellStyle name="Lien hypertexte visité" xfId="20826" builtinId="9" hidden="1"/>
    <cellStyle name="Lien hypertexte visité" xfId="7012" builtinId="9" hidden="1"/>
    <cellStyle name="Lien hypertexte visité" xfId="11732" builtinId="9" hidden="1"/>
    <cellStyle name="Lien hypertexte visité" xfId="21574" builtinId="9" hidden="1"/>
    <cellStyle name="Lien hypertexte visité" xfId="8616" builtinId="9" hidden="1"/>
    <cellStyle name="Lien hypertexte visité" xfId="2973" builtinId="9" hidden="1"/>
    <cellStyle name="Lien hypertexte visité" xfId="22918" builtinId="9" hidden="1"/>
    <cellStyle name="Lien hypertexte visité" xfId="4644" builtinId="9" hidden="1"/>
    <cellStyle name="Lien hypertexte visité" xfId="869" builtinId="9" hidden="1"/>
    <cellStyle name="Lien hypertexte visité" xfId="11084" builtinId="9" hidden="1"/>
    <cellStyle name="Lien hypertexte visité" xfId="6236" builtinId="9" hidden="1"/>
    <cellStyle name="Lien hypertexte visité" xfId="5870" builtinId="9" hidden="1"/>
    <cellStyle name="Lien hypertexte visité" xfId="8774" builtinId="9" hidden="1"/>
    <cellStyle name="Lien hypertexte visité" xfId="18123" builtinId="9" hidden="1"/>
    <cellStyle name="Lien hypertexte visité" xfId="5969" builtinId="9" hidden="1"/>
    <cellStyle name="Lien hypertexte visité" xfId="817" builtinId="9" hidden="1"/>
    <cellStyle name="Lien hypertexte visité" xfId="13621" builtinId="9" hidden="1"/>
    <cellStyle name="Lien hypertexte visité" xfId="6324" builtinId="9" hidden="1"/>
    <cellStyle name="Lien hypertexte visité" xfId="2128" builtinId="9" hidden="1"/>
    <cellStyle name="Lien hypertexte visité" xfId="8738" builtinId="9" hidden="1"/>
    <cellStyle name="Lien hypertexte visité" xfId="13602" builtinId="9" hidden="1"/>
    <cellStyle name="Lien hypertexte visité" xfId="22336" builtinId="9" hidden="1"/>
    <cellStyle name="Lien hypertexte visité" xfId="24218" builtinId="9" hidden="1"/>
    <cellStyle name="Lien hypertexte visité" xfId="9878" builtinId="9" hidden="1"/>
    <cellStyle name="Lien hypertexte visité" xfId="4388" builtinId="9" hidden="1"/>
    <cellStyle name="Lien hypertexte visité" xfId="8674" builtinId="9" hidden="1"/>
    <cellStyle name="Lien hypertexte visité" xfId="6404" builtinId="9" hidden="1"/>
    <cellStyle name="Lien hypertexte visité" xfId="689" builtinId="9" hidden="1"/>
    <cellStyle name="Lien hypertexte visité" xfId="1960" builtinId="9" hidden="1"/>
    <cellStyle name="Lien hypertexte visité" xfId="12719" builtinId="9" hidden="1"/>
    <cellStyle name="Lien hypertexte visité" xfId="13598" builtinId="9" hidden="1"/>
    <cellStyle name="Lien hypertexte visité" xfId="9130" builtinId="9" hidden="1"/>
    <cellStyle name="Lien hypertexte visité" xfId="3391" builtinId="9" hidden="1"/>
    <cellStyle name="Lien hypertexte visité" xfId="4393" builtinId="9" hidden="1"/>
    <cellStyle name="Lien hypertexte visité" xfId="8789" builtinId="9" hidden="1"/>
    <cellStyle name="Lien hypertexte visité" xfId="1614" builtinId="9" hidden="1"/>
    <cellStyle name="Lien hypertexte visité" xfId="6710" builtinId="9" hidden="1"/>
    <cellStyle name="Lien hypertexte visité" xfId="11862" builtinId="9" hidden="1"/>
    <cellStyle name="Lien hypertexte visité" xfId="18752" builtinId="9" hidden="1"/>
    <cellStyle name="Lien hypertexte visité" xfId="20466" builtinId="9" hidden="1"/>
    <cellStyle name="Lien hypertexte visité" xfId="15993" builtinId="9" hidden="1"/>
    <cellStyle name="Lien hypertexte visité" xfId="3942" builtinId="9" hidden="1"/>
    <cellStyle name="Lien hypertexte visité" xfId="1247" builtinId="9" hidden="1"/>
    <cellStyle name="Lien hypertexte visité" xfId="8258" builtinId="9" hidden="1"/>
    <cellStyle name="Lien hypertexte visité" xfId="13038" builtinId="9" hidden="1"/>
    <cellStyle name="Lien hypertexte visité" xfId="21096" builtinId="9" hidden="1"/>
    <cellStyle name="Lien hypertexte visité" xfId="11674" builtinId="9" hidden="1"/>
    <cellStyle name="Lien hypertexte visité" xfId="18416" builtinId="9" hidden="1"/>
    <cellStyle name="Lien hypertexte visité" xfId="20954" builtinId="9" hidden="1"/>
    <cellStyle name="Lien hypertexte visité" xfId="22450" builtinId="9" hidden="1"/>
    <cellStyle name="Lien hypertexte visité" xfId="23424" builtinId="9" hidden="1"/>
    <cellStyle name="Lien hypertexte visité" xfId="20224" builtinId="9" hidden="1"/>
    <cellStyle name="Lien hypertexte visité" xfId="14114" builtinId="9" hidden="1"/>
    <cellStyle name="Lien hypertexte visité" xfId="12514" builtinId="9" hidden="1"/>
    <cellStyle name="Lien hypertexte visité" xfId="10926" builtinId="9" hidden="1"/>
    <cellStyle name="Lien hypertexte visité" xfId="15707" builtinId="9" hidden="1"/>
    <cellStyle name="Lien hypertexte visité" xfId="12727" builtinId="9" hidden="1"/>
    <cellStyle name="Lien hypertexte visité" xfId="10199" builtinId="9" hidden="1"/>
    <cellStyle name="Lien hypertexte visité" xfId="5430" builtinId="9" hidden="1"/>
    <cellStyle name="Lien hypertexte visité" xfId="2896" builtinId="9" hidden="1"/>
    <cellStyle name="Lien hypertexte visité" xfId="73" builtinId="9" hidden="1"/>
    <cellStyle name="Lien hypertexte visité" xfId="5508" builtinId="9" hidden="1"/>
    <cellStyle name="Lien hypertexte visité" xfId="7893" builtinId="9" hidden="1"/>
    <cellStyle name="Lien hypertexte visité" xfId="10293" builtinId="9" hidden="1"/>
    <cellStyle name="Lien hypertexte visité" xfId="15863" builtinId="9" hidden="1"/>
    <cellStyle name="Lien hypertexte visité" xfId="8954" builtinId="9" hidden="1"/>
    <cellStyle name="Lien hypertexte visité" xfId="5873" builtinId="9" hidden="1"/>
    <cellStyle name="Lien hypertexte visité" xfId="3271" builtinId="9" hidden="1"/>
    <cellStyle name="Lien hypertexte visité" xfId="1426" builtinId="9" hidden="1"/>
    <cellStyle name="Lien hypertexte visité" xfId="1503" builtinId="9" hidden="1"/>
    <cellStyle name="Lien hypertexte visité" xfId="6661" builtinId="9" hidden="1"/>
    <cellStyle name="Lien hypertexte visité" xfId="4613" builtinId="9" hidden="1"/>
    <cellStyle name="Lien hypertexte visité" xfId="12970" builtinId="9" hidden="1"/>
    <cellStyle name="Lien hypertexte visité" xfId="20266" builtinId="9" hidden="1"/>
    <cellStyle name="Lien hypertexte visité" xfId="24184" builtinId="9" hidden="1"/>
    <cellStyle name="Lien hypertexte visité" xfId="19232" builtinId="9" hidden="1"/>
    <cellStyle name="Lien hypertexte visité" xfId="12102" builtinId="9" hidden="1"/>
    <cellStyle name="Lien hypertexte visité" xfId="9586" builtinId="9" hidden="1"/>
    <cellStyle name="Lien hypertexte visité" xfId="14383" builtinId="9" hidden="1"/>
    <cellStyle name="Lien hypertexte visité" xfId="7022" builtinId="9" hidden="1"/>
    <cellStyle name="Lien hypertexte visité" xfId="3432" builtinId="9" hidden="1"/>
    <cellStyle name="Lien hypertexte visité" xfId="1301" builtinId="9" hidden="1"/>
    <cellStyle name="Lien hypertexte visité" xfId="8605" builtinId="9" hidden="1"/>
    <cellStyle name="Lien hypertexte visité" xfId="12189" builtinId="9" hidden="1"/>
    <cellStyle name="Lien hypertexte visité" xfId="17415" builtinId="9" hidden="1"/>
    <cellStyle name="Lien hypertexte visité" xfId="17509" builtinId="9" hidden="1"/>
    <cellStyle name="Lien hypertexte visité" xfId="12236" builtinId="9" hidden="1"/>
    <cellStyle name="Lien hypertexte visité" xfId="8652" builtinId="9" hidden="1"/>
    <cellStyle name="Lien hypertexte visité" xfId="1348" builtinId="9" hidden="1"/>
    <cellStyle name="Lien hypertexte visité" xfId="3385" builtinId="9" hidden="1"/>
    <cellStyle name="Lien hypertexte visité" xfId="6975" builtinId="9" hidden="1"/>
    <cellStyle name="Lien hypertexte visité" xfId="11813" builtinId="9" hidden="1"/>
    <cellStyle name="Lien hypertexte visité" xfId="6819" builtinId="9" hidden="1"/>
    <cellStyle name="Lien hypertexte visité" xfId="10036" builtinId="9" hidden="1"/>
    <cellStyle name="Lien hypertexte visité" xfId="17845" builtinId="9" hidden="1"/>
    <cellStyle name="Lien hypertexte visité" xfId="24260" builtinId="9" hidden="1"/>
    <cellStyle name="Lien hypertexte visité" xfId="20998" builtinId="9" hidden="1"/>
    <cellStyle name="Lien hypertexte visité" xfId="2013" builtinId="9" hidden="1"/>
    <cellStyle name="Lien hypertexte visité" xfId="4899" builtinId="9" hidden="1"/>
    <cellStyle name="Lien hypertexte visité" xfId="3899" builtinId="9" hidden="1"/>
    <cellStyle name="Lien hypertexte visité" xfId="6007" builtinId="9" hidden="1"/>
    <cellStyle name="Lien hypertexte visité" xfId="4071" builtinId="9" hidden="1"/>
    <cellStyle name="Lien hypertexte visité" xfId="4563" builtinId="9" hidden="1"/>
    <cellStyle name="Lien hypertexte visité" xfId="2321" builtinId="9" hidden="1"/>
    <cellStyle name="Lien hypertexte visité" xfId="19526" builtinId="9" hidden="1"/>
    <cellStyle name="Lien hypertexte visité" xfId="23556" builtinId="9" hidden="1"/>
    <cellStyle name="Lien hypertexte visité" xfId="12756" builtinId="9" hidden="1"/>
    <cellStyle name="Lien hypertexte visité" xfId="9684" builtinId="9" hidden="1"/>
    <cellStyle name="Lien hypertexte visité" xfId="6611" builtinId="9" hidden="1"/>
    <cellStyle name="Lien hypertexte visité" xfId="1311" builtinId="9" hidden="1"/>
    <cellStyle name="Lien hypertexte visité" xfId="12071" builtinId="9" hidden="1"/>
    <cellStyle name="Lien hypertexte visité" xfId="13166" builtinId="9" hidden="1"/>
    <cellStyle name="Lien hypertexte visité" xfId="11546" builtinId="9" hidden="1"/>
    <cellStyle name="Lien hypertexte visité" xfId="23600" builtinId="9" hidden="1"/>
    <cellStyle name="Lien hypertexte visité" xfId="19298" builtinId="9" hidden="1"/>
    <cellStyle name="Lien hypertexte visité" xfId="20136" builtinId="9" hidden="1"/>
    <cellStyle name="Lien hypertexte visité" xfId="15377" builtinId="9" hidden="1"/>
    <cellStyle name="Lien hypertexte visité" xfId="12558" builtinId="9" hidden="1"/>
    <cellStyle name="Lien hypertexte visité" xfId="15675" builtinId="9" hidden="1"/>
    <cellStyle name="Lien hypertexte visité" xfId="11511" builtinId="9" hidden="1"/>
    <cellStyle name="Lien hypertexte visité" xfId="7750" builtinId="9" hidden="1"/>
    <cellStyle name="Lien hypertexte visité" xfId="4" builtinId="9" hidden="1"/>
    <cellStyle name="Lien hypertexte visité" xfId="4340" builtinId="9" hidden="1"/>
    <cellStyle name="Lien hypertexte visité" xfId="7925" builtinId="9" hidden="1"/>
    <cellStyle name="Lien hypertexte visité" xfId="15991" builtinId="9" hidden="1"/>
    <cellStyle name="Lien hypertexte visité" xfId="4793" builtinId="9" hidden="1"/>
    <cellStyle name="Lien hypertexte visité" xfId="7866" builtinId="9" hidden="1"/>
    <cellStyle name="Lien hypertexte visité" xfId="1486" builtinId="9" hidden="1"/>
    <cellStyle name="Lien hypertexte visité" xfId="7777" builtinId="9" hidden="1"/>
    <cellStyle name="Lien hypertexte visité" xfId="4561" builtinId="9" hidden="1"/>
    <cellStyle name="Lien hypertexte visité" xfId="20138" builtinId="9" hidden="1"/>
    <cellStyle name="Lien hypertexte visité" xfId="21576" builtinId="9" hidden="1"/>
    <cellStyle name="Lien hypertexte visité" xfId="14470" builtinId="9" hidden="1"/>
    <cellStyle name="Lien hypertexte visité" xfId="14287" builtinId="9" hidden="1"/>
    <cellStyle name="Lien hypertexte visité" xfId="8911" builtinId="9" hidden="1"/>
    <cellStyle name="Lien hypertexte visité" xfId="3528" builtinId="9" hidden="1"/>
    <cellStyle name="Lien hypertexte visité" xfId="8637" builtinId="9" hidden="1"/>
    <cellStyle name="Lien hypertexte visité" xfId="14013" builtinId="9" hidden="1"/>
    <cellStyle name="Lien hypertexte visité" xfId="24468" builtinId="9" hidden="1"/>
    <cellStyle name="Lien hypertexte visité" xfId="8748" builtinId="9" hidden="1"/>
    <cellStyle name="Lien hypertexte visité" xfId="3109" builtinId="9" hidden="1"/>
    <cellStyle name="Lien hypertexte visité" xfId="3417" builtinId="9" hidden="1"/>
    <cellStyle name="Lien hypertexte visité" xfId="3984" builtinId="9" hidden="1"/>
    <cellStyle name="Lien hypertexte visité" xfId="7568" builtinId="9" hidden="1"/>
    <cellStyle name="Lien hypertexte visité" xfId="11153" builtinId="9" hidden="1"/>
    <cellStyle name="Lien hypertexte visité" xfId="22446" builtinId="9" hidden="1"/>
    <cellStyle name="Lien hypertexte visité" xfId="19612" builtinId="9" hidden="1"/>
    <cellStyle name="Lien hypertexte visité" xfId="13320" builtinId="9" hidden="1"/>
    <cellStyle name="Lien hypertexte visité" xfId="19388" builtinId="9" hidden="1"/>
    <cellStyle name="Lien hypertexte visité" xfId="10921" builtinId="9" hidden="1"/>
    <cellStyle name="Lien hypertexte visité" xfId="9459" builtinId="9" hidden="1"/>
    <cellStyle name="Lien hypertexte visité" xfId="3156" builtinId="9" hidden="1"/>
    <cellStyle name="Lien hypertexte visité" xfId="6562" builtinId="9" hidden="1"/>
    <cellStyle name="Lien hypertexte visité" xfId="10435" builtinId="9" hidden="1"/>
    <cellStyle name="Lien hypertexte visité" xfId="15779" builtinId="9" hidden="1"/>
    <cellStyle name="Lien hypertexte visité" xfId="10411" builtinId="9" hidden="1"/>
    <cellStyle name="Lien hypertexte visité" xfId="5730" builtinId="9" hidden="1"/>
    <cellStyle name="Lien hypertexte visité" xfId="6354" builtinId="9" hidden="1"/>
    <cellStyle name="Lien hypertexte visité" xfId="53" builtinId="9" hidden="1"/>
    <cellStyle name="Lien hypertexte visité" xfId="17099" builtinId="9" hidden="1"/>
    <cellStyle name="Lien hypertexte visité" xfId="4316" builtinId="9" hidden="1"/>
    <cellStyle name="Lien hypertexte visité" xfId="22356" builtinId="9" hidden="1"/>
    <cellStyle name="Lien hypertexte visité" xfId="2053" builtinId="9" hidden="1"/>
    <cellStyle name="Lien hypertexte visité" xfId="6074" builtinId="9" hidden="1"/>
    <cellStyle name="Lien hypertexte visité" xfId="8747" builtinId="9" hidden="1"/>
    <cellStyle name="Lien hypertexte visité" xfId="7016" builtinId="9" hidden="1"/>
    <cellStyle name="Lien hypertexte visité" xfId="13312" builtinId="9" hidden="1"/>
    <cellStyle name="Lien hypertexte visité" xfId="10480" builtinId="9" hidden="1"/>
    <cellStyle name="Lien hypertexte visité" xfId="13592" builtinId="9" hidden="1"/>
    <cellStyle name="Lien hypertexte visité" xfId="24110" builtinId="9" hidden="1"/>
    <cellStyle name="Lien hypertexte visité" xfId="17903" builtinId="9" hidden="1"/>
    <cellStyle name="Lien hypertexte visité" xfId="13089" builtinId="9" hidden="1"/>
    <cellStyle name="Lien hypertexte visité" xfId="6816" builtinId="9" hidden="1"/>
    <cellStyle name="Lien hypertexte visité" xfId="3707" builtinId="9" hidden="1"/>
    <cellStyle name="Lien hypertexte visité" xfId="14417" builtinId="9" hidden="1"/>
    <cellStyle name="Lien hypertexte visité" xfId="9811" builtinId="9" hidden="1"/>
    <cellStyle name="Lien hypertexte visité" xfId="15683" builtinId="9" hidden="1"/>
    <cellStyle name="Lien hypertexte visité" xfId="14627" builtinId="9" hidden="1"/>
    <cellStyle name="Lien hypertexte visité" xfId="11611" builtinId="9" hidden="1"/>
    <cellStyle name="Lien hypertexte visité" xfId="1820" builtinId="9" hidden="1"/>
    <cellStyle name="Lien hypertexte visité" xfId="9731" builtinId="9" hidden="1"/>
    <cellStyle name="Lien hypertexte visité" xfId="4834" builtinId="9" hidden="1"/>
    <cellStyle name="Lien hypertexte visité" xfId="11275" builtinId="9" hidden="1"/>
    <cellStyle name="Lien hypertexte visité" xfId="6226" builtinId="9" hidden="1"/>
    <cellStyle name="Lien hypertexte visité" xfId="5128" builtinId="9" hidden="1"/>
    <cellStyle name="Lien hypertexte visité" xfId="8459" builtinId="9" hidden="1"/>
    <cellStyle name="Lien hypertexte visité" xfId="5754" builtinId="9" hidden="1"/>
    <cellStyle name="Lien hypertexte visité" xfId="8163" builtinId="9" hidden="1"/>
    <cellStyle name="Lien hypertexte visité" xfId="2276" builtinId="9" hidden="1"/>
    <cellStyle name="Lien hypertexte visité" xfId="9635" builtinId="9" hidden="1"/>
    <cellStyle name="Lien hypertexte visité" xfId="12091" builtinId="9" hidden="1"/>
    <cellStyle name="Lien hypertexte visité" xfId="9771" builtinId="9" hidden="1"/>
    <cellStyle name="Lien hypertexte visité" xfId="15539" builtinId="9" hidden="1"/>
    <cellStyle name="Lien hypertexte visité" xfId="11683" builtinId="9" hidden="1"/>
    <cellStyle name="Lien hypertexte visité" xfId="9147" builtinId="9" hidden="1"/>
    <cellStyle name="Lien hypertexte visité" xfId="23166" builtinId="9" hidden="1"/>
    <cellStyle name="Lien hypertexte visité" xfId="6176" builtinId="9" hidden="1"/>
    <cellStyle name="Lien hypertexte visité" xfId="9337" builtinId="9" hidden="1"/>
    <cellStyle name="Lien hypertexte visité" xfId="12449" builtinId="9" hidden="1"/>
    <cellStyle name="Lien hypertexte visité" xfId="22830" builtinId="9" hidden="1"/>
    <cellStyle name="Lien hypertexte visité" xfId="20172" builtinId="9" hidden="1"/>
    <cellStyle name="Lien hypertexte visité" xfId="14232" builtinId="9" hidden="1"/>
    <cellStyle name="Lien hypertexte visité" xfId="11520" builtinId="9" hidden="1"/>
    <cellStyle name="Lien hypertexte visité" xfId="22030" builtinId="9" hidden="1"/>
    <cellStyle name="Lien hypertexte visité" xfId="8937" builtinId="9" hidden="1"/>
    <cellStyle name="Lien hypertexte visité" xfId="6618" builtinId="9" hidden="1"/>
    <cellStyle name="Lien hypertexte visité" xfId="3954" builtinId="9" hidden="1"/>
    <cellStyle name="Lien hypertexte visité" xfId="2425" builtinId="9" hidden="1"/>
    <cellStyle name="Lien hypertexte visité" xfId="7644" builtinId="9" hidden="1"/>
    <cellStyle name="Lien hypertexte visité" xfId="9903" builtinId="9" hidden="1"/>
    <cellStyle name="Lien hypertexte visité" xfId="15753" builtinId="9" hidden="1"/>
    <cellStyle name="Lien hypertexte visité" xfId="1999" builtinId="9" hidden="1"/>
    <cellStyle name="Lien hypertexte visité" xfId="4225" builtinId="9" hidden="1"/>
    <cellStyle name="Lien hypertexte visité" xfId="7252" builtinId="9" hidden="1"/>
    <cellStyle name="Lien hypertexte visité" xfId="16987" builtinId="9" hidden="1"/>
    <cellStyle name="Lien hypertexte visité" xfId="16273" builtinId="9" hidden="1"/>
    <cellStyle name="Lien hypertexte visité" xfId="18418" builtinId="9" hidden="1"/>
    <cellStyle name="Lien hypertexte visité" xfId="1822" builtinId="9" hidden="1"/>
    <cellStyle name="Lien hypertexte visité" xfId="6630" builtinId="9" hidden="1"/>
    <cellStyle name="Lien hypertexte visité" xfId="9282" builtinId="9" hidden="1"/>
    <cellStyle name="Lien hypertexte visité" xfId="21146" builtinId="9" hidden="1"/>
    <cellStyle name="Lien hypertexte visité" xfId="15873" builtinId="9" hidden="1"/>
    <cellStyle name="Lien hypertexte visité" xfId="18906" builtinId="9" hidden="1"/>
    <cellStyle name="Lien hypertexte visité" xfId="22744" builtinId="9" hidden="1"/>
    <cellStyle name="Lien hypertexte visité" xfId="17913" builtinId="9" hidden="1"/>
    <cellStyle name="Lien hypertexte visité" xfId="13774" builtinId="9" hidden="1"/>
    <cellStyle name="Lien hypertexte visité" xfId="8930" builtinId="9" hidden="1"/>
    <cellStyle name="Lien hypertexte visité" xfId="13319" builtinId="9" hidden="1"/>
    <cellStyle name="Lien hypertexte visité" xfId="9687" builtinId="9" hidden="1"/>
    <cellStyle name="Lien hypertexte visité" xfId="2384" builtinId="9" hidden="1"/>
    <cellStyle name="Lien hypertexte visité" xfId="2382" builtinId="9" hidden="1"/>
    <cellStyle name="Lien hypertexte visité" xfId="6020" builtinId="9" hidden="1"/>
    <cellStyle name="Lien hypertexte visité" xfId="13317" builtinId="9" hidden="1"/>
    <cellStyle name="Lien hypertexte visité" xfId="10874" builtinId="9" hidden="1"/>
    <cellStyle name="Lien hypertexte visité" xfId="6309" builtinId="9" hidden="1"/>
    <cellStyle name="Lien hypertexte visité" xfId="329" builtinId="9" hidden="1"/>
    <cellStyle name="Lien hypertexte visité" xfId="2675" builtinId="9" hidden="1"/>
    <cellStyle name="Lien hypertexte visité" xfId="6225" builtinId="9" hidden="1"/>
    <cellStyle name="Lien hypertexte visité" xfId="19642" builtinId="9" hidden="1"/>
    <cellStyle name="Lien hypertexte visité" xfId="23762" builtinId="9" hidden="1"/>
    <cellStyle name="Lien hypertexte visité" xfId="18225" builtinId="9" hidden="1"/>
    <cellStyle name="Lien hypertexte visité" xfId="9074" builtinId="9" hidden="1"/>
    <cellStyle name="Lien hypertexte visité" xfId="11759" builtinId="9" hidden="1"/>
    <cellStyle name="Lien hypertexte visité" xfId="6254" builtinId="9" hidden="1"/>
    <cellStyle name="Lien hypertexte visité" xfId="5788" builtinId="9" hidden="1"/>
    <cellStyle name="Lien hypertexte visité" xfId="11293" builtinId="9" hidden="1"/>
    <cellStyle name="Lien hypertexte visité" xfId="18934" builtinId="9" hidden="1"/>
    <cellStyle name="Lien hypertexte visité" xfId="11468" builtinId="9" hidden="1"/>
    <cellStyle name="Lien hypertexte visité" xfId="6027" builtinId="9" hidden="1"/>
    <cellStyle name="Lien hypertexte visité" xfId="121" builtinId="9" hidden="1"/>
    <cellStyle name="Lien hypertexte visité" xfId="2034" builtinId="9" hidden="1"/>
    <cellStyle name="Lien hypertexte visité" xfId="6003" builtinId="9" hidden="1"/>
    <cellStyle name="Lien hypertexte visité" xfId="10692" builtinId="9" hidden="1"/>
    <cellStyle name="Lien hypertexte visité" xfId="23654" builtinId="9" hidden="1"/>
    <cellStyle name="Lien hypertexte visité" xfId="5507" builtinId="9" hidden="1"/>
    <cellStyle name="Lien hypertexte visité" xfId="2637" builtinId="9" hidden="1"/>
    <cellStyle name="Lien hypertexte visité" xfId="8408" builtinId="9" hidden="1"/>
    <cellStyle name="Lien hypertexte visité" xfId="3345" builtinId="9" hidden="1"/>
    <cellStyle name="Lien hypertexte visité" xfId="3955" builtinId="9" hidden="1"/>
    <cellStyle name="Lien hypertexte visité" xfId="20838" builtinId="9" hidden="1"/>
    <cellStyle name="Lien hypertexte visité" xfId="19044" builtinId="9" hidden="1"/>
    <cellStyle name="Lien hypertexte visité" xfId="12100" builtinId="9" hidden="1"/>
    <cellStyle name="Lien hypertexte visité" xfId="8293" builtinId="9" hidden="1"/>
    <cellStyle name="Lien hypertexte visité" xfId="9255" builtinId="9" hidden="1"/>
    <cellStyle name="Lien hypertexte visité" xfId="14889" builtinId="9" hidden="1"/>
    <cellStyle name="Lien hypertexte visité" xfId="22554" builtinId="9" hidden="1"/>
    <cellStyle name="Lien hypertexte visité" xfId="22818" builtinId="9" hidden="1"/>
    <cellStyle name="Lien hypertexte visité" xfId="19112" builtinId="9" hidden="1"/>
    <cellStyle name="Lien hypertexte visité" xfId="9550" builtinId="9" hidden="1"/>
    <cellStyle name="Lien hypertexte visité" xfId="12439" builtinId="9" hidden="1"/>
    <cellStyle name="Lien hypertexte visité" xfId="6982" builtinId="9" hidden="1"/>
    <cellStyle name="Lien hypertexte visité" xfId="5108" builtinId="9" hidden="1"/>
    <cellStyle name="Lien hypertexte visité" xfId="10565" builtinId="9" hidden="1"/>
    <cellStyle name="Lien hypertexte visité" xfId="17527" builtinId="9" hidden="1"/>
    <cellStyle name="Lien hypertexte visité" xfId="1073" builtinId="9" hidden="1"/>
    <cellStyle name="Lien hypertexte visité" xfId="5641" builtinId="9" hidden="1"/>
    <cellStyle name="Lien hypertexte visité" xfId="8298" builtinId="9" hidden="1"/>
    <cellStyle name="Lien hypertexte visité" xfId="20040" builtinId="9" hidden="1"/>
    <cellStyle name="Lien hypertexte visité" xfId="11826" builtinId="9" hidden="1"/>
    <cellStyle name="Lien hypertexte visité" xfId="13135" builtinId="9" hidden="1"/>
    <cellStyle name="Lien hypertexte visité" xfId="4412" builtinId="9" hidden="1"/>
    <cellStyle name="Lien hypertexte visité" xfId="12605" builtinId="9" hidden="1"/>
    <cellStyle name="Lien hypertexte visité" xfId="22164" builtinId="9" hidden="1"/>
    <cellStyle name="Lien hypertexte visité" xfId="1957" builtinId="9" hidden="1"/>
    <cellStyle name="Lien hypertexte visité" xfId="7391" builtinId="9" hidden="1"/>
    <cellStyle name="Lien hypertexte visité" xfId="4752" builtinId="9" hidden="1"/>
    <cellStyle name="Lien hypertexte visité" xfId="16831" builtinId="9" hidden="1"/>
    <cellStyle name="Lien hypertexte visité" xfId="21484" builtinId="9" hidden="1"/>
    <cellStyle name="Lien hypertexte visité" xfId="12552" builtinId="9" hidden="1"/>
    <cellStyle name="Lien hypertexte visité" xfId="8617" builtinId="9" hidden="1"/>
    <cellStyle name="Lien hypertexte visité" xfId="7186" builtinId="9" hidden="1"/>
    <cellStyle name="Lien hypertexte visité" xfId="2500" builtinId="9" hidden="1"/>
    <cellStyle name="Lien hypertexte visité" xfId="15251" builtinId="9" hidden="1"/>
    <cellStyle name="Lien hypertexte visité" xfId="9659" builtinId="9" hidden="1"/>
    <cellStyle name="Lien hypertexte visité" xfId="1067" builtinId="9" hidden="1"/>
    <cellStyle name="Lien hypertexte visité" xfId="2882" builtinId="9" hidden="1"/>
    <cellStyle name="Lien hypertexte visité" xfId="13151" builtinId="9" hidden="1"/>
    <cellStyle name="Lien hypertexte visité" xfId="7678" builtinId="9" hidden="1"/>
    <cellStyle name="Lien hypertexte visité" xfId="4396" builtinId="9" hidden="1"/>
    <cellStyle name="Lien hypertexte visité" xfId="9869" builtinId="9" hidden="1"/>
    <cellStyle name="Lien hypertexte visité" xfId="16103" builtinId="9" hidden="1"/>
    <cellStyle name="Lien hypertexte visité" xfId="12892" builtinId="9" hidden="1"/>
    <cellStyle name="Lien hypertexte visité" xfId="7451" builtinId="9" hidden="1"/>
    <cellStyle name="Lien hypertexte visité" xfId="1973" builtinId="9" hidden="1"/>
    <cellStyle name="Lien hypertexte visité" xfId="999" builtinId="9" hidden="1"/>
    <cellStyle name="Lien hypertexte visité" xfId="4736" builtinId="9" hidden="1"/>
    <cellStyle name="Lien hypertexte visité" xfId="8385" builtinId="9" hidden="1"/>
    <cellStyle name="Lien hypertexte visité" xfId="16815" builtinId="9" hidden="1"/>
    <cellStyle name="Lien hypertexte visité" xfId="24094" builtinId="9" hidden="1"/>
    <cellStyle name="Lien hypertexte visité" xfId="17901" builtinId="9" hidden="1"/>
    <cellStyle name="Lien hypertexte visité" xfId="8912" builtinId="9" hidden="1"/>
    <cellStyle name="Lien hypertexte visité" xfId="24572" builtinId="9" hidden="1"/>
    <cellStyle name="Lien hypertexte visité" xfId="8649" builtinId="9" hidden="1"/>
    <cellStyle name="Lien hypertexte visité" xfId="22846" builtinId="9" hidden="1"/>
    <cellStyle name="Lien hypertexte visité" xfId="7768" builtinId="9" hidden="1"/>
    <cellStyle name="Lien hypertexte visité" xfId="3730" builtinId="9" hidden="1"/>
    <cellStyle name="Lien hypertexte visité" xfId="8941" builtinId="9" hidden="1"/>
    <cellStyle name="Lien hypertexte visité" xfId="8607" builtinId="9" hidden="1"/>
    <cellStyle name="Lien hypertexte visité" xfId="6033" builtinId="9" hidden="1"/>
    <cellStyle name="Lien hypertexte visité" xfId="24570" builtinId="9" hidden="1"/>
    <cellStyle name="Lien hypertexte visité" xfId="21098" builtinId="9" hidden="1"/>
    <cellStyle name="Lien hypertexte visité" xfId="21896" builtinId="9" hidden="1"/>
    <cellStyle name="Lien hypertexte visité" xfId="11966" builtinId="9" hidden="1"/>
    <cellStyle name="Lien hypertexte visité" xfId="12050" builtinId="9" hidden="1"/>
    <cellStyle name="Lien hypertexte visité" xfId="3415" builtinId="9" hidden="1"/>
    <cellStyle name="Lien hypertexte visité" xfId="3195" builtinId="9" hidden="1"/>
    <cellStyle name="Lien hypertexte visité" xfId="7405" builtinId="9" hidden="1"/>
    <cellStyle name="Lien hypertexte visité" xfId="8130" builtinId="9" hidden="1"/>
    <cellStyle name="Lien hypertexte visité" xfId="8666" builtinId="9" hidden="1"/>
    <cellStyle name="Lien hypertexte visité" xfId="6137" builtinId="9" hidden="1"/>
    <cellStyle name="Lien hypertexte visité" xfId="2459" builtinId="9" hidden="1"/>
    <cellStyle name="Lien hypertexte visité" xfId="2275" builtinId="9" hidden="1"/>
    <cellStyle name="Lien hypertexte visité" xfId="1971" builtinId="9" hidden="1"/>
    <cellStyle name="Lien hypertexte visité" xfId="1719" builtinId="9" hidden="1"/>
    <cellStyle name="Lien hypertexte visité" xfId="10726" builtinId="9" hidden="1"/>
    <cellStyle name="Lien hypertexte visité" xfId="13842" builtinId="9" hidden="1"/>
    <cellStyle name="Lien hypertexte visité" xfId="19384" builtinId="9" hidden="1"/>
    <cellStyle name="Lien hypertexte visité" xfId="17363" builtinId="9" hidden="1"/>
    <cellStyle name="Lien hypertexte visité" xfId="13962" builtinId="9" hidden="1"/>
    <cellStyle name="Lien hypertexte visité" xfId="4953" builtinId="9" hidden="1"/>
    <cellStyle name="Lien hypertexte visité" xfId="2406" builtinId="9" hidden="1"/>
    <cellStyle name="Lien hypertexte visité" xfId="15575" builtinId="9" hidden="1"/>
    <cellStyle name="Lien hypertexte visité" xfId="4685" builtinId="9" hidden="1"/>
    <cellStyle name="Lien hypertexte visité" xfId="1531" builtinId="9" hidden="1"/>
    <cellStyle name="Lien hypertexte visité" xfId="1583" builtinId="9" hidden="1"/>
    <cellStyle name="Lien hypertexte visité" xfId="7814" builtinId="9" hidden="1"/>
    <cellStyle name="Lien hypertexte visité" xfId="18209" builtinId="9" hidden="1"/>
    <cellStyle name="Lien hypertexte visité" xfId="20050" builtinId="9" hidden="1"/>
    <cellStyle name="Lien hypertexte visité" xfId="22008" builtinId="9" hidden="1"/>
    <cellStyle name="Lien hypertexte visité" xfId="10930" builtinId="9" hidden="1"/>
    <cellStyle name="Lien hypertexte visité" xfId="14699" builtinId="9" hidden="1"/>
    <cellStyle name="Lien hypertexte visité" xfId="9103" builtinId="9" hidden="1"/>
    <cellStyle name="Lien hypertexte visité" xfId="2934" builtinId="9" hidden="1"/>
    <cellStyle name="Lien hypertexte visité" xfId="8445" builtinId="9" hidden="1"/>
    <cellStyle name="Lien hypertexte visité" xfId="13949" builtinId="9" hidden="1"/>
    <cellStyle name="Lien hypertexte visité" xfId="14316" builtinId="9" hidden="1"/>
    <cellStyle name="Lien hypertexte visité" xfId="8812" builtinId="9" hidden="1"/>
    <cellStyle name="Lien hypertexte visité" xfId="3429" builtinId="9" hidden="1"/>
    <cellStyle name="Lien hypertexte visité" xfId="8736" builtinId="9" hidden="1"/>
    <cellStyle name="Lien hypertexte visité" xfId="3771" builtinId="9" hidden="1"/>
    <cellStyle name="Lien hypertexte visité" xfId="7440" builtinId="9" hidden="1"/>
    <cellStyle name="Lien hypertexte visité" xfId="14863" builtinId="9" hidden="1"/>
    <cellStyle name="Lien hypertexte visité" xfId="22190" builtinId="9" hidden="1"/>
    <cellStyle name="Lien hypertexte visité" xfId="19692" builtinId="9" hidden="1"/>
    <cellStyle name="Lien hypertexte visité" xfId="9864" builtinId="9" hidden="1"/>
    <cellStyle name="Lien hypertexte visité" xfId="19132" builtinId="9" hidden="1"/>
    <cellStyle name="Lien hypertexte visité" xfId="11561" builtinId="9" hidden="1"/>
    <cellStyle name="Lien hypertexte visité" xfId="6418" builtinId="9" hidden="1"/>
    <cellStyle name="Lien hypertexte visité" xfId="3340" builtinId="9" hidden="1"/>
    <cellStyle name="Lien hypertexte visité" xfId="5794" builtinId="9" hidden="1"/>
    <cellStyle name="Lien hypertexte visité" xfId="14371" builtinId="9" hidden="1"/>
    <cellStyle name="Lien hypertexte visité" xfId="15587" builtinId="9" hidden="1"/>
    <cellStyle name="Lien hypertexte visité" xfId="10371" builtinId="9" hidden="1"/>
    <cellStyle name="Lien hypertexte visité" xfId="3172" builtinId="9" hidden="1"/>
    <cellStyle name="Lien hypertexte visité" xfId="6322" builtinId="9" hidden="1"/>
    <cellStyle name="Lien hypertexte visité" xfId="9395" builtinId="9" hidden="1"/>
    <cellStyle name="Lien hypertexte visité" xfId="12255" builtinId="9" hidden="1"/>
    <cellStyle name="Lien hypertexte visité" xfId="8671" builtinId="9" hidden="1"/>
    <cellStyle name="Lien hypertexte visité" xfId="4990" builtinId="9" hidden="1"/>
    <cellStyle name="Lien hypertexte visité" xfId="3398" builtinId="9" hidden="1"/>
    <cellStyle name="Lien hypertexte visité" xfId="7084" builtinId="9" hidden="1"/>
    <cellStyle name="Lien hypertexte visité" xfId="10765" builtinId="9" hidden="1"/>
    <cellStyle name="Lien hypertexte visité" xfId="21462" builtinId="9" hidden="1"/>
    <cellStyle name="Lien hypertexte visité" xfId="20404" builtinId="9" hidden="1"/>
    <cellStyle name="Lien hypertexte visité" xfId="13884" builtinId="9" hidden="1"/>
    <cellStyle name="Lien hypertexte visité" xfId="6555" builtinId="9" hidden="1"/>
    <cellStyle name="Lien hypertexte visité" xfId="2965" builtinId="9" hidden="1"/>
    <cellStyle name="Lien hypertexte visité" xfId="1865" builtinId="9" hidden="1"/>
    <cellStyle name="Lien hypertexte visité" xfId="251" builtinId="9" hidden="1"/>
    <cellStyle name="Lien hypertexte visité" xfId="2874" builtinId="9" hidden="1"/>
    <cellStyle name="Lien hypertexte visité" xfId="5336" builtinId="9" hidden="1"/>
    <cellStyle name="Lien hypertexte visité" xfId="10177" builtinId="9" hidden="1"/>
    <cellStyle name="Lien hypertexte visité" xfId="12609" builtinId="9" hidden="1"/>
    <cellStyle name="Lien hypertexte visité" xfId="15487" builtinId="9" hidden="1"/>
    <cellStyle name="Lien hypertexte visité" xfId="23948" builtinId="9" hidden="1"/>
    <cellStyle name="Lien hypertexte visité" xfId="19164" builtinId="9" hidden="1"/>
    <cellStyle name="Lien hypertexte visité" xfId="14416" builtinId="9" hidden="1"/>
    <cellStyle name="Lien hypertexte visité" xfId="9576" builtinId="9" hidden="1"/>
    <cellStyle name="Lien hypertexte visité" xfId="14048" builtinId="9" hidden="1"/>
    <cellStyle name="Lien hypertexte visité" xfId="21070" builtinId="9" hidden="1"/>
    <cellStyle name="Lien hypertexte visité" xfId="16863" builtinId="9" hidden="1"/>
    <cellStyle name="Lien hypertexte visité" xfId="11320" builtinId="9" hidden="1"/>
    <cellStyle name="Lien hypertexte visité" xfId="22444" builtinId="9" hidden="1"/>
    <cellStyle name="Lien hypertexte visité" xfId="5976" builtinId="9" hidden="1"/>
    <cellStyle name="Lien hypertexte visité" xfId="6671" builtinId="9" hidden="1"/>
    <cellStyle name="Lien hypertexte visité" xfId="5499" builtinId="9" hidden="1"/>
    <cellStyle name="Lien hypertexte visité" xfId="11885" builtinId="9" hidden="1"/>
    <cellStyle name="Lien hypertexte visité" xfId="9084" builtinId="9" hidden="1"/>
    <cellStyle name="Lien hypertexte visité" xfId="10929" builtinId="9" hidden="1"/>
    <cellStyle name="Lien hypertexte visité" xfId="18313" builtinId="9" hidden="1"/>
    <cellStyle name="Lien hypertexte visité" xfId="13608" builtinId="9" hidden="1"/>
    <cellStyle name="Lien hypertexte visité" xfId="21950" builtinId="9" hidden="1"/>
    <cellStyle name="Lien hypertexte visité" xfId="3699" builtinId="9" hidden="1"/>
    <cellStyle name="Lien hypertexte visité" xfId="3049" builtinId="9" hidden="1"/>
    <cellStyle name="Lien hypertexte visité" xfId="9020" builtinId="9" hidden="1"/>
    <cellStyle name="Lien hypertexte visité" xfId="8269" builtinId="9" hidden="1"/>
    <cellStyle name="Lien hypertexte visité" xfId="3809" builtinId="9" hidden="1"/>
    <cellStyle name="Lien hypertexte visité" xfId="14923" builtinId="9" hidden="1"/>
    <cellStyle name="Lien hypertexte visité" xfId="13635" builtinId="9" hidden="1"/>
    <cellStyle name="Lien hypertexte visité" xfId="12443" builtinId="9" hidden="1"/>
    <cellStyle name="Lien hypertexte visité" xfId="8539" builtinId="9" hidden="1"/>
    <cellStyle name="Lien hypertexte visité" xfId="24574" builtinId="9" hidden="1"/>
    <cellStyle name="Lien hypertexte visité" xfId="8633" builtinId="9" hidden="1"/>
    <cellStyle name="Lien hypertexte visité" xfId="5023" builtinId="9" hidden="1"/>
    <cellStyle name="Lien hypertexte visité" xfId="10237" builtinId="9" hidden="1"/>
    <cellStyle name="Lien hypertexte visité" xfId="7310" builtinId="9" hidden="1"/>
    <cellStyle name="Lien hypertexte visité" xfId="13406" builtinId="9" hidden="1"/>
    <cellStyle name="Lien hypertexte visité" xfId="3239" builtinId="9" hidden="1"/>
    <cellStyle name="Lien hypertexte visité" xfId="5709" builtinId="9" hidden="1"/>
    <cellStyle name="Lien hypertexte visité" xfId="20708" builtinId="9" hidden="1"/>
    <cellStyle name="Lien hypertexte visité" xfId="12212" builtinId="9" hidden="1"/>
    <cellStyle name="Lien hypertexte visité" xfId="9572" builtinId="9" hidden="1"/>
    <cellStyle name="Lien hypertexte visité" xfId="6867" builtinId="9" hidden="1"/>
    <cellStyle name="Lien hypertexte visité" xfId="4068" builtinId="9" hidden="1"/>
    <cellStyle name="Lien hypertexte visité" xfId="6310" builtinId="9" hidden="1"/>
    <cellStyle name="Lien hypertexte visité" xfId="17051" builtinId="9" hidden="1"/>
    <cellStyle name="Lien hypertexte visité" xfId="22578" builtinId="9" hidden="1"/>
    <cellStyle name="Lien hypertexte visité" xfId="12218" builtinId="9" hidden="1"/>
    <cellStyle name="Lien hypertexte visité" xfId="19696" builtinId="9" hidden="1"/>
    <cellStyle name="Lien hypertexte visité" xfId="21514" builtinId="9" hidden="1"/>
    <cellStyle name="Lien hypertexte visité" xfId="23512" builtinId="9" hidden="1"/>
    <cellStyle name="Lien hypertexte visité" xfId="19288" builtinId="9" hidden="1"/>
    <cellStyle name="Lien hypertexte visité" xfId="12758" builtinId="9" hidden="1"/>
    <cellStyle name="Lien hypertexte visité" xfId="10710" builtinId="9" hidden="1"/>
    <cellStyle name="Lien hypertexte visité" xfId="8610" builtinId="9" hidden="1"/>
    <cellStyle name="Lien hypertexte visité" xfId="10263" builtinId="9" hidden="1"/>
    <cellStyle name="Lien hypertexte visité" xfId="7110" builtinId="9" hidden="1"/>
    <cellStyle name="Lien hypertexte visité" xfId="4038" builtinId="9" hidden="1"/>
    <cellStyle name="Lien hypertexte visité" xfId="3342" builtinId="9" hidden="1"/>
    <cellStyle name="Lien hypertexte visité" xfId="6516" builtinId="9" hidden="1"/>
    <cellStyle name="Lien hypertexte visité" xfId="9589" builtinId="9" hidden="1"/>
    <cellStyle name="Lien hypertexte visité" xfId="10615" builtinId="9" hidden="1"/>
    <cellStyle name="Lien hypertexte visité" xfId="23960" builtinId="9" hidden="1"/>
    <cellStyle name="Lien hypertexte visité" xfId="15003" builtinId="9" hidden="1"/>
    <cellStyle name="Lien hypertexte visité" xfId="4307" builtinId="9" hidden="1"/>
    <cellStyle name="Lien hypertexte visité" xfId="4983" builtinId="9" hidden="1"/>
    <cellStyle name="Lien hypertexte visité" xfId="7415" builtinId="9" hidden="1"/>
    <cellStyle name="Lien hypertexte visité" xfId="5975" builtinId="9" hidden="1"/>
    <cellStyle name="Lien hypertexte visité" xfId="3505" builtinId="9" hidden="1"/>
    <cellStyle name="Lien hypertexte visité" xfId="5751" builtinId="9" hidden="1"/>
    <cellStyle name="Lien hypertexte visité" xfId="1069" builtinId="9" hidden="1"/>
    <cellStyle name="Lien hypertexte visité" xfId="2353" builtinId="9" hidden="1"/>
    <cellStyle name="Lien hypertexte visité" xfId="23364" builtinId="9" hidden="1"/>
    <cellStyle name="Lien hypertexte visité" xfId="1388" builtinId="9" hidden="1"/>
    <cellStyle name="Lien hypertexte visité" xfId="17461" builtinId="9" hidden="1"/>
    <cellStyle name="Lien hypertexte visité" xfId="22276" builtinId="9" hidden="1"/>
    <cellStyle name="Lien hypertexte visité" xfId="17493" builtinId="9" hidden="1"/>
    <cellStyle name="Lien hypertexte visité" xfId="2033" builtinId="9" hidden="1"/>
    <cellStyle name="Lien hypertexte visité" xfId="1372" builtinId="9" hidden="1"/>
    <cellStyle name="Lien hypertexte visité" xfId="11460" builtinId="9" hidden="1"/>
    <cellStyle name="Lien hypertexte visité" xfId="13796" builtinId="9" hidden="1"/>
    <cellStyle name="Lien hypertexte visité" xfId="6051" builtinId="9" hidden="1"/>
    <cellStyle name="Lien hypertexte visité" xfId="6308" builtinId="9" hidden="1"/>
    <cellStyle name="Lien hypertexte visité" xfId="17047" builtinId="9" hidden="1"/>
    <cellStyle name="Lien hypertexte visité" xfId="7443" builtinId="9" hidden="1"/>
    <cellStyle name="Lien hypertexte visité" xfId="12852" builtinId="9" hidden="1"/>
    <cellStyle name="Lien hypertexte visité" xfId="10436" builtinId="9" hidden="1"/>
    <cellStyle name="Lien hypertexte visité" xfId="21700" builtinId="9" hidden="1"/>
    <cellStyle name="Lien hypertexte visité" xfId="6275" builtinId="9" hidden="1"/>
    <cellStyle name="Lien hypertexte visité" xfId="19334" builtinId="9" hidden="1"/>
    <cellStyle name="Lien hypertexte visité" xfId="24166" builtinId="9" hidden="1"/>
    <cellStyle name="Lien hypertexte visité" xfId="15413" builtinId="9" hidden="1"/>
    <cellStyle name="Lien hypertexte visité" xfId="23204" builtinId="9" hidden="1"/>
    <cellStyle name="Lien hypertexte visité" xfId="21062" builtinId="9" hidden="1"/>
    <cellStyle name="Lien hypertexte visité" xfId="1392" builtinId="9" hidden="1"/>
    <cellStyle name="Lien hypertexte visité" xfId="2077" builtinId="9" hidden="1"/>
    <cellStyle name="Lien hypertexte visité" xfId="4403" builtinId="9" hidden="1"/>
    <cellStyle name="Lien hypertexte visité" xfId="7271" builtinId="9" hidden="1"/>
    <cellStyle name="Lien hypertexte visité" xfId="8360" builtinId="9" hidden="1"/>
    <cellStyle name="Lien hypertexte visité" xfId="6119" builtinId="9" hidden="1"/>
    <cellStyle name="Lien hypertexte visité" xfId="5911" builtinId="9" hidden="1"/>
    <cellStyle name="Lien hypertexte visité" xfId="3357" builtinId="9" hidden="1"/>
    <cellStyle name="Lien hypertexte visité" xfId="7603" builtinId="9" hidden="1"/>
    <cellStyle name="Lien hypertexte visité" xfId="13326" builtinId="9" hidden="1"/>
    <cellStyle name="Lien hypertexte visité" xfId="1728" builtinId="9" hidden="1"/>
    <cellStyle name="Lien hypertexte visité" xfId="11461" builtinId="9" hidden="1"/>
    <cellStyle name="Lien hypertexte visité" xfId="5236" builtinId="9" hidden="1"/>
    <cellStyle name="Lien hypertexte visité" xfId="2062" builtinId="9" hidden="1"/>
    <cellStyle name="Lien hypertexte visité" xfId="2160" builtinId="9" hidden="1"/>
    <cellStyle name="Lien hypertexte visité" xfId="8391" builtinId="9" hidden="1"/>
    <cellStyle name="Lien hypertexte visité" xfId="11543" builtinId="9" hidden="1"/>
    <cellStyle name="Lien hypertexte visité" xfId="14715" builtinId="9" hidden="1"/>
    <cellStyle name="Lien hypertexte visité" xfId="11566" builtinId="9" hidden="1"/>
    <cellStyle name="Lien hypertexte visité" xfId="13614" builtinId="9" hidden="1"/>
    <cellStyle name="Lien hypertexte visité" xfId="16913" builtinId="9" hidden="1"/>
    <cellStyle name="Lien hypertexte visité" xfId="24010" builtinId="9" hidden="1"/>
    <cellStyle name="Lien hypertexte visité" xfId="19914" builtinId="9" hidden="1"/>
    <cellStyle name="Lien hypertexte visité" xfId="22042" builtinId="9" hidden="1"/>
    <cellStyle name="Lien hypertexte visité" xfId="23962" builtinId="9" hidden="1"/>
    <cellStyle name="Lien hypertexte visité" xfId="21528" builtinId="9" hidden="1"/>
    <cellStyle name="Lien hypertexte visité" xfId="11886" builtinId="9" hidden="1"/>
    <cellStyle name="Lien hypertexte visité" xfId="2720" builtinId="9" hidden="1"/>
    <cellStyle name="Lien hypertexte visité" xfId="7909" builtinId="9" hidden="1"/>
    <cellStyle name="Lien hypertexte visité" xfId="5331" builtinId="9" hidden="1"/>
    <cellStyle name="Lien hypertexte visité" xfId="10676" builtinId="9" hidden="1"/>
    <cellStyle name="Lien hypertexte visité" xfId="13300" builtinId="9" hidden="1"/>
    <cellStyle name="Lien hypertexte visité" xfId="17525" builtinId="9" hidden="1"/>
    <cellStyle name="Lien hypertexte visité" xfId="2843" builtinId="9" hidden="1"/>
    <cellStyle name="Lien hypertexte visité" xfId="6133" builtinId="9" hidden="1"/>
    <cellStyle name="Lien hypertexte visité" xfId="23978" builtinId="9" hidden="1"/>
    <cellStyle name="Lien hypertexte visité" xfId="131" builtinId="9" hidden="1"/>
    <cellStyle name="Lien hypertexte visité" xfId="5195" builtinId="9" hidden="1"/>
    <cellStyle name="Lien hypertexte visité" xfId="1733" builtinId="9" hidden="1"/>
    <cellStyle name="Lien hypertexte visité" xfId="6911" builtinId="9" hidden="1"/>
    <cellStyle name="Lien hypertexte visité" xfId="1225" builtinId="9" hidden="1"/>
    <cellStyle name="Lien hypertexte visité" xfId="11045" builtinId="9" hidden="1"/>
    <cellStyle name="Lien hypertexte visité" xfId="9668" builtinId="9" hidden="1"/>
    <cellStyle name="Lien hypertexte visité" xfId="12884" builtinId="9" hidden="1"/>
    <cellStyle name="Lien hypertexte visité" xfId="17685" builtinId="9" hidden="1"/>
    <cellStyle name="Lien hypertexte visité" xfId="19270" builtinId="9" hidden="1"/>
    <cellStyle name="Lien hypertexte visité" xfId="2149" builtinId="9" hidden="1"/>
    <cellStyle name="Lien hypertexte visité" xfId="1677" builtinId="9" hidden="1"/>
    <cellStyle name="Lien hypertexte visité" xfId="3959" builtinId="9" hidden="1"/>
    <cellStyle name="Lien hypertexte visité" xfId="6023" builtinId="9" hidden="1"/>
    <cellStyle name="Lien hypertexte visité" xfId="8024" builtinId="9" hidden="1"/>
    <cellStyle name="Lien hypertexte visité" xfId="4915" builtinId="9" hidden="1"/>
    <cellStyle name="Lien hypertexte visité" xfId="1901" builtinId="9" hidden="1"/>
    <cellStyle name="Lien hypertexte visité" xfId="2257" builtinId="9" hidden="1"/>
    <cellStyle name="Lien hypertexte visité" xfId="24004" builtinId="9" hidden="1"/>
    <cellStyle name="Lien hypertexte visité" xfId="17589" builtinId="9" hidden="1"/>
    <cellStyle name="Lien hypertexte visité" xfId="13124" builtinId="9" hidden="1"/>
    <cellStyle name="Lien hypertexte visité" xfId="6691" builtinId="9" hidden="1"/>
    <cellStyle name="Lien hypertexte visité" xfId="11877" builtinId="9" hidden="1"/>
    <cellStyle name="Lien hypertexte visité" xfId="111" builtinId="9" hidden="1"/>
    <cellStyle name="Lien hypertexte visité" xfId="12310" builtinId="9" hidden="1"/>
    <cellStyle name="Lien hypertexte visité" xfId="24114" builtinId="9" hidden="1"/>
    <cellStyle name="Lien hypertexte visité" xfId="11386" builtinId="9" hidden="1"/>
    <cellStyle name="Lien hypertexte visité" xfId="18954" builtinId="9" hidden="1"/>
    <cellStyle name="Lien hypertexte visité" xfId="23970" builtinId="9" hidden="1"/>
    <cellStyle name="Lien hypertexte visité" xfId="20712" builtinId="9" hidden="1"/>
    <cellStyle name="Lien hypertexte visité" xfId="12622" builtinId="9" hidden="1"/>
    <cellStyle name="Lien hypertexte visité" xfId="10338" builtinId="9" hidden="1"/>
    <cellStyle name="Lien hypertexte visité" xfId="16187" builtinId="9" hidden="1"/>
    <cellStyle name="Lien hypertexte visité" xfId="8183" builtinId="9" hidden="1"/>
    <cellStyle name="Lien hypertexte visité" xfId="4422" builtinId="9" hidden="1"/>
    <cellStyle name="Lien hypertexte visité" xfId="147" builtinId="9" hidden="1"/>
    <cellStyle name="Lien hypertexte visité" xfId="7668" builtinId="9" hidden="1"/>
    <cellStyle name="Lien hypertexte visité" xfId="11413" builtinId="9" hidden="1"/>
    <cellStyle name="Lien hypertexte visité" xfId="15159" builtinId="9" hidden="1"/>
    <cellStyle name="Lien hypertexte visité" xfId="7793" builtinId="9" hidden="1"/>
    <cellStyle name="Lien hypertexte visité" xfId="3203" builtinId="9" hidden="1"/>
    <cellStyle name="Lien hypertexte visité" xfId="1683" builtinId="9" hidden="1"/>
    <cellStyle name="Lien hypertexte visité" xfId="4925" builtinId="9" hidden="1"/>
    <cellStyle name="Lien hypertexte visité" xfId="17441" builtinId="9" hidden="1"/>
    <cellStyle name="Lien hypertexte visité" xfId="19970" builtinId="9" hidden="1"/>
    <cellStyle name="Lien hypertexte visité" xfId="14937" builtinId="9" hidden="1"/>
    <cellStyle name="Lien hypertexte visité" xfId="10974" builtinId="9" hidden="1"/>
    <cellStyle name="Lien hypertexte visité" xfId="15339" builtinId="9" hidden="1"/>
    <cellStyle name="Lien hypertexte visité" xfId="3659" builtinId="9" hidden="1"/>
    <cellStyle name="Lien hypertexte visité" xfId="2614" builtinId="9" hidden="1"/>
    <cellStyle name="Lien hypertexte visité" xfId="8253" builtinId="9" hidden="1"/>
    <cellStyle name="Lien hypertexte visité" xfId="23478" builtinId="9" hidden="1"/>
    <cellStyle name="Lien hypertexte visité" xfId="14508" builtinId="9" hidden="1"/>
    <cellStyle name="Lien hypertexte visité" xfId="8876" builtinId="9" hidden="1"/>
    <cellStyle name="Lien hypertexte visité" xfId="3033" builtinId="9" hidden="1"/>
    <cellStyle name="Lien hypertexte visité" xfId="8672" builtinId="9" hidden="1"/>
    <cellStyle name="Lien hypertexte visité" xfId="3546" builtinId="9" hidden="1"/>
    <cellStyle name="Lien hypertexte visité" xfId="11065" builtinId="9" hidden="1"/>
    <cellStyle name="Lien hypertexte visité" xfId="14481" builtinId="9" hidden="1"/>
    <cellStyle name="Lien hypertexte visité" xfId="21934" builtinId="9" hidden="1"/>
    <cellStyle name="Lien hypertexte visité" xfId="13744" builtinId="9" hidden="1"/>
    <cellStyle name="Lien hypertexte visité" xfId="9992" builtinId="9" hidden="1"/>
    <cellStyle name="Lien hypertexte visité" xfId="18876" builtinId="9" hidden="1"/>
    <cellStyle name="Lien hypertexte visité" xfId="695" builtinId="9" hidden="1"/>
    <cellStyle name="Lien hypertexte visité" xfId="6458" builtinId="9" hidden="1"/>
    <cellStyle name="Lien hypertexte visité" xfId="3524" builtinId="9" hidden="1"/>
    <cellStyle name="Lien hypertexte visité" xfId="10499" builtinId="9" hidden="1"/>
    <cellStyle name="Lien hypertexte visité" xfId="13027" builtinId="9" hidden="1"/>
    <cellStyle name="Lien hypertexte visité" xfId="15395" builtinId="9" hidden="1"/>
    <cellStyle name="Lien hypertexte visité" xfId="8291" builtinId="9" hidden="1"/>
    <cellStyle name="Lien hypertexte visité" xfId="3060" builtinId="9" hidden="1"/>
    <cellStyle name="Lien hypertexte visité" xfId="6282" builtinId="9" hidden="1"/>
    <cellStyle name="Lien hypertexte visité" xfId="8318" builtinId="9" hidden="1"/>
    <cellStyle name="Lien hypertexte visité" xfId="12287" builtinId="9" hidden="1"/>
    <cellStyle name="Lien hypertexte visité" xfId="8895" builtinId="9" hidden="1"/>
    <cellStyle name="Lien hypertexte visité" xfId="1367" builtinId="9" hidden="1"/>
    <cellStyle name="Lien hypertexte visité" xfId="3206" builtinId="9" hidden="1"/>
    <cellStyle name="Lien hypertexte visité" xfId="6956" builtinId="9" hidden="1"/>
    <cellStyle name="Lien hypertexte visité" xfId="14125" builtinId="9" hidden="1"/>
    <cellStyle name="Lien hypertexte visité" xfId="21206" builtinId="9" hidden="1"/>
    <cellStyle name="Lien hypertexte visité" xfId="20468" builtinId="9" hidden="1"/>
    <cellStyle name="Lien hypertexte visité" xfId="10332" builtinId="9" hidden="1"/>
    <cellStyle name="Lien hypertexte visité" xfId="6587" builtinId="9" hidden="1"/>
    <cellStyle name="Lien hypertexte visité" xfId="3157" builtinId="9" hidden="1"/>
    <cellStyle name="Lien hypertexte visité" xfId="5487" builtinId="9" hidden="1"/>
    <cellStyle name="Lien hypertexte visité" xfId="539" builtinId="9" hidden="1"/>
    <cellStyle name="Lien hypertexte visité" xfId="2794" builtinId="9" hidden="1"/>
    <cellStyle name="Lien hypertexte visité" xfId="7576" builtinId="9" hidden="1"/>
    <cellStyle name="Lien hypertexte visité" xfId="10097" builtinId="9" hidden="1"/>
    <cellStyle name="Lien hypertexte visité" xfId="12593" builtinId="9" hidden="1"/>
    <cellStyle name="Lien hypertexte visité" xfId="20206" builtinId="9" hidden="1"/>
    <cellStyle name="Lien hypertexte visité" xfId="24028" builtinId="9" hidden="1"/>
    <cellStyle name="Lien hypertexte visité" xfId="19468" builtinId="9" hidden="1"/>
    <cellStyle name="Lien hypertexte visité" xfId="11984" builtinId="9" hidden="1"/>
    <cellStyle name="Lien hypertexte visité" xfId="9720" builtinId="9" hidden="1"/>
    <cellStyle name="Lien hypertexte visité" xfId="13792" builtinId="9" hidden="1"/>
    <cellStyle name="Lien hypertexte visité" xfId="11017" builtinId="9" hidden="1"/>
    <cellStyle name="Lien hypertexte visité" xfId="15327" builtinId="9" hidden="1"/>
    <cellStyle name="Lien hypertexte visité" xfId="11240" builtinId="9" hidden="1"/>
    <cellStyle name="Lien hypertexte visité" xfId="13569" builtinId="9" hidden="1"/>
    <cellStyle name="Lien hypertexte visité" xfId="6064" builtinId="9" hidden="1"/>
    <cellStyle name="Lien hypertexte visité" xfId="7311" builtinId="9" hidden="1"/>
    <cellStyle name="Lien hypertexte visité" xfId="18245" builtinId="9" hidden="1"/>
    <cellStyle name="Lien hypertexte visité" xfId="12525" builtinId="9" hidden="1"/>
    <cellStyle name="Lien hypertexte visité" xfId="1253" builtinId="9" hidden="1"/>
    <cellStyle name="Lien hypertexte visité" xfId="6617" builtinId="9" hidden="1"/>
    <cellStyle name="Lien hypertexte visité" xfId="4769" builtinId="9" hidden="1"/>
    <cellStyle name="Lien hypertexte visité" xfId="11658" builtinId="9" hidden="1"/>
    <cellStyle name="Lien hypertexte visité" xfId="17787" builtinId="9" hidden="1"/>
    <cellStyle name="Lien hypertexte visité" xfId="22082" builtinId="9" hidden="1"/>
    <cellStyle name="Lien hypertexte visité" xfId="23264" builtinId="9" hidden="1"/>
    <cellStyle name="Lien hypertexte visité" xfId="14665" builtinId="9" hidden="1"/>
    <cellStyle name="Lien hypertexte visité" xfId="12646" builtinId="9" hidden="1"/>
    <cellStyle name="Lien hypertexte visité" xfId="10494" builtinId="9" hidden="1"/>
    <cellStyle name="Lien hypertexte visité" xfId="4677" builtinId="9" hidden="1"/>
    <cellStyle name="Lien hypertexte visité" xfId="1887" builtinId="9" hidden="1"/>
    <cellStyle name="Lien hypertexte visité" xfId="1358" builtinId="9" hidden="1"/>
    <cellStyle name="Lien hypertexte visité" xfId="4681" builtinId="9" hidden="1"/>
    <cellStyle name="Lien hypertexte visité" xfId="1458" builtinId="9" hidden="1"/>
    <cellStyle name="Lien hypertexte visité" xfId="7601" builtinId="9" hidden="1"/>
    <cellStyle name="Lien hypertexte visité" xfId="5569" builtinId="9" hidden="1"/>
    <cellStyle name="Lien hypertexte visité" xfId="4509" builtinId="9" hidden="1"/>
    <cellStyle name="Lien hypertexte visité" xfId="9242" builtinId="9" hidden="1"/>
    <cellStyle name="Lien hypertexte visité" xfId="2955" builtinId="9" hidden="1"/>
    <cellStyle name="Lien hypertexte visité" xfId="7966" builtinId="9" hidden="1"/>
    <cellStyle name="Lien hypertexte visité" xfId="1587" builtinId="9" hidden="1"/>
    <cellStyle name="Lien hypertexte visité" xfId="3367" builtinId="9" hidden="1"/>
    <cellStyle name="Lien hypertexte visité" xfId="1162" builtinId="9" hidden="1"/>
    <cellStyle name="Lien hypertexte visité" xfId="1859" builtinId="9" hidden="1"/>
    <cellStyle name="Lien hypertexte visité" xfId="20152" builtinId="9" hidden="1"/>
    <cellStyle name="Lien hypertexte visité" xfId="10046" builtinId="9" hidden="1"/>
    <cellStyle name="Lien hypertexte visité" xfId="12178" builtinId="9" hidden="1"/>
    <cellStyle name="Lien hypertexte visité" xfId="18033" builtinId="9" hidden="1"/>
    <cellStyle name="Lien hypertexte visité" xfId="22328" builtinId="9" hidden="1"/>
    <cellStyle name="Lien hypertexte visité" xfId="22634" builtinId="9" hidden="1"/>
    <cellStyle name="Lien hypertexte visité" xfId="23376" builtinId="9" hidden="1"/>
    <cellStyle name="Lien hypertexte visité" xfId="12490" builtinId="9" hidden="1"/>
    <cellStyle name="Lien hypertexte visité" xfId="4369" builtinId="9" hidden="1"/>
    <cellStyle name="Lien hypertexte visité" xfId="12575" builtinId="9" hidden="1"/>
    <cellStyle name="Lien hypertexte visité" xfId="2328" builtinId="9" hidden="1"/>
    <cellStyle name="Lien hypertexte visité" xfId="13173" builtinId="9" hidden="1"/>
    <cellStyle name="Lien hypertexte visité" xfId="4025" builtinId="9" hidden="1"/>
    <cellStyle name="Lien hypertexte visité" xfId="6145" builtinId="9" hidden="1"/>
    <cellStyle name="Lien hypertexte visité" xfId="7850" builtinId="9" hidden="1"/>
    <cellStyle name="Lien hypertexte visité" xfId="529" builtinId="9" hidden="1"/>
    <cellStyle name="Lien hypertexte visité" xfId="3728" builtinId="9" hidden="1"/>
    <cellStyle name="Lien hypertexte visité" xfId="5897" builtinId="9" hidden="1"/>
    <cellStyle name="Lien hypertexte visité" xfId="4229" builtinId="9" hidden="1"/>
    <cellStyle name="Lien hypertexte visité" xfId="14058" builtinId="9" hidden="1"/>
    <cellStyle name="Lien hypertexte visité" xfId="20794" builtinId="9" hidden="1"/>
    <cellStyle name="Lien hypertexte visité" xfId="23544" builtinId="9" hidden="1"/>
    <cellStyle name="Lien hypertexte visité" xfId="18592" builtinId="9" hidden="1"/>
    <cellStyle name="Lien hypertexte visité" xfId="14002" builtinId="9" hidden="1"/>
    <cellStyle name="Lien hypertexte visité" xfId="9222" builtinId="9" hidden="1"/>
    <cellStyle name="Lien hypertexte visité" xfId="13711" builtinId="9" hidden="1"/>
    <cellStyle name="Lien hypertexte visité" xfId="10255" builtinId="9" hidden="1"/>
    <cellStyle name="Lien hypertexte visité" xfId="2824" builtinId="9" hidden="1"/>
    <cellStyle name="Lien hypertexte visité" xfId="1782" builtinId="9" hidden="1"/>
    <cellStyle name="Lien hypertexte visité" xfId="5500" builtinId="9" hidden="1"/>
    <cellStyle name="Lien hypertexte visité" xfId="12669" builtinId="9" hidden="1"/>
    <cellStyle name="Lien hypertexte visité" xfId="18486" builtinId="9" hidden="1"/>
    <cellStyle name="Lien hypertexte visité" xfId="23316" builtinId="9" hidden="1"/>
    <cellStyle name="Lien hypertexte visité" xfId="11756" builtinId="9" hidden="1"/>
    <cellStyle name="Lien hypertexte visité" xfId="8044" builtinId="9" hidden="1"/>
    <cellStyle name="Lien hypertexte visité" xfId="4587" builtinId="9" hidden="1"/>
    <cellStyle name="Lien hypertexte visité" xfId="4127" builtinId="9" hidden="1"/>
    <cellStyle name="Lien hypertexte visité" xfId="7455" builtinId="9" hidden="1"/>
    <cellStyle name="Lien hypertexte visité" xfId="1882" builtinId="9" hidden="1"/>
    <cellStyle name="Lien hypertexte visité" xfId="6672" builtinId="9" hidden="1"/>
    <cellStyle name="Lien hypertexte visité" xfId="9145" builtinId="9" hidden="1"/>
    <cellStyle name="Lien hypertexte visité" xfId="11617" builtinId="9" hidden="1"/>
    <cellStyle name="Lien hypertexte visité" xfId="18287" builtinId="9" hidden="1"/>
    <cellStyle name="Lien hypertexte visité" xfId="23390" builtinId="9" hidden="1"/>
    <cellStyle name="Lien hypertexte visité" xfId="21404" builtinId="9" hidden="1"/>
    <cellStyle name="Lien hypertexte visité" xfId="12936" builtinId="9" hidden="1"/>
    <cellStyle name="Lien hypertexte visité" xfId="10632" builtinId="9" hidden="1"/>
    <cellStyle name="Lien hypertexte visité" xfId="10944" builtinId="9" hidden="1"/>
    <cellStyle name="Lien hypertexte visité" xfId="13865" builtinId="9" hidden="1"/>
    <cellStyle name="Lien hypertexte visité" xfId="6440" builtinId="9" hidden="1"/>
    <cellStyle name="Lien hypertexte visité" xfId="9051" builtinId="9" hidden="1"/>
    <cellStyle name="Lien hypertexte visité" xfId="4954" builtinId="9" hidden="1"/>
    <cellStyle name="Lien hypertexte visité" xfId="2828" builtinId="9" hidden="1"/>
    <cellStyle name="Lien hypertexte visité" xfId="1179" builtinId="9" hidden="1"/>
    <cellStyle name="Lien hypertexte visité" xfId="10059" builtinId="9" hidden="1"/>
    <cellStyle name="Lien hypertexte visité" xfId="13459" builtinId="9" hidden="1"/>
    <cellStyle name="Lien hypertexte visité" xfId="17123" builtinId="9" hidden="1"/>
    <cellStyle name="Lien hypertexte visité" xfId="9691" builtinId="9" hidden="1"/>
    <cellStyle name="Lien hypertexte visité" xfId="11739" builtinId="9" hidden="1"/>
    <cellStyle name="Lien hypertexte visité" xfId="3420" builtinId="9" hidden="1"/>
    <cellStyle name="Lien hypertexte visité" xfId="4634" builtinId="9" hidden="1"/>
    <cellStyle name="Lien hypertexte visité" xfId="6762" builtinId="9" hidden="1"/>
    <cellStyle name="Lien hypertexte visité" xfId="8731" builtinId="9" hidden="1"/>
    <cellStyle name="Lien hypertexte visité" xfId="16139" builtinId="9" hidden="1"/>
    <cellStyle name="Lien hypertexte visité" xfId="13119" builtinId="9" hidden="1"/>
    <cellStyle name="Lien hypertexte visité" xfId="10559" builtinId="9" hidden="1"/>
    <cellStyle name="Lien hypertexte visité" xfId="5758" builtinId="9" hidden="1"/>
    <cellStyle name="Lien hypertexte visité" xfId="3288" builtinId="9" hidden="1"/>
    <cellStyle name="Lien hypertexte visité" xfId="483" builtinId="9" hidden="1"/>
    <cellStyle name="Lien hypertexte visité" xfId="5132" builtinId="9" hidden="1"/>
    <cellStyle name="Lien hypertexte visité" xfId="7692" builtinId="9" hidden="1"/>
    <cellStyle name="Lien hypertexte visité" xfId="9901" builtinId="9" hidden="1"/>
    <cellStyle name="Lien hypertexte visité" xfId="15335" builtinId="9" hidden="1"/>
    <cellStyle name="Lien hypertexte visité" xfId="19926" builtinId="9" hidden="1"/>
    <cellStyle name="Lien hypertexte visité" xfId="24308" builtinId="9" hidden="1"/>
    <cellStyle name="Lien hypertexte visité" xfId="14789" builtinId="9" hidden="1"/>
    <cellStyle name="Lien hypertexte visité" xfId="12188" builtinId="9" hidden="1"/>
    <cellStyle name="Lien hypertexte visité" xfId="9628" builtinId="9" hidden="1"/>
    <cellStyle name="Lien hypertexte visité" xfId="4827" builtinId="9" hidden="1"/>
    <cellStyle name="Lien hypertexte visité" xfId="2357" builtinId="9" hidden="1"/>
    <cellStyle name="Lien hypertexte visité" xfId="1029" builtinId="9" hidden="1"/>
    <cellStyle name="Lien hypertexte visité" xfId="6063" builtinId="9" hidden="1"/>
    <cellStyle name="Lien hypertexte visité" xfId="8368" builtinId="9" hidden="1"/>
    <cellStyle name="Lien hypertexte visité" xfId="1578" builtinId="9" hidden="1"/>
    <cellStyle name="Lien hypertexte visité" xfId="4760" builtinId="9" hidden="1"/>
    <cellStyle name="Lien hypertexte visité" xfId="6464" builtinId="9" hidden="1"/>
    <cellStyle name="Lien hypertexte visité" xfId="8129" builtinId="9" hidden="1"/>
    <cellStyle name="Lien hypertexte visité" xfId="11313" builtinId="9" hidden="1"/>
    <cellStyle name="Lien hypertexte visité" xfId="12953" builtinId="9" hidden="1"/>
    <cellStyle name="Lien hypertexte visité" xfId="14489" builtinId="9" hidden="1"/>
    <cellStyle name="Lien hypertexte visité" xfId="21182" builtinId="9" hidden="1"/>
    <cellStyle name="Lien hypertexte visité" xfId="24126" builtinId="9" hidden="1"/>
    <cellStyle name="Lien hypertexte visité" xfId="21676" builtinId="9" hidden="1"/>
    <cellStyle name="Lien hypertexte visité" xfId="15341" builtinId="9" hidden="1"/>
    <cellStyle name="Lien hypertexte visité" xfId="13264" builtinId="9" hidden="1"/>
    <cellStyle name="Lien hypertexte visité" xfId="11624" builtinId="9" hidden="1"/>
    <cellStyle name="Lien hypertexte visité" xfId="10080" builtinId="9" hidden="1"/>
    <cellStyle name="Lien hypertexte visité" xfId="15885" builtinId="9" hidden="1"/>
    <cellStyle name="Lien hypertexte visité" xfId="24398" builtinId="9" hidden="1"/>
    <cellStyle name="Lien hypertexte visité" xfId="9417" builtinId="9" hidden="1"/>
    <cellStyle name="Lien hypertexte visité" xfId="11081" builtinId="9" hidden="1"/>
    <cellStyle name="Lien hypertexte visité" xfId="13216" builtinId="9" hidden="1"/>
    <cellStyle name="Lien hypertexte visité" xfId="19372" builtinId="9" hidden="1"/>
    <cellStyle name="Lien hypertexte visité" xfId="19950" builtinId="9" hidden="1"/>
    <cellStyle name="Lien hypertexte visité" xfId="12121" builtinId="9" hidden="1"/>
    <cellStyle name="Lien hypertexte visité" xfId="2554" builtinId="9" hidden="1"/>
    <cellStyle name="Lien hypertexte visité" xfId="4879" builtinId="9" hidden="1"/>
    <cellStyle name="Lien hypertexte visité" xfId="3189" builtinId="9" hidden="1"/>
    <cellStyle name="Lien hypertexte visité" xfId="21556" builtinId="9" hidden="1"/>
    <cellStyle name="Lien hypertexte visité" xfId="14189" builtinId="9" hidden="1"/>
    <cellStyle name="Lien hypertexte visité" xfId="12653" builtinId="9" hidden="1"/>
    <cellStyle name="Lien hypertexte visité" xfId="6144" builtinId="9" hidden="1"/>
    <cellStyle name="Lien hypertexte visité" xfId="21420" builtinId="9" hidden="1"/>
    <cellStyle name="Lien hypertexte visité" xfId="12617" builtinId="9" hidden="1"/>
    <cellStyle name="Lien hypertexte visité" xfId="9744" builtinId="9" hidden="1"/>
    <cellStyle name="Lien hypertexte visité" xfId="15005" builtinId="9" hidden="1"/>
    <cellStyle name="Lien hypertexte visité" xfId="24076" builtinId="9" hidden="1"/>
    <cellStyle name="Lien hypertexte visité" xfId="9841" builtinId="9" hidden="1"/>
    <cellStyle name="Lien hypertexte visité" xfId="5272" builtinId="9" hidden="1"/>
    <cellStyle name="Lien hypertexte visité" xfId="587" builtinId="9" hidden="1"/>
    <cellStyle name="Lien hypertexte visité" xfId="6619" builtinId="9" hidden="1"/>
    <cellStyle name="Lien hypertexte visité" xfId="14140" builtinId="9" hidden="1"/>
    <cellStyle name="Lien hypertexte visité" xfId="20438" builtinId="9" hidden="1"/>
    <cellStyle name="Lien hypertexte visité" xfId="3142" builtinId="9" hidden="1"/>
    <cellStyle name="Lien hypertexte visité" xfId="5502" builtinId="9" hidden="1"/>
    <cellStyle name="Lien hypertexte visité" xfId="12351" builtinId="9" hidden="1"/>
    <cellStyle name="Lien hypertexte visité" xfId="2732" builtinId="9" hidden="1"/>
    <cellStyle name="Lien hypertexte visité" xfId="10307" builtinId="9" hidden="1"/>
    <cellStyle name="Lien hypertexte visité" xfId="13059" builtinId="9" hidden="1"/>
    <cellStyle name="Lien hypertexte visité" xfId="6490" builtinId="9" hidden="1"/>
    <cellStyle name="Lien hypertexte visité" xfId="12329" builtinId="9" hidden="1"/>
    <cellStyle name="Lien hypertexte visité" xfId="10376" builtinId="9" hidden="1"/>
    <cellStyle name="Lien hypertexte visité" xfId="14433" builtinId="9" hidden="1"/>
    <cellStyle name="Lien hypertexte visité" xfId="6928" builtinId="9" hidden="1"/>
    <cellStyle name="Lien hypertexte visité" xfId="8608" builtinId="9" hidden="1"/>
    <cellStyle name="Lien hypertexte visité" xfId="15653" builtinId="9" hidden="1"/>
    <cellStyle name="Lien hypertexte visité" xfId="21780" builtinId="9" hidden="1"/>
    <cellStyle name="Lien hypertexte visité" xfId="4880" builtinId="9" hidden="1"/>
    <cellStyle name="Lien hypertexte visité" xfId="2388" builtinId="9" hidden="1"/>
    <cellStyle name="Lien hypertexte visité" xfId="779" builtinId="9" hidden="1"/>
    <cellStyle name="Lien hypertexte visité" xfId="7550" builtinId="9" hidden="1"/>
    <cellStyle name="Lien hypertexte visité" xfId="1845" builtinId="9" hidden="1"/>
    <cellStyle name="Lien hypertexte visité" xfId="8473" builtinId="9" hidden="1"/>
    <cellStyle name="Lien hypertexte visité" xfId="17725" builtinId="9" hidden="1"/>
    <cellStyle name="Lien hypertexte visité" xfId="3337" builtinId="9" hidden="1"/>
    <cellStyle name="Lien hypertexte visité" xfId="23574" builtinId="9" hidden="1"/>
    <cellStyle name="Lien hypertexte visité" xfId="2825" builtinId="9" hidden="1"/>
    <cellStyle name="Lien hypertexte visité" xfId="13712" builtinId="9" hidden="1"/>
    <cellStyle name="Lien hypertexte visité" xfId="8073" builtinId="9" hidden="1"/>
    <cellStyle name="Lien hypertexte visité" xfId="18684" builtinId="9" hidden="1"/>
    <cellStyle name="Lien hypertexte visité" xfId="17469" builtinId="9" hidden="1"/>
    <cellStyle name="Lien hypertexte visité" xfId="22078" builtinId="9" hidden="1"/>
    <cellStyle name="Lien hypertexte visité" xfId="13425" builtinId="9" hidden="1"/>
    <cellStyle name="Lien hypertexte visité" xfId="3739" builtinId="9" hidden="1"/>
    <cellStyle name="Lien hypertexte visité" xfId="6735" builtinId="9" hidden="1"/>
    <cellStyle name="Lien hypertexte visité" xfId="1685" builtinId="9" hidden="1"/>
    <cellStyle name="Lien hypertexte visité" xfId="18053" builtinId="9" hidden="1"/>
    <cellStyle name="Lien hypertexte visité" xfId="16743" builtinId="9" hidden="1"/>
    <cellStyle name="Lien hypertexte visité" xfId="8365" builtinId="9" hidden="1"/>
    <cellStyle name="Lien hypertexte visité" xfId="7390" builtinId="9" hidden="1"/>
    <cellStyle name="Lien hypertexte visité" xfId="14795" builtinId="9" hidden="1"/>
    <cellStyle name="Lien hypertexte visité" xfId="7346" builtinId="9" hidden="1"/>
    <cellStyle name="Lien hypertexte visité" xfId="13699" builtinId="9" hidden="1"/>
    <cellStyle name="Lien hypertexte visité" xfId="9515" builtinId="9" hidden="1"/>
    <cellStyle name="Lien hypertexte visité" xfId="2244" builtinId="9" hidden="1"/>
    <cellStyle name="Lien hypertexte visité" xfId="22926" builtinId="9" hidden="1"/>
    <cellStyle name="Lien hypertexte visité" xfId="12248" builtinId="9" hidden="1"/>
    <cellStyle name="Lien hypertexte visité" xfId="24476" builtinId="9" hidden="1"/>
    <cellStyle name="Lien hypertexte visité" xfId="5048" builtinId="9" hidden="1"/>
    <cellStyle name="Lien hypertexte visité" xfId="5151" builtinId="9" hidden="1"/>
    <cellStyle name="Lien hypertexte visité" xfId="7019" builtinId="9" hidden="1"/>
    <cellStyle name="Lien hypertexte visité" xfId="10365" builtinId="9" hidden="1"/>
    <cellStyle name="Lien hypertexte visité" xfId="1800" builtinId="9" hidden="1"/>
    <cellStyle name="Lien hypertexte visité" xfId="12687" builtinId="9" hidden="1"/>
    <cellStyle name="Lien hypertexte visité" xfId="22442" builtinId="9" hidden="1"/>
    <cellStyle name="Lien hypertexte visité" xfId="9194" builtinId="9" hidden="1"/>
    <cellStyle name="Lien hypertexte visité" xfId="3171" builtinId="9" hidden="1"/>
    <cellStyle name="Lien hypertexte visité" xfId="18135" builtinId="9" hidden="1"/>
    <cellStyle name="Lien hypertexte visité" xfId="9503" builtinId="9" hidden="1"/>
    <cellStyle name="Lien hypertexte visité" xfId="10762" builtinId="9" hidden="1"/>
    <cellStyle name="Lien hypertexte visité" xfId="15305" builtinId="9" hidden="1"/>
    <cellStyle name="Lien hypertexte visité" xfId="13246" builtinId="9" hidden="1"/>
    <cellStyle name="Lien hypertexte visité" xfId="865" builtinId="9" hidden="1"/>
    <cellStyle name="Lien hypertexte visité" xfId="5313" builtinId="9" hidden="1"/>
    <cellStyle name="Lien hypertexte visité" xfId="6009" builtinId="9" hidden="1"/>
    <cellStyle name="Lien hypertexte visité" xfId="6541" builtinId="9" hidden="1"/>
    <cellStyle name="Lien hypertexte visité" xfId="24584" builtinId="9" hidden="1"/>
    <cellStyle name="Lien hypertexte visité" xfId="14014" builtinId="9" hidden="1"/>
    <cellStyle name="Lien hypertexte visité" xfId="23234" builtinId="9" hidden="1"/>
    <cellStyle name="Lien hypertexte visité" xfId="14239" builtinId="9" hidden="1"/>
    <cellStyle name="Lien hypertexte visité" xfId="24372" builtinId="9" hidden="1"/>
    <cellStyle name="Lien hypertexte visité" xfId="4016" builtinId="9" hidden="1"/>
    <cellStyle name="Lien hypertexte visité" xfId="17119" builtinId="9" hidden="1"/>
    <cellStyle name="Lien hypertexte visité" xfId="11304" builtinId="9" hidden="1"/>
    <cellStyle name="Lien hypertexte visité" xfId="22668" builtinId="9" hidden="1"/>
    <cellStyle name="Lien hypertexte visité" xfId="6000" builtinId="9" hidden="1"/>
    <cellStyle name="Lien hypertexte visité" xfId="6511" builtinId="9" hidden="1"/>
    <cellStyle name="Lien hypertexte visité" xfId="5563" builtinId="9" hidden="1"/>
    <cellStyle name="Lien hypertexte visité" xfId="11725" builtinId="9" hidden="1"/>
    <cellStyle name="Lien hypertexte visité" xfId="447" builtinId="9" hidden="1"/>
    <cellStyle name="Lien hypertexte visité" xfId="11263" builtinId="9" hidden="1"/>
    <cellStyle name="Lien hypertexte visité" xfId="11155" builtinId="9" hidden="1"/>
    <cellStyle name="Lien hypertexte visité" xfId="9683" builtinId="9" hidden="1"/>
    <cellStyle name="Lien hypertexte visité" xfId="5578" builtinId="9" hidden="1"/>
    <cellStyle name="Lien hypertexte visité" xfId="17757" builtinId="9" hidden="1"/>
    <cellStyle name="Lien hypertexte visité" xfId="12089" builtinId="9" hidden="1"/>
    <cellStyle name="Lien hypertexte visité" xfId="1161" builtinId="9" hidden="1"/>
    <cellStyle name="Lien hypertexte visité" xfId="16327" builtinId="9" hidden="1"/>
    <cellStyle name="Lien hypertexte visité" xfId="2120" builtinId="9" hidden="1"/>
    <cellStyle name="Lien hypertexte visité" xfId="9950" builtinId="9" hidden="1"/>
    <cellStyle name="Lien hypertexte visité" xfId="6973" builtinId="9" hidden="1"/>
    <cellStyle name="Lien hypertexte visité" xfId="5033" builtinId="9" hidden="1"/>
    <cellStyle name="Lien hypertexte visité" xfId="12437" builtinId="9" hidden="1"/>
    <cellStyle name="Lien hypertexte visité" xfId="10567" builtinId="9" hidden="1"/>
    <cellStyle name="Lien hypertexte visité" xfId="11938" builtinId="9" hidden="1"/>
    <cellStyle name="Lien hypertexte visité" xfId="23896" builtinId="9" hidden="1"/>
    <cellStyle name="Lien hypertexte visité" xfId="15259" builtinId="9" hidden="1"/>
    <cellStyle name="Lien hypertexte visité" xfId="5811" builtinId="9" hidden="1"/>
    <cellStyle name="Lien hypertexte visité" xfId="15829" builtinId="9" hidden="1"/>
    <cellStyle name="Lien hypertexte visité" xfId="4807" builtinId="9" hidden="1"/>
    <cellStyle name="Lien hypertexte visité" xfId="3153" builtinId="9" hidden="1"/>
    <cellStyle name="Lien hypertexte visité" xfId="1376" builtinId="9" hidden="1"/>
    <cellStyle name="Lien hypertexte visité" xfId="7619" builtinId="9" hidden="1"/>
    <cellStyle name="Lien hypertexte visité" xfId="7936" builtinId="9" hidden="1"/>
    <cellStyle name="Lien hypertexte visité" xfId="4171" builtinId="9" hidden="1"/>
    <cellStyle name="Lien hypertexte visité" xfId="17215" builtinId="9" hidden="1"/>
    <cellStyle name="Lien hypertexte visité" xfId="20702" builtinId="9" hidden="1"/>
    <cellStyle name="Lien hypertexte visité" xfId="24190" builtinId="9" hidden="1"/>
    <cellStyle name="Lien hypertexte visité" xfId="17629" builtinId="9" hidden="1"/>
    <cellStyle name="Lien hypertexte visité" xfId="14320" builtinId="9" hidden="1"/>
    <cellStyle name="Lien hypertexte visité" xfId="12568" builtinId="9" hidden="1"/>
    <cellStyle name="Lien hypertexte visité" xfId="9072" builtinId="9" hidden="1"/>
    <cellStyle name="Lien hypertexte visité" xfId="13568" builtinId="9" hidden="1"/>
    <cellStyle name="Lien hypertexte visité" xfId="23100" builtinId="9" hidden="1"/>
    <cellStyle name="Lien hypertexte visité" xfId="9193" builtinId="9" hidden="1"/>
    <cellStyle name="Lien hypertexte visité" xfId="3944" builtinId="9" hidden="1"/>
    <cellStyle name="Lien hypertexte visité" xfId="9035" builtinId="9" hidden="1"/>
    <cellStyle name="Lien hypertexte visité" xfId="6034" builtinId="9" hidden="1"/>
    <cellStyle name="Lien hypertexte visité" xfId="4538" builtinId="9" hidden="1"/>
    <cellStyle name="Lien hypertexte visité" xfId="2852" builtinId="9" hidden="1"/>
    <cellStyle name="Lien hypertexte visité" xfId="7435" builtinId="9" hidden="1"/>
    <cellStyle name="Lien hypertexte visité" xfId="18772" builtinId="9" hidden="1"/>
    <cellStyle name="Lien hypertexte visité" xfId="13277" builtinId="9" hidden="1"/>
    <cellStyle name="Lien hypertexte visité" xfId="6318" builtinId="9" hidden="1"/>
    <cellStyle name="Lien hypertexte visité" xfId="8646" builtinId="9" hidden="1"/>
    <cellStyle name="Lien hypertexte visité" xfId="15065" builtinId="9" hidden="1"/>
    <cellStyle name="Lien hypertexte visité" xfId="11690" builtinId="9" hidden="1"/>
    <cellStyle name="Lien hypertexte visité" xfId="8198" builtinId="9" hidden="1"/>
    <cellStyle name="Lien hypertexte visité" xfId="2107" builtinId="9" hidden="1"/>
    <cellStyle name="Lien hypertexte visité" xfId="13749" builtinId="9" hidden="1"/>
    <cellStyle name="Lien hypertexte visité" xfId="7604" builtinId="9" hidden="1"/>
    <cellStyle name="Lien hypertexte visité" xfId="1453" builtinId="9" hidden="1"/>
    <cellStyle name="Lien hypertexte visité" xfId="11991" builtinId="9" hidden="1"/>
    <cellStyle name="Lien hypertexte visité" xfId="9698" builtinId="9" hidden="1"/>
    <cellStyle name="Lien hypertexte visité" xfId="13794" builtinId="9" hidden="1"/>
    <cellStyle name="Lien hypertexte visité" xfId="18866" builtinId="9" hidden="1"/>
    <cellStyle name="Lien hypertexte visité" xfId="13306" builtinId="9" hidden="1"/>
    <cellStyle name="Lien hypertexte visité" xfId="19392" builtinId="9" hidden="1"/>
    <cellStyle name="Lien hypertexte visité" xfId="3102" builtinId="9" hidden="1"/>
    <cellStyle name="Lien hypertexte visité" xfId="4198" builtinId="9" hidden="1"/>
    <cellStyle name="Lien hypertexte visité" xfId="10983" builtinId="9" hidden="1"/>
    <cellStyle name="Lien hypertexte visité" xfId="13122" builtinId="9" hidden="1"/>
    <cellStyle name="Lien hypertexte visité" xfId="19904" builtinId="9" hidden="1"/>
    <cellStyle name="Lien hypertexte visité" xfId="21130" builtinId="9" hidden="1"/>
    <cellStyle name="Lien hypertexte visité" xfId="13562" builtinId="9" hidden="1"/>
    <cellStyle name="Lien hypertexte visité" xfId="21808" builtinId="9" hidden="1"/>
    <cellStyle name="Lien hypertexte visité" xfId="19226" builtinId="9" hidden="1"/>
    <cellStyle name="Lien hypertexte visité" xfId="22114" builtinId="9" hidden="1"/>
    <cellStyle name="Lien hypertexte visité" xfId="24384" builtinId="9" hidden="1"/>
    <cellStyle name="Lien hypertexte visité" xfId="21656" builtinId="9" hidden="1"/>
    <cellStyle name="Lien hypertexte visité" xfId="15929" builtinId="9" hidden="1"/>
    <cellStyle name="Lien hypertexte visité" xfId="13858" builtinId="9" hidden="1"/>
    <cellStyle name="Lien hypertexte visité" xfId="12494" builtinId="9" hidden="1"/>
    <cellStyle name="Lien hypertexte visité" xfId="9762" builtinId="9" hidden="1"/>
    <cellStyle name="Lien hypertexte visité" xfId="8398" builtinId="9" hidden="1"/>
    <cellStyle name="Lien hypertexte visité" xfId="14135" builtinId="9" hidden="1"/>
    <cellStyle name="Lien hypertexte visité" xfId="9815" builtinId="9" hidden="1"/>
    <cellStyle name="Lien hypertexte visité" xfId="7766" builtinId="9" hidden="1"/>
    <cellStyle name="Lien hypertexte visité" xfId="5718" builtinId="9" hidden="1"/>
    <cellStyle name="Lien hypertexte visité" xfId="1616" builtinId="9" hidden="1"/>
    <cellStyle name="Lien hypertexte visité" xfId="1582" builtinId="9" hidden="1"/>
    <cellStyle name="Lien hypertexte visité" xfId="3896" builtinId="9" hidden="1"/>
    <cellStyle name="Lien hypertexte visité" xfId="7989" builtinId="9" hidden="1"/>
    <cellStyle name="Lien hypertexte visité" xfId="10037" builtinId="9" hidden="1"/>
    <cellStyle name="Lien hypertexte visité" xfId="12085" builtinId="9" hidden="1"/>
    <cellStyle name="Lien hypertexte visité" xfId="17847" builtinId="9" hidden="1"/>
    <cellStyle name="Lien hypertexte visité" xfId="4445" builtinId="9" hidden="1"/>
    <cellStyle name="Lien hypertexte visité" xfId="6201" builtinId="9" hidden="1"/>
    <cellStyle name="Lien hypertexte visité" xfId="3031" builtinId="9" hidden="1"/>
    <cellStyle name="Lien hypertexte visité" xfId="2043" builtinId="9" hidden="1"/>
    <cellStyle name="Lien hypertexte visité" xfId="1145" builtinId="9" hidden="1"/>
    <cellStyle name="Lien hypertexte visité" xfId="8090" builtinId="9" hidden="1"/>
    <cellStyle name="Lien hypertexte visité" xfId="6333" builtinId="9" hidden="1"/>
    <cellStyle name="Lien hypertexte visité" xfId="4577" builtinId="9" hidden="1"/>
    <cellStyle name="Lien hypertexte visité" xfId="21904" builtinId="9" hidden="1"/>
    <cellStyle name="Lien hypertexte visité" xfId="18067" builtinId="9" hidden="1"/>
    <cellStyle name="Lien hypertexte visité" xfId="22146" builtinId="9" hidden="1"/>
    <cellStyle name="Lien hypertexte visité" xfId="18376" builtinId="9" hidden="1"/>
    <cellStyle name="Lien hypertexte visité" xfId="14406" builtinId="9" hidden="1"/>
    <cellStyle name="Lien hypertexte visité" xfId="12358" builtinId="9" hidden="1"/>
    <cellStyle name="Lien hypertexte visité" xfId="8262" builtinId="9" hidden="1"/>
    <cellStyle name="Lien hypertexte visité" xfId="12911" builtinId="9" hidden="1"/>
    <cellStyle name="Lien hypertexte visité" xfId="9519" builtinId="9" hidden="1"/>
    <cellStyle name="Lien hypertexte visité" xfId="3368" builtinId="9" hidden="1"/>
    <cellStyle name="Lien hypertexte visité" xfId="543" builtinId="9" hidden="1"/>
    <cellStyle name="Lien hypertexte visité" xfId="3932" builtinId="9" hidden="1"/>
    <cellStyle name="Lien hypertexte visité" xfId="10077" builtinId="9" hidden="1"/>
    <cellStyle name="Lien hypertexte visité" xfId="13469" builtinId="9" hidden="1"/>
    <cellStyle name="Lien hypertexte visité" xfId="18550" builtinId="9" hidden="1"/>
    <cellStyle name="Lien hypertexte visité" xfId="18388" builtinId="9" hidden="1"/>
    <cellStyle name="Lien hypertexte visité" xfId="13388" builtinId="9" hidden="1"/>
    <cellStyle name="Lien hypertexte visité" xfId="10316" builtinId="9" hidden="1"/>
    <cellStyle name="Lien hypertexte visité" xfId="21076" builtinId="9" hidden="1"/>
    <cellStyle name="Lien hypertexte visité" xfId="1640" builtinId="9" hidden="1"/>
    <cellStyle name="Lien hypertexte visité" xfId="13298" builtinId="9" hidden="1"/>
    <cellStyle name="Lien hypertexte visité" xfId="2315" builtinId="9" hidden="1"/>
    <cellStyle name="Lien hypertexte visité" xfId="9093" builtinId="9" hidden="1"/>
    <cellStyle name="Lien hypertexte visité" xfId="6614" builtinId="9" hidden="1"/>
    <cellStyle name="Lien hypertexte visité" xfId="20850" builtinId="9" hidden="1"/>
    <cellStyle name="Lien hypertexte visité" xfId="16337" builtinId="9" hidden="1"/>
    <cellStyle name="Lien hypertexte visité" xfId="18914" builtinId="9" hidden="1"/>
    <cellStyle name="Lien hypertexte visité" xfId="23994" builtinId="9" hidden="1"/>
    <cellStyle name="Lien hypertexte visité" xfId="12556" builtinId="9" hidden="1"/>
    <cellStyle name="Lien hypertexte visité" xfId="823" builtinId="9" hidden="1"/>
    <cellStyle name="Lien hypertexte visité" xfId="15599" builtinId="9" hidden="1"/>
    <cellStyle name="Lien hypertexte visité" xfId="10795" builtinId="9" hidden="1"/>
    <cellStyle name="Lien hypertexte visité" xfId="12123" builtinId="9" hidden="1"/>
    <cellStyle name="Lien hypertexte visité" xfId="1459" builtinId="9" hidden="1"/>
    <cellStyle name="Lien hypertexte visité" xfId="2740" builtinId="9" hidden="1"/>
    <cellStyle name="Lien hypertexte visité" xfId="4362" builtinId="9" hidden="1"/>
    <cellStyle name="Lien hypertexte visité" xfId="1764" builtinId="9" hidden="1"/>
    <cellStyle name="Lien hypertexte visité" xfId="4322" builtinId="9" hidden="1"/>
    <cellStyle name="Lien hypertexte visité" xfId="12475" builtinId="9" hidden="1"/>
    <cellStyle name="Lien hypertexte visité" xfId="7362" builtinId="9" hidden="1"/>
    <cellStyle name="Lien hypertexte visité" xfId="6010" builtinId="9" hidden="1"/>
    <cellStyle name="Lien hypertexte visité" xfId="4842" builtinId="9" hidden="1"/>
    <cellStyle name="Lien hypertexte visité" xfId="1538" builtinId="9" hidden="1"/>
    <cellStyle name="Lien hypertexte visité" xfId="5256" builtinId="9" hidden="1"/>
    <cellStyle name="Lien hypertexte visité" xfId="2946" builtinId="9" hidden="1"/>
    <cellStyle name="Lien hypertexte visité" xfId="5242" builtinId="9" hidden="1"/>
    <cellStyle name="Lien hypertexte visité" xfId="6594" builtinId="9" hidden="1"/>
    <cellStyle name="Lien hypertexte visité" xfId="7915" builtinId="9" hidden="1"/>
    <cellStyle name="Lien hypertexte visité" xfId="8675" builtinId="9" hidden="1"/>
    <cellStyle name="Lien hypertexte visité" xfId="827" builtinId="9" hidden="1"/>
    <cellStyle name="Lien hypertexte visité" xfId="2348" builtinId="9" hidden="1"/>
    <cellStyle name="Lien hypertexte visité" xfId="17043" builtinId="9" hidden="1"/>
    <cellStyle name="Lien hypertexte visité" xfId="2300" builtinId="9" hidden="1"/>
    <cellStyle name="Lien hypertexte visité" xfId="939" builtinId="9" hidden="1"/>
    <cellStyle name="Lien hypertexte visité" xfId="11579" builtinId="9" hidden="1"/>
    <cellStyle name="Lien hypertexte visité" xfId="10419" builtinId="9" hidden="1"/>
    <cellStyle name="Lien hypertexte visité" xfId="14299" builtinId="9" hidden="1"/>
    <cellStyle name="Lien hypertexte visité" xfId="16259" builtinId="9" hidden="1"/>
    <cellStyle name="Lien hypertexte visité" xfId="16595" builtinId="9" hidden="1"/>
    <cellStyle name="Lien hypertexte visité" xfId="13219" builtinId="9" hidden="1"/>
    <cellStyle name="Lien hypertexte visité" xfId="10427" builtinId="9" hidden="1"/>
    <cellStyle name="Lien hypertexte visité" xfId="1079" builtinId="9" hidden="1"/>
    <cellStyle name="Lien hypertexte visité" xfId="10056" builtinId="9" hidden="1"/>
    <cellStyle name="Lien hypertexte visité" xfId="5880" builtinId="9" hidden="1"/>
    <cellStyle name="Lien hypertexte visité" xfId="3571" builtinId="9" hidden="1"/>
    <cellStyle name="Lien hypertexte visité" xfId="5112" builtinId="9" hidden="1"/>
    <cellStyle name="Lien hypertexte visité" xfId="8441" builtinId="9" hidden="1"/>
    <cellStyle name="Lien hypertexte visité" xfId="10193" builtinId="9" hidden="1"/>
    <cellStyle name="Lien hypertexte visité" xfId="11769" builtinId="9" hidden="1"/>
    <cellStyle name="Lien hypertexte visité" xfId="4330" builtinId="9" hidden="1"/>
    <cellStyle name="Lien hypertexte visité" xfId="6634" builtinId="9" hidden="1"/>
    <cellStyle name="Lien hypertexte visité" xfId="20252" builtinId="9" hidden="1"/>
    <cellStyle name="Lien hypertexte visité" xfId="22318" builtinId="9" hidden="1"/>
    <cellStyle name="Lien hypertexte visité" xfId="19246" builtinId="9" hidden="1"/>
    <cellStyle name="Lien hypertexte visité" xfId="16111" builtinId="9" hidden="1"/>
    <cellStyle name="Lien hypertexte visité" xfId="11985" builtinId="9" hidden="1"/>
    <cellStyle name="Lien hypertexte visité" xfId="10449" builtinId="9" hidden="1"/>
    <cellStyle name="Lien hypertexte visité" xfId="8865" builtinId="9" hidden="1"/>
    <cellStyle name="Lien hypertexte visité" xfId="5584" builtinId="9" hidden="1"/>
    <cellStyle name="Lien hypertexte visité" xfId="4000" builtinId="9" hidden="1"/>
    <cellStyle name="Lien hypertexte visité" xfId="2418" builtinId="9" hidden="1"/>
    <cellStyle name="Lien hypertexte visité" xfId="14488" builtinId="9" hidden="1"/>
    <cellStyle name="Lien hypertexte visité" xfId="14441" builtinId="9" hidden="1"/>
    <cellStyle name="Lien hypertexte visité" xfId="4170" builtinId="9" hidden="1"/>
    <cellStyle name="Lien hypertexte visité" xfId="13811" builtinId="9" hidden="1"/>
    <cellStyle name="Lien hypertexte visité" xfId="15555" builtinId="9" hidden="1"/>
    <cellStyle name="Lien hypertexte visité" xfId="16643" builtinId="9" hidden="1"/>
    <cellStyle name="Lien hypertexte visité" xfId="13571" builtinId="9" hidden="1"/>
    <cellStyle name="Lien hypertexte visité" xfId="9491" builtinId="9" hidden="1"/>
    <cellStyle name="Lien hypertexte visité" xfId="24172" builtinId="9" hidden="1"/>
    <cellStyle name="Lien hypertexte visité" xfId="10217" builtinId="9" hidden="1"/>
    <cellStyle name="Lien hypertexte visité" xfId="15391" builtinId="9" hidden="1"/>
    <cellStyle name="Lien hypertexte visité" xfId="24380" builtinId="9" hidden="1"/>
    <cellStyle name="Lien hypertexte visité" xfId="9600" builtinId="9" hidden="1"/>
    <cellStyle name="Lien hypertexte visité" xfId="10184" builtinId="9" hidden="1"/>
    <cellStyle name="Lien hypertexte visité" xfId="11720" builtinId="9" hidden="1"/>
    <cellStyle name="Lien hypertexte visité" xfId="15229" builtinId="9" hidden="1"/>
    <cellStyle name="Lien hypertexte visité" xfId="18301" builtinId="9" hidden="1"/>
    <cellStyle name="Lien hypertexte visité" xfId="2290" builtinId="9" hidden="1"/>
    <cellStyle name="Lien hypertexte visité" xfId="5490" builtinId="9" hidden="1"/>
    <cellStyle name="Lien hypertexte visité" xfId="6842" builtinId="9" hidden="1"/>
    <cellStyle name="Lien hypertexte visité" xfId="8155" builtinId="9" hidden="1"/>
    <cellStyle name="Lien hypertexte visité" xfId="8716" builtinId="9" hidden="1"/>
    <cellStyle name="Lien hypertexte visité" xfId="221" builtinId="9" hidden="1"/>
    <cellStyle name="Lien hypertexte visité" xfId="13021" builtinId="9" hidden="1"/>
    <cellStyle name="Lien hypertexte visité" xfId="11997" builtinId="9" hidden="1"/>
    <cellStyle name="Lien hypertexte visité" xfId="5852" builtinId="9" hidden="1"/>
    <cellStyle name="Lien hypertexte visité" xfId="6876" builtinId="9" hidden="1"/>
    <cellStyle name="Lien hypertexte visité" xfId="3714" builtinId="9" hidden="1"/>
    <cellStyle name="Lien hypertexte visité" xfId="5643" builtinId="9" hidden="1"/>
    <cellStyle name="Lien hypertexte visité" xfId="13836" builtinId="9" hidden="1"/>
    <cellStyle name="Lien hypertexte visité" xfId="7314" builtinId="9" hidden="1"/>
    <cellStyle name="Lien hypertexte visité" xfId="6002" builtinId="9" hidden="1"/>
    <cellStyle name="Lien hypertexte visité" xfId="4650" builtinId="9" hidden="1"/>
    <cellStyle name="Lien hypertexte visité" xfId="19484" builtinId="9" hidden="1"/>
    <cellStyle name="Lien hypertexte visité" xfId="16349" builtinId="9" hidden="1"/>
    <cellStyle name="Lien hypertexte visité" xfId="13896" builtinId="9" hidden="1"/>
    <cellStyle name="Lien hypertexte visité" xfId="10776" builtinId="9" hidden="1"/>
    <cellStyle name="Lien hypertexte visité" xfId="9200" builtinId="9" hidden="1"/>
    <cellStyle name="Lien hypertexte visité" xfId="12544" builtinId="9" hidden="1"/>
    <cellStyle name="Lien hypertexte visité" xfId="18958" builtinId="9" hidden="1"/>
    <cellStyle name="Lien hypertexte visité" xfId="12009" builtinId="9" hidden="1"/>
    <cellStyle name="Lien hypertexte visité" xfId="7400" builtinId="9" hidden="1"/>
    <cellStyle name="Lien hypertexte visité" xfId="16195" builtinId="9" hidden="1"/>
    <cellStyle name="Lien hypertexte visité" xfId="14003" builtinId="9" hidden="1"/>
    <cellStyle name="Lien hypertexte visité" xfId="13859" builtinId="9" hidden="1"/>
    <cellStyle name="Lien hypertexte visité" xfId="14707" builtinId="9" hidden="1"/>
    <cellStyle name="Lien hypertexte visité" xfId="13387" builtinId="9" hidden="1"/>
    <cellStyle name="Lien hypertexte visité" xfId="12195" builtinId="9" hidden="1"/>
    <cellStyle name="Lien hypertexte visité" xfId="2146" builtinId="9" hidden="1"/>
    <cellStyle name="Lien hypertexte visité" xfId="10392" builtinId="9" hidden="1"/>
    <cellStyle name="Lien hypertexte visité" xfId="21118" builtinId="9" hidden="1"/>
    <cellStyle name="Lien hypertexte visité" xfId="3402" builtinId="9" hidden="1"/>
    <cellStyle name="Lien hypertexte visité" xfId="4984" builtinId="9" hidden="1"/>
    <cellStyle name="Lien hypertexte visité" xfId="6520" builtinId="9" hidden="1"/>
    <cellStyle name="Lien hypertexte visité" xfId="9849" builtinId="9" hidden="1"/>
    <cellStyle name="Lien hypertexte visité" xfId="11425" builtinId="9" hidden="1"/>
    <cellStyle name="Lien hypertexte visité" xfId="12961" builtinId="9" hidden="1"/>
    <cellStyle name="Lien hypertexte visité" xfId="18063" builtinId="9" hidden="1"/>
    <cellStyle name="Lien hypertexte visité" xfId="21214" builtinId="9" hidden="1"/>
    <cellStyle name="Lien hypertexte visité" xfId="24286" builtinId="9" hidden="1"/>
    <cellStyle name="Lien hypertexte visité" xfId="3148" builtinId="9" hidden="1"/>
    <cellStyle name="Lien hypertexte visité" xfId="7762" builtinId="9" hidden="1"/>
    <cellStyle name="Lien hypertexte visité" xfId="16275" builtinId="9" hidden="1"/>
    <cellStyle name="Lien hypertexte visité" xfId="10785" builtinId="9" hidden="1"/>
    <cellStyle name="Lien hypertexte visité" xfId="9209" builtinId="9" hidden="1"/>
    <cellStyle name="Lien hypertexte visité" xfId="7456" builtinId="9" hidden="1"/>
    <cellStyle name="Lien hypertexte visité" xfId="4128" builtinId="9" hidden="1"/>
    <cellStyle name="Lien hypertexte visité" xfId="2378" builtinId="9" hidden="1"/>
    <cellStyle name="Lien hypertexte visité" xfId="12705" builtinId="9" hidden="1"/>
    <cellStyle name="Lien hypertexte visité" xfId="13417" builtinId="9" hidden="1"/>
    <cellStyle name="Lien hypertexte visité" xfId="10867" builtinId="9" hidden="1"/>
    <cellStyle name="Lien hypertexte visité" xfId="9707" builtinId="9" hidden="1"/>
    <cellStyle name="Lien hypertexte visité" xfId="15155" builtinId="9" hidden="1"/>
    <cellStyle name="Lien hypertexte visité" xfId="17027" builtinId="9" hidden="1"/>
    <cellStyle name="Lien hypertexte visité" xfId="15411" builtinId="9" hidden="1"/>
    <cellStyle name="Lien hypertexte visité" xfId="9835" builtinId="9" hidden="1"/>
    <cellStyle name="Lien hypertexte visité" xfId="11131" builtinId="9" hidden="1"/>
    <cellStyle name="Lien hypertexte visité" xfId="12291" builtinId="9" hidden="1"/>
    <cellStyle name="Lien hypertexte visité" xfId="1828" builtinId="9" hidden="1"/>
    <cellStyle name="Lien hypertexte visité" xfId="12467" builtinId="9" hidden="1"/>
    <cellStyle name="Lien hypertexte visité" xfId="3994" builtinId="9" hidden="1"/>
    <cellStyle name="Lien hypertexte visité" xfId="1427" builtinId="9" hidden="1"/>
    <cellStyle name="Lien hypertexte visité" xfId="5602" builtinId="9" hidden="1"/>
    <cellStyle name="Lien hypertexte visité" xfId="12163" builtinId="9" hidden="1"/>
    <cellStyle name="Lien hypertexte visité" xfId="7034" builtinId="9" hidden="1"/>
    <cellStyle name="Lien hypertexte visité" xfId="5826" builtinId="9" hidden="1"/>
    <cellStyle name="Lien hypertexte visité" xfId="75" builtinId="9" hidden="1"/>
    <cellStyle name="Lien hypertexte visité" xfId="4616" builtinId="9" hidden="1"/>
    <cellStyle name="Lien hypertexte visité" xfId="3723" builtinId="9" hidden="1"/>
    <cellStyle name="Lien hypertexte visité" xfId="8131" builtinId="9" hidden="1"/>
    <cellStyle name="Lien hypertexte visité" xfId="5570" builtinId="9" hidden="1"/>
    <cellStyle name="Lien hypertexte visité" xfId="6922" builtinId="9" hidden="1"/>
    <cellStyle name="Lien hypertexte visité" xfId="2524" builtinId="9" hidden="1"/>
    <cellStyle name="Lien hypertexte visité" xfId="7394" builtinId="9" hidden="1"/>
    <cellStyle name="Lien hypertexte visité" xfId="1323" builtinId="9" hidden="1"/>
    <cellStyle name="Lien hypertexte visité" xfId="2532" builtinId="9" hidden="1"/>
    <cellStyle name="Lien hypertexte visité" xfId="13875" builtinId="9" hidden="1"/>
    <cellStyle name="Lien hypertexte visité" xfId="1932" builtinId="9" hidden="1"/>
    <cellStyle name="Lien hypertexte visité" xfId="2332" builtinId="9" hidden="1"/>
    <cellStyle name="Lien hypertexte visité" xfId="11403" builtinId="9" hidden="1"/>
    <cellStyle name="Lien hypertexte visité" xfId="10075" builtinId="9" hidden="1"/>
    <cellStyle name="Lien hypertexte visité" xfId="18045" builtinId="9" hidden="1"/>
    <cellStyle name="Lien hypertexte visité" xfId="3028" builtinId="9" hidden="1"/>
    <cellStyle name="Lien hypertexte visité" xfId="16555" builtinId="9" hidden="1"/>
    <cellStyle name="Lien hypertexte visité" xfId="14421" builtinId="9" hidden="1"/>
    <cellStyle name="Lien hypertexte visité" xfId="10343" builtinId="9" hidden="1"/>
    <cellStyle name="Lien hypertexte visité" xfId="20784" builtinId="9" hidden="1"/>
    <cellStyle name="Lien hypertexte visité" xfId="16209" builtinId="9" hidden="1"/>
    <cellStyle name="Lien hypertexte visité" xfId="3631" builtinId="9" hidden="1"/>
    <cellStyle name="Lien hypertexte visité" xfId="4261" builtinId="9" hidden="1"/>
    <cellStyle name="Lien hypertexte visité" xfId="7818" builtinId="9" hidden="1"/>
    <cellStyle name="Lien hypertexte visité" xfId="9839" builtinId="9" hidden="1"/>
    <cellStyle name="Lien hypertexte visité" xfId="13149" builtinId="9" hidden="1"/>
    <cellStyle name="Lien hypertexte visité" xfId="5835" builtinId="9" hidden="1"/>
    <cellStyle name="Lien hypertexte visité" xfId="11980" builtinId="9" hidden="1"/>
    <cellStyle name="Lien hypertexte visité" xfId="16357" builtinId="9" hidden="1"/>
    <cellStyle name="Lien hypertexte visité" xfId="22484" builtinId="9" hidden="1"/>
    <cellStyle name="Lien hypertexte visité" xfId="14493" builtinId="9" hidden="1"/>
    <cellStyle name="Lien hypertexte visité" xfId="11421" builtinId="9" hidden="1"/>
    <cellStyle name="Lien hypertexte visité" xfId="8349" builtinId="9" hidden="1"/>
    <cellStyle name="Lien hypertexte visité" xfId="1878" builtinId="9" hidden="1"/>
    <cellStyle name="Lien hypertexte visité" xfId="2344" builtinId="9" hidden="1"/>
    <cellStyle name="Lien hypertexte visité" xfId="5422" builtinId="9" hidden="1"/>
    <cellStyle name="Lien hypertexte visité" xfId="11567" builtinId="9" hidden="1"/>
    <cellStyle name="Lien hypertexte visité" xfId="14763" builtinId="9" hidden="1"/>
    <cellStyle name="Lien hypertexte visité" xfId="9414" builtinId="9" hidden="1"/>
    <cellStyle name="Lien hypertexte visité" xfId="13726" builtinId="9" hidden="1"/>
    <cellStyle name="Lien hypertexte visité" xfId="17033" builtinId="9" hidden="1"/>
    <cellStyle name="Lien hypertexte visité" xfId="21112" builtinId="9" hidden="1"/>
    <cellStyle name="Lien hypertexte visité" xfId="19922" builtinId="9" hidden="1"/>
    <cellStyle name="Lien hypertexte visité" xfId="21690" builtinId="9" hidden="1"/>
    <cellStyle name="Lien hypertexte visité" xfId="14122" builtinId="9" hidden="1"/>
    <cellStyle name="Lien hypertexte visité" xfId="5749" builtinId="9" hidden="1"/>
    <cellStyle name="Lien hypertexte visité" xfId="7505" builtinId="9" hidden="1"/>
    <cellStyle name="Lien hypertexte visité" xfId="2607" builtinId="9" hidden="1"/>
    <cellStyle name="Lien hypertexte visité" xfId="841" builtinId="9" hidden="1"/>
    <cellStyle name="Lien hypertexte visité" xfId="3576" builtinId="9" hidden="1"/>
    <cellStyle name="Lien hypertexte visité" xfId="5929" builtinId="9" hidden="1"/>
    <cellStyle name="Lien hypertexte visité" xfId="5029" builtinId="9" hidden="1"/>
    <cellStyle name="Lien hypertexte visité" xfId="10490" builtinId="9" hidden="1"/>
    <cellStyle name="Lien hypertexte visité" xfId="15543" builtinId="9" hidden="1"/>
    <cellStyle name="Lien hypertexte visité" xfId="10709" builtinId="9" hidden="1"/>
    <cellStyle name="Lien hypertexte visité" xfId="8661" builtinId="9" hidden="1"/>
    <cellStyle name="Lien hypertexte visité" xfId="6612" builtinId="9" hidden="1"/>
    <cellStyle name="Lien hypertexte visité" xfId="2510" builtinId="9" hidden="1"/>
    <cellStyle name="Lien hypertexte visité" xfId="211" builtinId="9" hidden="1"/>
    <cellStyle name="Lien hypertexte visité" xfId="2736" builtinId="9" hidden="1"/>
    <cellStyle name="Lien hypertexte visité" xfId="7094" builtinId="9" hidden="1"/>
    <cellStyle name="Lien hypertexte visité" xfId="9143" builtinId="9" hidden="1"/>
    <cellStyle name="Lien hypertexte visité" xfId="11191" builtinId="9" hidden="1"/>
    <cellStyle name="Lien hypertexte visité" xfId="16059" builtinId="9" hidden="1"/>
    <cellStyle name="Lien hypertexte visité" xfId="9166" builtinId="9" hidden="1"/>
    <cellStyle name="Lien hypertexte visité" xfId="10670" builtinId="9" hidden="1"/>
    <cellStyle name="Lien hypertexte visité" xfId="13398" builtinId="9" hidden="1"/>
    <cellStyle name="Lien hypertexte visité" xfId="15017" builtinId="9" hidden="1"/>
    <cellStyle name="Lien hypertexte visité" xfId="17745" builtinId="9" hidden="1"/>
    <cellStyle name="Lien hypertexte visité" xfId="23192" builtinId="9" hidden="1"/>
    <cellStyle name="Lien hypertexte visité" xfId="23026" builtinId="9" hidden="1"/>
    <cellStyle name="Lien hypertexte visité" xfId="20298" builtinId="9" hidden="1"/>
    <cellStyle name="Lien hypertexte visité" xfId="24560" builtinId="9" hidden="1"/>
    <cellStyle name="Lien hypertexte visité" xfId="16385" builtinId="9" hidden="1"/>
    <cellStyle name="Lien hypertexte visité" xfId="11354" builtinId="9" hidden="1"/>
    <cellStyle name="Lien hypertexte visité" xfId="22632" builtinId="9" hidden="1"/>
    <cellStyle name="Lien hypertexte visité" xfId="14486" builtinId="9" hidden="1"/>
    <cellStyle name="Lien hypertexte visité" xfId="10390" builtinId="9" hidden="1"/>
    <cellStyle name="Lien hypertexte visité" xfId="6886" builtinId="9" hidden="1"/>
    <cellStyle name="Lien hypertexte visité" xfId="307" builtinId="9" hidden="1"/>
    <cellStyle name="Lien hypertexte visité" xfId="2400" builtinId="9" hidden="1"/>
    <cellStyle name="Lien hypertexte visité" xfId="20400" builtinId="9" hidden="1"/>
    <cellStyle name="Lien hypertexte visité" xfId="20762" builtinId="9" hidden="1"/>
    <cellStyle name="Lien hypertexte visité" xfId="24330" builtinId="9" hidden="1"/>
    <cellStyle name="Lien hypertexte visité" xfId="11522" builtinId="9" hidden="1"/>
    <cellStyle name="Lien hypertexte visité" xfId="14939" builtinId="9" hidden="1"/>
    <cellStyle name="Lien hypertexte visité" xfId="7895" builtinId="9" hidden="1"/>
    <cellStyle name="Lien hypertexte visité" xfId="5556" builtinId="9" hidden="1"/>
    <cellStyle name="Lien hypertexte visité" xfId="11701" builtinId="9" hidden="1"/>
    <cellStyle name="Lien hypertexte visité" xfId="3933" builtinId="9" hidden="1"/>
    <cellStyle name="Lien hypertexte visité" xfId="3812" builtinId="9" hidden="1"/>
    <cellStyle name="Lien hypertexte visité" xfId="4689" builtinId="9" hidden="1"/>
    <cellStyle name="Lien hypertexte visité" xfId="17811" builtinId="9" hidden="1"/>
    <cellStyle name="Lien hypertexte visité" xfId="10694" builtinId="9" hidden="1"/>
    <cellStyle name="Lien hypertexte visité" xfId="10415" builtinId="9" hidden="1"/>
    <cellStyle name="Lien hypertexte visité" xfId="1191" builtinId="9" hidden="1"/>
    <cellStyle name="Lien hypertexte visité" xfId="24310" builtinId="9" hidden="1"/>
    <cellStyle name="Lien hypertexte visité" xfId="10508" builtinId="9" hidden="1"/>
    <cellStyle name="Lien hypertexte visité" xfId="1284" builtinId="9" hidden="1"/>
    <cellStyle name="Lien hypertexte visité" xfId="3845" builtinId="9" hidden="1"/>
    <cellStyle name="Lien hypertexte visité" xfId="5378" builtinId="9" hidden="1"/>
    <cellStyle name="Lien hypertexte visité" xfId="6874" builtinId="9" hidden="1"/>
    <cellStyle name="Lien hypertexte visité" xfId="2274" builtinId="9" hidden="1"/>
    <cellStyle name="Lien hypertexte visité" xfId="7528" builtinId="9" hidden="1"/>
    <cellStyle name="Lien hypertexte visité" xfId="12777" builtinId="9" hidden="1"/>
    <cellStyle name="Lien hypertexte visité" xfId="17229" builtinId="9" hidden="1"/>
    <cellStyle name="Lien hypertexte visité" xfId="10624" builtinId="9" hidden="1"/>
    <cellStyle name="Lien hypertexte visité" xfId="10224" builtinId="9" hidden="1"/>
    <cellStyle name="Lien hypertexte visité" xfId="13720" builtinId="9" hidden="1"/>
    <cellStyle name="Lien hypertexte visité" xfId="16429" builtinId="9" hidden="1"/>
    <cellStyle name="Lien hypertexte visité" xfId="19996" builtinId="9" hidden="1"/>
    <cellStyle name="Lien hypertexte visité" xfId="22238" builtinId="9" hidden="1"/>
    <cellStyle name="Lien hypertexte visité" xfId="18314" builtinId="9" hidden="1"/>
    <cellStyle name="Lien hypertexte visité" xfId="14831" builtinId="9" hidden="1"/>
    <cellStyle name="Lien hypertexte visité" xfId="3842" builtinId="9" hidden="1"/>
    <cellStyle name="Lien hypertexte visité" xfId="13093" builtinId="9" hidden="1"/>
    <cellStyle name="Lien hypertexte visité" xfId="13476" builtinId="9" hidden="1"/>
    <cellStyle name="Lien hypertexte visité" xfId="4355" builtinId="9" hidden="1"/>
    <cellStyle name="Lien hypertexte visité" xfId="6327" builtinId="9" hidden="1"/>
    <cellStyle name="Lien hypertexte visité" xfId="1356" builtinId="9" hidden="1"/>
    <cellStyle name="Lien hypertexte visité" xfId="9316" builtinId="9" hidden="1"/>
    <cellStyle name="Lien hypertexte visité" xfId="2592" builtinId="9" hidden="1"/>
    <cellStyle name="Lien hypertexte visité" xfId="21386" builtinId="9" hidden="1"/>
    <cellStyle name="Lien hypertexte visité" xfId="14825" builtinId="9" hidden="1"/>
    <cellStyle name="Lien hypertexte visité" xfId="14811" builtinId="9" hidden="1"/>
    <cellStyle name="Lien hypertexte visité" xfId="3737" builtinId="9" hidden="1"/>
    <cellStyle name="Lien hypertexte visité" xfId="5157" builtinId="9" hidden="1"/>
    <cellStyle name="Lien hypertexte visité" xfId="3760" builtinId="9" hidden="1"/>
    <cellStyle name="Lien hypertexte visité" xfId="21520" builtinId="9" hidden="1"/>
    <cellStyle name="Lien hypertexte visité" xfId="8271" builtinId="9" hidden="1"/>
    <cellStyle name="Lien hypertexte visité" xfId="9277" builtinId="9" hidden="1"/>
    <cellStyle name="Lien hypertexte visité" xfId="13484" builtinId="9" hidden="1"/>
    <cellStyle name="Lien hypertexte visité" xfId="1988" builtinId="9" hidden="1"/>
    <cellStyle name="Lien hypertexte visité" xfId="12891" builtinId="9" hidden="1"/>
    <cellStyle name="Lien hypertexte visité" xfId="11523" builtinId="9" hidden="1"/>
    <cellStyle name="Lien hypertexte visité" xfId="15043" builtinId="9" hidden="1"/>
    <cellStyle name="Lien hypertexte visité" xfId="15923" builtinId="9" hidden="1"/>
    <cellStyle name="Lien hypertexte visité" xfId="13867" builtinId="9" hidden="1"/>
    <cellStyle name="Lien hypertexte visité" xfId="12315" builtinId="9" hidden="1"/>
    <cellStyle name="Lien hypertexte visité" xfId="1379" builtinId="9" hidden="1"/>
    <cellStyle name="Lien hypertexte visité" xfId="3725" builtinId="9" hidden="1"/>
    <cellStyle name="Lien hypertexte visité" xfId="7530" builtinId="9" hidden="1"/>
    <cellStyle name="Lien hypertexte visité" xfId="1602" builtinId="9" hidden="1"/>
    <cellStyle name="Lien hypertexte visité" xfId="9042" builtinId="9" hidden="1"/>
    <cellStyle name="Lien hypertexte visité" xfId="11711" builtinId="9" hidden="1"/>
    <cellStyle name="Lien hypertexte visité" xfId="9823" builtinId="9" hidden="1"/>
    <cellStyle name="Lien hypertexte visité" xfId="10461" builtinId="9" hidden="1"/>
    <cellStyle name="Lien hypertexte visité" xfId="8204" builtinId="9" hidden="1"/>
    <cellStyle name="Lien hypertexte visité" xfId="5247" builtinId="9" hidden="1"/>
    <cellStyle name="Lien hypertexte visité" xfId="3733" builtinId="9" hidden="1"/>
    <cellStyle name="Lien hypertexte visité" xfId="7058" builtinId="9" hidden="1"/>
    <cellStyle name="Lien hypertexte visité" xfId="9075" builtinId="9" hidden="1"/>
    <cellStyle name="Lien hypertexte visité" xfId="3554" builtinId="9" hidden="1"/>
    <cellStyle name="Lien hypertexte visité" xfId="20750" builtinId="9" hidden="1"/>
    <cellStyle name="Lien hypertexte visité" xfId="19260" builtinId="9" hidden="1"/>
    <cellStyle name="Lien hypertexte visité" xfId="9856" builtinId="9" hidden="1"/>
    <cellStyle name="Lien hypertexte visité" xfId="12400" builtinId="9" hidden="1"/>
    <cellStyle name="Lien hypertexte visité" xfId="14973" builtinId="9" hidden="1"/>
    <cellStyle name="Lien hypertexte visité" xfId="19660" builtinId="9" hidden="1"/>
    <cellStyle name="Lien hypertexte visité" xfId="21726" builtinId="9" hidden="1"/>
    <cellStyle name="Lien hypertexte visité" xfId="17135" builtinId="9" hidden="1"/>
    <cellStyle name="Lien hypertexte visité" xfId="14241" builtinId="9" hidden="1"/>
    <cellStyle name="Lien hypertexte visité" xfId="9553" builtinId="9" hidden="1"/>
    <cellStyle name="Lien hypertexte visité" xfId="8017" builtinId="9" hidden="1"/>
    <cellStyle name="Lien hypertexte visité" xfId="5664" builtinId="9" hidden="1"/>
    <cellStyle name="Lien hypertexte visité" xfId="6224" builtinId="9" hidden="1"/>
    <cellStyle name="Lien hypertexte visité" xfId="18540" builtinId="9" hidden="1"/>
    <cellStyle name="Lien hypertexte visité" xfId="4200" builtinId="9" hidden="1"/>
    <cellStyle name="Lien hypertexte visité" xfId="14179" builtinId="9" hidden="1"/>
    <cellStyle name="Lien hypertexte visité" xfId="15091" builtinId="9" hidden="1"/>
    <cellStyle name="Lien hypertexte visité" xfId="17251" builtinId="9" hidden="1"/>
    <cellStyle name="Lien hypertexte visité" xfId="9563" builtinId="9" hidden="1"/>
    <cellStyle name="Lien hypertexte visité" xfId="10723" builtinId="9" hidden="1"/>
    <cellStyle name="Lien hypertexte visité" xfId="12499" builtinId="9" hidden="1"/>
    <cellStyle name="Lien hypertexte visité" xfId="2340" builtinId="9" hidden="1"/>
    <cellStyle name="Lien hypertexte visité" xfId="4290" builtinId="9" hidden="1"/>
    <cellStyle name="Lien hypertexte visité" xfId="2452" builtinId="9" hidden="1"/>
    <cellStyle name="Lien hypertexte visité" xfId="12675" builtinId="9" hidden="1"/>
    <cellStyle name="Lien hypertexte visité" xfId="11003" builtinId="9" hidden="1"/>
    <cellStyle name="Lien hypertexte visité" xfId="7146" builtinId="9" hidden="1"/>
    <cellStyle name="Lien hypertexte visité" xfId="8643" builtinId="9" hidden="1"/>
    <cellStyle name="Lien hypertexte visité" xfId="1794" builtinId="9" hidden="1"/>
    <cellStyle name="Lien hypertexte visité" xfId="4360" builtinId="9" hidden="1"/>
    <cellStyle name="Lien hypertexte visité" xfId="4874" builtinId="9" hidden="1"/>
    <cellStyle name="Lien hypertexte visité" xfId="6666" builtinId="9" hidden="1"/>
    <cellStyle name="Lien hypertexte visité" xfId="11107" builtinId="9" hidden="1"/>
    <cellStyle name="Lien hypertexte visité" xfId="1756" builtinId="9" hidden="1"/>
    <cellStyle name="Lien hypertexte visité" xfId="2564" builtinId="9" hidden="1"/>
    <cellStyle name="Lien hypertexte visité" xfId="3781" builtinId="9" hidden="1"/>
    <cellStyle name="Lien hypertexte visité" xfId="795" builtinId="9" hidden="1"/>
    <cellStyle name="Lien hypertexte visité" xfId="9251" builtinId="9" hidden="1"/>
    <cellStyle name="Lien hypertexte visité" xfId="11203" builtinId="9" hidden="1"/>
    <cellStyle name="Lien hypertexte visité" xfId="13539" builtinId="9" hidden="1"/>
    <cellStyle name="Lien hypertexte visité" xfId="16131" builtinId="9" hidden="1"/>
    <cellStyle name="Lien hypertexte visité" xfId="15363" builtinId="9" hidden="1"/>
    <cellStyle name="Lien hypertexte visité" xfId="10219" builtinId="9" hidden="1"/>
    <cellStyle name="Lien hypertexte visité" xfId="7272" builtinId="9" hidden="1"/>
    <cellStyle name="Lien hypertexte visité" xfId="12104" builtinId="9" hidden="1"/>
    <cellStyle name="Lien hypertexte visité" xfId="3442" builtinId="9" hidden="1"/>
    <cellStyle name="Lien hypertexte visité" xfId="5024" builtinId="9" hidden="1"/>
    <cellStyle name="Lien hypertexte visité" xfId="7376" builtinId="9" hidden="1"/>
    <cellStyle name="Lien hypertexte visité" xfId="11257" builtinId="9" hidden="1"/>
    <cellStyle name="Lien hypertexte visité" xfId="13601" builtinId="9" hidden="1"/>
    <cellStyle name="Lien hypertexte visité" xfId="17391" builtinId="9" hidden="1"/>
    <cellStyle name="Lien hypertexte visité" xfId="24092" builtinId="9" hidden="1"/>
    <cellStyle name="Lien hypertexte visité" xfId="19404" builtinId="9" hidden="1"/>
    <cellStyle name="Lien hypertexte visité" xfId="16253" builtinId="9" hidden="1"/>
    <cellStyle name="Lien hypertexte visité" xfId="10696" builtinId="9" hidden="1"/>
    <cellStyle name="Lien hypertexte visité" xfId="9160" builtinId="9" hidden="1"/>
    <cellStyle name="Lien hypertexte visité" xfId="15437" builtinId="9" hidden="1"/>
    <cellStyle name="Lien hypertexte visité" xfId="12521" builtinId="9" hidden="1"/>
    <cellStyle name="Lien hypertexte visité" xfId="5480" builtinId="9" hidden="1"/>
    <cellStyle name="Lien hypertexte visité" xfId="8963" builtinId="9" hidden="1"/>
    <cellStyle name="Lien hypertexte visité" xfId="5594" builtinId="9" hidden="1"/>
    <cellStyle name="Lien hypertexte visité" xfId="3621" builtinId="9" hidden="1"/>
    <cellStyle name="Lien hypertexte visité" xfId="8576" builtinId="9" hidden="1"/>
    <cellStyle name="Lien hypertexte visité" xfId="19796" builtinId="9" hidden="1"/>
    <cellStyle name="Lien hypertexte visité" xfId="13789" builtinId="9" hidden="1"/>
    <cellStyle name="Lien hypertexte visité" xfId="1493" builtinId="9" hidden="1"/>
    <cellStyle name="Lien hypertexte visité" xfId="11038" builtinId="9" hidden="1"/>
    <cellStyle name="Lien hypertexte visité" xfId="23928" builtinId="9" hidden="1"/>
    <cellStyle name="Lien hypertexte visité" xfId="10666" builtinId="9" hidden="1"/>
    <cellStyle name="Lien hypertexte visité" xfId="3371" builtinId="9" hidden="1"/>
    <cellStyle name="Lien hypertexte visité" xfId="11258" builtinId="9" hidden="1"/>
    <cellStyle name="Lien hypertexte visité" xfId="11349" builtinId="9" hidden="1"/>
    <cellStyle name="Lien hypertexte visité" xfId="6198" builtinId="9" hidden="1"/>
    <cellStyle name="Lien hypertexte visité" xfId="11655" builtinId="9" hidden="1"/>
    <cellStyle name="Lien hypertexte visité" xfId="10838" builtinId="9" hidden="1"/>
    <cellStyle name="Lien hypertexte visité" xfId="23882" builtinId="9" hidden="1"/>
    <cellStyle name="Lien hypertexte visité" xfId="18928" builtinId="9" hidden="1"/>
    <cellStyle name="Lien hypertexte visité" xfId="18041" builtinId="9" hidden="1"/>
    <cellStyle name="Lien hypertexte visité" xfId="1437" builtinId="9" hidden="1"/>
    <cellStyle name="Lien hypertexte visité" xfId="7911" builtinId="9" hidden="1"/>
    <cellStyle name="Lien hypertexte visité" xfId="13415" builtinId="9" hidden="1"/>
    <cellStyle name="Lien hypertexte visité" xfId="20416" builtinId="9" hidden="1"/>
    <cellStyle name="Lien hypertexte visité" xfId="21474" builtinId="9" hidden="1"/>
    <cellStyle name="Lien hypertexte visité" xfId="13114" builtinId="9" hidden="1"/>
    <cellStyle name="Lien hypertexte visité" xfId="24346" builtinId="9" hidden="1"/>
    <cellStyle name="Lien hypertexte visité" xfId="18594" builtinId="9" hidden="1"/>
    <cellStyle name="Lien hypertexte visité" xfId="22218" builtinId="9" hidden="1"/>
    <cellStyle name="Lien hypertexte visité" xfId="20904" builtinId="9" hidden="1"/>
    <cellStyle name="Lien hypertexte visité" xfId="17297" builtinId="9" hidden="1"/>
    <cellStyle name="Lien hypertexte visité" xfId="14841" builtinId="9" hidden="1"/>
    <cellStyle name="Lien hypertexte visité" xfId="11042" builtinId="9" hidden="1"/>
    <cellStyle name="Lien hypertexte visité" xfId="9846" builtinId="9" hidden="1"/>
    <cellStyle name="Lien hypertexte visité" xfId="16731" builtinId="9" hidden="1"/>
    <cellStyle name="Lien hypertexte visité" xfId="11063" builtinId="9" hidden="1"/>
    <cellStyle name="Lien hypertexte visité" xfId="8327" builtinId="9" hidden="1"/>
    <cellStyle name="Lien hypertexte visité" xfId="5590" builtinId="9" hidden="1"/>
    <cellStyle name="Lien hypertexte visité" xfId="883" builtinId="9" hidden="1"/>
    <cellStyle name="Lien hypertexte visité" xfId="2862" builtinId="9" hidden="1"/>
    <cellStyle name="Lien hypertexte visité" xfId="4660" builtinId="9" hidden="1"/>
    <cellStyle name="Lien hypertexte visité" xfId="10117" builtinId="9" hidden="1"/>
    <cellStyle name="Lien hypertexte visité" xfId="11957" builtinId="9" hidden="1"/>
    <cellStyle name="Lien hypertexte visité" xfId="14839" builtinId="9" hidden="1"/>
    <cellStyle name="Lien hypertexte visité" xfId="5141" builtinId="9" hidden="1"/>
    <cellStyle name="Lien hypertexte visité" xfId="7481" builtinId="9" hidden="1"/>
    <cellStyle name="Lien hypertexte visité" xfId="3131" builtinId="9" hidden="1"/>
    <cellStyle name="Lien hypertexte visité" xfId="1899" builtinId="9" hidden="1"/>
    <cellStyle name="Lien hypertexte visité" xfId="2335" builtinId="9" hidden="1"/>
    <cellStyle name="Lien hypertexte visité" xfId="7393" builtinId="9" hidden="1"/>
    <cellStyle name="Lien hypertexte visité" xfId="12458" builtinId="9" hidden="1"/>
    <cellStyle name="Lien hypertexte visité" xfId="21392" builtinId="9" hidden="1"/>
    <cellStyle name="Lien hypertexte visité" xfId="19242" builtinId="9" hidden="1"/>
    <cellStyle name="Lien hypertexte visité" xfId="20936" builtinId="9" hidden="1"/>
    <cellStyle name="Lien hypertexte visité" xfId="15497" builtinId="9" hidden="1"/>
    <cellStyle name="Lien hypertexte visité" xfId="12274" builtinId="9" hidden="1"/>
    <cellStyle name="Lien hypertexte visité" xfId="15787" builtinId="9" hidden="1"/>
    <cellStyle name="Lien hypertexte visité" xfId="11055" builtinId="9" hidden="1"/>
    <cellStyle name="Lien hypertexte visité" xfId="8303" builtinId="9" hidden="1"/>
    <cellStyle name="Lien hypertexte visité" xfId="927" builtinId="9" hidden="1"/>
    <cellStyle name="Lien hypertexte visité" xfId="3743" builtinId="9" hidden="1"/>
    <cellStyle name="Lien hypertexte visité" xfId="7837" builtinId="9" hidden="1"/>
    <cellStyle name="Lien hypertexte visité" xfId="14855" builtinId="9" hidden="1"/>
    <cellStyle name="Lien hypertexte visité" xfId="23030" builtinId="9" hidden="1"/>
    <cellStyle name="Lien hypertexte visité" xfId="18021" builtinId="9" hidden="1"/>
    <cellStyle name="Lien hypertexte visité" xfId="9420" builtinId="9" hidden="1"/>
    <cellStyle name="Lien hypertexte visité" xfId="5323" builtinId="9" hidden="1"/>
    <cellStyle name="Lien hypertexte visité" xfId="2629" builtinId="9" hidden="1"/>
    <cellStyle name="Lien hypertexte visité" xfId="6719" builtinId="9" hidden="1"/>
    <cellStyle name="Lien hypertexte visité" xfId="167" builtinId="9" hidden="1"/>
    <cellStyle name="Lien hypertexte visité" xfId="9509" builtinId="9" hidden="1"/>
    <cellStyle name="Lien hypertexte visité" xfId="8932" builtinId="9" hidden="1"/>
    <cellStyle name="Lien hypertexte visité" xfId="12452" builtinId="9" hidden="1"/>
    <cellStyle name="Lien hypertexte visité" xfId="17397" builtinId="9" hidden="1"/>
    <cellStyle name="Lien hypertexte visité" xfId="20134" builtinId="9" hidden="1"/>
    <cellStyle name="Lien hypertexte visité" xfId="2337" builtinId="9" hidden="1"/>
    <cellStyle name="Lien hypertexte visité" xfId="813" builtinId="9" hidden="1"/>
    <cellStyle name="Lien hypertexte visité" xfId="4087" builtinId="9" hidden="1"/>
    <cellStyle name="Lien hypertexte visité" xfId="6663" builtinId="9" hidden="1"/>
    <cellStyle name="Lien hypertexte visité" xfId="7639" builtinId="9" hidden="1"/>
    <cellStyle name="Lien hypertexte visité" xfId="2177" builtinId="9" hidden="1"/>
    <cellStyle name="Lien hypertexte visité" xfId="2317" builtinId="9" hidden="1"/>
    <cellStyle name="Lien hypertexte visité" xfId="2113" builtinId="9" hidden="1"/>
    <cellStyle name="Lien hypertexte visité" xfId="24358" builtinId="9" hidden="1"/>
    <cellStyle name="Lien hypertexte visité" xfId="17877" builtinId="9" hidden="1"/>
    <cellStyle name="Lien hypertexte visité" xfId="13860" builtinId="9" hidden="1"/>
    <cellStyle name="Lien hypertexte visité" xfId="6835" builtinId="9" hidden="1"/>
    <cellStyle name="Lien hypertexte visité" xfId="14437" builtinId="9" hidden="1"/>
    <cellStyle name="Lien hypertexte visité" xfId="2142" builtinId="9" hidden="1"/>
    <cellStyle name="Lien hypertexte visité" xfId="10606" builtinId="9" hidden="1"/>
    <cellStyle name="Lien hypertexte visité" xfId="23064" builtinId="9" hidden="1"/>
    <cellStyle name="Lien hypertexte visité" xfId="11962" builtinId="9" hidden="1"/>
    <cellStyle name="Lien hypertexte visité" xfId="18291" builtinId="9" hidden="1"/>
    <cellStyle name="Lien hypertexte visité" xfId="23730" builtinId="9" hidden="1"/>
    <cellStyle name="Lien hypertexte visité" xfId="21848" builtinId="9" hidden="1"/>
    <cellStyle name="Lien hypertexte visité" xfId="12726" builtinId="9" hidden="1"/>
    <cellStyle name="Lien hypertexte visité" xfId="10914" builtinId="9" hidden="1"/>
    <cellStyle name="Lien hypertexte visité" xfId="17211" builtinId="9" hidden="1"/>
    <cellStyle name="Lien hypertexte visité" xfId="9031" builtinId="9" hidden="1"/>
    <cellStyle name="Lien hypertexte visité" xfId="4934" builtinId="9" hidden="1"/>
    <cellStyle name="Lien hypertexte visité" xfId="499" builtinId="9" hidden="1"/>
    <cellStyle name="Lien hypertexte visité" xfId="7156" builtinId="9" hidden="1"/>
    <cellStyle name="Lien hypertexte visité" xfId="11253" builtinId="9" hidden="1"/>
    <cellStyle name="Lien hypertexte visité" xfId="13973" builtinId="9" hidden="1"/>
    <cellStyle name="Lien hypertexte visité" xfId="7645" builtinId="9" hidden="1"/>
    <cellStyle name="Lien hypertexte visité" xfId="3287" builtinId="9" hidden="1"/>
    <cellStyle name="Lien hypertexte visité" xfId="2079" builtinId="9" hidden="1"/>
    <cellStyle name="Lien hypertexte visité" xfId="5657" builtinId="9" hidden="1"/>
    <cellStyle name="Lien hypertexte visité" xfId="14442" builtinId="9" hidden="1"/>
    <cellStyle name="Lien hypertexte visité" xfId="19626" builtinId="9" hidden="1"/>
    <cellStyle name="Lien hypertexte visité" xfId="15961" builtinId="9" hidden="1"/>
    <cellStyle name="Lien hypertexte visité" xfId="11142" builtinId="9" hidden="1"/>
    <cellStyle name="Lien hypertexte visité" xfId="8414" builtinId="9" hidden="1"/>
    <cellStyle name="Lien hypertexte visité" xfId="3922" builtinId="9" hidden="1"/>
    <cellStyle name="Lien hypertexte visité" xfId="1333" builtinId="9" hidden="1"/>
    <cellStyle name="Lien hypertexte visité" xfId="7484" builtinId="9" hidden="1"/>
    <cellStyle name="Lien hypertexte visité" xfId="20918" builtinId="9" hidden="1"/>
    <cellStyle name="Lien hypertexte visité" xfId="16037" builtinId="9" hidden="1"/>
    <cellStyle name="Lien hypertexte visité" xfId="9132" builtinId="9" hidden="1"/>
    <cellStyle name="Lien hypertexte visité" xfId="2265" builtinId="9" hidden="1"/>
    <cellStyle name="Lien hypertexte visité" xfId="8416" builtinId="9" hidden="1"/>
    <cellStyle name="Lien hypertexte visité" xfId="2698" builtinId="9" hidden="1"/>
    <cellStyle name="Lien hypertexte visité" xfId="10897" builtinId="9" hidden="1"/>
    <cellStyle name="Lien hypertexte visité" xfId="13625" builtinId="9" hidden="1"/>
    <cellStyle name="Lien hypertexte visité" xfId="20910" builtinId="9" hidden="1"/>
    <cellStyle name="Lien hypertexte visité" xfId="14685" builtinId="9" hidden="1"/>
    <cellStyle name="Lien hypertexte visité" xfId="10504" builtinId="9" hidden="1"/>
    <cellStyle name="Lien hypertexte visité" xfId="17869" builtinId="9" hidden="1"/>
    <cellStyle name="Lien hypertexte visité" xfId="2466" builtinId="9" hidden="1"/>
    <cellStyle name="Lien hypertexte visité" xfId="6602" builtinId="9" hidden="1"/>
    <cellStyle name="Lien hypertexte visité" xfId="4266" builtinId="9" hidden="1"/>
    <cellStyle name="Lien hypertexte visité" xfId="10635" builtinId="9" hidden="1"/>
    <cellStyle name="Lien hypertexte visité" xfId="13691" builtinId="9" hidden="1"/>
    <cellStyle name="Lien hypertexte visité" xfId="14611" builtinId="9" hidden="1"/>
    <cellStyle name="Lien hypertexte visité" xfId="12387" builtinId="9" hidden="1"/>
    <cellStyle name="Lien hypertexte visité" xfId="2620" builtinId="9" hidden="1"/>
    <cellStyle name="Lien hypertexte visité" xfId="6138" builtinId="9" hidden="1"/>
    <cellStyle name="Lien hypertexte visité" xfId="8658" builtinId="9" hidden="1"/>
    <cellStyle name="Lien hypertexte visité" xfId="12479" builtinId="9" hidden="1"/>
    <cellStyle name="Lien hypertexte visité" xfId="9727" builtinId="9" hidden="1"/>
    <cellStyle name="Lien hypertexte visité" xfId="1528" builtinId="9" hidden="1"/>
    <cellStyle name="Lien hypertexte visité" xfId="2342" builtinId="9" hidden="1"/>
    <cellStyle name="Lien hypertexte visité" xfId="6444" builtinId="9" hidden="1"/>
    <cellStyle name="Lien hypertexte visité" xfId="13261" builtinId="9" hidden="1"/>
    <cellStyle name="Lien hypertexte visité" xfId="20182" builtinId="9" hidden="1"/>
    <cellStyle name="Lien hypertexte visité" xfId="20852" builtinId="9" hidden="1"/>
    <cellStyle name="Lien hypertexte visité" xfId="10844" builtinId="9" hidden="1"/>
    <cellStyle name="Lien hypertexte visité" xfId="6747" builtinId="9" hidden="1"/>
    <cellStyle name="Lien hypertexte visité" xfId="4027" builtinId="9" hidden="1"/>
    <cellStyle name="Lien hypertexte visité" xfId="5327" builtinId="9" hidden="1"/>
    <cellStyle name="Lien hypertexte visité" xfId="8048" builtinId="9" hidden="1"/>
    <cellStyle name="Lien hypertexte visité" xfId="2450" builtinId="9" hidden="1"/>
    <cellStyle name="Lien hypertexte visité" xfId="7024" builtinId="9" hidden="1"/>
    <cellStyle name="Lien hypertexte visité" xfId="9753" builtinId="9" hidden="1"/>
    <cellStyle name="Lien hypertexte visité" xfId="12481" builtinId="9" hidden="1"/>
    <cellStyle name="Lien hypertexte visité" xfId="19518" builtinId="9" hidden="1"/>
    <cellStyle name="Lien hypertexte visité" xfId="24236" builtinId="9" hidden="1"/>
    <cellStyle name="Lien hypertexte visité" xfId="20620" builtinId="9" hidden="1"/>
    <cellStyle name="Lien hypertexte visité" xfId="12112" builtinId="9" hidden="1"/>
    <cellStyle name="Lien hypertexte visité" xfId="10280" builtinId="9" hidden="1"/>
    <cellStyle name="Lien hypertexte visité" xfId="12768" builtinId="9" hidden="1"/>
    <cellStyle name="Lien hypertexte visité" xfId="12745" builtinId="9" hidden="1"/>
    <cellStyle name="Lien hypertexte visité" xfId="11849" builtinId="9" hidden="1"/>
    <cellStyle name="Lien hypertexte visité" xfId="10896" builtinId="9" hidden="1"/>
    <cellStyle name="Lien hypertexte visité" xfId="14671" builtinId="9" hidden="1"/>
    <cellStyle name="Lien hypertexte visité" xfId="6400" builtinId="9" hidden="1"/>
    <cellStyle name="Lien hypertexte visité" xfId="711" builtinId="9" hidden="1"/>
    <cellStyle name="Lien hypertexte visité" xfId="17221" builtinId="9" hidden="1"/>
    <cellStyle name="Lien hypertexte visité" xfId="15655" builtinId="9" hidden="1"/>
    <cellStyle name="Lien hypertexte visité" xfId="2790" builtinId="9" hidden="1"/>
    <cellStyle name="Lien hypertexte visité" xfId="7037" builtinId="9" hidden="1"/>
    <cellStyle name="Lien hypertexte visité" xfId="5025" builtinId="9" hidden="1"/>
    <cellStyle name="Lien hypertexte visité" xfId="11402" builtinId="9" hidden="1"/>
    <cellStyle name="Lien hypertexte visité" xfId="17547" builtinId="9" hidden="1"/>
    <cellStyle name="Lien hypertexte visité" xfId="21866" builtinId="9" hidden="1"/>
    <cellStyle name="Lien hypertexte visité" xfId="24200" builtinId="9" hidden="1"/>
    <cellStyle name="Lien hypertexte visité" xfId="14873" builtinId="9" hidden="1"/>
    <cellStyle name="Lien hypertexte visité" xfId="13138" builtinId="9" hidden="1"/>
    <cellStyle name="Lien hypertexte visité" xfId="10790" builtinId="9" hidden="1"/>
    <cellStyle name="Lien hypertexte visité" xfId="17121" builtinId="9" hidden="1"/>
    <cellStyle name="Lien hypertexte visité" xfId="1671" builtinId="9" hidden="1"/>
    <cellStyle name="Lien hypertexte visité" xfId="1422" builtinId="9" hidden="1"/>
    <cellStyle name="Lien hypertexte visité" xfId="2327" builtinId="9" hidden="1"/>
    <cellStyle name="Lien hypertexte visité" xfId="2975" builtinId="9" hidden="1"/>
    <cellStyle name="Lien hypertexte visité" xfId="7233" builtinId="9" hidden="1"/>
    <cellStyle name="Lien hypertexte visité" xfId="5497" builtinId="9" hidden="1"/>
    <cellStyle name="Lien hypertexte visité" xfId="4145" builtinId="9" hidden="1"/>
    <cellStyle name="Lien hypertexte visité" xfId="8474" builtinId="9" hidden="1"/>
    <cellStyle name="Lien hypertexte visité" xfId="7161" builtinId="9" hidden="1"/>
    <cellStyle name="Lien hypertexte visité" xfId="8186" builtinId="9" hidden="1"/>
    <cellStyle name="Lien hypertexte visité" xfId="6373" builtinId="9" hidden="1"/>
    <cellStyle name="Lien hypertexte visité" xfId="3147" builtinId="9" hidden="1"/>
    <cellStyle name="Lien hypertexte visité" xfId="1033" builtinId="9" hidden="1"/>
    <cellStyle name="Lien hypertexte visité" xfId="1386" builtinId="9" hidden="1"/>
    <cellStyle name="Lien hypertexte visité" xfId="21512" builtinId="9" hidden="1"/>
    <cellStyle name="Lien hypertexte visité" xfId="9554" builtinId="9" hidden="1"/>
    <cellStyle name="Lien hypertexte visité" xfId="11902" builtinId="9" hidden="1"/>
    <cellStyle name="Lien hypertexte visité" xfId="17049" builtinId="9" hidden="1"/>
    <cellStyle name="Lien hypertexte visité" xfId="21728" builtinId="9" hidden="1"/>
    <cellStyle name="Lien hypertexte visité" xfId="22802" builtinId="9" hidden="1"/>
    <cellStyle name="Lien hypertexte visité" xfId="24186" builtinId="9" hidden="1"/>
    <cellStyle name="Lien hypertexte visité" xfId="12810" builtinId="9" hidden="1"/>
    <cellStyle name="Lien hypertexte visité" xfId="3965" builtinId="9" hidden="1"/>
    <cellStyle name="Lien hypertexte visité" xfId="13087" builtinId="9" hidden="1"/>
    <cellStyle name="Lien hypertexte visité" xfId="4894" builtinId="9" hidden="1"/>
    <cellStyle name="Lien hypertexte visité" xfId="12821" builtinId="9" hidden="1"/>
    <cellStyle name="Lien hypertexte visité" xfId="9658" builtinId="9" hidden="1"/>
    <cellStyle name="Lien hypertexte visité" xfId="5853" builtinId="9" hidden="1"/>
    <cellStyle name="Lien hypertexte visité" xfId="8194" builtinId="9" hidden="1"/>
    <cellStyle name="Lien hypertexte visité" xfId="1410" builtinId="9" hidden="1"/>
    <cellStyle name="Lien hypertexte visité" xfId="3864" builtinId="9" hidden="1"/>
    <cellStyle name="Lien hypertexte visité" xfId="2351" builtinId="9" hidden="1"/>
    <cellStyle name="Lien hypertexte visité" xfId="4305" builtinId="9" hidden="1"/>
    <cellStyle name="Lien hypertexte visité" xfId="12266" builtinId="9" hidden="1"/>
    <cellStyle name="Lien hypertexte visité" xfId="22842" builtinId="9" hidden="1"/>
    <cellStyle name="Lien hypertexte visité" xfId="24490" builtinId="9" hidden="1"/>
    <cellStyle name="Lien hypertexte visité" xfId="19272" builtinId="9" hidden="1"/>
    <cellStyle name="Lien hypertexte visité" xfId="14174" builtinId="9" hidden="1"/>
    <cellStyle name="Lien hypertexte visité" xfId="9566" builtinId="9" hidden="1"/>
    <cellStyle name="Lien hypertexte visité" xfId="13839" builtinId="9" hidden="1"/>
    <cellStyle name="Lien hypertexte visité" xfId="11151" builtinId="9" hidden="1"/>
    <cellStyle name="Lien hypertexte visité" xfId="2952" builtinId="9" hidden="1"/>
    <cellStyle name="Lien hypertexte visité" xfId="607" builtinId="9" hidden="1"/>
    <cellStyle name="Lien hypertexte visité" xfId="4988" builtinId="9" hidden="1"/>
    <cellStyle name="Lien hypertexte visité" xfId="11901" builtinId="9" hidden="1"/>
    <cellStyle name="Lien hypertexte visité" xfId="17479" builtinId="9" hidden="1"/>
    <cellStyle name="Lien hypertexte visité" xfId="23572" builtinId="9" hidden="1"/>
    <cellStyle name="Lien hypertexte visité" xfId="12268" builtinId="9" hidden="1"/>
    <cellStyle name="Lien hypertexte visité" xfId="8172" builtinId="9" hidden="1"/>
    <cellStyle name="Lien hypertexte visité" xfId="5483" builtinId="9" hidden="1"/>
    <cellStyle name="Lien hypertexte visité" xfId="3874" builtinId="9" hidden="1"/>
    <cellStyle name="Lien hypertexte visité" xfId="6687" builtinId="9" hidden="1"/>
    <cellStyle name="Lien hypertexte visité" xfId="1546" builtinId="9" hidden="1"/>
    <cellStyle name="Lien hypertexte visité" xfId="6072" builtinId="9" hidden="1"/>
    <cellStyle name="Lien hypertexte visité" xfId="8801" builtinId="9" hidden="1"/>
    <cellStyle name="Lien hypertexte visité" xfId="11537" builtinId="9" hidden="1"/>
    <cellStyle name="Lien hypertexte visité" xfId="17599" builtinId="9" hidden="1"/>
    <cellStyle name="Lien hypertexte visité" xfId="23038" builtinId="9" hidden="1"/>
    <cellStyle name="Lien hypertexte visité" xfId="22428" builtinId="9" hidden="1"/>
    <cellStyle name="Lien hypertexte visité" xfId="13016" builtinId="9" hidden="1"/>
    <cellStyle name="Lien hypertexte visité" xfId="11224" builtinId="9" hidden="1"/>
    <cellStyle name="Lien hypertexte visité" xfId="9920" builtinId="9" hidden="1"/>
    <cellStyle name="Lien hypertexte visité" xfId="16799" builtinId="9" hidden="1"/>
    <cellStyle name="Lien hypertexte visité" xfId="7464" builtinId="9" hidden="1"/>
    <cellStyle name="Lien hypertexte visité" xfId="9203" builtinId="9" hidden="1"/>
    <cellStyle name="Lien hypertexte visité" xfId="5250" builtinId="9" hidden="1"/>
    <cellStyle name="Lien hypertexte visité" xfId="2900" builtinId="9" hidden="1"/>
    <cellStyle name="Lien hypertexte visité" xfId="1363" builtinId="9" hidden="1"/>
    <cellStyle name="Lien hypertexte visité" xfId="10123" builtinId="9" hidden="1"/>
    <cellStyle name="Lien hypertexte visité" xfId="13923" builtinId="9" hidden="1"/>
    <cellStyle name="Lien hypertexte visité" xfId="16035" builtinId="9" hidden="1"/>
    <cellStyle name="Lien hypertexte visité" xfId="12451" builtinId="9" hidden="1"/>
    <cellStyle name="Lien hypertexte visité" xfId="11467" builtinId="9" hidden="1"/>
    <cellStyle name="Lien hypertexte visité" xfId="3938" builtinId="9" hidden="1"/>
    <cellStyle name="Lien hypertexte visité" xfId="4346" builtinId="9" hidden="1"/>
    <cellStyle name="Lien hypertexte visité" xfId="6682" builtinId="9" hidden="1"/>
    <cellStyle name="Lien hypertexte visité" xfId="8219" builtinId="9" hidden="1"/>
    <cellStyle name="Lien hypertexte visité" xfId="16459" builtinId="9" hidden="1"/>
    <cellStyle name="Lien hypertexte visité" xfId="13631" builtinId="9" hidden="1"/>
    <cellStyle name="Lien hypertexte visité" xfId="10879" builtinId="9" hidden="1"/>
    <cellStyle name="Lien hypertexte visité" xfId="6366" builtinId="9" hidden="1"/>
    <cellStyle name="Lien hypertexte visité" xfId="3641" builtinId="9" hidden="1"/>
    <cellStyle name="Lien hypertexte visité" xfId="611" builtinId="9" hidden="1"/>
    <cellStyle name="Lien hypertexte visité" xfId="4780" builtinId="9" hidden="1"/>
    <cellStyle name="Lien hypertexte visité" xfId="7500" builtinId="9" hidden="1"/>
    <cellStyle name="Lien hypertexte visité" xfId="9389" builtinId="9" hidden="1"/>
    <cellStyle name="Lien hypertexte visité" xfId="15207" builtinId="9" hidden="1"/>
    <cellStyle name="Lien hypertexte visité" xfId="18774" builtinId="9" hidden="1"/>
    <cellStyle name="Lien hypertexte visité" xfId="24214" builtinId="9" hidden="1"/>
    <cellStyle name="Lien hypertexte visité" xfId="16005" builtinId="9" hidden="1"/>
    <cellStyle name="Lien hypertexte visité" xfId="12508" builtinId="9" hidden="1"/>
    <cellStyle name="Lien hypertexte visité" xfId="9788" builtinId="9" hidden="1"/>
    <cellStyle name="Lien hypertexte visité" xfId="5179" builtinId="9" hidden="1"/>
    <cellStyle name="Lien hypertexte visité" xfId="2453" builtinId="9" hidden="1"/>
    <cellStyle name="Lien hypertexte visité" xfId="213" builtinId="9" hidden="1"/>
    <cellStyle name="Lien hypertexte visité" xfId="5967" builtinId="9" hidden="1"/>
    <cellStyle name="Lien hypertexte visité" xfId="7759" builtinId="9" hidden="1"/>
    <cellStyle name="Lien hypertexte visité" xfId="1337" builtinId="9" hidden="1"/>
    <cellStyle name="Lien hypertexte visité" xfId="4416" builtinId="9" hidden="1"/>
    <cellStyle name="Lien hypertexte visité" xfId="6256" builtinId="9" hidden="1"/>
    <cellStyle name="Lien hypertexte visité" xfId="8065" builtinId="9" hidden="1"/>
    <cellStyle name="Lien hypertexte visité" xfId="11073" builtinId="9" hidden="1"/>
    <cellStyle name="Lien hypertexte visité" xfId="12913" builtinId="9" hidden="1"/>
    <cellStyle name="Lien hypertexte visité" xfId="14105" builtinId="9" hidden="1"/>
    <cellStyle name="Lien hypertexte visité" xfId="20926" builtinId="9" hidden="1"/>
    <cellStyle name="Lien hypertexte visité" xfId="23454" builtinId="9" hidden="1"/>
    <cellStyle name="Lien hypertexte visité" xfId="22156" builtinId="9" hidden="1"/>
    <cellStyle name="Lien hypertexte visité" xfId="16109" builtinId="9" hidden="1"/>
    <cellStyle name="Lien hypertexte visité" xfId="13496" builtinId="9" hidden="1"/>
    <cellStyle name="Lien hypertexte visité" xfId="11688" builtinId="9" hidden="1"/>
    <cellStyle name="Lien hypertexte visité" xfId="9440" builtinId="9" hidden="1"/>
    <cellStyle name="Lien hypertexte visité" xfId="15245" builtinId="9" hidden="1"/>
    <cellStyle name="Lien hypertexte visité" xfId="22780" builtinId="9" hidden="1"/>
    <cellStyle name="Lien hypertexte visité" xfId="9609" builtinId="9" hidden="1"/>
    <cellStyle name="Lien hypertexte visité" xfId="7496" builtinId="9" hidden="1"/>
    <cellStyle name="Lien hypertexte visité" xfId="16013" builtinId="9" hidden="1"/>
    <cellStyle name="Lien hypertexte visité" xfId="17005" builtinId="9" hidden="1"/>
    <cellStyle name="Lien hypertexte visité" xfId="21310" builtinId="9" hidden="1"/>
    <cellStyle name="Lien hypertexte visité" xfId="12465" builtinId="9" hidden="1"/>
    <cellStyle name="Lien hypertexte visité" xfId="3242" builtinId="9" hidden="1"/>
    <cellStyle name="Lien hypertexte visité" xfId="5135" builtinId="9" hidden="1"/>
    <cellStyle name="Lien hypertexte visité" xfId="1396" builtinId="9" hidden="1"/>
    <cellStyle name="Lien hypertexte visité" xfId="21044" builtinId="9" hidden="1"/>
    <cellStyle name="Lien hypertexte visité" xfId="17447" builtinId="9" hidden="1"/>
    <cellStyle name="Lien hypertexte visité" xfId="9581" builtinId="9" hidden="1"/>
    <cellStyle name="Lien hypertexte visité" xfId="2730" builtinId="9" hidden="1"/>
    <cellStyle name="Lien hypertexte visité" xfId="23710" builtinId="9" hidden="1"/>
    <cellStyle name="Lien hypertexte visité" xfId="14815" builtinId="9" hidden="1"/>
    <cellStyle name="Lien hypertexte visité" xfId="9064" builtinId="9" hidden="1"/>
    <cellStyle name="Lien hypertexte visité" xfId="14525" builtinId="9" hidden="1"/>
    <cellStyle name="Lien hypertexte visité" xfId="21804" builtinId="9" hidden="1"/>
    <cellStyle name="Lien hypertexte visité" xfId="10049" builtinId="9" hidden="1"/>
    <cellStyle name="Lien hypertexte visité" xfId="6424" builtinId="9" hidden="1"/>
    <cellStyle name="Lien hypertexte visité" xfId="743" builtinId="9" hidden="1"/>
    <cellStyle name="Lien hypertexte visité" xfId="4923" builtinId="9" hidden="1"/>
    <cellStyle name="Lien hypertexte visité" xfId="13116" builtinId="9" hidden="1"/>
    <cellStyle name="Lien hypertexte visité" xfId="21142" builtinId="9" hidden="1"/>
    <cellStyle name="Lien hypertexte visité" xfId="4172" builtinId="9" hidden="1"/>
    <cellStyle name="Lien hypertexte visité" xfId="5182" builtinId="9" hidden="1"/>
    <cellStyle name="Lien hypertexte visité" xfId="10623" builtinId="9" hidden="1"/>
    <cellStyle name="Lien hypertexte visité" xfId="3020" builtinId="9" hidden="1"/>
    <cellStyle name="Lien hypertexte visité" xfId="11667" builtinId="9" hidden="1"/>
    <cellStyle name="Lien hypertexte visité" xfId="14723" builtinId="9" hidden="1"/>
    <cellStyle name="Lien hypertexte visité" xfId="5034" builtinId="9" hidden="1"/>
    <cellStyle name="Lien hypertexte visité" xfId="9257" builtinId="9" hidden="1"/>
    <cellStyle name="Lien hypertexte visité" xfId="10032" builtinId="9" hidden="1"/>
    <cellStyle name="Lien hypertexte visité" xfId="16399" builtinId="9" hidden="1"/>
    <cellStyle name="Lien hypertexte visité" xfId="7264" builtinId="9" hidden="1"/>
    <cellStyle name="Lien hypertexte visité" xfId="1802" builtinId="9" hidden="1"/>
    <cellStyle name="Lien hypertexte visité" xfId="14629" builtinId="9" hidden="1"/>
    <cellStyle name="Lien hypertexte visité" xfId="18247" builtinId="9" hidden="1"/>
    <cellStyle name="Lien hypertexte visité" xfId="4092" builtinId="9" hidden="1"/>
    <cellStyle name="Lien hypertexte visité" xfId="9310" builtinId="9" hidden="1"/>
    <cellStyle name="Lien hypertexte visité" xfId="20472" builtinId="9" hidden="1"/>
    <cellStyle name="Lien hypertexte visité" xfId="17185" builtinId="9" hidden="1"/>
    <cellStyle name="Lien hypertexte visité" xfId="2127" builtinId="9" hidden="1"/>
    <cellStyle name="Lien hypertexte visité" xfId="4537" builtinId="9" hidden="1"/>
    <cellStyle name="Lien hypertexte visité" xfId="13077" builtinId="9" hidden="1"/>
    <cellStyle name="Lien hypertexte visité" xfId="14581" builtinId="9" hidden="1"/>
    <cellStyle name="Lien hypertexte visité" xfId="13236" builtinId="9" hidden="1"/>
    <cellStyle name="Lien hypertexte visité" xfId="11252" builtinId="9" hidden="1"/>
    <cellStyle name="Lien hypertexte visité" xfId="7892" builtinId="9" hidden="1"/>
    <cellStyle name="Lien hypertexte visité" xfId="5923" builtinId="9" hidden="1"/>
    <cellStyle name="Lien hypertexte visité" xfId="12261" builtinId="9" hidden="1"/>
    <cellStyle name="Lien hypertexte visité" xfId="179" builtinId="9" hidden="1"/>
    <cellStyle name="Lien hypertexte visité" xfId="7590" builtinId="9" hidden="1"/>
    <cellStyle name="Lien hypertexte visité" xfId="12199" builtinId="9" hidden="1"/>
    <cellStyle name="Lien hypertexte visité" xfId="15737" builtinId="9" hidden="1"/>
    <cellStyle name="Lien hypertexte visité" xfId="21864" builtinId="9" hidden="1"/>
    <cellStyle name="Lien hypertexte visité" xfId="17819" builtinId="9" hidden="1"/>
    <cellStyle name="Lien hypertexte visité" xfId="15233" builtinId="9" hidden="1"/>
    <cellStyle name="Lien hypertexte visité" xfId="24432" builtinId="9" hidden="1"/>
    <cellStyle name="Lien hypertexte visité" xfId="17883" builtinId="9" hidden="1"/>
    <cellStyle name="Lien hypertexte visité" xfId="23114" builtinId="9" hidden="1"/>
    <cellStyle name="Lien hypertexte visité" xfId="22936" builtinId="9" hidden="1"/>
    <cellStyle name="Lien hypertexte visité" xfId="20888" builtinId="9" hidden="1"/>
    <cellStyle name="Lien hypertexte visité" xfId="14649" builtinId="9" hidden="1"/>
    <cellStyle name="Lien hypertexte visité" xfId="13558" builtinId="9" hidden="1"/>
    <cellStyle name="Lien hypertexte visité" xfId="12022" builtinId="9" hidden="1"/>
    <cellStyle name="Lien hypertexte visité" xfId="9398" builtinId="9" hidden="1"/>
    <cellStyle name="Lien hypertexte visité" xfId="16091" builtinId="9" hidden="1"/>
    <cellStyle name="Lien hypertexte visité" xfId="12999" builtinId="9" hidden="1"/>
    <cellStyle name="Lien hypertexte visité" xfId="9079" builtinId="9" hidden="1"/>
    <cellStyle name="Lien hypertexte visité" xfId="6774" builtinId="9" hidden="1"/>
    <cellStyle name="Lien hypertexte visité" xfId="5238" builtinId="9" hidden="1"/>
    <cellStyle name="Lien hypertexte visité" xfId="93" builtinId="9" hidden="1"/>
    <cellStyle name="Lien hypertexte visité" xfId="2238" builtinId="9" hidden="1"/>
    <cellStyle name="Lien hypertexte visité" xfId="4548" builtinId="9" hidden="1"/>
    <cellStyle name="Lien hypertexte visité" xfId="8469" builtinId="9" hidden="1"/>
    <cellStyle name="Lien hypertexte visité" xfId="10773" builtinId="9" hidden="1"/>
    <cellStyle name="Lien hypertexte visité" xfId="9669" builtinId="9" hidden="1"/>
    <cellStyle name="Lien hypertexte visité" xfId="10146" builtinId="9" hidden="1"/>
    <cellStyle name="Lien hypertexte visité" xfId="21618" builtinId="9" hidden="1"/>
    <cellStyle name="Lien hypertexte visité" xfId="20890" builtinId="9" hidden="1"/>
    <cellStyle name="Lien hypertexte visité" xfId="20580" builtinId="9" hidden="1"/>
    <cellStyle name="Lien hypertexte visité" xfId="3421" builtinId="9" hidden="1"/>
    <cellStyle name="Lien hypertexte visité" xfId="5139" builtinId="9" hidden="1"/>
    <cellStyle name="Lien hypertexte visité" xfId="3586" builtinId="9" hidden="1"/>
    <cellStyle name="Lien hypertexte visité" xfId="6567" builtinId="9" hidden="1"/>
    <cellStyle name="Lien hypertexte visité" xfId="8248" builtinId="9" hidden="1"/>
    <cellStyle name="Lien hypertexte visité" xfId="6823" builtinId="9" hidden="1"/>
    <cellStyle name="Lien hypertexte visité" xfId="3850" builtinId="9" hidden="1"/>
    <cellStyle name="Lien hypertexte visité" xfId="4967" builtinId="9" hidden="1"/>
    <cellStyle name="Lien hypertexte visité" xfId="3165" builtinId="9" hidden="1"/>
    <cellStyle name="Lien hypertexte visité" xfId="1997" builtinId="9" hidden="1"/>
    <cellStyle name="Lien hypertexte visité" xfId="693" builtinId="9" hidden="1"/>
    <cellStyle name="Lien hypertexte visité" xfId="12292" builtinId="9" hidden="1"/>
    <cellStyle name="Lien hypertexte visité" xfId="20038" builtinId="9" hidden="1"/>
    <cellStyle name="Lien hypertexte visité" xfId="23686" builtinId="9" hidden="1"/>
    <cellStyle name="Lien hypertexte visité" xfId="6839" builtinId="9" hidden="1"/>
    <cellStyle name="Lien hypertexte visité" xfId="18069" builtinId="9" hidden="1"/>
    <cellStyle name="Lien hypertexte visité" xfId="20388" builtinId="9" hidden="1"/>
    <cellStyle name="Lien hypertexte visité" xfId="21542" builtinId="9" hidden="1"/>
    <cellStyle name="Lien hypertexte visité" xfId="19174" builtinId="9" hidden="1"/>
    <cellStyle name="Lien hypertexte visité" xfId="9860" builtinId="9" hidden="1"/>
    <cellStyle name="Lien hypertexte visité" xfId="197" builtinId="9" hidden="1"/>
    <cellStyle name="Lien hypertexte visité" xfId="2189" builtinId="9" hidden="1"/>
    <cellStyle name="Lien hypertexte visité" xfId="9332" builtinId="9" hidden="1"/>
    <cellStyle name="Lien hypertexte visité" xfId="12340" builtinId="9" hidden="1"/>
    <cellStyle name="Lien hypertexte visité" xfId="14100" builtinId="9" hidden="1"/>
    <cellStyle name="Lien hypertexte visité" xfId="19078" builtinId="9" hidden="1"/>
    <cellStyle name="Lien hypertexte visité" xfId="11941" builtinId="9" hidden="1"/>
    <cellStyle name="Lien hypertexte visité" xfId="7588" builtinId="9" hidden="1"/>
    <cellStyle name="Lien hypertexte visité" xfId="5796" builtinId="9" hidden="1"/>
    <cellStyle name="Lien hypertexte visité" xfId="10661" builtinId="9" hidden="1"/>
    <cellStyle name="Lien hypertexte visité" xfId="6563" builtinId="9" hidden="1"/>
    <cellStyle name="Lien hypertexte visité" xfId="15285" builtinId="9" hidden="1"/>
    <cellStyle name="Lien hypertexte visité" xfId="11972" builtinId="9" hidden="1"/>
    <cellStyle name="Lien hypertexte visité" xfId="10148" builtinId="9" hidden="1"/>
    <cellStyle name="Lien hypertexte visité" xfId="8980" builtinId="9" hidden="1"/>
    <cellStyle name="Lien hypertexte visité" xfId="853" builtinId="9" hidden="1"/>
    <cellStyle name="Lien hypertexte visité" xfId="2097" builtinId="9" hidden="1"/>
    <cellStyle name="Lien hypertexte visité" xfId="12420" builtinId="9" hidden="1"/>
    <cellStyle name="Lien hypertexte visité" xfId="22246" builtinId="9" hidden="1"/>
    <cellStyle name="Lien hypertexte visité" xfId="23300" builtinId="9" hidden="1"/>
    <cellStyle name="Lien hypertexte visité" xfId="19652" builtinId="9" hidden="1"/>
    <cellStyle name="Lien hypertexte visité" xfId="7335" builtinId="9" hidden="1"/>
    <cellStyle name="Lien hypertexte visité" xfId="23780" builtinId="9" hidden="1"/>
    <cellStyle name="Lien hypertexte visité" xfId="22950" builtinId="9" hidden="1"/>
    <cellStyle name="Lien hypertexte visité" xfId="9732" builtinId="9" hidden="1"/>
    <cellStyle name="Lien hypertexte visité" xfId="2289" builtinId="9" hidden="1"/>
    <cellStyle name="Lien hypertexte visité" xfId="237" builtinId="9" hidden="1"/>
    <cellStyle name="Lien hypertexte visité" xfId="3501" builtinId="9" hidden="1"/>
    <cellStyle name="Lien hypertexte visité" xfId="3582" builtinId="9" hidden="1"/>
    <cellStyle name="Lien hypertexte visité" xfId="4567" builtinId="9" hidden="1"/>
    <cellStyle name="Lien hypertexte visité" xfId="6487" builtinId="9" hidden="1"/>
    <cellStyle name="Lien hypertexte visité" xfId="8632" builtinId="9" hidden="1"/>
    <cellStyle name="Lien hypertexte visité" xfId="7495" builtinId="9" hidden="1"/>
    <cellStyle name="Lien hypertexte visité" xfId="3927" builtinId="9" hidden="1"/>
    <cellStyle name="Lien hypertexte visité" xfId="5047" builtinId="9" hidden="1"/>
    <cellStyle name="Lien hypertexte visité" xfId="4787" builtinId="9" hidden="1"/>
    <cellStyle name="Lien hypertexte visité" xfId="14741" builtinId="9" hidden="1"/>
    <cellStyle name="Lien hypertexte visité" xfId="303" builtinId="9" hidden="1"/>
    <cellStyle name="Lien hypertexte visité" xfId="14913" builtinId="9" hidden="1"/>
    <cellStyle name="Lien hypertexte visité" xfId="16251" builtinId="9" hidden="1"/>
    <cellStyle name="Lien hypertexte visité" xfId="2158" builtinId="9" hidden="1"/>
    <cellStyle name="Lien hypertexte visité" xfId="12661" builtinId="9" hidden="1"/>
    <cellStyle name="Lien hypertexte visité" xfId="7957" builtinId="9" hidden="1"/>
    <cellStyle name="Lien hypertexte visité" xfId="6420" builtinId="9" hidden="1"/>
    <cellStyle name="Lien hypertexte visité" xfId="4036" builtinId="9" hidden="1"/>
    <cellStyle name="Lien hypertexte visité" xfId="755" builtinId="9" hidden="1"/>
    <cellStyle name="Lien hypertexte visité" xfId="3344" builtinId="9" hidden="1"/>
    <cellStyle name="Lien hypertexte visité" xfId="5654" builtinId="9" hidden="1"/>
    <cellStyle name="Lien hypertexte visité" xfId="9591" builtinId="9" hidden="1"/>
    <cellStyle name="Lien hypertexte visité" xfId="11895" builtinId="9" hidden="1"/>
    <cellStyle name="Lien hypertexte visité" xfId="13511" builtinId="9" hidden="1"/>
    <cellStyle name="Lien hypertexte visité" xfId="9742" builtinId="9" hidden="1"/>
    <cellStyle name="Lien hypertexte visité" xfId="10766" builtinId="9" hidden="1"/>
    <cellStyle name="Lien hypertexte visité" xfId="12302" builtinId="9" hidden="1"/>
    <cellStyle name="Lien hypertexte visité" xfId="15337" builtinId="9" hidden="1"/>
    <cellStyle name="Lien hypertexte visité" xfId="18392" builtinId="9" hidden="1"/>
    <cellStyle name="Lien hypertexte visité" xfId="21568" builtinId="9" hidden="1"/>
    <cellStyle name="Lien hypertexte visité" xfId="22434" builtinId="9" hidden="1"/>
    <cellStyle name="Lien hypertexte visité" xfId="19362" builtinId="9" hidden="1"/>
    <cellStyle name="Lien hypertexte visité" xfId="17331" builtinId="9" hidden="1"/>
    <cellStyle name="Lien hypertexte visité" xfId="13850" builtinId="9" hidden="1"/>
    <cellStyle name="Lien hypertexte visité" xfId="12730" builtinId="9" hidden="1"/>
    <cellStyle name="Lien hypertexte visité" xfId="19850" builtinId="9" hidden="1"/>
    <cellStyle name="Lien hypertexte visité" xfId="14102" builtinId="9" hidden="1"/>
    <cellStyle name="Lien hypertexte visité" xfId="9494" builtinId="9" hidden="1"/>
    <cellStyle name="Lien hypertexte visité" xfId="10919" builtinId="9" hidden="1"/>
    <cellStyle name="Lien hypertexte visité" xfId="2014" builtinId="9" hidden="1"/>
    <cellStyle name="Lien hypertexte visité" xfId="9189" builtinId="9" hidden="1"/>
    <cellStyle name="Lien hypertexte visité" xfId="13797" builtinId="9" hidden="1"/>
    <cellStyle name="Lien hypertexte visité" xfId="8340" builtinId="9" hidden="1"/>
    <cellStyle name="Lien hypertexte visité" xfId="9652" builtinId="9" hidden="1"/>
    <cellStyle name="Lien hypertexte visité" xfId="11620" builtinId="9" hidden="1"/>
    <cellStyle name="Lien hypertexte visité" xfId="15477" builtinId="9" hidden="1"/>
    <cellStyle name="Lien hypertexte visité" xfId="19556" builtinId="9" hidden="1"/>
    <cellStyle name="Lien hypertexte visité" xfId="15063" builtinId="9" hidden="1"/>
    <cellStyle name="Lien hypertexte visité" xfId="1334" builtinId="9" hidden="1"/>
    <cellStyle name="Lien hypertexte visité" xfId="4961" builtinId="9" hidden="1"/>
    <cellStyle name="Lien hypertexte visité" xfId="21818" builtinId="9" hidden="1"/>
    <cellStyle name="Lien hypertexte visité" xfId="15467" builtinId="9" hidden="1"/>
    <cellStyle name="Lien hypertexte visité" xfId="6798" builtinId="9" hidden="1"/>
    <cellStyle name="Lien hypertexte visité" xfId="6652" builtinId="9" hidden="1"/>
    <cellStyle name="Lien hypertexte visité" xfId="3141" builtinId="9" hidden="1"/>
    <cellStyle name="Lien hypertexte visité" xfId="357" builtinId="9" hidden="1"/>
    <cellStyle name="Lien hypertexte visité" xfId="3513" builtinId="9" hidden="1"/>
    <cellStyle name="Lien hypertexte visité" xfId="8256" builtinId="9" hidden="1"/>
    <cellStyle name="Lien hypertexte visité" xfId="1690" builtinId="9" hidden="1"/>
    <cellStyle name="Lien hypertexte visité" xfId="6948" builtinId="9" hidden="1"/>
    <cellStyle name="Lien hypertexte visité" xfId="7027" builtinId="9" hidden="1"/>
    <cellStyle name="Lien hypertexte visité" xfId="8500" builtinId="9" hidden="1"/>
    <cellStyle name="Lien hypertexte visité" xfId="10836" builtinId="9" hidden="1"/>
    <cellStyle name="Lien hypertexte visité" xfId="15349" builtinId="9" hidden="1"/>
    <cellStyle name="Lien hypertexte visité" xfId="20004" builtinId="9" hidden="1"/>
    <cellStyle name="Lien hypertexte visité" xfId="24518" builtinId="9" hidden="1"/>
    <cellStyle name="Lien hypertexte visité" xfId="14933" builtinId="9" hidden="1"/>
    <cellStyle name="Lien hypertexte visité" xfId="1937" builtinId="9" hidden="1"/>
    <cellStyle name="Lien hypertexte visité" xfId="125" builtinId="9" hidden="1"/>
    <cellStyle name="Lien hypertexte visité" xfId="4963" builtinId="9" hidden="1"/>
    <cellStyle name="Lien hypertexte visité" xfId="5015" builtinId="9" hidden="1"/>
    <cellStyle name="Lien hypertexte visité" xfId="2897" builtinId="9" hidden="1"/>
    <cellStyle name="Lien hypertexte visité" xfId="8600" builtinId="9" hidden="1"/>
    <cellStyle name="Lien hypertexte visité" xfId="6855" builtinId="9" hidden="1"/>
    <cellStyle name="Lien hypertexte visité" xfId="4279" builtinId="9" hidden="1"/>
    <cellStyle name="Lien hypertexte visité" xfId="3814" builtinId="9" hidden="1"/>
    <cellStyle name="Lien hypertexte visité" xfId="1629" builtinId="9" hidden="1"/>
    <cellStyle name="Lien hypertexte visité" xfId="1168" builtinId="9" hidden="1"/>
    <cellStyle name="Lien hypertexte visité" xfId="19942" builtinId="9" hidden="1"/>
    <cellStyle name="Lien hypertexte visité" xfId="22886" builtinId="9" hidden="1"/>
    <cellStyle name="Lien hypertexte visité" xfId="21668" builtinId="9" hidden="1"/>
    <cellStyle name="Lien hypertexte visité" xfId="14292" builtinId="9" hidden="1"/>
    <cellStyle name="Lien hypertexte visité" xfId="11956" builtinId="9" hidden="1"/>
    <cellStyle name="Lien hypertexte visité" xfId="9620" builtinId="9" hidden="1"/>
    <cellStyle name="Lien hypertexte visité" xfId="5523" builtinId="9" hidden="1"/>
    <cellStyle name="Lien hypertexte visité" xfId="9829" builtinId="9" hidden="1"/>
    <cellStyle name="Lien hypertexte visité" xfId="4708" builtinId="9" hidden="1"/>
    <cellStyle name="Lien hypertexte visité" xfId="12839" builtinId="9" hidden="1"/>
    <cellStyle name="Lien hypertexte visité" xfId="9582" builtinId="9" hidden="1"/>
    <cellStyle name="Lien hypertexte visité" xfId="15569" builtinId="9" hidden="1"/>
    <cellStyle name="Lien hypertexte visité" xfId="23728" builtinId="9" hidden="1"/>
    <cellStyle name="Lien hypertexte visité" xfId="14106" builtinId="9" hidden="1"/>
    <cellStyle name="Lien hypertexte visité" xfId="24602" builtinId="9" hidden="1"/>
    <cellStyle name="Lien hypertexte visité" xfId="20770" builtinId="9" hidden="1"/>
    <cellStyle name="Lien hypertexte visité" xfId="24418" builtinId="9" hidden="1"/>
    <cellStyle name="Lien hypertexte visité" xfId="22528" builtinId="9" hidden="1"/>
    <cellStyle name="Lien hypertexte visité" xfId="15273" builtinId="9" hidden="1"/>
    <cellStyle name="Lien hypertexte visité" xfId="13526" builtinId="9" hidden="1"/>
    <cellStyle name="Lien hypertexte visité" xfId="11702" builtinId="9" hidden="1"/>
    <cellStyle name="Lien hypertexte visité" xfId="8750" builtinId="9" hidden="1"/>
    <cellStyle name="Lien hypertexte visité" xfId="13975" builtinId="9" hidden="1"/>
    <cellStyle name="Lien hypertexte visité" xfId="11255" builtinId="9" hidden="1"/>
    <cellStyle name="Lien hypertexte visité" xfId="6806" builtinId="9" hidden="1"/>
    <cellStyle name="Lien hypertexte visité" xfId="4086" builtinId="9" hidden="1"/>
    <cellStyle name="Lien hypertexte visité" xfId="2032" builtinId="9" hidden="1"/>
    <cellStyle name="Lien hypertexte visité" xfId="4596" builtinId="9" hidden="1"/>
    <cellStyle name="Lien hypertexte visité" xfId="6292" builtinId="9" hidden="1"/>
    <cellStyle name="Lien hypertexte visité" xfId="9029" builtinId="9" hidden="1"/>
    <cellStyle name="Lien hypertexte visité" xfId="13461" builtinId="9" hidden="1"/>
    <cellStyle name="Lien hypertexte visité" xfId="17879" builtinId="9" hidden="1"/>
    <cellStyle name="Lien hypertexte visité" xfId="4865" builtinId="9" hidden="1"/>
    <cellStyle name="Lien hypertexte visité" xfId="2331" builtinId="9" hidden="1"/>
    <cellStyle name="Lien hypertexte visité" xfId="1895" builtinId="9" hidden="1"/>
    <cellStyle name="Lien hypertexte visité" xfId="849" builtinId="9" hidden="1"/>
    <cellStyle name="Lien hypertexte visité" xfId="7557" builtinId="9" hidden="1"/>
    <cellStyle name="Lien hypertexte visité" xfId="6097" builtinId="9" hidden="1"/>
    <cellStyle name="Lien hypertexte visité" xfId="8810" builtinId="9" hidden="1"/>
    <cellStyle name="Lien hypertexte visité" xfId="17483" builtinId="9" hidden="1"/>
    <cellStyle name="Lien hypertexte visité" xfId="22698" builtinId="9" hidden="1"/>
    <cellStyle name="Lien hypertexte visité" xfId="21064" builtinId="9" hidden="1"/>
    <cellStyle name="Lien hypertexte visité" xfId="13362" builtinId="9" hidden="1"/>
    <cellStyle name="Lien hypertexte visité" xfId="10630" builtinId="9" hidden="1"/>
    <cellStyle name="Lien hypertexte visité" xfId="8926" builtinId="9" hidden="1"/>
    <cellStyle name="Lien hypertexte visité" xfId="8783" builtinId="9" hidden="1"/>
    <cellStyle name="Lien hypertexte visité" xfId="5710" builtinId="9" hidden="1"/>
    <cellStyle name="Lien hypertexte visité" xfId="1608" builtinId="9" hidden="1"/>
    <cellStyle name="Lien hypertexte visité" xfId="6204" builtinId="9" hidden="1"/>
    <cellStyle name="Lien hypertexte visité" xfId="10301" builtinId="9" hidden="1"/>
    <cellStyle name="Lien hypertexte visité" xfId="14397" builtinId="9" hidden="1"/>
    <cellStyle name="Lien hypertexte visité" xfId="21652" builtinId="9" hidden="1"/>
    <cellStyle name="Lien hypertexte visité" xfId="13996" builtinId="9" hidden="1"/>
    <cellStyle name="Lien hypertexte visité" xfId="10924" builtinId="9" hidden="1"/>
    <cellStyle name="Lien hypertexte visité" xfId="2725" builtinId="9" hidden="1"/>
    <cellStyle name="Lien hypertexte visité" xfId="805" builtinId="9" hidden="1"/>
    <cellStyle name="Lien hypertexte visité" xfId="5087" builtinId="9" hidden="1"/>
    <cellStyle name="Lien hypertexte visité" xfId="2186" builtinId="9" hidden="1"/>
    <cellStyle name="Lien hypertexte visité" xfId="4920" builtinId="9" hidden="1"/>
    <cellStyle name="Lien hypertexte visité" xfId="7648" builtinId="9" hidden="1"/>
    <cellStyle name="Lien hypertexte visité" xfId="12433" builtinId="9" hidden="1"/>
    <cellStyle name="Lien hypertexte visité" xfId="15807" builtinId="9" hidden="1"/>
    <cellStyle name="Lien hypertexte visité" xfId="19198" builtinId="9" hidden="1"/>
    <cellStyle name="Lien hypertexte visité" xfId="19100" builtinId="9" hidden="1"/>
    <cellStyle name="Lien hypertexte visité" xfId="15709" builtinId="9" hidden="1"/>
    <cellStyle name="Lien hypertexte visité" xfId="12376" builtinId="9" hidden="1"/>
    <cellStyle name="Lien hypertexte visité" xfId="12608" builtinId="9" hidden="1"/>
    <cellStyle name="Lien hypertexte visité" xfId="22158" builtinId="9" hidden="1"/>
    <cellStyle name="Lien hypertexte visité" xfId="10153" builtinId="9" hidden="1"/>
    <cellStyle name="Lien hypertexte visité" xfId="8507" builtinId="9" hidden="1"/>
    <cellStyle name="Lien hypertexte visité" xfId="6162" builtinId="9" hidden="1"/>
    <cellStyle name="Lien hypertexte visité" xfId="4698" builtinId="9" hidden="1"/>
    <cellStyle name="Lien hypertexte visité" xfId="7074" builtinId="9" hidden="1"/>
    <cellStyle name="Lien hypertexte visité" xfId="11595" builtinId="9" hidden="1"/>
    <cellStyle name="Lien hypertexte visité" xfId="10531" builtinId="9" hidden="1"/>
    <cellStyle name="Lien hypertexte visité" xfId="16611" builtinId="9" hidden="1"/>
    <cellStyle name="Lien hypertexte visité" xfId="13667" builtinId="9" hidden="1"/>
    <cellStyle name="Lien hypertexte visité" xfId="10611" builtinId="9" hidden="1"/>
    <cellStyle name="Lien hypertexte visité" xfId="859" builtinId="9" hidden="1"/>
    <cellStyle name="Lien hypertexte visité" xfId="3348" builtinId="9" hidden="1"/>
    <cellStyle name="Lien hypertexte visité" xfId="5114" builtinId="9" hidden="1"/>
    <cellStyle name="Lien hypertexte visité" xfId="1345" builtinId="9" hidden="1"/>
    <cellStyle name="Lien hypertexte visité" xfId="9214" builtinId="9" hidden="1"/>
    <cellStyle name="Lien hypertexte visité" xfId="14859" builtinId="9" hidden="1"/>
    <cellStyle name="Lien hypertexte visité" xfId="10239" builtinId="9" hidden="1"/>
    <cellStyle name="Lien hypertexte visité" xfId="7518" builtinId="9" hidden="1"/>
    <cellStyle name="Lien hypertexte visité" xfId="4798" builtinId="9" hidden="1"/>
    <cellStyle name="Lien hypertexte visité" xfId="1151" builtinId="9" hidden="1" customBuiltin="1"/>
    <cellStyle name="Lien hypertexte visité" xfId="3888" builtinId="9" hidden="1"/>
    <cellStyle name="Lien hypertexte visité" xfId="5580" builtinId="9" hidden="1"/>
    <cellStyle name="Lien hypertexte visité" xfId="11053" builtinId="9" hidden="1"/>
    <cellStyle name="Lien hypertexte visité" xfId="12749" builtinId="9" hidden="1"/>
    <cellStyle name="Lien hypertexte visité" xfId="16487" builtinId="9" hidden="1"/>
    <cellStyle name="Lien hypertexte visité" xfId="23220" builtinId="9" hidden="1"/>
    <cellStyle name="Lien hypertexte visité" xfId="17797" builtinId="9" hidden="1"/>
    <cellStyle name="Lien hypertexte visité" xfId="13404" builtinId="9" hidden="1"/>
    <cellStyle name="Lien hypertexte visité" xfId="8988" builtinId="9" hidden="1"/>
    <cellStyle name="Lien hypertexte visité" xfId="6235" builtinId="9" hidden="1"/>
    <cellStyle name="Lien hypertexte visité" xfId="4539" builtinId="9" hidden="1"/>
    <cellStyle name="Lien hypertexte visité" xfId="2089" builtinId="9" hidden="1"/>
    <cellStyle name="Lien hypertexte visité" xfId="4143" builtinId="9" hidden="1"/>
    <cellStyle name="Lien hypertexte visité" xfId="6863" builtinId="9" hidden="1"/>
    <cellStyle name="Lien hypertexte visité" xfId="1898" builtinId="9" hidden="1"/>
    <cellStyle name="Lien hypertexte visité" xfId="3715" builtinId="9" hidden="1"/>
    <cellStyle name="Lien hypertexte visité" xfId="5528" builtinId="9" hidden="1"/>
    <cellStyle name="Lien hypertexte visité" xfId="8497" builtinId="9" hidden="1"/>
    <cellStyle name="Lien hypertexte visité" xfId="10305" builtinId="9" hidden="1"/>
    <cellStyle name="Lien hypertexte visité" xfId="11673" builtinId="9" hidden="1"/>
    <cellStyle name="Lien hypertexte visité" xfId="16127" builtinId="9" hidden="1"/>
    <cellStyle name="Lien hypertexte visité" xfId="18366" builtinId="9" hidden="1"/>
    <cellStyle name="Lien hypertexte visité" xfId="22046" builtinId="9" hidden="1"/>
    <cellStyle name="Lien hypertexte visité" xfId="21292" builtinId="9" hidden="1"/>
    <cellStyle name="Lien hypertexte visité" xfId="17645" builtinId="9" hidden="1"/>
    <cellStyle name="Lien hypertexte visité" xfId="14264" builtinId="9" hidden="1"/>
    <cellStyle name="Lien hypertexte visité" xfId="11088" builtinId="9" hidden="1"/>
    <cellStyle name="Lien hypertexte visité" xfId="9256" builtinId="9" hidden="1"/>
    <cellStyle name="Lien hypertexte visité" xfId="11040" builtinId="9" hidden="1"/>
    <cellStyle name="Lien hypertexte visité" xfId="19790" builtinId="9" hidden="1"/>
    <cellStyle name="Lien hypertexte visité" xfId="13769" builtinId="9" hidden="1"/>
    <cellStyle name="Lien hypertexte visité" xfId="8329" builtinId="9" hidden="1"/>
    <cellStyle name="Lien hypertexte visité" xfId="9888" builtinId="9" hidden="1"/>
    <cellStyle name="Lien hypertexte visité" xfId="13968" builtinId="9" hidden="1"/>
    <cellStyle name="Lien hypertexte visité" xfId="24332" builtinId="9" hidden="1"/>
    <cellStyle name="Lien hypertexte visité" xfId="10841" builtinId="9" hidden="1"/>
    <cellStyle name="Lien hypertexte visité" xfId="5376" builtinId="9" hidden="1"/>
    <cellStyle name="Lien hypertexte visité" xfId="1962" builtinId="9" hidden="1"/>
    <cellStyle name="Lien hypertexte visité" xfId="6139" builtinId="9" hidden="1"/>
    <cellStyle name="Lien hypertexte visité" xfId="12284" builtinId="9" hidden="1"/>
    <cellStyle name="Lien hypertexte visité" xfId="22806" builtinId="9" hidden="1"/>
    <cellStyle name="Lien hypertexte visité" xfId="5356" builtinId="9" hidden="1"/>
    <cellStyle name="Lien hypertexte visité" xfId="3998" builtinId="9" hidden="1"/>
    <cellStyle name="Lien hypertexte visité" xfId="12191" builtinId="9" hidden="1"/>
    <cellStyle name="Lien hypertexte visité" xfId="5941" builtinId="9" hidden="1"/>
    <cellStyle name="Lien hypertexte visité" xfId="4605" builtinId="9" hidden="1"/>
    <cellStyle name="Lien hypertexte visité" xfId="9354" builtinId="9" hidden="1"/>
    <cellStyle name="Lien hypertexte visité" xfId="22864" builtinId="9" hidden="1"/>
    <cellStyle name="Lien hypertexte visité" xfId="20474" builtinId="9" hidden="1"/>
    <cellStyle name="Lien hypertexte visité" xfId="19346" builtinId="9" hidden="1"/>
    <cellStyle name="Lien hypertexte visité" xfId="24426" builtinId="9" hidden="1"/>
    <cellStyle name="Lien hypertexte visité" xfId="21688" builtinId="9" hidden="1"/>
    <cellStyle name="Lien hypertexte visité" xfId="18568" builtinId="9" hidden="1"/>
    <cellStyle name="Lien hypertexte visité" xfId="13822" builtinId="9" hidden="1"/>
    <cellStyle name="Lien hypertexte visité" xfId="12262" builtinId="9" hidden="1"/>
    <cellStyle name="Lien hypertexte visité" xfId="11282" builtinId="9" hidden="1"/>
    <cellStyle name="Lien hypertexte visité" xfId="19128" builtinId="9" hidden="1"/>
    <cellStyle name="Lien hypertexte visité" xfId="19834" builtinId="9" hidden="1"/>
    <cellStyle name="Lien hypertexte visité" xfId="3483" builtinId="9" hidden="1"/>
    <cellStyle name="Lien hypertexte visité" xfId="545" builtinId="9" hidden="1"/>
    <cellStyle name="Lien hypertexte visité" xfId="1955" builtinId="9" hidden="1"/>
    <cellStyle name="Lien hypertexte visité" xfId="3419" builtinId="9" hidden="1"/>
    <cellStyle name="Lien hypertexte visité" xfId="8098" builtinId="9" hidden="1"/>
    <cellStyle name="Lien hypertexte visité" xfId="1206" builtinId="9" hidden="1"/>
    <cellStyle name="Lien hypertexte visité" xfId="6997" builtinId="9" hidden="1"/>
    <cellStyle name="Lien hypertexte visité" xfId="2747" builtinId="9" hidden="1"/>
    <cellStyle name="Lien hypertexte visité" xfId="4965" builtinId="9" hidden="1"/>
    <cellStyle name="Lien hypertexte visité" xfId="6157" builtinId="9" hidden="1"/>
    <cellStyle name="Lien hypertexte visité" xfId="10970" builtinId="9" hidden="1"/>
    <cellStyle name="Lien hypertexte visité" xfId="4273" builtinId="9" hidden="1"/>
    <cellStyle name="Lien hypertexte visité" xfId="5625" builtinId="9" hidden="1"/>
    <cellStyle name="Lien hypertexte visité" xfId="2391" builtinId="9" hidden="1"/>
    <cellStyle name="Lien hypertexte visité" xfId="7822" builtinId="9" hidden="1"/>
    <cellStyle name="Lien hypertexte visité" xfId="6905" builtinId="9" hidden="1"/>
    <cellStyle name="Lien hypertexte visité" xfId="5065" builtinId="9" hidden="1"/>
    <cellStyle name="Lien hypertexte visité" xfId="2787" builtinId="9" hidden="1"/>
    <cellStyle name="Lien hypertexte visité" xfId="3523" builtinId="9" hidden="1"/>
    <cellStyle name="Lien hypertexte visité" xfId="921" builtinId="9" hidden="1"/>
    <cellStyle name="Lien hypertexte visité" xfId="1655" builtinId="9" hidden="1"/>
    <cellStyle name="Lien hypertexte visité" xfId="6289" builtinId="9" hidden="1"/>
    <cellStyle name="Lien hypertexte visité" xfId="11878" builtinId="9" hidden="1"/>
    <cellStyle name="Lien hypertexte visité" xfId="10430" builtinId="9" hidden="1"/>
    <cellStyle name="Lien hypertexte visité" xfId="11410" builtinId="9" hidden="1"/>
    <cellStyle name="Lien hypertexte visité" xfId="14537" builtinId="9" hidden="1"/>
    <cellStyle name="Lien hypertexte visité" xfId="16497" builtinId="9" hidden="1"/>
    <cellStyle name="Lien hypertexte visité" xfId="19592" builtinId="9" hidden="1"/>
    <cellStyle name="Lien hypertexte visité" xfId="24170" builtinId="9" hidden="1"/>
    <cellStyle name="Lien hypertexte visité" xfId="21058" builtinId="9" hidden="1"/>
    <cellStyle name="Lien hypertexte visité" xfId="17955" builtinId="9" hidden="1"/>
    <cellStyle name="Lien hypertexte visité" xfId="18640" builtinId="9" hidden="1"/>
    <cellStyle name="Lien hypertexte visité" xfId="11914" builtinId="9" hidden="1"/>
    <cellStyle name="Lien hypertexte visité" xfId="8970" builtinId="9" hidden="1"/>
    <cellStyle name="Lien hypertexte visité" xfId="6381" builtinId="9" hidden="1"/>
    <cellStyle name="Lien hypertexte visité" xfId="8722" builtinId="9" hidden="1"/>
    <cellStyle name="Lien hypertexte visité" xfId="8479" builtinId="9" hidden="1"/>
    <cellStyle name="Lien hypertexte visité" xfId="5996" builtinId="9" hidden="1"/>
    <cellStyle name="Lien hypertexte visité" xfId="14021" builtinId="9" hidden="1"/>
    <cellStyle name="Lien hypertexte visité" xfId="17271" builtinId="9" hidden="1"/>
    <cellStyle name="Lien hypertexte visité" xfId="4757" builtinId="9" hidden="1"/>
    <cellStyle name="Lien hypertexte visité" xfId="6365" builtinId="9" hidden="1"/>
    <cellStyle name="Lien hypertexte visité" xfId="7537" builtinId="9" hidden="1"/>
    <cellStyle name="Lien hypertexte visité" xfId="3876" builtinId="9" hidden="1"/>
    <cellStyle name="Lien hypertexte visité" xfId="2191" builtinId="9" hidden="1"/>
    <cellStyle name="Lien hypertexte visité" xfId="1202" builtinId="9" hidden="1"/>
    <cellStyle name="Lien hypertexte visité" xfId="2623" builtinId="9" hidden="1"/>
    <cellStyle name="Lien hypertexte visité" xfId="7741" builtinId="9" hidden="1"/>
    <cellStyle name="Lien hypertexte visité" xfId="6205" builtinId="9" hidden="1"/>
    <cellStyle name="Lien hypertexte visité" xfId="9962" builtinId="9" hidden="1"/>
    <cellStyle name="Lien hypertexte visité" xfId="16161" builtinId="9" hidden="1"/>
    <cellStyle name="Lien hypertexte visité" xfId="22800" builtinId="9" hidden="1"/>
    <cellStyle name="Lien hypertexte visité" xfId="21586" builtinId="9" hidden="1"/>
    <cellStyle name="Lien hypertexte visité" xfId="23810" builtinId="9" hidden="1"/>
    <cellStyle name="Lien hypertexte visité" xfId="21664" builtinId="9" hidden="1"/>
    <cellStyle name="Lien hypertexte visité" xfId="15369" builtinId="9" hidden="1"/>
    <cellStyle name="Lien hypertexte visité" xfId="13150" builtinId="9" hidden="1"/>
    <cellStyle name="Lien hypertexte visité" xfId="11270" builtinId="9" hidden="1"/>
    <cellStyle name="Lien hypertexte visité" xfId="8370" builtinId="9" hidden="1"/>
    <cellStyle name="Lien hypertexte visité" xfId="13327" builtinId="9" hidden="1"/>
    <cellStyle name="Lien hypertexte visité" xfId="11663" builtinId="9" hidden="1"/>
    <cellStyle name="Lien hypertexte visité" xfId="6158" builtinId="9" hidden="1"/>
    <cellStyle name="Lien hypertexte visité" xfId="4110" builtinId="9" hidden="1"/>
    <cellStyle name="Lien hypertexte visité" xfId="1415" builtinId="9" hidden="1"/>
    <cellStyle name="Lien hypertexte visité" xfId="4220" builtinId="9" hidden="1"/>
    <cellStyle name="Lien hypertexte visité" xfId="6908" builtinId="9" hidden="1"/>
    <cellStyle name="Lien hypertexte visité" xfId="9597" builtinId="9" hidden="1"/>
    <cellStyle name="Lien hypertexte visité" xfId="14077" builtinId="9" hidden="1"/>
    <cellStyle name="Lien hypertexte visité" xfId="18998" builtinId="9" hidden="1"/>
    <cellStyle name="Lien hypertexte visité" xfId="23094" builtinId="9" hidden="1"/>
    <cellStyle name="Lien hypertexte visité" xfId="15141" builtinId="9" hidden="1"/>
    <cellStyle name="Lien hypertexte visité" xfId="13164" builtinId="9" hidden="1"/>
    <cellStyle name="Lien hypertexte visité" xfId="10348" builtinId="9" hidden="1"/>
    <cellStyle name="Lien hypertexte visité" xfId="5995" builtinId="9" hidden="1"/>
    <cellStyle name="Lien hypertexte visité" xfId="3173" builtinId="9" hidden="1"/>
    <cellStyle name="Lien hypertexte visité" xfId="209" builtinId="9" hidden="1"/>
    <cellStyle name="Lien hypertexte visité" xfId="5407" builtinId="9" hidden="1"/>
    <cellStyle name="Lien hypertexte visité" xfId="8224" builtinId="9" hidden="1"/>
    <cellStyle name="Lien hypertexte visité" xfId="727" builtinId="9" hidden="1"/>
    <cellStyle name="Lien hypertexte visité" xfId="4624" builtinId="9" hidden="1"/>
    <cellStyle name="Lien hypertexte visité" xfId="5728" builtinId="9" hidden="1"/>
    <cellStyle name="Lien hypertexte visité" xfId="7520" builtinId="9" hidden="1"/>
    <cellStyle name="Lien hypertexte visité" xfId="10769" builtinId="9" hidden="1"/>
    <cellStyle name="Lien hypertexte visité" xfId="12561" builtinId="9" hidden="1"/>
    <cellStyle name="Lien hypertexte visité" xfId="14353" builtinId="9" hidden="1"/>
    <cellStyle name="Lien hypertexte visité" xfId="20142" builtinId="9" hidden="1"/>
    <cellStyle name="Lien hypertexte visité" xfId="23726" builtinId="9" hidden="1"/>
    <cellStyle name="Lien hypertexte visité" xfId="23116" builtinId="9" hidden="1"/>
    <cellStyle name="Lien hypertexte visité" xfId="15965" builtinId="9" hidden="1"/>
    <cellStyle name="Lien hypertexte visité" xfId="13872" builtinId="9" hidden="1"/>
    <cellStyle name="Lien hypertexte visité" xfId="11992" builtinId="9" hidden="1"/>
    <cellStyle name="Lien hypertexte visité" xfId="9096" builtinId="9" hidden="1"/>
    <cellStyle name="Lien hypertexte visité" xfId="13760" builtinId="9" hidden="1"/>
    <cellStyle name="Lien hypertexte visité" xfId="23740" builtinId="9" hidden="1"/>
    <cellStyle name="Lien hypertexte visité" xfId="11049" builtinId="9" hidden="1"/>
    <cellStyle name="Lien hypertexte visité" xfId="5672" builtinId="9" hidden="1"/>
    <cellStyle name="Lien hypertexte visité" xfId="1570" builtinId="9" hidden="1"/>
    <cellStyle name="Lien hypertexte visité" xfId="6714" builtinId="9" hidden="1"/>
    <cellStyle name="Lien hypertexte visité" xfId="5762" builtinId="9" hidden="1"/>
    <cellStyle name="Lien hypertexte visité" xfId="4226" builtinId="9" hidden="1"/>
    <cellStyle name="Lien hypertexte visité" xfId="1660" builtinId="9" hidden="1"/>
    <cellStyle name="Lien hypertexte visité" xfId="6306" builtinId="9" hidden="1"/>
    <cellStyle name="Lien hypertexte visité" xfId="11835" builtinId="9" hidden="1"/>
    <cellStyle name="Lien hypertexte visité" xfId="12067" builtinId="9" hidden="1"/>
    <cellStyle name="Lien hypertexte visité" xfId="13131" builtinId="9" hidden="1"/>
    <cellStyle name="Lien hypertexte visité" xfId="14595" builtinId="9" hidden="1"/>
    <cellStyle name="Lien hypertexte visité" xfId="13299" builtinId="9" hidden="1"/>
    <cellStyle name="Lien hypertexte visité" xfId="14227" builtinId="9" hidden="1"/>
    <cellStyle name="Lien hypertexte visité" xfId="10443" builtinId="9" hidden="1"/>
    <cellStyle name="Lien hypertexte visité" xfId="9059" builtinId="9" hidden="1"/>
    <cellStyle name="Lien hypertexte visité" xfId="1339" builtinId="9" hidden="1"/>
    <cellStyle name="Lien hypertexte visité" xfId="2876" builtinId="9" hidden="1"/>
    <cellStyle name="Lien hypertexte visité" xfId="5442" builtinId="9" hidden="1"/>
    <cellStyle name="Lien hypertexte visité" xfId="6978" builtinId="9" hidden="1"/>
    <cellStyle name="Lien hypertexte visité" xfId="7931" builtinId="9" hidden="1"/>
    <cellStyle name="Lien hypertexte visité" xfId="5832" builtinId="9" hidden="1"/>
    <cellStyle name="Lien hypertexte visité" xfId="8446" builtinId="9" hidden="1"/>
    <cellStyle name="Lien hypertexte visité" xfId="14463" builtinId="9" hidden="1"/>
    <cellStyle name="Lien hypertexte visité" xfId="11487" builtinId="9" hidden="1"/>
    <cellStyle name="Lien hypertexte visité" xfId="9695" builtinId="9" hidden="1"/>
    <cellStyle name="Lien hypertexte visité" xfId="7806" builtinId="9" hidden="1"/>
    <cellStyle name="Lien hypertexte visité" xfId="4926" builtinId="9" hidden="1"/>
    <cellStyle name="Lien hypertexte visité" xfId="3032" builtinId="9" hidden="1"/>
    <cellStyle name="Lien hypertexte visité" xfId="1656" builtinId="9" hidden="1"/>
    <cellStyle name="Lien hypertexte visité" xfId="3078" builtinId="9" hidden="1"/>
    <cellStyle name="Lien hypertexte visité" xfId="4268" builtinId="9" hidden="1"/>
    <cellStyle name="Lien hypertexte visité" xfId="6060" builtinId="9" hidden="1"/>
    <cellStyle name="Lien hypertexte visité" xfId="9037" builtinId="9" hidden="1"/>
    <cellStyle name="Lien hypertexte visité" xfId="10829" builtinId="9" hidden="1"/>
    <cellStyle name="Lien hypertexte visité" xfId="12621" builtinId="9" hidden="1"/>
    <cellStyle name="Lien hypertexte visité" xfId="17255" builtinId="9" hidden="1"/>
    <cellStyle name="Lien hypertexte visité" xfId="20822" builtinId="9" hidden="1"/>
    <cellStyle name="Lien hypertexte visité" xfId="22998" builtinId="9" hidden="1"/>
    <cellStyle name="Lien hypertexte visité" xfId="18868" builtinId="9" hidden="1"/>
    <cellStyle name="Lien hypertexte visité" xfId="16645" builtinId="9" hidden="1"/>
    <cellStyle name="Lien hypertexte visité" xfId="13724" builtinId="9" hidden="1"/>
    <cellStyle name="Lien hypertexte visité" xfId="10556" builtinId="9" hidden="1"/>
    <cellStyle name="Lien hypertexte visité" xfId="8764" builtinId="9" hidden="1"/>
    <cellStyle name="Lien hypertexte visité" xfId="6875" builtinId="9" hidden="1"/>
    <cellStyle name="Lien hypertexte visité" xfId="3995" builtinId="9" hidden="1"/>
    <cellStyle name="Lien hypertexte visité" xfId="2101" builtinId="9" hidden="1"/>
    <cellStyle name="Lien hypertexte visité" xfId="797" builtinId="9" hidden="1"/>
    <cellStyle name="Lien hypertexte visité" xfId="3826" builtinId="9" hidden="1"/>
    <cellStyle name="Lien hypertexte visité" xfId="5199" builtinId="9" hidden="1"/>
    <cellStyle name="Lien hypertexte visité" xfId="6991" builtinId="9" hidden="1"/>
    <cellStyle name="Lien hypertexte visité" xfId="839" builtinId="9" hidden="1"/>
    <cellStyle name="Lien hypertexte visité" xfId="2194" builtinId="9" hidden="1"/>
    <cellStyle name="Lien hypertexte visité" xfId="3386" builtinId="9" hidden="1"/>
    <cellStyle name="Lien hypertexte visité" xfId="5400" builtinId="9" hidden="1"/>
    <cellStyle name="Lien hypertexte visité" xfId="6592" builtinId="9" hidden="1"/>
    <cellStyle name="Lien hypertexte visité" xfId="7488" builtinId="9" hidden="1"/>
    <cellStyle name="Lien hypertexte visité" xfId="9945" builtinId="9" hidden="1"/>
    <cellStyle name="Lien hypertexte visité" xfId="10689" builtinId="9" hidden="1"/>
    <cellStyle name="Lien hypertexte visité" xfId="11929" builtinId="9" hidden="1"/>
    <cellStyle name="Lien hypertexte visité" xfId="13873" builtinId="9" hidden="1"/>
    <cellStyle name="Lien hypertexte visité" xfId="15743" builtinId="9" hidden="1"/>
    <cellStyle name="Lien hypertexte visité" xfId="18127" builtinId="9" hidden="1"/>
    <cellStyle name="Lien hypertexte visité" xfId="22302" builtinId="9" hidden="1"/>
    <cellStyle name="Lien hypertexte visité" xfId="24412" builtinId="9" hidden="1"/>
    <cellStyle name="Lien hypertexte visité" xfId="22924" builtinId="9" hidden="1"/>
    <cellStyle name="Lien hypertexte visité" xfId="18077" builtinId="9" hidden="1"/>
    <cellStyle name="Lien hypertexte visité" xfId="16573" builtinId="9" hidden="1"/>
    <cellStyle name="Lien hypertexte visité" xfId="14352" builtinId="9" hidden="1"/>
    <cellStyle name="Lien hypertexte visité" xfId="12200" builtinId="9" hidden="1"/>
    <cellStyle name="Lien hypertexte visité" xfId="11000" builtinId="9" hidden="1"/>
    <cellStyle name="Lien hypertexte visité" xfId="9808" builtinId="9" hidden="1"/>
    <cellStyle name="Lien hypertexte visité" xfId="12000" builtinId="9" hidden="1"/>
    <cellStyle name="Lien hypertexte visité" xfId="16653" builtinId="9" hidden="1"/>
    <cellStyle name="Lien hypertexte visité" xfId="21372" builtinId="9" hidden="1"/>
    <cellStyle name="Lien hypertexte visité" xfId="14025" builtinId="9" hidden="1"/>
    <cellStyle name="Lien hypertexte visité" xfId="11273" builtinId="9" hidden="1"/>
    <cellStyle name="Lien hypertexte visité" xfId="7560" builtinId="9" hidden="1"/>
    <cellStyle name="Lien hypertexte visité" xfId="23164" builtinId="9" hidden="1"/>
    <cellStyle name="Lien hypertexte visité" xfId="9272" builtinId="9" hidden="1"/>
    <cellStyle name="Lien hypertexte visité" xfId="12856" builtinId="9" hidden="1"/>
    <cellStyle name="Lien hypertexte visité" xfId="23132" builtinId="9" hidden="1"/>
    <cellStyle name="Lien hypertexte visité" xfId="18926" builtinId="9" hidden="1"/>
    <cellStyle name="Lien hypertexte visité" xfId="14001" builtinId="9" hidden="1"/>
    <cellStyle name="Lien hypertexte visité" xfId="6656" builtinId="9" hidden="1"/>
    <cellStyle name="Lien hypertexte visité" xfId="4440" builtinId="9" hidden="1"/>
    <cellStyle name="Lien hypertexte visité" xfId="535" builtinId="9" hidden="1"/>
    <cellStyle name="Lien hypertexte visité" xfId="389" builtinId="9" hidden="1"/>
    <cellStyle name="Lien hypertexte visité" xfId="5755" builtinId="9" hidden="1"/>
    <cellStyle name="Lien hypertexte visité" xfId="11388" builtinId="9" hidden="1"/>
    <cellStyle name="Lien hypertexte visité" xfId="22038" builtinId="9" hidden="1"/>
    <cellStyle name="Lien hypertexte visité" xfId="12909" builtinId="9" hidden="1"/>
    <cellStyle name="Lien hypertexte visité" xfId="9325" builtinId="9" hidden="1"/>
    <cellStyle name="Lien hypertexte visité" xfId="1909" builtinId="9" hidden="1"/>
    <cellStyle name="Lien hypertexte visité" xfId="199" builtinId="9" hidden="1"/>
    <cellStyle name="Lien hypertexte visité" xfId="11609" builtinId="9" hidden="1"/>
    <cellStyle name="Lien hypertexte visité" xfId="10144" builtinId="9" hidden="1"/>
    <cellStyle name="Lien hypertexte visité" xfId="9737" builtinId="9" hidden="1"/>
    <cellStyle name="Lien hypertexte visité" xfId="22396" builtinId="9" hidden="1"/>
    <cellStyle name="Lien hypertexte visité" xfId="11560" builtinId="9" hidden="1"/>
    <cellStyle name="Lien hypertexte visité" xfId="15901" builtinId="9" hidden="1"/>
    <cellStyle name="Lien hypertexte visité" xfId="20444" builtinId="9" hidden="1"/>
    <cellStyle name="Lien hypertexte visité" xfId="14385" builtinId="9" hidden="1"/>
    <cellStyle name="Lien hypertexte visité" xfId="11649" builtinId="9" hidden="1"/>
    <cellStyle name="Lien hypertexte visité" xfId="8001" builtinId="9" hidden="1"/>
    <cellStyle name="Lien hypertexte visité" xfId="2090" builtinId="9" hidden="1"/>
    <cellStyle name="Lien hypertexte visité" xfId="6127" builtinId="9" hidden="1"/>
    <cellStyle name="Lien hypertexte visité" xfId="185" builtinId="9" hidden="1"/>
    <cellStyle name="Lien hypertexte visité" xfId="9372" builtinId="9" hidden="1"/>
    <cellStyle name="Lien hypertexte visité" xfId="15109" builtinId="9" hidden="1"/>
    <cellStyle name="Lien hypertexte visité" xfId="23284" builtinId="9" hidden="1"/>
    <cellStyle name="Lien hypertexte visité" xfId="9293" builtinId="9" hidden="1"/>
    <cellStyle name="Lien hypertexte visité" xfId="5900" builtinId="9" hidden="1"/>
    <cellStyle name="Lien hypertexte visité" xfId="291" builtinId="9" hidden="1"/>
    <cellStyle name="Lien hypertexte visité" xfId="9599" builtinId="9" hidden="1"/>
    <cellStyle name="Lien hypertexte visité" xfId="15627" builtinId="9" hidden="1"/>
    <cellStyle name="Lien hypertexte visité" xfId="8587" builtinId="9" hidden="1"/>
    <cellStyle name="Lien hypertexte visité" xfId="4450" builtinId="9" hidden="1"/>
    <cellStyle name="Lien hypertexte visité" xfId="14427" builtinId="9" hidden="1"/>
    <cellStyle name="Lien hypertexte visité" xfId="15987" builtinId="9" hidden="1"/>
    <cellStyle name="Lien hypertexte visité" xfId="1219" builtinId="9" hidden="1"/>
    <cellStyle name="Lien hypertexte visité" xfId="4154" builtinId="9" hidden="1"/>
    <cellStyle name="Lien hypertexte visité" xfId="8835" builtinId="9" hidden="1"/>
    <cellStyle name="Lien hypertexte visité" xfId="12480" builtinId="9" hidden="1"/>
    <cellStyle name="Lien hypertexte visité" xfId="13104" builtinId="9" hidden="1"/>
    <cellStyle name="Lien hypertexte visité" xfId="22604" builtinId="9" hidden="1"/>
    <cellStyle name="Lien hypertexte visité" xfId="11705" builtinId="9" hidden="1"/>
    <cellStyle name="Lien hypertexte visité" xfId="6240" builtinId="9" hidden="1"/>
    <cellStyle name="Lien hypertexte visité" xfId="2826" builtinId="9" hidden="1"/>
    <cellStyle name="Lien hypertexte visité" xfId="4843" builtinId="9" hidden="1"/>
    <cellStyle name="Lien hypertexte visité" xfId="10988" builtinId="9" hidden="1"/>
    <cellStyle name="Lien hypertexte visité" xfId="23828" builtinId="9" hidden="1"/>
    <cellStyle name="Lien hypertexte visité" xfId="3481" builtinId="9" hidden="1"/>
    <cellStyle name="Lien hypertexte visité" xfId="13073" builtinId="9" hidden="1"/>
    <cellStyle name="Lien hypertexte visité" xfId="9688" builtinId="9" hidden="1"/>
    <cellStyle name="Lien hypertexte visité" xfId="14123" builtinId="9" hidden="1"/>
    <cellStyle name="Lien hypertexte visité" xfId="3316" builtinId="9" hidden="1"/>
    <cellStyle name="Lien hypertexte visité" xfId="16971" builtinId="9" hidden="1"/>
    <cellStyle name="Lien hypertexte visité" xfId="21846" builtinId="9" hidden="1"/>
    <cellStyle name="Lien hypertexte visité" xfId="10044" builtinId="9" hidden="1"/>
    <cellStyle name="Lien hypertexte visité" xfId="7503" builtinId="9" hidden="1"/>
    <cellStyle name="Lien hypertexte visité" xfId="20590" builtinId="9" hidden="1"/>
    <cellStyle name="Lien hypertexte visité" xfId="10664" builtinId="9" hidden="1"/>
    <cellStyle name="Lien hypertexte visité" xfId="18894" builtinId="9" hidden="1"/>
    <cellStyle name="Lien hypertexte visité" xfId="18966" builtinId="9" hidden="1"/>
    <cellStyle name="Lien hypertexte visité" xfId="20532" builtinId="9" hidden="1"/>
    <cellStyle name="Lien hypertexte visité" xfId="6523" builtinId="9" hidden="1"/>
    <cellStyle name="Lien hypertexte visité" xfId="12633" builtinId="9" hidden="1"/>
    <cellStyle name="Lien hypertexte visité" xfId="23820" builtinId="9" hidden="1"/>
    <cellStyle name="Lien hypertexte visité" xfId="10656" builtinId="9" hidden="1"/>
    <cellStyle name="Lien hypertexte visité" xfId="19662" builtinId="9" hidden="1"/>
    <cellStyle name="Lien hypertexte visité" xfId="11104" builtinId="9" hidden="1"/>
    <cellStyle name="Lien hypertexte visité" xfId="11728" builtinId="9" hidden="1"/>
    <cellStyle name="Lien hypertexte visité" xfId="21132" builtinId="9" hidden="1"/>
    <cellStyle name="Lien hypertexte visité" xfId="20846" builtinId="9" hidden="1"/>
    <cellStyle name="Lien hypertexte visité" xfId="15951" builtinId="9" hidden="1"/>
    <cellStyle name="Lien hypertexte visité" xfId="7961" builtinId="9" hidden="1"/>
    <cellStyle name="Lien hypertexte visité" xfId="5568" builtinId="9" hidden="1"/>
    <cellStyle name="Lien hypertexte visité" xfId="1914" builtinId="9" hidden="1"/>
    <cellStyle name="Lien hypertexte visité" xfId="2217" builtinId="9" hidden="1"/>
    <cellStyle name="Lien hypertexte visité" xfId="4411" builtinId="9" hidden="1"/>
    <cellStyle name="Lien hypertexte visité" xfId="9884" builtinId="9" hidden="1"/>
    <cellStyle name="Lien hypertexte visité" xfId="23476" builtinId="9" hidden="1"/>
    <cellStyle name="Lien hypertexte visité" xfId="14823" builtinId="9" hidden="1"/>
    <cellStyle name="Lien hypertexte visité" xfId="11085" builtinId="9" hidden="1"/>
    <cellStyle name="Lien hypertexte visité" xfId="803" builtinId="9" hidden="1"/>
    <cellStyle name="Lien hypertexte visité" xfId="4670" builtinId="9" hidden="1"/>
    <cellStyle name="Lien hypertexte visité" xfId="10111" builtinId="9" hidden="1"/>
    <cellStyle name="Lien hypertexte visité" xfId="759" builtinId="9" hidden="1"/>
    <cellStyle name="Lien hypertexte visité" xfId="5002" builtinId="9" hidden="1"/>
    <cellStyle name="Lien hypertexte visité" xfId="4962" builtinId="9" hidden="1"/>
    <cellStyle name="Lien hypertexte visité" xfId="16675" builtinId="9" hidden="1"/>
    <cellStyle name="Lien hypertexte visité" xfId="10195" builtinId="9" hidden="1"/>
    <cellStyle name="Lien hypertexte visité" xfId="7843" builtinId="9" hidden="1"/>
    <cellStyle name="Lien hypertexte visité" xfId="9275" builtinId="9" hidden="1"/>
    <cellStyle name="Lien hypertexte visité" xfId="10537" builtinId="9" hidden="1"/>
    <cellStyle name="Lien hypertexte visité" xfId="12224" builtinId="9" hidden="1"/>
    <cellStyle name="Lien hypertexte visité" xfId="19020" builtinId="9" hidden="1"/>
    <cellStyle name="Lien hypertexte visité" xfId="19294" builtinId="9" hidden="1"/>
    <cellStyle name="Lien hypertexte visité" xfId="11449" builtinId="9" hidden="1"/>
    <cellStyle name="Lien hypertexte visité" xfId="2314" builtinId="9" hidden="1"/>
    <cellStyle name="Lien hypertexte visité" xfId="3746" builtinId="9" hidden="1"/>
    <cellStyle name="Lien hypertexte visité" xfId="2917" builtinId="9" hidden="1"/>
    <cellStyle name="Lien hypertexte visité" xfId="24084" builtinId="9" hidden="1"/>
    <cellStyle name="Lien hypertexte visité" xfId="14461" builtinId="9" hidden="1"/>
    <cellStyle name="Lien hypertexte visité" xfId="6268" builtinId="9" hidden="1"/>
    <cellStyle name="Lien hypertexte visité" xfId="8591" builtinId="9" hidden="1"/>
    <cellStyle name="Lien hypertexte visité" xfId="8798" builtinId="9" hidden="1"/>
    <cellStyle name="Lien hypertexte visité" xfId="14258" builtinId="9" hidden="1"/>
    <cellStyle name="Lien hypertexte visité" xfId="18251" builtinId="9" hidden="1"/>
    <cellStyle name="Lien hypertexte visité" xfId="4449" builtinId="9" hidden="1"/>
    <cellStyle name="Lien hypertexte visité" xfId="7521" builtinId="9" hidden="1"/>
    <cellStyle name="Lien hypertexte visité" xfId="8122" builtinId="9" hidden="1"/>
    <cellStyle name="Lien hypertexte visité" xfId="4977" builtinId="9" hidden="1"/>
    <cellStyle name="Lien hypertexte visité" xfId="13589" builtinId="9" hidden="1"/>
    <cellStyle name="Lien hypertexte visité" xfId="5209" builtinId="9" hidden="1"/>
    <cellStyle name="Lien hypertexte visité" xfId="20944" builtinId="9" hidden="1"/>
    <cellStyle name="Lien hypertexte visité" xfId="23018" builtinId="9" hidden="1"/>
    <cellStyle name="Lien hypertexte visité" xfId="12582" builtinId="9" hidden="1"/>
    <cellStyle name="Lien hypertexte visité" xfId="22880" builtinId="9" hidden="1"/>
    <cellStyle name="Lien hypertexte visité" xfId="1507" builtinId="9" hidden="1"/>
    <cellStyle name="Lien hypertexte visité" xfId="6449" builtinId="9" hidden="1"/>
    <cellStyle name="Lien hypertexte visité" xfId="2235" builtinId="9" hidden="1"/>
    <cellStyle name="Lien hypertexte visité" xfId="4565" builtinId="9" hidden="1"/>
    <cellStyle name="Lien hypertexte visité" xfId="7145" builtinId="9" hidden="1"/>
    <cellStyle name="Lien hypertexte visité" xfId="6857" builtinId="9" hidden="1"/>
    <cellStyle name="Lien hypertexte visité" xfId="705" builtinId="9" hidden="1"/>
    <cellStyle name="Lien hypertexte visité" xfId="10110" builtinId="9" hidden="1"/>
    <cellStyle name="Lien hypertexte visité" xfId="15089" builtinId="9" hidden="1"/>
    <cellStyle name="Lien hypertexte visité" xfId="21304" builtinId="9" hidden="1"/>
    <cellStyle name="Lien hypertexte visité" xfId="11082" builtinId="9" hidden="1"/>
    <cellStyle name="Lien hypertexte visité" xfId="5777" builtinId="9" hidden="1"/>
    <cellStyle name="Lien hypertexte visité" xfId="1944" builtinId="9" hidden="1"/>
    <cellStyle name="Lien hypertexte visité" xfId="2185" builtinId="9" hidden="1"/>
    <cellStyle name="Lien hypertexte visité" xfId="12209" builtinId="9" hidden="1"/>
    <cellStyle name="Lien hypertexte visité" xfId="10552" builtinId="9" hidden="1"/>
    <cellStyle name="Lien hypertexte visité" xfId="15757" builtinId="9" hidden="1"/>
    <cellStyle name="Lien hypertexte visité" xfId="12216" builtinId="9" hidden="1"/>
    <cellStyle name="Lien hypertexte visité" xfId="17213" builtinId="9" hidden="1"/>
    <cellStyle name="Lien hypertexte visité" xfId="12353" builtinId="9" hidden="1"/>
    <cellStyle name="Lien hypertexte visité" xfId="8729" builtinId="9" hidden="1"/>
    <cellStyle name="Lien hypertexte visité" xfId="3258" builtinId="9" hidden="1"/>
    <cellStyle name="Lien hypertexte visité" xfId="1460" builtinId="9" hidden="1"/>
    <cellStyle name="Lien hypertexte visité" xfId="9660" builtinId="9" hidden="1"/>
    <cellStyle name="Lien hypertexte visité" xfId="21172" builtinId="9" hidden="1"/>
    <cellStyle name="Lien hypertexte visité" xfId="7628" builtinId="9" hidden="1"/>
    <cellStyle name="Lien hypertexte visité" xfId="1720" builtinId="9" hidden="1"/>
    <cellStyle name="Lien hypertexte visité" xfId="7166" builtinId="9" hidden="1"/>
    <cellStyle name="Lien hypertexte visité" xfId="5994" builtinId="9" hidden="1"/>
    <cellStyle name="Lien hypertexte visité" xfId="1299" builtinId="9" hidden="1"/>
    <cellStyle name="Lien hypertexte visité" xfId="13139" builtinId="9" hidden="1"/>
    <cellStyle name="Lien hypertexte visité" xfId="2060" builtinId="9" hidden="1"/>
    <cellStyle name="Lien hypertexte visité" xfId="9091" builtinId="9" hidden="1"/>
    <cellStyle name="Lien hypertexte visité" xfId="16845" builtinId="9" hidden="1"/>
    <cellStyle name="Lien hypertexte visité" xfId="23294" builtinId="9" hidden="1"/>
    <cellStyle name="Lien hypertexte visité" xfId="10721" builtinId="9" hidden="1"/>
    <cellStyle name="Lien hypertexte visité" xfId="5264" builtinId="9" hidden="1"/>
    <cellStyle name="Lien hypertexte visité" xfId="15021" builtinId="9" hidden="1"/>
    <cellStyle name="Lien hypertexte visité" xfId="4410" builtinId="9" hidden="1"/>
    <cellStyle name="Lien hypertexte visité" xfId="12251" builtinId="9" hidden="1"/>
    <cellStyle name="Lien hypertexte visité" xfId="13101" builtinId="9" hidden="1"/>
    <cellStyle name="Lien hypertexte visité" xfId="4187" builtinId="9" hidden="1"/>
    <cellStyle name="Lien hypertexte visité" xfId="6896" builtinId="9" hidden="1"/>
    <cellStyle name="Lien hypertexte visité" xfId="13065" builtinId="9" hidden="1"/>
    <cellStyle name="Lien hypertexte visité" xfId="1273" builtinId="9" hidden="1"/>
    <cellStyle name="Lien hypertexte visité" xfId="7109" builtinId="9" hidden="1"/>
    <cellStyle name="Lien hypertexte visité" xfId="21200" builtinId="9" hidden="1"/>
    <cellStyle name="Lien hypertexte visité" xfId="7141" builtinId="9" hidden="1"/>
    <cellStyle name="Lien hypertexte visité" xfId="4729" builtinId="9" hidden="1"/>
    <cellStyle name="Lien hypertexte visité" xfId="16881" builtinId="9" hidden="1"/>
    <cellStyle name="Lien hypertexte visité" xfId="8394" builtinId="9" hidden="1"/>
    <cellStyle name="Lien hypertexte visité" xfId="9914" builtinId="9" hidden="1"/>
    <cellStyle name="Lien hypertexte visité" xfId="24322" builtinId="9" hidden="1"/>
    <cellStyle name="Lien hypertexte visité" xfId="11279" builtinId="9" hidden="1"/>
    <cellStyle name="Lien hypertexte visité" xfId="11645" builtinId="9" hidden="1"/>
    <cellStyle name="Lien hypertexte visité" xfId="5984" builtinId="9" hidden="1"/>
    <cellStyle name="Lien hypertexte visité" xfId="22764" builtinId="9" hidden="1"/>
    <cellStyle name="Lien hypertexte visité" xfId="17311" builtinId="9" hidden="1"/>
    <cellStyle name="Lien hypertexte visité" xfId="14355" builtinId="9" hidden="1"/>
    <cellStyle name="Lien hypertexte visité" xfId="8147" builtinId="9" hidden="1"/>
    <cellStyle name="Lien hypertexte visité" xfId="6462" builtinId="9" hidden="1"/>
    <cellStyle name="Lien hypertexte visité" xfId="16133" builtinId="9" hidden="1"/>
    <cellStyle name="Lien hypertexte visité" xfId="285" builtinId="9" hidden="1"/>
    <cellStyle name="Lien hypertexte visité" xfId="4312" builtinId="9" hidden="1"/>
    <cellStyle name="Lien hypertexte visité" xfId="16237" builtinId="9" hidden="1"/>
    <cellStyle name="Lien hypertexte visité" xfId="22012" builtinId="9" hidden="1"/>
    <cellStyle name="Lien hypertexte visité" xfId="16669" builtinId="9" hidden="1"/>
    <cellStyle name="Lien hypertexte visité" xfId="2042" builtinId="9" hidden="1"/>
    <cellStyle name="Lien hypertexte visité" xfId="21340" builtinId="9" hidden="1"/>
    <cellStyle name="Lien hypertexte visité" xfId="4571" builtinId="9" hidden="1"/>
    <cellStyle name="Lien hypertexte visité" xfId="4738" builtinId="9" hidden="1"/>
    <cellStyle name="Lien hypertexte visité" xfId="2138" builtinId="9" hidden="1"/>
    <cellStyle name="Lien hypertexte visité" xfId="13036" builtinId="9" hidden="1"/>
    <cellStyle name="Lien hypertexte visité" xfId="15727" builtinId="9" hidden="1"/>
    <cellStyle name="Lien hypertexte visité" xfId="9008" builtinId="9" hidden="1"/>
    <cellStyle name="Lien hypertexte visité" xfId="5906" builtinId="9" hidden="1"/>
    <cellStyle name="Lien hypertexte visité" xfId="3910" builtinId="9" hidden="1"/>
    <cellStyle name="Lien hypertexte visité" xfId="11647" builtinId="9" hidden="1"/>
    <cellStyle name="Lien hypertexte visité" xfId="3855" builtinId="9" hidden="1"/>
    <cellStyle name="Lien hypertexte visité" xfId="5947" builtinId="9" hidden="1"/>
    <cellStyle name="Lien hypertexte visité" xfId="279" builtinId="9" hidden="1"/>
    <cellStyle name="Lien hypertexte visité" xfId="10737" builtinId="9" hidden="1"/>
    <cellStyle name="Lien hypertexte visité" xfId="9296" builtinId="9" hidden="1"/>
    <cellStyle name="Lien hypertexte visité" xfId="22140" builtinId="9" hidden="1"/>
    <cellStyle name="Lien hypertexte visité" xfId="4784" builtinId="9" hidden="1"/>
    <cellStyle name="Lien hypertexte visité" xfId="18996" builtinId="9" hidden="1"/>
    <cellStyle name="Lien hypertexte visité" xfId="2421" builtinId="9" hidden="1"/>
    <cellStyle name="Lien hypertexte visité" xfId="3066" builtinId="9" hidden="1"/>
    <cellStyle name="Lien hypertexte visité" xfId="18348" builtinId="9" hidden="1"/>
    <cellStyle name="Lien hypertexte visité" xfId="14989" builtinId="9" hidden="1"/>
    <cellStyle name="Lien hypertexte visité" xfId="10249" builtinId="9" hidden="1"/>
    <cellStyle name="Lien hypertexte visité" xfId="9760" builtinId="9" hidden="1"/>
    <cellStyle name="Lien hypertexte visité" xfId="11896" builtinId="9" hidden="1"/>
    <cellStyle name="Lien hypertexte visité" xfId="15677" builtinId="9" hidden="1"/>
    <cellStyle name="Lien hypertexte visité" xfId="20510" builtinId="9" hidden="1"/>
    <cellStyle name="Lien hypertexte visité" xfId="14321" builtinId="9" hidden="1"/>
    <cellStyle name="Lien hypertexte visité" xfId="11137" builtinId="9" hidden="1"/>
    <cellStyle name="Lien hypertexte visité" xfId="4656" builtinId="9" hidden="1"/>
    <cellStyle name="Lien hypertexte visité" xfId="1465" builtinId="9" hidden="1"/>
    <cellStyle name="Lien hypertexte visité" xfId="5615" builtinId="9" hidden="1"/>
    <cellStyle name="Lien hypertexte visité" xfId="5083" builtinId="9" hidden="1"/>
    <cellStyle name="Lien hypertexte visité" xfId="10140" builtinId="9" hidden="1"/>
    <cellStyle name="Lien hypertexte visité" xfId="15301" builtinId="9" hidden="1"/>
    <cellStyle name="Lien hypertexte visité" xfId="14509" builtinId="9" hidden="1"/>
    <cellStyle name="Lien hypertexte visité" xfId="9741" builtinId="9" hidden="1"/>
    <cellStyle name="Lien hypertexte visité" xfId="4940" builtinId="9" hidden="1"/>
    <cellStyle name="Lien hypertexte visité" xfId="6014" builtinId="9" hidden="1"/>
    <cellStyle name="Lien hypertexte visité" xfId="10815" builtinId="9" hidden="1"/>
    <cellStyle name="Lien hypertexte visité" xfId="17163" builtinId="9" hidden="1"/>
    <cellStyle name="Lien hypertexte visité" xfId="4418" builtinId="9" hidden="1"/>
    <cellStyle name="Lien hypertexte visité" xfId="5986" builtinId="9" hidden="1"/>
    <cellStyle name="Lien hypertexte visité" xfId="9555" builtinId="9" hidden="1"/>
    <cellStyle name="Lien hypertexte visité" xfId="10395" builtinId="9" hidden="1"/>
    <cellStyle name="Lien hypertexte visité" xfId="987" builtinId="9" hidden="1"/>
    <cellStyle name="Lien hypertexte visité" xfId="5178" builtinId="9" hidden="1"/>
    <cellStyle name="Lien hypertexte visité" xfId="14751" builtinId="9" hidden="1"/>
    <cellStyle name="Lien hypertexte visité" xfId="10176" builtinId="9" hidden="1"/>
    <cellStyle name="Lien hypertexte visité" xfId="13360" builtinId="9" hidden="1"/>
    <cellStyle name="Lien hypertexte visité" xfId="17935" builtinId="9" hidden="1"/>
    <cellStyle name="Lien hypertexte visité" xfId="11193" builtinId="9" hidden="1"/>
    <cellStyle name="Lien hypertexte visité" xfId="6416" builtinId="9" hidden="1"/>
    <cellStyle name="Lien hypertexte visité" xfId="3353" builtinId="9" hidden="1"/>
    <cellStyle name="Lien hypertexte visité" xfId="4971" builtinId="9" hidden="1"/>
    <cellStyle name="Lien hypertexte visité" xfId="12140" builtinId="9" hidden="1"/>
    <cellStyle name="Lien hypertexte visité" xfId="12413" builtinId="9" hidden="1"/>
    <cellStyle name="Lien hypertexte visité" xfId="5244" builtinId="9" hidden="1"/>
    <cellStyle name="Lien hypertexte visité" xfId="3464" builtinId="9" hidden="1"/>
    <cellStyle name="Lien hypertexte visité" xfId="9478" builtinId="9" hidden="1"/>
    <cellStyle name="Lien hypertexte visité" xfId="14514" builtinId="9" hidden="1"/>
    <cellStyle name="Lien hypertexte visité" xfId="24056" builtinId="9" hidden="1"/>
    <cellStyle name="Lien hypertexte visité" xfId="4597" builtinId="9" hidden="1"/>
    <cellStyle name="Lien hypertexte visité" xfId="4873" builtinId="9" hidden="1"/>
    <cellStyle name="Lien hypertexte visité" xfId="809" builtinId="9" hidden="1"/>
    <cellStyle name="Lien hypertexte visité" xfId="8634" builtinId="9" hidden="1"/>
    <cellStyle name="Lien hypertexte visité" xfId="12917" builtinId="9" hidden="1"/>
    <cellStyle name="Lien hypertexte visité" xfId="14731" builtinId="9" hidden="1"/>
    <cellStyle name="Lien hypertexte visité" xfId="24528" builtinId="9" hidden="1"/>
    <cellStyle name="Lien hypertexte visité" xfId="23402" builtinId="9" hidden="1"/>
    <cellStyle name="Lien hypertexte visité" xfId="17649" builtinId="9" hidden="1"/>
    <cellStyle name="Lien hypertexte visité" xfId="23618" builtinId="9" hidden="1"/>
    <cellStyle name="Lien hypertexte visité" xfId="1174" builtinId="9" hidden="1"/>
    <cellStyle name="Lien hypertexte visité" xfId="3215" builtinId="9" hidden="1"/>
    <cellStyle name="Lien hypertexte visité" xfId="3091" builtinId="9" hidden="1"/>
    <cellStyle name="Lien hypertexte visité" xfId="8730" builtinId="9" hidden="1"/>
    <cellStyle name="Lien hypertexte visité" xfId="5261" builtinId="9" hidden="1"/>
    <cellStyle name="Lien hypertexte visité" xfId="2259" builtinId="9" hidden="1"/>
    <cellStyle name="Lien hypertexte visité" xfId="457" builtinId="9" hidden="1"/>
    <cellStyle name="Lien hypertexte visité" xfId="9674" builtinId="9" hidden="1"/>
    <cellStyle name="Lien hypertexte visité" xfId="15473" builtinId="9" hidden="1"/>
    <cellStyle name="Lien hypertexte visité" xfId="23648" builtinId="9" hidden="1"/>
    <cellStyle name="Lien hypertexte visité" xfId="17403" builtinId="9" hidden="1"/>
    <cellStyle name="Lien hypertexte visité" xfId="6781" builtinId="9" hidden="1"/>
    <cellStyle name="Lien hypertexte visité" xfId="2278" builtinId="9" hidden="1"/>
    <cellStyle name="Lien hypertexte visité" xfId="14332" builtinId="9" hidden="1"/>
    <cellStyle name="Lien hypertexte visité" xfId="14257" builtinId="9" hidden="1"/>
    <cellStyle name="Lien hypertexte visité" xfId="9872" builtinId="9" hidden="1"/>
    <cellStyle name="Lien hypertexte visité" xfId="11721" builtinId="9" hidden="1"/>
    <cellStyle name="Lien hypertexte visité" xfId="12456" builtinId="9" hidden="1"/>
    <cellStyle name="Lien hypertexte visité" xfId="19932" builtinId="9" hidden="1"/>
    <cellStyle name="Lien hypertexte visité" xfId="19742" builtinId="9" hidden="1"/>
    <cellStyle name="Lien hypertexte visité" xfId="7360" builtinId="9" hidden="1"/>
    <cellStyle name="Lien hypertexte visité" xfId="2578" builtinId="9" hidden="1"/>
    <cellStyle name="Lien hypertexte visité" xfId="4815" builtinId="9" hidden="1"/>
    <cellStyle name="Lien hypertexte visité" xfId="10684" builtinId="9" hidden="1"/>
    <cellStyle name="Lien hypertexte visité" xfId="21876" builtinId="9" hidden="1"/>
    <cellStyle name="Lien hypertexte visité" xfId="13773" builtinId="9" hidden="1"/>
    <cellStyle name="Lien hypertexte visité" xfId="2040" builtinId="9" hidden="1"/>
    <cellStyle name="Lien hypertexte visité" xfId="9215" builtinId="9" hidden="1"/>
    <cellStyle name="Lien hypertexte visité" xfId="8530" builtinId="9" hidden="1"/>
    <cellStyle name="Lien hypertexte visité" xfId="12795" builtinId="9" hidden="1"/>
    <cellStyle name="Lien hypertexte visité" xfId="14867" builtinId="9" hidden="1"/>
    <cellStyle name="Lien hypertexte visité" xfId="11051" builtinId="9" hidden="1"/>
    <cellStyle name="Lien hypertexte visité" xfId="1954" builtinId="9" hidden="1"/>
    <cellStyle name="Lien hypertexte visité" xfId="14797" builtinId="9" hidden="1"/>
    <cellStyle name="Lien hypertexte visité" xfId="14088" builtinId="9" hidden="1"/>
    <cellStyle name="Lien hypertexte visité" xfId="10385" builtinId="9" hidden="1"/>
    <cellStyle name="Lien hypertexte visité" xfId="3210" builtinId="9" hidden="1"/>
    <cellStyle name="Lien hypertexte visité" xfId="2521" builtinId="9" hidden="1"/>
    <cellStyle name="Lien hypertexte visité" xfId="22454" builtinId="9" hidden="1"/>
    <cellStyle name="Lien hypertexte visité" xfId="7740" builtinId="9" hidden="1"/>
    <cellStyle name="Lien hypertexte visité" xfId="4686" builtinId="9" hidden="1"/>
    <cellStyle name="Lien hypertexte visité" xfId="15625" builtinId="9" hidden="1"/>
    <cellStyle name="Lien hypertexte visité" xfId="18602" builtinId="9" hidden="1"/>
    <cellStyle name="Lien hypertexte visité" xfId="5217" builtinId="9" hidden="1"/>
    <cellStyle name="Lien hypertexte visité" xfId="7205" builtinId="9" hidden="1"/>
    <cellStyle name="Lien hypertexte visité" xfId="14485" builtinId="9" hidden="1"/>
    <cellStyle name="Lien hypertexte visité" xfId="7316" builtinId="9" hidden="1"/>
    <cellStyle name="Lien hypertexte visité" xfId="8519" builtinId="9" hidden="1"/>
    <cellStyle name="Lien hypertexte visité" xfId="16859" builtinId="9" hidden="1"/>
    <cellStyle name="Lien hypertexte visité" xfId="13070" builtinId="9" hidden="1"/>
    <cellStyle name="Lien hypertexte visité" xfId="18506" builtinId="9" hidden="1"/>
    <cellStyle name="Lien hypertexte visité" xfId="15553" builtinId="9" hidden="1"/>
    <cellStyle name="Lien hypertexte visité" xfId="11630" builtinId="9" hidden="1"/>
    <cellStyle name="Lien hypertexte visité" xfId="7267" builtinId="9" hidden="1"/>
    <cellStyle name="Lien hypertexte visité" xfId="13412" builtinId="9" hidden="1"/>
    <cellStyle name="Lien hypertexte visité" xfId="24580" builtinId="9" hidden="1"/>
    <cellStyle name="Lien hypertexte visité" xfId="5123" builtinId="9" hidden="1"/>
    <cellStyle name="Lien hypertexte visité" xfId="7767" builtinId="9" hidden="1"/>
    <cellStyle name="Lien hypertexte visité" xfId="4487" builtinId="9" hidden="1"/>
    <cellStyle name="Lien hypertexte visité" xfId="19846" builtinId="9" hidden="1"/>
    <cellStyle name="Lien hypertexte visité" xfId="16533" builtinId="9" hidden="1"/>
    <cellStyle name="Lien hypertexte visité" xfId="9380" builtinId="9" hidden="1"/>
    <cellStyle name="Lien hypertexte visité" xfId="6207" builtinId="9" hidden="1"/>
    <cellStyle name="Lien hypertexte visité" xfId="2117" builtinId="9" hidden="1"/>
    <cellStyle name="Lien hypertexte visité" xfId="2696" builtinId="9" hidden="1"/>
    <cellStyle name="Lien hypertexte visité" xfId="7337" builtinId="9" hidden="1"/>
    <cellStyle name="Lien hypertexte visité" xfId="16789" builtinId="9" hidden="1"/>
    <cellStyle name="Lien hypertexte visité" xfId="10308" builtinId="9" hidden="1"/>
    <cellStyle name="Lien hypertexte visité" xfId="3753" builtinId="9" hidden="1"/>
    <cellStyle name="Lien hypertexte visité" xfId="12566" builtinId="9" hidden="1"/>
    <cellStyle name="Lien hypertexte visité" xfId="21168" builtinId="9" hidden="1"/>
    <cellStyle name="Lien hypertexte visité" xfId="24586" builtinId="9" hidden="1"/>
    <cellStyle name="Lien hypertexte visité" xfId="16361" builtinId="9" hidden="1"/>
    <cellStyle name="Lien hypertexte visité" xfId="11278" builtinId="9" hidden="1"/>
    <cellStyle name="Lien hypertexte visité" xfId="8055" builtinId="9" hidden="1"/>
    <cellStyle name="Lien hypertexte visité" xfId="1808" builtinId="9" hidden="1"/>
    <cellStyle name="Lien hypertexte visité" xfId="5652" builtinId="9" hidden="1"/>
    <cellStyle name="Lien hypertexte visité" xfId="15785" builtinId="9" hidden="1"/>
    <cellStyle name="Lien hypertexte visité" xfId="9940" builtinId="9" hidden="1"/>
    <cellStyle name="Lien hypertexte visité" xfId="5639" builtinId="9" hidden="1"/>
    <cellStyle name="Lien hypertexte visité" xfId="2913" builtinId="9" hidden="1"/>
    <cellStyle name="Lien hypertexte visité" xfId="4131" builtinId="9" hidden="1"/>
    <cellStyle name="Lien hypertexte visité" xfId="1681" builtinId="9" hidden="1"/>
    <cellStyle name="Lien hypertexte visité" xfId="16021" builtinId="9" hidden="1"/>
    <cellStyle name="Lien hypertexte visité" xfId="23590" builtinId="9" hidden="1"/>
    <cellStyle name="Lien hypertexte visité" xfId="2721" builtinId="9" hidden="1"/>
    <cellStyle name="Lien hypertexte visité" xfId="13140" builtinId="9" hidden="1"/>
    <cellStyle name="Lien hypertexte visité" xfId="7731" builtinId="9" hidden="1"/>
    <cellStyle name="Lien hypertexte visité" xfId="9637" builtinId="9" hidden="1"/>
    <cellStyle name="Lien hypertexte visité" xfId="11172" builtinId="9" hidden="1"/>
    <cellStyle name="Lien hypertexte visité" xfId="1037" builtinId="9" hidden="1"/>
    <cellStyle name="Lien hypertexte visité" xfId="21572" builtinId="9" hidden="1"/>
    <cellStyle name="Lien hypertexte visité" xfId="15189" builtinId="9" hidden="1"/>
    <cellStyle name="Lien hypertexte visité" xfId="19268" builtinId="9" hidden="1"/>
    <cellStyle name="Lien hypertexte visité" xfId="1452" builtinId="9" hidden="1"/>
    <cellStyle name="Lien hypertexte visité" xfId="7928" builtinId="9" hidden="1"/>
    <cellStyle name="Lien hypertexte visité" xfId="2993" builtinId="9" hidden="1"/>
    <cellStyle name="Lien hypertexte visité" xfId="3971" builtinId="9" hidden="1"/>
    <cellStyle name="Lien hypertexte visité" xfId="7879" builtinId="9" hidden="1"/>
    <cellStyle name="Lien hypertexte visité" xfId="9237" builtinId="9" hidden="1"/>
    <cellStyle name="Lien hypertexte visité" xfId="3006" builtinId="9" hidden="1"/>
    <cellStyle name="Lien hypertexte visité" xfId="10695" builtinId="9" hidden="1"/>
    <cellStyle name="Lien hypertexte visité" xfId="8886" builtinId="9" hidden="1"/>
    <cellStyle name="Lien hypertexte visité" xfId="13046" builtinId="9" hidden="1"/>
    <cellStyle name="Lien hypertexte visité" xfId="21066" builtinId="9" hidden="1"/>
    <cellStyle name="Lien hypertexte visité" xfId="18305" builtinId="9" hidden="1"/>
    <cellStyle name="Lien hypertexte visité" xfId="23946" builtinId="9" hidden="1"/>
    <cellStyle name="Lien hypertexte visité" xfId="5348" builtinId="9" hidden="1"/>
    <cellStyle name="Lien hypertexte visité" xfId="7235" builtinId="9" hidden="1"/>
    <cellStyle name="Lien hypertexte visité" xfId="12580" builtinId="9" hidden="1"/>
    <cellStyle name="Lien hypertexte visité" xfId="4361" builtinId="9" hidden="1"/>
    <cellStyle name="Lien hypertexte visité" xfId="12038" builtinId="9" hidden="1"/>
    <cellStyle name="Lien hypertexte visité" xfId="12285" builtinId="9" hidden="1"/>
    <cellStyle name="Lien hypertexte visité" xfId="21916" builtinId="9" hidden="1"/>
    <cellStyle name="Lien hypertexte visité" xfId="7370" builtinId="9" hidden="1"/>
    <cellStyle name="Lien hypertexte visité" xfId="9483" builtinId="9" hidden="1"/>
    <cellStyle name="Lien hypertexte visité" xfId="9645" builtinId="9" hidden="1"/>
    <cellStyle name="Lien hypertexte visité" xfId="7643" builtinId="9" hidden="1"/>
    <cellStyle name="Lien hypertexte visité" xfId="4592" builtinId="9" hidden="1"/>
    <cellStyle name="Lien hypertexte visité" xfId="23804" builtinId="9" hidden="1"/>
    <cellStyle name="Lien hypertexte visité" xfId="8193" builtinId="9" hidden="1"/>
    <cellStyle name="Lien hypertexte visité" xfId="13165" builtinId="9" hidden="1"/>
    <cellStyle name="Lien hypertexte visité" xfId="7000" builtinId="9" hidden="1"/>
    <cellStyle name="Lien hypertexte visité" xfId="20748" builtinId="9" hidden="1"/>
    <cellStyle name="Lien hypertexte visité" xfId="13129" builtinId="9" hidden="1"/>
    <cellStyle name="Lien hypertexte visité" xfId="9848" builtinId="9" hidden="1"/>
    <cellStyle name="Lien hypertexte visité" xfId="14877" builtinId="9" hidden="1"/>
    <cellStyle name="Lien hypertexte visité" xfId="24606" builtinId="9" hidden="1"/>
    <cellStyle name="Lien hypertexte visité" xfId="9881" builtinId="9" hidden="1"/>
    <cellStyle name="Lien hypertexte visité" xfId="4992" builtinId="9" hidden="1"/>
    <cellStyle name="Lien hypertexte visité" xfId="8688" builtinId="9" hidden="1"/>
    <cellStyle name="Lien hypertexte visité" xfId="7067" builtinId="9" hidden="1"/>
    <cellStyle name="Lien hypertexte visité" xfId="14300" builtinId="9" hidden="1"/>
    <cellStyle name="Lien hypertexte visité" xfId="20630" builtinId="9" hidden="1"/>
    <cellStyle name="Lien hypertexte visité" xfId="2982" builtinId="9" hidden="1"/>
    <cellStyle name="Lien hypertexte visité" xfId="5438" builtinId="9" hidden="1"/>
    <cellStyle name="Lien hypertexte visité" xfId="12767" builtinId="9" hidden="1"/>
    <cellStyle name="Lien hypertexte visité" xfId="2804" builtinId="9" hidden="1"/>
    <cellStyle name="Lien hypertexte visité" xfId="9963" builtinId="9" hidden="1"/>
    <cellStyle name="Lien hypertexte visité" xfId="13195" builtinId="9" hidden="1"/>
    <cellStyle name="Lien hypertexte visité" xfId="6858" builtinId="9" hidden="1"/>
    <cellStyle name="Lien hypertexte visité" xfId="12841" builtinId="9" hidden="1"/>
    <cellStyle name="Lien hypertexte visité" xfId="10288" builtinId="9" hidden="1"/>
    <cellStyle name="Lien hypertexte visité" xfId="14265" builtinId="9" hidden="1"/>
    <cellStyle name="Lien hypertexte visité" xfId="7008" builtinId="9" hidden="1"/>
    <cellStyle name="Lien hypertexte visité" xfId="7968" builtinId="9" hidden="1"/>
    <cellStyle name="Lien hypertexte visité" xfId="15397" builtinId="9" hidden="1"/>
    <cellStyle name="Lien hypertexte visité" xfId="13181" builtinId="9" hidden="1"/>
    <cellStyle name="Lien hypertexte visité" xfId="2294" builtinId="9" hidden="1"/>
    <cellStyle name="Lien hypertexte visité" xfId="11442" builtinId="9" hidden="1"/>
    <cellStyle name="Lien hypertexte visité" xfId="22856" builtinId="9" hidden="1"/>
    <cellStyle name="Lien hypertexte visité" xfId="15649" builtinId="9" hidden="1"/>
    <cellStyle name="Lien hypertexte visité" xfId="3808" builtinId="9" hidden="1"/>
    <cellStyle name="Lien hypertexte visité" xfId="4317" builtinId="9" hidden="1"/>
    <cellStyle name="Lien hypertexte visité" xfId="419" builtinId="9" hidden="1"/>
    <cellStyle name="Lien hypertexte visité" xfId="18131" builtinId="9" hidden="1"/>
    <cellStyle name="Lien hypertexte visité" xfId="18616" builtinId="9" hidden="1"/>
    <cellStyle name="Lien hypertexte visité" xfId="10322" builtinId="9" hidden="1"/>
    <cellStyle name="Lien hypertexte visité" xfId="5577" builtinId="9" hidden="1"/>
    <cellStyle name="Lien hypertexte visité" xfId="2731" builtinId="9" hidden="1"/>
    <cellStyle name="Lien hypertexte visité" xfId="9690" builtinId="9" hidden="1"/>
    <cellStyle name="Lien hypertexte visité" xfId="3487" builtinId="9" hidden="1"/>
    <cellStyle name="Lien hypertexte visité" xfId="6433" builtinId="9" hidden="1"/>
    <cellStyle name="Lien hypertexte visité" xfId="12350" builtinId="9" hidden="1"/>
    <cellStyle name="Lien hypertexte visité" xfId="22352" builtinId="9" hidden="1"/>
    <cellStyle name="Lien hypertexte visité" xfId="6361" builtinId="9" hidden="1"/>
    <cellStyle name="Lien hypertexte visité" xfId="10989" builtinId="9" hidden="1"/>
    <cellStyle name="Lien hypertexte visité" xfId="23644" builtinId="9" hidden="1"/>
    <cellStyle name="Lien hypertexte visité" xfId="9993" builtinId="9" hidden="1"/>
    <cellStyle name="Lien hypertexte visité" xfId="9384" builtinId="9" hidden="1"/>
    <cellStyle name="Lien hypertexte visité" xfId="15919" builtinId="9" hidden="1"/>
    <cellStyle name="Lien hypertexte visité" xfId="7921" builtinId="9" hidden="1"/>
    <cellStyle name="Lien hypertexte visité" xfId="77" builtinId="9" hidden="1"/>
    <cellStyle name="Lien hypertexte visité" xfId="13596" builtinId="9" hidden="1"/>
    <cellStyle name="Lien hypertexte visité" xfId="14759" builtinId="9" hidden="1"/>
    <cellStyle name="Lien hypertexte visité" xfId="3727" builtinId="9" hidden="1"/>
    <cellStyle name="Lien hypertexte visité" xfId="503" builtinId="9" hidden="1"/>
    <cellStyle name="Lien hypertexte visité" xfId="8383" builtinId="9" hidden="1"/>
    <cellStyle name="Lien hypertexte visité" xfId="2645" builtinId="9" hidden="1"/>
    <cellStyle name="Lien hypertexte visité" xfId="18780" builtinId="9" hidden="1"/>
    <cellStyle name="Lien hypertexte visité" xfId="5775" builtinId="9" hidden="1"/>
    <cellStyle name="Lien hypertexte visité" xfId="22664" builtinId="9" hidden="1"/>
    <cellStyle name="Lien hypertexte visité" xfId="7838" builtinId="9" hidden="1"/>
    <cellStyle name="Lien hypertexte visité" xfId="2003" builtinId="9" hidden="1"/>
    <cellStyle name="Lien hypertexte visité" xfId="4625" builtinId="9" hidden="1"/>
    <cellStyle name="Lien hypertexte visité" xfId="7946" builtinId="9" hidden="1"/>
    <cellStyle name="Lien hypertexte visité" xfId="9743" builtinId="9" hidden="1"/>
    <cellStyle name="Lien hypertexte visité" xfId="4075" builtinId="9" hidden="1"/>
    <cellStyle name="Lien hypertexte visité" xfId="20716" builtinId="9" hidden="1"/>
    <cellStyle name="Lien hypertexte visité" xfId="3228" builtinId="9" hidden="1"/>
    <cellStyle name="Lien hypertexte visité" xfId="9027" builtinId="9" hidden="1"/>
    <cellStyle name="Lien hypertexte visité" xfId="10253" builtinId="9" hidden="1"/>
    <cellStyle name="Lien hypertexte visité" xfId="1448" builtinId="9" hidden="1"/>
    <cellStyle name="Lien hypertexte visité" xfId="14927" builtinId="9" hidden="1"/>
    <cellStyle name="Lien hypertexte visité" xfId="23118" builtinId="9" hidden="1"/>
    <cellStyle name="Lien hypertexte visité" xfId="4219" builtinId="9" hidden="1"/>
    <cellStyle name="Lien hypertexte visité" xfId="23790" builtinId="9" hidden="1"/>
    <cellStyle name="Lien hypertexte visité" xfId="13375" builtinId="9" hidden="1"/>
    <cellStyle name="Lien hypertexte visité" xfId="7071" builtinId="9" hidden="1"/>
    <cellStyle name="Lien hypertexte visité" xfId="21284" builtinId="9" hidden="1"/>
    <cellStyle name="Lien hypertexte visité" xfId="14503" builtinId="9" hidden="1"/>
    <cellStyle name="Lien hypertexte visité" xfId="19864" builtinId="9" hidden="1"/>
    <cellStyle name="Lien hypertexte visité" xfId="4374" builtinId="9" hidden="1"/>
    <cellStyle name="Lien hypertexte visité" xfId="12910" builtinId="9" hidden="1"/>
    <cellStyle name="Lien hypertexte visité" xfId="5495" builtinId="9" hidden="1"/>
    <cellStyle name="Lien hypertexte visité" xfId="21540" builtinId="9" hidden="1"/>
    <cellStyle name="Lien hypertexte visité" xfId="5747" builtinId="9" hidden="1"/>
    <cellStyle name="Lien hypertexte visité" xfId="8388" builtinId="9" hidden="1"/>
    <cellStyle name="Lien hypertexte visité" xfId="21798" builtinId="9" hidden="1"/>
    <cellStyle name="Lien hypertexte visité" xfId="8072" builtinId="9" hidden="1"/>
    <cellStyle name="Lien hypertexte visité" xfId="11893" builtinId="9" hidden="1"/>
    <cellStyle name="Lien hypertexte visité" xfId="14279" builtinId="9" hidden="1"/>
    <cellStyle name="Lien hypertexte visité" xfId="20314" builtinId="9" hidden="1"/>
    <cellStyle name="Lien hypertexte visité" xfId="17687" builtinId="9" hidden="1"/>
    <cellStyle name="Lien hypertexte visité" xfId="21250" builtinId="9" hidden="1"/>
    <cellStyle name="Lien hypertexte visité" xfId="10021" builtinId="9" hidden="1"/>
    <cellStyle name="Lien hypertexte visité" xfId="1404" builtinId="9" hidden="1"/>
    <cellStyle name="Lien hypertexte visité" xfId="1713" builtinId="9" hidden="1"/>
    <cellStyle name="Lien hypertexte visité" xfId="1630" builtinId="9" hidden="1"/>
    <cellStyle name="Lien hypertexte visité" xfId="21160" builtinId="9" hidden="1"/>
    <cellStyle name="Lien hypertexte visité" xfId="1343" builtinId="9" hidden="1"/>
    <cellStyle name="Lien hypertexte visité" xfId="1947" builtinId="9" hidden="1"/>
    <cellStyle name="Lien hypertexte visité" xfId="16363" builtinId="9" hidden="1"/>
    <cellStyle name="Lien hypertexte visité" xfId="9900" builtinId="9" hidden="1"/>
    <cellStyle name="Lien hypertexte visité" xfId="21246" builtinId="9" hidden="1"/>
    <cellStyle name="Lien hypertexte visité" xfId="3829" builtinId="9" hidden="1"/>
    <cellStyle name="Lien hypertexte visité" xfId="5698" builtinId="9" hidden="1"/>
    <cellStyle name="Lien hypertexte visité" xfId="6604" builtinId="9" hidden="1"/>
    <cellStyle name="Lien hypertexte visité" xfId="3509" builtinId="9" hidden="1"/>
    <cellStyle name="Lien hypertexte visité" xfId="12145" builtinId="9" hidden="1"/>
    <cellStyle name="Lien hypertexte visité" xfId="13088" builtinId="9" hidden="1"/>
    <cellStyle name="Lien hypertexte visité" xfId="8336" builtinId="9" hidden="1"/>
    <cellStyle name="Lien hypertexte visité" xfId="10506" builtinId="9" hidden="1"/>
    <cellStyle name="Lien hypertexte visité" xfId="10706" builtinId="9" hidden="1"/>
    <cellStyle name="Lien hypertexte visité" xfId="7453" builtinId="9" hidden="1"/>
    <cellStyle name="Lien hypertexte visité" xfId="6613" builtinId="9" hidden="1"/>
    <cellStyle name="Lien hypertexte visité" xfId="11986" builtinId="9" hidden="1"/>
    <cellStyle name="Lien hypertexte visité" xfId="4205" builtinId="9" hidden="1"/>
    <cellStyle name="Lien hypertexte visité" xfId="7902" builtinId="9" hidden="1"/>
    <cellStyle name="Lien hypertexte visité" xfId="22330" builtinId="9" hidden="1"/>
    <cellStyle name="Lien hypertexte visité" xfId="10639" builtinId="9" hidden="1"/>
    <cellStyle name="Lien hypertexte visité" xfId="24596" builtinId="9" hidden="1"/>
    <cellStyle name="Lien hypertexte visité" xfId="1626" builtinId="9" hidden="1"/>
    <cellStyle name="Lien hypertexte visité" xfId="21740" builtinId="9" hidden="1"/>
    <cellStyle name="Lien hypertexte visité" xfId="555" builtinId="9" hidden="1"/>
    <cellStyle name="Lien hypertexte visité" xfId="16851" builtinId="9" hidden="1"/>
    <cellStyle name="Lien hypertexte visité" xfId="8515" builtinId="9" hidden="1"/>
    <cellStyle name="Lien hypertexte visité" xfId="1239" builtinId="9" hidden="1"/>
    <cellStyle name="Lien hypertexte visité" xfId="24406" builtinId="9" hidden="1"/>
    <cellStyle name="Lien hypertexte visité" xfId="517" builtinId="9" hidden="1"/>
    <cellStyle name="Lien hypertexte visité" xfId="7833" builtinId="9" hidden="1"/>
    <cellStyle name="Lien hypertexte visité" xfId="22028" builtinId="9" hidden="1"/>
    <cellStyle name="Lien hypertexte visité" xfId="24060" builtinId="9" hidden="1"/>
    <cellStyle name="Lien hypertexte visité" xfId="13145" builtinId="9" hidden="1"/>
    <cellStyle name="Lien hypertexte visité" xfId="10605" builtinId="9" hidden="1"/>
    <cellStyle name="Lien hypertexte visité" xfId="23180" builtinId="9" hidden="1"/>
    <cellStyle name="Lien hypertexte visité" xfId="23190" builtinId="9" hidden="1"/>
    <cellStyle name="Lien hypertexte visité" xfId="15235" builtinId="9" hidden="1"/>
    <cellStyle name="Lien hypertexte visité" xfId="391" builtinId="9" hidden="1"/>
    <cellStyle name="Lien hypertexte visité" xfId="10303" builtinId="9" hidden="1"/>
    <cellStyle name="Lien hypertexte visité" xfId="1117" builtinId="9" hidden="1"/>
    <cellStyle name="Lien hypertexte visité" xfId="14041" builtinId="9" hidden="1"/>
    <cellStyle name="Lien hypertexte visité" xfId="9229" builtinId="9" hidden="1"/>
    <cellStyle name="Lien hypertexte visité" xfId="1443" builtinId="9" hidden="1"/>
    <cellStyle name="Lien hypertexte visité" xfId="5611" builtinId="9" hidden="1"/>
    <cellStyle name="Lien hypertexte visité" xfId="2487" builtinId="9" hidden="1"/>
    <cellStyle name="Lien hypertexte visité" xfId="633" builtinId="9" hidden="1"/>
    <cellStyle name="Lien hypertexte visité" xfId="24416" builtinId="9" hidden="1"/>
    <cellStyle name="Lien hypertexte visité" xfId="20828" builtinId="9" hidden="1"/>
    <cellStyle name="Lien hypertexte visité" xfId="9919" builtinId="9" hidden="1"/>
    <cellStyle name="Lien hypertexte visité" xfId="2522" builtinId="9" hidden="1"/>
    <cellStyle name="Lien hypertexte visité" xfId="12040" builtinId="9" hidden="1"/>
    <cellStyle name="Lien hypertexte visité" xfId="10771" builtinId="9" hidden="1"/>
    <cellStyle name="Lien hypertexte visité" xfId="16203" builtinId="9" hidden="1"/>
    <cellStyle name="Lien hypertexte visité" xfId="17127" builtinId="9" hidden="1"/>
    <cellStyle name="Lien hypertexte visité" xfId="5167" builtinId="9" hidden="1"/>
    <cellStyle name="Lien hypertexte visité" xfId="21102" builtinId="9" hidden="1"/>
    <cellStyle name="Lien hypertexte visité" xfId="7624" builtinId="9" hidden="1"/>
    <cellStyle name="Lien hypertexte visité" xfId="16197" builtinId="9" hidden="1"/>
    <cellStyle name="Lien hypertexte visité" xfId="18578" builtinId="9" hidden="1"/>
    <cellStyle name="Lien hypertexte visité" xfId="3620" builtinId="9" hidden="1"/>
    <cellStyle name="Lien hypertexte visité" xfId="5425" builtinId="9" hidden="1"/>
    <cellStyle name="Lien hypertexte visité" xfId="3665" builtinId="9" hidden="1"/>
    <cellStyle name="Lien hypertexte visité" xfId="19976" builtinId="9" hidden="1"/>
    <cellStyle name="Lien hypertexte visité" xfId="13599" builtinId="9" hidden="1"/>
    <cellStyle name="Lien hypertexte visité" xfId="785" builtinId="9" hidden="1"/>
    <cellStyle name="Lien hypertexte visité" xfId="21320" builtinId="9" hidden="1"/>
    <cellStyle name="Lien hypertexte visité" xfId="3080" builtinId="9" hidden="1"/>
    <cellStyle name="Lien hypertexte visité" xfId="11116" builtinId="9" hidden="1"/>
    <cellStyle name="Lien hypertexte visité" xfId="7776" builtinId="9" hidden="1"/>
    <cellStyle name="Lien hypertexte visité" xfId="13192" builtinId="9" hidden="1"/>
    <cellStyle name="Lien hypertexte visité" xfId="4594" builtinId="9" hidden="1"/>
    <cellStyle name="Lien hypertexte visité" xfId="10643" builtinId="9" hidden="1"/>
    <cellStyle name="Lien hypertexte visité" xfId="16651" builtinId="9" hidden="1"/>
    <cellStyle name="Lien hypertexte visité" xfId="5644" builtinId="9" hidden="1"/>
    <cellStyle name="Lien hypertexte visité" xfId="13532" builtinId="9" hidden="1"/>
    <cellStyle name="Lien hypertexte visité" xfId="5871" builtinId="9" hidden="1"/>
    <cellStyle name="Lien hypertexte visité" xfId="11585" builtinId="9" hidden="1"/>
    <cellStyle name="Lien hypertexte visité" xfId="14184" builtinId="9" hidden="1"/>
    <cellStyle name="Lien hypertexte visité" xfId="9929" builtinId="9" hidden="1"/>
    <cellStyle name="Lien hypertexte visité" xfId="1706" builtinId="9" hidden="1"/>
    <cellStyle name="Lien hypertexte visité" xfId="12977" builtinId="9" hidden="1"/>
    <cellStyle name="Lien hypertexte visité" xfId="10289" builtinId="9" hidden="1"/>
    <cellStyle name="Lien hypertexte visité" xfId="1798" builtinId="9" hidden="1"/>
    <cellStyle name="Lien hypertexte visité" xfId="9419" builtinId="9" hidden="1"/>
    <cellStyle name="Lien hypertexte visité" xfId="14060" builtinId="9" hidden="1"/>
    <cellStyle name="Lien hypertexte visité" xfId="4511" builtinId="9" hidden="1"/>
    <cellStyle name="Lien hypertexte visité" xfId="19806" builtinId="9" hidden="1"/>
    <cellStyle name="Lien hypertexte visité" xfId="14377" builtinId="9" hidden="1"/>
    <cellStyle name="Lien hypertexte visité" xfId="9987" builtinId="9" hidden="1"/>
    <cellStyle name="Lien hypertexte visité" xfId="5074" builtinId="9" hidden="1"/>
    <cellStyle name="Lien hypertexte visité" xfId="6206" builtinId="9" hidden="1"/>
    <cellStyle name="Lien hypertexte visité" xfId="15015" builtinId="9" hidden="1"/>
    <cellStyle name="Lien hypertexte visité" xfId="3903" builtinId="9" hidden="1"/>
    <cellStyle name="Lien hypertexte visité" xfId="4376" builtinId="9" hidden="1"/>
    <cellStyle name="Lien hypertexte visité" xfId="21534" builtinId="9" hidden="1"/>
    <cellStyle name="Lien hypertexte visité" xfId="11616" builtinId="9" hidden="1"/>
    <cellStyle name="Lien hypertexte visité" xfId="18700" builtinId="9" hidden="1"/>
    <cellStyle name="Lien hypertexte visité" xfId="22068" builtinId="9" hidden="1"/>
    <cellStyle name="Lien hypertexte visité" xfId="16453" builtinId="9" hidden="1"/>
    <cellStyle name="Lien hypertexte visité" xfId="4111" builtinId="9" hidden="1"/>
    <cellStyle name="Lien hypertexte visité" xfId="10417" builtinId="9" hidden="1"/>
    <cellStyle name="Lien hypertexte visité" xfId="15645" builtinId="9" hidden="1"/>
    <cellStyle name="Lien hypertexte visité" xfId="13641" builtinId="9" hidden="1"/>
    <cellStyle name="Lien hypertexte visité" xfId="20686" builtinId="9" hidden="1"/>
    <cellStyle name="Lien hypertexte visité" xfId="9000" builtinId="9" hidden="1"/>
    <cellStyle name="Lien hypertexte visité" xfId="13096" builtinId="9" hidden="1"/>
    <cellStyle name="Lien hypertexte visité" xfId="20524" builtinId="9" hidden="1"/>
    <cellStyle name="Lien hypertexte visité" xfId="19902" builtinId="9" hidden="1"/>
    <cellStyle name="Lien hypertexte visité" xfId="13121" builtinId="9" hidden="1"/>
    <cellStyle name="Lien hypertexte visité" xfId="8753" builtinId="9" hidden="1"/>
    <cellStyle name="Lien hypertexte visité" xfId="4208" builtinId="9" hidden="1"/>
    <cellStyle name="Lien hypertexte visité" xfId="8784" builtinId="9" hidden="1"/>
    <cellStyle name="Lien hypertexte visité" xfId="1961" builtinId="9" hidden="1"/>
    <cellStyle name="Lien hypertexte visité" xfId="5787" builtinId="9" hidden="1"/>
    <cellStyle name="Lien hypertexte visité" xfId="11932" builtinId="9" hidden="1"/>
    <cellStyle name="Lien hypertexte visité" xfId="22452" builtinId="9" hidden="1"/>
    <cellStyle name="Lien hypertexte visité" xfId="13997" builtinId="9" hidden="1"/>
    <cellStyle name="Lien hypertexte visité" xfId="7853" builtinId="9" hidden="1"/>
    <cellStyle name="Lien hypertexte visité" xfId="1285" builtinId="9" hidden="1"/>
    <cellStyle name="Lien hypertexte visité" xfId="6718" builtinId="9" hidden="1"/>
    <cellStyle name="Lien hypertexte visité" xfId="12607" builtinId="9" hidden="1"/>
    <cellStyle name="Lien hypertexte visité" xfId="235" builtinId="9" hidden="1"/>
    <cellStyle name="Lien hypertexte visité" xfId="3837" builtinId="9" hidden="1"/>
    <cellStyle name="Lien hypertexte visité" xfId="11875" builtinId="9" hidden="1"/>
    <cellStyle name="Lien hypertexte visité" xfId="16243" builtinId="9" hidden="1"/>
    <cellStyle name="Lien hypertexte visité" xfId="10739" builtinId="9" hidden="1"/>
    <cellStyle name="Lien hypertexte visité" xfId="2612" builtinId="9" hidden="1"/>
    <cellStyle name="Lien hypertexte visité" xfId="8323" builtinId="9" hidden="1"/>
    <cellStyle name="Lien hypertexte visité" xfId="18830" builtinId="9" hidden="1"/>
    <cellStyle name="Lien hypertexte visité" xfId="10200" builtinId="9" hidden="1"/>
    <cellStyle name="Lien hypertexte visité" xfId="19532" builtinId="9" hidden="1"/>
    <cellStyle name="Lien hypertexte visité" xfId="16575" builtinId="9" hidden="1"/>
    <cellStyle name="Lien hypertexte visité" xfId="9401" builtinId="9" hidden="1"/>
    <cellStyle name="Lien hypertexte visité" xfId="2738" builtinId="9" hidden="1"/>
    <cellStyle name="Lien hypertexte visité" xfId="2713" builtinId="9" hidden="1"/>
    <cellStyle name="Lien hypertexte visité" xfId="7659" builtinId="9" hidden="1"/>
    <cellStyle name="Lien hypertexte visité" xfId="20500" builtinId="9" hidden="1"/>
    <cellStyle name="Lien hypertexte visité" xfId="11389" builtinId="9" hidden="1"/>
    <cellStyle name="Lien hypertexte visité" xfId="2422" builtinId="9" hidden="1"/>
    <cellStyle name="Lien hypertexte visité" xfId="8975" builtinId="9" hidden="1"/>
    <cellStyle name="Lien hypertexte visité" xfId="10162" builtinId="9" hidden="1"/>
    <cellStyle name="Lien hypertexte visité" xfId="18097" builtinId="9" hidden="1"/>
    <cellStyle name="Lien hypertexte visité" xfId="18019" builtinId="9" hidden="1"/>
    <cellStyle name="Lien hypertexte visité" xfId="5037" builtinId="9" hidden="1"/>
    <cellStyle name="Lien hypertexte visité" xfId="3580" builtinId="9" hidden="1"/>
    <cellStyle name="Lien hypertexte visité" xfId="2431" builtinId="9" hidden="1"/>
    <cellStyle name="Lien hypertexte visité" xfId="10682" builtinId="9" hidden="1"/>
    <cellStyle name="Lien hypertexte visité" xfId="575" builtinId="9" hidden="1"/>
    <cellStyle name="Lien hypertexte visité" xfId="5045" builtinId="9" hidden="1"/>
    <cellStyle name="Lien hypertexte visité" xfId="21242" builtinId="9" hidden="1"/>
    <cellStyle name="Lien hypertexte visité" xfId="22712" builtinId="9" hidden="1"/>
    <cellStyle name="Lien hypertexte visité" xfId="12966" builtinId="9" hidden="1"/>
    <cellStyle name="Lien hypertexte visité" xfId="18171" builtinId="9" hidden="1"/>
    <cellStyle name="Lien hypertexte visité" xfId="1294" builtinId="9" hidden="1"/>
    <cellStyle name="Lien hypertexte visité" xfId="7421" builtinId="9" hidden="1"/>
    <cellStyle name="Lien hypertexte visité" xfId="4877" builtinId="9" hidden="1"/>
    <cellStyle name="Lien hypertexte visité" xfId="9434" builtinId="9" hidden="1"/>
    <cellStyle name="Lien hypertexte visité" xfId="8206" builtinId="9" hidden="1"/>
    <cellStyle name="Lien hypertexte visité" xfId="2683" builtinId="9" hidden="1"/>
    <cellStyle name="Lien hypertexte visité" xfId="2019" builtinId="9" hidden="1"/>
    <cellStyle name="Lien hypertexte visité" xfId="9726" builtinId="9" hidden="1"/>
    <cellStyle name="Lien hypertexte visité" xfId="16241" builtinId="9" hidden="1"/>
    <cellStyle name="Lien hypertexte visité" xfId="22466" builtinId="9" hidden="1"/>
    <cellStyle name="Lien hypertexte visité" xfId="14026" builtinId="9" hidden="1"/>
    <cellStyle name="Lien hypertexte visité" xfId="9150" builtinId="9" hidden="1"/>
    <cellStyle name="Lien hypertexte visité" xfId="10477" builtinId="9" hidden="1"/>
    <cellStyle name="Lien hypertexte visité" xfId="3209" builtinId="9" hidden="1"/>
    <cellStyle name="Lien hypertexte visité" xfId="18095" builtinId="9" hidden="1"/>
    <cellStyle name="Lien hypertexte visité" xfId="19406" builtinId="9" hidden="1"/>
    <cellStyle name="Lien hypertexte visité" xfId="18428" builtinId="9" hidden="1"/>
    <cellStyle name="Lien hypertexte visité" xfId="12904" builtinId="9" hidden="1"/>
    <cellStyle name="Lien hypertexte visité" xfId="23564" builtinId="9" hidden="1"/>
    <cellStyle name="Lien hypertexte visité" xfId="13505" builtinId="9" hidden="1"/>
    <cellStyle name="Lien hypertexte visité" xfId="6680" builtinId="9" hidden="1"/>
    <cellStyle name="Lien hypertexte visité" xfId="327" builtinId="9" hidden="1"/>
    <cellStyle name="Lien hypertexte visité" xfId="1813" builtinId="9" hidden="1"/>
    <cellStyle name="Lien hypertexte visité" xfId="11708" builtinId="9" hidden="1"/>
    <cellStyle name="Lien hypertexte visité" xfId="21910" builtinId="9" hidden="1"/>
    <cellStyle name="Lien hypertexte visité" xfId="8333" builtinId="9" hidden="1"/>
    <cellStyle name="Lien hypertexte visité" xfId="2744" builtinId="9" hidden="1"/>
    <cellStyle name="Lien hypertexte visité" xfId="11967" builtinId="9" hidden="1"/>
    <cellStyle name="Lien hypertexte visité" xfId="7450" builtinId="9" hidden="1"/>
    <cellStyle name="Lien hypertexte visité" xfId="11979" builtinId="9" hidden="1"/>
    <cellStyle name="Lien hypertexte visité" xfId="15171" builtinId="9" hidden="1"/>
    <cellStyle name="Lien hypertexte visité" xfId="2356" builtinId="9" hidden="1"/>
    <cellStyle name="Lien hypertexte visité" xfId="5032" builtinId="9" hidden="1"/>
    <cellStyle name="Lien hypertexte visité" xfId="9648" builtinId="9" hidden="1"/>
    <cellStyle name="Lien hypertexte visité" xfId="24556" builtinId="9" hidden="1"/>
    <cellStyle name="Lien hypertexte visité" xfId="9697" builtinId="9" hidden="1"/>
    <cellStyle name="Lien hypertexte visité" xfId="187" builtinId="9" hidden="1"/>
    <cellStyle name="Lien hypertexte visité" xfId="6827" builtinId="9" hidden="1"/>
    <cellStyle name="Lien hypertexte visité" xfId="19382" builtinId="9" hidden="1"/>
    <cellStyle name="Lien hypertexte visité" xfId="3639" builtinId="9" hidden="1"/>
    <cellStyle name="Lien hypertexte visité" xfId="12879" builtinId="9" hidden="1"/>
    <cellStyle name="Lien hypertexte visité" xfId="17673" builtinId="9" hidden="1"/>
    <cellStyle name="Lien hypertexte visité" xfId="19472" builtinId="9" hidden="1"/>
    <cellStyle name="Lien hypertexte visité" xfId="3207" builtinId="9" hidden="1"/>
    <cellStyle name="Lien hypertexte visité" xfId="6621" builtinId="9" hidden="1"/>
    <cellStyle name="Lien hypertexte visité" xfId="11765" builtinId="9" hidden="1"/>
    <cellStyle name="Lien hypertexte visité" xfId="1854" builtinId="9" hidden="1"/>
    <cellStyle name="Lien hypertexte visité" xfId="9543" builtinId="9" hidden="1"/>
    <cellStyle name="Lien hypertexte visité" xfId="9890" builtinId="9" hidden="1"/>
    <cellStyle name="Lien hypertexte visité" xfId="18904" builtinId="9" hidden="1"/>
    <cellStyle name="Lien hypertexte visité" xfId="17771" builtinId="9" hidden="1"/>
    <cellStyle name="Lien hypertexte visité" xfId="22754" builtinId="9" hidden="1"/>
    <cellStyle name="Lien hypertexte visité" xfId="4646" builtinId="9" hidden="1"/>
    <cellStyle name="Lien hypertexte visité" xfId="7860" builtinId="9" hidden="1"/>
    <cellStyle name="Lien hypertexte visité" xfId="17013" builtinId="9" hidden="1"/>
    <cellStyle name="Lien hypertexte visité" xfId="8964" builtinId="9" hidden="1"/>
    <cellStyle name="Lien hypertexte visité" xfId="5591" builtinId="9" hidden="1"/>
    <cellStyle name="Lien hypertexte visité" xfId="7719" builtinId="9" hidden="1"/>
    <cellStyle name="Lien hypertexte visité" xfId="2765" builtinId="9" hidden="1"/>
    <cellStyle name="Lien hypertexte visité" xfId="21606" builtinId="9" hidden="1"/>
    <cellStyle name="Lien hypertexte visité" xfId="13172" builtinId="9" hidden="1"/>
    <cellStyle name="Lien hypertexte visité" xfId="15767" builtinId="9" hidden="1"/>
    <cellStyle name="Lien hypertexte visité" xfId="5567" builtinId="9" hidden="1"/>
    <cellStyle name="Lien hypertexte visité" xfId="4811" builtinId="9" hidden="1"/>
    <cellStyle name="Lien hypertexte visité" xfId="17073" builtinId="9" hidden="1"/>
    <cellStyle name="Lien hypertexte visité" xfId="6001" builtinId="9" hidden="1"/>
    <cellStyle name="Lien hypertexte visité" xfId="13668" builtinId="9" hidden="1"/>
    <cellStyle name="Lien hypertexte visité" xfId="6291" builtinId="9" hidden="1"/>
    <cellStyle name="Lien hypertexte visité" xfId="6054" builtinId="9" hidden="1"/>
    <cellStyle name="Lien hypertexte visité" xfId="20160" builtinId="9" hidden="1"/>
    <cellStyle name="Lien hypertexte visité" xfId="22384" builtinId="9" hidden="1"/>
    <cellStyle name="Lien hypertexte visité" xfId="23616" builtinId="9" hidden="1"/>
    <cellStyle name="Lien hypertexte visité" xfId="13902" builtinId="9" hidden="1"/>
    <cellStyle name="Lien hypertexte visité" xfId="17115" builtinId="9" hidden="1"/>
    <cellStyle name="Lien hypertexte visité" xfId="7286" builtinId="9" hidden="1"/>
    <cellStyle name="Lien hypertexte visité" xfId="1726" builtinId="9" hidden="1"/>
    <cellStyle name="Lien hypertexte visité" xfId="10261" builtinId="9" hidden="1"/>
    <cellStyle name="Lien hypertexte visité" xfId="23040" builtinId="9" hidden="1"/>
    <cellStyle name="Lien hypertexte visité" xfId="3085" builtinId="9" hidden="1"/>
    <cellStyle name="Lien hypertexte visité" xfId="6967" builtinId="9" hidden="1"/>
    <cellStyle name="Lien hypertexte visité" xfId="3441" builtinId="9" hidden="1"/>
    <cellStyle name="Lien hypertexte visité" xfId="2349" builtinId="9" hidden="1"/>
    <cellStyle name="Lien hypertexte visité" xfId="19142" builtinId="9" hidden="1"/>
    <cellStyle name="Lien hypertexte visité" xfId="17333" builtinId="9" hidden="1"/>
    <cellStyle name="Lien hypertexte visité" xfId="19910" builtinId="9" hidden="1"/>
    <cellStyle name="Lien hypertexte visité" xfId="1853" builtinId="9" hidden="1"/>
    <cellStyle name="Lien hypertexte visité" xfId="13732" builtinId="9" hidden="1"/>
    <cellStyle name="Lien hypertexte visité" xfId="14999" builtinId="9" hidden="1"/>
    <cellStyle name="Lien hypertexte visité" xfId="6931" builtinId="9" hidden="1"/>
    <cellStyle name="Lien hypertexte visité" xfId="10516" builtinId="9" hidden="1"/>
    <cellStyle name="Lien hypertexte visité" xfId="1761" builtinId="9" hidden="1"/>
    <cellStyle name="Lien hypertexte visité" xfId="24036" builtinId="9" hidden="1"/>
    <cellStyle name="Lien hypertexte visité" xfId="23044" builtinId="9" hidden="1"/>
    <cellStyle name="Lien hypertexte visité" xfId="2625" builtinId="9" hidden="1"/>
    <cellStyle name="Lien hypertexte visité" xfId="4947" builtinId="9" hidden="1"/>
    <cellStyle name="Lien hypertexte visité" xfId="8424" builtinId="9" hidden="1"/>
    <cellStyle name="Lien hypertexte visité" xfId="4711" builtinId="9" hidden="1"/>
    <cellStyle name="Lien hypertexte visité" xfId="10981" builtinId="9" hidden="1"/>
    <cellStyle name="Lien hypertexte visité" xfId="2416" builtinId="9" hidden="1"/>
    <cellStyle name="Lien hypertexte visité" xfId="6852" builtinId="9" hidden="1"/>
    <cellStyle name="Lien hypertexte visité" xfId="2832" builtinId="9" hidden="1"/>
    <cellStyle name="Lien hypertexte visité" xfId="11463" builtinId="9" hidden="1"/>
    <cellStyle name="Lien hypertexte visité" xfId="10422" builtinId="9" hidden="1"/>
    <cellStyle name="Lien hypertexte visité" xfId="17833" builtinId="9" hidden="1"/>
    <cellStyle name="Lien hypertexte visité" xfId="20042" builtinId="9" hidden="1"/>
    <cellStyle name="Lien hypertexte visité" xfId="11642" builtinId="9" hidden="1"/>
    <cellStyle name="Lien hypertexte visité" xfId="10518" builtinId="9" hidden="1"/>
    <cellStyle name="Lien hypertexte visité" xfId="7652" builtinId="9" hidden="1"/>
    <cellStyle name="Lien hypertexte visité" xfId="9204" builtinId="9" hidden="1"/>
    <cellStyle name="Lien hypertexte visité" xfId="18660" builtinId="9" hidden="1"/>
    <cellStyle name="Lien hypertexte visité" xfId="6425" builtinId="9" hidden="1"/>
    <cellStyle name="Lien hypertexte visité" xfId="9359" builtinId="9" hidden="1"/>
    <cellStyle name="Lien hypertexte visité" xfId="2277" builtinId="9" hidden="1"/>
    <cellStyle name="Lien hypertexte visité" xfId="16477" builtinId="9" hidden="1"/>
    <cellStyle name="Lien hypertexte visité" xfId="4770" builtinId="9" hidden="1"/>
    <cellStyle name="Lien hypertexte visité" xfId="2242" builtinId="9" hidden="1"/>
    <cellStyle name="Lien hypertexte visité" xfId="12365" builtinId="9" hidden="1"/>
    <cellStyle name="Lien hypertexte visité" xfId="1705" builtinId="9" hidden="1"/>
    <cellStyle name="Lien hypertexte visité" xfId="16511" builtinId="9" hidden="1"/>
    <cellStyle name="Lien hypertexte visité" xfId="14559" builtinId="9" hidden="1"/>
    <cellStyle name="Lien hypertexte visité" xfId="4987" builtinId="9" hidden="1"/>
    <cellStyle name="Lien hypertexte visité" xfId="9596" builtinId="9" hidden="1"/>
    <cellStyle name="Lien hypertexte visité" xfId="8705" builtinId="9" hidden="1"/>
    <cellStyle name="Lien hypertexte visité" xfId="12176" builtinId="9" hidden="1"/>
    <cellStyle name="Lien hypertexte visité" xfId="15583" builtinId="9" hidden="1"/>
    <cellStyle name="Lien hypertexte visité" xfId="10488" builtinId="9" hidden="1"/>
    <cellStyle name="Lien hypertexte visité" xfId="18476" builtinId="9" hidden="1"/>
    <cellStyle name="Lien hypertexte visité" xfId="17327" builtinId="9" hidden="1"/>
    <cellStyle name="Lien hypertexte visité" xfId="9265" builtinId="9" hidden="1"/>
    <cellStyle name="Lien hypertexte visité" xfId="3178" builtinId="9" hidden="1"/>
    <cellStyle name="Lien hypertexte visité" xfId="3241" builtinId="9" hidden="1"/>
    <cellStyle name="Lien hypertexte visité" xfId="7900" builtinId="9" hidden="1"/>
    <cellStyle name="Lien hypertexte visité" xfId="19572" builtinId="9" hidden="1"/>
    <cellStyle name="Lien hypertexte visité" xfId="12109" builtinId="9" hidden="1"/>
    <cellStyle name="Lien hypertexte visité" xfId="2054" builtinId="9" hidden="1"/>
    <cellStyle name="Lien hypertexte visité" xfId="8159" builtinId="9" hidden="1"/>
    <cellStyle name="Lien hypertexte visité" xfId="4040" builtinId="9" hidden="1"/>
    <cellStyle name="Lien hypertexte visité" xfId="1996" builtinId="9" hidden="1"/>
    <cellStyle name="Lien hypertexte visité" xfId="13035" builtinId="9" hidden="1"/>
    <cellStyle name="Lien hypertexte visité" xfId="12307" builtinId="9" hidden="1"/>
    <cellStyle name="Lien hypertexte visité" xfId="7594" builtinId="9" hidden="1"/>
    <cellStyle name="Lien hypertexte visité" xfId="21692" builtinId="9" hidden="1"/>
    <cellStyle name="Lien hypertexte visité" xfId="16989" builtinId="9" hidden="1"/>
    <cellStyle name="Lien hypertexte visité" xfId="13329" builtinId="9" hidden="1"/>
    <cellStyle name="Lien hypertexte visité" xfId="4280" builtinId="9" hidden="1"/>
    <cellStyle name="Lien hypertexte visité" xfId="1380" builtinId="9" hidden="1"/>
    <cellStyle name="Lien hypertexte visité" xfId="18213" builtinId="9" hidden="1"/>
    <cellStyle name="Lien hypertexte visité" xfId="9085" builtinId="9" hidden="1"/>
    <cellStyle name="Lien hypertexte visité" xfId="7054" builtinId="9" hidden="1"/>
    <cellStyle name="Lien hypertexte visité" xfId="12294" builtinId="9" hidden="1"/>
    <cellStyle name="Lien hypertexte visité" xfId="20906" builtinId="9" hidden="1"/>
    <cellStyle name="Lien hypertexte visité" xfId="6645" builtinId="9" hidden="1"/>
    <cellStyle name="Lien hypertexte visité" xfId="3047" builtinId="9" hidden="1"/>
    <cellStyle name="Lien hypertexte visité" xfId="16599" builtinId="9" hidden="1"/>
    <cellStyle name="Lien hypertexte visité" xfId="5957" builtinId="9" hidden="1"/>
    <cellStyle name="Lien hypertexte visité" xfId="19690" builtinId="9" hidden="1"/>
    <cellStyle name="Lien hypertexte visité" xfId="14226" builtinId="9" hidden="1"/>
    <cellStyle name="Lien hypertexte visité" xfId="3467" builtinId="9" hidden="1"/>
    <cellStyle name="Lien hypertexte visité" xfId="7970" builtinId="9" hidden="1"/>
    <cellStyle name="Lien hypertexte visité" xfId="5845" builtinId="9" hidden="1"/>
    <cellStyle name="Lien hypertexte visité" xfId="2407" builtinId="9" hidden="1"/>
    <cellStyle name="Lien hypertexte visité" xfId="1478" builtinId="9" hidden="1"/>
    <cellStyle name="Lien hypertexte visité" xfId="15049" builtinId="9" hidden="1"/>
    <cellStyle name="Lien hypertexte visité" xfId="19552" builtinId="9" hidden="1"/>
    <cellStyle name="Lien hypertexte visité" xfId="17633" builtinId="9" hidden="1"/>
    <cellStyle name="Lien hypertexte visité" xfId="10655" builtinId="9" hidden="1"/>
    <cellStyle name="Lien hypertexte visité" xfId="3574" builtinId="9" hidden="1"/>
    <cellStyle name="Lien hypertexte visité" xfId="18205" builtinId="9" hidden="1"/>
    <cellStyle name="Lien hypertexte visité" xfId="21838" builtinId="9" hidden="1"/>
    <cellStyle name="Lien hypertexte visité" xfId="15165" builtinId="9" hidden="1"/>
    <cellStyle name="Lien hypertexte visité" xfId="14297" builtinId="9" hidden="1"/>
    <cellStyle name="Lien hypertexte visité" xfId="5184" builtinId="9" hidden="1"/>
    <cellStyle name="Lien hypertexte visité" xfId="1224" builtinId="9" hidden="1"/>
    <cellStyle name="Lien hypertexte visité" xfId="15365" builtinId="9" hidden="1"/>
    <cellStyle name="Lien hypertexte visité" xfId="10541" builtinId="9" hidden="1"/>
    <cellStyle name="Lien hypertexte visité" xfId="5630" builtinId="9" hidden="1"/>
    <cellStyle name="Lien hypertexte visité" xfId="8475" builtinId="9" hidden="1"/>
    <cellStyle name="Lien hypertexte visité" xfId="10203" builtinId="9" hidden="1"/>
    <cellStyle name="Lien hypertexte visité" xfId="1948" builtinId="9" hidden="1"/>
    <cellStyle name="Lien hypertexte visité" xfId="15007" builtinId="9" hidden="1"/>
    <cellStyle name="Lien hypertexte visité" xfId="20124" builtinId="9" hidden="1"/>
    <cellStyle name="Lien hypertexte visité" xfId="6800" builtinId="9" hidden="1"/>
    <cellStyle name="Lien hypertexte visité" xfId="5035" builtinId="9" hidden="1"/>
    <cellStyle name="Lien hypertexte visité" xfId="13629" builtinId="9" hidden="1"/>
    <cellStyle name="Lien hypertexte visité" xfId="10063" builtinId="9" hidden="1"/>
    <cellStyle name="Lien hypertexte visité" xfId="24136" builtinId="9" hidden="1"/>
    <cellStyle name="Lien hypertexte visité" xfId="7998" builtinId="9" hidden="1"/>
    <cellStyle name="Lien hypertexte visité" xfId="4133" builtinId="9" hidden="1"/>
    <cellStyle name="Lien hypertexte visité" xfId="3054" builtinId="9" hidden="1"/>
    <cellStyle name="Lien hypertexte visité" xfId="11767" builtinId="9" hidden="1"/>
    <cellStyle name="Lien hypertexte visité" xfId="16401" builtinId="9" hidden="1"/>
    <cellStyle name="Lien hypertexte visité" xfId="18480" builtinId="9" hidden="1"/>
    <cellStyle name="Lien hypertexte visité" xfId="11303" builtinId="9" hidden="1"/>
    <cellStyle name="Lien hypertexte visité" xfId="10340" builtinId="9" hidden="1"/>
    <cellStyle name="Lien hypertexte visité" xfId="17749" builtinId="9" hidden="1"/>
    <cellStyle name="Lien hypertexte visité" xfId="3882" builtinId="9" hidden="1"/>
    <cellStyle name="Lien hypertexte visité" xfId="4275" builtinId="9" hidden="1"/>
    <cellStyle name="Lien hypertexte visité" xfId="22052" builtinId="9" hidden="1"/>
    <cellStyle name="Lien hypertexte visité" xfId="6595" builtinId="9" hidden="1"/>
    <cellStyle name="Lien hypertexte visité" xfId="2617" builtinId="9" hidden="1"/>
    <cellStyle name="Lien hypertexte visité" xfId="13516" builtinId="9" hidden="1"/>
    <cellStyle name="Lien hypertexte visité" xfId="11933" builtinId="9" hidden="1"/>
    <cellStyle name="Lien hypertexte visité" xfId="4206" builtinId="9" hidden="1"/>
    <cellStyle name="Lien hypertexte visité" xfId="10438" builtinId="9" hidden="1"/>
    <cellStyle name="Lien hypertexte visité" xfId="24520" builtinId="9" hidden="1"/>
    <cellStyle name="Lien hypertexte visité" xfId="5053" builtinId="9" hidden="1"/>
    <cellStyle name="Lien hypertexte visité" xfId="1943" builtinId="9" hidden="1"/>
    <cellStyle name="Lien hypertexte visité" xfId="9466" builtinId="9" hidden="1"/>
    <cellStyle name="Lien hypertexte visité" xfId="7380" builtinId="9" hidden="1"/>
    <cellStyle name="Lien hypertexte visité" xfId="3769" builtinId="9" hidden="1"/>
    <cellStyle name="Lien hypertexte visité" xfId="12887" builtinId="9" hidden="1"/>
    <cellStyle name="Lien hypertexte visité" xfId="12854" builtinId="9" hidden="1"/>
    <cellStyle name="Lien hypertexte visité" xfId="24552" builtinId="9" hidden="1"/>
    <cellStyle name="Lien hypertexte visité" xfId="17729" builtinId="9" hidden="1"/>
    <cellStyle name="Lien hypertexte visité" xfId="12014" builtinId="9" hidden="1"/>
    <cellStyle name="Lien hypertexte visité" xfId="11623" builtinId="9" hidden="1"/>
    <cellStyle name="Lien hypertexte visité" xfId="18089" builtinId="9" hidden="1"/>
    <cellStyle name="Lien hypertexte visité" xfId="3150" builtinId="9" hidden="1"/>
    <cellStyle name="Lien hypertexte visité" xfId="7906" builtinId="9" hidden="1"/>
    <cellStyle name="Lien hypertexte visité" xfId="11951" builtinId="9" hidden="1"/>
    <cellStyle name="Lien hypertexte visité" xfId="4875" builtinId="9" hidden="1"/>
    <cellStyle name="Lien hypertexte visité" xfId="7610" builtinId="9" hidden="1"/>
    <cellStyle name="Lien hypertexte visité" xfId="19726" builtinId="9" hidden="1"/>
    <cellStyle name="Lien hypertexte visité" xfId="13040" builtinId="9" hidden="1"/>
    <cellStyle name="Lien hypertexte visité" xfId="20526" builtinId="9" hidden="1"/>
    <cellStyle name="Lien hypertexte visité" xfId="9721" builtinId="9" hidden="1"/>
    <cellStyle name="Lien hypertexte visité" xfId="10657" builtinId="9" hidden="1"/>
    <cellStyle name="Lien hypertexte visité" xfId="13715" builtinId="9" hidden="1"/>
    <cellStyle name="Lien hypertexte visité" xfId="9763" builtinId="9" hidden="1"/>
    <cellStyle name="Lien hypertexte visité" xfId="2700" builtinId="9" hidden="1"/>
    <cellStyle name="Lien hypertexte visité" xfId="12235" builtinId="9" hidden="1"/>
    <cellStyle name="Lien hypertexte visité" xfId="8755" builtinId="9" hidden="1"/>
    <cellStyle name="Lien hypertexte visité" xfId="5354" builtinId="9" hidden="1"/>
    <cellStyle name="Lien hypertexte visité" xfId="1251" builtinId="9" hidden="1"/>
    <cellStyle name="Lien hypertexte visité" xfId="1019" builtinId="9" hidden="1"/>
    <cellStyle name="Lien hypertexte visité" xfId="13075" builtinId="9" hidden="1"/>
    <cellStyle name="Lien hypertexte visité" xfId="10699" builtinId="9" hidden="1"/>
    <cellStyle name="Lien hypertexte visité" xfId="3314" builtinId="9" hidden="1"/>
    <cellStyle name="Lien hypertexte visité" xfId="11897" builtinId="9" hidden="1"/>
    <cellStyle name="Lien hypertexte visité" xfId="22812" builtinId="9" hidden="1"/>
    <cellStyle name="Lien hypertexte visité" xfId="10864" builtinId="9" hidden="1"/>
    <cellStyle name="Lien hypertexte visité" xfId="10601" builtinId="9" hidden="1"/>
    <cellStyle name="Lien hypertexte visité" xfId="5082" builtinId="9" hidden="1"/>
    <cellStyle name="Lien hypertexte visité" xfId="18277" builtinId="9" hidden="1"/>
    <cellStyle name="Lien hypertexte visité" xfId="14431" builtinId="9" hidden="1"/>
    <cellStyle name="Lien hypertexte visité" xfId="5186" builtinId="9" hidden="1"/>
    <cellStyle name="Lien hypertexte visité" xfId="10819" builtinId="9" hidden="1"/>
    <cellStyle name="Lien hypertexte visité" xfId="11555" builtinId="9" hidden="1"/>
    <cellStyle name="Lien hypertexte visité" xfId="4063" builtinId="9" hidden="1"/>
    <cellStyle name="Lien hypertexte visité" xfId="14046" builtinId="9" hidden="1"/>
    <cellStyle name="Lien hypertexte visité" xfId="8341" builtinId="9" hidden="1"/>
    <cellStyle name="Lien hypertexte visité" xfId="19874" builtinId="9" hidden="1"/>
    <cellStyle name="Lien hypertexte visité" xfId="22820" builtinId="9" hidden="1"/>
    <cellStyle name="Lien hypertexte visité" xfId="23108" builtinId="9" hidden="1"/>
    <cellStyle name="Lien hypertexte visité" xfId="12921" builtinId="9" hidden="1"/>
    <cellStyle name="Lien hypertexte visité" xfId="23500" builtinId="9" hidden="1"/>
    <cellStyle name="Lien hypertexte visité" xfId="11976" builtinId="9" hidden="1"/>
    <cellStyle name="Lien hypertexte visité" xfId="21518" builtinId="9" hidden="1"/>
    <cellStyle name="Lien hypertexte visité" xfId="8523" builtinId="9" hidden="1"/>
    <cellStyle name="Lien hypertexte visité" xfId="315" builtinId="9" hidden="1"/>
    <cellStyle name="Lien hypertexte visité" xfId="9181" builtinId="9" hidden="1"/>
    <cellStyle name="Lien hypertexte visité" xfId="19144" builtinId="9" hidden="1"/>
    <cellStyle name="Lien hypertexte visité" xfId="2551" builtinId="9" hidden="1"/>
    <cellStyle name="Lien hypertexte visité" xfId="1744" builtinId="9" hidden="1"/>
    <cellStyle name="Lien hypertexte visité" xfId="16721" builtinId="9" hidden="1"/>
    <cellStyle name="Lien hypertexte visité" xfId="12866" builtinId="9" hidden="1"/>
    <cellStyle name="Lien hypertexte visité" xfId="13031" builtinId="9" hidden="1"/>
    <cellStyle name="Lien hypertexte visité" xfId="17395" builtinId="9" hidden="1"/>
    <cellStyle name="Lien hypertexte visité" xfId="17587" builtinId="9" hidden="1"/>
    <cellStyle name="Lien hypertexte visité" xfId="20456" builtinId="9" hidden="1"/>
    <cellStyle name="Lien hypertexte visité" xfId="12034" builtinId="9" hidden="1"/>
    <cellStyle name="Lien hypertexte visité" xfId="13239" builtinId="9" hidden="1"/>
    <cellStyle name="Lien hypertexte visité" xfId="5046" builtinId="9" hidden="1"/>
    <cellStyle name="Lien hypertexte visité" xfId="4564" builtinId="9" hidden="1"/>
    <cellStyle name="Lien hypertexte visité" xfId="12981" builtinId="9" hidden="1"/>
    <cellStyle name="Lien hypertexte visité" xfId="6785" builtinId="9" hidden="1"/>
    <cellStyle name="Lien hypertexte visité" xfId="1635" builtinId="9" hidden="1"/>
    <cellStyle name="Lien hypertexte visité" xfId="3993" builtinId="9" hidden="1"/>
    <cellStyle name="Lien hypertexte visité" xfId="24018" builtinId="9" hidden="1"/>
    <cellStyle name="Lien hypertexte visité" xfId="11678" builtinId="9" hidden="1"/>
    <cellStyle name="Lien hypertexte visité" xfId="8495" builtinId="9" hidden="1"/>
    <cellStyle name="Lien hypertexte visité" xfId="5276" builtinId="9" hidden="1"/>
    <cellStyle name="Lien hypertexte visité" xfId="20598" builtinId="9" hidden="1"/>
    <cellStyle name="Lien hypertexte visité" xfId="8908" builtinId="9" hidden="1"/>
    <cellStyle name="Lien hypertexte visité" xfId="22984" builtinId="9" hidden="1"/>
    <cellStyle name="Lien hypertexte visité" xfId="12087" builtinId="9" hidden="1"/>
    <cellStyle name="Lien hypertexte visité" xfId="21248" builtinId="9" hidden="1"/>
    <cellStyle name="Lien hypertexte visité" xfId="15647" builtinId="9" hidden="1"/>
    <cellStyle name="Lien hypertexte visité" xfId="12563" builtinId="9" hidden="1"/>
    <cellStyle name="Lien hypertexte visité" xfId="3894" builtinId="9" hidden="1"/>
    <cellStyle name="Lien hypertexte visité" xfId="12059" builtinId="9" hidden="1"/>
    <cellStyle name="Lien hypertexte visité" xfId="9451" builtinId="9" hidden="1"/>
    <cellStyle name="Lien hypertexte visité" xfId="8387" builtinId="9" hidden="1"/>
    <cellStyle name="Lien hypertexte visité" xfId="11035" builtinId="9" hidden="1"/>
    <cellStyle name="Lien hypertexte visité" xfId="2788" builtinId="9" hidden="1"/>
    <cellStyle name="Lien hypertexte visité" xfId="4130" builtinId="9" hidden="1"/>
    <cellStyle name="Lien hypertexte visité" xfId="13907" builtinId="9" hidden="1"/>
    <cellStyle name="Lien hypertexte visité" xfId="13651" builtinId="9" hidden="1"/>
    <cellStyle name="Lien hypertexte visité" xfId="14152" builtinId="9" hidden="1"/>
    <cellStyle name="Lien hypertexte visité" xfId="5920" builtinId="9" hidden="1"/>
    <cellStyle name="Lien hypertexte visité" xfId="12537" builtinId="9" hidden="1"/>
    <cellStyle name="Lien hypertexte visité" xfId="21452" builtinId="9" hidden="1"/>
    <cellStyle name="Lien hypertexte visité" xfId="14911" builtinId="9" hidden="1"/>
    <cellStyle name="Lien hypertexte visité" xfId="8313" builtinId="9" hidden="1"/>
    <cellStyle name="Lien hypertexte visité" xfId="5536" builtinId="9" hidden="1"/>
    <cellStyle name="Lien hypertexte visité" xfId="10627" builtinId="9" hidden="1"/>
    <cellStyle name="Lien hypertexte visité" xfId="16691" builtinId="9" hidden="1"/>
    <cellStyle name="Lien hypertexte visité" xfId="2658" builtinId="9" hidden="1"/>
    <cellStyle name="Lien hypertexte visité" xfId="21052" builtinId="9" hidden="1"/>
    <cellStyle name="Lien hypertexte visité" xfId="12312" builtinId="9" hidden="1"/>
    <cellStyle name="Lien hypertexte visité" xfId="3324" builtinId="9" hidden="1"/>
    <cellStyle name="Lien hypertexte visité" xfId="8667" builtinId="9" hidden="1"/>
    <cellStyle name="Lien hypertexte visité" xfId="17671" builtinId="9" hidden="1"/>
    <cellStyle name="Lien hypertexte visité" xfId="21332" builtinId="9" hidden="1"/>
    <cellStyle name="Lien hypertexte visité" xfId="427" builtinId="9" hidden="1"/>
    <cellStyle name="Lien hypertexte visité" xfId="4138" builtinId="9" hidden="1"/>
    <cellStyle name="Lien hypertexte visité" xfId="13296" builtinId="9" hidden="1"/>
    <cellStyle name="Lien hypertexte visité" xfId="14208" builtinId="9" hidden="1"/>
    <cellStyle name="Lien hypertexte visité" xfId="5608" builtinId="9" hidden="1"/>
    <cellStyle name="Lien hypertexte visité" xfId="15075" builtinId="9" hidden="1"/>
    <cellStyle name="Lien hypertexte visité" xfId="9739" builtinId="9" hidden="1"/>
    <cellStyle name="Lien hypertexte visité" xfId="13729" builtinId="9" hidden="1"/>
    <cellStyle name="Lien hypertexte visité" xfId="7120" builtinId="9" hidden="1"/>
    <cellStyle name="Lien hypertexte visité" xfId="13777" builtinId="9" hidden="1"/>
    <cellStyle name="Lien hypertexte visité" xfId="23404" builtinId="9" hidden="1"/>
    <cellStyle name="Lien hypertexte visité" xfId="19228" builtinId="9" hidden="1"/>
    <cellStyle name="Lien hypertexte visité" xfId="6864" builtinId="9" hidden="1"/>
    <cellStyle name="Lien hypertexte visité" xfId="19070" builtinId="9" hidden="1"/>
    <cellStyle name="Lien hypertexte visité" xfId="12707" builtinId="9" hidden="1"/>
    <cellStyle name="Lien hypertexte visité" xfId="13179" builtinId="9" hidden="1"/>
    <cellStyle name="Lien hypertexte visité" xfId="12875" builtinId="9" hidden="1"/>
    <cellStyle name="Lien hypertexte visité" xfId="3556" builtinId="9" hidden="1"/>
    <cellStyle name="Lien hypertexte visité" xfId="11755" builtinId="9" hidden="1"/>
    <cellStyle name="Lien hypertexte visité" xfId="9115" builtinId="9" hidden="1"/>
    <cellStyle name="Lien hypertexte visité" xfId="8571" builtinId="9" hidden="1"/>
    <cellStyle name="Lien hypertexte visité" xfId="11211" builtinId="9" hidden="1"/>
    <cellStyle name="Lien hypertexte visité" xfId="2964" builtinId="9" hidden="1"/>
    <cellStyle name="Lien hypertexte visité" xfId="6690" builtinId="9" hidden="1"/>
    <cellStyle name="Lien hypertexte visité" xfId="11592" builtinId="9" hidden="1"/>
    <cellStyle name="Lien hypertexte visité" xfId="3120" builtinId="9" hidden="1"/>
    <cellStyle name="Lien hypertexte visité" xfId="11726" builtinId="9" hidden="1"/>
    <cellStyle name="Lien hypertexte visité" xfId="9386" builtinId="9" hidden="1"/>
    <cellStyle name="Lien hypertexte visité" xfId="7243" builtinId="9" hidden="1"/>
    <cellStyle name="Lien hypertexte visité" xfId="24532" builtinId="9" hidden="1"/>
    <cellStyle name="Lien hypertexte visité" xfId="7004" builtinId="9" hidden="1"/>
    <cellStyle name="Lien hypertexte visité" xfId="6446" builtinId="9" hidden="1"/>
    <cellStyle name="Lien hypertexte visité" xfId="10310" builtinId="9" hidden="1"/>
    <cellStyle name="Lien hypertexte visité" xfId="22472" builtinId="9" hidden="1"/>
    <cellStyle name="Lien hypertexte visité" xfId="12074" builtinId="9" hidden="1"/>
    <cellStyle name="Lien hypertexte visité" xfId="3323" builtinId="9" hidden="1"/>
    <cellStyle name="Lien hypertexte visité" xfId="7958" builtinId="9" hidden="1"/>
    <cellStyle name="Lien hypertexte visité" xfId="14133" builtinId="9" hidden="1"/>
    <cellStyle name="Lien hypertexte visité" xfId="5940" builtinId="9" hidden="1"/>
    <cellStyle name="Lien hypertexte visité" xfId="3670" builtinId="9" hidden="1"/>
    <cellStyle name="Lien hypertexte visité" xfId="11863" builtinId="9" hidden="1"/>
    <cellStyle name="Lien hypertexte visité" xfId="11126" builtinId="9" hidden="1"/>
    <cellStyle name="Lien hypertexte visité" xfId="18920" builtinId="9" hidden="1"/>
    <cellStyle name="Lien hypertexte visité" xfId="19378" builtinId="9" hidden="1"/>
    <cellStyle name="Lien hypertexte visité" xfId="18864" builtinId="9" hidden="1"/>
    <cellStyle name="Lien hypertexte visité" xfId="9026" builtinId="9" hidden="1"/>
    <cellStyle name="Lien hypertexte visité" xfId="10599" builtinId="9" hidden="1"/>
    <cellStyle name="Lien hypertexte visité" xfId="22168" builtinId="9" hidden="1"/>
    <cellStyle name="Lien hypertexte visité" xfId="5846" builtinId="9" hidden="1"/>
    <cellStyle name="Lien hypertexte visité" xfId="6273" builtinId="9" hidden="1"/>
    <cellStyle name="Lien hypertexte visité" xfId="21890" builtinId="9" hidden="1"/>
    <cellStyle name="Lien hypertexte visité" xfId="4060" builtinId="9" hidden="1"/>
    <cellStyle name="Lien hypertexte visité" xfId="2937" builtinId="9" hidden="1"/>
    <cellStyle name="Lien hypertexte visité" xfId="7538" builtinId="9" hidden="1"/>
    <cellStyle name="Lien hypertexte visité" xfId="14623" builtinId="9" hidden="1"/>
    <cellStyle name="Lien hypertexte visité" xfId="10824" builtinId="9" hidden="1"/>
    <cellStyle name="Lien hypertexte visité" xfId="21532" builtinId="9" hidden="1"/>
    <cellStyle name="Lien hypertexte visité" xfId="14113" builtinId="9" hidden="1"/>
    <cellStyle name="Lien hypertexte visité" xfId="19428" builtinId="9" hidden="1"/>
    <cellStyle name="Lien hypertexte visité" xfId="6915" builtinId="9" hidden="1"/>
    <cellStyle name="Lien hypertexte visité" xfId="13434" builtinId="9" hidden="1"/>
    <cellStyle name="Lien hypertexte visité" xfId="1518" builtinId="9" hidden="1"/>
    <cellStyle name="Lien hypertexte visité" xfId="22018" builtinId="9" hidden="1"/>
    <cellStyle name="Lien hypertexte visité" xfId="7339" builtinId="9" hidden="1"/>
    <cellStyle name="Lien hypertexte visité" xfId="24206" builtinId="9" hidden="1"/>
    <cellStyle name="Lien hypertexte visité" xfId="7162" builtinId="9" hidden="1"/>
    <cellStyle name="Lien hypertexte visité" xfId="18420" builtinId="9" hidden="1"/>
    <cellStyle name="Lien hypertexte visité" xfId="13273" builtinId="9" hidden="1"/>
    <cellStyle name="Lien hypertexte visité" xfId="13288" builtinId="9" hidden="1"/>
    <cellStyle name="Lien hypertexte visité" xfId="13450" builtinId="9" hidden="1"/>
    <cellStyle name="Lien hypertexte visité" xfId="2103" builtinId="9" hidden="1"/>
    <cellStyle name="Lien hypertexte visité" xfId="7257" builtinId="9" hidden="1"/>
    <cellStyle name="Lien hypertexte visité" xfId="21442" builtinId="9" hidden="1"/>
    <cellStyle name="Lien hypertexte visité" xfId="2227" builtinId="9" hidden="1"/>
    <cellStyle name="Lien hypertexte visité" xfId="13318" builtinId="9" hidden="1"/>
    <cellStyle name="Lien hypertexte visité" xfId="21268" builtinId="9" hidden="1"/>
    <cellStyle name="Lien hypertexte visité" xfId="12305" builtinId="9" hidden="1"/>
    <cellStyle name="Lien hypertexte visité" xfId="8467" builtinId="9" hidden="1"/>
    <cellStyle name="Lien hypertexte visité" xfId="1083" builtinId="9" hidden="1"/>
    <cellStyle name="Lien hypertexte visité" xfId="895" builtinId="9" hidden="1"/>
    <cellStyle name="Lien hypertexte visité" xfId="8924" builtinId="9" hidden="1"/>
    <cellStyle name="Lien hypertexte visité" xfId="8577" builtinId="9" hidden="1"/>
    <cellStyle name="Lien hypertexte visité" xfId="11176" builtinId="9" hidden="1"/>
    <cellStyle name="Lien hypertexte visité" xfId="10753" builtinId="9" hidden="1"/>
    <cellStyle name="Lien hypertexte visité" xfId="8393" builtinId="9" hidden="1"/>
    <cellStyle name="Lien hypertexte visité" xfId="16359" builtinId="9" hidden="1"/>
    <cellStyle name="Lien hypertexte visité" xfId="12424" builtinId="9" hidden="1"/>
    <cellStyle name="Lien hypertexte visité" xfId="3822" builtinId="9" hidden="1"/>
    <cellStyle name="Lien hypertexte visité" xfId="19868" builtinId="9" hidden="1"/>
    <cellStyle name="Lien hypertexte visité" xfId="2716" builtinId="9" hidden="1"/>
    <cellStyle name="Lien hypertexte visité" xfId="9171" builtinId="9" hidden="1"/>
    <cellStyle name="Lien hypertexte visité" xfId="10669" builtinId="9" hidden="1"/>
    <cellStyle name="Lien hypertexte visité" xfId="1352" builtinId="9" hidden="1"/>
    <cellStyle name="Lien hypertexte visité" xfId="15151" builtinId="9" hidden="1"/>
    <cellStyle name="Lien hypertexte visité" xfId="21326" builtinId="9" hidden="1"/>
    <cellStyle name="Lien hypertexte visité" xfId="3963" builtinId="9" hidden="1"/>
    <cellStyle name="Lien hypertexte visité" xfId="10620" builtinId="9" hidden="1"/>
    <cellStyle name="Lien hypertexte visité" xfId="7680" builtinId="9" hidden="1"/>
    <cellStyle name="Lien hypertexte visité" xfId="12344" builtinId="9" hidden="1"/>
    <cellStyle name="Lien hypertexte visité" xfId="14345" builtinId="9" hidden="1"/>
    <cellStyle name="Lien hypertexte visité" xfId="10088" builtinId="9" hidden="1"/>
    <cellStyle name="Lien hypertexte visité" xfId="18396" builtinId="9" hidden="1"/>
    <cellStyle name="Lien hypertexte visité" xfId="17791" builtinId="9" hidden="1"/>
    <cellStyle name="Lien hypertexte visité" xfId="9665" builtinId="9" hidden="1"/>
    <cellStyle name="Lien hypertexte visité" xfId="3282" builtinId="9" hidden="1"/>
    <cellStyle name="Lien hypertexte visité" xfId="3562" builtinId="9" hidden="1"/>
    <cellStyle name="Lien hypertexte visité" xfId="7387" builtinId="9" hidden="1"/>
    <cellStyle name="Lien hypertexte visité" xfId="19380" builtinId="9" hidden="1"/>
    <cellStyle name="Lien hypertexte visité" xfId="12461" builtinId="9" hidden="1"/>
    <cellStyle name="Lien hypertexte visité" xfId="2630" builtinId="9" hidden="1"/>
    <cellStyle name="Lien hypertexte visité" xfId="8063" builtinId="9" hidden="1"/>
    <cellStyle name="Lien hypertexte visité" xfId="5064" builtinId="9" hidden="1"/>
    <cellStyle name="Lien hypertexte visité" xfId="2508" builtinId="9" hidden="1"/>
    <cellStyle name="Lien hypertexte visité" xfId="13171" builtinId="9" hidden="1"/>
    <cellStyle name="Lien hypertexte visité" xfId="12035" builtinId="9" hidden="1"/>
    <cellStyle name="Lien hypertexte visité" xfId="7154" builtinId="9" hidden="1"/>
    <cellStyle name="Lien hypertexte visité" xfId="22204" builtinId="9" hidden="1"/>
    <cellStyle name="Lien hypertexte visité" xfId="16301" builtinId="9" hidden="1"/>
    <cellStyle name="Lien hypertexte visité" xfId="13921" builtinId="9" hidden="1"/>
    <cellStyle name="Lien hypertexte visité" xfId="4368" builtinId="9" hidden="1"/>
    <cellStyle name="Lien hypertexte visité" xfId="573" builtinId="9" hidden="1"/>
    <cellStyle name="Lien hypertexte visité" xfId="16421" builtinId="9" hidden="1"/>
    <cellStyle name="Lien hypertexte visité" xfId="9341" builtinId="9" hidden="1"/>
    <cellStyle name="Lien hypertexte visité" xfId="6542" builtinId="9" hidden="1"/>
    <cellStyle name="Lien hypertexte visité" xfId="11782" builtinId="9" hidden="1"/>
    <cellStyle name="Lien hypertexte visité" xfId="21074" builtinId="9" hidden="1"/>
    <cellStyle name="Lien hypertexte visité" xfId="6353" builtinId="9" hidden="1"/>
    <cellStyle name="Lien hypertexte visité" xfId="3527" builtinId="9" hidden="1"/>
    <cellStyle name="Lien hypertexte visité" xfId="16759" builtinId="9" hidden="1"/>
    <cellStyle name="Lien hypertexte visité" xfId="6213" builtinId="9" hidden="1"/>
    <cellStyle name="Lien hypertexte visité" xfId="18706" builtinId="9" hidden="1"/>
    <cellStyle name="Lien hypertexte visité" xfId="14334" builtinId="9" hidden="1"/>
    <cellStyle name="Lien hypertexte visité" xfId="3243" builtinId="9" hidden="1"/>
    <cellStyle name="Lien hypertexte visité" xfId="7241" builtinId="9" hidden="1"/>
    <cellStyle name="Lien hypertexte visité" xfId="5773" builtinId="9" hidden="1"/>
    <cellStyle name="Lien hypertexte visité" xfId="2611" builtinId="9" hidden="1"/>
    <cellStyle name="Lien hypertexte visité" xfId="3716" builtinId="9" hidden="1"/>
    <cellStyle name="Lien hypertexte visité" xfId="16409" builtinId="9" hidden="1"/>
    <cellStyle name="Lien hypertexte visité" xfId="18952" builtinId="9" hidden="1"/>
    <cellStyle name="Lien hypertexte visité" xfId="20560" builtinId="9" hidden="1"/>
    <cellStyle name="Lien hypertexte visité" xfId="11167" builtinId="9" hidden="1"/>
    <cellStyle name="Lien hypertexte visité" xfId="5115" builtinId="9" hidden="1"/>
    <cellStyle name="Lien hypertexte visité" xfId="21596" builtinId="9" hidden="1"/>
    <cellStyle name="Lien hypertexte visité" xfId="21198" builtinId="9" hidden="1"/>
    <cellStyle name="Lien hypertexte visité" xfId="14504" builtinId="9" hidden="1"/>
    <cellStyle name="Lien hypertexte visité" xfId="15231" builtinId="9" hidden="1"/>
    <cellStyle name="Lien hypertexte visité" xfId="5312" builtinId="9" hidden="1"/>
    <cellStyle name="Lien hypertexte visité" xfId="1737" builtinId="9" hidden="1"/>
    <cellStyle name="Lien hypertexte visité" xfId="14108" builtinId="9" hidden="1"/>
    <cellStyle name="Lien hypertexte visité" xfId="10701" builtinId="9" hidden="1"/>
    <cellStyle name="Lien hypertexte visité" xfId="5118" builtinId="9" hidden="1"/>
    <cellStyle name="Lien hypertexte visité" xfId="9211" builtinId="9" hidden="1"/>
    <cellStyle name="Lien hypertexte visité" xfId="10339" builtinId="9" hidden="1"/>
    <cellStyle name="Lien hypertexte visité" xfId="5026" builtinId="9" hidden="1"/>
    <cellStyle name="Lien hypertexte visité" xfId="12201" builtinId="9" hidden="1"/>
    <cellStyle name="Lien hypertexte visité" xfId="19788" builtinId="9" hidden="1"/>
    <cellStyle name="Lien hypertexte visité" xfId="7312" builtinId="9" hidden="1"/>
    <cellStyle name="Lien hypertexte visité" xfId="3758" builtinId="9" hidden="1"/>
    <cellStyle name="Lien hypertexte visité" xfId="13885" builtinId="9" hidden="1"/>
    <cellStyle name="Lien hypertexte visité" xfId="9295" builtinId="9" hidden="1"/>
    <cellStyle name="Lien hypertexte visité" xfId="22432" builtinId="9" hidden="1"/>
    <cellStyle name="Lien hypertexte visité" xfId="7854" builtinId="9" hidden="1"/>
    <cellStyle name="Lien hypertexte visité" xfId="4573" builtinId="9" hidden="1"/>
    <cellStyle name="Lien hypertexte visité" xfId="3912" builtinId="9" hidden="1"/>
    <cellStyle name="Lien hypertexte visité" xfId="11591" builtinId="9" hidden="1"/>
    <cellStyle name="Lien hypertexte visité" xfId="15721" builtinId="9" hidden="1"/>
    <cellStyle name="Lien hypertexte visité" xfId="21872" builtinId="9" hidden="1"/>
    <cellStyle name="Lien hypertexte visité" xfId="11815" builtinId="9" hidden="1"/>
    <cellStyle name="Lien hypertexte visité" xfId="9908" builtinId="9" hidden="1"/>
    <cellStyle name="Lien hypertexte visité" xfId="21254" builtinId="9" hidden="1"/>
    <cellStyle name="Lien hypertexte visité" xfId="4007" builtinId="9" hidden="1"/>
    <cellStyle name="Lien hypertexte visité" xfId="4691" builtinId="9" hidden="1"/>
    <cellStyle name="Lien hypertexte visité" xfId="23524" builtinId="9" hidden="1"/>
    <cellStyle name="Lien hypertexte visité" xfId="6739" builtinId="9" hidden="1"/>
    <cellStyle name="Lien hypertexte visité" xfId="3129" builtinId="9" hidden="1"/>
    <cellStyle name="Lien hypertexte visité" xfId="8966" builtinId="9" hidden="1"/>
    <cellStyle name="Lien hypertexte visité" xfId="13429" builtinId="9" hidden="1"/>
    <cellStyle name="Lien hypertexte visité" xfId="7972" builtinId="9" hidden="1"/>
    <cellStyle name="Lien hypertexte visité" xfId="11943" builtinId="9" hidden="1"/>
    <cellStyle name="Lien hypertexte visité" xfId="14593" builtinId="9" hidden="1"/>
    <cellStyle name="Lien hypertexte visité" xfId="20992" builtinId="9" hidden="1"/>
    <cellStyle name="Lien hypertexte visité" xfId="9462" builtinId="9" hidden="1"/>
    <cellStyle name="Lien hypertexte visité" xfId="5318" builtinId="9" hidden="1"/>
    <cellStyle name="Lien hypertexte visité" xfId="8389" builtinId="9" hidden="1"/>
    <cellStyle name="Lien hypertexte visité" xfId="20144" builtinId="9" hidden="1"/>
    <cellStyle name="Lien hypertexte visité" xfId="3650" builtinId="9" hidden="1"/>
    <cellStyle name="Lien hypertexte visité" xfId="4903" builtinId="9" hidden="1"/>
    <cellStyle name="Lien hypertexte visité" xfId="11780" builtinId="9" hidden="1"/>
    <cellStyle name="Lien hypertexte visité" xfId="20228" builtinId="9" hidden="1"/>
    <cellStyle name="Lien hypertexte visité" xfId="309" builtinId="9" hidden="1"/>
    <cellStyle name="Lien hypertexte visité" xfId="18566" builtinId="9" hidden="1"/>
    <cellStyle name="Lien hypertexte visité" xfId="10917" builtinId="9" hidden="1"/>
    <cellStyle name="Lien hypertexte visité" xfId="9044" builtinId="9" hidden="1"/>
    <cellStyle name="Lien hypertexte visité" xfId="22118" builtinId="9" hidden="1"/>
    <cellStyle name="Lien hypertexte visité" xfId="23110" builtinId="9" hidden="1"/>
    <cellStyle name="Lien hypertexte visité" xfId="3437" builtinId="9" hidden="1"/>
    <cellStyle name="Lien hypertexte visité" xfId="7431" builtinId="9" hidden="1"/>
    <cellStyle name="Lien hypertexte visité" xfId="15893" builtinId="9" hidden="1"/>
    <cellStyle name="Lien hypertexte visité" xfId="12405" builtinId="9" hidden="1"/>
    <cellStyle name="Lien hypertexte visité" xfId="595" builtinId="9" hidden="1"/>
    <cellStyle name="Lien hypertexte visité" xfId="13431" builtinId="9" hidden="1"/>
    <cellStyle name="Lien hypertexte visité" xfId="15209" builtinId="9" hidden="1"/>
    <cellStyle name="Lien hypertexte visité" xfId="17435" builtinId="9" hidden="1"/>
    <cellStyle name="Lien hypertexte visité" xfId="14446" builtinId="9" hidden="1"/>
    <cellStyle name="Lien hypertexte visité" xfId="13541" builtinId="9" hidden="1"/>
    <cellStyle name="Lien hypertexte visité" xfId="15317" builtinId="9" hidden="1"/>
    <cellStyle name="Lien hypertexte visité" xfId="23866" builtinId="9" hidden="1"/>
    <cellStyle name="Lien hypertexte visité" xfId="12524" builtinId="9" hidden="1"/>
    <cellStyle name="Lien hypertexte visité" xfId="9408" builtinId="9" hidden="1"/>
    <cellStyle name="Lien hypertexte visité" xfId="4202" builtinId="9" hidden="1"/>
    <cellStyle name="Lien hypertexte visité" xfId="23894" builtinId="9" hidden="1"/>
    <cellStyle name="Lien hypertexte visité" xfId="10969" builtinId="9" hidden="1"/>
    <cellStyle name="Lien hypertexte visité" xfId="18061" builtinId="9" hidden="1"/>
    <cellStyle name="Lien hypertexte visité" xfId="18484" builtinId="9" hidden="1"/>
    <cellStyle name="Lien hypertexte visité" xfId="13313" builtinId="9" hidden="1"/>
    <cellStyle name="Lien hypertexte visité" xfId="10633" builtinId="9" hidden="1"/>
    <cellStyle name="Lien hypertexte visité" xfId="11960" builtinId="9" hidden="1"/>
    <cellStyle name="Lien hypertexte visité" xfId="20382" builtinId="9" hidden="1"/>
    <cellStyle name="Lien hypertexte visité" xfId="7728" builtinId="9" hidden="1"/>
    <cellStyle name="Lien hypertexte visité" xfId="5551" builtinId="9" hidden="1"/>
    <cellStyle name="Lien hypertexte visité" xfId="10204" builtinId="9" hidden="1"/>
    <cellStyle name="Lien hypertexte visité" xfId="14349" builtinId="9" hidden="1"/>
    <cellStyle name="Lien hypertexte visité" xfId="1335" builtinId="9" hidden="1"/>
    <cellStyle name="Lien hypertexte visité" xfId="8230" builtinId="9" hidden="1"/>
    <cellStyle name="Lien hypertexte visité" xfId="7010" builtinId="9" hidden="1"/>
    <cellStyle name="Lien hypertexte visité" xfId="10467" builtinId="9" hidden="1"/>
    <cellStyle name="Lien hypertexte visité" xfId="103" builtinId="9" hidden="1"/>
    <cellStyle name="Lien hypertexte visité" xfId="13528" builtinId="9" hidden="1"/>
    <cellStyle name="Lien hypertexte visité" xfId="11105" builtinId="9" hidden="1"/>
    <cellStyle name="Lien hypertexte visité" xfId="3225" builtinId="9" hidden="1"/>
    <cellStyle name="Lien hypertexte visité" xfId="24118" builtinId="9" hidden="1"/>
    <cellStyle name="Lien hypertexte visité" xfId="3593" builtinId="9" hidden="1"/>
    <cellStyle name="Lien hypertexte visité" xfId="14681" builtinId="9" hidden="1"/>
    <cellStyle name="Lien hypertexte visité" xfId="4741" builtinId="9" hidden="1"/>
    <cellStyle name="Lien hypertexte visité" xfId="7830" builtinId="9" hidden="1"/>
    <cellStyle name="Lien hypertexte visité" xfId="15755" builtinId="9" hidden="1"/>
    <cellStyle name="Lien hypertexte visité" xfId="23570" builtinId="9" hidden="1"/>
    <cellStyle name="Lien hypertexte visité" xfId="22250" builtinId="9" hidden="1"/>
    <cellStyle name="Lien hypertexte visité" xfId="6685" builtinId="9" hidden="1"/>
    <cellStyle name="Lien hypertexte visité" xfId="5185" builtinId="9" hidden="1"/>
    <cellStyle name="Lien hypertexte visité" xfId="585" builtinId="9" hidden="1"/>
    <cellStyle name="Lien hypertexte visité" xfId="15641" builtinId="9" hidden="1"/>
    <cellStyle name="Lien hypertexte visité" xfId="10250" builtinId="9" hidden="1"/>
    <cellStyle name="Lien hypertexte visité" xfId="13820" builtinId="9" hidden="1"/>
    <cellStyle name="Lien hypertexte visité" xfId="9528" builtinId="9" hidden="1"/>
    <cellStyle name="Lien hypertexte visité" xfId="12560" builtinId="9" hidden="1"/>
    <cellStyle name="Lien hypertexte visité" xfId="12017" builtinId="9" hidden="1"/>
    <cellStyle name="Lien hypertexte visité" xfId="4655" builtinId="9" hidden="1"/>
    <cellStyle name="Lien hypertexte visité" xfId="22196" builtinId="9" hidden="1"/>
    <cellStyle name="Lien hypertexte visité" xfId="2232" builtinId="9" hidden="1"/>
    <cellStyle name="Lien hypertexte visité" xfId="5554" builtinId="9" hidden="1"/>
    <cellStyle name="Lien hypertexte visité" xfId="11187" builtinId="9" hidden="1"/>
    <cellStyle name="Lien hypertexte visité" xfId="14144" builtinId="9" hidden="1"/>
    <cellStyle name="Lien hypertexte visité" xfId="10209" builtinId="9" hidden="1"/>
    <cellStyle name="Lien hypertexte visité" xfId="10156" builtinId="9" hidden="1"/>
    <cellStyle name="Lien hypertexte visité" xfId="4942" builtinId="9" hidden="1"/>
    <cellStyle name="Lien hypertexte visité" xfId="18275" builtinId="9" hidden="1"/>
    <cellStyle name="Lien hypertexte visité" xfId="7061" builtinId="9" hidden="1"/>
    <cellStyle name="Lien hypertexte visité" xfId="1520" builtinId="9" hidden="1"/>
    <cellStyle name="Lien hypertexte visité" xfId="13186" builtinId="9" hidden="1"/>
    <cellStyle name="Lien hypertexte visité" xfId="17601" builtinId="9" hidden="1"/>
    <cellStyle name="Lien hypertexte visité" xfId="7411" builtinId="9" hidden="1"/>
    <cellStyle name="Lien hypertexte visité" xfId="1569" builtinId="9" hidden="1"/>
    <cellStyle name="Lien hypertexte visité" xfId="4615" builtinId="9" hidden="1"/>
    <cellStyle name="Lien hypertexte visité" xfId="16245" builtinId="9" hidden="1"/>
    <cellStyle name="Lien hypertexte visité" xfId="6079" builtinId="9" hidden="1"/>
    <cellStyle name="Lien hypertexte visité" xfId="19412" builtinId="9" hidden="1"/>
    <cellStyle name="Lien hypertexte visité" xfId="451" builtinId="9" hidden="1"/>
    <cellStyle name="Lien hypertexte visité" xfId="12702" builtinId="9" hidden="1"/>
    <cellStyle name="Lien hypertexte visité" xfId="11050" builtinId="9" hidden="1"/>
    <cellStyle name="Lien hypertexte visité" xfId="2759" builtinId="9" hidden="1"/>
    <cellStyle name="Lien hypertexte visité" xfId="9685" builtinId="9" hidden="1"/>
    <cellStyle name="Lien hypertexte visité" xfId="6070" builtinId="9" hidden="1"/>
    <cellStyle name="Lien hypertexte visité" xfId="11350" builtinId="9" hidden="1"/>
    <cellStyle name="Lien hypertexte visité" xfId="21666" builtinId="9" hidden="1"/>
    <cellStyle name="Lien hypertexte visité" xfId="18536" builtinId="9" hidden="1"/>
    <cellStyle name="Lien hypertexte visité" xfId="23488" builtinId="9" hidden="1"/>
    <cellStyle name="Lien hypertexte visité" xfId="4822" builtinId="9" hidden="1"/>
    <cellStyle name="Lien hypertexte visité" xfId="15009" builtinId="9" hidden="1"/>
    <cellStyle name="Lien hypertexte visité" xfId="15717" builtinId="9" hidden="1"/>
    <cellStyle name="Lien hypertexte visité" xfId="9291" builtinId="9" hidden="1"/>
    <cellStyle name="Lien hypertexte visité" xfId="11120" builtinId="9" hidden="1"/>
    <cellStyle name="Lien hypertexte visité" xfId="16623" builtinId="9" hidden="1"/>
    <cellStyle name="Lien hypertexte visité" xfId="3058" builtinId="9" hidden="1"/>
    <cellStyle name="Lien hypertexte visité" xfId="14771" builtinId="9" hidden="1"/>
    <cellStyle name="Lien hypertexte visité" xfId="1275" builtinId="9" hidden="1"/>
    <cellStyle name="Lien hypertexte visité" xfId="12747" builtinId="9" hidden="1"/>
    <cellStyle name="Lien hypertexte visité" xfId="8939" builtinId="9" hidden="1"/>
    <cellStyle name="Lien hypertexte visité" xfId="2748" builtinId="9" hidden="1"/>
    <cellStyle name="Lien hypertexte visité" xfId="12323" builtinId="9" hidden="1"/>
    <cellStyle name="Lien hypertexte visité" xfId="12393" builtinId="9" hidden="1"/>
    <cellStyle name="Lien hypertexte visité" xfId="9937" builtinId="9" hidden="1"/>
    <cellStyle name="Lien hypertexte visité" xfId="18892" builtinId="9" hidden="1"/>
    <cellStyle name="Lien hypertexte visité" xfId="18207" builtinId="9" hidden="1"/>
    <cellStyle name="Lien hypertexte visité" xfId="3396" builtinId="9" hidden="1"/>
    <cellStyle name="Lien hypertexte visité" xfId="12223" builtinId="9" hidden="1"/>
    <cellStyle name="Lien hypertexte visité" xfId="3276" builtinId="9" hidden="1"/>
    <cellStyle name="Lien hypertexte visité" xfId="15571" builtinId="9" hidden="1"/>
    <cellStyle name="Lien hypertexte visité" xfId="6386" builtinId="9" hidden="1"/>
    <cellStyle name="Lien hypertexte visité" xfId="9736" builtinId="9" hidden="1"/>
    <cellStyle name="Lien hypertexte visité" xfId="15295" builtinId="9" hidden="1"/>
    <cellStyle name="Lien hypertexte visité" xfId="8800" builtinId="9" hidden="1"/>
    <cellStyle name="Lien hypertexte visité" xfId="14124" builtinId="9" hidden="1"/>
    <cellStyle name="Lien hypertexte visité" xfId="3254" builtinId="9" hidden="1"/>
    <cellStyle name="Lien hypertexte visité" xfId="10886" builtinId="9" hidden="1"/>
    <cellStyle name="Lien hypertexte visité" xfId="18960" builtinId="9" hidden="1"/>
    <cellStyle name="Lien hypertexte visité" xfId="1695" builtinId="9" hidden="1"/>
    <cellStyle name="Lien hypertexte visité" xfId="11509" builtinId="9" hidden="1"/>
    <cellStyle name="Lien hypertexte visité" xfId="4166" builtinId="9" hidden="1"/>
    <cellStyle name="Lien hypertexte visité" xfId="10062" builtinId="9" hidden="1"/>
    <cellStyle name="Lien hypertexte visité" xfId="24074" builtinId="9" hidden="1"/>
    <cellStyle name="Lien hypertexte visité" xfId="23090" builtinId="9" hidden="1"/>
    <cellStyle name="Lien hypertexte visité" xfId="10597" builtinId="9" hidden="1"/>
    <cellStyle name="Lien hypertexte visité" xfId="17429" builtinId="9" hidden="1"/>
    <cellStyle name="Lien hypertexte visité" xfId="1693" builtinId="9" hidden="1"/>
    <cellStyle name="Lien hypertexte visité" xfId="7912" builtinId="9" hidden="1"/>
    <cellStyle name="Lien hypertexte visité" xfId="2129" builtinId="9" hidden="1"/>
    <cellStyle name="Lien hypertexte visité" xfId="13108" builtinId="9" hidden="1"/>
    <cellStyle name="Lien hypertexte visité" xfId="1522" builtinId="9" hidden="1"/>
    <cellStyle name="Lien hypertexte visité" xfId="5067" builtinId="9" hidden="1"/>
    <cellStyle name="Lien hypertexte visité" xfId="24566" builtinId="9" hidden="1"/>
    <cellStyle name="Lien hypertexte visité" xfId="5020" builtinId="9" hidden="1"/>
    <cellStyle name="Lien hypertexte visité" xfId="10799" builtinId="9" hidden="1"/>
    <cellStyle name="Lien hypertexte visité" xfId="14494" builtinId="9" hidden="1"/>
    <cellStyle name="Lien hypertexte visité" xfId="22714" builtinId="9" hidden="1"/>
    <cellStyle name="Lien hypertexte visité" xfId="3977" builtinId="9" hidden="1"/>
    <cellStyle name="Lien hypertexte visité" xfId="7922" builtinId="9" hidden="1"/>
    <cellStyle name="Lien hypertexte visité" xfId="12805" builtinId="9" hidden="1"/>
    <cellStyle name="Lien hypertexte visité" xfId="3022" builtinId="9" hidden="1"/>
    <cellStyle name="Lien hypertexte visité" xfId="7815" builtinId="9" hidden="1"/>
    <cellStyle name="Lien hypertexte visité" xfId="9270" builtinId="9" hidden="1"/>
    <cellStyle name="Lien hypertexte visité" xfId="17065" builtinId="9" hidden="1"/>
    <cellStyle name="Lien hypertexte visité" xfId="19274" builtinId="9" hidden="1"/>
    <cellStyle name="Lien hypertexte visité" xfId="18075" builtinId="9" hidden="1"/>
    <cellStyle name="Lien hypertexte visité" xfId="8423" builtinId="9" hidden="1"/>
    <cellStyle name="Lien hypertexte visité" xfId="13658" builtinId="9" hidden="1"/>
    <cellStyle name="Lien hypertexte visité" xfId="14215" builtinId="9" hidden="1"/>
    <cellStyle name="Lien hypertexte visité" xfId="18103" builtinId="9" hidden="1"/>
    <cellStyle name="Lien hypertexte visité" xfId="22226" builtinId="9" hidden="1"/>
    <cellStyle name="Lien hypertexte visité" xfId="17457" builtinId="9" hidden="1"/>
    <cellStyle name="Lien hypertexte visité" xfId="17387" builtinId="9" hidden="1"/>
    <cellStyle name="Lien hypertexte visité" xfId="17707" builtinId="9" hidden="1"/>
    <cellStyle name="Lien hypertexte visité" xfId="9399" builtinId="9" hidden="1"/>
    <cellStyle name="Lien hypertexte visité" xfId="6529" builtinId="9" hidden="1"/>
    <cellStyle name="Lien hypertexte visité" xfId="17625" builtinId="9" hidden="1"/>
    <cellStyle name="Lien hypertexte visité" xfId="19830" builtinId="9" hidden="1"/>
    <cellStyle name="Lien hypertexte visité" xfId="11060" builtinId="9" hidden="1"/>
    <cellStyle name="Lien hypertexte visité" xfId="3614" builtinId="9" hidden="1"/>
    <cellStyle name="Lien hypertexte visité" xfId="16593" builtinId="9" hidden="1"/>
    <cellStyle name="Lien hypertexte visité" xfId="6550" builtinId="9" hidden="1"/>
    <cellStyle name="Lien hypertexte visité" xfId="9578" builtinId="9" hidden="1"/>
    <cellStyle name="Lien hypertexte visité" xfId="20884" builtinId="9" hidden="1"/>
    <cellStyle name="Lien hypertexte visité" xfId="12120" builtinId="9" hidden="1"/>
    <cellStyle name="Lien hypertexte visité" xfId="1227" builtinId="9" hidden="1"/>
    <cellStyle name="Lien hypertexte visité" xfId="21984" builtinId="9" hidden="1"/>
    <cellStyle name="Lien hypertexte visité" xfId="19024" builtinId="9" hidden="1"/>
    <cellStyle name="Lien hypertexte visité" xfId="16523" builtinId="9" hidden="1"/>
    <cellStyle name="Lien hypertexte visité" xfId="17733" builtinId="9" hidden="1"/>
    <cellStyle name="Lien hypertexte visité" xfId="9305" builtinId="9" hidden="1"/>
    <cellStyle name="Lien hypertexte visité" xfId="20430" builtinId="9" hidden="1"/>
    <cellStyle name="Lien hypertexte visité" xfId="11552" builtinId="9" hidden="1"/>
    <cellStyle name="Lien hypertexte visité" xfId="17981" builtinId="9" hidden="1"/>
    <cellStyle name="Lien hypertexte visité" xfId="14639" builtinId="9" hidden="1"/>
    <cellStyle name="Lien hypertexte visité" xfId="6272" builtinId="9" hidden="1"/>
    <cellStyle name="Lien hypertexte visité" xfId="5423" builtinId="9" hidden="1"/>
    <cellStyle name="Lien hypertexte visité" xfId="8220" builtinId="9" hidden="1"/>
    <cellStyle name="Lien hypertexte visité" xfId="22102" builtinId="9" hidden="1"/>
    <cellStyle name="Lien hypertexte visité" xfId="5836" builtinId="9" hidden="1"/>
    <cellStyle name="Lien hypertexte visité" xfId="7774" builtinId="9" hidden="1"/>
    <cellStyle name="Lien hypertexte visité" xfId="15567" builtinId="9" hidden="1"/>
    <cellStyle name="Lien hypertexte visité" xfId="21456" builtinId="9" hidden="1"/>
    <cellStyle name="Lien hypertexte visité" xfId="6797" builtinId="9" hidden="1"/>
    <cellStyle name="Lien hypertexte visité" xfId="4089" builtinId="9" hidden="1"/>
    <cellStyle name="Lien hypertexte visité" xfId="3071" builtinId="9" hidden="1"/>
    <cellStyle name="Lien hypertexte visité" xfId="5961" builtinId="9" hidden="1"/>
    <cellStyle name="Lien hypertexte visité" xfId="1771" builtinId="9" hidden="1"/>
    <cellStyle name="Lien hypertexte visité" xfId="11134" builtinId="9" hidden="1"/>
    <cellStyle name="Lien hypertexte visité" xfId="22624" builtinId="9" hidden="1"/>
    <cellStyle name="Lien hypertexte visité" xfId="12134" builtinId="9" hidden="1"/>
    <cellStyle name="Lien hypertexte visité" xfId="3431" builtinId="9" hidden="1"/>
    <cellStyle name="Lien hypertexte visité" xfId="9738" builtinId="9" hidden="1"/>
    <cellStyle name="Lien hypertexte visité" xfId="20970" builtinId="9" hidden="1"/>
    <cellStyle name="Lien hypertexte visité" xfId="4257" builtinId="9" hidden="1"/>
    <cellStyle name="Lien hypertexte visité" xfId="2584" builtinId="9" hidden="1"/>
    <cellStyle name="Lien hypertexte visité" xfId="6673" builtinId="9" hidden="1"/>
    <cellStyle name="Lien hypertexte visité" xfId="23802" builtinId="9" hidden="1"/>
    <cellStyle name="Lien hypertexte visité" xfId="1326" builtinId="9" hidden="1"/>
    <cellStyle name="Lien hypertexte visité" xfId="14270" builtinId="9" hidden="1"/>
    <cellStyle name="Lien hypertexte visité" xfId="15601" builtinId="9" hidden="1"/>
    <cellStyle name="Lien hypertexte visité" xfId="9382" builtinId="9" hidden="1"/>
    <cellStyle name="Lien hypertexte visité" xfId="19808" builtinId="9" hidden="1"/>
    <cellStyle name="Lien hypertexte visité" xfId="2007" builtinId="9" hidden="1"/>
    <cellStyle name="Lien hypertexte visité" xfId="6961" builtinId="9" hidden="1"/>
    <cellStyle name="Lien hypertexte visité" xfId="4181" builtinId="9" hidden="1"/>
    <cellStyle name="Lien hypertexte visité" xfId="2987" builtinId="9" hidden="1"/>
    <cellStyle name="Lien hypertexte visité" xfId="4809" builtinId="9" hidden="1"/>
    <cellStyle name="Lien hypertexte visité" xfId="12377" builtinId="9" hidden="1"/>
    <cellStyle name="Lien hypertexte visité" xfId="9756" builtinId="9" hidden="1"/>
    <cellStyle name="Lien hypertexte visité" xfId="2136" builtinId="9" hidden="1"/>
    <cellStyle name="Lien hypertexte visité" xfId="11469" builtinId="9" hidden="1"/>
    <cellStyle name="Lien hypertexte visité" xfId="15557" builtinId="9" hidden="1"/>
    <cellStyle name="Lien hypertexte visité" xfId="2581" builtinId="9" hidden="1"/>
    <cellStyle name="Lien hypertexte visité" xfId="1722" builtinId="9" hidden="1"/>
    <cellStyle name="Lien hypertexte visité" xfId="10033" builtinId="9" hidden="1"/>
    <cellStyle name="Lien hypertexte visité" xfId="22126" builtinId="9" hidden="1"/>
    <cellStyle name="Lien hypertexte visité" xfId="12496" builtinId="9" hidden="1"/>
    <cellStyle name="Lien hypertexte visité" xfId="18143" builtinId="9" hidden="1"/>
    <cellStyle name="Lien hypertexte visité" xfId="17853" builtinId="9" hidden="1"/>
    <cellStyle name="Lien hypertexte visité" xfId="5519" builtinId="9" hidden="1"/>
    <cellStyle name="Lien hypertexte visité" xfId="6124" builtinId="9" hidden="1"/>
    <cellStyle name="Lien hypertexte visité" xfId="4805" builtinId="9" hidden="1"/>
    <cellStyle name="Lien hypertexte visité" xfId="19434" builtinId="9" hidden="1"/>
    <cellStyle name="Lien hypertexte visité" xfId="15561" builtinId="9" hidden="1"/>
    <cellStyle name="Lien hypertexte visité" xfId="4514" builtinId="9" hidden="1"/>
    <cellStyle name="Lien hypertexte visité" xfId="7224" builtinId="9" hidden="1"/>
    <cellStyle name="Lien hypertexte visité" xfId="9423" builtinId="9" hidden="1"/>
    <cellStyle name="Lien hypertexte visité" xfId="2691" builtinId="9" hidden="1"/>
    <cellStyle name="Lien hypertexte visité" xfId="16951" builtinId="9" hidden="1"/>
    <cellStyle name="Lien hypertexte visité" xfId="6469" builtinId="9" hidden="1"/>
    <cellStyle name="Lien hypertexte visité" xfId="17747" builtinId="9" hidden="1"/>
    <cellStyle name="Lien hypertexte visité" xfId="14418" builtinId="9" hidden="1"/>
    <cellStyle name="Lien hypertexte visité" xfId="5701" builtinId="9" hidden="1"/>
    <cellStyle name="Lien hypertexte visité" xfId="4553" builtinId="9" hidden="1"/>
    <cellStyle name="Lien hypertexte visité" xfId="5697" builtinId="9" hidden="1"/>
    <cellStyle name="Lien hypertexte visité" xfId="2815" builtinId="9" hidden="1"/>
    <cellStyle name="Lien hypertexte visité" xfId="3351" builtinId="9" hidden="1"/>
    <cellStyle name="Lien hypertexte visité" xfId="17777" builtinId="9" hidden="1"/>
    <cellStyle name="Lien hypertexte visité" xfId="18360" builtinId="9" hidden="1"/>
    <cellStyle name="Lien hypertexte visité" xfId="3492" builtinId="9" hidden="1"/>
    <cellStyle name="Lien hypertexte visité" xfId="1956" builtinId="9" hidden="1"/>
    <cellStyle name="Lien hypertexte visité" xfId="7330" builtinId="9" hidden="1"/>
    <cellStyle name="Lien hypertexte visité" xfId="11763" builtinId="9" hidden="1"/>
    <cellStyle name="Lien hypertexte visité" xfId="13723" builtinId="9" hidden="1"/>
    <cellStyle name="Lien hypertexte visité" xfId="16291" builtinId="9" hidden="1"/>
    <cellStyle name="Lien hypertexte visité" xfId="15187" builtinId="9" hidden="1"/>
    <cellStyle name="Lien hypertexte visité" xfId="13963" builtinId="9" hidden="1"/>
    <cellStyle name="Lien hypertexte visité" xfId="10507" builtinId="9" hidden="1"/>
    <cellStyle name="Lien hypertexte visité" xfId="12011" builtinId="9" hidden="1"/>
    <cellStyle name="Lien hypertexte visité" xfId="2908" builtinId="9" hidden="1"/>
    <cellStyle name="Lien hypertexte visité" xfId="4122" builtinId="9" hidden="1"/>
    <cellStyle name="Lien hypertexte visité" xfId="6098" builtinId="9" hidden="1"/>
    <cellStyle name="Lien hypertexte visité" xfId="7634" builtinId="9" hidden="1"/>
    <cellStyle name="Lien hypertexte visité" xfId="247" builtinId="9" hidden="1"/>
    <cellStyle name="Lien hypertexte visité" xfId="6088" builtinId="9" hidden="1"/>
    <cellStyle name="Lien hypertexte visité" xfId="15947" builtinId="9" hidden="1"/>
    <cellStyle name="Lien hypertexte visité" xfId="13439" builtinId="9" hidden="1"/>
    <cellStyle name="Lien hypertexte visité" xfId="8831" builtinId="9" hidden="1"/>
    <cellStyle name="Lien hypertexte visité" xfId="7038" builtinId="9" hidden="1"/>
    <cellStyle name="Lien hypertexte visité" xfId="4734" builtinId="9" hidden="1"/>
    <cellStyle name="Lien hypertexte visité" xfId="2936" builtinId="9" hidden="1"/>
    <cellStyle name="Lien hypertexte visité" xfId="81" builtinId="9" hidden="1"/>
    <cellStyle name="Lien hypertexte visité" xfId="2310" builtinId="9" hidden="1"/>
    <cellStyle name="Lien hypertexte visité" xfId="4620" builtinId="9" hidden="1"/>
    <cellStyle name="Lien hypertexte visité" xfId="8717" builtinId="9" hidden="1"/>
    <cellStyle name="Lien hypertexte visité" xfId="10925" builtinId="9" hidden="1"/>
    <cellStyle name="Lien hypertexte visité" xfId="12813" builtinId="9" hidden="1"/>
    <cellStyle name="Lien hypertexte visité" xfId="15527" builtinId="9" hidden="1"/>
    <cellStyle name="Lien hypertexte visité" xfId="19286" builtinId="9" hidden="1"/>
    <cellStyle name="Lien hypertexte visité" xfId="23702" builtinId="9" hidden="1"/>
    <cellStyle name="Lien hypertexte visité" xfId="20916" builtinId="9" hidden="1"/>
    <cellStyle name="Lien hypertexte visité" xfId="13628" builtinId="9" hidden="1"/>
    <cellStyle name="Lien hypertexte visité" xfId="11836" builtinId="9" hidden="1"/>
    <cellStyle name="Lien hypertexte visité" xfId="9532" builtinId="9" hidden="1"/>
    <cellStyle name="Lien hypertexte visité" xfId="7739" builtinId="9" hidden="1"/>
    <cellStyle name="Lien hypertexte visité" xfId="5435" builtinId="9" hidden="1"/>
    <cellStyle name="Lien hypertexte visité" xfId="3125" builtinId="9" hidden="1"/>
    <cellStyle name="Lien hypertexte visité" xfId="1332" builtinId="9" hidden="1"/>
    <cellStyle name="Lien hypertexte visité" xfId="3923" builtinId="9" hidden="1"/>
    <cellStyle name="Lien hypertexte visité" xfId="6223" builtinId="9" hidden="1"/>
    <cellStyle name="Lien hypertexte visité" xfId="8016" builtinId="9" hidden="1"/>
    <cellStyle name="Lien hypertexte visité" xfId="1233" builtinId="9" hidden="1"/>
    <cellStyle name="Lien hypertexte visité" xfId="2706" builtinId="9" hidden="1"/>
    <cellStyle name="Lien hypertexte visité" xfId="3968" builtinId="9" hidden="1"/>
    <cellStyle name="Lien hypertexte visité" xfId="5440" builtinId="9" hidden="1"/>
    <cellStyle name="Lien hypertexte visité" xfId="8177" builtinId="9" hidden="1"/>
    <cellStyle name="Lien hypertexte visité" xfId="9433" builtinId="9" hidden="1"/>
    <cellStyle name="Lien hypertexte visité" xfId="10905" builtinId="9" hidden="1"/>
    <cellStyle name="Lien hypertexte visité" xfId="12441" builtinId="9" hidden="1"/>
    <cellStyle name="Lien hypertexte visité" xfId="13633" builtinId="9" hidden="1"/>
    <cellStyle name="Lien hypertexte visité" xfId="15823" builtinId="9" hidden="1"/>
    <cellStyle name="Lien hypertexte visité" xfId="18223" builtinId="9" hidden="1"/>
    <cellStyle name="Lien hypertexte visité" xfId="23662" builtinId="9" hidden="1"/>
    <cellStyle name="Lien hypertexte visité" xfId="22492" builtinId="9" hidden="1"/>
    <cellStyle name="Lien hypertexte visité" xfId="19420" builtinId="9" hidden="1"/>
    <cellStyle name="Lien hypertexte visité" xfId="17053" builtinId="9" hidden="1"/>
    <cellStyle name="Lien hypertexte visité" xfId="14248" builtinId="9" hidden="1"/>
    <cellStyle name="Lien hypertexte visité" xfId="13048" builtinId="9" hidden="1"/>
    <cellStyle name="Lien hypertexte visité" xfId="11512" builtinId="9" hidden="1"/>
    <cellStyle name="Lien hypertexte visité" xfId="9056" builtinId="9" hidden="1"/>
    <cellStyle name="Lien hypertexte visité" xfId="13536" builtinId="9" hidden="1"/>
    <cellStyle name="Lien hypertexte visité" xfId="19964" builtinId="9" hidden="1"/>
    <cellStyle name="Lien hypertexte visité" xfId="20302" builtinId="9" hidden="1"/>
    <cellStyle name="Lien hypertexte visité" xfId="13705" builtinId="9" hidden="1"/>
    <cellStyle name="Lien hypertexte visité" xfId="9225" builtinId="9" hidden="1"/>
    <cellStyle name="Lien hypertexte visité" xfId="9033" builtinId="9" hidden="1"/>
    <cellStyle name="Lien hypertexte visité" xfId="10808" builtinId="9" hidden="1"/>
    <cellStyle name="Lien hypertexte visité" xfId="14392" builtinId="9" hidden="1"/>
    <cellStyle name="Lien hypertexte visité" xfId="23468" builtinId="9" hidden="1"/>
    <cellStyle name="Lien hypertexte visité" xfId="18590" builtinId="9" hidden="1"/>
    <cellStyle name="Lien hypertexte visité" xfId="11953" builtinId="9" hidden="1"/>
    <cellStyle name="Lien hypertexte visité" xfId="8369" builtinId="9" hidden="1"/>
    <cellStyle name="Lien hypertexte visité" xfId="3763" builtinId="9" hidden="1"/>
    <cellStyle name="Lien hypertexte visité" xfId="1801" builtinId="9" hidden="1"/>
    <cellStyle name="Lien hypertexte visité" xfId="6267" builtinId="9" hidden="1"/>
    <cellStyle name="Lien hypertexte visité" xfId="11644" builtinId="9" hidden="1"/>
    <cellStyle name="Lien hypertexte visité" xfId="22580" builtinId="9" hidden="1"/>
    <cellStyle name="Lien hypertexte visité" xfId="15911" builtinId="9" hidden="1"/>
    <cellStyle name="Lien hypertexte visité" xfId="8301" builtinId="9" hidden="1"/>
    <cellStyle name="Lien hypertexte visité" xfId="11132" builtinId="9" hidden="1"/>
    <cellStyle name="Lien hypertexte visité" xfId="12289" builtinId="9" hidden="1"/>
    <cellStyle name="Lien hypertexte visité" xfId="17341" builtinId="9" hidden="1"/>
    <cellStyle name="Lien hypertexte visité" xfId="10569" builtinId="9" hidden="1"/>
    <cellStyle name="Lien hypertexte visité" xfId="17247" builtinId="9" hidden="1"/>
    <cellStyle name="Lien hypertexte visité" xfId="9568" builtinId="9" hidden="1"/>
    <cellStyle name="Lien hypertexte visité" xfId="13160" builtinId="9" hidden="1"/>
    <cellStyle name="Lien hypertexte visité" xfId="19084" builtinId="9" hidden="1"/>
    <cellStyle name="Lien hypertexte visité" xfId="14145" builtinId="9" hidden="1"/>
    <cellStyle name="Lien hypertexte visité" xfId="9601" builtinId="9" hidden="1"/>
    <cellStyle name="Lien hypertexte visité" xfId="5952" builtinId="9" hidden="1"/>
    <cellStyle name="Lien hypertexte visité" xfId="1401" builtinId="9" hidden="1"/>
    <cellStyle name="Lien hypertexte visité" xfId="3762" builtinId="9" hidden="1"/>
    <cellStyle name="Lien hypertexte visité" xfId="2869" builtinId="9" hidden="1"/>
    <cellStyle name="Lien hypertexte visité" xfId="9692" builtinId="9" hidden="1"/>
    <cellStyle name="Lien hypertexte visité" xfId="19798" builtinId="9" hidden="1"/>
    <cellStyle name="Lien hypertexte visité" xfId="11693" builtinId="9" hidden="1"/>
    <cellStyle name="Lien hypertexte visité" xfId="4876" builtinId="9" hidden="1"/>
    <cellStyle name="Lien hypertexte visité" xfId="3128" builtinId="9" hidden="1"/>
    <cellStyle name="Lien hypertexte visité" xfId="8575" builtinId="9" hidden="1"/>
    <cellStyle name="Lien hypertexte visité" xfId="16331" builtinId="9" hidden="1"/>
    <cellStyle name="Lien hypertexte visité" xfId="8299" builtinId="9" hidden="1"/>
    <cellStyle name="Lien hypertexte visité" xfId="11123" builtinId="9" hidden="1"/>
    <cellStyle name="Lien hypertexte visité" xfId="15907" builtinId="9" hidden="1"/>
    <cellStyle name="Lien hypertexte visité" xfId="11899" builtinId="9" hidden="1"/>
    <cellStyle name="Lien hypertexte visité" xfId="3268" builtinId="9" hidden="1"/>
    <cellStyle name="Lien hypertexte visité" xfId="9131" builtinId="9" hidden="1"/>
    <cellStyle name="Lien hypertexte visité" xfId="16287" builtinId="9" hidden="1"/>
    <cellStyle name="Lien hypertexte visité" xfId="10712" builtinId="9" hidden="1"/>
    <cellStyle name="Lien hypertexte visité" xfId="17775" builtinId="9" hidden="1"/>
    <cellStyle name="Lien hypertexte visité" xfId="9313" builtinId="9" hidden="1"/>
    <cellStyle name="Lien hypertexte visité" xfId="3859" builtinId="9" hidden="1"/>
    <cellStyle name="Lien hypertexte visité" xfId="3999" builtinId="9" hidden="1"/>
    <cellStyle name="Lien hypertexte visité" xfId="5355" builtinId="9" hidden="1"/>
    <cellStyle name="Lien hypertexte visité" xfId="16677" builtinId="9" hidden="1"/>
    <cellStyle name="Lien hypertexte visité" xfId="16199" builtinId="9" hidden="1"/>
    <cellStyle name="Lien hypertexte visité" xfId="6286" builtinId="9" hidden="1"/>
    <cellStyle name="Lien hypertexte visité" xfId="14479" builtinId="9" hidden="1"/>
    <cellStyle name="Lien hypertexte visité" xfId="14086" builtinId="9" hidden="1"/>
    <cellStyle name="Lien hypertexte visité" xfId="24568" builtinId="9" hidden="1"/>
    <cellStyle name="Lien hypertexte visité" xfId="13802" builtinId="9" hidden="1"/>
    <cellStyle name="Lien hypertexte visité" xfId="7009" builtinId="9" hidden="1"/>
    <cellStyle name="Lien hypertexte visité" xfId="681" builtinId="9" hidden="1"/>
    <cellStyle name="Lien hypertexte visité" xfId="15735" builtinId="9" hidden="1"/>
    <cellStyle name="Lien hypertexte visité" xfId="20260" builtinId="9" hidden="1"/>
    <cellStyle name="Lien hypertexte visité" xfId="17653" builtinId="9" hidden="1"/>
    <cellStyle name="Lien hypertexte visité" xfId="14404" builtinId="9" hidden="1"/>
    <cellStyle name="Lien hypertexte visité" xfId="13092" builtinId="9" hidden="1"/>
    <cellStyle name="Lien hypertexte visité" xfId="11412" builtinId="9" hidden="1"/>
    <cellStyle name="Lien hypertexte visité" xfId="9716" builtinId="9" hidden="1"/>
    <cellStyle name="Lien hypertexte visité" xfId="6723" builtinId="9" hidden="1"/>
    <cellStyle name="Lien hypertexte visité" xfId="5411" builtinId="9" hidden="1"/>
    <cellStyle name="Lien hypertexte visité" xfId="11749" builtinId="9" hidden="1"/>
    <cellStyle name="Lien hypertexte visité" xfId="7140" builtinId="9" hidden="1"/>
    <cellStyle name="Lien hypertexte visité" xfId="1245" builtinId="9" hidden="1"/>
    <cellStyle name="Lien hypertexte visité" xfId="5798" builtinId="9" hidden="1"/>
    <cellStyle name="Lien hypertexte visité" xfId="10407" builtinId="9" hidden="1"/>
    <cellStyle name="Lien hypertexte visité" xfId="11714" builtinId="9" hidden="1"/>
    <cellStyle name="Lien hypertexte visité" xfId="16425" builtinId="9" hidden="1"/>
    <cellStyle name="Lien hypertexte visité" xfId="22888" builtinId="9" hidden="1"/>
    <cellStyle name="Lien hypertexte visité" xfId="18482" builtinId="9" hidden="1"/>
    <cellStyle name="Lien hypertexte visité" xfId="13754" builtinId="9" hidden="1"/>
    <cellStyle name="Lien hypertexte visité" xfId="13690" builtinId="9" hidden="1"/>
    <cellStyle name="Lien hypertexte visité" xfId="20720" builtinId="9" hidden="1"/>
    <cellStyle name="Lien hypertexte visité" xfId="18227" builtinId="9" hidden="1"/>
    <cellStyle name="Lien hypertexte visité" xfId="20258" builtinId="9" hidden="1"/>
    <cellStyle name="Lien hypertexte visité" xfId="22882" builtinId="9" hidden="1"/>
    <cellStyle name="Lien hypertexte visité" xfId="23720" builtinId="9" hidden="1"/>
    <cellStyle name="Lien hypertexte visité" xfId="21672" builtinId="9" hidden="1"/>
    <cellStyle name="Lien hypertexte visité" xfId="19072" builtinId="9" hidden="1"/>
    <cellStyle name="Lien hypertexte visité" xfId="17041" builtinId="9" hidden="1"/>
    <cellStyle name="Lien hypertexte visité" xfId="13442" builtinId="9" hidden="1"/>
    <cellStyle name="Lien hypertexte visité" xfId="12130" builtinId="9" hidden="1"/>
    <cellStyle name="Lien hypertexte visité" xfId="10830" builtinId="9" hidden="1"/>
    <cellStyle name="Lien hypertexte visité" xfId="9806" builtinId="9" hidden="1"/>
    <cellStyle name="Lien hypertexte visité" xfId="8494" builtinId="9" hidden="1"/>
    <cellStyle name="Lien hypertexte visité" xfId="15067" builtinId="9" hidden="1"/>
    <cellStyle name="Lien hypertexte visité" xfId="12823" builtinId="9" hidden="1"/>
    <cellStyle name="Lien hypertexte visité" xfId="9335" builtinId="9" hidden="1"/>
    <cellStyle name="Lien hypertexte visité" xfId="2111" builtinId="9" hidden="1"/>
    <cellStyle name="Lien hypertexte visité" xfId="7245" builtinId="9" hidden="1"/>
    <cellStyle name="Lien hypertexte visité" xfId="14357" builtinId="9" hidden="1"/>
    <cellStyle name="Lien hypertexte visité" xfId="7129" builtinId="9" hidden="1"/>
    <cellStyle name="Lien hypertexte visité" xfId="16865" builtinId="9" hidden="1"/>
    <cellStyle name="Lien hypertexte visité" xfId="24456" builtinId="9" hidden="1"/>
    <cellStyle name="Lien hypertexte visité" xfId="22224" builtinId="9" hidden="1"/>
    <cellStyle name="Lien hypertexte visité" xfId="1559" builtinId="9" hidden="1"/>
    <cellStyle name="Lien hypertexte visité" xfId="7125" builtinId="9" hidden="1"/>
    <cellStyle name="Lien hypertexte visité" xfId="4053" builtinId="9" hidden="1"/>
    <cellStyle name="Lien hypertexte visité" xfId="4749" builtinId="9" hidden="1"/>
    <cellStyle name="Lien hypertexte visité" xfId="7862" builtinId="9" hidden="1"/>
    <cellStyle name="Lien hypertexte visité" xfId="697" builtinId="9" hidden="1"/>
    <cellStyle name="Lien hypertexte visité" xfId="16841" builtinId="9" hidden="1"/>
    <cellStyle name="Lien hypertexte visité" xfId="19946" builtinId="9" hidden="1"/>
    <cellStyle name="Lien hypertexte visité" xfId="8458" builtinId="9" hidden="1"/>
    <cellStyle name="Lien hypertexte visité" xfId="5534" builtinId="9" hidden="1"/>
    <cellStyle name="Lien hypertexte visité" xfId="10748" builtinId="9" hidden="1"/>
    <cellStyle name="Lien hypertexte visité" xfId="9817" builtinId="9" hidden="1"/>
    <cellStyle name="Lien hypertexte visité" xfId="12960" builtinId="9" hidden="1"/>
    <cellStyle name="Lien hypertexte visité" xfId="13240" builtinId="9" hidden="1"/>
    <cellStyle name="Lien hypertexte visité" xfId="22718" builtinId="9" hidden="1"/>
    <cellStyle name="Lien hypertexte visité" xfId="11329" builtinId="9" hidden="1"/>
    <cellStyle name="Lien hypertexte visité" xfId="4056" builtinId="9" hidden="1"/>
    <cellStyle name="Lien hypertexte visité" xfId="3626" builtinId="9" hidden="1"/>
    <cellStyle name="Lien hypertexte visité" xfId="8476" builtinId="9" hidden="1"/>
    <cellStyle name="Lien hypertexte visité" xfId="24244" builtinId="9" hidden="1"/>
    <cellStyle name="Lien hypertexte visité" xfId="3256" builtinId="9" hidden="1"/>
    <cellStyle name="Lien hypertexte visité" xfId="14175" builtinId="9" hidden="1"/>
    <cellStyle name="Lien hypertexte visité" xfId="4674" builtinId="9" hidden="1"/>
    <cellStyle name="Lien hypertexte visité" xfId="14059" builtinId="9" hidden="1"/>
    <cellStyle name="Lien hypertexte visité" xfId="12003" builtinId="9" hidden="1"/>
    <cellStyle name="Lien hypertexte visité" xfId="8067" builtinId="9" hidden="1"/>
    <cellStyle name="Lien hypertexte visité" xfId="11072" builtinId="9" hidden="1"/>
    <cellStyle name="Lien hypertexte visité" xfId="9185" builtinId="9" hidden="1"/>
    <cellStyle name="Lien hypertexte visité" xfId="5855" builtinId="9" hidden="1"/>
    <cellStyle name="Lien hypertexte visité" xfId="11692" builtinId="9" hidden="1"/>
    <cellStyle name="Lien hypertexte visité" xfId="11069" builtinId="9" hidden="1"/>
    <cellStyle name="Lien hypertexte visité" xfId="6478" builtinId="9" hidden="1"/>
    <cellStyle name="Lien hypertexte visité" xfId="12850" builtinId="9" hidden="1"/>
    <cellStyle name="Lien hypertexte visité" xfId="20538" builtinId="9" hidden="1"/>
    <cellStyle name="Lien hypertexte visité" xfId="6181" builtinId="9" hidden="1"/>
    <cellStyle name="Lien hypertexte visité" xfId="9541" builtinId="9" hidden="1"/>
    <cellStyle name="Lien hypertexte visité" xfId="2544" builtinId="9" hidden="1"/>
    <cellStyle name="Lien hypertexte visité" xfId="13463" builtinId="9" hidden="1"/>
    <cellStyle name="Lien hypertexte visité" xfId="13870" builtinId="9" hidden="1"/>
    <cellStyle name="Lien hypertexte visité" xfId="21450" builtinId="9" hidden="1"/>
    <cellStyle name="Lien hypertexte visité" xfId="19354" builtinId="9" hidden="1"/>
    <cellStyle name="Lien hypertexte visité" xfId="8292" builtinId="9" hidden="1"/>
    <cellStyle name="Lien hypertexte visité" xfId="20772" builtinId="9" hidden="1"/>
    <cellStyle name="Lien hypertexte visité" xfId="341" builtinId="9" hidden="1"/>
    <cellStyle name="Lien hypertexte visité" xfId="7239" builtinId="9" hidden="1"/>
    <cellStyle name="Lien hypertexte visité" xfId="5415" builtinId="9" hidden="1"/>
    <cellStyle name="Lien hypertexte visité" xfId="11652" builtinId="9" hidden="1"/>
    <cellStyle name="Lien hypertexte visité" xfId="14500" builtinId="9" hidden="1"/>
    <cellStyle name="Lien hypertexte visité" xfId="5055" builtinId="9" hidden="1"/>
    <cellStyle name="Lien hypertexte visité" xfId="7051" builtinId="9" hidden="1"/>
    <cellStyle name="Lien hypertexte visité" xfId="21460" builtinId="9" hidden="1"/>
    <cellStyle name="Lien hypertexte visité" xfId="10269" builtinId="9" hidden="1"/>
    <cellStyle name="Lien hypertexte visité" xfId="1832" builtinId="9" hidden="1"/>
    <cellStyle name="Lien hypertexte visité" xfId="12783" builtinId="9" hidden="1"/>
    <cellStyle name="Lien hypertexte visité" xfId="13382" builtinId="9" hidden="1"/>
    <cellStyle name="Lien hypertexte visité" xfId="9002" builtinId="9" hidden="1"/>
    <cellStyle name="Lien hypertexte visité" xfId="3223" builtinId="9" hidden="1"/>
    <cellStyle name="Lien hypertexte visité" xfId="2211" builtinId="9" hidden="1"/>
    <cellStyle name="Lien hypertexte visité" xfId="18007" builtinId="9" hidden="1"/>
    <cellStyle name="Lien hypertexte visité" xfId="9013" builtinId="9" hidden="1"/>
    <cellStyle name="Lien hypertexte visité" xfId="1710" builtinId="9" hidden="1"/>
    <cellStyle name="Lien hypertexte visité" xfId="6742" builtinId="9" hidden="1"/>
    <cellStyle name="Lien hypertexte visité" xfId="11810" builtinId="9" hidden="1"/>
    <cellStyle name="Lien hypertexte visité" xfId="18816" builtinId="9" hidden="1"/>
    <cellStyle name="Lien hypertexte visité" xfId="20746" builtinId="9" hidden="1"/>
    <cellStyle name="Lien hypertexte visité" xfId="13818" builtinId="9" hidden="1"/>
    <cellStyle name="Lien hypertexte visité" xfId="15825" builtinId="9" hidden="1"/>
    <cellStyle name="Lien hypertexte visité" xfId="4582" builtinId="9" hidden="1"/>
    <cellStyle name="Lien hypertexte visité" xfId="17563" builtinId="9" hidden="1"/>
    <cellStyle name="Lien hypertexte visité" xfId="2768" builtinId="9" hidden="1"/>
    <cellStyle name="Lien hypertexte visité" xfId="5981" builtinId="9" hidden="1"/>
    <cellStyle name="Lien hypertexte visité" xfId="21946" builtinId="9" hidden="1"/>
    <cellStyle name="Lien hypertexte visité" xfId="6830" builtinId="9" hidden="1"/>
    <cellStyle name="Lien hypertexte visité" xfId="12044" builtinId="9" hidden="1"/>
    <cellStyle name="Lien hypertexte visité" xfId="4426" builtinId="9" hidden="1"/>
    <cellStyle name="Lien hypertexte visité" xfId="1377" builtinId="9" hidden="1"/>
    <cellStyle name="Lien hypertexte visité" xfId="11672" builtinId="9" hidden="1"/>
    <cellStyle name="Lien hypertexte visité" xfId="21356" builtinId="9" hidden="1"/>
    <cellStyle name="Lien hypertexte visité" xfId="15423" builtinId="9" hidden="1"/>
    <cellStyle name="Lien hypertexte visité" xfId="8737" builtinId="9" hidden="1"/>
    <cellStyle name="Lien hypertexte visité" xfId="2506" builtinId="9" hidden="1"/>
    <cellStyle name="Lien hypertexte visité" xfId="5634" builtinId="9" hidden="1"/>
    <cellStyle name="Lien hypertexte visité" xfId="16147" builtinId="9" hidden="1"/>
    <cellStyle name="Lien hypertexte visité" xfId="1748" builtinId="9" hidden="1"/>
    <cellStyle name="Lien hypertexte visité" xfId="1796" builtinId="9" hidden="1"/>
    <cellStyle name="Lien hypertexte visité" xfId="7690" builtinId="9" hidden="1"/>
    <cellStyle name="Lien hypertexte visité" xfId="8019" builtinId="9" hidden="1"/>
    <cellStyle name="Lien hypertexte visité" xfId="9371" builtinId="9" hidden="1"/>
    <cellStyle name="Lien hypertexte visité" xfId="11723" builtinId="9" hidden="1"/>
    <cellStyle name="Lien hypertexte visité" xfId="3220" builtinId="9" hidden="1"/>
    <cellStyle name="Lien hypertexte visité" xfId="14067" builtinId="9" hidden="1"/>
    <cellStyle name="Lien hypertexte visité" xfId="13187" builtinId="9" hidden="1"/>
    <cellStyle name="Lien hypertexte visité" xfId="14464" builtinId="9" hidden="1"/>
    <cellStyle name="Lien hypertexte visité" xfId="4304" builtinId="9" hidden="1"/>
    <cellStyle name="Lien hypertexte visité" xfId="10529" builtinId="9" hidden="1"/>
    <cellStyle name="Lien hypertexte visité" xfId="18990" builtinId="9" hidden="1"/>
    <cellStyle name="Lien hypertexte visité" xfId="17709" builtinId="9" hidden="1"/>
    <cellStyle name="Lien hypertexte visité" xfId="14879" builtinId="9" hidden="1"/>
    <cellStyle name="Lien hypertexte visité" xfId="8235" builtinId="9" hidden="1"/>
    <cellStyle name="Lien hypertexte visité" xfId="2884" builtinId="9" hidden="1"/>
    <cellStyle name="Lien hypertexte visité" xfId="20726" builtinId="9" hidden="1"/>
    <cellStyle name="Lien hypertexte visité" xfId="12895" builtinId="9" hidden="1"/>
    <cellStyle name="Lien hypertexte visité" xfId="8987" builtinId="9" hidden="1"/>
    <cellStyle name="Lien hypertexte visité" xfId="2692" builtinId="9" hidden="1"/>
    <cellStyle name="Lien hypertexte visité" xfId="13227" builtinId="9" hidden="1"/>
    <cellStyle name="Lien hypertexte visité" xfId="2460" builtinId="9" hidden="1"/>
    <cellStyle name="Lien hypertexte visité" xfId="6970" builtinId="9" hidden="1"/>
    <cellStyle name="Lien hypertexte visité" xfId="12969" builtinId="9" hidden="1"/>
    <cellStyle name="Lien hypertexte visité" xfId="10416" builtinId="9" hidden="1"/>
    <cellStyle name="Lien hypertexte visité" xfId="20972" builtinId="9" hidden="1"/>
    <cellStyle name="Lien hypertexte visité" xfId="14225" builtinId="9" hidden="1"/>
    <cellStyle name="Lien hypertexte visité" xfId="7775" builtinId="9" hidden="1"/>
    <cellStyle name="Lien hypertexte visité" xfId="4139" builtinId="9" hidden="1"/>
    <cellStyle name="Lien hypertexte visité" xfId="15781" builtinId="9" hidden="1"/>
    <cellStyle name="Lien hypertexte visité" xfId="12989" builtinId="9" hidden="1"/>
    <cellStyle name="Lien hypertexte visité" xfId="2230" builtinId="9" hidden="1"/>
    <cellStyle name="Lien hypertexte visité" xfId="9935" builtinId="9" hidden="1"/>
    <cellStyle name="Lien hypertexte visité" xfId="11570" builtinId="9" hidden="1"/>
    <cellStyle name="Lien hypertexte visité" xfId="14881" builtinId="9" hidden="1"/>
    <cellStyle name="Lien hypertexte visité" xfId="7177" builtinId="9" hidden="1"/>
    <cellStyle name="Lien hypertexte visité" xfId="3772" builtinId="9" hidden="1"/>
    <cellStyle name="Lien hypertexte visité" xfId="4209" builtinId="9" hidden="1"/>
    <cellStyle name="Lien hypertexte visité" xfId="10821" builtinId="9" hidden="1"/>
    <cellStyle name="Lien hypertexte visité" xfId="3647" builtinId="9" hidden="1"/>
    <cellStyle name="Lien hypertexte visité" xfId="4854" builtinId="9" hidden="1"/>
    <cellStyle name="Lien hypertexte visité" xfId="10510" builtinId="9" hidden="1"/>
    <cellStyle name="Lien hypertexte visité" xfId="16297" builtinId="9" hidden="1"/>
    <cellStyle name="Lien hypertexte visité" xfId="23154" builtinId="9" hidden="1"/>
    <cellStyle name="Lien hypertexte visité" xfId="20848" builtinId="9" hidden="1"/>
    <cellStyle name="Lien hypertexte visité" xfId="23400" builtinId="9" hidden="1"/>
    <cellStyle name="Lien hypertexte visité" xfId="10023" builtinId="9" hidden="1"/>
    <cellStyle name="Lien hypertexte visité" xfId="12645" builtinId="9" hidden="1"/>
    <cellStyle name="Lien hypertexte visité" xfId="18596" builtinId="9" hidden="1"/>
    <cellStyle name="Lien hypertexte visité" xfId="24326" builtinId="9" hidden="1"/>
    <cellStyle name="Lien hypertexte visité" xfId="2237" builtinId="9" hidden="1"/>
    <cellStyle name="Lien hypertexte visité" xfId="3537" builtinId="9" hidden="1"/>
    <cellStyle name="Lien hypertexte visité" xfId="6215" builtinId="9" hidden="1"/>
    <cellStyle name="Lien hypertexte visité" xfId="4339" builtinId="9" hidden="1"/>
    <cellStyle name="Lien hypertexte visité" xfId="2673" builtinId="9" hidden="1"/>
    <cellStyle name="Lien hypertexte visité" xfId="12516" builtinId="9" hidden="1"/>
    <cellStyle name="Lien hypertexte visité" xfId="6227" builtinId="9" hidden="1"/>
    <cellStyle name="Lien hypertexte visité" xfId="935" builtinId="9" hidden="1"/>
    <cellStyle name="Lien hypertexte visité" xfId="2745" builtinId="9" hidden="1"/>
    <cellStyle name="Lien hypertexte visité" xfId="5771" builtinId="9" hidden="1"/>
    <cellStyle name="Lien hypertexte visité" xfId="12940" builtinId="9" hidden="1"/>
    <cellStyle name="Lien hypertexte visité" xfId="23158" builtinId="9" hidden="1"/>
    <cellStyle name="Lien hypertexte visité" xfId="4380" builtinId="9" hidden="1"/>
    <cellStyle name="Lien hypertexte visité" xfId="4142" builtinId="9" hidden="1"/>
    <cellStyle name="Lien hypertexte visité" xfId="11503" builtinId="9" hidden="1"/>
    <cellStyle name="Lien hypertexte visité" xfId="10054" builtinId="9" hidden="1"/>
    <cellStyle name="Lien hypertexte visité" xfId="15321" builtinId="9" hidden="1"/>
    <cellStyle name="Lien hypertexte visité" xfId="24106" builtinId="9" hidden="1"/>
    <cellStyle name="Lien hypertexte visité" xfId="23696" builtinId="9" hidden="1"/>
    <cellStyle name="Lien hypertexte visité" xfId="2539" builtinId="9" hidden="1"/>
    <cellStyle name="Lien hypertexte visité" xfId="1041" builtinId="9" hidden="1"/>
    <cellStyle name="Lien hypertexte visité" xfId="7517" builtinId="9" hidden="1"/>
    <cellStyle name="Lien hypertexte visité" xfId="10362" builtinId="9" hidden="1"/>
    <cellStyle name="Lien hypertexte visité" xfId="12341" builtinId="9" hidden="1"/>
    <cellStyle name="Lien hypertexte visité" xfId="7476" builtinId="9" hidden="1"/>
    <cellStyle name="Lien hypertexte visité" xfId="2558" builtinId="9" hidden="1"/>
    <cellStyle name="Lien hypertexte visité" xfId="8279" builtinId="9" hidden="1"/>
    <cellStyle name="Lien hypertexte visité" xfId="13143" builtinId="9" hidden="1"/>
    <cellStyle name="Lien hypertexte visité" xfId="9558" builtinId="9" hidden="1"/>
    <cellStyle name="Lien hypertexte visité" xfId="12834" builtinId="9" hidden="1"/>
    <cellStyle name="Lien hypertexte visité" xfId="17681" builtinId="9" hidden="1"/>
    <cellStyle name="Lien hypertexte visité" xfId="24040" builtinId="9" hidden="1"/>
    <cellStyle name="Lien hypertexte visité" xfId="18698" builtinId="9" hidden="1"/>
    <cellStyle name="Lien hypertexte visité" xfId="19938" builtinId="9" hidden="1"/>
    <cellStyle name="Lien hypertexte visité" xfId="12098" builtinId="9" hidden="1"/>
    <cellStyle name="Lien hypertexte visité" xfId="7142" builtinId="9" hidden="1"/>
    <cellStyle name="Lien hypertexte visité" xfId="8039" builtinId="9" hidden="1"/>
    <cellStyle name="Lien hypertexte visité" xfId="18241" builtinId="9" hidden="1"/>
    <cellStyle name="Lien hypertexte visité" xfId="16953" builtinId="9" hidden="1"/>
    <cellStyle name="Lien hypertexte visité" xfId="12855" builtinId="9" hidden="1"/>
    <cellStyle name="Lien hypertexte visité" xfId="8698" builtinId="9" hidden="1"/>
    <cellStyle name="Lien hypertexte visité" xfId="2299" builtinId="9" hidden="1"/>
    <cellStyle name="Lien hypertexte visité" xfId="24264" builtinId="9" hidden="1"/>
    <cellStyle name="Lien hypertexte visité" xfId="10671" builtinId="9" hidden="1"/>
    <cellStyle name="Lien hypertexte visité" xfId="23594" builtinId="9" hidden="1"/>
    <cellStyle name="Lien hypertexte visité" xfId="2302" builtinId="9" hidden="1"/>
    <cellStyle name="Lien hypertexte visité" xfId="15489" builtinId="9" hidden="1"/>
    <cellStyle name="Lien hypertexte visité" xfId="18978" builtinId="9" hidden="1"/>
    <cellStyle name="Lien hypertexte visité" xfId="12686" builtinId="9" hidden="1"/>
    <cellStyle name="Lien hypertexte visité" xfId="8023" builtinId="9" hidden="1"/>
    <cellStyle name="Lien hypertexte visité" xfId="7684" builtinId="9" hidden="1"/>
    <cellStyle name="Lien hypertexte visité" xfId="7701" builtinId="9" hidden="1"/>
    <cellStyle name="Lien hypertexte visité" xfId="4797" builtinId="9" hidden="1"/>
    <cellStyle name="Lien hypertexte visité" xfId="14897" builtinId="9" hidden="1"/>
    <cellStyle name="Lien hypertexte visité" xfId="23926" builtinId="9" hidden="1"/>
    <cellStyle name="Lien hypertexte visité" xfId="3065" builtinId="9" hidden="1"/>
    <cellStyle name="Lien hypertexte visité" xfId="12820" builtinId="9" hidden="1"/>
    <cellStyle name="Lien hypertexte visité" xfId="4627" builtinId="9" hidden="1"/>
    <cellStyle name="Lien hypertexte visité" xfId="1965" builtinId="9" hidden="1"/>
    <cellStyle name="Lien hypertexte visité" xfId="9972" builtinId="9" hidden="1"/>
    <cellStyle name="Lien hypertexte visité" xfId="24458" builtinId="9" hidden="1"/>
    <cellStyle name="Lien hypertexte visité" xfId="4502" builtinId="9" hidden="1"/>
    <cellStyle name="Lien hypertexte visité" xfId="4501" builtinId="9" hidden="1"/>
    <cellStyle name="Lien hypertexte visité" xfId="16929" builtinId="9" hidden="1"/>
    <cellStyle name="Lien hypertexte visité" xfId="16619" builtinId="9" hidden="1"/>
    <cellStyle name="Lien hypertexte visité" xfId="17841" builtinId="9" hidden="1"/>
    <cellStyle name="Lien hypertexte visité" xfId="17763" builtinId="9" hidden="1"/>
    <cellStyle name="Lien hypertexte visité" xfId="5293" builtinId="9" hidden="1"/>
    <cellStyle name="Lien hypertexte visité" xfId="6841" builtinId="9" hidden="1"/>
    <cellStyle name="Lien hypertexte visité" xfId="14405" builtinId="9" hidden="1"/>
    <cellStyle name="Lien hypertexte visité" xfId="6212" builtinId="9" hidden="1"/>
    <cellStyle name="Lien hypertexte visité" xfId="1776" builtinId="9" hidden="1"/>
    <cellStyle name="Lien hypertexte visité" xfId="8599" builtinId="9" hidden="1"/>
    <cellStyle name="Lien hypertexte visité" xfId="8802" builtinId="9" hidden="1"/>
    <cellStyle name="Lien hypertexte visité" xfId="13358" builtinId="9" hidden="1"/>
    <cellStyle name="Lien hypertexte visité" xfId="18155" builtinId="9" hidden="1"/>
    <cellStyle name="Lien hypertexte visité" xfId="20656" builtinId="9" hidden="1"/>
    <cellStyle name="Lien hypertexte visité" xfId="11458" builtinId="9" hidden="1"/>
    <cellStyle name="Lien hypertexte visité" xfId="4964" builtinId="9" hidden="1"/>
    <cellStyle name="Lien hypertexte visité" xfId="7635" builtinId="9" hidden="1"/>
    <cellStyle name="Lien hypertexte visité" xfId="13492" builtinId="9" hidden="1"/>
    <cellStyle name="Lien hypertexte visité" xfId="22726" builtinId="9" hidden="1"/>
    <cellStyle name="Lien hypertexte visité" xfId="4099" builtinId="9" hidden="1"/>
    <cellStyle name="Lien hypertexte visité" xfId="8536" builtinId="9" hidden="1"/>
    <cellStyle name="Lien hypertexte visité" xfId="4823" builtinId="9" hidden="1"/>
    <cellStyle name="Lien hypertexte visité" xfId="1340" builtinId="9" hidden="1"/>
    <cellStyle name="Lien hypertexte visité" xfId="21734" builtinId="9" hidden="1"/>
    <cellStyle name="Lien hypertexte visité" xfId="15797" builtinId="9" hidden="1"/>
    <cellStyle name="Lien hypertexte visité" xfId="9300" builtinId="9" hidden="1"/>
    <cellStyle name="Lien hypertexte visité" xfId="5823" builtinId="9" hidden="1"/>
    <cellStyle name="Lien hypertexte visité" xfId="2181" builtinId="9" hidden="1"/>
    <cellStyle name="Lien hypertexte visité" xfId="10380" builtinId="9" hidden="1"/>
    <cellStyle name="Lien hypertexte visité" xfId="19924" builtinId="9" hidden="1"/>
    <cellStyle name="Lien hypertexte visité" xfId="15751" builtinId="9" hidden="1"/>
    <cellStyle name="Lien hypertexte visité" xfId="6940" builtinId="9" hidden="1"/>
    <cellStyle name="Lien hypertexte visité" xfId="963" builtinId="9" hidden="1"/>
    <cellStyle name="Lien hypertexte visité" xfId="8350" builtinId="9" hidden="1"/>
    <cellStyle name="Lien hypertexte visité" xfId="12870" builtinId="9" hidden="1"/>
    <cellStyle name="Lien hypertexte visité" xfId="20344" builtinId="9" hidden="1"/>
    <cellStyle name="Lien hypertexte visité" xfId="17979" builtinId="9" hidden="1"/>
    <cellStyle name="Lien hypertexte visité" xfId="10538" builtinId="9" hidden="1"/>
    <cellStyle name="Lien hypertexte visité" xfId="7137" builtinId="9" hidden="1"/>
    <cellStyle name="Lien hypertexte visité" xfId="1186" builtinId="9" hidden="1"/>
    <cellStyle name="Lien hypertexte visité" xfId="5361" builtinId="9" hidden="1"/>
    <cellStyle name="Lien hypertexte visité" xfId="14037" builtinId="9" hidden="1"/>
    <cellStyle name="Lien hypertexte visité" xfId="9525" builtinId="9" hidden="1"/>
    <cellStyle name="Lien hypertexte visité" xfId="4948" builtinId="9" hidden="1"/>
    <cellStyle name="Lien hypertexte visité" xfId="1664" builtinId="9" hidden="1"/>
    <cellStyle name="Lien hypertexte visité" xfId="6230" builtinId="9" hidden="1"/>
    <cellStyle name="Lien hypertexte visité" xfId="10759" builtinId="9" hidden="1"/>
    <cellStyle name="Lien hypertexte visité" xfId="11470" builtinId="9" hidden="1"/>
    <cellStyle name="Lien hypertexte visité" xfId="14510" builtinId="9" hidden="1"/>
    <cellStyle name="Lien hypertexte visité" xfId="21760" builtinId="9" hidden="1"/>
    <cellStyle name="Lien hypertexte visité" xfId="21426" builtinId="9" hidden="1"/>
    <cellStyle name="Lien hypertexte visité" xfId="23130" builtinId="9" hidden="1"/>
    <cellStyle name="Lien hypertexte visité" xfId="19376" builtinId="9" hidden="1"/>
    <cellStyle name="Lien hypertexte visité" xfId="17873" builtinId="9" hidden="1"/>
    <cellStyle name="Lien hypertexte visité" xfId="3230" builtinId="9" hidden="1"/>
    <cellStyle name="Lien hypertexte visité" xfId="23690" builtinId="9" hidden="1"/>
    <cellStyle name="Lien hypertexte visité" xfId="22730" builtinId="9" hidden="1"/>
    <cellStyle name="Lien hypertexte visité" xfId="9590" builtinId="9" hidden="1"/>
    <cellStyle name="Lien hypertexte visité" xfId="4310" builtinId="9" hidden="1"/>
    <cellStyle name="Lien hypertexte visité" xfId="10501" builtinId="9" hidden="1"/>
    <cellStyle name="Lien hypertexte visité" xfId="977" builtinId="9" hidden="1"/>
    <cellStyle name="Lien hypertexte visité" xfId="11890" builtinId="9" hidden="1"/>
    <cellStyle name="Lien hypertexte visité" xfId="1447" builtinId="9" hidden="1"/>
    <cellStyle name="Lien hypertexte visité" xfId="8111" builtinId="9" hidden="1"/>
    <cellStyle name="Lien hypertexte visité" xfId="15019" builtinId="9" hidden="1"/>
    <cellStyle name="Lien hypertexte visité" xfId="12914" builtinId="9" hidden="1"/>
    <cellStyle name="Lien hypertexte visité" xfId="20856" builtinId="9" hidden="1"/>
    <cellStyle name="Lien hypertexte visité" xfId="19498" builtinId="9" hidden="1"/>
    <cellStyle name="Lien hypertexte visité" xfId="7173" builtinId="9" hidden="1"/>
    <cellStyle name="Lien hypertexte visité" xfId="1867" builtinId="9" hidden="1"/>
    <cellStyle name="Lien hypertexte visité" xfId="2415" builtinId="9" hidden="1"/>
    <cellStyle name="Lien hypertexte visité" xfId="5249" builtinId="9" hidden="1"/>
    <cellStyle name="Lien hypertexte visité" xfId="15351" builtinId="9" hidden="1"/>
    <cellStyle name="Lien hypertexte visité" xfId="9477" builtinId="9" hidden="1"/>
    <cellStyle name="Lien hypertexte visité" xfId="4692" builtinId="9" hidden="1"/>
    <cellStyle name="Lien hypertexte visité" xfId="6358" builtinId="9" hidden="1"/>
    <cellStyle name="Lien hypertexte visité" xfId="10807" builtinId="9" hidden="1"/>
    <cellStyle name="Lien hypertexte visité" xfId="16635" builtinId="9" hidden="1"/>
    <cellStyle name="Lien hypertexte visité" xfId="11638" builtinId="9" hidden="1"/>
    <cellStyle name="Lien hypertexte visité" xfId="14673" builtinId="9" hidden="1"/>
    <cellStyle name="Lien hypertexte visité" xfId="20568" builtinId="9" hidden="1"/>
    <cellStyle name="Lien hypertexte visité" xfId="21362" builtinId="9" hidden="1"/>
    <cellStyle name="Lien hypertexte visité" xfId="12346" builtinId="9" hidden="1"/>
    <cellStyle name="Lien hypertexte visité" xfId="17361" builtinId="9" hidden="1"/>
    <cellStyle name="Lien hypertexte visité" xfId="14183" builtinId="9" hidden="1"/>
    <cellStyle name="Lien hypertexte visité" xfId="1309" builtinId="9" hidden="1"/>
    <cellStyle name="Lien hypertexte visité" xfId="819" builtinId="9" hidden="1"/>
    <cellStyle name="Lien hypertexte visité" xfId="5350" builtinId="9" hidden="1"/>
    <cellStyle name="Lien hypertexte visité" xfId="9831" builtinId="9" hidden="1"/>
    <cellStyle name="Lien hypertexte visité" xfId="10990" builtinId="9" hidden="1"/>
    <cellStyle name="Lien hypertexte visité" xfId="13974" builtinId="9" hidden="1"/>
    <cellStyle name="Lien hypertexte visité" xfId="20584" builtinId="9" hidden="1"/>
    <cellStyle name="Lien hypertexte visité" xfId="22666" builtinId="9" hidden="1"/>
    <cellStyle name="Lien hypertexte visité" xfId="20122" builtinId="9" hidden="1"/>
    <cellStyle name="Lien hypertexte visité" xfId="11418" builtinId="9" hidden="1"/>
    <cellStyle name="Lien hypertexte visité" xfId="14426" builtinId="9" hidden="1"/>
    <cellStyle name="Lien hypertexte visité" xfId="21786" builtinId="9" hidden="1"/>
    <cellStyle name="Lien hypertexte visité" xfId="17923" builtinId="9" hidden="1"/>
    <cellStyle name="Lien hypertexte visité" xfId="19890" builtinId="9" hidden="1"/>
    <cellStyle name="Lien hypertexte visité" xfId="22346" builtinId="9" hidden="1"/>
    <cellStyle name="Lien hypertexte visité" xfId="24266" builtinId="9" hidden="1"/>
    <cellStyle name="Lien hypertexte visité" xfId="22784" builtinId="9" hidden="1"/>
    <cellStyle name="Lien hypertexte visité" xfId="20392" builtinId="9" hidden="1"/>
    <cellStyle name="Lien hypertexte visité" xfId="16441" builtinId="9" hidden="1"/>
    <cellStyle name="Lien hypertexte visité" xfId="14286" builtinId="9" hidden="1"/>
    <cellStyle name="Lien hypertexte visité" xfId="13198" builtinId="9" hidden="1"/>
    <cellStyle name="Lien hypertexte visité" xfId="12238" builtinId="9" hidden="1"/>
    <cellStyle name="Lien hypertexte visité" xfId="11010" builtinId="9" hidden="1"/>
    <cellStyle name="Lien hypertexte visité" xfId="10018" builtinId="9" hidden="1"/>
    <cellStyle name="Lien hypertexte visité" xfId="8962" builtinId="9" hidden="1"/>
    <cellStyle name="Lien hypertexte visité" xfId="13751" builtinId="9" hidden="1"/>
    <cellStyle name="Lien hypertexte visité" xfId="12247" builtinId="9" hidden="1"/>
    <cellStyle name="Lien hypertexte visité" xfId="10423" builtinId="9" hidden="1"/>
    <cellStyle name="Lien hypertexte visité" xfId="8839" builtinId="9" hidden="1"/>
    <cellStyle name="Lien hypertexte visité" xfId="7350" builtinId="9" hidden="1"/>
    <cellStyle name="Lien hypertexte visité" xfId="5558" builtinId="9" hidden="1"/>
    <cellStyle name="Lien hypertexte visité" xfId="4054" builtinId="9" hidden="1"/>
    <cellStyle name="Lien hypertexte visité" xfId="115" builtinId="9" hidden="1"/>
    <cellStyle name="Lien hypertexte visité" xfId="1998" builtinId="9" hidden="1"/>
    <cellStyle name="Lien hypertexte visité" xfId="3454" builtinId="9" hidden="1"/>
    <cellStyle name="Lien hypertexte visité" xfId="5300" builtinId="9" hidden="1"/>
    <cellStyle name="Lien hypertexte visité" xfId="6868" builtinId="9" hidden="1"/>
    <cellStyle name="Lien hypertexte visité" xfId="8373" builtinId="9" hidden="1"/>
    <cellStyle name="Lien hypertexte visité" xfId="10197" builtinId="9" hidden="1"/>
    <cellStyle name="Lien hypertexte visité" xfId="13269" builtinId="9" hidden="1"/>
    <cellStyle name="Lien hypertexte visité" xfId="15607" builtinId="9" hidden="1"/>
    <cellStyle name="Lien hypertexte visité" xfId="18598" builtinId="9" hidden="1"/>
    <cellStyle name="Lien hypertexte visité" xfId="4117" builtinId="9" hidden="1"/>
    <cellStyle name="Lien hypertexte visité" xfId="5653" builtinId="9" hidden="1"/>
    <cellStyle name="Lien hypertexte visité" xfId="7041" builtinId="9" hidden="1"/>
    <cellStyle name="Lien hypertexte visité" xfId="7721" builtinId="9" hidden="1"/>
    <cellStyle name="Lien hypertexte visité" xfId="1747" builtinId="9" hidden="1"/>
    <cellStyle name="Lien hypertexte visité" xfId="281" builtinId="9" hidden="1"/>
    <cellStyle name="Lien hypertexte visité" xfId="1567" builtinId="9" hidden="1"/>
    <cellStyle name="Lien hypertexte visité" xfId="3019" builtinId="9" hidden="1"/>
    <cellStyle name="Lien hypertexte visité" xfId="6793" builtinId="9" hidden="1"/>
    <cellStyle name="Lien hypertexte visité" xfId="6845" builtinId="9" hidden="1"/>
    <cellStyle name="Lien hypertexte visité" xfId="5493" builtinId="9" hidden="1"/>
    <cellStyle name="Lien hypertexte visité" xfId="12586" builtinId="9" hidden="1"/>
    <cellStyle name="Lien hypertexte visité" xfId="19600" builtinId="9" hidden="1"/>
    <cellStyle name="Lien hypertexte visité" xfId="20154" builtinId="9" hidden="1"/>
    <cellStyle name="Lien hypertexte visité" xfId="20010" builtinId="9" hidden="1"/>
    <cellStyle name="Lien hypertexte visité" xfId="22994" builtinId="9" hidden="1"/>
    <cellStyle name="Lien hypertexte visité" xfId="23328" builtinId="9" hidden="1"/>
    <cellStyle name="Lien hypertexte visité" xfId="19656" builtinId="9" hidden="1"/>
    <cellStyle name="Lien hypertexte visité" xfId="14022" builtinId="9" hidden="1"/>
    <cellStyle name="Lien hypertexte visité" xfId="12190" builtinId="9" hidden="1"/>
    <cellStyle name="Lien hypertexte visité" xfId="10738" builtinId="9" hidden="1"/>
    <cellStyle name="Lien hypertexte visité" xfId="9118" builtinId="9" hidden="1"/>
    <cellStyle name="Lien hypertexte visité" xfId="14635" builtinId="9" hidden="1"/>
    <cellStyle name="Lien hypertexte visité" xfId="12335" builtinId="9" hidden="1"/>
    <cellStyle name="Lien hypertexte visité" xfId="10095" builtinId="9" hidden="1"/>
    <cellStyle name="Lien hypertexte visité" xfId="4974" builtinId="9" hidden="1"/>
    <cellStyle name="Lien hypertexte visité" xfId="2792" builtinId="9" hidden="1"/>
    <cellStyle name="Lien hypertexte visité" xfId="1055" builtinId="9" hidden="1"/>
    <cellStyle name="Lien hypertexte visité" xfId="3350" builtinId="9" hidden="1"/>
    <cellStyle name="Lien hypertexte visité" xfId="5724" builtinId="9" hidden="1"/>
    <cellStyle name="Lien hypertexte visité" xfId="8477" builtinId="9" hidden="1"/>
    <cellStyle name="Lien hypertexte visité" xfId="10653" builtinId="9" hidden="1"/>
    <cellStyle name="Lien hypertexte visité" xfId="16775" builtinId="9" hidden="1"/>
    <cellStyle name="Lien hypertexte visité" xfId="21494" builtinId="9" hidden="1"/>
    <cellStyle name="Lien hypertexte visité" xfId="23252" builtinId="9" hidden="1"/>
    <cellStyle name="Lien hypertexte visité" xfId="17893" builtinId="9" hidden="1"/>
    <cellStyle name="Lien hypertexte visité" xfId="13964" builtinId="9" hidden="1"/>
    <cellStyle name="Lien hypertexte visité" xfId="11596" builtinId="9" hidden="1"/>
    <cellStyle name="Lien hypertexte visité" xfId="8844" builtinId="9" hidden="1"/>
    <cellStyle name="Lien hypertexte visité" xfId="4427" builtinId="9" hidden="1"/>
    <cellStyle name="Lien hypertexte visité" xfId="1669" builtinId="9" hidden="1"/>
    <cellStyle name="Lien hypertexte visité" xfId="1849" builtinId="9" hidden="1"/>
    <cellStyle name="Lien hypertexte visité" xfId="4095" builtinId="9" hidden="1"/>
    <cellStyle name="Lien hypertexte visité" xfId="6847" builtinId="9" hidden="1"/>
    <cellStyle name="Lien hypertexte visité" xfId="395" builtinId="9" hidden="1"/>
    <cellStyle name="Lien hypertexte visité" xfId="1994" builtinId="9" hidden="1"/>
    <cellStyle name="Lien hypertexte visité" xfId="5491" builtinId="9" hidden="1"/>
    <cellStyle name="Lien hypertexte visité" xfId="7395" builtinId="9" hidden="1"/>
    <cellStyle name="Lien hypertexte visité" xfId="9748" builtinId="9" hidden="1"/>
    <cellStyle name="Lien hypertexte visité" xfId="11796" builtinId="9" hidden="1"/>
    <cellStyle name="Lien hypertexte visité" xfId="13684" builtinId="9" hidden="1"/>
    <cellStyle name="Lien hypertexte visité" xfId="17557" builtinId="9" hidden="1"/>
    <cellStyle name="Lien hypertexte visité" xfId="21348" builtinId="9" hidden="1"/>
    <cellStyle name="Lien hypertexte visité" xfId="19110" builtinId="9" hidden="1"/>
    <cellStyle name="Lien hypertexte visité" xfId="9092" builtinId="9" hidden="1"/>
    <cellStyle name="Lien hypertexte visité" xfId="1585" builtinId="9" hidden="1"/>
    <cellStyle name="Lien hypertexte visité" xfId="1741" builtinId="9" hidden="1"/>
    <cellStyle name="Lien hypertexte visité" xfId="3667" builtinId="9" hidden="1"/>
    <cellStyle name="Lien hypertexte visité" xfId="1276" builtinId="9" hidden="1"/>
    <cellStyle name="Lien hypertexte visité" xfId="4023" builtinId="9" hidden="1"/>
    <cellStyle name="Lien hypertexte visité" xfId="8472" builtinId="9" hidden="1"/>
    <cellStyle name="Lien hypertexte visité" xfId="8088" builtinId="9" hidden="1"/>
    <cellStyle name="Lien hypertexte visité" xfId="2881" builtinId="9" hidden="1"/>
    <cellStyle name="Lien hypertexte visité" xfId="4599" builtinId="9" hidden="1"/>
    <cellStyle name="Lien hypertexte visité" xfId="4835" builtinId="9" hidden="1"/>
    <cellStyle name="Lien hypertexte visité" xfId="2925" builtinId="9" hidden="1"/>
    <cellStyle name="Lien hypertexte visité" xfId="1133" builtinId="9" hidden="1"/>
    <cellStyle name="Lien hypertexte visité" xfId="13572" builtinId="9" hidden="1"/>
    <cellStyle name="Lien hypertexte visité" xfId="20678" builtinId="9" hidden="1"/>
    <cellStyle name="Lien hypertexte visité" xfId="23844" builtinId="9" hidden="1"/>
    <cellStyle name="Lien hypertexte visité" xfId="20068" builtinId="9" hidden="1"/>
    <cellStyle name="Lien hypertexte visité" xfId="16277" builtinId="9" hidden="1"/>
    <cellStyle name="Lien hypertexte visité" xfId="13044" builtinId="9" hidden="1"/>
    <cellStyle name="Lien hypertexte visité" xfId="10996" builtinId="9" hidden="1"/>
    <cellStyle name="Lien hypertexte visité" xfId="6755" builtinId="9" hidden="1"/>
    <cellStyle name="Lien hypertexte visité" xfId="16919" builtinId="9" hidden="1"/>
    <cellStyle name="Lien hypertexte visité" xfId="8549" builtinId="9" hidden="1"/>
    <cellStyle name="Lien hypertexte visité" xfId="435" builtinId="9" hidden="1"/>
    <cellStyle name="Lien hypertexte visité" xfId="7462" builtinId="9" hidden="1"/>
    <cellStyle name="Lien hypertexte visité" xfId="14119" builtinId="9" hidden="1"/>
    <cellStyle name="Lien hypertexte visité" xfId="12482" builtinId="9" hidden="1"/>
    <cellStyle name="Lien hypertexte visité" xfId="20362" builtinId="9" hidden="1"/>
    <cellStyle name="Lien hypertexte visité" xfId="11450" builtinId="9" hidden="1"/>
    <cellStyle name="Lien hypertexte visité" xfId="16769" builtinId="9" hidden="1"/>
    <cellStyle name="Lien hypertexte visité" xfId="22874" builtinId="9" hidden="1"/>
    <cellStyle name="Lien hypertexte visité" xfId="19058" builtinId="9" hidden="1"/>
    <cellStyle name="Lien hypertexte visité" xfId="22026" builtinId="9" hidden="1"/>
    <cellStyle name="Lien hypertexte visité" xfId="24232" builtinId="9" hidden="1"/>
    <cellStyle name="Lien hypertexte visité" xfId="17425" builtinId="9" hidden="1"/>
    <cellStyle name="Lien hypertexte visité" xfId="14498" builtinId="9" hidden="1"/>
    <cellStyle name="Lien hypertexte visité" xfId="12674" builtinId="9" hidden="1"/>
    <cellStyle name="Lien hypertexte visité" xfId="11190" builtinId="9" hidden="1"/>
    <cellStyle name="Lien hypertexte visité" xfId="9602" builtinId="9" hidden="1"/>
    <cellStyle name="Lien hypertexte visité" xfId="15995" builtinId="9" hidden="1"/>
    <cellStyle name="Lien hypertexte visité" xfId="13047" builtinId="9" hidden="1"/>
    <cellStyle name="Lien hypertexte visité" xfId="8087" builtinId="9" hidden="1"/>
    <cellStyle name="Lien hypertexte visité" xfId="5702" builtinId="9" hidden="1"/>
    <cellStyle name="Lien hypertexte visité" xfId="3472" builtinId="9" hidden="1"/>
    <cellStyle name="Lien hypertexte visité" xfId="339" builtinId="9" hidden="1"/>
    <cellStyle name="Lien hypertexte visité" xfId="2622" builtinId="9" hidden="1"/>
    <cellStyle name="Lien hypertexte visité" xfId="5012" builtinId="9" hidden="1"/>
    <cellStyle name="Lien hypertexte visité" xfId="7748" builtinId="9" hidden="1"/>
    <cellStyle name="Lien hypertexte visité" xfId="12181" builtinId="9" hidden="1"/>
    <cellStyle name="Lien hypertexte visité" xfId="15319" builtinId="9" hidden="1"/>
    <cellStyle name="Lien hypertexte visité" xfId="9786" builtinId="9" hidden="1"/>
    <cellStyle name="Lien hypertexte visité" xfId="5377" builtinId="9" hidden="1"/>
    <cellStyle name="Lien hypertexte visité" xfId="7717" builtinId="9" hidden="1"/>
    <cellStyle name="Lien hypertexte visité" xfId="2943" builtinId="9" hidden="1"/>
    <cellStyle name="Lien hypertexte visité" xfId="1603" builtinId="9" hidden="1"/>
    <cellStyle name="Lien hypertexte visité" xfId="2455" builtinId="9" hidden="1"/>
    <cellStyle name="Lien hypertexte visité" xfId="7193" builtinId="9" hidden="1"/>
    <cellStyle name="Lien hypertexte visité" xfId="4853" builtinId="9" hidden="1"/>
    <cellStyle name="Lien hypertexte visité" xfId="12138" builtinId="9" hidden="1"/>
    <cellStyle name="Lien hypertexte visité" xfId="23056" builtinId="9" hidden="1"/>
    <cellStyle name="Lien hypertexte visité" xfId="19794" builtinId="9" hidden="1"/>
    <cellStyle name="Lien hypertexte visité" xfId="24234" builtinId="9" hidden="1"/>
    <cellStyle name="Lien hypertexte visité" xfId="14769" builtinId="9" hidden="1"/>
    <cellStyle name="Lien hypertexte visité" xfId="12422" builtinId="9" hidden="1"/>
    <cellStyle name="Lien hypertexte visité" xfId="10206" builtinId="9" hidden="1"/>
    <cellStyle name="Lien hypertexte visité" xfId="15083" builtinId="9" hidden="1"/>
    <cellStyle name="Lien hypertexte visité" xfId="11215" builtinId="9" hidden="1"/>
    <cellStyle name="Lien hypertexte visité" xfId="7887" builtinId="9" hidden="1"/>
    <cellStyle name="Lien hypertexte visité" xfId="3793" builtinId="9" hidden="1"/>
    <cellStyle name="Lien hypertexte visité" xfId="4284" builtinId="9" hidden="1"/>
    <cellStyle name="Lien hypertexte visité" xfId="8381" builtinId="9" hidden="1"/>
    <cellStyle name="Lien hypertexte visité" xfId="11709" builtinId="9" hidden="1"/>
    <cellStyle name="Lien hypertexte visité" xfId="15559" builtinId="9" hidden="1"/>
    <cellStyle name="Lien hypertexte visité" xfId="23734" builtinId="9" hidden="1"/>
    <cellStyle name="Lien hypertexte visité" xfId="18325" builtinId="9" hidden="1"/>
    <cellStyle name="Lien hypertexte visité" xfId="13100" builtinId="9" hidden="1"/>
    <cellStyle name="Lien hypertexte visité" xfId="5675" builtinId="9" hidden="1"/>
    <cellStyle name="Lien hypertexte visité" xfId="2085" builtinId="9" hidden="1"/>
    <cellStyle name="Lien hypertexte visité" xfId="3161" builtinId="9" hidden="1"/>
    <cellStyle name="Lien hypertexte visité" xfId="6495" builtinId="9" hidden="1"/>
    <cellStyle name="Lien hypertexte visité" xfId="647" builtinId="9" hidden="1"/>
    <cellStyle name="Lien hypertexte visité" xfId="3635" builtinId="9" hidden="1"/>
    <cellStyle name="Lien hypertexte visité" xfId="6032" builtinId="9" hidden="1"/>
    <cellStyle name="Lien hypertexte visité" xfId="10977" builtinId="9" hidden="1"/>
    <cellStyle name="Lien hypertexte visité" xfId="13201" builtinId="9" hidden="1"/>
    <cellStyle name="Lien hypertexte visité" xfId="16655" builtinId="9" hidden="1"/>
    <cellStyle name="Lien hypertexte visité" xfId="22110" builtinId="9" hidden="1"/>
    <cellStyle name="Lien hypertexte visité" xfId="22684" builtinId="9" hidden="1"/>
    <cellStyle name="Lien hypertexte visité" xfId="18269" builtinId="9" hidden="1"/>
    <cellStyle name="Lien hypertexte visité" xfId="13656" builtinId="9" hidden="1"/>
    <cellStyle name="Lien hypertexte visité" xfId="9048" builtinId="9" hidden="1"/>
    <cellStyle name="Lien hypertexte visité" xfId="18364" builtinId="9" hidden="1"/>
    <cellStyle name="Lien hypertexte visité" xfId="17567" builtinId="9" hidden="1"/>
    <cellStyle name="Lien hypertexte visité" xfId="8873" builtinId="9" hidden="1"/>
    <cellStyle name="Lien hypertexte visité" xfId="183" builtinId="9" hidden="1"/>
    <cellStyle name="Lien hypertexte visité" xfId="7698" builtinId="9" hidden="1"/>
    <cellStyle name="Lien hypertexte visité" xfId="5802" builtinId="9" hidden="1"/>
    <cellStyle name="Lien hypertexte visité" xfId="1403" builtinId="9" hidden="1"/>
    <cellStyle name="Lien hypertexte visité" xfId="12755" builtinId="9" hidden="1"/>
    <cellStyle name="Lien hypertexte visité" xfId="10571" builtinId="9" hidden="1"/>
    <cellStyle name="Lien hypertexte visité" xfId="14019" builtinId="9" hidden="1"/>
    <cellStyle name="Lien hypertexte visité" xfId="14531" builtinId="9" hidden="1"/>
    <cellStyle name="Lien hypertexte visité" xfId="15523" builtinId="9" hidden="1"/>
    <cellStyle name="Lien hypertexte visité" xfId="14395" builtinId="9" hidden="1"/>
    <cellStyle name="Lien hypertexte visité" xfId="7778" builtinId="9" hidden="1"/>
    <cellStyle name="Lien hypertexte visité" xfId="1964" builtinId="9" hidden="1"/>
    <cellStyle name="Lien hypertexte visité" xfId="3869" builtinId="9" hidden="1"/>
    <cellStyle name="Lien hypertexte visité" xfId="6210" builtinId="9" hidden="1"/>
    <cellStyle name="Lien hypertexte visité" xfId="8115" builtinId="9" hidden="1"/>
    <cellStyle name="Lien hypertexte visité" xfId="2626" builtinId="9" hidden="1"/>
    <cellStyle name="Lien hypertexte visité" xfId="8254" builtinId="9" hidden="1"/>
    <cellStyle name="Lien hypertexte visité" xfId="11519" builtinId="9" hidden="1"/>
    <cellStyle name="Lien hypertexte visité" xfId="3286" builtinId="9" hidden="1"/>
    <cellStyle name="Lien hypertexte visité" xfId="13533" builtinId="9" hidden="1"/>
    <cellStyle name="Lien hypertexte visité" xfId="16229" builtinId="9" hidden="1"/>
    <cellStyle name="Lien hypertexte visité" xfId="3077" builtinId="9" hidden="1"/>
    <cellStyle name="Lien hypertexte visité" xfId="8320" builtinId="9" hidden="1"/>
    <cellStyle name="Lien hypertexte visité" xfId="3918" builtinId="9" hidden="1"/>
    <cellStyle name="Lien hypertexte visité" xfId="7570" builtinId="9" hidden="1"/>
    <cellStyle name="Lien hypertexte visité" xfId="9259" builtinId="9" hidden="1"/>
    <cellStyle name="Lien hypertexte visité" xfId="6504" builtinId="9" hidden="1"/>
    <cellStyle name="Lien hypertexte visité" xfId="12265" builtinId="9" hidden="1"/>
    <cellStyle name="Lien hypertexte visité" xfId="21774" builtinId="9" hidden="1"/>
    <cellStyle name="Lien hypertexte visité" xfId="13952" builtinId="9" hidden="1"/>
    <cellStyle name="Lien hypertexte visité" xfId="9112" builtinId="9" hidden="1"/>
    <cellStyle name="Lien hypertexte visité" xfId="13384" builtinId="9" hidden="1"/>
    <cellStyle name="Lien hypertexte visité" xfId="16173" builtinId="9" hidden="1"/>
    <cellStyle name="Lien hypertexte visité" xfId="20076" builtinId="9" hidden="1"/>
    <cellStyle name="Lien hypertexte visité" xfId="24446" builtinId="9" hidden="1"/>
    <cellStyle name="Lien hypertexte visité" xfId="20606" builtinId="9" hidden="1"/>
    <cellStyle name="Lien hypertexte visité" xfId="16703" builtinId="9" hidden="1"/>
    <cellStyle name="Lien hypertexte visité" xfId="13265" builtinId="9" hidden="1"/>
    <cellStyle name="Lien hypertexte visité" xfId="9377" builtinId="9" hidden="1"/>
    <cellStyle name="Lien hypertexte visité" xfId="7032" builtinId="9" hidden="1"/>
    <cellStyle name="Lien hypertexte visité" xfId="5072" builtinId="9" hidden="1"/>
    <cellStyle name="Lien hypertexte visité" xfId="3098" builtinId="9" hidden="1"/>
    <cellStyle name="Lien hypertexte visité" xfId="13049" builtinId="9" hidden="1"/>
    <cellStyle name="Lien hypertexte visité" xfId="12440" builtinId="9" hidden="1"/>
    <cellStyle name="Lien hypertexte visité" xfId="9435" builtinId="9" hidden="1"/>
    <cellStyle name="Lien hypertexte visité" xfId="13747" builtinId="9" hidden="1"/>
    <cellStyle name="Lien hypertexte visité" xfId="14835" builtinId="9" hidden="1"/>
    <cellStyle name="Lien hypertexte visité" xfId="16579" builtinId="9" hidden="1"/>
    <cellStyle name="Lien hypertexte visité" xfId="13507" builtinId="9" hidden="1"/>
    <cellStyle name="Lien hypertexte visité" xfId="9699" builtinId="9" hidden="1"/>
    <cellStyle name="Lien hypertexte visité" xfId="11475" builtinId="9" hidden="1"/>
    <cellStyle name="Lien hypertexte visité" xfId="12907" builtinId="9" hidden="1"/>
    <cellStyle name="Lien hypertexte visité" xfId="11915" builtinId="9" hidden="1"/>
    <cellStyle name="Lien hypertexte visité" xfId="3821" builtinId="9" hidden="1"/>
    <cellStyle name="Lien hypertexte visité" xfId="2308" builtinId="9" hidden="1"/>
    <cellStyle name="Lien hypertexte visité" xfId="3813" builtinId="9" hidden="1"/>
    <cellStyle name="Lien hypertexte visité" xfId="12267" builtinId="9" hidden="1"/>
    <cellStyle name="Lien hypertexte visité" xfId="11651" builtinId="9" hidden="1"/>
    <cellStyle name="Lien hypertexte visité" xfId="6378" builtinId="9" hidden="1"/>
    <cellStyle name="Lien hypertexte visité" xfId="8499" builtinId="9" hidden="1"/>
    <cellStyle name="Lien hypertexte visité" xfId="5640" builtinId="9" hidden="1"/>
    <cellStyle name="Lien hypertexte visité" xfId="1666" builtinId="9" hidden="1"/>
    <cellStyle name="Lien hypertexte visité" xfId="8899" builtinId="9" hidden="1"/>
    <cellStyle name="Lien hypertexte visité" xfId="5610" builtinId="9" hidden="1"/>
    <cellStyle name="Lien hypertexte visité" xfId="7106" builtinId="9" hidden="1"/>
    <cellStyle name="Lien hypertexte visité" xfId="11243" builtinId="9" hidden="1"/>
    <cellStyle name="Lien hypertexte visité" xfId="1211" builtinId="9" hidden="1"/>
    <cellStyle name="Lien hypertexte visité" xfId="2708" builtinId="9" hidden="1"/>
    <cellStyle name="Lien hypertexte visité" xfId="4546" builtinId="9" hidden="1"/>
    <cellStyle name="Lien hypertexte visité" xfId="2372" builtinId="9" hidden="1"/>
    <cellStyle name="Lien hypertexte visité" xfId="1564" builtinId="9" hidden="1"/>
    <cellStyle name="Lien hypertexte visité" xfId="12227" builtinId="9" hidden="1"/>
    <cellStyle name="Lien hypertexte visité" xfId="10755" builtinId="9" hidden="1"/>
    <cellStyle name="Lien hypertexte visité" xfId="15859" builtinId="9" hidden="1"/>
    <cellStyle name="Lien hypertexte visité" xfId="17171" builtinId="9" hidden="1"/>
    <cellStyle name="Lien hypertexte visité" xfId="15619" builtinId="9" hidden="1"/>
    <cellStyle name="Lien hypertexte visité" xfId="14411" builtinId="9" hidden="1"/>
    <cellStyle name="Lien hypertexte visité" xfId="10667" builtinId="9" hidden="1"/>
    <cellStyle name="Lien hypertexte visité" xfId="11369" builtinId="9" hidden="1"/>
    <cellStyle name="Lien hypertexte visité" xfId="23324" builtinId="9" hidden="1"/>
    <cellStyle name="Lien hypertexte visité" xfId="3662" builtinId="9" hidden="1"/>
    <cellStyle name="Lien hypertexte visité" xfId="6008" builtinId="9" hidden="1"/>
    <cellStyle name="Lien hypertexte visité" xfId="7969" builtinId="9" hidden="1"/>
    <cellStyle name="Lien hypertexte visité" xfId="9889" builtinId="9" hidden="1"/>
    <cellStyle name="Lien hypertexte visité" xfId="12241" builtinId="9" hidden="1"/>
    <cellStyle name="Lien hypertexte visité" xfId="14201" builtinId="9" hidden="1"/>
    <cellStyle name="Lien hypertexte visité" xfId="17807" builtinId="9" hidden="1"/>
    <cellStyle name="Lien hypertexte visité" xfId="22892" builtinId="9" hidden="1"/>
    <cellStyle name="Lien hypertexte visité" xfId="18972" builtinId="9" hidden="1"/>
    <cellStyle name="Lien hypertexte visité" xfId="14408" builtinId="9" hidden="1"/>
    <cellStyle name="Lien hypertexte visité" xfId="12488" builtinId="9" hidden="1"/>
    <cellStyle name="Lien hypertexte visité" xfId="10520" builtinId="9" hidden="1"/>
    <cellStyle name="Lien hypertexte visité" xfId="10880" builtinId="9" hidden="1"/>
    <cellStyle name="Lien hypertexte visité" xfId="19004" builtinId="9" hidden="1"/>
    <cellStyle name="Lien hypertexte visité" xfId="9577" builtinId="9" hidden="1"/>
    <cellStyle name="Lien hypertexte visité" xfId="3690" builtinId="9" hidden="1"/>
    <cellStyle name="Lien hypertexte visité" xfId="8779" builtinId="9" hidden="1"/>
    <cellStyle name="Lien hypertexte visité" xfId="6770" builtinId="9" hidden="1"/>
    <cellStyle name="Lien hypertexte visité" xfId="5122" builtinId="9" hidden="1"/>
    <cellStyle name="Lien hypertexte visité" xfId="3436" builtinId="9" hidden="1"/>
    <cellStyle name="Lien hypertexte visité" xfId="3449" builtinId="9" hidden="1"/>
    <cellStyle name="Lien hypertexte visité" xfId="21844" builtinId="9" hidden="1"/>
    <cellStyle name="Lien hypertexte visité" xfId="8669" builtinId="9" hidden="1"/>
    <cellStyle name="Lien hypertexte visité" xfId="2728" builtinId="9" hidden="1"/>
    <cellStyle name="Lien hypertexte visité" xfId="12975" builtinId="9" hidden="1"/>
    <cellStyle name="Lien hypertexte visité" xfId="14450" builtinId="9" hidden="1"/>
    <cellStyle name="Lien hypertexte visité" xfId="21202" builtinId="9" hidden="1"/>
    <cellStyle name="Lien hypertexte visité" xfId="8618" builtinId="9" hidden="1"/>
    <cellStyle name="Lien hypertexte visité" xfId="7465" builtinId="9" hidden="1"/>
    <cellStyle name="Lien hypertexte visité" xfId="17751" builtinId="9" hidden="1"/>
    <cellStyle name="Lien hypertexte visité" xfId="7941" builtinId="9" hidden="1"/>
    <cellStyle name="Lien hypertexte visité" xfId="1039" builtinId="9" hidden="1"/>
    <cellStyle name="Lien hypertexte visité" xfId="6870" builtinId="9" hidden="1"/>
    <cellStyle name="Lien hypertexte visité" xfId="15611" builtinId="9" hidden="1"/>
    <cellStyle name="Lien hypertexte visité" xfId="12206" builtinId="9" hidden="1"/>
    <cellStyle name="Lien hypertexte visité" xfId="19314" builtinId="9" hidden="1"/>
    <cellStyle name="Lien hypertexte visité" xfId="12634" builtinId="9" hidden="1"/>
    <cellStyle name="Lien hypertexte visité" xfId="15313" builtinId="9" hidden="1"/>
    <cellStyle name="Lien hypertexte visité" xfId="1375" builtinId="9" hidden="1"/>
    <cellStyle name="Lien hypertexte visité" xfId="1760" builtinId="9" hidden="1"/>
    <cellStyle name="Lien hypertexte visité" xfId="8679" builtinId="9" hidden="1"/>
    <cellStyle name="Lien hypertexte visité" xfId="8854" builtinId="9" hidden="1"/>
    <cellStyle name="Lien hypertexte visité" xfId="21272" builtinId="9" hidden="1"/>
    <cellStyle name="Lien hypertexte visité" xfId="18091" builtinId="9" hidden="1"/>
    <cellStyle name="Lien hypertexte visité" xfId="12026" builtinId="9" hidden="1"/>
    <cellStyle name="Lien hypertexte visité" xfId="18544" builtinId="9" hidden="1"/>
    <cellStyle name="Lien hypertexte visité" xfId="19738" builtinId="9" hidden="1"/>
    <cellStyle name="Lien hypertexte visité" xfId="19490" builtinId="9" hidden="1"/>
    <cellStyle name="Lien hypertexte visité" xfId="22562" builtinId="9" hidden="1"/>
    <cellStyle name="Lien hypertexte visité" xfId="20008" builtinId="9" hidden="1"/>
    <cellStyle name="Lien hypertexte visité" xfId="17001" builtinId="9" hidden="1"/>
    <cellStyle name="Lien hypertexte visité" xfId="13942" builtinId="9" hidden="1"/>
    <cellStyle name="Lien hypertexte visité" xfId="12406" builtinId="9" hidden="1"/>
    <cellStyle name="Lien hypertexte visité" xfId="10894" builtinId="9" hidden="1"/>
    <cellStyle name="Lien hypertexte visité" xfId="9078" builtinId="9" hidden="1"/>
    <cellStyle name="Lien hypertexte visité" xfId="15355" builtinId="9" hidden="1"/>
    <cellStyle name="Lien hypertexte visité" xfId="9911" builtinId="9" hidden="1"/>
    <cellStyle name="Lien hypertexte visité" xfId="7638" builtinId="9" hidden="1"/>
    <cellStyle name="Lien hypertexte visité" xfId="5382" builtinId="9" hidden="1"/>
    <cellStyle name="Lien hypertexte visité" xfId="2640" builtinId="9" hidden="1"/>
    <cellStyle name="Lien hypertexte visité" xfId="463" builtinId="9" hidden="1"/>
    <cellStyle name="Lien hypertexte visité" xfId="3070" builtinId="9" hidden="1"/>
    <cellStyle name="Lien hypertexte visité" xfId="5812" builtinId="9" hidden="1"/>
    <cellStyle name="Lien hypertexte visité" xfId="10373" builtinId="9" hidden="1"/>
    <cellStyle name="Lien hypertexte visité" xfId="13109" builtinId="9" hidden="1"/>
    <cellStyle name="Lien hypertexte visité" xfId="16215" builtinId="9" hidden="1"/>
    <cellStyle name="Lien hypertexte visité" xfId="8826" builtinId="9" hidden="1"/>
    <cellStyle name="Lien hypertexte visité" xfId="6093" builtinId="9" hidden="1"/>
    <cellStyle name="Lien hypertexte visité" xfId="8066" builtinId="9" hidden="1"/>
    <cellStyle name="Lien hypertexte visité" xfId="3303" builtinId="9" hidden="1"/>
    <cellStyle name="Lien hypertexte visité" xfId="3139" builtinId="9" hidden="1"/>
    <cellStyle name="Lien hypertexte visité" xfId="4489" builtinId="9" hidden="1"/>
    <cellStyle name="Lien hypertexte visité" xfId="6405" builtinId="9" hidden="1"/>
    <cellStyle name="Lien hypertexte visité" xfId="4469" builtinId="9" hidden="1"/>
    <cellStyle name="Lien hypertexte visité" xfId="13098" builtinId="9" hidden="1"/>
    <cellStyle name="Lien hypertexte visité" xfId="21178" builtinId="9" hidden="1"/>
    <cellStyle name="Lien hypertexte visité" xfId="20610" builtinId="9" hidden="1"/>
    <cellStyle name="Lien hypertexte visité" xfId="18632" builtinId="9" hidden="1"/>
    <cellStyle name="Lien hypertexte visité" xfId="14322" builtinId="9" hidden="1"/>
    <cellStyle name="Lien hypertexte visité" xfId="12018" builtinId="9" hidden="1"/>
    <cellStyle name="Lien hypertexte visité" xfId="9286" builtinId="9" hidden="1"/>
    <cellStyle name="Lien hypertexte visité" xfId="14127" builtinId="9" hidden="1"/>
    <cellStyle name="Lien hypertexte visité" xfId="10735" builtinId="9" hidden="1"/>
    <cellStyle name="Lien hypertexte visité" xfId="6638" builtinId="9" hidden="1"/>
    <cellStyle name="Lien hypertexte visité" xfId="1365" builtinId="9" hidden="1"/>
    <cellStyle name="Lien hypertexte visité" xfId="5468" builtinId="9" hidden="1"/>
    <cellStyle name="Lien hypertexte visité" xfId="8861" builtinId="9" hidden="1"/>
    <cellStyle name="Lien hypertexte visité" xfId="12317" builtinId="9" hidden="1"/>
    <cellStyle name="Lien hypertexte visité" xfId="18310" builtinId="9" hidden="1"/>
    <cellStyle name="Lien hypertexte visité" xfId="24148" builtinId="9" hidden="1"/>
    <cellStyle name="Lien hypertexte visité" xfId="17381" builtinId="9" hidden="1"/>
    <cellStyle name="Lien hypertexte visité" xfId="8396" builtinId="9" hidden="1"/>
    <cellStyle name="Lien hypertexte visité" xfId="5003" builtinId="9" hidden="1"/>
    <cellStyle name="Lien hypertexte visité" xfId="637" builtinId="9" hidden="1"/>
    <cellStyle name="Lien hypertexte visité" xfId="3642" builtinId="9" hidden="1"/>
    <cellStyle name="Lien hypertexte visité" xfId="7103" builtinId="9" hidden="1"/>
    <cellStyle name="Lien hypertexte visité" xfId="1818" builtinId="9" hidden="1"/>
    <cellStyle name="Lien hypertexte visité" xfId="12581" builtinId="9" hidden="1"/>
    <cellStyle name="Lien hypertexte visité" xfId="10404" builtinId="9" hidden="1"/>
    <cellStyle name="Lien hypertexte visité" xfId="13332" builtinId="9" hidden="1"/>
    <cellStyle name="Lien hypertexte visité" xfId="17973" builtinId="9" hidden="1"/>
    <cellStyle name="Lien hypertexte visité" xfId="24230" builtinId="9" hidden="1"/>
    <cellStyle name="Lien hypertexte visité" xfId="24070" builtinId="9" hidden="1"/>
    <cellStyle name="Lien hypertexte visité" xfId="2065" builtinId="9" hidden="1"/>
    <cellStyle name="Lien hypertexte visité" xfId="2365" builtinId="9" hidden="1"/>
    <cellStyle name="Lien hypertexte visité" xfId="3834" builtinId="9" hidden="1"/>
    <cellStyle name="Lien hypertexte visité" xfId="7591" builtinId="9" hidden="1"/>
    <cellStyle name="Lien hypertexte visité" xfId="6199" builtinId="9" hidden="1"/>
    <cellStyle name="Lien hypertexte visité" xfId="4135" builtinId="9" hidden="1"/>
    <cellStyle name="Lien hypertexte visité" xfId="4227" builtinId="9" hidden="1"/>
    <cellStyle name="Lien hypertexte visité" xfId="1484" builtinId="9" hidden="1"/>
    <cellStyle name="Lien hypertexte visité" xfId="2385" builtinId="9" hidden="1"/>
    <cellStyle name="Lien hypertexte visité" xfId="23140" builtinId="9" hidden="1"/>
    <cellStyle name="Lien hypertexte visité" xfId="17301" builtinId="9" hidden="1"/>
    <cellStyle name="Lien hypertexte visité" xfId="12388" builtinId="9" hidden="1"/>
    <cellStyle name="Lien hypertexte visité" xfId="9460" builtinId="9" hidden="1"/>
    <cellStyle name="Lien hypertexte visité" xfId="6547" builtinId="9" hidden="1"/>
    <cellStyle name="Lien hypertexte visité" xfId="9317" builtinId="9" hidden="1"/>
    <cellStyle name="Lien hypertexte visité" xfId="2080" builtinId="9" hidden="1"/>
    <cellStyle name="Lien hypertexte visité" xfId="14018" builtinId="9" hidden="1"/>
    <cellStyle name="Lien hypertexte visité" xfId="22066" builtinId="9" hidden="1"/>
    <cellStyle name="Lien hypertexte visité" xfId="11738" builtinId="9" hidden="1"/>
    <cellStyle name="Lien hypertexte visité" xfId="23898" builtinId="9" hidden="1"/>
    <cellStyle name="Lien hypertexte visité" xfId="19634" builtinId="9" hidden="1"/>
    <cellStyle name="Lien hypertexte visité" xfId="24178" builtinId="9" hidden="1"/>
    <cellStyle name="Lien hypertexte visité" xfId="19584" builtinId="9" hidden="1"/>
    <cellStyle name="Lien hypertexte visité" xfId="12502" builtinId="9" hidden="1"/>
    <cellStyle name="Lien hypertexte visité" xfId="9774" builtinId="9" hidden="1"/>
    <cellStyle name="Lien hypertexte visité" xfId="15163" builtinId="9" hidden="1"/>
    <cellStyle name="Lien hypertexte visité" xfId="11415" builtinId="9" hidden="1"/>
    <cellStyle name="Lien hypertexte visité" xfId="7318" builtinId="9" hidden="1"/>
    <cellStyle name="Lien hypertexte visité" xfId="3914" builtinId="9" hidden="1"/>
    <cellStyle name="Lien hypertexte visité" xfId="143" builtinId="9" hidden="1"/>
    <cellStyle name="Lien hypertexte visité" xfId="8181" builtinId="9" hidden="1"/>
    <cellStyle name="Lien hypertexte visité" xfId="11589" builtinId="9" hidden="1"/>
    <cellStyle name="Lien hypertexte visité" xfId="16855" builtinId="9" hidden="1"/>
    <cellStyle name="Lien hypertexte visité" xfId="5013" builtinId="9" hidden="1"/>
    <cellStyle name="Lien hypertexte visité" xfId="7938" builtinId="9" hidden="1"/>
    <cellStyle name="Lien hypertexte visité" xfId="2027" builtinId="9" hidden="1"/>
    <cellStyle name="Lien hypertexte visité" xfId="3897" builtinId="9" hidden="1"/>
    <cellStyle name="Lien hypertexte visité" xfId="4193" builtinId="9" hidden="1"/>
    <cellStyle name="Lien hypertexte visité" xfId="20496" builtinId="9" hidden="1"/>
    <cellStyle name="Lien hypertexte visité" xfId="20306" builtinId="9" hidden="1"/>
    <cellStyle name="Lien hypertexte visité" xfId="20728" builtinId="9" hidden="1"/>
    <cellStyle name="Lien hypertexte visité" xfId="14214" builtinId="9" hidden="1"/>
    <cellStyle name="Lien hypertexte visité" xfId="10802" builtinId="9" hidden="1"/>
    <cellStyle name="Lien hypertexte visité" xfId="13647" builtinId="9" hidden="1"/>
    <cellStyle name="Lien hypertexte visité" xfId="3400" builtinId="9" hidden="1"/>
    <cellStyle name="Lien hypertexte visité" xfId="3904" builtinId="9" hidden="1"/>
    <cellStyle name="Lien hypertexte visité" xfId="9021" builtinId="9" hidden="1"/>
    <cellStyle name="Lien hypertexte visité" xfId="14141" builtinId="9" hidden="1"/>
    <cellStyle name="Lien hypertexte visité" xfId="23188" builtinId="9" hidden="1"/>
    <cellStyle name="Lien hypertexte visité" xfId="13740" builtinId="9" hidden="1"/>
    <cellStyle name="Lien hypertexte visité" xfId="8620" builtinId="9" hidden="1"/>
    <cellStyle name="Lien hypertexte visité" xfId="3810" builtinId="9" hidden="1"/>
    <cellStyle name="Lien hypertexte visité" xfId="523" builtinId="9" hidden="1"/>
    <cellStyle name="Lien hypertexte visité" xfId="4408" builtinId="9" hidden="1"/>
    <cellStyle name="Lien hypertexte visité" xfId="7825" builtinId="9" hidden="1"/>
    <cellStyle name="Lien hypertexte visité" xfId="11233" builtinId="9" hidden="1"/>
    <cellStyle name="Lien hypertexte visité" xfId="16143" builtinId="9" hidden="1"/>
    <cellStyle name="Lien hypertexte visité" xfId="22958" builtinId="9" hidden="1"/>
    <cellStyle name="Lien hypertexte visité" xfId="12888" builtinId="9" hidden="1"/>
    <cellStyle name="Lien hypertexte visité" xfId="9480" builtinId="9" hidden="1"/>
    <cellStyle name="Lien hypertexte visité" xfId="19900" builtinId="9" hidden="1"/>
    <cellStyle name="Lien hypertexte visité" xfId="9641" builtinId="9" hidden="1"/>
    <cellStyle name="Lien hypertexte visité" xfId="9235" builtinId="9" hidden="1"/>
    <cellStyle name="Lien hypertexte visité" xfId="6314" builtinId="9" hidden="1"/>
    <cellStyle name="Lien hypertexte visité" xfId="2796" builtinId="9" hidden="1"/>
    <cellStyle name="Lien hypertexte visité" xfId="10363" builtinId="9" hidden="1"/>
    <cellStyle name="Lien hypertexte visité" xfId="14915" builtinId="9" hidden="1"/>
    <cellStyle name="Lien hypertexte visité" xfId="13003" builtinId="9" hidden="1"/>
    <cellStyle name="Lien hypertexte visité" xfId="10475" builtinId="9" hidden="1"/>
    <cellStyle name="Lien hypertexte visité" xfId="3164" builtinId="9" hidden="1"/>
    <cellStyle name="Lien hypertexte visité" xfId="3500" builtinId="9" hidden="1"/>
    <cellStyle name="Lien hypertexte visité" xfId="6426" builtinId="9" hidden="1"/>
    <cellStyle name="Lien hypertexte visité" xfId="16587" builtinId="9" hidden="1"/>
    <cellStyle name="Lien hypertexte visité" xfId="12127" builtinId="9" hidden="1"/>
    <cellStyle name="Lien hypertexte visité" xfId="8031" builtinId="9" hidden="1"/>
    <cellStyle name="Lien hypertexte visité" xfId="4606" builtinId="9" hidden="1"/>
    <cellStyle name="Lien hypertexte visité" xfId="1207" builtinId="9" hidden="1"/>
    <cellStyle name="Lien hypertexte visité" xfId="4044" builtinId="9" hidden="1"/>
    <cellStyle name="Lien hypertexte visité" xfId="7468" builtinId="9" hidden="1"/>
    <cellStyle name="Lien hypertexte visité" xfId="15463" builtinId="9" hidden="1"/>
    <cellStyle name="Lien hypertexte visité" xfId="22230" builtinId="9" hidden="1"/>
    <cellStyle name="Lien hypertexte visité" xfId="20148" builtinId="9" hidden="1"/>
    <cellStyle name="Lien hypertexte visité" xfId="13244" builtinId="9" hidden="1"/>
    <cellStyle name="Lien hypertexte visité" xfId="9820" builtinId="9" hidden="1"/>
    <cellStyle name="Lien hypertexte visité" xfId="6427" builtinId="9" hidden="1"/>
    <cellStyle name="Lien hypertexte visité" xfId="2325" builtinId="9" hidden="1"/>
    <cellStyle name="Lien hypertexte visité" xfId="5679" builtinId="9" hidden="1"/>
    <cellStyle name="Lien hypertexte visité" xfId="583" builtinId="9" hidden="1"/>
    <cellStyle name="Lien hypertexte visité" xfId="3130" builtinId="9" hidden="1"/>
    <cellStyle name="Lien hypertexte visité" xfId="5424" builtinId="9" hidden="1"/>
    <cellStyle name="Lien hypertexte visité" xfId="8153" builtinId="9" hidden="1"/>
    <cellStyle name="Lien hypertexte visité" xfId="10433" builtinId="9" hidden="1"/>
    <cellStyle name="Lien hypertexte visité" xfId="12697" builtinId="9" hidden="1"/>
    <cellStyle name="Lien hypertexte visité" xfId="20894" builtinId="9" hidden="1"/>
    <cellStyle name="Lien hypertexte visité" xfId="23772" builtinId="9" hidden="1"/>
    <cellStyle name="Lien hypertexte visité" xfId="18321" builtinId="9" hidden="1"/>
    <cellStyle name="Lien hypertexte visité" xfId="14160" builtinId="9" hidden="1"/>
    <cellStyle name="Lien hypertexte visité" xfId="11880" builtinId="9" hidden="1"/>
    <cellStyle name="Lien hypertexte visité" xfId="9144" builtinId="9" hidden="1"/>
    <cellStyle name="Lien hypertexte visité" xfId="15117" builtinId="9" hidden="1"/>
    <cellStyle name="Lien hypertexte visité" xfId="9353" builtinId="9" hidden="1"/>
    <cellStyle name="Lien hypertexte visité" xfId="21454" builtinId="9" hidden="1"/>
    <cellStyle name="Lien hypertexte visité" xfId="11576" builtinId="9" hidden="1"/>
    <cellStyle name="Lien hypertexte visité" xfId="24222" builtinId="9" hidden="1"/>
    <cellStyle name="Lien hypertexte visité" xfId="12545" builtinId="9" hidden="1"/>
    <cellStyle name="Lien hypertexte visité" xfId="5720" builtinId="9" hidden="1"/>
    <cellStyle name="Lien hypertexte visité" xfId="4751" builtinId="9" hidden="1"/>
    <cellStyle name="Lien hypertexte visité" xfId="19252" builtinId="9" hidden="1"/>
    <cellStyle name="Lien hypertexte visité" xfId="9965" builtinId="9" hidden="1"/>
    <cellStyle name="Lien hypertexte visité" xfId="1431" builtinId="9" hidden="1"/>
    <cellStyle name="Lien hypertexte visité" xfId="11679" builtinId="9" hidden="1"/>
    <cellStyle name="Lien hypertexte visité" xfId="6197" builtinId="9" hidden="1"/>
    <cellStyle name="Lien hypertexte visité" xfId="4513" builtinId="9" hidden="1"/>
    <cellStyle name="Lien hypertexte visité" xfId="11978" builtinId="9" hidden="1"/>
    <cellStyle name="Lien hypertexte visité" xfId="18370" builtinId="9" hidden="1"/>
    <cellStyle name="Lien hypertexte visité" xfId="22290" builtinId="9" hidden="1"/>
    <cellStyle name="Lien hypertexte visité" xfId="22280" builtinId="9" hidden="1"/>
    <cellStyle name="Lien hypertexte visité" xfId="23504" builtinId="9" hidden="1"/>
    <cellStyle name="Lien hypertexte visité" xfId="6651" builtinId="9" hidden="1"/>
    <cellStyle name="Lien hypertexte visité" xfId="20558" builtinId="9" hidden="1"/>
    <cellStyle name="Lien hypertexte visité" xfId="16335" builtinId="9" hidden="1"/>
    <cellStyle name="Lien hypertexte visité" xfId="2249" builtinId="9" hidden="1"/>
    <cellStyle name="Lien hypertexte visité" xfId="10893" builtinId="9" hidden="1"/>
    <cellStyle name="Lien hypertexte visité" xfId="1858" builtinId="9" hidden="1"/>
    <cellStyle name="Lien hypertexte visité" xfId="8099" builtinId="9" hidden="1"/>
    <cellStyle name="Lien hypertexte visité" xfId="19436" builtinId="9" hidden="1"/>
    <cellStyle name="Lien hypertexte visité" xfId="2469" builtinId="9" hidden="1"/>
    <cellStyle name="Lien hypertexte visité" xfId="8527" builtinId="9" hidden="1"/>
    <cellStyle name="Lien hypertexte visité" xfId="7705" builtinId="9" hidden="1"/>
    <cellStyle name="Lien hypertexte visité" xfId="4756" builtinId="9" hidden="1"/>
    <cellStyle name="Lien hypertexte visité" xfId="15033" builtinId="9" hidden="1"/>
    <cellStyle name="Lien hypertexte visité" xfId="12327" builtinId="9" hidden="1"/>
    <cellStyle name="Lien hypertexte visité" xfId="20262" builtinId="9" hidden="1"/>
    <cellStyle name="Lien hypertexte visité" xfId="5091" builtinId="9" hidden="1"/>
    <cellStyle name="Lien hypertexte visité" xfId="6883" builtinId="9" hidden="1"/>
    <cellStyle name="Lien hypertexte visité" xfId="11852" builtinId="9" hidden="1"/>
    <cellStyle name="Lien hypertexte visité" xfId="3176" builtinId="9" hidden="1"/>
    <cellStyle name="Lien hypertexte visité" xfId="24096" builtinId="9" hidden="1"/>
    <cellStyle name="Lien hypertexte visité" xfId="497" builtinId="9" hidden="1"/>
    <cellStyle name="Lien hypertexte visité" xfId="8069" builtinId="9" hidden="1"/>
    <cellStyle name="Lien hypertexte visité" xfId="12631" builtinId="9" hidden="1"/>
    <cellStyle name="Lien hypertexte visité" xfId="23016" builtinId="9" hidden="1"/>
    <cellStyle name="Lien hypertexte visité" xfId="13378" builtinId="9" hidden="1"/>
    <cellStyle name="Lien hypertexte visité" xfId="18984" builtinId="9" hidden="1"/>
    <cellStyle name="Lien hypertexte visité" xfId="1466" builtinId="9" hidden="1"/>
    <cellStyle name="Lien hypertexte visité" xfId="7948" builtinId="9" hidden="1"/>
    <cellStyle name="Lien hypertexte visité" xfId="18702" builtinId="9" hidden="1"/>
    <cellStyle name="Lien hypertexte visité" xfId="22398" builtinId="9" hidden="1"/>
    <cellStyle name="Lien hypertexte visité" xfId="6560" builtinId="9" hidden="1"/>
    <cellStyle name="Lien hypertexte visité" xfId="11811" builtinId="9" hidden="1"/>
    <cellStyle name="Lien hypertexte visité" xfId="9187" builtinId="9" hidden="1"/>
    <cellStyle name="Lien hypertexte visité" xfId="4914" builtinId="9" hidden="1"/>
    <cellStyle name="Lien hypertexte visité" xfId="1235" builtinId="9" hidden="1"/>
    <cellStyle name="Lien hypertexte visité" xfId="9947" builtinId="9" hidden="1"/>
    <cellStyle name="Lien hypertexte visité" xfId="11297" builtinId="9" hidden="1"/>
    <cellStyle name="Lien hypertexte visité" xfId="11032" builtinId="9" hidden="1"/>
    <cellStyle name="Lien hypertexte visité" xfId="5890" builtinId="9" hidden="1"/>
    <cellStyle name="Lien hypertexte visité" xfId="13759" builtinId="9" hidden="1"/>
    <cellStyle name="Lien hypertexte visité" xfId="10955" builtinId="9" hidden="1"/>
    <cellStyle name="Lien hypertexte visité" xfId="3452" builtinId="9" hidden="1"/>
    <cellStyle name="Lien hypertexte visité" xfId="11272" builtinId="9" hidden="1"/>
    <cellStyle name="Lien hypertexte visité" xfId="8249" builtinId="9" hidden="1"/>
    <cellStyle name="Lien hypertexte visité" xfId="9004" builtinId="9" hidden="1"/>
    <cellStyle name="Lien hypertexte visité" xfId="223" builtinId="9" hidden="1"/>
    <cellStyle name="Lien hypertexte visité" xfId="20216" builtinId="9" hidden="1"/>
    <cellStyle name="Lien hypertexte visité" xfId="1619" builtinId="9" hidden="1"/>
    <cellStyle name="Lien hypertexte visité" xfId="9973" builtinId="9" hidden="1"/>
    <cellStyle name="Lien hypertexte visité" xfId="10823" builtinId="9" hidden="1"/>
    <cellStyle name="Lien hypertexte visité" xfId="20608" builtinId="9" hidden="1"/>
    <cellStyle name="Lien hypertexte visité" xfId="19992" builtinId="9" hidden="1"/>
    <cellStyle name="Lien hypertexte visité" xfId="9108" builtinId="9" hidden="1"/>
    <cellStyle name="Lien hypertexte visité" xfId="2193" builtinId="9" hidden="1"/>
    <cellStyle name="Lien hypertexte visité" xfId="6999" builtinId="9" hidden="1"/>
    <cellStyle name="Lien hypertexte visité" xfId="23782" builtinId="9" hidden="1"/>
    <cellStyle name="Lien hypertexte visité" xfId="11301" builtinId="9" hidden="1"/>
    <cellStyle name="Lien hypertexte visité" xfId="6603" builtinId="9" hidden="1"/>
    <cellStyle name="Lien hypertexte visité" xfId="12893" builtinId="9" hidden="1"/>
    <cellStyle name="Lien hypertexte visité" xfId="7406" builtinId="9" hidden="1"/>
    <cellStyle name="Lien hypertexte visité" xfId="16521" builtinId="9" hidden="1"/>
    <cellStyle name="Lien hypertexte visité" xfId="4213" builtinId="9" hidden="1"/>
    <cellStyle name="Lien hypertexte visité" xfId="3167" builtinId="9" hidden="1"/>
    <cellStyle name="Lien hypertexte visité" xfId="11653" builtinId="9" hidden="1"/>
    <cellStyle name="Lien hypertexte visité" xfId="2480" builtinId="9" hidden="1"/>
    <cellStyle name="Lien hypertexte visité" xfId="15867" builtinId="9" hidden="1"/>
    <cellStyle name="Lien hypertexte visité" xfId="18408" builtinId="9" hidden="1"/>
    <cellStyle name="Lien hypertexte visité" xfId="20080" builtinId="9" hidden="1"/>
    <cellStyle name="Lien hypertexte visité" xfId="16155" builtinId="9" hidden="1"/>
    <cellStyle name="Lien hypertexte visité" xfId="24154" builtinId="9" hidden="1"/>
    <cellStyle name="Lien hypertexte visité" xfId="627" builtinId="9" hidden="1"/>
    <cellStyle name="Lien hypertexte visité" xfId="10154" builtinId="9" hidden="1"/>
    <cellStyle name="Lien hypertexte visité" xfId="18081" builtinId="9" hidden="1"/>
    <cellStyle name="Lien hypertexte visité" xfId="14311" builtinId="9" hidden="1"/>
    <cellStyle name="Lien hypertexte visité" xfId="8418" builtinId="9" hidden="1"/>
    <cellStyle name="Lien hypertexte visité" xfId="2619" builtinId="9" hidden="1"/>
    <cellStyle name="Lien hypertexte visité" xfId="7919" builtinId="9" hidden="1"/>
    <cellStyle name="Lien hypertexte visité" xfId="6692" builtinId="9" hidden="1"/>
    <cellStyle name="Lien hypertexte visité" xfId="1360" builtinId="9" hidden="1"/>
    <cellStyle name="Lien hypertexte visité" xfId="21288" builtinId="9" hidden="1"/>
    <cellStyle name="Lien hypertexte visité" xfId="441" builtinId="9" hidden="1"/>
    <cellStyle name="Lien hypertexte visité" xfId="15849" builtinId="9" hidden="1"/>
    <cellStyle name="Lien hypertexte visité" xfId="3825" builtinId="9" hidden="1"/>
    <cellStyle name="Lien hypertexte visité" xfId="12610" builtinId="9" hidden="1"/>
    <cellStyle name="Lien hypertexte visité" xfId="2990" builtinId="9" hidden="1"/>
    <cellStyle name="Lien hypertexte visité" xfId="16513" builtinId="9" hidden="1"/>
    <cellStyle name="Lien hypertexte visité" xfId="3376" builtinId="9" hidden="1"/>
    <cellStyle name="Lien hypertexte visité" xfId="5017" builtinId="9" hidden="1"/>
    <cellStyle name="Lien hypertexte visité" xfId="11549" builtinId="9" hidden="1"/>
    <cellStyle name="Lien hypertexte visité" xfId="23076" builtinId="9" hidden="1"/>
    <cellStyle name="Lien hypertexte visité" xfId="10276" builtinId="9" hidden="1"/>
    <cellStyle name="Lien hypertexte visité" xfId="12183" builtinId="9" hidden="1"/>
    <cellStyle name="Lien hypertexte visité" xfId="22944" builtinId="9" hidden="1"/>
    <cellStyle name="Lien hypertexte visité" xfId="6880" builtinId="9" hidden="1"/>
    <cellStyle name="Lien hypertexte visité" xfId="9859" builtinId="9" hidden="1"/>
    <cellStyle name="Lien hypertexte visité" xfId="9880" builtinId="9" hidden="1"/>
    <cellStyle name="Lien hypertexte visité" xfId="5154" builtinId="9" hidden="1"/>
    <cellStyle name="Lien hypertexte visité" xfId="10179" builtinId="9" hidden="1"/>
    <cellStyle name="Lien hypertexte visité" xfId="23612" builtinId="9" hidden="1"/>
    <cellStyle name="Lien hypertexte visité" xfId="14030" builtinId="9" hidden="1"/>
    <cellStyle name="Lien hypertexte visité" xfId="14007" builtinId="9" hidden="1"/>
    <cellStyle name="Lien hypertexte visité" xfId="22402" builtinId="9" hidden="1"/>
    <cellStyle name="Lien hypertexte visité" xfId="18822" builtinId="9" hidden="1"/>
    <cellStyle name="Lien hypertexte visité" xfId="6182" builtinId="9" hidden="1"/>
    <cellStyle name="Lien hypertexte visité" xfId="2795" builtinId="9" hidden="1"/>
    <cellStyle name="Lien hypertexte visité" xfId="23532" builtinId="9" hidden="1"/>
    <cellStyle name="Lien hypertexte visité" xfId="8845" builtinId="9" hidden="1"/>
    <cellStyle name="Lien hypertexte visité" xfId="20476" builtinId="9" hidden="1"/>
    <cellStyle name="Lien hypertexte visité" xfId="9426" builtinId="9" hidden="1"/>
    <cellStyle name="Lien hypertexte visité" xfId="13266" builtinId="9" hidden="1"/>
    <cellStyle name="Lien hypertexte visité" xfId="11207" builtinId="9" hidden="1"/>
    <cellStyle name="Lien hypertexte visité" xfId="14466" builtinId="9" hidden="1"/>
    <cellStyle name="Lien hypertexte visité" xfId="22362" builtinId="9" hidden="1"/>
    <cellStyle name="Lien hypertexte visité" xfId="8470" builtinId="9" hidden="1"/>
    <cellStyle name="Lien hypertexte visité" xfId="8404" builtinId="9" hidden="1"/>
    <cellStyle name="Lien hypertexte visité" xfId="6293" builtinId="9" hidden="1"/>
    <cellStyle name="Lien hypertexte visité" xfId="5116" builtinId="9" hidden="1"/>
    <cellStyle name="Lien hypertexte visité" xfId="17837" builtinId="9" hidden="1"/>
    <cellStyle name="Lien hypertexte visité" xfId="2436" builtinId="9" hidden="1"/>
    <cellStyle name="Lien hypertexte visité" xfId="15813" builtinId="9" hidden="1"/>
    <cellStyle name="Lien hypertexte visité" xfId="21054" builtinId="9" hidden="1"/>
    <cellStyle name="Lien hypertexte visité" xfId="6415" builtinId="9" hidden="1"/>
    <cellStyle name="Lien hypertexte visité" xfId="7183" builtinId="9" hidden="1"/>
    <cellStyle name="Lien hypertexte visité" xfId="19068" builtinId="9" hidden="1"/>
    <cellStyle name="Lien hypertexte visité" xfId="10320" builtinId="9" hidden="1"/>
    <cellStyle name="Lien hypertexte visité" xfId="21278" builtinId="9" hidden="1"/>
    <cellStyle name="Lien hypertexte visité" xfId="6704" builtinId="9" hidden="1"/>
    <cellStyle name="Lien hypertexte visité" xfId="2121" builtinId="9" hidden="1"/>
    <cellStyle name="Lien hypertexte visité" xfId="17349" builtinId="9" hidden="1"/>
    <cellStyle name="Lien hypertexte visité" xfId="6828" builtinId="9" hidden="1"/>
    <cellStyle name="Lien hypertexte visité" xfId="11135" builtinId="9" hidden="1"/>
    <cellStyle name="Lien hypertexte visité" xfId="2220" builtinId="9" hidden="1"/>
    <cellStyle name="Lien hypertexte visité" xfId="9923" builtinId="9" hidden="1"/>
    <cellStyle name="Lien hypertexte visité" xfId="23814" builtinId="9" hidden="1"/>
    <cellStyle name="Lien hypertexte visité" xfId="11268" builtinId="9" hidden="1"/>
    <cellStyle name="Lien hypertexte visité" xfId="2497" builtinId="9" hidden="1"/>
    <cellStyle name="Lien hypertexte visité" xfId="949" builtinId="9" hidden="1"/>
    <cellStyle name="Lien hypertexte visité" xfId="1244" builtinId="9" hidden="1"/>
    <cellStyle name="Lien hypertexte visité" xfId="2413" builtinId="9" hidden="1"/>
    <cellStyle name="Lien hypertexte visité" xfId="3646" builtinId="9" hidden="1"/>
    <cellStyle name="Lien hypertexte visité" xfId="5075" builtinId="9" hidden="1"/>
    <cellStyle name="Lien hypertexte visité" xfId="5367" builtinId="9" hidden="1"/>
    <cellStyle name="Lien hypertexte visité" xfId="2849" builtinId="9" hidden="1"/>
    <cellStyle name="Lien hypertexte visité" xfId="6423" builtinId="9" hidden="1"/>
    <cellStyle name="Lien hypertexte visité" xfId="7543" builtinId="9" hidden="1"/>
    <cellStyle name="Lien hypertexte visité" xfId="8648" builtinId="9" hidden="1"/>
    <cellStyle name="Lien hypertexte visité" xfId="6183" builtinId="9" hidden="1"/>
    <cellStyle name="Lien hypertexte visité" xfId="7287" builtinId="9" hidden="1"/>
    <cellStyle name="Lien hypertexte visité" xfId="3738" builtinId="9" hidden="1"/>
    <cellStyle name="Lien hypertexte visité" xfId="4855" builtinId="9" hidden="1"/>
    <cellStyle name="Lien hypertexte visité" xfId="2813" builtinId="9" hidden="1"/>
    <cellStyle name="Lien hypertexte visité" xfId="4179" builtinId="9" hidden="1"/>
    <cellStyle name="Lien hypertexte visité" xfId="2941" builtinId="9" hidden="1"/>
    <cellStyle name="Lien hypertexte visité" xfId="14036" builtinId="9" hidden="1"/>
    <cellStyle name="Lien hypertexte visité" xfId="6884" builtinId="9" hidden="1"/>
    <cellStyle name="Lien hypertexte visité" xfId="16761" builtinId="9" hidden="1"/>
    <cellStyle name="Lien hypertexte visité" xfId="20698" builtinId="9" hidden="1"/>
    <cellStyle name="Lien hypertexte visité" xfId="14907" builtinId="9" hidden="1"/>
    <cellStyle name="Lien hypertexte visité" xfId="3785" builtinId="9" hidden="1"/>
    <cellStyle name="Lien hypertexte visité" xfId="8309" builtinId="9" hidden="1"/>
    <cellStyle name="Lien hypertexte visité" xfId="11381" builtinId="9" hidden="1"/>
    <cellStyle name="Lien hypertexte visité" xfId="9845" builtinId="9" hidden="1"/>
    <cellStyle name="Lien hypertexte visité" xfId="8213" builtinId="9" hidden="1"/>
    <cellStyle name="Lien hypertexte visité" xfId="6676" builtinId="9" hidden="1"/>
    <cellStyle name="Lien hypertexte visité" xfId="4724" builtinId="9" hidden="1"/>
    <cellStyle name="Lien hypertexte visité" xfId="3182" builtinId="9" hidden="1"/>
    <cellStyle name="Lien hypertexte visité" xfId="1646" builtinId="9" hidden="1"/>
    <cellStyle name="Lien hypertexte visité" xfId="1107" builtinId="9" hidden="1"/>
    <cellStyle name="Lien hypertexte visité" xfId="3008" builtinId="9" hidden="1"/>
    <cellStyle name="Lien hypertexte visité" xfId="4630" builtinId="9" hidden="1"/>
    <cellStyle name="Lien hypertexte visité" xfId="6166" builtinId="9" hidden="1"/>
    <cellStyle name="Lien hypertexte visité" xfId="8135" builtinId="9" hidden="1"/>
    <cellStyle name="Lien hypertexte visité" xfId="11700" builtinId="9" hidden="1"/>
    <cellStyle name="Lien hypertexte visité" xfId="1158" builtinId="9" hidden="1"/>
    <cellStyle name="Lien hypertexte visité" xfId="23142" builtinId="9" hidden="1"/>
    <cellStyle name="Lien hypertexte visité" xfId="7956" builtinId="9" hidden="1"/>
    <cellStyle name="Lien hypertexte visité" xfId="621" builtinId="9" hidden="1"/>
    <cellStyle name="Lien hypertexte visité" xfId="16213" builtinId="9" hidden="1"/>
    <cellStyle name="Lien hypertexte visité" xfId="16569" builtinId="9" hidden="1"/>
    <cellStyle name="Lien hypertexte visité" xfId="14521" builtinId="9" hidden="1"/>
    <cellStyle name="Lien hypertexte visité" xfId="13494" builtinId="9" hidden="1"/>
    <cellStyle name="Lien hypertexte visité" xfId="12194" builtinId="9" hidden="1"/>
    <cellStyle name="Lien hypertexte visité" xfId="11170" builtinId="9" hidden="1"/>
    <cellStyle name="Lien hypertexte visité" xfId="10082" builtinId="9" hidden="1"/>
    <cellStyle name="Lien hypertexte visité" xfId="9058" builtinId="9" hidden="1"/>
    <cellStyle name="Lien hypertexte visité" xfId="16763" builtinId="9" hidden="1"/>
    <cellStyle name="Lien hypertexte visité" xfId="14103" builtinId="9" hidden="1"/>
    <cellStyle name="Lien hypertexte visité" xfId="10519" builtinId="9" hidden="1"/>
    <cellStyle name="Lien hypertexte visité" xfId="8983" builtinId="9" hidden="1"/>
    <cellStyle name="Lien hypertexte visité" xfId="7446" builtinId="9" hidden="1"/>
    <cellStyle name="Lien hypertexte visité" xfId="5910" builtinId="9" hidden="1"/>
    <cellStyle name="Lien hypertexte visité" xfId="4294" builtinId="9" hidden="1"/>
    <cellStyle name="Lien hypertexte visité" xfId="2752" builtinId="9" hidden="1"/>
    <cellStyle name="Lien hypertexte visité" xfId="1215" builtinId="9" hidden="1"/>
    <cellStyle name="Lien hypertexte visité" xfId="1550" builtinId="9" hidden="1"/>
    <cellStyle name="Lien hypertexte visité" xfId="3438" builtinId="9" hidden="1"/>
    <cellStyle name="Lien hypertexte visité" xfId="5060" builtinId="9" hidden="1"/>
    <cellStyle name="Lien hypertexte visité" xfId="6596" builtinId="9" hidden="1"/>
    <cellStyle name="Lien hypertexte visité" xfId="8133" builtinId="9" hidden="1"/>
    <cellStyle name="Lien hypertexte visité" xfId="9749" builtinId="9" hidden="1"/>
    <cellStyle name="Lien hypertexte visité" xfId="11285" builtinId="9" hidden="1"/>
    <cellStyle name="Lien hypertexte visité" xfId="11717" builtinId="9" hidden="1"/>
    <cellStyle name="Lien hypertexte visité" xfId="14023" builtinId="9" hidden="1"/>
    <cellStyle name="Lien hypertexte visité" xfId="14242" builtinId="9" hidden="1"/>
    <cellStyle name="Lien hypertexte visité" xfId="20722" builtinId="9" hidden="1"/>
    <cellStyle name="Lien hypertexte visité" xfId="18826" builtinId="9" hidden="1"/>
    <cellStyle name="Lien hypertexte visité" xfId="4518" builtinId="9" hidden="1"/>
    <cellStyle name="Lien hypertexte visité" xfId="8772" builtinId="9" hidden="1"/>
    <cellStyle name="Lien hypertexte visité" xfId="21732" builtinId="9" hidden="1"/>
    <cellStyle name="Lien hypertexte visité" xfId="3485" builtinId="9" hidden="1"/>
    <cellStyle name="Lien hypertexte visité" xfId="4931" builtinId="9" hidden="1"/>
    <cellStyle name="Lien hypertexte visité" xfId="5511" builtinId="9" hidden="1"/>
    <cellStyle name="Lien hypertexte visité" xfId="4391" builtinId="9" hidden="1"/>
    <cellStyle name="Lien hypertexte visité" xfId="3265" builtinId="9" hidden="1"/>
    <cellStyle name="Lien hypertexte visité" xfId="6759" builtinId="9" hidden="1"/>
    <cellStyle name="Lien hypertexte visité" xfId="7880" builtinId="9" hidden="1"/>
    <cellStyle name="Lien hypertexte visité" xfId="8808" builtinId="9" hidden="1"/>
    <cellStyle name="Lien hypertexte visité" xfId="6887" builtinId="9" hidden="1"/>
    <cellStyle name="Lien hypertexte visité" xfId="3313" builtinId="9" hidden="1"/>
    <cellStyle name="Lien hypertexte visité" xfId="4439" builtinId="9" hidden="1"/>
    <cellStyle name="Lien hypertexte visité" xfId="5559" builtinId="9" hidden="1"/>
    <cellStyle name="Lien hypertexte visité" xfId="4883" builtinId="9" hidden="1"/>
    <cellStyle name="Lien hypertexte visité" xfId="5830" builtinId="9" hidden="1"/>
    <cellStyle name="Lien hypertexte visité" xfId="14309" builtinId="9" hidden="1"/>
    <cellStyle name="Lien hypertexte visité" xfId="9701" builtinId="9" hidden="1"/>
    <cellStyle name="Lien hypertexte visité" xfId="5092" builtinId="9" hidden="1"/>
    <cellStyle name="Lien hypertexte visité" xfId="691" builtinId="9" hidden="1"/>
    <cellStyle name="Lien hypertexte visité" xfId="5542" builtinId="9" hidden="1"/>
    <cellStyle name="Lien hypertexte visité" xfId="10151" builtinId="9" hidden="1"/>
    <cellStyle name="Lien hypertexte visité" xfId="15515" builtinId="9" hidden="1"/>
    <cellStyle name="Lien hypertexte visité" xfId="10690" builtinId="9" hidden="1"/>
    <cellStyle name="Lien hypertexte visité" xfId="13762" builtinId="9" hidden="1"/>
    <cellStyle name="Lien hypertexte visité" xfId="22242" builtinId="9" hidden="1"/>
    <cellStyle name="Lien hypertexte visité" xfId="21914" builtinId="9" hidden="1"/>
    <cellStyle name="Lien hypertexte visité" xfId="11706" builtinId="9" hidden="1"/>
    <cellStyle name="Lien hypertexte visité" xfId="14202" builtinId="9" hidden="1"/>
    <cellStyle name="Lien hypertexte visité" xfId="20016" builtinId="9" hidden="1"/>
    <cellStyle name="Lien hypertexte visité" xfId="22746" builtinId="9" hidden="1"/>
    <cellStyle name="Lien hypertexte visité" xfId="17539" builtinId="9" hidden="1"/>
    <cellStyle name="Lien hypertexte visité" xfId="19570" builtinId="9" hidden="1"/>
    <cellStyle name="Lien hypertexte visité" xfId="21746" builtinId="9" hidden="1"/>
    <cellStyle name="Lien hypertexte visité" xfId="23794" builtinId="9" hidden="1"/>
    <cellStyle name="Lien hypertexte visité" xfId="23384" builtinId="9" hidden="1"/>
    <cellStyle name="Lien hypertexte visité" xfId="21336" builtinId="9" hidden="1"/>
    <cellStyle name="Lien hypertexte visité" xfId="19176" builtinId="9" hidden="1"/>
    <cellStyle name="Lien hypertexte visité" xfId="11194" builtinId="9" hidden="1"/>
    <cellStyle name="Lien hypertexte visité" xfId="21892" builtinId="9" hidden="1"/>
    <cellStyle name="Lien hypertexte visité" xfId="16501" builtinId="9" hidden="1"/>
    <cellStyle name="Lien hypertexte visité" xfId="14180" builtinId="9" hidden="1"/>
    <cellStyle name="Lien hypertexte visité" xfId="12788" builtinId="9" hidden="1"/>
    <cellStyle name="Lien hypertexte visité" xfId="11476" builtinId="9" hidden="1"/>
    <cellStyle name="Lien hypertexte visité" xfId="10164" builtinId="9" hidden="1"/>
    <cellStyle name="Lien hypertexte visité" xfId="8852" builtinId="9" hidden="1"/>
    <cellStyle name="Lien hypertexte visité" xfId="7459" builtinId="9" hidden="1"/>
    <cellStyle name="Lien hypertexte visité" xfId="6131" builtinId="9" hidden="1"/>
    <cellStyle name="Lien hypertexte visité" xfId="16663" builtinId="9" hidden="1"/>
    <cellStyle name="Lien hypertexte visité" xfId="17739" builtinId="9" hidden="1"/>
    <cellStyle name="Lien hypertexte visité" xfId="4377" builtinId="9" hidden="1"/>
    <cellStyle name="Lien hypertexte visité" xfId="2419" builtinId="9" hidden="1"/>
    <cellStyle name="Lien hypertexte visité" xfId="1863" builtinId="9" hidden="1"/>
    <cellStyle name="Lien hypertexte visité" xfId="6585" builtinId="9" hidden="1"/>
    <cellStyle name="Lien hypertexte visité" xfId="11919" builtinId="9" hidden="1"/>
    <cellStyle name="Lien hypertexte visité" xfId="18424" builtinId="9" hidden="1"/>
    <cellStyle name="Lien hypertexte visité" xfId="1672" builtinId="9" hidden="1"/>
    <cellStyle name="Lien hypertexte visité" xfId="9725" builtinId="9" hidden="1"/>
    <cellStyle name="Lien hypertexte visité" xfId="13821" builtinId="9" hidden="1"/>
    <cellStyle name="Lien hypertexte visité" xfId="7676" builtinId="9" hidden="1"/>
    <cellStyle name="Lien hypertexte visité" xfId="3729" builtinId="9" hidden="1"/>
    <cellStyle name="Lien hypertexte visité" xfId="21152" builtinId="9" hidden="1"/>
    <cellStyle name="Lien hypertexte visité" xfId="12382" builtinId="9" hidden="1"/>
    <cellStyle name="Lien hypertexte visité" xfId="13967" builtinId="9" hidden="1"/>
    <cellStyle name="Lien hypertexte visité" xfId="5413" builtinId="9" hidden="1"/>
    <cellStyle name="Lien hypertexte visité" xfId="3387" builtinId="9" hidden="1"/>
    <cellStyle name="Lien hypertexte visité" xfId="3511" builtinId="9" hidden="1"/>
    <cellStyle name="Lien hypertexte visité" xfId="5549" builtinId="9" hidden="1"/>
    <cellStyle name="Lien hypertexte visité" xfId="23312" builtinId="9" hidden="1"/>
    <cellStyle name="Lien hypertexte visité" xfId="23880" builtinId="9" hidden="1"/>
    <cellStyle name="Lien hypertexte visité" xfId="7155" builtinId="9" hidden="1"/>
    <cellStyle name="Lien hypertexte visité" xfId="8484" builtinId="9" hidden="1"/>
    <cellStyle name="Lien hypertexte visité" xfId="9796" builtinId="9" hidden="1"/>
    <cellStyle name="Lien hypertexte visité" xfId="11188" builtinId="9" hidden="1"/>
    <cellStyle name="Lien hypertexte visité" xfId="12500" builtinId="9" hidden="1"/>
    <cellStyle name="Lien hypertexte visité" xfId="13812" builtinId="9" hidden="1"/>
    <cellStyle name="Lien hypertexte visité" xfId="15765" builtinId="9" hidden="1"/>
    <cellStyle name="Lien hypertexte visité" xfId="18532" builtinId="9" hidden="1"/>
    <cellStyle name="Lien hypertexte visité" xfId="21156" builtinId="9" hidden="1"/>
    <cellStyle name="Lien hypertexte visité" xfId="16439" builtinId="9" hidden="1"/>
    <cellStyle name="Lien hypertexte visité" xfId="18728" builtinId="9" hidden="1"/>
    <cellStyle name="Lien hypertexte visité" xfId="20776" builtinId="9" hidden="1"/>
    <cellStyle name="Lien hypertexte visité" xfId="22824" builtinId="9" hidden="1"/>
    <cellStyle name="Lien hypertexte visité" xfId="24242" builtinId="9" hidden="1"/>
    <cellStyle name="Lien hypertexte visité" xfId="22194" builtinId="9" hidden="1"/>
    <cellStyle name="Lien hypertexte visité" xfId="18115" builtinId="9" hidden="1"/>
    <cellStyle name="Lien hypertexte visité" xfId="21338" builtinId="9" hidden="1"/>
    <cellStyle name="Lien hypertexte visité" xfId="21744" builtinId="9" hidden="1"/>
    <cellStyle name="Lien hypertexte visité" xfId="15617" builtinId="9" hidden="1"/>
    <cellStyle name="Lien hypertexte visité" xfId="11802" builtinId="9" hidden="1"/>
    <cellStyle name="Lien hypertexte visité" xfId="23216" builtinId="9" hidden="1"/>
    <cellStyle name="Lien hypertexte visité" xfId="20530" builtinId="9" hidden="1"/>
    <cellStyle name="Lien hypertexte visité" xfId="20840" builtinId="9" hidden="1"/>
    <cellStyle name="Lien hypertexte visité" xfId="14713" builtinId="9" hidden="1"/>
    <cellStyle name="Lien hypertexte visité" xfId="11374" builtinId="9" hidden="1"/>
    <cellStyle name="Lien hypertexte visité" xfId="8302" builtinId="9" hidden="1"/>
    <cellStyle name="Lien hypertexte visité" xfId="11431" builtinId="9" hidden="1"/>
    <cellStyle name="Lien hypertexte visité" xfId="6822" builtinId="9" hidden="1"/>
    <cellStyle name="Lien hypertexte visité" xfId="1952" builtinId="9" hidden="1"/>
    <cellStyle name="Lien hypertexte visité" xfId="3815" builtinId="9" hidden="1"/>
    <cellStyle name="Lien hypertexte visité" xfId="13285" builtinId="9" hidden="1"/>
    <cellStyle name="Lien hypertexte visité" xfId="2670" builtinId="9" hidden="1"/>
    <cellStyle name="Lien hypertexte visité" xfId="4531" builtinId="9" hidden="1"/>
    <cellStyle name="Lien hypertexte visité" xfId="5895" builtinId="9" hidden="1"/>
    <cellStyle name="Lien hypertexte visité" xfId="4695" builtinId="9" hidden="1"/>
    <cellStyle name="Lien hypertexte visité" xfId="3570" builtinId="9" hidden="1"/>
    <cellStyle name="Lien hypertexte visité" xfId="7143" builtinId="9" hidden="1"/>
    <cellStyle name="Lien hypertexte visité" xfId="6039" builtinId="9" hidden="1"/>
    <cellStyle name="Lien hypertexte visité" xfId="8504" builtinId="9" hidden="1"/>
    <cellStyle name="Lien hypertexte visité" xfId="7623" builtinId="9" hidden="1"/>
    <cellStyle name="Lien hypertexte visité" xfId="6503" builtinId="9" hidden="1"/>
    <cellStyle name="Lien hypertexte visité" xfId="2929" builtinId="9" hidden="1"/>
    <cellStyle name="Lien hypertexte visité" xfId="4055" builtinId="9" hidden="1"/>
    <cellStyle name="Lien hypertexte visité" xfId="5175" builtinId="9" hidden="1"/>
    <cellStyle name="Lien hypertexte visité" xfId="3846" builtinId="9" hidden="1"/>
    <cellStyle name="Lien hypertexte visité" xfId="2605" builtinId="9" hidden="1"/>
    <cellStyle name="Lien hypertexte visité" xfId="11108" builtinId="9" hidden="1"/>
    <cellStyle name="Lien hypertexte visité" xfId="4836" builtinId="9" hidden="1"/>
    <cellStyle name="Lien hypertexte visité" xfId="19480" builtinId="9" hidden="1"/>
    <cellStyle name="Lien hypertexte visité" xfId="17963" builtinId="9" hidden="1"/>
    <cellStyle name="Lien hypertexte visité" xfId="17593" builtinId="9" hidden="1"/>
    <cellStyle name="Lien hypertexte visité" xfId="8782" builtinId="9" hidden="1"/>
    <cellStyle name="Lien hypertexte visité" xfId="3088" builtinId="9" hidden="1"/>
    <cellStyle name="Lien hypertexte visité" xfId="8981" builtinId="9" hidden="1"/>
    <cellStyle name="Lien hypertexte visité" xfId="11637" builtinId="9" hidden="1"/>
    <cellStyle name="Lien hypertexte visité" xfId="10101" builtinId="9" hidden="1"/>
    <cellStyle name="Lien hypertexte visité" xfId="8565" builtinId="9" hidden="1"/>
    <cellStyle name="Lien hypertexte visité" xfId="7028" builtinId="9" hidden="1"/>
    <cellStyle name="Lien hypertexte visité" xfId="5396" builtinId="9" hidden="1"/>
    <cellStyle name="Lien hypertexte visité" xfId="3863" builtinId="9" hidden="1"/>
    <cellStyle name="Lien hypertexte visité" xfId="403" builtinId="9" hidden="1"/>
    <cellStyle name="Lien hypertexte visité" xfId="2320" builtinId="9" hidden="1"/>
    <cellStyle name="Lien hypertexte visité" xfId="3958" builtinId="9" hidden="1"/>
    <cellStyle name="Lien hypertexte visité" xfId="5494" builtinId="9" hidden="1"/>
    <cellStyle name="Lien hypertexte visité" xfId="7030" builtinId="9" hidden="1"/>
    <cellStyle name="Lien hypertexte visité" xfId="8647" builtinId="9" hidden="1"/>
    <cellStyle name="Lien hypertexte visité" xfId="10183" builtinId="9" hidden="1"/>
    <cellStyle name="Lien hypertexte visité" xfId="12151" builtinId="9" hidden="1"/>
    <cellStyle name="Lien hypertexte visité" xfId="13687" builtinId="9" hidden="1"/>
    <cellStyle name="Lien hypertexte visité" xfId="15931" builtinId="9" hidden="1"/>
    <cellStyle name="Lien hypertexte visité" xfId="8834" builtinId="9" hidden="1"/>
    <cellStyle name="Lien hypertexte visité" xfId="9858" builtinId="9" hidden="1"/>
    <cellStyle name="Lien hypertexte visité" xfId="10882" builtinId="9" hidden="1"/>
    <cellStyle name="Lien hypertexte visité" xfId="11906" builtinId="9" hidden="1"/>
    <cellStyle name="Lien hypertexte visité" xfId="12982" builtinId="9" hidden="1"/>
    <cellStyle name="Lien hypertexte visité" xfId="16121" builtinId="9" hidden="1"/>
    <cellStyle name="Lien hypertexte visité" xfId="1661" builtinId="9" hidden="1"/>
    <cellStyle name="Lien hypertexte visité" xfId="23558" builtinId="9" hidden="1"/>
    <cellStyle name="Lien hypertexte visité" xfId="8869" builtinId="9" hidden="1"/>
    <cellStyle name="Lien hypertexte visité" xfId="2449" builtinId="9" hidden="1"/>
    <cellStyle name="Lien hypertexte visité" xfId="1873" builtinId="9" hidden="1"/>
    <cellStyle name="Lien hypertexte visité" xfId="5447" builtinId="9" hidden="1"/>
    <cellStyle name="Lien hypertexte visité" xfId="5908" builtinId="9" hidden="1"/>
    <cellStyle name="Lien hypertexte visité" xfId="8471" builtinId="9" hidden="1"/>
    <cellStyle name="Lien hypertexte visité" xfId="6598" builtinId="9" hidden="1"/>
    <cellStyle name="Lien hypertexte visité" xfId="4982" builtinId="9" hidden="1"/>
    <cellStyle name="Lien hypertexte visité" xfId="3440" builtinId="9" hidden="1"/>
    <cellStyle name="Lien hypertexte visité" xfId="1904" builtinId="9" hidden="1"/>
    <cellStyle name="Lien hypertexte visité" xfId="1213" builtinId="9" hidden="1"/>
    <cellStyle name="Lien hypertexte visité" xfId="2750" builtinId="9" hidden="1"/>
    <cellStyle name="Lien hypertexte visité" xfId="6340" builtinId="9" hidden="1"/>
    <cellStyle name="Lien hypertexte visité" xfId="7877" builtinId="9" hidden="1"/>
    <cellStyle name="Lien hypertexte visité" xfId="9413" builtinId="9" hidden="1"/>
    <cellStyle name="Lien hypertexte visité" xfId="10949" builtinId="9" hidden="1"/>
    <cellStyle name="Lien hypertexte visité" xfId="11029" builtinId="9" hidden="1"/>
    <cellStyle name="Lien hypertexte visité" xfId="915" builtinId="9" hidden="1"/>
    <cellStyle name="Lien hypertexte visité" xfId="11975" builtinId="9" hidden="1"/>
    <cellStyle name="Lien hypertexte visité" xfId="12878" builtinId="9" hidden="1"/>
    <cellStyle name="Lien hypertexte visité" xfId="19810" builtinId="9" hidden="1"/>
    <cellStyle name="Lien hypertexte visité" xfId="21554" builtinId="9" hidden="1"/>
    <cellStyle name="Lien hypertexte visité" xfId="2464" builtinId="9" hidden="1"/>
    <cellStyle name="Lien hypertexte visité" xfId="9364" builtinId="9" hidden="1"/>
    <cellStyle name="Lien hypertexte visité" xfId="2669" builtinId="9" hidden="1"/>
    <cellStyle name="Lien hypertexte visité" xfId="3830" builtinId="9" hidden="1"/>
    <cellStyle name="Lien hypertexte visité" xfId="4995" builtinId="9" hidden="1"/>
    <cellStyle name="Lien hypertexte visité" xfId="3991" builtinId="9" hidden="1"/>
    <cellStyle name="Lien hypertexte visité" xfId="2865" builtinId="9" hidden="1"/>
    <cellStyle name="Lien hypertexte visité" xfId="6439" builtinId="9" hidden="1"/>
    <cellStyle name="Lien hypertexte visité" xfId="8376" builtinId="9" hidden="1"/>
    <cellStyle name="Lien hypertexte visité" xfId="8296" builtinId="9" hidden="1"/>
    <cellStyle name="Lien hypertexte visité" xfId="6103" builtinId="9" hidden="1"/>
    <cellStyle name="Lien hypertexte visité" xfId="7207" builtinId="9" hidden="1"/>
    <cellStyle name="Lien hypertexte visité" xfId="3975" builtinId="9" hidden="1"/>
    <cellStyle name="Lien hypertexte visité" xfId="5095" builtinId="9" hidden="1"/>
    <cellStyle name="Lien hypertexte visité" xfId="2557" builtinId="9" hidden="1"/>
    <cellStyle name="Lien hypertexte visité" xfId="4195" builtinId="9" hidden="1"/>
    <cellStyle name="Lien hypertexte visité" xfId="2749" builtinId="9" hidden="1"/>
    <cellStyle name="Lien hypertexte visité" xfId="1597" builtinId="9" hidden="1"/>
    <cellStyle name="Lien hypertexte visité" xfId="277" builtinId="9" hidden="1"/>
    <cellStyle name="Lien hypertexte visité" xfId="2225" builtinId="9" hidden="1"/>
    <cellStyle name="Lien hypertexte visité" xfId="21316" builtinId="9" hidden="1"/>
    <cellStyle name="Lien hypertexte visité" xfId="20326" builtinId="9" hidden="1"/>
    <cellStyle name="Lien hypertexte visité" xfId="23398" builtinId="9" hidden="1"/>
    <cellStyle name="Lien hypertexte visité" xfId="23332" builtinId="9" hidden="1"/>
    <cellStyle name="Lien hypertexte visité" xfId="3566" builtinId="9" hidden="1"/>
    <cellStyle name="Lien hypertexte visité" xfId="3005" builtinId="9" hidden="1"/>
    <cellStyle name="Lien hypertexte visité" xfId="18340" builtinId="9" hidden="1"/>
    <cellStyle name="Lien hypertexte visité" xfId="20676" builtinId="9" hidden="1"/>
    <cellStyle name="Lien hypertexte visité" xfId="23172" builtinId="9" hidden="1"/>
    <cellStyle name="Lien hypertexte visité" xfId="23718" builtinId="9" hidden="1"/>
    <cellStyle name="Lien hypertexte visité" xfId="20646" builtinId="9" hidden="1"/>
    <cellStyle name="Lien hypertexte visité" xfId="24582" builtinId="9" hidden="1"/>
    <cellStyle name="Lien hypertexte visité" xfId="10884" builtinId="9" hidden="1"/>
    <cellStyle name="Lien hypertexte visité" xfId="2161" builtinId="9" hidden="1"/>
    <cellStyle name="Lien hypertexte visité" xfId="981" builtinId="9" hidden="1"/>
    <cellStyle name="Lien hypertexte visité" xfId="2333" builtinId="9" hidden="1"/>
    <cellStyle name="Lien hypertexte visité" xfId="9188" builtinId="9" hidden="1"/>
    <cellStyle name="Lien hypertexte visité" xfId="10356" builtinId="9" hidden="1"/>
    <cellStyle name="Lien hypertexte visité" xfId="11604" builtinId="9" hidden="1"/>
    <cellStyle name="Lien hypertexte visité" xfId="12772" builtinId="9" hidden="1"/>
    <cellStyle name="Lien hypertexte visité" xfId="14244" builtinId="9" hidden="1"/>
    <cellStyle name="Lien hypertexte visité" xfId="5315" builtinId="9" hidden="1"/>
    <cellStyle name="Lien hypertexte visité" xfId="6483" builtinId="9" hidden="1"/>
    <cellStyle name="Lien hypertexte visité" xfId="7651" builtinId="9" hidden="1"/>
    <cellStyle name="Lien hypertexte visité" xfId="13477" builtinId="9" hidden="1"/>
    <cellStyle name="Lien hypertexte visité" xfId="9125" builtinId="9" hidden="1"/>
    <cellStyle name="Lien hypertexte visité" xfId="4772" builtinId="9" hidden="1"/>
    <cellStyle name="Lien hypertexte visité" xfId="7845" builtinId="9" hidden="1"/>
    <cellStyle name="Lien hypertexte visité" xfId="12197" builtinId="9" hidden="1"/>
    <cellStyle name="Lien hypertexte visité" xfId="7587" builtinId="9" hidden="1"/>
    <cellStyle name="Lien hypertexte visité" xfId="17559" builtinId="9" hidden="1"/>
    <cellStyle name="Lien hypertexte visité" xfId="13876" builtinId="9" hidden="1"/>
    <cellStyle name="Lien hypertexte visité" xfId="12708" builtinId="9" hidden="1"/>
    <cellStyle name="Lien hypertexte visité" xfId="11540" builtinId="9" hidden="1"/>
    <cellStyle name="Lien hypertexte visité" xfId="10004" builtinId="9" hidden="1"/>
    <cellStyle name="Lien hypertexte visité" xfId="8820" builtinId="9" hidden="1"/>
    <cellStyle name="Lien hypertexte visité" xfId="2253" builtinId="9" hidden="1"/>
    <cellStyle name="Lien hypertexte visité" xfId="1164" builtinId="9" hidden="1"/>
    <cellStyle name="Lien hypertexte visité" xfId="1424" builtinId="9" hidden="1"/>
    <cellStyle name="Lien hypertexte visité" xfId="2577" builtinId="9" hidden="1"/>
    <cellStyle name="Lien hypertexte visité" xfId="11396" builtinId="9" hidden="1"/>
    <cellStyle name="Lien hypertexte visité" xfId="19462" builtinId="9" hidden="1"/>
    <cellStyle name="Lien hypertexte visité" xfId="21382" builtinId="9" hidden="1"/>
    <cellStyle name="Lien hypertexte visité" xfId="23878" builtinId="9" hidden="1"/>
    <cellStyle name="Lien hypertexte visité" xfId="23012" builtinId="9" hidden="1"/>
    <cellStyle name="Lien hypertexte visité" xfId="17621" builtinId="9" hidden="1"/>
    <cellStyle name="Lien hypertexte visité" xfId="4115" builtinId="9" hidden="1"/>
    <cellStyle name="Lien hypertexte visité" xfId="2477" builtinId="9" hidden="1"/>
    <cellStyle name="Lien hypertexte visité" xfId="24068" builtinId="9" hidden="1"/>
    <cellStyle name="Lien hypertexte visité" xfId="22662" builtinId="9" hidden="1"/>
    <cellStyle name="Lien hypertexte visité" xfId="20166" builtinId="9" hidden="1"/>
    <cellStyle name="Lien hypertexte visité" xfId="20292" builtinId="9" hidden="1"/>
    <cellStyle name="Lien hypertexte visité" xfId="6147" builtinId="9" hidden="1"/>
    <cellStyle name="Lien hypertexte visité" xfId="1809" builtinId="9" hidden="1"/>
    <cellStyle name="Lien hypertexte visité" xfId="217" builtinId="9" hidden="1"/>
    <cellStyle name="Lien hypertexte visité" xfId="1933" builtinId="9" hidden="1"/>
    <cellStyle name="Lien hypertexte visité" xfId="3101" builtinId="9" hidden="1"/>
    <cellStyle name="Lien hypertexte visité" xfId="4259" builtinId="9" hidden="1"/>
    <cellStyle name="Lien hypertexte visité" xfId="11106" builtinId="9" hidden="1"/>
    <cellStyle name="Lien hypertexte visité" xfId="24296" builtinId="9" hidden="1"/>
    <cellStyle name="Lien hypertexte visité" xfId="4774" builtinId="9" hidden="1"/>
    <cellStyle name="Lien hypertexte visité" xfId="10084" builtinId="9" hidden="1"/>
    <cellStyle name="Lien hypertexte visité" xfId="7461" builtinId="9" hidden="1"/>
    <cellStyle name="Lien hypertexte visité" xfId="4238" builtinId="9" hidden="1"/>
    <cellStyle name="Lien hypertexte visité" xfId="10681" builtinId="9" hidden="1"/>
    <cellStyle name="Lien hypertexte visité" xfId="10811" builtinId="9" hidden="1"/>
    <cellStyle name="Lien hypertexte visité" xfId="1752" builtinId="9" hidden="1"/>
    <cellStyle name="Lien hypertexte visité" xfId="5103" builtinId="9" hidden="1"/>
    <cellStyle name="Lien hypertexte visité" xfId="12240" builtinId="9" hidden="1"/>
    <cellStyle name="Lien hypertexte visité" xfId="15941" builtinId="9" hidden="1"/>
    <cellStyle name="Lien hypertexte visité" xfId="8720" builtinId="9" hidden="1"/>
    <cellStyle name="Lien hypertexte visité" xfId="9960" builtinId="9" hidden="1"/>
    <cellStyle name="Lien hypertexte visité" xfId="12640" builtinId="9" hidden="1"/>
    <cellStyle name="Lien hypertexte visité" xfId="20108" builtinId="9" hidden="1"/>
    <cellStyle name="Lien hypertexte visité" xfId="12161" builtinId="9" hidden="1"/>
    <cellStyle name="Lien hypertexte visité" xfId="3638" builtinId="9" hidden="1"/>
    <cellStyle name="Lien hypertexte visité" xfId="21748" builtinId="9" hidden="1"/>
    <cellStyle name="Lien hypertexte visité" xfId="6412" builtinId="9" hidden="1"/>
    <cellStyle name="Lien hypertexte visité" xfId="9343" builtinId="9" hidden="1"/>
    <cellStyle name="Lien hypertexte visité" xfId="5738" builtinId="9" hidden="1"/>
    <cellStyle name="Lien hypertexte visité" xfId="14547" builtinId="9" hidden="1"/>
    <cellStyle name="Lien hypertexte visité" xfId="3930" builtinId="9" hidden="1"/>
    <cellStyle name="Lien hypertexte visité" xfId="15053" builtinId="9" hidden="1"/>
    <cellStyle name="Lien hypertexte visité" xfId="20830" builtinId="9" hidden="1"/>
    <cellStyle name="Lien hypertexte visité" xfId="3082" builtinId="9" hidden="1"/>
    <cellStyle name="Lien hypertexte visité" xfId="9836" builtinId="9" hidden="1"/>
    <cellStyle name="Lien hypertexte visité" xfId="7420" builtinId="9" hidden="1"/>
    <cellStyle name="Lien hypertexte visité" xfId="16747" builtinId="9" hidden="1"/>
    <cellStyle name="Lien hypertexte visité" xfId="18690" builtinId="9" hidden="1"/>
    <cellStyle name="Lien hypertexte visité" xfId="6061" builtinId="9" hidden="1"/>
    <cellStyle name="Lien hypertexte visité" xfId="13034" builtinId="9" hidden="1"/>
    <cellStyle name="Lien hypertexte visité" xfId="24378" builtinId="9" hidden="1"/>
    <cellStyle name="Lien hypertexte visité" xfId="19538" builtinId="9" hidden="1"/>
    <cellStyle name="Lien hypertexte visité" xfId="23122" builtinId="9" hidden="1"/>
    <cellStyle name="Lien hypertexte visité" xfId="21496" builtinId="9" hidden="1"/>
    <cellStyle name="Lien hypertexte visité" xfId="17929" builtinId="9" hidden="1"/>
    <cellStyle name="Lien hypertexte visité" xfId="13918" builtinId="9" hidden="1"/>
    <cellStyle name="Lien hypertexte visité" xfId="12126" builtinId="9" hidden="1"/>
    <cellStyle name="Lien hypertexte visité" xfId="9822" builtinId="9" hidden="1"/>
    <cellStyle name="Lien hypertexte visité" xfId="15211" builtinId="9" hidden="1"/>
    <cellStyle name="Lien hypertexte visité" xfId="12175" builtinId="9" hidden="1"/>
    <cellStyle name="Lien hypertexte visité" xfId="8719" builtinId="9" hidden="1"/>
    <cellStyle name="Lien hypertexte visité" xfId="6030" builtinId="9" hidden="1"/>
    <cellStyle name="Lien hypertexte visité" xfId="2568" builtinId="9" hidden="1"/>
    <cellStyle name="Lien hypertexte visité" xfId="1269" builtinId="9" hidden="1"/>
    <cellStyle name="Lien hypertexte visité" xfId="8061" builtinId="9" hidden="1"/>
    <cellStyle name="Lien hypertexte visité" xfId="10877" builtinId="9" hidden="1"/>
    <cellStyle name="Lien hypertexte visité" xfId="14205" builtinId="9" hidden="1"/>
    <cellStyle name="Lien hypertexte visité" xfId="19510" builtinId="9" hidden="1"/>
    <cellStyle name="Lien hypertexte visité" xfId="23060" builtinId="9" hidden="1"/>
    <cellStyle name="Lien hypertexte visité" xfId="17445" builtinId="9" hidden="1"/>
    <cellStyle name="Lien hypertexte visité" xfId="12652" builtinId="9" hidden="1"/>
    <cellStyle name="Lien hypertexte visité" xfId="9196" builtinId="9" hidden="1"/>
    <cellStyle name="Lien hypertexte visité" xfId="6507" builtinId="9" hidden="1"/>
    <cellStyle name="Lien hypertexte visité" xfId="3045" builtinId="9" hidden="1"/>
    <cellStyle name="Lien hypertexte visité" xfId="421" builtinId="9" hidden="1"/>
    <cellStyle name="Lien hypertexte visité" xfId="4255" builtinId="9" hidden="1"/>
    <cellStyle name="Lien hypertexte visité" xfId="6943" builtinId="9" hidden="1"/>
    <cellStyle name="Lien hypertexte visité" xfId="1289" builtinId="9" hidden="1"/>
    <cellStyle name="Lien hypertexte visité" xfId="3595" builtinId="9" hidden="1"/>
    <cellStyle name="Lien hypertexte visité" xfId="7696" builtinId="9" hidden="1"/>
    <cellStyle name="Lien hypertexte visité" xfId="9489" builtinId="9" hidden="1"/>
    <cellStyle name="Lien hypertexte visité" xfId="11793" builtinId="9" hidden="1"/>
    <cellStyle name="Lien hypertexte visité" xfId="13585" builtinId="9" hidden="1"/>
    <cellStyle name="Lien hypertexte visité" xfId="17263" builtinId="9" hidden="1"/>
    <cellStyle name="Lien hypertexte visité" xfId="21678" builtinId="9" hidden="1"/>
    <cellStyle name="Lien hypertexte visité" xfId="23788" builtinId="9" hidden="1"/>
    <cellStyle name="Lien hypertexte visité" xfId="19356" builtinId="9" hidden="1"/>
    <cellStyle name="Lien hypertexte visité" xfId="15613" builtinId="9" hidden="1"/>
    <cellStyle name="Lien hypertexte visité" xfId="12848" builtinId="9" hidden="1"/>
    <cellStyle name="Lien hypertexte visité" xfId="10968" builtinId="9" hidden="1"/>
    <cellStyle name="Lien hypertexte visité" xfId="9152" builtinId="9" hidden="1"/>
    <cellStyle name="Lien hypertexte visité" xfId="17613" builtinId="9" hidden="1"/>
    <cellStyle name="Lien hypertexte visité" xfId="20878" builtinId="9" hidden="1"/>
    <cellStyle name="Lien hypertexte visité" xfId="10793" builtinId="9" hidden="1"/>
    <cellStyle name="Lien hypertexte visité" xfId="8979" builtinId="9" hidden="1"/>
    <cellStyle name="Lien hypertexte visité" xfId="7442" builtinId="9" hidden="1"/>
    <cellStyle name="Lien hypertexte visité" xfId="5466" builtinId="9" hidden="1"/>
    <cellStyle name="Lien hypertexte visité" xfId="5416" builtinId="9" hidden="1"/>
    <cellStyle name="Lien hypertexte visité" xfId="5392" builtinId="9" hidden="1"/>
    <cellStyle name="Lien hypertexte visité" xfId="4732" builtinId="9" hidden="1"/>
    <cellStyle name="Lien hypertexte visité" xfId="4157" builtinId="9" hidden="1"/>
    <cellStyle name="Lien hypertexte visité" xfId="2426" builtinId="9" hidden="1"/>
    <cellStyle name="Lien hypertexte visité" xfId="17089" builtinId="9" hidden="1"/>
    <cellStyle name="Lien hypertexte visité" xfId="19940" builtinId="9" hidden="1"/>
    <cellStyle name="Lien hypertexte visité" xfId="6419" builtinId="9" hidden="1"/>
    <cellStyle name="Lien hypertexte visité" xfId="1228" builtinId="9" hidden="1"/>
    <cellStyle name="Lien hypertexte visité" xfId="9220" builtinId="9" hidden="1"/>
    <cellStyle name="Lien hypertexte visité" xfId="5111" builtinId="9" hidden="1"/>
    <cellStyle name="Lien hypertexte visité" xfId="4372" builtinId="9" hidden="1"/>
    <cellStyle name="Lien hypertexte visité" xfId="14294" builtinId="9" hidden="1"/>
    <cellStyle name="Lien hypertexte visité" xfId="1902" builtinId="9" hidden="1"/>
    <cellStyle name="Lien hypertexte visité" xfId="4035" builtinId="9" hidden="1"/>
    <cellStyle name="Lien hypertexte visité" xfId="8421" builtinId="9" hidden="1"/>
    <cellStyle name="Lien hypertexte visité" xfId="20146" builtinId="9" hidden="1"/>
    <cellStyle name="Lien hypertexte visité" xfId="5779" builtinId="9" hidden="1"/>
    <cellStyle name="Lien hypertexte visité" xfId="11014" builtinId="9" hidden="1"/>
    <cellStyle name="Lien hypertexte visité" xfId="19108" builtinId="9" hidden="1"/>
    <cellStyle name="Lien hypertexte visité" xfId="19136" builtinId="9" hidden="1"/>
    <cellStyle name="Lien hypertexte visité" xfId="7992" builtinId="9" hidden="1"/>
    <cellStyle name="Lien hypertexte visité" xfId="399" builtinId="9" hidden="1"/>
    <cellStyle name="Lien hypertexte visité" xfId="12487" builtinId="9" hidden="1"/>
    <cellStyle name="Lien hypertexte visité" xfId="1471" builtinId="9" hidden="1"/>
    <cellStyle name="Lien hypertexte visité" xfId="14865" builtinId="9" hidden="1"/>
    <cellStyle name="Lien hypertexte visité" xfId="4247" builtinId="9" hidden="1"/>
    <cellStyle name="Lien hypertexte visité" xfId="507" builtinId="9" hidden="1"/>
    <cellStyle name="Lien hypertexte visité" xfId="6639" builtinId="9" hidden="1"/>
    <cellStyle name="Lien hypertexte visité" xfId="4335" builtinId="9" hidden="1"/>
    <cellStyle name="Lien hypertexte visité" xfId="2537" builtinId="9" hidden="1"/>
    <cellStyle name="Lien hypertexte visité" xfId="669" builtinId="9" hidden="1"/>
    <cellStyle name="Lien hypertexte visité" xfId="2709" builtinId="9" hidden="1"/>
    <cellStyle name="Lien hypertexte visité" xfId="5019" builtinId="9" hidden="1"/>
    <cellStyle name="Lien hypertexte visité" xfId="6811" builtinId="9" hidden="1"/>
    <cellStyle name="Lien hypertexte visité" xfId="9116" builtinId="9" hidden="1"/>
    <cellStyle name="Lien hypertexte visité" xfId="11324" builtinId="9" hidden="1"/>
    <cellStyle name="Lien hypertexte visité" xfId="13212" builtinId="9" hidden="1"/>
    <cellStyle name="Lien hypertexte visité" xfId="20084" builtinId="9" hidden="1"/>
    <cellStyle name="Lien hypertexte visité" xfId="24500" builtinId="9" hidden="1"/>
    <cellStyle name="Lien hypertexte visité" xfId="20950" builtinId="9" hidden="1"/>
    <cellStyle name="Lien hypertexte visité" xfId="16551" builtinId="9" hidden="1"/>
    <cellStyle name="Lien hypertexte visité" xfId="13229" builtinId="9" hidden="1"/>
    <cellStyle name="Lien hypertexte visité" xfId="11437" builtinId="9" hidden="1"/>
    <cellStyle name="Lien hypertexte visité" xfId="9133" builtinId="9" hidden="1"/>
    <cellStyle name="Lien hypertexte visité" xfId="7340" builtinId="9" hidden="1"/>
    <cellStyle name="Lien hypertexte visité" xfId="5036" builtinId="9" hidden="1"/>
    <cellStyle name="Lien hypertexte visité" xfId="3238" builtinId="9" hidden="1"/>
    <cellStyle name="Lien hypertexte visité" xfId="703" builtinId="9" hidden="1"/>
    <cellStyle name="Lien hypertexte visité" xfId="2520" builtinId="9" hidden="1"/>
    <cellStyle name="Lien hypertexte visité" xfId="4318" builtinId="9" hidden="1"/>
    <cellStyle name="Lien hypertexte visité" xfId="6622" builtinId="9" hidden="1"/>
    <cellStyle name="Lien hypertexte visité" xfId="8415" builtinId="9" hidden="1"/>
    <cellStyle name="Lien hypertexte visité" xfId="10719" builtinId="9" hidden="1"/>
    <cellStyle name="Lien hypertexte visité" xfId="12511" builtinId="9" hidden="1"/>
    <cellStyle name="Lien hypertexte visité" xfId="15115" builtinId="9" hidden="1"/>
    <cellStyle name="Lien hypertexte visité" xfId="8958" builtinId="9" hidden="1"/>
    <cellStyle name="Lien hypertexte visité" xfId="1986" builtinId="9" hidden="1"/>
    <cellStyle name="Lien hypertexte visité" xfId="8075" builtinId="9" hidden="1"/>
    <cellStyle name="Lien hypertexte visité" xfId="6466" builtinId="9" hidden="1"/>
    <cellStyle name="Lien hypertexte visité" xfId="4562" builtinId="9" hidden="1"/>
    <cellStyle name="Lien hypertexte visité" xfId="2948" builtinId="9" hidden="1"/>
    <cellStyle name="Lien hypertexte visité" xfId="923" builtinId="9" hidden="1"/>
    <cellStyle name="Lien hypertexte visité" xfId="12355" builtinId="9" hidden="1"/>
    <cellStyle name="Lien hypertexte visité" xfId="10923" builtinId="9" hidden="1"/>
    <cellStyle name="Lien hypertexte visité" xfId="14291" builtinId="9" hidden="1"/>
    <cellStyle name="Lien hypertexte visité" xfId="13091" builtinId="9" hidden="1"/>
    <cellStyle name="Lien hypertexte visité" xfId="16723" builtinId="9" hidden="1"/>
    <cellStyle name="Lien hypertexte visité" xfId="12995" builtinId="9" hidden="1"/>
    <cellStyle name="Lien hypertexte visité" xfId="11419" builtinId="9" hidden="1"/>
    <cellStyle name="Lien hypertexte visité" xfId="12859" builtinId="9" hidden="1"/>
    <cellStyle name="Lien hypertexte visité" xfId="1588" builtinId="9" hidden="1"/>
    <cellStyle name="Lien hypertexte visité" xfId="3124" builtinId="9" hidden="1"/>
    <cellStyle name="Lien hypertexte visité" xfId="5106" builtinId="9" hidden="1"/>
    <cellStyle name="Lien hypertexte visité" xfId="6642" builtinId="9" hidden="1"/>
    <cellStyle name="Lien hypertexte visité" xfId="8619" builtinId="9" hidden="1"/>
    <cellStyle name="Lien hypertexte visité" xfId="3883" builtinId="9" hidden="1"/>
    <cellStyle name="Lien hypertexte visité" xfId="9513" builtinId="9" hidden="1"/>
    <cellStyle name="Lien hypertexte visité" xfId="17823" builtinId="9" hidden="1"/>
    <cellStyle name="Lien hypertexte visité" xfId="20156" builtinId="9" hidden="1"/>
    <cellStyle name="Lien hypertexte visité" xfId="10688" builtinId="9" hidden="1"/>
    <cellStyle name="Lien hypertexte visité" xfId="10120" builtinId="9" hidden="1"/>
    <cellStyle name="Lien hypertexte visité" xfId="12336" builtinId="9" hidden="1"/>
    <cellStyle name="Lien hypertexte visité" xfId="14765" builtinId="9" hidden="1"/>
    <cellStyle name="Lien hypertexte visité" xfId="18332" builtinId="9" hidden="1"/>
    <cellStyle name="Lien hypertexte visité" xfId="22940" builtinId="9" hidden="1"/>
    <cellStyle name="Lien hypertexte visité" xfId="22702" builtinId="9" hidden="1"/>
    <cellStyle name="Lien hypertexte visité" xfId="18111" builtinId="9" hidden="1"/>
    <cellStyle name="Lien hypertexte visité" xfId="14527" builtinId="9" hidden="1"/>
    <cellStyle name="Lien hypertexte visité" xfId="12217" builtinId="9" hidden="1"/>
    <cellStyle name="Lien hypertexte visité" xfId="9913" builtinId="9" hidden="1"/>
    <cellStyle name="Lien hypertexte visité" xfId="8121" builtinId="9" hidden="1"/>
    <cellStyle name="Lien hypertexte visité" xfId="5816" builtinId="9" hidden="1"/>
    <cellStyle name="Lien hypertexte visité" xfId="4024" builtinId="9" hidden="1"/>
    <cellStyle name="Lien hypertexte visité" xfId="1714" builtinId="9" hidden="1"/>
    <cellStyle name="Lien hypertexte visité" xfId="8352" builtinId="9" hidden="1"/>
    <cellStyle name="Lien hypertexte visité" xfId="4895" builtinId="9" hidden="1"/>
    <cellStyle name="Lien hypertexte visité" xfId="1561" builtinId="9" hidden="1"/>
    <cellStyle name="Lien hypertexte visité" xfId="2405" builtinId="9" hidden="1"/>
    <cellStyle name="Lien hypertexte visité" xfId="5739" builtinId="9" hidden="1"/>
    <cellStyle name="Lien hypertexte visité" xfId="11884" builtinId="9" hidden="1"/>
    <cellStyle name="Lien hypertexte visité" xfId="14885" builtinId="9" hidden="1"/>
    <cellStyle name="Lien hypertexte visité" xfId="21524" builtinId="9" hidden="1"/>
    <cellStyle name="Lien hypertexte visité" xfId="20790" builtinId="9" hidden="1"/>
    <cellStyle name="Lien hypertexte visité" xfId="15431" builtinId="9" hidden="1"/>
    <cellStyle name="Lien hypertexte visité" xfId="11517" builtinId="9" hidden="1"/>
    <cellStyle name="Lien hypertexte visité" xfId="8829" builtinId="9" hidden="1"/>
    <cellStyle name="Lien hypertexte visité" xfId="5372" builtinId="9" hidden="1"/>
    <cellStyle name="Lien hypertexte visité" xfId="2678" builtinId="9" hidden="1"/>
    <cellStyle name="Lien hypertexte visité" xfId="1928" builtinId="9" hidden="1"/>
    <cellStyle name="Lien hypertexte visité" xfId="5390" builtinId="9" hidden="1"/>
    <cellStyle name="Lien hypertexte visité" xfId="8079" builtinId="9" hidden="1"/>
    <cellStyle name="Lien hypertexte visité" xfId="11535" builtinId="9" hidden="1"/>
    <cellStyle name="Lien hypertexte visité" xfId="14223" builtinId="9" hidden="1"/>
    <cellStyle name="Lien hypertexte visité" xfId="9394" builtinId="9" hidden="1"/>
    <cellStyle name="Lien hypertexte visité" xfId="11186" builtinId="9" hidden="1"/>
    <cellStyle name="Lien hypertexte visité" xfId="13490" builtinId="9" hidden="1"/>
    <cellStyle name="Lien hypertexte visité" xfId="16905" builtinId="9" hidden="1"/>
    <cellStyle name="Lien hypertexte visité" xfId="20640" builtinId="9" hidden="1"/>
    <cellStyle name="Lien hypertexte visité" xfId="24146" builtinId="9" hidden="1"/>
    <cellStyle name="Lien hypertexte visité" xfId="20394" builtinId="9" hidden="1"/>
    <cellStyle name="Lien hypertexte visité" xfId="21306" builtinId="9" hidden="1"/>
    <cellStyle name="Lien hypertexte visité" xfId="16673" builtinId="9" hidden="1"/>
    <cellStyle name="Lien hypertexte visité" xfId="8938" builtinId="9" hidden="1"/>
    <cellStyle name="Lien hypertexte visité" xfId="5693" builtinId="9" hidden="1"/>
    <cellStyle name="Lien hypertexte visité" xfId="14314" builtinId="9" hidden="1"/>
    <cellStyle name="Lien hypertexte visité" xfId="11614" builtinId="9" hidden="1"/>
    <cellStyle name="Lien hypertexte visité" xfId="1910" builtinId="9" hidden="1"/>
    <cellStyle name="Lien hypertexte visité" xfId="16165" builtinId="9" hidden="1"/>
    <cellStyle name="Lien hypertexte visité" xfId="7711" builtinId="9" hidden="1"/>
    <cellStyle name="Lien hypertexte visité" xfId="14009" builtinId="9" hidden="1"/>
    <cellStyle name="Lien hypertexte visité" xfId="7002" builtinId="9" hidden="1"/>
    <cellStyle name="Lien hypertexte visité" xfId="13395" builtinId="9" hidden="1"/>
    <cellStyle name="Lien hypertexte visité" xfId="2580" builtinId="9" hidden="1"/>
    <cellStyle name="Lien hypertexte visité" xfId="12927" builtinId="9" hidden="1"/>
    <cellStyle name="Lien hypertexte visité" xfId="2726" builtinId="9" hidden="1"/>
    <cellStyle name="Lien hypertexte visité" xfId="20118" builtinId="9" hidden="1"/>
    <cellStyle name="Lien hypertexte visité" xfId="7227" builtinId="9" hidden="1"/>
    <cellStyle name="Lien hypertexte visité" xfId="8432" builtinId="9" hidden="1"/>
    <cellStyle name="Lien hypertexte visité" xfId="9713" builtinId="9" hidden="1"/>
    <cellStyle name="Lien hypertexte visité" xfId="24350" builtinId="9" hidden="1"/>
    <cellStyle name="Lien hypertexte visité" xfId="10024" builtinId="9" hidden="1"/>
    <cellStyle name="Lien hypertexte visité" xfId="11593" builtinId="9" hidden="1"/>
    <cellStyle name="Lien hypertexte visité" xfId="7344" builtinId="9" hidden="1"/>
    <cellStyle name="Lien hypertexte visité" xfId="13933" builtinId="9" hidden="1"/>
    <cellStyle name="Lien hypertexte visité" xfId="22734" builtinId="9" hidden="1"/>
    <cellStyle name="Lien hypertexte visité" xfId="5056" builtinId="9" hidden="1"/>
    <cellStyle name="Lien hypertexte visité" xfId="10317" builtinId="9" hidden="1"/>
    <cellStyle name="Lien hypertexte visité" xfId="10035" builtinId="9" hidden="1"/>
    <cellStyle name="Lien hypertexte visité" xfId="20556" builtinId="9" hidden="1"/>
    <cellStyle name="Lien hypertexte visité" xfId="13309" builtinId="9" hidden="1"/>
    <cellStyle name="Lien hypertexte visité" xfId="8182" builtinId="9" hidden="1"/>
    <cellStyle name="Lien hypertexte visité" xfId="12724" builtinId="9" hidden="1"/>
    <cellStyle name="Lien hypertexte visité" xfId="5860" builtinId="9" hidden="1"/>
    <cellStyle name="Lien hypertexte visité" xfId="24256" builtinId="9" hidden="1"/>
    <cellStyle name="Lien hypertexte visité" xfId="20834" builtinId="9" hidden="1"/>
    <cellStyle name="Lien hypertexte visité" xfId="13154" builtinId="9" hidden="1"/>
    <cellStyle name="Lien hypertexte visité" xfId="10871" builtinId="9" hidden="1"/>
    <cellStyle name="Lien hypertexte visité" xfId="3373" builtinId="9" hidden="1"/>
    <cellStyle name="Lien hypertexte visité" xfId="2206" builtinId="9" hidden="1"/>
    <cellStyle name="Lien hypertexte visité" xfId="397" builtinId="9" hidden="1"/>
    <cellStyle name="Lien hypertexte visité" xfId="1537" builtinId="9" hidden="1"/>
    <cellStyle name="Lien hypertexte visité" xfId="12804" builtinId="9" hidden="1"/>
    <cellStyle name="Lien hypertexte visité" xfId="19590" builtinId="9" hidden="1"/>
    <cellStyle name="Lien hypertexte visité" xfId="22086" builtinId="9" hidden="1"/>
    <cellStyle name="Lien hypertexte visité" xfId="24550" builtinId="9" hidden="1"/>
    <cellStyle name="Lien hypertexte visité" xfId="6659" builtinId="9" hidden="1"/>
    <cellStyle name="Lien hypertexte visité" xfId="3185" builtinId="9" hidden="1"/>
    <cellStyle name="Lien hypertexte visité" xfId="16885" builtinId="9" hidden="1"/>
    <cellStyle name="Lien hypertexte visité" xfId="19364" builtinId="9" hidden="1"/>
    <cellStyle name="Lien hypertexte visité" xfId="22436" builtinId="9" hidden="1"/>
    <cellStyle name="Lien hypertexte visité" xfId="24454" builtinId="9" hidden="1"/>
    <cellStyle name="Lien hypertexte visité" xfId="21958" builtinId="9" hidden="1"/>
    <cellStyle name="Lien hypertexte visité" xfId="19622" builtinId="9" hidden="1"/>
    <cellStyle name="Lien hypertexte visité" xfId="13444" builtinId="9" hidden="1"/>
    <cellStyle name="Lien hypertexte visité" xfId="5251" builtinId="9" hidden="1"/>
    <cellStyle name="Lien hypertexte visité" xfId="1697" builtinId="9" hidden="1"/>
    <cellStyle name="Lien hypertexte visité" xfId="141" builtinId="9" hidden="1"/>
    <cellStyle name="Lien hypertexte visité" xfId="1981" builtinId="9" hidden="1"/>
    <cellStyle name="Lien hypertexte visité" xfId="8532" builtinId="9" hidden="1"/>
    <cellStyle name="Lien hypertexte visité" xfId="9700" builtinId="9" hidden="1"/>
    <cellStyle name="Lien hypertexte visité" xfId="11236" builtinId="9" hidden="1"/>
    <cellStyle name="Lien hypertexte visité" xfId="12404" builtinId="9" hidden="1"/>
    <cellStyle name="Lien hypertexte visité" xfId="13588" builtinId="9" hidden="1"/>
    <cellStyle name="Lien hypertexte visité" xfId="14997" builtinId="9" hidden="1"/>
    <cellStyle name="Lien hypertexte visité" xfId="6115" builtinId="9" hidden="1"/>
    <cellStyle name="Lien hypertexte visité" xfId="7283" builtinId="9" hidden="1"/>
    <cellStyle name="Lien hypertexte visité" xfId="11173" builtinId="9" hidden="1"/>
    <cellStyle name="Lien hypertexte visité" xfId="16023" builtinId="9" hidden="1"/>
    <cellStyle name="Lien hypertexte visité" xfId="5284" builtinId="9" hidden="1"/>
    <cellStyle name="Lien hypertexte visité" xfId="10149" builtinId="9" hidden="1"/>
    <cellStyle name="Lien hypertexte visité" xfId="14501" builtinId="9" hidden="1"/>
    <cellStyle name="Lien hypertexte visité" xfId="10405" builtinId="9" hidden="1"/>
    <cellStyle name="Lien hypertexte visité" xfId="5603" builtinId="9" hidden="1"/>
    <cellStyle name="Lien hypertexte visité" xfId="14549" builtinId="9" hidden="1"/>
    <cellStyle name="Lien hypertexte visité" xfId="13076" builtinId="9" hidden="1"/>
    <cellStyle name="Lien hypertexte visité" xfId="11892" builtinId="9" hidden="1"/>
    <cellStyle name="Lien hypertexte visité" xfId="10660" builtinId="9" hidden="1"/>
    <cellStyle name="Lien hypertexte visité" xfId="9492" builtinId="9" hidden="1"/>
    <cellStyle name="Lien hypertexte visité" xfId="22854" builtinId="9" hidden="1"/>
    <cellStyle name="Lien hypertexte visité" xfId="1501" builtinId="9" hidden="1"/>
    <cellStyle name="Lien hypertexte visité" xfId="437" builtinId="9" hidden="1"/>
    <cellStyle name="Lien hypertexte visité" xfId="1889" builtinId="9" hidden="1"/>
    <cellStyle name="Lien hypertexte visité" xfId="8836" builtinId="9" hidden="1"/>
    <cellStyle name="Lien hypertexte visité" xfId="19524" builtinId="9" hidden="1"/>
    <cellStyle name="Lien hypertexte visité" xfId="20070" builtinId="9" hidden="1"/>
    <cellStyle name="Lien hypertexte visité" xfId="22406" builtinId="9" hidden="1"/>
    <cellStyle name="Lien hypertexte visité" xfId="23748" builtinId="9" hidden="1"/>
    <cellStyle name="Lien hypertexte visité" xfId="21252" builtinId="9" hidden="1"/>
    <cellStyle name="Lien hypertexte visité" xfId="18916" builtinId="9" hidden="1"/>
    <cellStyle name="Lien hypertexte visité" xfId="15861" builtinId="9" hidden="1"/>
    <cellStyle name="Lien hypertexte visité" xfId="3706" builtinId="9" hidden="1"/>
    <cellStyle name="Lien hypertexte visité" xfId="22628" builtinId="9" hidden="1"/>
    <cellStyle name="Lien hypertexte visité" xfId="24134" builtinId="9" hidden="1"/>
    <cellStyle name="Lien hypertexte visité" xfId="20902" builtinId="9" hidden="1"/>
    <cellStyle name="Lien hypertexte visité" xfId="6771" builtinId="9" hidden="1"/>
    <cellStyle name="Lien hypertexte visité" xfId="2705" builtinId="9" hidden="1"/>
    <cellStyle name="Lien hypertexte visité" xfId="10544" builtinId="9" hidden="1"/>
    <cellStyle name="Lien hypertexte visité" xfId="8556" builtinId="9" hidden="1"/>
    <cellStyle name="Lien hypertexte visité" xfId="9579" builtinId="9" hidden="1"/>
    <cellStyle name="Lien hypertexte visité" xfId="16325" builtinId="9" hidden="1"/>
    <cellStyle name="Lien hypertexte visité" xfId="1595" builtinId="9" hidden="1"/>
    <cellStyle name="Lien hypertexte visité" xfId="2695" builtinId="9" hidden="1"/>
    <cellStyle name="Lien hypertexte visité" xfId="9706" builtinId="9" hidden="1"/>
    <cellStyle name="Lien hypertexte visité" xfId="21930" builtinId="9" hidden="1"/>
    <cellStyle name="Lien hypertexte visité" xfId="16393" builtinId="9" hidden="1"/>
    <cellStyle name="Lien hypertexte visité" xfId="8626" builtinId="9" hidden="1"/>
    <cellStyle name="Lien hypertexte visité" xfId="8335" builtinId="9" hidden="1"/>
    <cellStyle name="Lien hypertexte visité" xfId="3062" builtinId="9" hidden="1"/>
    <cellStyle name="Lien hypertexte visité" xfId="11261" builtinId="9" hidden="1"/>
    <cellStyle name="Lien hypertexte visité" xfId="20756" builtinId="9" hidden="1"/>
    <cellStyle name="Lien hypertexte visité" xfId="7403" builtinId="9" hidden="1"/>
    <cellStyle name="Lien hypertexte visité" xfId="1945" builtinId="9" hidden="1"/>
    <cellStyle name="Lien hypertexte visité" xfId="2482" builtinId="9" hidden="1"/>
    <cellStyle name="Lien hypertexte visité" xfId="7953" builtinId="9" hidden="1"/>
    <cellStyle name="Lien hypertexte visité" xfId="15039" builtinId="9" hidden="1"/>
    <cellStyle name="Lien hypertexte visité" xfId="23276" builtinId="9" hidden="1"/>
    <cellStyle name="Lien hypertexte visité" xfId="12080" builtinId="9" hidden="1"/>
    <cellStyle name="Lien hypertexte visité" xfId="24462" builtinId="9" hidden="1"/>
    <cellStyle name="Lien hypertexte visité" xfId="3106" builtinId="9" hidden="1"/>
    <cellStyle name="Lien hypertexte visité" xfId="4442" builtinId="9" hidden="1"/>
    <cellStyle name="Lien hypertexte visité" xfId="8867" builtinId="9" hidden="1"/>
    <cellStyle name="Lien hypertexte visité" xfId="15763" builtinId="9" hidden="1"/>
    <cellStyle name="Lien hypertexte visité" xfId="14163" builtinId="9" hidden="1"/>
    <cellStyle name="Lien hypertexte visité" xfId="1267" builtinId="9" hidden="1"/>
    <cellStyle name="Lien hypertexte visité" xfId="7122" builtinId="9" hidden="1"/>
    <cellStyle name="Lien hypertexte visité" xfId="8786" builtinId="9" hidden="1"/>
    <cellStyle name="Lien hypertexte visité" xfId="9951" builtinId="9" hidden="1"/>
    <cellStyle name="Lien hypertexte visité" xfId="4478" builtinId="9" hidden="1"/>
    <cellStyle name="Lien hypertexte visité" xfId="3494" builtinId="9" hidden="1"/>
    <cellStyle name="Lien hypertexte visité" xfId="8973" builtinId="9" hidden="1"/>
    <cellStyle name="Lien hypertexte visité" xfId="17063" builtinId="9" hidden="1"/>
    <cellStyle name="Lien hypertexte visité" xfId="18548" builtinId="9" hidden="1"/>
    <cellStyle name="Lien hypertexte visité" xfId="11068" builtinId="9" hidden="1"/>
    <cellStyle name="Lien hypertexte visité" xfId="4251" builtinId="9" hidden="1"/>
    <cellStyle name="Lien hypertexte visité" xfId="2377" builtinId="9" hidden="1"/>
    <cellStyle name="Lien hypertexte visité" xfId="155" builtinId="9" hidden="1"/>
    <cellStyle name="Lien hypertexte visité" xfId="4144" builtinId="9" hidden="1"/>
    <cellStyle name="Lien hypertexte visité" xfId="8689" builtinId="9" hidden="1"/>
    <cellStyle name="Lien hypertexte visité" xfId="13249" builtinId="9" hidden="1"/>
    <cellStyle name="Lien hypertexte visité" xfId="20876" builtinId="9" hidden="1"/>
    <cellStyle name="Lien hypertexte visité" xfId="14072" builtinId="9" hidden="1"/>
    <cellStyle name="Lien hypertexte visité" xfId="9512" builtinId="9" hidden="1"/>
    <cellStyle name="Lien hypertexte visité" xfId="20988" builtinId="9" hidden="1"/>
    <cellStyle name="Lien hypertexte visité" xfId="7688" builtinId="9" hidden="1"/>
    <cellStyle name="Lien hypertexte visité" xfId="13200" builtinId="9" hidden="1"/>
    <cellStyle name="Lien hypertexte visité" xfId="15535" builtinId="9" hidden="1"/>
    <cellStyle name="Lien hypertexte visité" xfId="1361" builtinId="9" hidden="1"/>
    <cellStyle name="Lien hypertexte visité" xfId="7035" builtinId="9" hidden="1"/>
    <cellStyle name="Lien hypertexte visité" xfId="11629" builtinId="9" hidden="1"/>
    <cellStyle name="Lien hypertexte visité" xfId="12397" builtinId="9" hidden="1"/>
    <cellStyle name="Lien hypertexte visité" xfId="24086" builtinId="9" hidden="1"/>
    <cellStyle name="Lien hypertexte visité" xfId="12924" builtinId="9" hidden="1"/>
    <cellStyle name="Lien hypertexte visité" xfId="7547" builtinId="9" hidden="1"/>
    <cellStyle name="Lien hypertexte visité" xfId="205" builtinId="9" hidden="1"/>
    <cellStyle name="Lien hypertexte visité" xfId="5903" builtinId="9" hidden="1"/>
    <cellStyle name="Lien hypertexte visité" xfId="2898" builtinId="9" hidden="1"/>
    <cellStyle name="Lien hypertexte visité" xfId="6488" builtinId="9" hidden="1"/>
    <cellStyle name="Lien hypertexte visité" xfId="11097" builtinId="9" hidden="1"/>
    <cellStyle name="Lien hypertexte visité" xfId="16559" builtinId="9" hidden="1"/>
    <cellStyle name="Lien hypertexte visité" xfId="24046" builtinId="9" hidden="1"/>
    <cellStyle name="Lien hypertexte visité" xfId="16317" builtinId="9" hidden="1"/>
    <cellStyle name="Lien hypertexte visité" xfId="11664" builtinId="9" hidden="1"/>
    <cellStyle name="Lien hypertexte visité" xfId="13728" builtinId="9" hidden="1"/>
    <cellStyle name="Lien hypertexte visité" xfId="14153" builtinId="9" hidden="1"/>
    <cellStyle name="Lien hypertexte visité" xfId="8201" builtinId="9" hidden="1"/>
    <cellStyle name="Lien hypertexte visité" xfId="12809" builtinId="9" hidden="1"/>
    <cellStyle name="Lien hypertexte visité" xfId="18271" builtinId="9" hidden="1"/>
    <cellStyle name="Lien hypertexte visité" xfId="21756" builtinId="9" hidden="1"/>
    <cellStyle name="Lien hypertexte visité" xfId="14605" builtinId="9" hidden="1"/>
    <cellStyle name="Lien hypertexte visité" xfId="9952" builtinId="9" hidden="1"/>
    <cellStyle name="Lien hypertexte visité" xfId="9680" builtinId="9" hidden="1"/>
    <cellStyle name="Lien hypertexte visité" xfId="11216" builtinId="9" hidden="1"/>
    <cellStyle name="Lien hypertexte visité" xfId="12752" builtinId="9" hidden="1"/>
    <cellStyle name="Lien hypertexte visité" xfId="13944" builtinId="9" hidden="1"/>
    <cellStyle name="Lien hypertexte visité" xfId="16445" builtinId="9" hidden="1"/>
    <cellStyle name="Lien hypertexte visité" xfId="18828" builtinId="9" hidden="1"/>
    <cellStyle name="Lien hypertexte visité" xfId="21900" builtinId="9" hidden="1"/>
    <cellStyle name="Lien hypertexte visité" xfId="24284" builtinId="9" hidden="1"/>
    <cellStyle name="Lien hypertexte visité" xfId="21870" builtinId="9" hidden="1"/>
    <cellStyle name="Lien hypertexte visité" xfId="18878" builtinId="9" hidden="1"/>
    <cellStyle name="Lien hypertexte visité" xfId="16431" builtinId="9" hidden="1"/>
    <cellStyle name="Lien hypertexte visité" xfId="13977" builtinId="9" hidden="1"/>
    <cellStyle name="Lien hypertexte visité" xfId="12737" builtinId="9" hidden="1"/>
    <cellStyle name="Lien hypertexte visité" xfId="11249" builtinId="9" hidden="1"/>
    <cellStyle name="Lien hypertexte visité" xfId="10009" builtinId="9" hidden="1"/>
    <cellStyle name="Lien hypertexte visité" xfId="8513" builtinId="9" hidden="1"/>
    <cellStyle name="Lien hypertexte visité" xfId="6976" builtinId="9" hidden="1"/>
    <cellStyle name="Lien hypertexte visité" xfId="5784" builtinId="9" hidden="1"/>
    <cellStyle name="Lien hypertexte visité" xfId="4248" builtinId="9" hidden="1"/>
    <cellStyle name="Lien hypertexte visité" xfId="3050" builtinId="9" hidden="1"/>
    <cellStyle name="Lien hypertexte visité" xfId="1514" builtinId="9" hidden="1"/>
    <cellStyle name="Lien hypertexte visité" xfId="19230" builtinId="9" hidden="1"/>
    <cellStyle name="Lien hypertexte visité" xfId="7532" builtinId="9" hidden="1"/>
    <cellStyle name="Lien hypertexte visité" xfId="5633" builtinId="9" hidden="1"/>
    <cellStyle name="Lien hypertexte visité" xfId="1282" builtinId="9" hidden="1"/>
    <cellStyle name="Lien hypertexte visité" xfId="6865" builtinId="9" hidden="1"/>
    <cellStyle name="Lien hypertexte visité" xfId="10439" builtinId="9" hidden="1"/>
    <cellStyle name="Lien hypertexte visité" xfId="12407" builtinId="9" hidden="1"/>
    <cellStyle name="Lien hypertexte visité" xfId="14359" builtinId="9" hidden="1"/>
    <cellStyle name="Lien hypertexte visité" xfId="17275" builtinId="9" hidden="1"/>
    <cellStyle name="Lien hypertexte visité" xfId="9518" builtinId="9" hidden="1"/>
    <cellStyle name="Lien hypertexte visité" xfId="10542" builtinId="9" hidden="1"/>
    <cellStyle name="Lien hypertexte visité" xfId="11854" builtinId="9" hidden="1"/>
    <cellStyle name="Lien hypertexte visité" xfId="12930" builtinId="9" hidden="1"/>
    <cellStyle name="Lien hypertexte visité" xfId="14178" builtinId="9" hidden="1"/>
    <cellStyle name="Lien hypertexte visité" xfId="16465" builtinId="9" hidden="1"/>
    <cellStyle name="Lien hypertexte visité" xfId="18600" builtinId="9" hidden="1"/>
    <cellStyle name="Lien hypertexte visité" xfId="21120" builtinId="9" hidden="1"/>
    <cellStyle name="Lien hypertexte visité" xfId="23272" builtinId="9" hidden="1"/>
    <cellStyle name="Lien hypertexte visité" xfId="23330" builtinId="9" hidden="1"/>
    <cellStyle name="Lien hypertexte visité" xfId="21282" builtinId="9" hidden="1"/>
    <cellStyle name="Lien hypertexte visité" xfId="18674" builtinId="9" hidden="1"/>
    <cellStyle name="Lien hypertexte visité" xfId="21018" builtinId="9" hidden="1"/>
    <cellStyle name="Lien hypertexte visité" xfId="22064" builtinId="9" hidden="1"/>
    <cellStyle name="Lien hypertexte visité" xfId="14362" builtinId="9" hidden="1"/>
    <cellStyle name="Lien hypertexte visité" xfId="11290" builtinId="9" hidden="1"/>
    <cellStyle name="Lien hypertexte visité" xfId="17835" builtinId="9" hidden="1"/>
    <cellStyle name="Lien hypertexte visité" xfId="23266" builtinId="9" hidden="1"/>
    <cellStyle name="Lien hypertexte visité" xfId="18129" builtinId="9" hidden="1"/>
    <cellStyle name="Lien hypertexte visité" xfId="12398" builtinId="9" hidden="1"/>
    <cellStyle name="Lien hypertexte visité" xfId="9326" builtinId="9" hidden="1"/>
    <cellStyle name="Lien hypertexte visité" xfId="11687" builtinId="9" hidden="1"/>
    <cellStyle name="Lien hypertexte visité" xfId="7078" builtinId="9" hidden="1"/>
    <cellStyle name="Lien hypertexte visité" xfId="1183" builtinId="9" hidden="1"/>
    <cellStyle name="Lien hypertexte visité" xfId="4580" builtinId="9" hidden="1"/>
    <cellStyle name="Lien hypertexte visité" xfId="10469" builtinId="9" hidden="1"/>
    <cellStyle name="Lien hypertexte visité" xfId="18199" builtinId="9" hidden="1"/>
    <cellStyle name="Lien hypertexte visité" xfId="6355" builtinId="9" hidden="1"/>
    <cellStyle name="Lien hypertexte visité" xfId="8036" builtinId="9" hidden="1"/>
    <cellStyle name="Lien hypertexte visité" xfId="9428" builtinId="9" hidden="1"/>
    <cellStyle name="Lien hypertexte visité" xfId="11044" builtinId="9" hidden="1"/>
    <cellStyle name="Lien hypertexte visité" xfId="12436" builtinId="9" hidden="1"/>
    <cellStyle name="Lien hypertexte visité" xfId="14116" builtinId="9" hidden="1"/>
    <cellStyle name="Lien hypertexte visité" xfId="16917" builtinId="9" hidden="1"/>
    <cellStyle name="Lien hypertexte visité" xfId="19684" builtinId="9" hidden="1"/>
    <cellStyle name="Lien hypertexte visité" xfId="13765" builtinId="9" hidden="1"/>
    <cellStyle name="Lien hypertexte visité" xfId="5121" builtinId="9" hidden="1"/>
    <cellStyle name="Lien hypertexte visité" xfId="19054" builtinId="9" hidden="1"/>
    <cellStyle name="Lien hypertexte visité" xfId="15597" builtinId="9" hidden="1"/>
    <cellStyle name="Lien hypertexte visité" xfId="12064" builtinId="9" hidden="1"/>
    <cellStyle name="Lien hypertexte visité" xfId="9801" builtinId="9" hidden="1"/>
    <cellStyle name="Lien hypertexte visité" xfId="16047" builtinId="9" hidden="1"/>
    <cellStyle name="Lien hypertexte visité" xfId="2549" builtinId="9" hidden="1"/>
    <cellStyle name="Lien hypertexte visité" xfId="3823" builtinId="9" hidden="1"/>
    <cellStyle name="Lien hypertexte visité" xfId="5189" builtinId="9" hidden="1"/>
    <cellStyle name="Lien hypertexte visité" xfId="18682" builtinId="9" hidden="1"/>
    <cellStyle name="Lien hypertexte visité" xfId="19936" builtinId="9" hidden="1"/>
    <cellStyle name="Lien hypertexte visité" xfId="10982" builtinId="9" hidden="1"/>
    <cellStyle name="Lien hypertexte visité" xfId="1523" builtinId="9" hidden="1"/>
    <cellStyle name="Lien hypertexte visité" xfId="2479" builtinId="9" hidden="1"/>
    <cellStyle name="Lien hypertexte visité" xfId="2255" builtinId="9" hidden="1"/>
    <cellStyle name="Lien hypertexte visité" xfId="10074" builtinId="9" hidden="1"/>
    <cellStyle name="Lien hypertexte visité" xfId="7273" builtinId="9" hidden="1"/>
    <cellStyle name="Lien hypertexte visité" xfId="3007" builtinId="9" hidden="1"/>
    <cellStyle name="Lien hypertexte visité" xfId="3604" builtinId="9" hidden="1"/>
    <cellStyle name="Lien hypertexte visité" xfId="11686" builtinId="9" hidden="1"/>
    <cellStyle name="Lien hypertexte visité" xfId="21344" builtinId="9" hidden="1"/>
    <cellStyle name="Lien hypertexte visité" xfId="23034" builtinId="9" hidden="1"/>
    <cellStyle name="Lien hypertexte visité" xfId="5793" builtinId="9" hidden="1"/>
    <cellStyle name="Lien hypertexte visité" xfId="907" builtinId="9" hidden="1"/>
    <cellStyle name="Lien hypertexte visité" xfId="16307" builtinId="9" hidden="1"/>
    <cellStyle name="Lien hypertexte visité" xfId="2324" builtinId="9" hidden="1"/>
    <cellStyle name="Lien hypertexte visité" xfId="8870" builtinId="9" hidden="1"/>
    <cellStyle name="Lien hypertexte visité" xfId="5982" builtinId="9" hidden="1"/>
    <cellStyle name="Lien hypertexte visité" xfId="6092" builtinId="9" hidden="1"/>
    <cellStyle name="Lien hypertexte visité" xfId="19542" builtinId="9" hidden="1"/>
    <cellStyle name="Lien hypertexte visité" xfId="11196" builtinId="9" hidden="1"/>
    <cellStyle name="Lien hypertexte visité" xfId="581" builtinId="9" hidden="1"/>
    <cellStyle name="Lien hypertexte visité" xfId="2234" builtinId="9" hidden="1"/>
    <cellStyle name="Lien hypertexte visité" xfId="9521" builtinId="9" hidden="1"/>
    <cellStyle name="Lien hypertexte visité" xfId="17061" builtinId="9" hidden="1"/>
    <cellStyle name="Lien hypertexte visité" xfId="1753" builtinId="9" hidden="1"/>
    <cellStyle name="Lien hypertexte visité" xfId="6456" builtinId="9" hidden="1"/>
    <cellStyle name="Lien hypertexte visité" xfId="20222" builtinId="9" hidden="1"/>
    <cellStyle name="Lien hypertexte visité" xfId="10840" builtinId="9" hidden="1"/>
    <cellStyle name="Lien hypertexte visité" xfId="3490" builtinId="9" hidden="1"/>
    <cellStyle name="Lien hypertexte visité" xfId="16649" builtinId="9" hidden="1"/>
    <cellStyle name="Lien hypertexte visité" xfId="10575" builtinId="9" hidden="1"/>
    <cellStyle name="Lien hypertexte visité" xfId="6972" builtinId="9" hidden="1"/>
    <cellStyle name="Lien hypertexte visité" xfId="13418" builtinId="9" hidden="1"/>
    <cellStyle name="Lien hypertexte visité" xfId="1170"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F81BD"/>
      <color rgb="FF2CAB42"/>
      <color rgb="FF0432FF"/>
      <color rgb="FFDDDDDD"/>
      <color rgb="FF573EEF"/>
      <color rgb="FF3E0D81"/>
      <color rgb="FFC1FFB5"/>
      <color rgb="FFEAFFA2"/>
      <color rgb="FFD7B3FF"/>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214538</xdr:colOff>
      <xdr:row>2</xdr:row>
      <xdr:rowOff>23133</xdr:rowOff>
    </xdr:from>
    <xdr:to>
      <xdr:col>2</xdr:col>
      <xdr:colOff>761247</xdr:colOff>
      <xdr:row>2</xdr:row>
      <xdr:rowOff>988334</xdr:rowOff>
    </xdr:to>
    <xdr:pic>
      <xdr:nvPicPr>
        <xdr:cNvPr id="19" name="Image 1">
          <a:extLst>
            <a:ext uri="{FF2B5EF4-FFF2-40B4-BE49-F238E27FC236}">
              <a16:creationId xmlns:a16="http://schemas.microsoft.com/office/drawing/2014/main" id="{6852CCBE-301D-CF4E-97C4-5696134B2E56}"/>
            </a:ext>
          </a:extLst>
        </xdr:cNvPr>
        <xdr:cNvPicPr>
          <a:picLocks noChangeAspect="1"/>
        </xdr:cNvPicPr>
      </xdr:nvPicPr>
      <xdr:blipFill>
        <a:blip xmlns:r="http://schemas.openxmlformats.org/officeDocument/2006/relationships" r:embed="rId1"/>
        <a:stretch>
          <a:fillRect/>
        </a:stretch>
      </xdr:blipFill>
      <xdr:spPr>
        <a:xfrm>
          <a:off x="862238" y="378733"/>
          <a:ext cx="3734409" cy="965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6</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codeName="Feuil1">
    <tabColor rgb="FF92D050"/>
  </sheetPr>
  <dimension ref="B3:D99"/>
  <sheetViews>
    <sheetView zoomScale="80" zoomScaleNormal="80" workbookViewId="0">
      <selection activeCell="B4" sqref="B4:D4"/>
    </sheetView>
  </sheetViews>
  <sheetFormatPr baseColWidth="10" defaultColWidth="11.453125" defaultRowHeight="12.5"/>
  <cols>
    <col min="2" max="2" width="35.81640625" customWidth="1"/>
    <col min="3" max="3" width="17" customWidth="1"/>
    <col min="4" max="4" width="85.1796875" customWidth="1"/>
  </cols>
  <sheetData>
    <row r="3" spans="2:4" ht="80" customHeight="1">
      <c r="B3" s="795"/>
      <c r="C3" s="795"/>
    </row>
    <row r="4" spans="2:4" ht="36" customHeight="1">
      <c r="B4" s="797" t="s">
        <v>2952</v>
      </c>
      <c r="C4" s="797"/>
      <c r="D4" s="797"/>
    </row>
    <row r="5" spans="2:4" ht="38" customHeight="1">
      <c r="B5" s="796"/>
      <c r="C5" s="796"/>
      <c r="D5" s="796"/>
    </row>
    <row r="6" spans="2:4" ht="13.5" thickBot="1">
      <c r="B6" s="84"/>
      <c r="C6" s="80"/>
      <c r="D6" s="80"/>
    </row>
    <row r="7" spans="2:4" ht="56" customHeight="1" thickTop="1" thickBot="1">
      <c r="B7" s="342" t="s">
        <v>0</v>
      </c>
      <c r="C7" s="343" t="s">
        <v>1</v>
      </c>
      <c r="D7" s="344" t="s">
        <v>2</v>
      </c>
    </row>
    <row r="8" spans="2:4" ht="66" customHeight="1" thickTop="1">
      <c r="B8" s="804" t="s">
        <v>3048</v>
      </c>
      <c r="C8" s="806" t="s">
        <v>2951</v>
      </c>
      <c r="D8" s="581" t="s">
        <v>3050</v>
      </c>
    </row>
    <row r="9" spans="2:4" ht="44" customHeight="1">
      <c r="B9" s="805"/>
      <c r="C9" s="807"/>
      <c r="D9" s="478" t="s">
        <v>7</v>
      </c>
    </row>
    <row r="10" spans="2:4" ht="44" customHeight="1">
      <c r="B10" s="805"/>
      <c r="C10" s="807"/>
      <c r="D10" s="479" t="s">
        <v>2923</v>
      </c>
    </row>
    <row r="11" spans="2:4" ht="44" customHeight="1" thickBot="1">
      <c r="B11" s="805"/>
      <c r="C11" s="807"/>
      <c r="D11" s="480" t="s">
        <v>2501</v>
      </c>
    </row>
    <row r="12" spans="2:4" ht="44" customHeight="1" thickTop="1">
      <c r="B12" s="804" t="s">
        <v>2917</v>
      </c>
      <c r="C12" s="806" t="s">
        <v>2349</v>
      </c>
      <c r="D12" s="581" t="s">
        <v>2500</v>
      </c>
    </row>
    <row r="13" spans="2:4" ht="44" customHeight="1">
      <c r="B13" s="805"/>
      <c r="C13" s="807"/>
      <c r="D13" s="478" t="s">
        <v>2919</v>
      </c>
    </row>
    <row r="14" spans="2:4" ht="44" customHeight="1">
      <c r="B14" s="805"/>
      <c r="C14" s="807"/>
      <c r="D14" s="478" t="s">
        <v>2918</v>
      </c>
    </row>
    <row r="15" spans="2:4" ht="44" customHeight="1">
      <c r="B15" s="805"/>
      <c r="C15" s="807"/>
      <c r="D15" s="478" t="s">
        <v>2920</v>
      </c>
    </row>
    <row r="16" spans="2:4" ht="44" customHeight="1">
      <c r="B16" s="805"/>
      <c r="C16" s="807"/>
      <c r="D16" s="478" t="s">
        <v>2921</v>
      </c>
    </row>
    <row r="17" spans="2:4" ht="44" customHeight="1">
      <c r="B17" s="805"/>
      <c r="C17" s="807"/>
      <c r="D17" s="478" t="s">
        <v>2922</v>
      </c>
    </row>
    <row r="18" spans="2:4" ht="44" customHeight="1">
      <c r="B18" s="805"/>
      <c r="C18" s="807"/>
      <c r="D18" s="478" t="s">
        <v>7</v>
      </c>
    </row>
    <row r="19" spans="2:4" ht="44" customHeight="1">
      <c r="B19" s="805"/>
      <c r="C19" s="807"/>
      <c r="D19" s="479" t="s">
        <v>2923</v>
      </c>
    </row>
    <row r="20" spans="2:4" ht="37" customHeight="1" thickBot="1">
      <c r="B20" s="808"/>
      <c r="C20" s="809"/>
      <c r="D20" s="480" t="s">
        <v>2501</v>
      </c>
    </row>
    <row r="21" spans="2:4" ht="44" customHeight="1" thickTop="1">
      <c r="B21" s="804" t="s">
        <v>3</v>
      </c>
      <c r="C21" s="806" t="s">
        <v>4</v>
      </c>
      <c r="D21" s="581" t="s">
        <v>5</v>
      </c>
    </row>
    <row r="22" spans="2:4" ht="44" customHeight="1">
      <c r="B22" s="805"/>
      <c r="C22" s="807"/>
      <c r="D22" s="478" t="s">
        <v>6</v>
      </c>
    </row>
    <row r="23" spans="2:4" ht="44" customHeight="1">
      <c r="B23" s="805"/>
      <c r="C23" s="807"/>
      <c r="D23" s="478" t="s">
        <v>7</v>
      </c>
    </row>
    <row r="24" spans="2:4" ht="44" customHeight="1">
      <c r="B24" s="805"/>
      <c r="C24" s="807"/>
      <c r="D24" s="582" t="s">
        <v>8</v>
      </c>
    </row>
    <row r="25" spans="2:4" ht="44" customHeight="1">
      <c r="B25" s="805"/>
      <c r="C25" s="807"/>
      <c r="D25" s="582" t="s">
        <v>9</v>
      </c>
    </row>
    <row r="26" spans="2:4" ht="44" customHeight="1">
      <c r="B26" s="805"/>
      <c r="C26" s="807"/>
      <c r="D26" s="582" t="s">
        <v>10</v>
      </c>
    </row>
    <row r="27" spans="2:4" ht="44" customHeight="1" thickBot="1">
      <c r="B27" s="808"/>
      <c r="C27" s="809"/>
      <c r="D27" s="480" t="s">
        <v>11</v>
      </c>
    </row>
    <row r="28" spans="2:4" ht="21.5" thickTop="1">
      <c r="B28" s="804" t="s">
        <v>12</v>
      </c>
      <c r="C28" s="806" t="s">
        <v>13</v>
      </c>
      <c r="D28" s="581" t="s">
        <v>14</v>
      </c>
    </row>
    <row r="29" spans="2:4" ht="21">
      <c r="B29" s="805"/>
      <c r="C29" s="807"/>
      <c r="D29" s="478" t="s">
        <v>15</v>
      </c>
    </row>
    <row r="30" spans="2:4" ht="21">
      <c r="B30" s="805"/>
      <c r="C30" s="807"/>
      <c r="D30" s="478" t="s">
        <v>16</v>
      </c>
    </row>
    <row r="31" spans="2:4" ht="42">
      <c r="B31" s="805"/>
      <c r="C31" s="807"/>
      <c r="D31" s="478" t="s">
        <v>17</v>
      </c>
    </row>
    <row r="32" spans="2:4" ht="42">
      <c r="B32" s="805"/>
      <c r="C32" s="807"/>
      <c r="D32" s="478" t="s">
        <v>18</v>
      </c>
    </row>
    <row r="33" spans="2:4" ht="21">
      <c r="B33" s="805"/>
      <c r="C33" s="807"/>
      <c r="D33" s="479" t="s">
        <v>19</v>
      </c>
    </row>
    <row r="34" spans="2:4" ht="42.5" thickBot="1">
      <c r="B34" s="808"/>
      <c r="C34" s="809"/>
      <c r="D34" s="480" t="s">
        <v>20</v>
      </c>
    </row>
    <row r="35" spans="2:4" ht="35" customHeight="1" thickTop="1">
      <c r="B35" s="804" t="s">
        <v>21</v>
      </c>
      <c r="C35" s="806" t="s">
        <v>22</v>
      </c>
      <c r="D35" s="583" t="s">
        <v>23</v>
      </c>
    </row>
    <row r="36" spans="2:4" ht="32" customHeight="1">
      <c r="B36" s="805"/>
      <c r="C36" s="807"/>
      <c r="D36" s="478" t="s">
        <v>24</v>
      </c>
    </row>
    <row r="37" spans="2:4" ht="48" customHeight="1">
      <c r="B37" s="805"/>
      <c r="C37" s="807"/>
      <c r="D37" s="478" t="s">
        <v>25</v>
      </c>
    </row>
    <row r="38" spans="2:4" ht="42">
      <c r="B38" s="805"/>
      <c r="C38" s="807"/>
      <c r="D38" s="478" t="s">
        <v>7</v>
      </c>
    </row>
    <row r="39" spans="2:4" ht="21">
      <c r="B39" s="805"/>
      <c r="C39" s="807"/>
      <c r="D39" s="479" t="s">
        <v>19</v>
      </c>
    </row>
    <row r="40" spans="2:4" ht="42.5" thickBot="1">
      <c r="B40" s="808"/>
      <c r="C40" s="809"/>
      <c r="D40" s="480" t="s">
        <v>26</v>
      </c>
    </row>
    <row r="41" spans="2:4" ht="28" customHeight="1" thickTop="1" thickBot="1">
      <c r="B41" s="403" t="s">
        <v>27</v>
      </c>
      <c r="C41" s="402" t="s">
        <v>28</v>
      </c>
      <c r="D41" s="584" t="s">
        <v>29</v>
      </c>
    </row>
    <row r="42" spans="2:4" ht="20.5" thickTop="1">
      <c r="B42" s="804" t="s">
        <v>30</v>
      </c>
      <c r="C42" s="806" t="s">
        <v>31</v>
      </c>
      <c r="D42" s="401" t="s">
        <v>32</v>
      </c>
    </row>
    <row r="43" spans="2:4" ht="21">
      <c r="B43" s="805"/>
      <c r="C43" s="807"/>
      <c r="D43" s="398" t="s">
        <v>33</v>
      </c>
    </row>
    <row r="44" spans="2:4" ht="21">
      <c r="B44" s="805"/>
      <c r="C44" s="807"/>
      <c r="D44" s="585" t="s">
        <v>34</v>
      </c>
    </row>
    <row r="45" spans="2:4" ht="21">
      <c r="B45" s="805"/>
      <c r="C45" s="807"/>
      <c r="D45" s="585" t="s">
        <v>35</v>
      </c>
    </row>
    <row r="46" spans="2:4" ht="20">
      <c r="B46" s="805"/>
      <c r="C46" s="807"/>
      <c r="D46" s="586" t="s">
        <v>36</v>
      </c>
    </row>
    <row r="47" spans="2:4" ht="40">
      <c r="B47" s="805"/>
      <c r="C47" s="807"/>
      <c r="D47" s="582" t="s">
        <v>37</v>
      </c>
    </row>
    <row r="48" spans="2:4" ht="21.5" thickBot="1">
      <c r="B48" s="808"/>
      <c r="C48" s="809"/>
      <c r="D48" s="587" t="s">
        <v>38</v>
      </c>
    </row>
    <row r="49" spans="2:4" ht="42.5" thickTop="1">
      <c r="B49" s="810" t="s">
        <v>39</v>
      </c>
      <c r="C49" s="813" t="s">
        <v>40</v>
      </c>
      <c r="D49" s="272" t="s">
        <v>41</v>
      </c>
    </row>
    <row r="50" spans="2:4" ht="21">
      <c r="B50" s="811"/>
      <c r="C50" s="814"/>
      <c r="D50" s="273" t="s">
        <v>42</v>
      </c>
    </row>
    <row r="51" spans="2:4" ht="42">
      <c r="B51" s="811"/>
      <c r="C51" s="814"/>
      <c r="D51" s="245" t="s">
        <v>43</v>
      </c>
    </row>
    <row r="52" spans="2:4" ht="42" customHeight="1">
      <c r="B52" s="811"/>
      <c r="C52" s="814"/>
      <c r="D52" s="273" t="s">
        <v>44</v>
      </c>
    </row>
    <row r="53" spans="2:4" ht="44" customHeight="1">
      <c r="B53" s="811"/>
      <c r="C53" s="814"/>
      <c r="D53" s="274" t="s">
        <v>45</v>
      </c>
    </row>
    <row r="54" spans="2:4" ht="42" customHeight="1">
      <c r="B54" s="811"/>
      <c r="C54" s="814"/>
      <c r="D54" s="274" t="s">
        <v>46</v>
      </c>
    </row>
    <row r="55" spans="2:4" ht="42" customHeight="1">
      <c r="B55" s="811"/>
      <c r="C55" s="814"/>
      <c r="D55" s="275" t="s">
        <v>47</v>
      </c>
    </row>
    <row r="56" spans="2:4" ht="42" customHeight="1" thickBot="1">
      <c r="B56" s="812"/>
      <c r="C56" s="815"/>
      <c r="D56" s="249" t="s">
        <v>48</v>
      </c>
    </row>
    <row r="57" spans="2:4" ht="46" customHeight="1" thickTop="1">
      <c r="B57" s="798" t="s">
        <v>49</v>
      </c>
      <c r="C57" s="801" t="s">
        <v>50</v>
      </c>
      <c r="D57" s="250" t="s">
        <v>51</v>
      </c>
    </row>
    <row r="58" spans="2:4" ht="36" customHeight="1">
      <c r="B58" s="799"/>
      <c r="C58" s="802"/>
      <c r="D58" s="240" t="s">
        <v>52</v>
      </c>
    </row>
    <row r="59" spans="2:4" ht="40" customHeight="1" thickBot="1">
      <c r="B59" s="800"/>
      <c r="C59" s="803"/>
      <c r="D59" s="249" t="s">
        <v>53</v>
      </c>
    </row>
    <row r="60" spans="2:4" ht="35" customHeight="1" thickTop="1">
      <c r="B60" s="798" t="s">
        <v>54</v>
      </c>
      <c r="C60" s="801" t="s">
        <v>55</v>
      </c>
      <c r="D60" s="248" t="s">
        <v>56</v>
      </c>
    </row>
    <row r="61" spans="2:4" ht="41" customHeight="1">
      <c r="B61" s="799"/>
      <c r="C61" s="802"/>
      <c r="D61" s="245" t="s">
        <v>57</v>
      </c>
    </row>
    <row r="62" spans="2:4" ht="41" customHeight="1">
      <c r="B62" s="799"/>
      <c r="C62" s="802"/>
      <c r="D62" s="240" t="s">
        <v>58</v>
      </c>
    </row>
    <row r="63" spans="2:4" ht="28" customHeight="1" thickBot="1">
      <c r="B63" s="800"/>
      <c r="C63" s="803"/>
      <c r="D63" s="249" t="s">
        <v>59</v>
      </c>
    </row>
    <row r="64" spans="2:4" ht="32" customHeight="1" thickTop="1">
      <c r="B64" s="798" t="s">
        <v>60</v>
      </c>
      <c r="C64" s="801" t="s">
        <v>61</v>
      </c>
      <c r="D64" s="248" t="s">
        <v>62</v>
      </c>
    </row>
    <row r="65" spans="2:4" ht="43" customHeight="1">
      <c r="B65" s="799"/>
      <c r="C65" s="802"/>
      <c r="D65" s="241" t="s">
        <v>63</v>
      </c>
    </row>
    <row r="66" spans="2:4" ht="42" customHeight="1">
      <c r="B66" s="799"/>
      <c r="C66" s="802"/>
      <c r="D66" s="240" t="s">
        <v>64</v>
      </c>
    </row>
    <row r="67" spans="2:4" ht="42">
      <c r="B67" s="799"/>
      <c r="C67" s="802"/>
      <c r="D67" s="240" t="s">
        <v>65</v>
      </c>
    </row>
    <row r="68" spans="2:4" ht="42">
      <c r="B68" s="799"/>
      <c r="C68" s="802"/>
      <c r="D68" s="240" t="s">
        <v>66</v>
      </c>
    </row>
    <row r="69" spans="2:4" ht="42">
      <c r="B69" s="799"/>
      <c r="C69" s="802"/>
      <c r="D69" s="239" t="s">
        <v>67</v>
      </c>
    </row>
    <row r="70" spans="2:4" ht="42">
      <c r="B70" s="799"/>
      <c r="C70" s="802"/>
      <c r="D70" s="243" t="s">
        <v>68</v>
      </c>
    </row>
    <row r="71" spans="2:4" ht="42.5" thickBot="1">
      <c r="B71" s="800"/>
      <c r="C71" s="803"/>
      <c r="D71" s="246" t="s">
        <v>69</v>
      </c>
    </row>
    <row r="72" spans="2:4" ht="42.5" thickTop="1">
      <c r="B72" s="798" t="s">
        <v>70</v>
      </c>
      <c r="C72" s="820" t="s">
        <v>71</v>
      </c>
      <c r="D72" s="247" t="s">
        <v>72</v>
      </c>
    </row>
    <row r="73" spans="2:4" ht="21">
      <c r="B73" s="818"/>
      <c r="C73" s="821"/>
      <c r="D73" s="243" t="s">
        <v>73</v>
      </c>
    </row>
    <row r="74" spans="2:4" ht="21">
      <c r="B74" s="818"/>
      <c r="C74" s="821"/>
      <c r="D74" s="243" t="s">
        <v>74</v>
      </c>
    </row>
    <row r="75" spans="2:4" ht="21.5" thickBot="1">
      <c r="B75" s="819"/>
      <c r="C75" s="822"/>
      <c r="D75" s="246" t="s">
        <v>53</v>
      </c>
    </row>
    <row r="76" spans="2:4" ht="42.5" thickTop="1">
      <c r="B76" s="824" t="s">
        <v>75</v>
      </c>
      <c r="C76" s="820" t="s">
        <v>76</v>
      </c>
      <c r="D76" s="247" t="s">
        <v>77</v>
      </c>
    </row>
    <row r="77" spans="2:4" ht="42">
      <c r="B77" s="818"/>
      <c r="C77" s="821"/>
      <c r="D77" s="243" t="s">
        <v>78</v>
      </c>
    </row>
    <row r="78" spans="2:4" ht="21.5" thickBot="1">
      <c r="B78" s="825"/>
      <c r="C78" s="822"/>
      <c r="D78" s="246" t="s">
        <v>79</v>
      </c>
    </row>
    <row r="79" spans="2:4" ht="42.5" thickTop="1">
      <c r="B79" s="798" t="s">
        <v>80</v>
      </c>
      <c r="C79" s="820" t="s">
        <v>81</v>
      </c>
      <c r="D79" s="247" t="s">
        <v>82</v>
      </c>
    </row>
    <row r="80" spans="2:4" ht="42">
      <c r="B80" s="818"/>
      <c r="C80" s="821"/>
      <c r="D80" s="243" t="s">
        <v>83</v>
      </c>
    </row>
    <row r="81" spans="2:4" ht="42">
      <c r="B81" s="818"/>
      <c r="C81" s="821"/>
      <c r="D81" s="243" t="s">
        <v>84</v>
      </c>
    </row>
    <row r="82" spans="2:4" ht="42">
      <c r="B82" s="818"/>
      <c r="C82" s="821"/>
      <c r="D82" s="243" t="s">
        <v>85</v>
      </c>
    </row>
    <row r="83" spans="2:4" ht="21">
      <c r="B83" s="818"/>
      <c r="C83" s="821"/>
      <c r="D83" s="243" t="s">
        <v>86</v>
      </c>
    </row>
    <row r="84" spans="2:4" ht="21">
      <c r="B84" s="818"/>
      <c r="C84" s="821"/>
      <c r="D84" s="243" t="s">
        <v>87</v>
      </c>
    </row>
    <row r="85" spans="2:4" ht="21.5" thickBot="1">
      <c r="B85" s="819"/>
      <c r="C85" s="823"/>
      <c r="D85" s="246" t="s">
        <v>88</v>
      </c>
    </row>
    <row r="86" spans="2:4" ht="21.5" thickTop="1">
      <c r="B86" s="798" t="s">
        <v>89</v>
      </c>
      <c r="C86" s="801" t="s">
        <v>90</v>
      </c>
      <c r="D86" s="247" t="s">
        <v>91</v>
      </c>
    </row>
    <row r="87" spans="2:4" ht="21">
      <c r="B87" s="799"/>
      <c r="C87" s="802"/>
      <c r="D87" s="243" t="s">
        <v>92</v>
      </c>
    </row>
    <row r="88" spans="2:4" ht="21">
      <c r="B88" s="799"/>
      <c r="C88" s="802"/>
      <c r="D88" s="243" t="s">
        <v>93</v>
      </c>
    </row>
    <row r="89" spans="2:4" ht="21">
      <c r="B89" s="799"/>
      <c r="C89" s="802"/>
      <c r="D89" s="243" t="s">
        <v>94</v>
      </c>
    </row>
    <row r="90" spans="2:4" ht="21">
      <c r="B90" s="799"/>
      <c r="C90" s="802"/>
      <c r="D90" s="243" t="s">
        <v>95</v>
      </c>
    </row>
    <row r="91" spans="2:4" ht="21">
      <c r="B91" s="799"/>
      <c r="C91" s="802"/>
      <c r="D91" s="243" t="s">
        <v>96</v>
      </c>
    </row>
    <row r="92" spans="2:4" ht="21">
      <c r="B92" s="799"/>
      <c r="C92" s="802"/>
      <c r="D92" s="243" t="s">
        <v>97</v>
      </c>
    </row>
    <row r="93" spans="2:4" ht="21">
      <c r="B93" s="799"/>
      <c r="C93" s="802"/>
      <c r="D93" s="243" t="s">
        <v>98</v>
      </c>
    </row>
    <row r="94" spans="2:4" ht="42">
      <c r="B94" s="799"/>
      <c r="C94" s="802"/>
      <c r="D94" s="243" t="s">
        <v>99</v>
      </c>
    </row>
    <row r="95" spans="2:4" ht="21">
      <c r="B95" s="799"/>
      <c r="C95" s="802"/>
      <c r="D95" s="243" t="s">
        <v>100</v>
      </c>
    </row>
    <row r="96" spans="2:4" ht="42">
      <c r="B96" s="799"/>
      <c r="C96" s="802"/>
      <c r="D96" s="242" t="s">
        <v>101</v>
      </c>
    </row>
    <row r="97" spans="2:4" ht="42">
      <c r="B97" s="799"/>
      <c r="C97" s="802"/>
      <c r="D97" s="242" t="s">
        <v>102</v>
      </c>
    </row>
    <row r="98" spans="2:4" ht="42.5" thickBot="1">
      <c r="B98" s="816"/>
      <c r="C98" s="817"/>
      <c r="D98" s="244" t="s">
        <v>103</v>
      </c>
    </row>
    <row r="99" spans="2:4" ht="13" thickTop="1"/>
  </sheetData>
  <mergeCells count="31">
    <mergeCell ref="C42:C48"/>
    <mergeCell ref="B76:B78"/>
    <mergeCell ref="C76:C78"/>
    <mergeCell ref="B12:B20"/>
    <mergeCell ref="C12:C20"/>
    <mergeCell ref="B21:B27"/>
    <mergeCell ref="C21:C27"/>
    <mergeCell ref="B28:B34"/>
    <mergeCell ref="C28:C34"/>
    <mergeCell ref="B86:B98"/>
    <mergeCell ref="C86:C98"/>
    <mergeCell ref="B72:B75"/>
    <mergeCell ref="C72:C75"/>
    <mergeCell ref="B79:B85"/>
    <mergeCell ref="C79:C85"/>
    <mergeCell ref="B3:C3"/>
    <mergeCell ref="B5:D5"/>
    <mergeCell ref="B4:D4"/>
    <mergeCell ref="B64:B71"/>
    <mergeCell ref="C64:C71"/>
    <mergeCell ref="C60:C63"/>
    <mergeCell ref="B60:B63"/>
    <mergeCell ref="B8:B11"/>
    <mergeCell ref="C8:C11"/>
    <mergeCell ref="B35:B40"/>
    <mergeCell ref="C35:C40"/>
    <mergeCell ref="B57:B59"/>
    <mergeCell ref="C57:C59"/>
    <mergeCell ref="B49:B56"/>
    <mergeCell ref="C49:C56"/>
    <mergeCell ref="B42:B48"/>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AH441"/>
  <sheetViews>
    <sheetView tabSelected="1" showRuler="0" zoomScale="110" zoomScaleNormal="110" workbookViewId="0">
      <pane xSplit="1" ySplit="4" topLeftCell="B5" activePane="bottomRight" state="frozen"/>
      <selection pane="topRight" activeCell="B1" sqref="B1"/>
      <selection pane="bottomLeft" activeCell="A5" sqref="A5"/>
      <selection pane="bottomRight"/>
    </sheetView>
  </sheetViews>
  <sheetFormatPr baseColWidth="10" defaultColWidth="10.7265625" defaultRowHeight="13"/>
  <cols>
    <col min="1" max="1" width="56.81640625" style="80" customWidth="1"/>
    <col min="2" max="2" width="167" style="1" bestFit="1" customWidth="1"/>
    <col min="3" max="3" width="9.7265625" style="27" bestFit="1" customWidth="1"/>
    <col min="4" max="4" width="8.54296875" style="27" bestFit="1" customWidth="1"/>
    <col min="5" max="5" width="19.7265625" style="1" customWidth="1"/>
    <col min="6" max="6" width="14" style="636" customWidth="1"/>
    <col min="7" max="7" width="23.54296875" style="1" bestFit="1" customWidth="1"/>
    <col min="8" max="8" width="20.26953125" style="87" customWidth="1"/>
    <col min="9" max="9" width="17" style="84" customWidth="1"/>
    <col min="10" max="10" width="15.26953125" style="84" customWidth="1"/>
    <col min="11" max="11" width="18.453125" style="1" customWidth="1"/>
    <col min="12" max="12" width="14.453125" style="69" customWidth="1"/>
    <col min="13" max="13" width="36.81640625" style="637" customWidth="1"/>
    <col min="14" max="14" width="14.1796875" style="227" customWidth="1"/>
    <col min="15" max="15" width="10.1796875" style="87" customWidth="1"/>
    <col min="16" max="17" width="13" style="87" customWidth="1"/>
    <col min="18" max="18" width="49.81640625" style="80" customWidth="1"/>
    <col min="19" max="19" width="110" style="1" customWidth="1"/>
    <col min="20" max="20" width="10.7265625" style="27" customWidth="1"/>
    <col min="21" max="21" width="11" style="27" customWidth="1"/>
    <col min="22" max="22" width="13.453125" style="1" customWidth="1"/>
    <col min="23" max="23" width="11.81640625" style="636" customWidth="1"/>
    <col min="24" max="24" width="13.81640625" style="1" bestFit="1" customWidth="1"/>
    <col min="25" max="25" width="16.26953125" style="87" customWidth="1"/>
    <col min="26" max="27" width="10.7265625" style="1"/>
    <col min="28" max="28" width="15.26953125" style="1" customWidth="1"/>
    <col min="29" max="29" width="7.54296875" style="27" customWidth="1"/>
    <col min="30" max="30" width="39.26953125" style="637" customWidth="1"/>
    <col min="31" max="31" width="10.7265625" style="87"/>
    <col min="32" max="32" width="6.81640625" style="87" bestFit="1" customWidth="1"/>
    <col min="33" max="33" width="9.1796875" style="87" customWidth="1"/>
    <col min="34" max="34" width="9.7265625" style="87" customWidth="1"/>
    <col min="35" max="16384" width="10.7265625" style="1"/>
  </cols>
  <sheetData>
    <row r="1" spans="1:34" ht="26" customHeight="1">
      <c r="A1" s="195"/>
      <c r="B1" s="10"/>
      <c r="C1" s="33"/>
      <c r="D1" s="34"/>
      <c r="E1" s="19"/>
      <c r="F1" s="23"/>
      <c r="G1" s="20"/>
      <c r="H1" s="81"/>
      <c r="I1" s="235"/>
      <c r="J1" s="235"/>
      <c r="K1" s="19"/>
      <c r="L1" s="94"/>
      <c r="M1" s="237"/>
      <c r="N1" s="204"/>
      <c r="O1" s="86"/>
      <c r="P1" s="172" t="s">
        <v>104</v>
      </c>
      <c r="Q1" s="172" t="s">
        <v>105</v>
      </c>
      <c r="R1" s="195"/>
      <c r="S1" s="10"/>
      <c r="T1" s="33"/>
      <c r="U1" s="34"/>
      <c r="V1" s="19"/>
      <c r="W1" s="23"/>
      <c r="X1" s="20"/>
      <c r="Y1" s="81"/>
      <c r="Z1" s="235"/>
      <c r="AA1" s="235"/>
      <c r="AB1" s="19"/>
      <c r="AC1" s="94"/>
      <c r="AD1" s="237"/>
      <c r="AE1" s="204"/>
      <c r="AF1" s="86"/>
      <c r="AG1" s="172" t="s">
        <v>104</v>
      </c>
      <c r="AH1" s="172" t="s">
        <v>105</v>
      </c>
    </row>
    <row r="2" spans="1:34" ht="23" customHeight="1">
      <c r="A2" s="317" t="s">
        <v>106</v>
      </c>
      <c r="B2" s="826" t="s">
        <v>107</v>
      </c>
      <c r="C2" s="826"/>
      <c r="D2" s="826"/>
      <c r="E2" s="826"/>
      <c r="F2" s="826"/>
      <c r="G2" s="826"/>
      <c r="H2" s="826"/>
      <c r="I2" s="826"/>
      <c r="J2" s="826"/>
      <c r="K2" s="826"/>
      <c r="L2" s="827"/>
      <c r="M2" s="237"/>
      <c r="N2" s="204"/>
      <c r="O2" s="86"/>
      <c r="P2" s="173">
        <v>0.20130874728773931</v>
      </c>
      <c r="Q2" s="173">
        <v>0.10462145617787387</v>
      </c>
      <c r="R2" s="546" t="s">
        <v>106</v>
      </c>
      <c r="S2" s="826" t="s">
        <v>107</v>
      </c>
      <c r="T2" s="826"/>
      <c r="U2" s="826"/>
      <c r="V2" s="826"/>
      <c r="W2" s="826"/>
      <c r="X2" s="826"/>
      <c r="Y2" s="826"/>
      <c r="Z2" s="826"/>
      <c r="AA2" s="826"/>
      <c r="AB2" s="826"/>
      <c r="AC2" s="827"/>
      <c r="AD2" s="237"/>
      <c r="AE2" s="204"/>
      <c r="AF2" s="86"/>
      <c r="AG2" s="173">
        <v>0.20130874728773931</v>
      </c>
      <c r="AH2" s="173">
        <v>0.10462145617787387</v>
      </c>
    </row>
    <row r="3" spans="1:34" s="93" customFormat="1" ht="32" customHeight="1">
      <c r="A3" s="829" t="s">
        <v>3051</v>
      </c>
      <c r="B3" s="830"/>
      <c r="C3" s="830"/>
      <c r="D3" s="830"/>
      <c r="E3" s="830"/>
      <c r="F3" s="830"/>
      <c r="G3" s="830"/>
      <c r="H3" s="830"/>
      <c r="I3" s="830"/>
      <c r="J3" s="830"/>
      <c r="K3" s="830"/>
      <c r="L3" s="831"/>
      <c r="M3" s="513"/>
      <c r="N3" s="506"/>
      <c r="O3" s="506"/>
      <c r="P3" s="828" t="s">
        <v>108</v>
      </c>
      <c r="Q3" s="828"/>
      <c r="R3" s="832" t="s">
        <v>2957</v>
      </c>
      <c r="S3" s="830"/>
      <c r="T3" s="830"/>
      <c r="U3" s="830"/>
      <c r="V3" s="830"/>
      <c r="W3" s="830"/>
      <c r="X3" s="830"/>
      <c r="Y3" s="830"/>
      <c r="Z3" s="830"/>
      <c r="AA3" s="830"/>
      <c r="AB3" s="830"/>
      <c r="AC3" s="831"/>
      <c r="AD3" s="505"/>
      <c r="AE3" s="506"/>
      <c r="AF3" s="506"/>
      <c r="AG3" s="828" t="s">
        <v>108</v>
      </c>
      <c r="AH3" s="828"/>
    </row>
    <row r="4" spans="1:34" s="424" customFormat="1" ht="58" customHeight="1">
      <c r="A4" s="431" t="s">
        <v>109</v>
      </c>
      <c r="B4" s="432" t="s">
        <v>110</v>
      </c>
      <c r="C4" s="433" t="s">
        <v>111</v>
      </c>
      <c r="D4" s="434" t="s">
        <v>112</v>
      </c>
      <c r="E4" s="435" t="s">
        <v>113</v>
      </c>
      <c r="F4" s="436" t="s">
        <v>114</v>
      </c>
      <c r="G4" s="437" t="s">
        <v>115</v>
      </c>
      <c r="H4" s="438" t="s">
        <v>116</v>
      </c>
      <c r="I4" s="439" t="s">
        <v>117</v>
      </c>
      <c r="J4" s="439" t="s">
        <v>118</v>
      </c>
      <c r="K4" s="435" t="s">
        <v>119</v>
      </c>
      <c r="L4" s="435" t="s">
        <v>120</v>
      </c>
      <c r="M4" s="514" t="s">
        <v>121</v>
      </c>
      <c r="N4" s="507" t="s">
        <v>122</v>
      </c>
      <c r="O4" s="507" t="s">
        <v>123</v>
      </c>
      <c r="P4" s="440">
        <v>12</v>
      </c>
      <c r="Q4" s="440">
        <v>24</v>
      </c>
      <c r="R4" s="431" t="s">
        <v>109</v>
      </c>
      <c r="S4" s="432" t="s">
        <v>2171</v>
      </c>
      <c r="T4" s="433" t="s">
        <v>111</v>
      </c>
      <c r="U4" s="434" t="s">
        <v>112</v>
      </c>
      <c r="V4" s="435" t="s">
        <v>113</v>
      </c>
      <c r="W4" s="436" t="s">
        <v>114</v>
      </c>
      <c r="X4" s="437" t="s">
        <v>115</v>
      </c>
      <c r="Y4" s="438" t="s">
        <v>116</v>
      </c>
      <c r="Z4" s="439" t="s">
        <v>117</v>
      </c>
      <c r="AA4" s="439" t="s">
        <v>118</v>
      </c>
      <c r="AB4" s="435" t="s">
        <v>119</v>
      </c>
      <c r="AC4" s="435" t="s">
        <v>120</v>
      </c>
      <c r="AD4" s="514" t="s">
        <v>2172</v>
      </c>
      <c r="AE4" s="507" t="s">
        <v>122</v>
      </c>
      <c r="AF4" s="507" t="s">
        <v>123</v>
      </c>
      <c r="AG4" s="440">
        <v>12</v>
      </c>
      <c r="AH4" s="440">
        <v>24</v>
      </c>
    </row>
    <row r="5" spans="1:34" s="270" customFormat="1" ht="25" customHeight="1">
      <c r="A5" s="332" t="s">
        <v>2927</v>
      </c>
      <c r="B5" s="393" t="s">
        <v>124</v>
      </c>
      <c r="C5" s="324"/>
      <c r="D5" s="325"/>
      <c r="E5" s="325"/>
      <c r="F5" s="326"/>
      <c r="G5" s="327"/>
      <c r="H5" s="328"/>
      <c r="I5" s="329"/>
      <c r="J5" s="329"/>
      <c r="K5" s="327"/>
      <c r="L5" s="330"/>
      <c r="M5" s="456"/>
      <c r="N5" s="331"/>
      <c r="O5" s="330"/>
      <c r="P5" s="330"/>
      <c r="Q5" s="330"/>
      <c r="R5" s="332" t="s">
        <v>2927</v>
      </c>
      <c r="S5" s="393" t="s">
        <v>124</v>
      </c>
      <c r="T5" s="324"/>
      <c r="U5" s="325"/>
      <c r="V5" s="325"/>
      <c r="W5" s="326"/>
      <c r="X5" s="327"/>
      <c r="Y5" s="328"/>
      <c r="Z5" s="329"/>
      <c r="AA5" s="329"/>
      <c r="AB5" s="327"/>
      <c r="AC5" s="330"/>
      <c r="AD5" s="456"/>
      <c r="AE5" s="331"/>
      <c r="AF5" s="330"/>
      <c r="AG5" s="330"/>
      <c r="AH5" s="330"/>
    </row>
    <row r="6" spans="1:34" s="311" customFormat="1">
      <c r="A6" s="700" t="s">
        <v>2800</v>
      </c>
      <c r="B6" s="49" t="s">
        <v>2810</v>
      </c>
      <c r="C6" s="50">
        <v>1</v>
      </c>
      <c r="D6" s="65" t="s">
        <v>126</v>
      </c>
      <c r="E6" s="65">
        <v>995.85</v>
      </c>
      <c r="F6" s="61">
        <f>rv_mba_mg</f>
        <v>0.17599999999999999</v>
      </c>
      <c r="G6" s="65">
        <f t="shared" ref="G6:G11" si="0">E6-(E6*F6)</f>
        <v>820.58040000000005</v>
      </c>
      <c r="H6" s="702" t="s">
        <v>127</v>
      </c>
      <c r="I6" s="58">
        <v>57.6</v>
      </c>
      <c r="J6" s="58">
        <f>G6+I6</f>
        <v>878.18040000000008</v>
      </c>
      <c r="K6" s="58" t="s">
        <v>128</v>
      </c>
      <c r="L6" s="58">
        <v>3.32</v>
      </c>
      <c r="M6" s="457" t="s">
        <v>129</v>
      </c>
      <c r="N6" s="305" t="s">
        <v>130</v>
      </c>
      <c r="O6" s="309" t="s">
        <v>131</v>
      </c>
      <c r="P6" s="84">
        <f t="shared" ref="P6:Q6" si="1">+IF($J6&lt;&gt;"",P$2*$J6,"")</f>
        <v>176.78539621664584</v>
      </c>
      <c r="Q6" s="84">
        <f t="shared" si="1"/>
        <v>91.876512234867761</v>
      </c>
      <c r="R6" s="700" t="s">
        <v>2800</v>
      </c>
      <c r="S6" s="49" t="s">
        <v>2810</v>
      </c>
      <c r="T6" s="50">
        <v>1</v>
      </c>
      <c r="U6" s="65" t="s">
        <v>126</v>
      </c>
      <c r="V6" s="57">
        <v>998.87</v>
      </c>
      <c r="W6" s="61">
        <v>0.17599999999999999</v>
      </c>
      <c r="X6" s="701">
        <v>823.06888000000004</v>
      </c>
      <c r="Y6" s="702" t="s">
        <v>127</v>
      </c>
      <c r="Z6" s="58">
        <v>57.6</v>
      </c>
      <c r="AA6" s="58">
        <v>880.66888000000006</v>
      </c>
      <c r="AB6" s="58" t="s">
        <v>128</v>
      </c>
      <c r="AC6" s="58">
        <v>0.3</v>
      </c>
      <c r="AD6" s="457" t="s">
        <v>129</v>
      </c>
      <c r="AE6" s="305" t="s">
        <v>130</v>
      </c>
      <c r="AF6" s="309" t="s">
        <v>131</v>
      </c>
      <c r="AG6" s="84">
        <v>177.28634900809644</v>
      </c>
      <c r="AH6" s="84">
        <v>92.136860636137271</v>
      </c>
    </row>
    <row r="7" spans="1:34" s="80" customFormat="1">
      <c r="A7" s="409" t="s">
        <v>2801</v>
      </c>
      <c r="B7" s="197" t="s">
        <v>2818</v>
      </c>
      <c r="C7" s="198">
        <v>1</v>
      </c>
      <c r="D7" s="79" t="s">
        <v>126</v>
      </c>
      <c r="E7" s="186">
        <v>16.670000000000002</v>
      </c>
      <c r="F7" s="412">
        <f t="shared" ref="F7:F16" si="2">rv_mba_mg_cto</f>
        <v>0.17599999999999999</v>
      </c>
      <c r="G7" s="413">
        <f t="shared" si="0"/>
        <v>13.736080000000001</v>
      </c>
      <c r="H7" s="134"/>
      <c r="I7" s="131"/>
      <c r="J7" s="58"/>
      <c r="K7" s="59"/>
      <c r="L7" s="131"/>
      <c r="M7" s="458" t="s">
        <v>129</v>
      </c>
      <c r="N7" s="293" t="s">
        <v>130</v>
      </c>
      <c r="O7" s="301" t="s">
        <v>131</v>
      </c>
      <c r="P7" s="1" t="str">
        <f t="shared" ref="P7:Q19" si="3">+IF($J7&lt;&gt;"",P$2*$J7,"")</f>
        <v/>
      </c>
      <c r="Q7" s="1" t="str">
        <f t="shared" si="3"/>
        <v/>
      </c>
      <c r="R7" s="409" t="s">
        <v>2801</v>
      </c>
      <c r="S7" s="197" t="s">
        <v>2818</v>
      </c>
      <c r="T7" s="198">
        <v>1</v>
      </c>
      <c r="U7" s="79" t="s">
        <v>126</v>
      </c>
      <c r="V7" s="186">
        <v>16.670000000000002</v>
      </c>
      <c r="W7" s="412">
        <v>0.17599999999999999</v>
      </c>
      <c r="X7" s="413">
        <v>13.736080000000001</v>
      </c>
      <c r="Y7" s="134"/>
      <c r="Z7" s="131"/>
      <c r="AA7" s="131"/>
      <c r="AB7" s="59"/>
      <c r="AC7" s="131"/>
      <c r="AD7" s="458" t="s">
        <v>129</v>
      </c>
      <c r="AE7" s="293" t="s">
        <v>130</v>
      </c>
      <c r="AF7" s="301" t="s">
        <v>131</v>
      </c>
      <c r="AG7" s="1" t="s">
        <v>2350</v>
      </c>
      <c r="AH7" s="1" t="s">
        <v>2350</v>
      </c>
    </row>
    <row r="8" spans="1:34" s="80" customFormat="1">
      <c r="A8" s="409" t="s">
        <v>2802</v>
      </c>
      <c r="B8" s="197" t="s">
        <v>2819</v>
      </c>
      <c r="C8" s="198">
        <v>1</v>
      </c>
      <c r="D8" s="79" t="s">
        <v>126</v>
      </c>
      <c r="E8" s="186">
        <v>16.670000000000002</v>
      </c>
      <c r="F8" s="412">
        <f t="shared" si="2"/>
        <v>0.17599999999999999</v>
      </c>
      <c r="G8" s="413">
        <f t="shared" si="0"/>
        <v>13.736080000000001</v>
      </c>
      <c r="H8" s="134"/>
      <c r="I8" s="134"/>
      <c r="J8" s="134"/>
      <c r="K8" s="68"/>
      <c r="L8" s="134"/>
      <c r="M8" s="458" t="s">
        <v>129</v>
      </c>
      <c r="N8" s="293" t="s">
        <v>130</v>
      </c>
      <c r="O8" s="301" t="s">
        <v>131</v>
      </c>
      <c r="P8" s="1" t="str">
        <f t="shared" si="3"/>
        <v/>
      </c>
      <c r="Q8" s="1" t="str">
        <f t="shared" si="3"/>
        <v/>
      </c>
      <c r="R8" s="409" t="s">
        <v>2802</v>
      </c>
      <c r="S8" s="197" t="s">
        <v>2819</v>
      </c>
      <c r="T8" s="198">
        <v>1</v>
      </c>
      <c r="U8" s="79" t="s">
        <v>126</v>
      </c>
      <c r="V8" s="186">
        <v>16.670000000000002</v>
      </c>
      <c r="W8" s="412">
        <v>0.17599999999999999</v>
      </c>
      <c r="X8" s="413">
        <v>13.736080000000001</v>
      </c>
      <c r="Y8" s="134"/>
      <c r="Z8" s="134"/>
      <c r="AA8" s="134"/>
      <c r="AB8" s="68"/>
      <c r="AC8" s="134"/>
      <c r="AD8" s="458" t="s">
        <v>129</v>
      </c>
      <c r="AE8" s="293" t="s">
        <v>130</v>
      </c>
      <c r="AF8" s="301" t="s">
        <v>131</v>
      </c>
      <c r="AG8" s="1" t="s">
        <v>2350</v>
      </c>
      <c r="AH8" s="1" t="s">
        <v>2350</v>
      </c>
    </row>
    <row r="9" spans="1:34" s="80" customFormat="1">
      <c r="A9" s="409" t="s">
        <v>2804</v>
      </c>
      <c r="B9" s="197" t="s">
        <v>2821</v>
      </c>
      <c r="C9" s="198">
        <v>1</v>
      </c>
      <c r="D9" s="79" t="s">
        <v>126</v>
      </c>
      <c r="E9" s="186">
        <v>0</v>
      </c>
      <c r="F9" s="412"/>
      <c r="G9" s="413">
        <f>E9-(E9*F9)</f>
        <v>0</v>
      </c>
      <c r="H9" s="134"/>
      <c r="I9" s="134"/>
      <c r="J9" s="134"/>
      <c r="K9" s="68"/>
      <c r="L9" s="134"/>
      <c r="M9" s="458" t="s">
        <v>129</v>
      </c>
      <c r="N9" s="293" t="s">
        <v>130</v>
      </c>
      <c r="O9" s="301" t="s">
        <v>131</v>
      </c>
      <c r="P9" s="1" t="str">
        <f>+IF($J9&lt;&gt;"",P$2*$J9,"")</f>
        <v/>
      </c>
      <c r="Q9" s="1" t="str">
        <f>+IF($J9&lt;&gt;"",Q$2*$J9,"")</f>
        <v/>
      </c>
      <c r="R9" s="409" t="s">
        <v>2804</v>
      </c>
      <c r="S9" s="197" t="s">
        <v>2821</v>
      </c>
      <c r="T9" s="198">
        <v>1</v>
      </c>
      <c r="U9" s="79" t="s">
        <v>126</v>
      </c>
      <c r="V9" s="186">
        <v>0</v>
      </c>
      <c r="W9" s="412"/>
      <c r="X9" s="413">
        <v>0</v>
      </c>
      <c r="Y9" s="134"/>
      <c r="Z9" s="134"/>
      <c r="AA9" s="134"/>
      <c r="AB9" s="68"/>
      <c r="AC9" s="134"/>
      <c r="AD9" s="458" t="s">
        <v>129</v>
      </c>
      <c r="AE9" s="293" t="s">
        <v>130</v>
      </c>
      <c r="AF9" s="301" t="s">
        <v>131</v>
      </c>
      <c r="AG9" s="1" t="s">
        <v>2350</v>
      </c>
      <c r="AH9" s="1" t="s">
        <v>2350</v>
      </c>
    </row>
    <row r="10" spans="1:34" s="80" customFormat="1">
      <c r="A10" s="409" t="s">
        <v>2803</v>
      </c>
      <c r="B10" s="197" t="s">
        <v>2820</v>
      </c>
      <c r="C10" s="198">
        <v>1</v>
      </c>
      <c r="D10" s="79" t="s">
        <v>126</v>
      </c>
      <c r="E10" s="186">
        <v>0</v>
      </c>
      <c r="F10" s="412"/>
      <c r="G10" s="413">
        <f t="shared" si="0"/>
        <v>0</v>
      </c>
      <c r="H10" s="134"/>
      <c r="I10" s="134"/>
      <c r="J10" s="134"/>
      <c r="K10" s="68"/>
      <c r="L10" s="134"/>
      <c r="M10" s="458" t="s">
        <v>129</v>
      </c>
      <c r="N10" s="293" t="s">
        <v>130</v>
      </c>
      <c r="O10" s="301" t="s">
        <v>131</v>
      </c>
      <c r="P10" s="1" t="str">
        <f t="shared" si="3"/>
        <v/>
      </c>
      <c r="Q10" s="1" t="str">
        <f t="shared" si="3"/>
        <v/>
      </c>
      <c r="R10" s="409" t="s">
        <v>2803</v>
      </c>
      <c r="S10" s="197" t="s">
        <v>2820</v>
      </c>
      <c r="T10" s="198">
        <v>1</v>
      </c>
      <c r="U10" s="79" t="s">
        <v>126</v>
      </c>
      <c r="V10" s="186">
        <v>0</v>
      </c>
      <c r="W10" s="412"/>
      <c r="X10" s="413">
        <v>0</v>
      </c>
      <c r="Y10" s="134"/>
      <c r="Z10" s="134"/>
      <c r="AA10" s="134"/>
      <c r="AB10" s="68"/>
      <c r="AC10" s="134"/>
      <c r="AD10" s="458" t="s">
        <v>129</v>
      </c>
      <c r="AE10" s="293" t="s">
        <v>130</v>
      </c>
      <c r="AF10" s="301" t="s">
        <v>131</v>
      </c>
      <c r="AG10" s="1" t="s">
        <v>2350</v>
      </c>
      <c r="AH10" s="1" t="s">
        <v>2350</v>
      </c>
    </row>
    <row r="11" spans="1:34" s="80" customFormat="1">
      <c r="A11" s="409" t="s">
        <v>2805</v>
      </c>
      <c r="B11" s="197" t="s">
        <v>2822</v>
      </c>
      <c r="C11" s="198">
        <v>1</v>
      </c>
      <c r="D11" s="79" t="s">
        <v>126</v>
      </c>
      <c r="E11" s="186">
        <v>0</v>
      </c>
      <c r="F11" s="412"/>
      <c r="G11" s="413">
        <f t="shared" si="0"/>
        <v>0</v>
      </c>
      <c r="H11" s="134"/>
      <c r="I11" s="134"/>
      <c r="J11" s="134"/>
      <c r="K11" s="68"/>
      <c r="L11" s="134"/>
      <c r="M11" s="458" t="s">
        <v>129</v>
      </c>
      <c r="N11" s="293" t="s">
        <v>130</v>
      </c>
      <c r="O11" s="301" t="s">
        <v>131</v>
      </c>
      <c r="P11" s="1" t="str">
        <f t="shared" si="3"/>
        <v/>
      </c>
      <c r="Q11" s="1" t="str">
        <f t="shared" si="3"/>
        <v/>
      </c>
      <c r="R11" s="409" t="s">
        <v>2805</v>
      </c>
      <c r="S11" s="197" t="s">
        <v>2822</v>
      </c>
      <c r="T11" s="198">
        <v>1</v>
      </c>
      <c r="U11" s="79" t="s">
        <v>126</v>
      </c>
      <c r="V11" s="186">
        <v>0</v>
      </c>
      <c r="W11" s="412"/>
      <c r="X11" s="413">
        <v>0</v>
      </c>
      <c r="Y11" s="134"/>
      <c r="Z11" s="134"/>
      <c r="AA11" s="134"/>
      <c r="AB11" s="68"/>
      <c r="AC11" s="134"/>
      <c r="AD11" s="458" t="s">
        <v>129</v>
      </c>
      <c r="AE11" s="293" t="s">
        <v>130</v>
      </c>
      <c r="AF11" s="301" t="s">
        <v>131</v>
      </c>
      <c r="AG11" s="1" t="s">
        <v>2350</v>
      </c>
      <c r="AH11" s="1" t="s">
        <v>2350</v>
      </c>
    </row>
    <row r="12" spans="1:34" s="80" customFormat="1">
      <c r="A12" s="700" t="s">
        <v>2806</v>
      </c>
      <c r="B12" s="49" t="s">
        <v>2809</v>
      </c>
      <c r="C12" s="50">
        <v>1</v>
      </c>
      <c r="D12" s="65" t="s">
        <v>126</v>
      </c>
      <c r="E12" s="65">
        <v>1187.51</v>
      </c>
      <c r="F12" s="61">
        <f>rv_mba_mg</f>
        <v>0.17599999999999999</v>
      </c>
      <c r="G12" s="65">
        <f t="shared" ref="G12:G19" si="4">E12-(E12*F12)</f>
        <v>978.50824</v>
      </c>
      <c r="H12" s="702" t="s">
        <v>127</v>
      </c>
      <c r="I12" s="58">
        <v>57.6</v>
      </c>
      <c r="J12" s="58">
        <f>G12+I12</f>
        <v>1036.10824</v>
      </c>
      <c r="K12" s="58" t="s">
        <v>128</v>
      </c>
      <c r="L12" s="58">
        <v>3.32</v>
      </c>
      <c r="M12" s="457" t="s">
        <v>132</v>
      </c>
      <c r="N12" s="305" t="s">
        <v>130</v>
      </c>
      <c r="O12" s="309" t="s">
        <v>131</v>
      </c>
      <c r="P12" s="84">
        <f t="shared" si="3"/>
        <v>208.57765184890437</v>
      </c>
      <c r="Q12" s="84">
        <f t="shared" si="3"/>
        <v>108.39915282669402</v>
      </c>
      <c r="R12" s="174" t="s">
        <v>2806</v>
      </c>
      <c r="S12" s="49" t="s">
        <v>2809</v>
      </c>
      <c r="T12" s="50">
        <v>1</v>
      </c>
      <c r="U12" s="65" t="s">
        <v>126</v>
      </c>
      <c r="V12" s="57">
        <v>1190.53</v>
      </c>
      <c r="W12" s="61">
        <v>0.17599999999999999</v>
      </c>
      <c r="X12" s="701">
        <v>980.99671999999998</v>
      </c>
      <c r="Y12" s="702" t="s">
        <v>127</v>
      </c>
      <c r="Z12" s="58">
        <v>57.6</v>
      </c>
      <c r="AA12" s="58">
        <v>1038.59672</v>
      </c>
      <c r="AB12" s="58" t="s">
        <v>128</v>
      </c>
      <c r="AC12" s="58">
        <v>0.3</v>
      </c>
      <c r="AD12" s="457" t="s">
        <v>132</v>
      </c>
      <c r="AE12" s="305" t="s">
        <v>130</v>
      </c>
      <c r="AF12" s="309" t="s">
        <v>131</v>
      </c>
      <c r="AG12" s="84">
        <v>209.07860464035494</v>
      </c>
      <c r="AH12" s="84">
        <v>108.65950122796355</v>
      </c>
    </row>
    <row r="13" spans="1:34" s="80" customFormat="1">
      <c r="A13" s="410" t="s">
        <v>2861</v>
      </c>
      <c r="B13" s="197" t="s">
        <v>2823</v>
      </c>
      <c r="C13" s="198">
        <v>1</v>
      </c>
      <c r="D13" s="79" t="s">
        <v>126</v>
      </c>
      <c r="E13" s="186">
        <v>191.67</v>
      </c>
      <c r="F13" s="412">
        <f t="shared" si="2"/>
        <v>0.17599999999999999</v>
      </c>
      <c r="G13" s="413">
        <f t="shared" si="4"/>
        <v>157.93608</v>
      </c>
      <c r="H13" s="134"/>
      <c r="I13" s="131"/>
      <c r="J13" s="705"/>
      <c r="K13" s="707"/>
      <c r="L13" s="131"/>
      <c r="M13" s="458" t="s">
        <v>132</v>
      </c>
      <c r="N13" s="293" t="s">
        <v>130</v>
      </c>
      <c r="O13" s="301" t="s">
        <v>131</v>
      </c>
      <c r="P13" s="1" t="str">
        <f t="shared" si="3"/>
        <v/>
      </c>
      <c r="Q13" s="1" t="str">
        <f t="shared" si="3"/>
        <v/>
      </c>
      <c r="R13" s="410" t="s">
        <v>2861</v>
      </c>
      <c r="S13" s="197" t="s">
        <v>2823</v>
      </c>
      <c r="T13" s="198">
        <v>1</v>
      </c>
      <c r="U13" s="79" t="s">
        <v>126</v>
      </c>
      <c r="V13" s="186">
        <v>191.67</v>
      </c>
      <c r="W13" s="412">
        <v>0.17599999999999999</v>
      </c>
      <c r="X13" s="413">
        <v>157.93608</v>
      </c>
      <c r="Y13" s="134"/>
      <c r="Z13" s="131"/>
      <c r="AA13" s="131"/>
      <c r="AB13" s="59"/>
      <c r="AC13" s="131"/>
      <c r="AD13" s="458" t="s">
        <v>132</v>
      </c>
      <c r="AE13" s="293" t="s">
        <v>130</v>
      </c>
      <c r="AF13" s="301" t="s">
        <v>131</v>
      </c>
      <c r="AG13" s="1" t="s">
        <v>2350</v>
      </c>
      <c r="AH13" s="1" t="s">
        <v>2350</v>
      </c>
    </row>
    <row r="14" spans="1:34" s="80" customFormat="1">
      <c r="A14" s="409" t="s">
        <v>2866</v>
      </c>
      <c r="B14" s="197" t="s">
        <v>2824</v>
      </c>
      <c r="C14" s="198">
        <v>1</v>
      </c>
      <c r="D14" s="79" t="s">
        <v>126</v>
      </c>
      <c r="E14" s="186">
        <v>191.67</v>
      </c>
      <c r="F14" s="412">
        <f t="shared" si="2"/>
        <v>0.17599999999999999</v>
      </c>
      <c r="G14" s="413">
        <f t="shared" si="4"/>
        <v>157.93608</v>
      </c>
      <c r="H14" s="134"/>
      <c r="I14" s="131"/>
      <c r="J14" s="705"/>
      <c r="K14" s="707"/>
      <c r="L14" s="131"/>
      <c r="M14" s="458" t="s">
        <v>132</v>
      </c>
      <c r="N14" s="293" t="s">
        <v>130</v>
      </c>
      <c r="O14" s="301" t="s">
        <v>131</v>
      </c>
      <c r="P14" s="1" t="str">
        <f t="shared" si="3"/>
        <v/>
      </c>
      <c r="Q14" s="1" t="str">
        <f t="shared" si="3"/>
        <v/>
      </c>
      <c r="R14" s="409" t="s">
        <v>2866</v>
      </c>
      <c r="S14" s="197" t="s">
        <v>2824</v>
      </c>
      <c r="T14" s="198">
        <v>1</v>
      </c>
      <c r="U14" s="79" t="s">
        <v>126</v>
      </c>
      <c r="V14" s="186">
        <v>191.67</v>
      </c>
      <c r="W14" s="412">
        <v>0.17599999999999999</v>
      </c>
      <c r="X14" s="413">
        <v>157.93608</v>
      </c>
      <c r="Y14" s="134"/>
      <c r="Z14" s="131"/>
      <c r="AA14" s="131"/>
      <c r="AB14" s="59"/>
      <c r="AC14" s="131"/>
      <c r="AD14" s="458" t="s">
        <v>132</v>
      </c>
      <c r="AE14" s="293" t="s">
        <v>130</v>
      </c>
      <c r="AF14" s="301" t="s">
        <v>131</v>
      </c>
      <c r="AG14" s="1" t="s">
        <v>2350</v>
      </c>
      <c r="AH14" s="1" t="s">
        <v>2350</v>
      </c>
    </row>
    <row r="15" spans="1:34" s="80" customFormat="1">
      <c r="A15" s="409" t="s">
        <v>2867</v>
      </c>
      <c r="B15" s="197" t="s">
        <v>2825</v>
      </c>
      <c r="C15" s="198">
        <v>1</v>
      </c>
      <c r="D15" s="79" t="s">
        <v>126</v>
      </c>
      <c r="E15" s="186">
        <v>575</v>
      </c>
      <c r="F15" s="412">
        <f t="shared" si="2"/>
        <v>0.17599999999999999</v>
      </c>
      <c r="G15" s="413">
        <f t="shared" si="4"/>
        <v>473.8</v>
      </c>
      <c r="H15" s="134"/>
      <c r="I15" s="131"/>
      <c r="J15" s="705"/>
      <c r="K15" s="707"/>
      <c r="L15" s="131"/>
      <c r="M15" s="458" t="s">
        <v>132</v>
      </c>
      <c r="N15" s="293" t="s">
        <v>130</v>
      </c>
      <c r="O15" s="301" t="s">
        <v>131</v>
      </c>
      <c r="P15" s="1" t="str">
        <f t="shared" si="3"/>
        <v/>
      </c>
      <c r="Q15" s="1" t="str">
        <f t="shared" si="3"/>
        <v/>
      </c>
      <c r="R15" s="409" t="s">
        <v>2867</v>
      </c>
      <c r="S15" s="197" t="s">
        <v>2825</v>
      </c>
      <c r="T15" s="198">
        <v>1</v>
      </c>
      <c r="U15" s="79" t="s">
        <v>126</v>
      </c>
      <c r="V15" s="186">
        <v>575</v>
      </c>
      <c r="W15" s="412">
        <v>0.17599999999999999</v>
      </c>
      <c r="X15" s="413">
        <v>473.8</v>
      </c>
      <c r="Y15" s="134"/>
      <c r="Z15" s="131"/>
      <c r="AA15" s="131"/>
      <c r="AB15" s="59"/>
      <c r="AC15" s="131"/>
      <c r="AD15" s="458" t="s">
        <v>132</v>
      </c>
      <c r="AE15" s="293" t="s">
        <v>130</v>
      </c>
      <c r="AF15" s="301" t="s">
        <v>131</v>
      </c>
      <c r="AG15" s="1" t="s">
        <v>2350</v>
      </c>
      <c r="AH15" s="1" t="s">
        <v>2350</v>
      </c>
    </row>
    <row r="16" spans="1:34" s="80" customFormat="1">
      <c r="A16" s="409" t="s">
        <v>2862</v>
      </c>
      <c r="B16" s="197" t="s">
        <v>2819</v>
      </c>
      <c r="C16" s="198">
        <v>1</v>
      </c>
      <c r="D16" s="79" t="s">
        <v>126</v>
      </c>
      <c r="E16" s="186">
        <v>16.670000000000002</v>
      </c>
      <c r="F16" s="412">
        <f t="shared" si="2"/>
        <v>0.17599999999999999</v>
      </c>
      <c r="G16" s="413">
        <f t="shared" si="4"/>
        <v>13.736080000000001</v>
      </c>
      <c r="H16" s="134"/>
      <c r="I16" s="131"/>
      <c r="J16" s="705"/>
      <c r="K16" s="707"/>
      <c r="L16" s="131"/>
      <c r="M16" s="458" t="s">
        <v>132</v>
      </c>
      <c r="N16" s="293" t="s">
        <v>130</v>
      </c>
      <c r="O16" s="301" t="s">
        <v>131</v>
      </c>
      <c r="P16" s="1" t="str">
        <f t="shared" si="3"/>
        <v/>
      </c>
      <c r="Q16" s="1" t="str">
        <f t="shared" si="3"/>
        <v/>
      </c>
      <c r="R16" s="409" t="s">
        <v>2862</v>
      </c>
      <c r="S16" s="197" t="s">
        <v>2819</v>
      </c>
      <c r="T16" s="198">
        <v>1</v>
      </c>
      <c r="U16" s="79" t="s">
        <v>126</v>
      </c>
      <c r="V16" s="186">
        <v>16.670000000000002</v>
      </c>
      <c r="W16" s="412">
        <v>0.17599999999999999</v>
      </c>
      <c r="X16" s="413">
        <v>13.736080000000001</v>
      </c>
      <c r="Y16" s="134"/>
      <c r="Z16" s="131"/>
      <c r="AA16" s="131"/>
      <c r="AB16" s="59"/>
      <c r="AC16" s="131"/>
      <c r="AD16" s="458" t="s">
        <v>132</v>
      </c>
      <c r="AE16" s="293" t="s">
        <v>130</v>
      </c>
      <c r="AF16" s="301" t="s">
        <v>131</v>
      </c>
      <c r="AG16" s="1" t="s">
        <v>2350</v>
      </c>
      <c r="AH16" s="1" t="s">
        <v>2350</v>
      </c>
    </row>
    <row r="17" spans="1:34" s="80" customFormat="1">
      <c r="A17" s="410" t="s">
        <v>2863</v>
      </c>
      <c r="B17" s="197" t="s">
        <v>2821</v>
      </c>
      <c r="C17" s="198">
        <v>1</v>
      </c>
      <c r="D17" s="79" t="s">
        <v>126</v>
      </c>
      <c r="E17" s="186">
        <v>0</v>
      </c>
      <c r="F17" s="412"/>
      <c r="G17" s="413">
        <f>E17-(E17*F17)</f>
        <v>0</v>
      </c>
      <c r="H17" s="134"/>
      <c r="I17" s="131"/>
      <c r="J17" s="705"/>
      <c r="K17" s="707"/>
      <c r="L17" s="131"/>
      <c r="M17" s="458" t="s">
        <v>132</v>
      </c>
      <c r="N17" s="293" t="s">
        <v>130</v>
      </c>
      <c r="O17" s="301" t="s">
        <v>131</v>
      </c>
      <c r="P17" s="1" t="str">
        <f>+IF($J17&lt;&gt;"",P$2*$J17,"")</f>
        <v/>
      </c>
      <c r="Q17" s="1" t="str">
        <f>+IF($J17&lt;&gt;"",Q$2*$J17,"")</f>
        <v/>
      </c>
      <c r="R17" s="410" t="s">
        <v>2863</v>
      </c>
      <c r="S17" s="197" t="s">
        <v>2821</v>
      </c>
      <c r="T17" s="198">
        <v>1</v>
      </c>
      <c r="U17" s="79" t="s">
        <v>126</v>
      </c>
      <c r="V17" s="186">
        <v>0</v>
      </c>
      <c r="W17" s="412"/>
      <c r="X17" s="413">
        <v>0</v>
      </c>
      <c r="Y17" s="134"/>
      <c r="Z17" s="131"/>
      <c r="AA17" s="131"/>
      <c r="AB17" s="59"/>
      <c r="AC17" s="131"/>
      <c r="AD17" s="458" t="s">
        <v>132</v>
      </c>
      <c r="AE17" s="293" t="s">
        <v>130</v>
      </c>
      <c r="AF17" s="301" t="s">
        <v>131</v>
      </c>
      <c r="AG17" s="1" t="s">
        <v>2350</v>
      </c>
      <c r="AH17" s="1" t="s">
        <v>2350</v>
      </c>
    </row>
    <row r="18" spans="1:34" s="80" customFormat="1">
      <c r="A18" s="410" t="s">
        <v>2864</v>
      </c>
      <c r="B18" s="197" t="s">
        <v>2820</v>
      </c>
      <c r="C18" s="198">
        <v>1</v>
      </c>
      <c r="D18" s="79" t="s">
        <v>126</v>
      </c>
      <c r="E18" s="186">
        <v>0</v>
      </c>
      <c r="F18" s="412"/>
      <c r="G18" s="413">
        <f t="shared" si="4"/>
        <v>0</v>
      </c>
      <c r="H18" s="134"/>
      <c r="I18" s="131"/>
      <c r="J18" s="705"/>
      <c r="K18" s="707"/>
      <c r="L18" s="131"/>
      <c r="M18" s="458" t="s">
        <v>132</v>
      </c>
      <c r="N18" s="293" t="s">
        <v>130</v>
      </c>
      <c r="O18" s="301" t="s">
        <v>131</v>
      </c>
      <c r="P18" s="1" t="str">
        <f t="shared" si="3"/>
        <v/>
      </c>
      <c r="Q18" s="1" t="str">
        <f t="shared" si="3"/>
        <v/>
      </c>
      <c r="R18" s="410" t="s">
        <v>2864</v>
      </c>
      <c r="S18" s="197" t="s">
        <v>2820</v>
      </c>
      <c r="T18" s="198">
        <v>1</v>
      </c>
      <c r="U18" s="79" t="s">
        <v>126</v>
      </c>
      <c r="V18" s="186">
        <v>0</v>
      </c>
      <c r="W18" s="412"/>
      <c r="X18" s="413">
        <v>0</v>
      </c>
      <c r="Y18" s="134"/>
      <c r="Z18" s="131"/>
      <c r="AA18" s="131"/>
      <c r="AB18" s="59"/>
      <c r="AC18" s="131"/>
      <c r="AD18" s="458" t="s">
        <v>132</v>
      </c>
      <c r="AE18" s="293" t="s">
        <v>130</v>
      </c>
      <c r="AF18" s="301" t="s">
        <v>131</v>
      </c>
      <c r="AG18" s="1" t="s">
        <v>2350</v>
      </c>
      <c r="AH18" s="1" t="s">
        <v>2350</v>
      </c>
    </row>
    <row r="19" spans="1:34" s="80" customFormat="1">
      <c r="A19" s="410" t="s">
        <v>2865</v>
      </c>
      <c r="B19" s="197" t="s">
        <v>2822</v>
      </c>
      <c r="C19" s="198">
        <v>1</v>
      </c>
      <c r="D19" s="79" t="s">
        <v>126</v>
      </c>
      <c r="E19" s="186">
        <v>0</v>
      </c>
      <c r="F19" s="412"/>
      <c r="G19" s="413">
        <f t="shared" si="4"/>
        <v>0</v>
      </c>
      <c r="H19" s="134"/>
      <c r="I19" s="131"/>
      <c r="J19" s="705"/>
      <c r="K19" s="707"/>
      <c r="L19" s="131"/>
      <c r="M19" s="458" t="s">
        <v>132</v>
      </c>
      <c r="N19" s="293" t="s">
        <v>130</v>
      </c>
      <c r="O19" s="301" t="s">
        <v>131</v>
      </c>
      <c r="P19" s="1" t="str">
        <f t="shared" si="3"/>
        <v/>
      </c>
      <c r="Q19" s="1" t="str">
        <f t="shared" si="3"/>
        <v/>
      </c>
      <c r="R19" s="410" t="s">
        <v>2865</v>
      </c>
      <c r="S19" s="197" t="s">
        <v>2822</v>
      </c>
      <c r="T19" s="198">
        <v>1</v>
      </c>
      <c r="U19" s="79" t="s">
        <v>126</v>
      </c>
      <c r="V19" s="186">
        <v>0</v>
      </c>
      <c r="W19" s="412"/>
      <c r="X19" s="413">
        <v>0</v>
      </c>
      <c r="Y19" s="134"/>
      <c r="Z19" s="131"/>
      <c r="AA19" s="131"/>
      <c r="AB19" s="59"/>
      <c r="AC19" s="131"/>
      <c r="AD19" s="458" t="s">
        <v>132</v>
      </c>
      <c r="AE19" s="293" t="s">
        <v>130</v>
      </c>
      <c r="AF19" s="301" t="s">
        <v>131</v>
      </c>
      <c r="AG19" s="1" t="s">
        <v>2350</v>
      </c>
      <c r="AH19" s="1" t="s">
        <v>2350</v>
      </c>
    </row>
    <row r="20" spans="1:34" s="311" customFormat="1">
      <c r="A20" s="191" t="s">
        <v>127</v>
      </c>
      <c r="B20" s="53" t="s">
        <v>133</v>
      </c>
      <c r="C20" s="54">
        <v>1</v>
      </c>
      <c r="D20" s="66" t="s">
        <v>134</v>
      </c>
      <c r="E20" s="228">
        <v>69.900000000000006</v>
      </c>
      <c r="F20" s="229">
        <f>rv_mba_mg</f>
        <v>0.17599999999999999</v>
      </c>
      <c r="G20" s="230">
        <f t="shared" ref="G20" si="5">E20-(E20*F20)</f>
        <v>57.597600000000007</v>
      </c>
      <c r="H20" s="131"/>
      <c r="I20" s="134"/>
      <c r="J20" s="706"/>
      <c r="K20" s="708"/>
      <c r="L20" s="134"/>
      <c r="M20" s="457" t="s">
        <v>135</v>
      </c>
      <c r="N20" s="305" t="s">
        <v>136</v>
      </c>
      <c r="O20" s="309" t="s">
        <v>137</v>
      </c>
      <c r="P20" s="84" t="str">
        <f t="shared" ref="P20:Q21" si="6">+IF($J20&lt;&gt;"",P$2*$J20,"")</f>
        <v/>
      </c>
      <c r="Q20" s="84" t="str">
        <f t="shared" si="6"/>
        <v/>
      </c>
      <c r="R20" s="191" t="s">
        <v>127</v>
      </c>
      <c r="S20" s="53" t="s">
        <v>133</v>
      </c>
      <c r="T20" s="54">
        <v>1</v>
      </c>
      <c r="U20" s="66" t="s">
        <v>134</v>
      </c>
      <c r="V20" s="228">
        <v>69.900000000000006</v>
      </c>
      <c r="W20" s="229">
        <v>0.17599999999999999</v>
      </c>
      <c r="X20" s="230">
        <v>57.597600000000007</v>
      </c>
      <c r="Y20" s="131"/>
      <c r="Z20" s="134"/>
      <c r="AA20" s="134"/>
      <c r="AB20" s="134"/>
      <c r="AC20" s="134"/>
      <c r="AD20" s="457" t="s">
        <v>135</v>
      </c>
      <c r="AE20" s="305" t="s">
        <v>136</v>
      </c>
      <c r="AF20" s="309" t="s">
        <v>137</v>
      </c>
      <c r="AG20" s="84" t="s">
        <v>2350</v>
      </c>
      <c r="AH20" s="84" t="s">
        <v>2350</v>
      </c>
    </row>
    <row r="21" spans="1:34" s="80" customFormat="1">
      <c r="A21" s="183" t="s">
        <v>138</v>
      </c>
      <c r="B21" s="64" t="s">
        <v>139</v>
      </c>
      <c r="C21" s="21">
        <v>1</v>
      </c>
      <c r="D21" s="27" t="s">
        <v>134</v>
      </c>
      <c r="E21" s="28"/>
      <c r="F21" s="18"/>
      <c r="G21" s="79">
        <v>18</v>
      </c>
      <c r="H21" s="22"/>
      <c r="I21" s="134"/>
      <c r="J21" s="134"/>
      <c r="K21" s="68"/>
      <c r="L21" s="52"/>
      <c r="M21" s="458" t="s">
        <v>135</v>
      </c>
      <c r="N21" s="293" t="s">
        <v>136</v>
      </c>
      <c r="O21" s="301" t="s">
        <v>137</v>
      </c>
      <c r="P21" s="1" t="str">
        <f t="shared" si="6"/>
        <v/>
      </c>
      <c r="Q21" s="1" t="str">
        <f t="shared" si="6"/>
        <v/>
      </c>
      <c r="R21" s="183" t="s">
        <v>138</v>
      </c>
      <c r="S21" s="64" t="s">
        <v>139</v>
      </c>
      <c r="T21" s="21">
        <v>1</v>
      </c>
      <c r="U21" s="27" t="s">
        <v>134</v>
      </c>
      <c r="V21" s="28"/>
      <c r="W21" s="18"/>
      <c r="X21" s="79">
        <v>18</v>
      </c>
      <c r="Y21" s="22"/>
      <c r="Z21" s="134"/>
      <c r="AA21" s="134"/>
      <c r="AB21" s="68"/>
      <c r="AC21" s="52"/>
      <c r="AD21" s="458" t="s">
        <v>135</v>
      </c>
      <c r="AE21" s="293" t="s">
        <v>136</v>
      </c>
      <c r="AF21" s="301" t="s">
        <v>137</v>
      </c>
      <c r="AG21" s="1" t="s">
        <v>2350</v>
      </c>
      <c r="AH21" s="1" t="s">
        <v>2350</v>
      </c>
    </row>
    <row r="22" spans="1:34" s="80" customFormat="1">
      <c r="A22" s="183" t="s">
        <v>140</v>
      </c>
      <c r="B22" s="64" t="s">
        <v>141</v>
      </c>
      <c r="C22" s="21">
        <v>1</v>
      </c>
      <c r="D22" s="27" t="s">
        <v>134</v>
      </c>
      <c r="E22" s="28"/>
      <c r="F22" s="18"/>
      <c r="G22" s="79">
        <v>26</v>
      </c>
      <c r="H22" s="22"/>
      <c r="I22" s="134"/>
      <c r="J22" s="134"/>
      <c r="K22" s="68"/>
      <c r="L22" s="52"/>
      <c r="M22" s="458" t="s">
        <v>135</v>
      </c>
      <c r="N22" s="293" t="s">
        <v>136</v>
      </c>
      <c r="O22" s="301" t="s">
        <v>137</v>
      </c>
      <c r="P22" s="1" t="str">
        <f t="shared" ref="P22:Q35" si="7">+IF($J22&lt;&gt;"",P$2*$J22,"")</f>
        <v/>
      </c>
      <c r="Q22" s="1" t="str">
        <f t="shared" si="7"/>
        <v/>
      </c>
      <c r="R22" s="183" t="s">
        <v>140</v>
      </c>
      <c r="S22" s="64" t="s">
        <v>141</v>
      </c>
      <c r="T22" s="21">
        <v>1</v>
      </c>
      <c r="U22" s="27" t="s">
        <v>134</v>
      </c>
      <c r="V22" s="28"/>
      <c r="W22" s="18"/>
      <c r="X22" s="79">
        <v>26</v>
      </c>
      <c r="Y22" s="22"/>
      <c r="Z22" s="134"/>
      <c r="AA22" s="134"/>
      <c r="AB22" s="68"/>
      <c r="AC22" s="52"/>
      <c r="AD22" s="458" t="s">
        <v>135</v>
      </c>
      <c r="AE22" s="293" t="s">
        <v>136</v>
      </c>
      <c r="AF22" s="301" t="s">
        <v>137</v>
      </c>
      <c r="AG22" s="1" t="s">
        <v>2350</v>
      </c>
      <c r="AH22" s="1" t="s">
        <v>2350</v>
      </c>
    </row>
    <row r="23" spans="1:34" s="80" customFormat="1">
      <c r="A23" s="183" t="s">
        <v>142</v>
      </c>
      <c r="B23" s="64" t="s">
        <v>143</v>
      </c>
      <c r="C23" s="21">
        <v>1</v>
      </c>
      <c r="D23" s="27" t="s">
        <v>134</v>
      </c>
      <c r="E23" s="28"/>
      <c r="F23" s="18"/>
      <c r="G23" s="79">
        <v>37</v>
      </c>
      <c r="H23" s="22"/>
      <c r="I23" s="134"/>
      <c r="J23" s="134"/>
      <c r="K23" s="68"/>
      <c r="L23" s="52"/>
      <c r="M23" s="458" t="s">
        <v>135</v>
      </c>
      <c r="N23" s="293" t="s">
        <v>136</v>
      </c>
      <c r="O23" s="301" t="s">
        <v>137</v>
      </c>
      <c r="P23" s="1" t="str">
        <f t="shared" si="7"/>
        <v/>
      </c>
      <c r="Q23" s="1" t="str">
        <f t="shared" si="7"/>
        <v/>
      </c>
      <c r="R23" s="183" t="s">
        <v>142</v>
      </c>
      <c r="S23" s="64" t="s">
        <v>143</v>
      </c>
      <c r="T23" s="21">
        <v>1</v>
      </c>
      <c r="U23" s="27" t="s">
        <v>134</v>
      </c>
      <c r="V23" s="28"/>
      <c r="W23" s="18"/>
      <c r="X23" s="79">
        <v>37</v>
      </c>
      <c r="Y23" s="22"/>
      <c r="Z23" s="134"/>
      <c r="AA23" s="134"/>
      <c r="AB23" s="68"/>
      <c r="AC23" s="52"/>
      <c r="AD23" s="458" t="s">
        <v>135</v>
      </c>
      <c r="AE23" s="293" t="s">
        <v>136</v>
      </c>
      <c r="AF23" s="301" t="s">
        <v>137</v>
      </c>
      <c r="AG23" s="1" t="s">
        <v>2350</v>
      </c>
      <c r="AH23" s="1" t="s">
        <v>2350</v>
      </c>
    </row>
    <row r="24" spans="1:34" s="80" customFormat="1">
      <c r="A24" s="183" t="s">
        <v>144</v>
      </c>
      <c r="B24" s="64" t="s">
        <v>145</v>
      </c>
      <c r="C24" s="21">
        <v>1</v>
      </c>
      <c r="D24" s="27" t="s">
        <v>134</v>
      </c>
      <c r="E24" s="28"/>
      <c r="F24" s="18"/>
      <c r="G24" s="79">
        <v>21</v>
      </c>
      <c r="H24" s="22"/>
      <c r="I24" s="134"/>
      <c r="J24" s="134"/>
      <c r="K24" s="68"/>
      <c r="L24" s="52"/>
      <c r="M24" s="458" t="s">
        <v>135</v>
      </c>
      <c r="N24" s="293" t="s">
        <v>136</v>
      </c>
      <c r="O24" s="301" t="s">
        <v>137</v>
      </c>
      <c r="P24" s="1" t="str">
        <f t="shared" si="7"/>
        <v/>
      </c>
      <c r="Q24" s="1" t="str">
        <f t="shared" si="7"/>
        <v/>
      </c>
      <c r="R24" s="183" t="s">
        <v>144</v>
      </c>
      <c r="S24" s="64" t="s">
        <v>145</v>
      </c>
      <c r="T24" s="21">
        <v>1</v>
      </c>
      <c r="U24" s="27" t="s">
        <v>134</v>
      </c>
      <c r="V24" s="28"/>
      <c r="W24" s="18"/>
      <c r="X24" s="79">
        <v>21</v>
      </c>
      <c r="Y24" s="22"/>
      <c r="Z24" s="134"/>
      <c r="AA24" s="134"/>
      <c r="AB24" s="68"/>
      <c r="AC24" s="52"/>
      <c r="AD24" s="458" t="s">
        <v>135</v>
      </c>
      <c r="AE24" s="293" t="s">
        <v>136</v>
      </c>
      <c r="AF24" s="301" t="s">
        <v>137</v>
      </c>
      <c r="AG24" s="1" t="s">
        <v>2350</v>
      </c>
      <c r="AH24" s="1" t="s">
        <v>2350</v>
      </c>
    </row>
    <row r="25" spans="1:34" s="80" customFormat="1">
      <c r="A25" s="183" t="s">
        <v>146</v>
      </c>
      <c r="B25" s="64" t="s">
        <v>147</v>
      </c>
      <c r="C25" s="21">
        <v>1</v>
      </c>
      <c r="D25" s="27" t="s">
        <v>134</v>
      </c>
      <c r="E25" s="28"/>
      <c r="F25" s="18"/>
      <c r="G25" s="79">
        <v>46</v>
      </c>
      <c r="H25" s="59"/>
      <c r="I25" s="134"/>
      <c r="J25" s="134"/>
      <c r="K25" s="68"/>
      <c r="L25" s="52"/>
      <c r="M25" s="458" t="s">
        <v>135</v>
      </c>
      <c r="N25" s="293" t="s">
        <v>136</v>
      </c>
      <c r="O25" s="301" t="s">
        <v>137</v>
      </c>
      <c r="P25" s="1" t="str">
        <f t="shared" si="7"/>
        <v/>
      </c>
      <c r="Q25" s="1" t="str">
        <f t="shared" si="7"/>
        <v/>
      </c>
      <c r="R25" s="183" t="s">
        <v>146</v>
      </c>
      <c r="S25" s="64" t="s">
        <v>147</v>
      </c>
      <c r="T25" s="21">
        <v>1</v>
      </c>
      <c r="U25" s="27" t="s">
        <v>134</v>
      </c>
      <c r="V25" s="28"/>
      <c r="W25" s="18"/>
      <c r="X25" s="79">
        <v>46</v>
      </c>
      <c r="Y25" s="59"/>
      <c r="Z25" s="134"/>
      <c r="AA25" s="134"/>
      <c r="AB25" s="68"/>
      <c r="AC25" s="52"/>
      <c r="AD25" s="458" t="s">
        <v>135</v>
      </c>
      <c r="AE25" s="293" t="s">
        <v>136</v>
      </c>
      <c r="AF25" s="301" t="s">
        <v>137</v>
      </c>
      <c r="AG25" s="1" t="s">
        <v>2350</v>
      </c>
      <c r="AH25" s="1" t="s">
        <v>2350</v>
      </c>
    </row>
    <row r="26" spans="1:34" s="80" customFormat="1">
      <c r="A26" s="183" t="s">
        <v>148</v>
      </c>
      <c r="B26" s="64" t="s">
        <v>149</v>
      </c>
      <c r="C26" s="21">
        <v>1</v>
      </c>
      <c r="D26" s="27" t="s">
        <v>134</v>
      </c>
      <c r="E26" s="28"/>
      <c r="F26" s="18"/>
      <c r="G26" s="79">
        <v>55</v>
      </c>
      <c r="H26" s="59"/>
      <c r="I26" s="134"/>
      <c r="J26" s="134"/>
      <c r="K26" s="68"/>
      <c r="L26" s="52"/>
      <c r="M26" s="458" t="s">
        <v>135</v>
      </c>
      <c r="N26" s="293" t="s">
        <v>136</v>
      </c>
      <c r="O26" s="301" t="s">
        <v>137</v>
      </c>
      <c r="P26" s="1" t="str">
        <f t="shared" si="7"/>
        <v/>
      </c>
      <c r="Q26" s="1" t="str">
        <f t="shared" si="7"/>
        <v/>
      </c>
      <c r="R26" s="183" t="s">
        <v>148</v>
      </c>
      <c r="S26" s="64" t="s">
        <v>149</v>
      </c>
      <c r="T26" s="21">
        <v>1</v>
      </c>
      <c r="U26" s="27" t="s">
        <v>134</v>
      </c>
      <c r="V26" s="28"/>
      <c r="W26" s="18"/>
      <c r="X26" s="79">
        <v>55</v>
      </c>
      <c r="Y26" s="59"/>
      <c r="Z26" s="134"/>
      <c r="AA26" s="134"/>
      <c r="AB26" s="68"/>
      <c r="AC26" s="52"/>
      <c r="AD26" s="458" t="s">
        <v>135</v>
      </c>
      <c r="AE26" s="293" t="s">
        <v>136</v>
      </c>
      <c r="AF26" s="301" t="s">
        <v>137</v>
      </c>
      <c r="AG26" s="1" t="s">
        <v>2350</v>
      </c>
      <c r="AH26" s="1" t="s">
        <v>2350</v>
      </c>
    </row>
    <row r="27" spans="1:34" s="80" customFormat="1">
      <c r="A27" s="183" t="s">
        <v>150</v>
      </c>
      <c r="B27" s="64" t="s">
        <v>151</v>
      </c>
      <c r="C27" s="21">
        <v>1</v>
      </c>
      <c r="D27" s="27" t="s">
        <v>134</v>
      </c>
      <c r="E27" s="28"/>
      <c r="F27" s="18"/>
      <c r="G27" s="79">
        <v>62</v>
      </c>
      <c r="H27" s="59"/>
      <c r="I27" s="134"/>
      <c r="J27" s="134"/>
      <c r="K27" s="68"/>
      <c r="L27" s="52"/>
      <c r="M27" s="458" t="s">
        <v>135</v>
      </c>
      <c r="N27" s="293" t="s">
        <v>136</v>
      </c>
      <c r="O27" s="301" t="s">
        <v>137</v>
      </c>
      <c r="P27" s="1" t="str">
        <f t="shared" si="7"/>
        <v/>
      </c>
      <c r="Q27" s="1" t="str">
        <f t="shared" si="7"/>
        <v/>
      </c>
      <c r="R27" s="183" t="s">
        <v>150</v>
      </c>
      <c r="S27" s="64" t="s">
        <v>151</v>
      </c>
      <c r="T27" s="21">
        <v>1</v>
      </c>
      <c r="U27" s="27" t="s">
        <v>134</v>
      </c>
      <c r="V27" s="28"/>
      <c r="W27" s="18"/>
      <c r="X27" s="79">
        <v>62</v>
      </c>
      <c r="Y27" s="59"/>
      <c r="Z27" s="134"/>
      <c r="AA27" s="134"/>
      <c r="AB27" s="68"/>
      <c r="AC27" s="52"/>
      <c r="AD27" s="458" t="s">
        <v>135</v>
      </c>
      <c r="AE27" s="293" t="s">
        <v>136</v>
      </c>
      <c r="AF27" s="301" t="s">
        <v>137</v>
      </c>
      <c r="AG27" s="1" t="s">
        <v>2350</v>
      </c>
      <c r="AH27" s="1" t="s">
        <v>2350</v>
      </c>
    </row>
    <row r="28" spans="1:34" s="80" customFormat="1">
      <c r="A28" s="183" t="s">
        <v>152</v>
      </c>
      <c r="B28" s="64" t="s">
        <v>153</v>
      </c>
      <c r="C28" s="21">
        <v>1</v>
      </c>
      <c r="D28" s="27" t="s">
        <v>134</v>
      </c>
      <c r="E28" s="28"/>
      <c r="F28" s="18"/>
      <c r="G28" s="79">
        <v>16</v>
      </c>
      <c r="H28" s="59"/>
      <c r="I28" s="134"/>
      <c r="J28" s="134"/>
      <c r="K28" s="68"/>
      <c r="L28" s="52"/>
      <c r="M28" s="458" t="s">
        <v>135</v>
      </c>
      <c r="N28" s="293" t="s">
        <v>136</v>
      </c>
      <c r="O28" s="301" t="s">
        <v>137</v>
      </c>
      <c r="P28" s="1" t="str">
        <f t="shared" si="7"/>
        <v/>
      </c>
      <c r="Q28" s="1" t="str">
        <f t="shared" si="7"/>
        <v/>
      </c>
      <c r="R28" s="183" t="s">
        <v>152</v>
      </c>
      <c r="S28" s="64" t="s">
        <v>153</v>
      </c>
      <c r="T28" s="21">
        <v>1</v>
      </c>
      <c r="U28" s="27" t="s">
        <v>134</v>
      </c>
      <c r="V28" s="28"/>
      <c r="W28" s="18"/>
      <c r="X28" s="79">
        <v>16</v>
      </c>
      <c r="Y28" s="59"/>
      <c r="Z28" s="134"/>
      <c r="AA28" s="134"/>
      <c r="AB28" s="68"/>
      <c r="AC28" s="52"/>
      <c r="AD28" s="458" t="s">
        <v>135</v>
      </c>
      <c r="AE28" s="293" t="s">
        <v>136</v>
      </c>
      <c r="AF28" s="301" t="s">
        <v>137</v>
      </c>
      <c r="AG28" s="1" t="s">
        <v>2350</v>
      </c>
      <c r="AH28" s="1" t="s">
        <v>2350</v>
      </c>
    </row>
    <row r="29" spans="1:34" s="80" customFormat="1">
      <c r="A29" s="183" t="s">
        <v>154</v>
      </c>
      <c r="B29" s="64" t="s">
        <v>155</v>
      </c>
      <c r="C29" s="21">
        <v>1</v>
      </c>
      <c r="D29" s="27" t="s">
        <v>134</v>
      </c>
      <c r="E29" s="28"/>
      <c r="F29" s="18"/>
      <c r="G29" s="79">
        <v>39</v>
      </c>
      <c r="H29" s="59"/>
      <c r="I29" s="134"/>
      <c r="J29" s="134"/>
      <c r="K29" s="68"/>
      <c r="L29" s="52"/>
      <c r="M29" s="458" t="s">
        <v>135</v>
      </c>
      <c r="N29" s="293" t="s">
        <v>136</v>
      </c>
      <c r="O29" s="301" t="s">
        <v>137</v>
      </c>
      <c r="P29" s="1" t="str">
        <f t="shared" si="7"/>
        <v/>
      </c>
      <c r="Q29" s="1" t="str">
        <f t="shared" si="7"/>
        <v/>
      </c>
      <c r="R29" s="183" t="s">
        <v>154</v>
      </c>
      <c r="S29" s="64" t="s">
        <v>155</v>
      </c>
      <c r="T29" s="21">
        <v>1</v>
      </c>
      <c r="U29" s="27" t="s">
        <v>134</v>
      </c>
      <c r="V29" s="28"/>
      <c r="W29" s="18"/>
      <c r="X29" s="79">
        <v>39</v>
      </c>
      <c r="Y29" s="59"/>
      <c r="Z29" s="134"/>
      <c r="AA29" s="134"/>
      <c r="AB29" s="68"/>
      <c r="AC29" s="52"/>
      <c r="AD29" s="458" t="s">
        <v>135</v>
      </c>
      <c r="AE29" s="293" t="s">
        <v>136</v>
      </c>
      <c r="AF29" s="301" t="s">
        <v>137</v>
      </c>
      <c r="AG29" s="1" t="s">
        <v>2350</v>
      </c>
      <c r="AH29" s="1" t="s">
        <v>2350</v>
      </c>
    </row>
    <row r="30" spans="1:34" s="80" customFormat="1">
      <c r="A30" s="183" t="s">
        <v>156</v>
      </c>
      <c r="B30" s="64" t="s">
        <v>157</v>
      </c>
      <c r="C30" s="21">
        <v>1</v>
      </c>
      <c r="D30" s="27" t="s">
        <v>134</v>
      </c>
      <c r="E30" s="28"/>
      <c r="F30" s="18"/>
      <c r="G30" s="79">
        <v>51</v>
      </c>
      <c r="H30" s="59"/>
      <c r="I30" s="134"/>
      <c r="J30" s="134"/>
      <c r="K30" s="68"/>
      <c r="L30" s="52"/>
      <c r="M30" s="458" t="s">
        <v>135</v>
      </c>
      <c r="N30" s="293" t="s">
        <v>136</v>
      </c>
      <c r="O30" s="301" t="s">
        <v>137</v>
      </c>
      <c r="P30" s="1" t="str">
        <f t="shared" si="7"/>
        <v/>
      </c>
      <c r="Q30" s="1" t="str">
        <f t="shared" si="7"/>
        <v/>
      </c>
      <c r="R30" s="183" t="s">
        <v>156</v>
      </c>
      <c r="S30" s="64" t="s">
        <v>157</v>
      </c>
      <c r="T30" s="21">
        <v>1</v>
      </c>
      <c r="U30" s="27" t="s">
        <v>134</v>
      </c>
      <c r="V30" s="28"/>
      <c r="W30" s="18"/>
      <c r="X30" s="79">
        <v>51</v>
      </c>
      <c r="Y30" s="59"/>
      <c r="Z30" s="134"/>
      <c r="AA30" s="134"/>
      <c r="AB30" s="68"/>
      <c r="AC30" s="52"/>
      <c r="AD30" s="458" t="s">
        <v>135</v>
      </c>
      <c r="AE30" s="293" t="s">
        <v>136</v>
      </c>
      <c r="AF30" s="301" t="s">
        <v>137</v>
      </c>
      <c r="AG30" s="1" t="s">
        <v>2350</v>
      </c>
      <c r="AH30" s="1" t="s">
        <v>2350</v>
      </c>
    </row>
    <row r="31" spans="1:34" s="80" customFormat="1">
      <c r="A31" s="183" t="s">
        <v>158</v>
      </c>
      <c r="B31" s="64" t="s">
        <v>159</v>
      </c>
      <c r="C31" s="21">
        <v>1</v>
      </c>
      <c r="D31" s="27" t="s">
        <v>134</v>
      </c>
      <c r="E31" s="28"/>
      <c r="F31" s="18"/>
      <c r="G31" s="79">
        <v>68</v>
      </c>
      <c r="H31" s="59"/>
      <c r="I31" s="134"/>
      <c r="J31" s="134"/>
      <c r="K31" s="68"/>
      <c r="L31" s="52"/>
      <c r="M31" s="458" t="s">
        <v>135</v>
      </c>
      <c r="N31" s="293" t="s">
        <v>136</v>
      </c>
      <c r="O31" s="301" t="s">
        <v>137</v>
      </c>
      <c r="P31" s="1" t="str">
        <f t="shared" si="7"/>
        <v/>
      </c>
      <c r="Q31" s="1" t="str">
        <f t="shared" si="7"/>
        <v/>
      </c>
      <c r="R31" s="183" t="s">
        <v>158</v>
      </c>
      <c r="S31" s="64" t="s">
        <v>159</v>
      </c>
      <c r="T31" s="21">
        <v>1</v>
      </c>
      <c r="U31" s="27" t="s">
        <v>134</v>
      </c>
      <c r="V31" s="28"/>
      <c r="W31" s="18"/>
      <c r="X31" s="79">
        <v>68</v>
      </c>
      <c r="Y31" s="59"/>
      <c r="Z31" s="134"/>
      <c r="AA31" s="134"/>
      <c r="AB31" s="68"/>
      <c r="AC31" s="52"/>
      <c r="AD31" s="458" t="s">
        <v>135</v>
      </c>
      <c r="AE31" s="293" t="s">
        <v>136</v>
      </c>
      <c r="AF31" s="301" t="s">
        <v>137</v>
      </c>
      <c r="AG31" s="1" t="s">
        <v>2350</v>
      </c>
      <c r="AH31" s="1" t="s">
        <v>2350</v>
      </c>
    </row>
    <row r="32" spans="1:34" s="70" customFormat="1">
      <c r="A32" s="184" t="s">
        <v>160</v>
      </c>
      <c r="B32" s="291" t="s">
        <v>161</v>
      </c>
      <c r="C32" s="89">
        <v>1</v>
      </c>
      <c r="D32" s="31" t="s">
        <v>134</v>
      </c>
      <c r="E32" s="32"/>
      <c r="F32" s="35"/>
      <c r="G32" s="91">
        <v>383</v>
      </c>
      <c r="H32" s="91"/>
      <c r="I32" s="90"/>
      <c r="J32" s="90"/>
      <c r="K32" s="32"/>
      <c r="L32" s="90"/>
      <c r="M32" s="458" t="s">
        <v>135</v>
      </c>
      <c r="N32" s="293" t="s">
        <v>136</v>
      </c>
      <c r="O32" s="399" t="s">
        <v>137</v>
      </c>
      <c r="P32" s="1" t="str">
        <f t="shared" si="7"/>
        <v/>
      </c>
      <c r="Q32" s="1" t="str">
        <f t="shared" si="7"/>
        <v/>
      </c>
      <c r="R32" s="184" t="s">
        <v>160</v>
      </c>
      <c r="S32" s="291" t="s">
        <v>161</v>
      </c>
      <c r="T32" s="89">
        <v>1</v>
      </c>
      <c r="U32" s="31" t="s">
        <v>134</v>
      </c>
      <c r="V32" s="32"/>
      <c r="W32" s="35"/>
      <c r="X32" s="91">
        <v>383</v>
      </c>
      <c r="Y32" s="91"/>
      <c r="Z32" s="90"/>
      <c r="AA32" s="90"/>
      <c r="AB32" s="32"/>
      <c r="AC32" s="90"/>
      <c r="AD32" s="458" t="s">
        <v>135</v>
      </c>
      <c r="AE32" s="293" t="s">
        <v>136</v>
      </c>
      <c r="AF32" s="399" t="s">
        <v>137</v>
      </c>
      <c r="AG32" s="1" t="s">
        <v>2350</v>
      </c>
      <c r="AH32" s="1" t="s">
        <v>2350</v>
      </c>
    </row>
    <row r="33" spans="1:34">
      <c r="A33" s="183" t="s">
        <v>162</v>
      </c>
      <c r="B33" s="64" t="s">
        <v>163</v>
      </c>
      <c r="C33" s="21">
        <v>1</v>
      </c>
      <c r="D33" s="27" t="s">
        <v>134</v>
      </c>
      <c r="E33" s="28"/>
      <c r="F33" s="18"/>
      <c r="G33" s="79">
        <v>509</v>
      </c>
      <c r="H33" s="79"/>
      <c r="I33" s="52"/>
      <c r="J33" s="52"/>
      <c r="K33" s="13"/>
      <c r="L33" s="52"/>
      <c r="M33" s="458" t="s">
        <v>135</v>
      </c>
      <c r="N33" s="293" t="s">
        <v>136</v>
      </c>
      <c r="O33" s="297" t="s">
        <v>137</v>
      </c>
      <c r="P33" s="1" t="str">
        <f t="shared" si="7"/>
        <v/>
      </c>
      <c r="Q33" s="1" t="str">
        <f t="shared" si="7"/>
        <v/>
      </c>
      <c r="R33" s="183" t="s">
        <v>162</v>
      </c>
      <c r="S33" s="64" t="s">
        <v>163</v>
      </c>
      <c r="T33" s="21">
        <v>1</v>
      </c>
      <c r="U33" s="27" t="s">
        <v>134</v>
      </c>
      <c r="V33" s="28"/>
      <c r="W33" s="18"/>
      <c r="X33" s="79">
        <v>509</v>
      </c>
      <c r="Y33" s="79"/>
      <c r="Z33" s="52"/>
      <c r="AA33" s="52"/>
      <c r="AB33" s="13"/>
      <c r="AC33" s="52"/>
      <c r="AD33" s="458" t="s">
        <v>135</v>
      </c>
      <c r="AE33" s="293" t="s">
        <v>136</v>
      </c>
      <c r="AF33" s="297" t="s">
        <v>137</v>
      </c>
      <c r="AG33" s="1" t="s">
        <v>2350</v>
      </c>
      <c r="AH33" s="1" t="s">
        <v>2350</v>
      </c>
    </row>
    <row r="34" spans="1:34">
      <c r="A34" s="183" t="s">
        <v>164</v>
      </c>
      <c r="B34" s="64" t="s">
        <v>165</v>
      </c>
      <c r="C34" s="21">
        <v>1</v>
      </c>
      <c r="D34" s="27" t="s">
        <v>134</v>
      </c>
      <c r="E34" s="28"/>
      <c r="F34" s="18"/>
      <c r="G34" s="22">
        <v>137.59</v>
      </c>
      <c r="H34" s="63"/>
      <c r="I34" s="52"/>
      <c r="J34" s="52"/>
      <c r="K34" s="13"/>
      <c r="L34" s="52"/>
      <c r="M34" s="458" t="s">
        <v>135</v>
      </c>
      <c r="N34" s="293" t="s">
        <v>136</v>
      </c>
      <c r="O34" s="297" t="s">
        <v>137</v>
      </c>
      <c r="P34" s="1" t="str">
        <f t="shared" si="7"/>
        <v/>
      </c>
      <c r="Q34" s="1" t="str">
        <f t="shared" si="7"/>
        <v/>
      </c>
      <c r="R34" s="183" t="s">
        <v>164</v>
      </c>
      <c r="S34" s="64" t="s">
        <v>165</v>
      </c>
      <c r="T34" s="21">
        <v>1</v>
      </c>
      <c r="U34" s="27" t="s">
        <v>134</v>
      </c>
      <c r="V34" s="28"/>
      <c r="W34" s="18"/>
      <c r="X34" s="22">
        <v>137.59</v>
      </c>
      <c r="Y34" s="63"/>
      <c r="Z34" s="52"/>
      <c r="AA34" s="52"/>
      <c r="AB34" s="13"/>
      <c r="AC34" s="52"/>
      <c r="AD34" s="458" t="s">
        <v>135</v>
      </c>
      <c r="AE34" s="293" t="s">
        <v>136</v>
      </c>
      <c r="AF34" s="297" t="s">
        <v>137</v>
      </c>
      <c r="AG34" s="1" t="s">
        <v>2350</v>
      </c>
      <c r="AH34" s="1" t="s">
        <v>2350</v>
      </c>
    </row>
    <row r="35" spans="1:34">
      <c r="A35" s="183" t="s">
        <v>166</v>
      </c>
      <c r="B35" s="64" t="s">
        <v>167</v>
      </c>
      <c r="C35" s="21">
        <v>1</v>
      </c>
      <c r="D35" s="27" t="s">
        <v>134</v>
      </c>
      <c r="E35" s="28"/>
      <c r="F35" s="18"/>
      <c r="G35" s="22">
        <v>221.92</v>
      </c>
      <c r="H35" s="63"/>
      <c r="I35" s="52"/>
      <c r="J35" s="52"/>
      <c r="K35" s="13"/>
      <c r="L35" s="52"/>
      <c r="M35" s="458" t="s">
        <v>135</v>
      </c>
      <c r="N35" s="293" t="s">
        <v>136</v>
      </c>
      <c r="O35" s="297" t="s">
        <v>137</v>
      </c>
      <c r="P35" s="1" t="str">
        <f t="shared" si="7"/>
        <v/>
      </c>
      <c r="Q35" s="1" t="str">
        <f t="shared" si="7"/>
        <v/>
      </c>
      <c r="R35" s="183" t="s">
        <v>166</v>
      </c>
      <c r="S35" s="64" t="s">
        <v>167</v>
      </c>
      <c r="T35" s="21">
        <v>1</v>
      </c>
      <c r="U35" s="27" t="s">
        <v>134</v>
      </c>
      <c r="V35" s="28"/>
      <c r="W35" s="18"/>
      <c r="X35" s="22">
        <v>221.92</v>
      </c>
      <c r="Y35" s="63"/>
      <c r="Z35" s="52"/>
      <c r="AA35" s="52"/>
      <c r="AB35" s="13"/>
      <c r="AC35" s="52"/>
      <c r="AD35" s="458" t="s">
        <v>135</v>
      </c>
      <c r="AE35" s="293" t="s">
        <v>136</v>
      </c>
      <c r="AF35" s="297" t="s">
        <v>137</v>
      </c>
      <c r="AG35" s="1" t="s">
        <v>2350</v>
      </c>
      <c r="AH35" s="1" t="s">
        <v>2350</v>
      </c>
    </row>
    <row r="36" spans="1:34" s="80" customFormat="1" ht="24" customHeight="1">
      <c r="A36" s="332" t="s">
        <v>2928</v>
      </c>
      <c r="B36" s="393" t="s">
        <v>124</v>
      </c>
      <c r="C36" s="324"/>
      <c r="D36" s="325"/>
      <c r="E36" s="325"/>
      <c r="F36" s="326"/>
      <c r="G36" s="327"/>
      <c r="H36" s="328"/>
      <c r="I36" s="329"/>
      <c r="J36" s="329"/>
      <c r="K36" s="327"/>
      <c r="L36" s="330"/>
      <c r="M36" s="456"/>
      <c r="N36" s="331"/>
      <c r="O36" s="330"/>
      <c r="P36" s="330"/>
      <c r="Q36" s="330"/>
      <c r="R36" s="332" t="s">
        <v>2928</v>
      </c>
      <c r="S36" s="393" t="s">
        <v>124</v>
      </c>
      <c r="T36" s="324"/>
      <c r="U36" s="325"/>
      <c r="V36" s="325"/>
      <c r="W36" s="326"/>
      <c r="X36" s="327"/>
      <c r="Y36" s="328"/>
      <c r="Z36" s="329"/>
      <c r="AA36" s="329"/>
      <c r="AB36" s="327"/>
      <c r="AC36" s="330"/>
      <c r="AD36" s="456"/>
      <c r="AE36" s="331"/>
      <c r="AF36" s="330"/>
      <c r="AG36" s="330"/>
      <c r="AH36" s="330"/>
    </row>
    <row r="37" spans="1:34">
      <c r="A37" s="700" t="s">
        <v>2807</v>
      </c>
      <c r="B37" s="49" t="s">
        <v>2808</v>
      </c>
      <c r="C37" s="50">
        <v>1</v>
      </c>
      <c r="D37" s="65" t="s">
        <v>126</v>
      </c>
      <c r="E37" s="65">
        <v>1079.18</v>
      </c>
      <c r="F37" s="61">
        <f>rv_mba_mg</f>
        <v>0.17599999999999999</v>
      </c>
      <c r="G37" s="65">
        <f t="shared" ref="G37:G52" si="8">E37-(E37*F37)</f>
        <v>889.24432000000002</v>
      </c>
      <c r="H37" s="702" t="s">
        <v>127</v>
      </c>
      <c r="I37" s="58">
        <v>57.6</v>
      </c>
      <c r="J37" s="760">
        <f>G37+I37</f>
        <v>946.84432000000004</v>
      </c>
      <c r="K37" s="761" t="s">
        <v>128</v>
      </c>
      <c r="L37" s="760">
        <v>3.32</v>
      </c>
      <c r="M37" s="457" t="s">
        <v>169</v>
      </c>
      <c r="N37" s="305" t="s">
        <v>130</v>
      </c>
      <c r="O37" s="309" t="s">
        <v>131</v>
      </c>
      <c r="P37" s="84">
        <f t="shared" ref="P37:Q37" si="9">+IF($J37&lt;&gt;"",P$2*$J37,"")</f>
        <v>190.60804393571138</v>
      </c>
      <c r="Q37" s="84">
        <f t="shared" si="9"/>
        <v>99.060231532148791</v>
      </c>
      <c r="R37" s="700" t="s">
        <v>2807</v>
      </c>
      <c r="S37" s="49" t="s">
        <v>2808</v>
      </c>
      <c r="T37" s="50">
        <v>1</v>
      </c>
      <c r="U37" s="65" t="s">
        <v>126</v>
      </c>
      <c r="V37" s="57">
        <v>1082.2</v>
      </c>
      <c r="W37" s="61">
        <v>0.17599999999999999</v>
      </c>
      <c r="X37" s="701">
        <v>891.7328</v>
      </c>
      <c r="Y37" s="702" t="s">
        <v>127</v>
      </c>
      <c r="Z37" s="58">
        <v>57.6</v>
      </c>
      <c r="AA37" s="58">
        <v>949.33280000000002</v>
      </c>
      <c r="AB37" s="58" t="s">
        <v>128</v>
      </c>
      <c r="AC37" s="58">
        <v>0.3</v>
      </c>
      <c r="AD37" s="457" t="s">
        <v>169</v>
      </c>
      <c r="AE37" s="305" t="s">
        <v>130</v>
      </c>
      <c r="AF37" s="309" t="s">
        <v>131</v>
      </c>
      <c r="AG37" s="84">
        <v>191.10899672716198</v>
      </c>
      <c r="AH37" s="84">
        <v>99.320579933418301</v>
      </c>
    </row>
    <row r="38" spans="1:34">
      <c r="A38" s="409" t="s">
        <v>2811</v>
      </c>
      <c r="B38" s="197" t="s">
        <v>2826</v>
      </c>
      <c r="C38" s="198">
        <v>1</v>
      </c>
      <c r="D38" s="79" t="s">
        <v>126</v>
      </c>
      <c r="E38" s="186">
        <v>95.83</v>
      </c>
      <c r="F38" s="412">
        <f t="shared" ref="F38:F48" si="10">rv_mba_mg_cto</f>
        <v>0.17599999999999999</v>
      </c>
      <c r="G38" s="413">
        <f t="shared" si="8"/>
        <v>78.963920000000002</v>
      </c>
      <c r="H38" s="134"/>
      <c r="I38" s="134"/>
      <c r="J38" s="762"/>
      <c r="K38" s="763"/>
      <c r="L38" s="760"/>
      <c r="M38" s="458" t="s">
        <v>169</v>
      </c>
      <c r="N38" s="293" t="s">
        <v>130</v>
      </c>
      <c r="O38" s="301" t="s">
        <v>131</v>
      </c>
      <c r="P38" s="1"/>
      <c r="Q38" s="1"/>
      <c r="R38" s="409" t="s">
        <v>2811</v>
      </c>
      <c r="S38" s="197" t="s">
        <v>2826</v>
      </c>
      <c r="T38" s="198">
        <v>1</v>
      </c>
      <c r="U38" s="79" t="s">
        <v>126</v>
      </c>
      <c r="V38" s="186">
        <v>95.83</v>
      </c>
      <c r="W38" s="412">
        <v>0.17599999999999999</v>
      </c>
      <c r="X38" s="413">
        <v>78.963920000000002</v>
      </c>
      <c r="Y38" s="134"/>
      <c r="Z38" s="134"/>
      <c r="AA38" s="134"/>
      <c r="AB38" s="68"/>
      <c r="AC38" s="134"/>
      <c r="AD38" s="458" t="s">
        <v>169</v>
      </c>
      <c r="AE38" s="293" t="s">
        <v>130</v>
      </c>
      <c r="AF38" s="301" t="s">
        <v>131</v>
      </c>
      <c r="AG38" s="1"/>
      <c r="AH38" s="1"/>
    </row>
    <row r="39" spans="1:34">
      <c r="A39" s="409" t="s">
        <v>2812</v>
      </c>
      <c r="B39" s="197" t="s">
        <v>2827</v>
      </c>
      <c r="C39" s="198">
        <v>1</v>
      </c>
      <c r="D39" s="79" t="s">
        <v>126</v>
      </c>
      <c r="E39" s="186">
        <v>191.67</v>
      </c>
      <c r="F39" s="412">
        <f t="shared" si="10"/>
        <v>0.17599999999999999</v>
      </c>
      <c r="G39" s="413">
        <f t="shared" si="8"/>
        <v>157.93608</v>
      </c>
      <c r="H39" s="134"/>
      <c r="I39" s="134"/>
      <c r="J39" s="762"/>
      <c r="K39" s="763"/>
      <c r="L39" s="760"/>
      <c r="M39" s="458" t="s">
        <v>169</v>
      </c>
      <c r="N39" s="293" t="s">
        <v>130</v>
      </c>
      <c r="O39" s="301" t="s">
        <v>131</v>
      </c>
      <c r="P39" s="1"/>
      <c r="Q39" s="1"/>
      <c r="R39" s="409" t="s">
        <v>2812</v>
      </c>
      <c r="S39" s="197" t="s">
        <v>2827</v>
      </c>
      <c r="T39" s="198">
        <v>1</v>
      </c>
      <c r="U39" s="79" t="s">
        <v>126</v>
      </c>
      <c r="V39" s="186">
        <v>191.67</v>
      </c>
      <c r="W39" s="412">
        <v>0.17599999999999999</v>
      </c>
      <c r="X39" s="413">
        <v>157.93608</v>
      </c>
      <c r="Y39" s="134"/>
      <c r="Z39" s="134"/>
      <c r="AA39" s="134"/>
      <c r="AB39" s="68"/>
      <c r="AC39" s="134"/>
      <c r="AD39" s="458" t="s">
        <v>169</v>
      </c>
      <c r="AE39" s="293" t="s">
        <v>130</v>
      </c>
      <c r="AF39" s="301" t="s">
        <v>131</v>
      </c>
      <c r="AG39" s="1"/>
      <c r="AH39" s="1"/>
    </row>
    <row r="40" spans="1:34">
      <c r="A40" s="409" t="s">
        <v>2813</v>
      </c>
      <c r="B40" s="197" t="s">
        <v>2828</v>
      </c>
      <c r="C40" s="198">
        <v>1</v>
      </c>
      <c r="D40" s="79" t="s">
        <v>126</v>
      </c>
      <c r="E40" s="186">
        <v>16.670000000000002</v>
      </c>
      <c r="F40" s="412">
        <f t="shared" si="10"/>
        <v>0.17599999999999999</v>
      </c>
      <c r="G40" s="413">
        <f t="shared" si="8"/>
        <v>13.736080000000001</v>
      </c>
      <c r="H40" s="134"/>
      <c r="I40" s="131"/>
      <c r="J40" s="764"/>
      <c r="K40" s="765"/>
      <c r="L40" s="760"/>
      <c r="M40" s="458" t="s">
        <v>169</v>
      </c>
      <c r="N40" s="293" t="s">
        <v>130</v>
      </c>
      <c r="O40" s="301" t="s">
        <v>131</v>
      </c>
      <c r="P40" s="1" t="str">
        <f t="shared" ref="P40:Q52" si="11">+IF($J40&lt;&gt;"",P$2*$J40,"")</f>
        <v/>
      </c>
      <c r="Q40" s="1" t="str">
        <f t="shared" si="11"/>
        <v/>
      </c>
      <c r="R40" s="409" t="s">
        <v>2813</v>
      </c>
      <c r="S40" s="197" t="s">
        <v>2828</v>
      </c>
      <c r="T40" s="198">
        <v>1</v>
      </c>
      <c r="U40" s="79" t="s">
        <v>126</v>
      </c>
      <c r="V40" s="186">
        <v>16.670000000000002</v>
      </c>
      <c r="W40" s="412">
        <v>0.17599999999999999</v>
      </c>
      <c r="X40" s="413">
        <v>13.736080000000001</v>
      </c>
      <c r="Y40" s="134"/>
      <c r="Z40" s="131"/>
      <c r="AA40" s="131"/>
      <c r="AB40" s="59"/>
      <c r="AC40" s="131"/>
      <c r="AD40" s="458" t="s">
        <v>169</v>
      </c>
      <c r="AE40" s="293" t="s">
        <v>130</v>
      </c>
      <c r="AF40" s="301" t="s">
        <v>131</v>
      </c>
      <c r="AG40" s="1" t="s">
        <v>2350</v>
      </c>
      <c r="AH40" s="1" t="s">
        <v>2350</v>
      </c>
    </row>
    <row r="41" spans="1:34">
      <c r="A41" s="409" t="s">
        <v>2814</v>
      </c>
      <c r="B41" s="197" t="s">
        <v>2829</v>
      </c>
      <c r="C41" s="198">
        <v>1</v>
      </c>
      <c r="D41" s="79" t="s">
        <v>126</v>
      </c>
      <c r="E41" s="186">
        <v>16.670000000000002</v>
      </c>
      <c r="F41" s="412">
        <f t="shared" si="10"/>
        <v>0.17599999999999999</v>
      </c>
      <c r="G41" s="413">
        <f t="shared" si="8"/>
        <v>13.736080000000001</v>
      </c>
      <c r="H41" s="134"/>
      <c r="I41" s="134"/>
      <c r="J41" s="762"/>
      <c r="K41" s="763"/>
      <c r="L41" s="760"/>
      <c r="M41" s="458" t="s">
        <v>169</v>
      </c>
      <c r="N41" s="293" t="s">
        <v>130</v>
      </c>
      <c r="O41" s="301" t="s">
        <v>131</v>
      </c>
      <c r="P41" s="1" t="str">
        <f t="shared" si="11"/>
        <v/>
      </c>
      <c r="Q41" s="1" t="str">
        <f t="shared" si="11"/>
        <v/>
      </c>
      <c r="R41" s="409" t="s">
        <v>2814</v>
      </c>
      <c r="S41" s="197" t="s">
        <v>2829</v>
      </c>
      <c r="T41" s="198">
        <v>1</v>
      </c>
      <c r="U41" s="79" t="s">
        <v>126</v>
      </c>
      <c r="V41" s="186">
        <v>16.670000000000002</v>
      </c>
      <c r="W41" s="412">
        <v>0.17599999999999999</v>
      </c>
      <c r="X41" s="413">
        <v>13.736080000000001</v>
      </c>
      <c r="Y41" s="134"/>
      <c r="Z41" s="134"/>
      <c r="AA41" s="134"/>
      <c r="AB41" s="68"/>
      <c r="AC41" s="134"/>
      <c r="AD41" s="458" t="s">
        <v>169</v>
      </c>
      <c r="AE41" s="293" t="s">
        <v>130</v>
      </c>
      <c r="AF41" s="301" t="s">
        <v>131</v>
      </c>
      <c r="AG41" s="1" t="s">
        <v>2350</v>
      </c>
      <c r="AH41" s="1" t="s">
        <v>2350</v>
      </c>
    </row>
    <row r="42" spans="1:34">
      <c r="A42" s="409" t="s">
        <v>2816</v>
      </c>
      <c r="B42" s="197" t="s">
        <v>2831</v>
      </c>
      <c r="C42" s="198">
        <v>1</v>
      </c>
      <c r="D42" s="79" t="s">
        <v>126</v>
      </c>
      <c r="E42" s="186">
        <v>0</v>
      </c>
      <c r="F42" s="412"/>
      <c r="G42" s="413">
        <f>E42-(E42*F42)</f>
        <v>0</v>
      </c>
      <c r="H42" s="134"/>
      <c r="I42" s="134"/>
      <c r="J42" s="762"/>
      <c r="K42" s="763"/>
      <c r="L42" s="760"/>
      <c r="M42" s="503" t="s">
        <v>169</v>
      </c>
      <c r="N42" s="293" t="s">
        <v>130</v>
      </c>
      <c r="O42" s="301" t="s">
        <v>131</v>
      </c>
      <c r="P42" s="1" t="str">
        <f>+IF($J42&lt;&gt;"",P$2*$J42,"")</f>
        <v/>
      </c>
      <c r="Q42" s="1" t="str">
        <f>+IF($J42&lt;&gt;"",Q$2*$J42,"")</f>
        <v/>
      </c>
      <c r="R42" s="409" t="s">
        <v>2816</v>
      </c>
      <c r="S42" s="197" t="s">
        <v>2831</v>
      </c>
      <c r="T42" s="198">
        <v>1</v>
      </c>
      <c r="U42" s="79" t="s">
        <v>126</v>
      </c>
      <c r="V42" s="186">
        <v>0</v>
      </c>
      <c r="W42" s="412"/>
      <c r="X42" s="413">
        <v>0</v>
      </c>
      <c r="Y42" s="134"/>
      <c r="Z42" s="134"/>
      <c r="AA42" s="134"/>
      <c r="AB42" s="68"/>
      <c r="AC42" s="134"/>
      <c r="AD42" s="503" t="s">
        <v>169</v>
      </c>
      <c r="AE42" s="293" t="s">
        <v>130</v>
      </c>
      <c r="AF42" s="301" t="s">
        <v>131</v>
      </c>
      <c r="AG42" s="1" t="s">
        <v>2350</v>
      </c>
      <c r="AH42" s="1" t="s">
        <v>2350</v>
      </c>
    </row>
    <row r="43" spans="1:34">
      <c r="A43" s="409" t="s">
        <v>2815</v>
      </c>
      <c r="B43" s="197" t="s">
        <v>2830</v>
      </c>
      <c r="C43" s="198">
        <v>1</v>
      </c>
      <c r="D43" s="79" t="s">
        <v>126</v>
      </c>
      <c r="E43" s="186">
        <v>0</v>
      </c>
      <c r="F43" s="412"/>
      <c r="G43" s="413">
        <f t="shared" si="8"/>
        <v>0</v>
      </c>
      <c r="H43" s="134"/>
      <c r="I43" s="134"/>
      <c r="J43" s="762"/>
      <c r="K43" s="763"/>
      <c r="L43" s="760"/>
      <c r="M43" s="458" t="s">
        <v>169</v>
      </c>
      <c r="N43" s="293" t="s">
        <v>130</v>
      </c>
      <c r="O43" s="301" t="s">
        <v>131</v>
      </c>
      <c r="P43" s="1" t="str">
        <f t="shared" si="11"/>
        <v/>
      </c>
      <c r="Q43" s="1" t="str">
        <f t="shared" si="11"/>
        <v/>
      </c>
      <c r="R43" s="409" t="s">
        <v>2815</v>
      </c>
      <c r="S43" s="197" t="s">
        <v>2830</v>
      </c>
      <c r="T43" s="198">
        <v>1</v>
      </c>
      <c r="U43" s="79" t="s">
        <v>126</v>
      </c>
      <c r="V43" s="186">
        <v>0</v>
      </c>
      <c r="W43" s="412"/>
      <c r="X43" s="413">
        <v>0</v>
      </c>
      <c r="Y43" s="134"/>
      <c r="Z43" s="134"/>
      <c r="AA43" s="134"/>
      <c r="AB43" s="68"/>
      <c r="AC43" s="134"/>
      <c r="AD43" s="458" t="s">
        <v>169</v>
      </c>
      <c r="AE43" s="293" t="s">
        <v>130</v>
      </c>
      <c r="AF43" s="301" t="s">
        <v>131</v>
      </c>
      <c r="AG43" s="1" t="s">
        <v>2350</v>
      </c>
      <c r="AH43" s="1" t="s">
        <v>2350</v>
      </c>
    </row>
    <row r="44" spans="1:34">
      <c r="A44" s="409" t="s">
        <v>2817</v>
      </c>
      <c r="B44" s="197" t="s">
        <v>2832</v>
      </c>
      <c r="C44" s="198">
        <v>1</v>
      </c>
      <c r="D44" s="79" t="s">
        <v>126</v>
      </c>
      <c r="E44" s="186">
        <v>0</v>
      </c>
      <c r="F44" s="412"/>
      <c r="G44" s="413">
        <f t="shared" si="8"/>
        <v>0</v>
      </c>
      <c r="H44" s="134"/>
      <c r="I44" s="134"/>
      <c r="J44" s="762"/>
      <c r="K44" s="763"/>
      <c r="L44" s="760"/>
      <c r="M44" s="503" t="s">
        <v>169</v>
      </c>
      <c r="N44" s="293" t="s">
        <v>130</v>
      </c>
      <c r="O44" s="301" t="s">
        <v>131</v>
      </c>
      <c r="P44" s="1" t="str">
        <f t="shared" si="11"/>
        <v/>
      </c>
      <c r="Q44" s="1" t="str">
        <f t="shared" si="11"/>
        <v/>
      </c>
      <c r="R44" s="409" t="s">
        <v>2817</v>
      </c>
      <c r="S44" s="197" t="s">
        <v>2832</v>
      </c>
      <c r="T44" s="198">
        <v>1</v>
      </c>
      <c r="U44" s="79" t="s">
        <v>126</v>
      </c>
      <c r="V44" s="186">
        <v>0</v>
      </c>
      <c r="W44" s="412"/>
      <c r="X44" s="413">
        <v>0</v>
      </c>
      <c r="Y44" s="134"/>
      <c r="Z44" s="134"/>
      <c r="AA44" s="134"/>
      <c r="AB44" s="68"/>
      <c r="AC44" s="134"/>
      <c r="AD44" s="503" t="s">
        <v>169</v>
      </c>
      <c r="AE44" s="293" t="s">
        <v>130</v>
      </c>
      <c r="AF44" s="301" t="s">
        <v>131</v>
      </c>
      <c r="AG44" s="1" t="s">
        <v>2350</v>
      </c>
      <c r="AH44" s="1" t="s">
        <v>2350</v>
      </c>
    </row>
    <row r="45" spans="1:34">
      <c r="A45" s="700" t="s">
        <v>2941</v>
      </c>
      <c r="B45" s="49" t="s">
        <v>2942</v>
      </c>
      <c r="C45" s="50">
        <v>1</v>
      </c>
      <c r="D45" s="65" t="s">
        <v>126</v>
      </c>
      <c r="E45" s="65">
        <v>1270.8499999999999</v>
      </c>
      <c r="F45" s="61">
        <f>rv_mba_mg</f>
        <v>0.17599999999999999</v>
      </c>
      <c r="G45" s="65">
        <f t="shared" si="8"/>
        <v>1047.1804</v>
      </c>
      <c r="H45" s="702" t="s">
        <v>127</v>
      </c>
      <c r="I45" s="58">
        <v>57.6</v>
      </c>
      <c r="J45" s="760">
        <f>G45+I45</f>
        <v>1104.7803999999999</v>
      </c>
      <c r="K45" s="761" t="s">
        <v>128</v>
      </c>
      <c r="L45" s="760">
        <v>3.32</v>
      </c>
      <c r="M45" s="457" t="s">
        <v>170</v>
      </c>
      <c r="N45" s="305" t="s">
        <v>130</v>
      </c>
      <c r="O45" s="309" t="s">
        <v>131</v>
      </c>
      <c r="P45" s="84">
        <f t="shared" si="11"/>
        <v>222.40195835204753</v>
      </c>
      <c r="Q45" s="84">
        <f t="shared" si="11"/>
        <v>115.58373420477395</v>
      </c>
      <c r="R45" s="700" t="s">
        <v>2941</v>
      </c>
      <c r="S45" s="49" t="s">
        <v>2942</v>
      </c>
      <c r="T45" s="50">
        <v>1</v>
      </c>
      <c r="U45" s="65" t="s">
        <v>126</v>
      </c>
      <c r="V45" s="57">
        <v>1273.75</v>
      </c>
      <c r="W45" s="61">
        <v>0.17599999999999999</v>
      </c>
      <c r="X45" s="701">
        <v>1049.57</v>
      </c>
      <c r="Y45" s="702" t="s">
        <v>127</v>
      </c>
      <c r="Z45" s="58">
        <v>57.6</v>
      </c>
      <c r="AA45" s="58">
        <v>1107.1699999999998</v>
      </c>
      <c r="AB45" s="58" t="s">
        <v>128</v>
      </c>
      <c r="AC45" s="58">
        <v>0.3</v>
      </c>
      <c r="AD45" s="457" t="s">
        <v>170</v>
      </c>
      <c r="AE45" s="305" t="s">
        <v>130</v>
      </c>
      <c r="AF45" s="309" t="s">
        <v>131</v>
      </c>
      <c r="AG45" s="84">
        <v>222.8830057345663</v>
      </c>
      <c r="AH45" s="84">
        <v>115.83373763645659</v>
      </c>
    </row>
    <row r="46" spans="1:34">
      <c r="A46" s="409" t="s">
        <v>2943</v>
      </c>
      <c r="B46" s="197" t="s">
        <v>2944</v>
      </c>
      <c r="C46" s="198">
        <v>1</v>
      </c>
      <c r="D46" s="79" t="s">
        <v>126</v>
      </c>
      <c r="E46" s="186">
        <v>191.67</v>
      </c>
      <c r="F46" s="412">
        <f t="shared" si="10"/>
        <v>0.17599999999999999</v>
      </c>
      <c r="G46" s="413">
        <f t="shared" ref="G46" si="12">E46-(E46*F46)</f>
        <v>157.93608</v>
      </c>
      <c r="H46" s="134"/>
      <c r="I46" s="131"/>
      <c r="J46" s="760"/>
      <c r="K46" s="765"/>
      <c r="L46" s="764"/>
      <c r="M46" s="458"/>
      <c r="N46" s="293"/>
      <c r="O46" s="301"/>
      <c r="P46" s="1"/>
      <c r="Q46" s="1"/>
      <c r="R46" s="409" t="s">
        <v>2943</v>
      </c>
      <c r="S46" s="197" t="s">
        <v>2944</v>
      </c>
      <c r="T46" s="198">
        <v>1</v>
      </c>
      <c r="U46" s="79" t="s">
        <v>126</v>
      </c>
      <c r="V46" s="186">
        <v>191.67</v>
      </c>
      <c r="W46" s="412">
        <v>0.17599999999999999</v>
      </c>
      <c r="X46" s="413">
        <v>157.93608</v>
      </c>
      <c r="Y46" s="134"/>
      <c r="Z46" s="131"/>
      <c r="AA46" s="131"/>
      <c r="AB46" s="59"/>
      <c r="AC46" s="131"/>
      <c r="AD46" s="458"/>
      <c r="AE46" s="293"/>
      <c r="AF46" s="301"/>
      <c r="AG46" s="1"/>
      <c r="AH46" s="1"/>
    </row>
    <row r="47" spans="1:34">
      <c r="A47" s="409" t="s">
        <v>2945</v>
      </c>
      <c r="B47" s="197" t="s">
        <v>2833</v>
      </c>
      <c r="C47" s="198">
        <v>1</v>
      </c>
      <c r="D47" s="79" t="s">
        <v>126</v>
      </c>
      <c r="E47" s="186">
        <v>191.67</v>
      </c>
      <c r="F47" s="412">
        <f t="shared" si="10"/>
        <v>0.17599999999999999</v>
      </c>
      <c r="G47" s="413">
        <f t="shared" si="8"/>
        <v>157.93608</v>
      </c>
      <c r="H47" s="134"/>
      <c r="I47" s="131"/>
      <c r="J47" s="760"/>
      <c r="K47" s="765"/>
      <c r="L47" s="764"/>
      <c r="M47" s="458" t="s">
        <v>170</v>
      </c>
      <c r="N47" s="293" t="s">
        <v>130</v>
      </c>
      <c r="O47" s="301" t="s">
        <v>131</v>
      </c>
      <c r="P47" s="1" t="str">
        <f t="shared" si="11"/>
        <v/>
      </c>
      <c r="Q47" s="1" t="str">
        <f t="shared" si="11"/>
        <v/>
      </c>
      <c r="R47" s="409" t="s">
        <v>2945</v>
      </c>
      <c r="S47" s="197" t="s">
        <v>2833</v>
      </c>
      <c r="T47" s="198">
        <v>1</v>
      </c>
      <c r="U47" s="79" t="s">
        <v>126</v>
      </c>
      <c r="V47" s="186">
        <v>191.67</v>
      </c>
      <c r="W47" s="412">
        <v>0.17599999999999999</v>
      </c>
      <c r="X47" s="413">
        <v>157.93608</v>
      </c>
      <c r="Y47" s="134"/>
      <c r="Z47" s="131"/>
      <c r="AA47" s="131"/>
      <c r="AB47" s="59"/>
      <c r="AC47" s="131"/>
      <c r="AD47" s="458" t="s">
        <v>170</v>
      </c>
      <c r="AE47" s="293" t="s">
        <v>130</v>
      </c>
      <c r="AF47" s="301" t="s">
        <v>131</v>
      </c>
      <c r="AG47" s="1" t="s">
        <v>2350</v>
      </c>
      <c r="AH47" s="1" t="s">
        <v>2350</v>
      </c>
    </row>
    <row r="48" spans="1:34">
      <c r="A48" s="409" t="s">
        <v>2946</v>
      </c>
      <c r="B48" s="197" t="s">
        <v>2834</v>
      </c>
      <c r="C48" s="198">
        <v>1</v>
      </c>
      <c r="D48" s="79" t="s">
        <v>126</v>
      </c>
      <c r="E48" s="186">
        <v>575</v>
      </c>
      <c r="F48" s="412">
        <f t="shared" si="10"/>
        <v>0.17599999999999999</v>
      </c>
      <c r="G48" s="413">
        <f t="shared" si="8"/>
        <v>473.8</v>
      </c>
      <c r="H48" s="134"/>
      <c r="I48" s="131"/>
      <c r="J48" s="760"/>
      <c r="K48" s="59"/>
      <c r="L48" s="131"/>
      <c r="M48" s="458" t="s">
        <v>170</v>
      </c>
      <c r="N48" s="293" t="s">
        <v>130</v>
      </c>
      <c r="O48" s="301" t="s">
        <v>131</v>
      </c>
      <c r="P48" s="1" t="str">
        <f t="shared" si="11"/>
        <v/>
      </c>
      <c r="Q48" s="1" t="str">
        <f t="shared" si="11"/>
        <v/>
      </c>
      <c r="R48" s="409" t="s">
        <v>2946</v>
      </c>
      <c r="S48" s="197" t="s">
        <v>2834</v>
      </c>
      <c r="T48" s="198">
        <v>1</v>
      </c>
      <c r="U48" s="79" t="s">
        <v>126</v>
      </c>
      <c r="V48" s="186">
        <v>575</v>
      </c>
      <c r="W48" s="412">
        <v>0.17599999999999999</v>
      </c>
      <c r="X48" s="413">
        <v>473.8</v>
      </c>
      <c r="Y48" s="134"/>
      <c r="Z48" s="131"/>
      <c r="AA48" s="131"/>
      <c r="AB48" s="59"/>
      <c r="AC48" s="131"/>
      <c r="AD48" s="458" t="s">
        <v>170</v>
      </c>
      <c r="AE48" s="293" t="s">
        <v>130</v>
      </c>
      <c r="AF48" s="301" t="s">
        <v>131</v>
      </c>
      <c r="AG48" s="1" t="s">
        <v>2350</v>
      </c>
      <c r="AH48" s="1" t="s">
        <v>2350</v>
      </c>
    </row>
    <row r="49" spans="1:34">
      <c r="A49" s="409" t="s">
        <v>2947</v>
      </c>
      <c r="B49" s="197" t="s">
        <v>2829</v>
      </c>
      <c r="C49" s="198">
        <v>1</v>
      </c>
      <c r="D49" s="79" t="s">
        <v>126</v>
      </c>
      <c r="E49" s="186">
        <v>0</v>
      </c>
      <c r="F49" s="412"/>
      <c r="G49" s="413">
        <f t="shared" si="8"/>
        <v>0</v>
      </c>
      <c r="H49" s="134"/>
      <c r="I49" s="131"/>
      <c r="J49" s="760"/>
      <c r="K49" s="59"/>
      <c r="L49" s="131"/>
      <c r="M49" s="458" t="s">
        <v>170</v>
      </c>
      <c r="N49" s="293" t="s">
        <v>130</v>
      </c>
      <c r="O49" s="301" t="s">
        <v>131</v>
      </c>
      <c r="P49" s="1" t="str">
        <f t="shared" si="11"/>
        <v/>
      </c>
      <c r="Q49" s="1" t="str">
        <f t="shared" si="11"/>
        <v/>
      </c>
      <c r="R49" s="409" t="s">
        <v>2947</v>
      </c>
      <c r="S49" s="197" t="s">
        <v>2829</v>
      </c>
      <c r="T49" s="198">
        <v>1</v>
      </c>
      <c r="U49" s="79" t="s">
        <v>126</v>
      </c>
      <c r="V49" s="186">
        <v>0</v>
      </c>
      <c r="W49" s="412"/>
      <c r="X49" s="413">
        <v>0</v>
      </c>
      <c r="Y49" s="134"/>
      <c r="Z49" s="131"/>
      <c r="AA49" s="131"/>
      <c r="AB49" s="59"/>
      <c r="AC49" s="131"/>
      <c r="AD49" s="458" t="s">
        <v>170</v>
      </c>
      <c r="AE49" s="293" t="s">
        <v>130</v>
      </c>
      <c r="AF49" s="301" t="s">
        <v>131</v>
      </c>
      <c r="AG49" s="1" t="s">
        <v>2350</v>
      </c>
      <c r="AH49" s="1" t="s">
        <v>2350</v>
      </c>
    </row>
    <row r="50" spans="1:34">
      <c r="A50" s="410" t="s">
        <v>2948</v>
      </c>
      <c r="B50" s="197" t="s">
        <v>2831</v>
      </c>
      <c r="C50" s="198">
        <v>1</v>
      </c>
      <c r="D50" s="79" t="s">
        <v>126</v>
      </c>
      <c r="E50" s="186">
        <v>0</v>
      </c>
      <c r="F50" s="412"/>
      <c r="G50" s="413">
        <f>E50-(E50*F50)</f>
        <v>0</v>
      </c>
      <c r="H50" s="134"/>
      <c r="I50" s="131"/>
      <c r="J50" s="760"/>
      <c r="K50" s="59"/>
      <c r="L50" s="131"/>
      <c r="M50" s="458" t="s">
        <v>170</v>
      </c>
      <c r="N50" s="293" t="s">
        <v>130</v>
      </c>
      <c r="O50" s="301" t="s">
        <v>131</v>
      </c>
      <c r="P50" s="1" t="str">
        <f>+IF($J50&lt;&gt;"",P$2*$J50,"")</f>
        <v/>
      </c>
      <c r="Q50" s="1" t="str">
        <f>+IF($J50&lt;&gt;"",Q$2*$J50,"")</f>
        <v/>
      </c>
      <c r="R50" s="410" t="s">
        <v>2948</v>
      </c>
      <c r="S50" s="197" t="s">
        <v>2831</v>
      </c>
      <c r="T50" s="198">
        <v>1</v>
      </c>
      <c r="U50" s="79" t="s">
        <v>126</v>
      </c>
      <c r="V50" s="186">
        <v>0</v>
      </c>
      <c r="W50" s="412"/>
      <c r="X50" s="413">
        <v>0</v>
      </c>
      <c r="Y50" s="134"/>
      <c r="Z50" s="131"/>
      <c r="AA50" s="131"/>
      <c r="AB50" s="59"/>
      <c r="AC50" s="131"/>
      <c r="AD50" s="458" t="s">
        <v>170</v>
      </c>
      <c r="AE50" s="293" t="s">
        <v>130</v>
      </c>
      <c r="AF50" s="301" t="s">
        <v>131</v>
      </c>
      <c r="AG50" s="1" t="s">
        <v>2350</v>
      </c>
      <c r="AH50" s="1" t="s">
        <v>2350</v>
      </c>
    </row>
    <row r="51" spans="1:34">
      <c r="A51" s="410" t="s">
        <v>2949</v>
      </c>
      <c r="B51" s="197" t="s">
        <v>2830</v>
      </c>
      <c r="C51" s="198">
        <v>1</v>
      </c>
      <c r="D51" s="79" t="s">
        <v>126</v>
      </c>
      <c r="E51" s="186">
        <v>0</v>
      </c>
      <c r="F51" s="412"/>
      <c r="G51" s="413">
        <f t="shared" si="8"/>
        <v>0</v>
      </c>
      <c r="H51" s="134"/>
      <c r="I51" s="131"/>
      <c r="J51" s="760"/>
      <c r="K51" s="59"/>
      <c r="L51" s="131"/>
      <c r="M51" s="458" t="s">
        <v>170</v>
      </c>
      <c r="N51" s="293" t="s">
        <v>130</v>
      </c>
      <c r="O51" s="301" t="s">
        <v>131</v>
      </c>
      <c r="P51" s="1" t="str">
        <f t="shared" si="11"/>
        <v/>
      </c>
      <c r="Q51" s="1" t="str">
        <f t="shared" si="11"/>
        <v/>
      </c>
      <c r="R51" s="410" t="s">
        <v>2949</v>
      </c>
      <c r="S51" s="197" t="s">
        <v>2830</v>
      </c>
      <c r="T51" s="198">
        <v>1</v>
      </c>
      <c r="U51" s="79" t="s">
        <v>126</v>
      </c>
      <c r="V51" s="186">
        <v>0</v>
      </c>
      <c r="W51" s="412"/>
      <c r="X51" s="413">
        <v>0</v>
      </c>
      <c r="Y51" s="134"/>
      <c r="Z51" s="131"/>
      <c r="AA51" s="131"/>
      <c r="AB51" s="59"/>
      <c r="AC51" s="131"/>
      <c r="AD51" s="458" t="s">
        <v>170</v>
      </c>
      <c r="AE51" s="293" t="s">
        <v>130</v>
      </c>
      <c r="AF51" s="301" t="s">
        <v>131</v>
      </c>
      <c r="AG51" s="1" t="s">
        <v>2350</v>
      </c>
      <c r="AH51" s="1" t="s">
        <v>2350</v>
      </c>
    </row>
    <row r="52" spans="1:34">
      <c r="A52" s="410" t="s">
        <v>2950</v>
      </c>
      <c r="B52" s="197" t="s">
        <v>2832</v>
      </c>
      <c r="C52" s="198">
        <v>1</v>
      </c>
      <c r="D52" s="79" t="s">
        <v>126</v>
      </c>
      <c r="E52" s="186">
        <v>0</v>
      </c>
      <c r="F52" s="412"/>
      <c r="G52" s="413">
        <f t="shared" si="8"/>
        <v>0</v>
      </c>
      <c r="H52" s="134"/>
      <c r="I52" s="131"/>
      <c r="J52" s="760"/>
      <c r="K52" s="59"/>
      <c r="L52" s="131"/>
      <c r="M52" s="458" t="s">
        <v>170</v>
      </c>
      <c r="N52" s="293" t="s">
        <v>130</v>
      </c>
      <c r="O52" s="301" t="s">
        <v>131</v>
      </c>
      <c r="P52" s="1" t="str">
        <f t="shared" si="11"/>
        <v/>
      </c>
      <c r="Q52" s="1" t="str">
        <f t="shared" si="11"/>
        <v/>
      </c>
      <c r="R52" s="410" t="s">
        <v>2950</v>
      </c>
      <c r="S52" s="197" t="s">
        <v>2832</v>
      </c>
      <c r="T52" s="198">
        <v>1</v>
      </c>
      <c r="U52" s="79" t="s">
        <v>126</v>
      </c>
      <c r="V52" s="186">
        <v>0</v>
      </c>
      <c r="W52" s="412"/>
      <c r="X52" s="413">
        <v>0</v>
      </c>
      <c r="Y52" s="134"/>
      <c r="Z52" s="131"/>
      <c r="AA52" s="131"/>
      <c r="AB52" s="59"/>
      <c r="AC52" s="131"/>
      <c r="AD52" s="458" t="s">
        <v>170</v>
      </c>
      <c r="AE52" s="293" t="s">
        <v>130</v>
      </c>
      <c r="AF52" s="301" t="s">
        <v>131</v>
      </c>
      <c r="AG52" s="1" t="s">
        <v>2350</v>
      </c>
      <c r="AH52" s="1" t="s">
        <v>2350</v>
      </c>
    </row>
    <row r="53" spans="1:34">
      <c r="A53" s="194" t="s">
        <v>127</v>
      </c>
      <c r="B53" s="95" t="s">
        <v>133</v>
      </c>
      <c r="C53" s="82">
        <v>1</v>
      </c>
      <c r="D53" s="97" t="s">
        <v>134</v>
      </c>
      <c r="E53" s="228">
        <v>69.900000000000006</v>
      </c>
      <c r="F53" s="229">
        <f>rv_mba_mg</f>
        <v>0.17599999999999999</v>
      </c>
      <c r="G53" s="230">
        <f t="shared" ref="G53" si="13">E53-(E53*F53)</f>
        <v>57.597600000000007</v>
      </c>
      <c r="H53" s="63"/>
      <c r="I53" s="233"/>
      <c r="J53" s="760"/>
      <c r="K53" s="233"/>
      <c r="L53" s="233"/>
      <c r="M53" s="457" t="s">
        <v>135</v>
      </c>
      <c r="N53" s="305" t="s">
        <v>136</v>
      </c>
      <c r="O53" s="309" t="s">
        <v>137</v>
      </c>
      <c r="P53" s="84" t="str">
        <f t="shared" ref="P53:Q68" si="14">+IF($J53&lt;&gt;"",P$2*$J53,"")</f>
        <v/>
      </c>
      <c r="Q53" s="84" t="str">
        <f t="shared" si="14"/>
        <v/>
      </c>
      <c r="R53" s="194" t="s">
        <v>127</v>
      </c>
      <c r="S53" s="95" t="s">
        <v>133</v>
      </c>
      <c r="T53" s="82">
        <v>1</v>
      </c>
      <c r="U53" s="97" t="s">
        <v>134</v>
      </c>
      <c r="V53" s="228">
        <v>69.900000000000006</v>
      </c>
      <c r="W53" s="229">
        <v>0.17599999999999999</v>
      </c>
      <c r="X53" s="230">
        <v>57.597600000000007</v>
      </c>
      <c r="Y53" s="63"/>
      <c r="Z53" s="233"/>
      <c r="AA53" s="233"/>
      <c r="AB53" s="233"/>
      <c r="AC53" s="233"/>
      <c r="AD53" s="457" t="s">
        <v>135</v>
      </c>
      <c r="AE53" s="305" t="s">
        <v>136</v>
      </c>
      <c r="AF53" s="309" t="s">
        <v>137</v>
      </c>
      <c r="AG53" s="84" t="s">
        <v>2350</v>
      </c>
      <c r="AH53" s="84" t="s">
        <v>2350</v>
      </c>
    </row>
    <row r="54" spans="1:34">
      <c r="A54" s="183" t="s">
        <v>138</v>
      </c>
      <c r="B54" s="64" t="s">
        <v>139</v>
      </c>
      <c r="C54" s="21">
        <v>1</v>
      </c>
      <c r="D54" s="27" t="s">
        <v>134</v>
      </c>
      <c r="E54" s="28"/>
      <c r="F54" s="18"/>
      <c r="G54" s="79">
        <v>18</v>
      </c>
      <c r="H54" s="22"/>
      <c r="I54" s="134"/>
      <c r="J54" s="134"/>
      <c r="K54" s="68"/>
      <c r="L54" s="52"/>
      <c r="M54" s="458" t="s">
        <v>135</v>
      </c>
      <c r="N54" s="293" t="s">
        <v>136</v>
      </c>
      <c r="O54" s="301" t="s">
        <v>137</v>
      </c>
      <c r="P54" s="1" t="str">
        <f t="shared" si="14"/>
        <v/>
      </c>
      <c r="Q54" s="1" t="str">
        <f t="shared" si="14"/>
        <v/>
      </c>
      <c r="R54" s="183" t="s">
        <v>138</v>
      </c>
      <c r="S54" s="64" t="s">
        <v>139</v>
      </c>
      <c r="T54" s="21">
        <v>1</v>
      </c>
      <c r="U54" s="27" t="s">
        <v>134</v>
      </c>
      <c r="V54" s="28"/>
      <c r="W54" s="18"/>
      <c r="X54" s="79">
        <v>18</v>
      </c>
      <c r="Y54" s="22"/>
      <c r="Z54" s="134"/>
      <c r="AA54" s="134"/>
      <c r="AB54" s="68"/>
      <c r="AC54" s="52"/>
      <c r="AD54" s="458" t="s">
        <v>135</v>
      </c>
      <c r="AE54" s="293" t="s">
        <v>136</v>
      </c>
      <c r="AF54" s="301" t="s">
        <v>137</v>
      </c>
      <c r="AG54" s="1" t="s">
        <v>2350</v>
      </c>
      <c r="AH54" s="1" t="s">
        <v>2350</v>
      </c>
    </row>
    <row r="55" spans="1:34">
      <c r="A55" s="183" t="s">
        <v>140</v>
      </c>
      <c r="B55" s="64" t="s">
        <v>141</v>
      </c>
      <c r="C55" s="21">
        <v>1</v>
      </c>
      <c r="D55" s="27" t="s">
        <v>134</v>
      </c>
      <c r="E55" s="28"/>
      <c r="F55" s="18"/>
      <c r="G55" s="79">
        <v>26</v>
      </c>
      <c r="H55" s="22"/>
      <c r="I55" s="134"/>
      <c r="J55" s="134"/>
      <c r="K55" s="68"/>
      <c r="L55" s="52"/>
      <c r="M55" s="458" t="s">
        <v>135</v>
      </c>
      <c r="N55" s="293" t="s">
        <v>136</v>
      </c>
      <c r="O55" s="301" t="s">
        <v>137</v>
      </c>
      <c r="P55" s="1" t="str">
        <f t="shared" si="14"/>
        <v/>
      </c>
      <c r="Q55" s="1" t="str">
        <f t="shared" si="14"/>
        <v/>
      </c>
      <c r="R55" s="183" t="s">
        <v>140</v>
      </c>
      <c r="S55" s="64" t="s">
        <v>141</v>
      </c>
      <c r="T55" s="21">
        <v>1</v>
      </c>
      <c r="U55" s="27" t="s">
        <v>134</v>
      </c>
      <c r="V55" s="28"/>
      <c r="W55" s="18"/>
      <c r="X55" s="79">
        <v>26</v>
      </c>
      <c r="Y55" s="22"/>
      <c r="Z55" s="134"/>
      <c r="AA55" s="134"/>
      <c r="AB55" s="68"/>
      <c r="AC55" s="52"/>
      <c r="AD55" s="458" t="s">
        <v>135</v>
      </c>
      <c r="AE55" s="293" t="s">
        <v>136</v>
      </c>
      <c r="AF55" s="301" t="s">
        <v>137</v>
      </c>
      <c r="AG55" s="1" t="s">
        <v>2350</v>
      </c>
      <c r="AH55" s="1" t="s">
        <v>2350</v>
      </c>
    </row>
    <row r="56" spans="1:34">
      <c r="A56" s="183" t="s">
        <v>142</v>
      </c>
      <c r="B56" s="64" t="s">
        <v>143</v>
      </c>
      <c r="C56" s="21">
        <v>1</v>
      </c>
      <c r="D56" s="27" t="s">
        <v>134</v>
      </c>
      <c r="E56" s="28"/>
      <c r="F56" s="18"/>
      <c r="G56" s="79">
        <v>37</v>
      </c>
      <c r="H56" s="22"/>
      <c r="I56" s="134"/>
      <c r="J56" s="134"/>
      <c r="K56" s="68"/>
      <c r="L56" s="52"/>
      <c r="M56" s="458" t="s">
        <v>135</v>
      </c>
      <c r="N56" s="293" t="s">
        <v>136</v>
      </c>
      <c r="O56" s="301" t="s">
        <v>137</v>
      </c>
      <c r="P56" s="1" t="str">
        <f t="shared" si="14"/>
        <v/>
      </c>
      <c r="Q56" s="1" t="str">
        <f t="shared" si="14"/>
        <v/>
      </c>
      <c r="R56" s="183" t="s">
        <v>142</v>
      </c>
      <c r="S56" s="64" t="s">
        <v>143</v>
      </c>
      <c r="T56" s="21">
        <v>1</v>
      </c>
      <c r="U56" s="27" t="s">
        <v>134</v>
      </c>
      <c r="V56" s="28"/>
      <c r="W56" s="18"/>
      <c r="X56" s="79">
        <v>37</v>
      </c>
      <c r="Y56" s="22"/>
      <c r="Z56" s="134"/>
      <c r="AA56" s="134"/>
      <c r="AB56" s="68"/>
      <c r="AC56" s="52"/>
      <c r="AD56" s="458" t="s">
        <v>135</v>
      </c>
      <c r="AE56" s="293" t="s">
        <v>136</v>
      </c>
      <c r="AF56" s="301" t="s">
        <v>137</v>
      </c>
      <c r="AG56" s="1" t="s">
        <v>2350</v>
      </c>
      <c r="AH56" s="1" t="s">
        <v>2350</v>
      </c>
    </row>
    <row r="57" spans="1:34">
      <c r="A57" s="183" t="s">
        <v>144</v>
      </c>
      <c r="B57" s="64" t="s">
        <v>145</v>
      </c>
      <c r="C57" s="21">
        <v>1</v>
      </c>
      <c r="D57" s="27" t="s">
        <v>134</v>
      </c>
      <c r="E57" s="28"/>
      <c r="F57" s="18"/>
      <c r="G57" s="79">
        <v>21</v>
      </c>
      <c r="H57" s="22"/>
      <c r="I57" s="134"/>
      <c r="J57" s="134"/>
      <c r="K57" s="68"/>
      <c r="L57" s="52"/>
      <c r="M57" s="458" t="s">
        <v>135</v>
      </c>
      <c r="N57" s="293" t="s">
        <v>136</v>
      </c>
      <c r="O57" s="301" t="s">
        <v>137</v>
      </c>
      <c r="P57" s="1" t="str">
        <f t="shared" si="14"/>
        <v/>
      </c>
      <c r="Q57" s="1" t="str">
        <f t="shared" si="14"/>
        <v/>
      </c>
      <c r="R57" s="183" t="s">
        <v>144</v>
      </c>
      <c r="S57" s="64" t="s">
        <v>145</v>
      </c>
      <c r="T57" s="21">
        <v>1</v>
      </c>
      <c r="U57" s="27" t="s">
        <v>134</v>
      </c>
      <c r="V57" s="28"/>
      <c r="W57" s="18"/>
      <c r="X57" s="79">
        <v>21</v>
      </c>
      <c r="Y57" s="22"/>
      <c r="Z57" s="134"/>
      <c r="AA57" s="134"/>
      <c r="AB57" s="68"/>
      <c r="AC57" s="52"/>
      <c r="AD57" s="458" t="s">
        <v>135</v>
      </c>
      <c r="AE57" s="293" t="s">
        <v>136</v>
      </c>
      <c r="AF57" s="301" t="s">
        <v>137</v>
      </c>
      <c r="AG57" s="1" t="s">
        <v>2350</v>
      </c>
      <c r="AH57" s="1" t="s">
        <v>2350</v>
      </c>
    </row>
    <row r="58" spans="1:34">
      <c r="A58" s="183" t="s">
        <v>146</v>
      </c>
      <c r="B58" s="64" t="s">
        <v>147</v>
      </c>
      <c r="C58" s="21">
        <v>1</v>
      </c>
      <c r="D58" s="27" t="s">
        <v>134</v>
      </c>
      <c r="E58" s="28"/>
      <c r="F58" s="18"/>
      <c r="G58" s="79">
        <v>46</v>
      </c>
      <c r="H58" s="59"/>
      <c r="I58" s="134"/>
      <c r="J58" s="134"/>
      <c r="K58" s="68"/>
      <c r="L58" s="52"/>
      <c r="M58" s="458" t="s">
        <v>135</v>
      </c>
      <c r="N58" s="293" t="s">
        <v>136</v>
      </c>
      <c r="O58" s="301" t="s">
        <v>137</v>
      </c>
      <c r="P58" s="1" t="str">
        <f t="shared" si="14"/>
        <v/>
      </c>
      <c r="Q58" s="1" t="str">
        <f t="shared" si="14"/>
        <v/>
      </c>
      <c r="R58" s="183" t="s">
        <v>146</v>
      </c>
      <c r="S58" s="64" t="s">
        <v>147</v>
      </c>
      <c r="T58" s="21">
        <v>1</v>
      </c>
      <c r="U58" s="27" t="s">
        <v>134</v>
      </c>
      <c r="V58" s="28"/>
      <c r="W58" s="18"/>
      <c r="X58" s="79">
        <v>46</v>
      </c>
      <c r="Y58" s="59"/>
      <c r="Z58" s="134"/>
      <c r="AA58" s="134"/>
      <c r="AB58" s="68"/>
      <c r="AC58" s="52"/>
      <c r="AD58" s="458" t="s">
        <v>135</v>
      </c>
      <c r="AE58" s="293" t="s">
        <v>136</v>
      </c>
      <c r="AF58" s="301" t="s">
        <v>137</v>
      </c>
      <c r="AG58" s="1" t="s">
        <v>2350</v>
      </c>
      <c r="AH58" s="1" t="s">
        <v>2350</v>
      </c>
    </row>
    <row r="59" spans="1:34">
      <c r="A59" s="183" t="s">
        <v>148</v>
      </c>
      <c r="B59" s="64" t="s">
        <v>149</v>
      </c>
      <c r="C59" s="21">
        <v>1</v>
      </c>
      <c r="D59" s="27" t="s">
        <v>134</v>
      </c>
      <c r="E59" s="28"/>
      <c r="F59" s="18"/>
      <c r="G59" s="79">
        <v>55</v>
      </c>
      <c r="H59" s="59"/>
      <c r="I59" s="134"/>
      <c r="J59" s="134"/>
      <c r="K59" s="68"/>
      <c r="L59" s="52"/>
      <c r="M59" s="458" t="s">
        <v>135</v>
      </c>
      <c r="N59" s="293" t="s">
        <v>136</v>
      </c>
      <c r="O59" s="301" t="s">
        <v>137</v>
      </c>
      <c r="P59" s="1" t="str">
        <f t="shared" si="14"/>
        <v/>
      </c>
      <c r="Q59" s="1" t="str">
        <f t="shared" si="14"/>
        <v/>
      </c>
      <c r="R59" s="183" t="s">
        <v>148</v>
      </c>
      <c r="S59" s="64" t="s">
        <v>149</v>
      </c>
      <c r="T59" s="21">
        <v>1</v>
      </c>
      <c r="U59" s="27" t="s">
        <v>134</v>
      </c>
      <c r="V59" s="28"/>
      <c r="W59" s="18"/>
      <c r="X59" s="79">
        <v>55</v>
      </c>
      <c r="Y59" s="59"/>
      <c r="Z59" s="134"/>
      <c r="AA59" s="134"/>
      <c r="AB59" s="68"/>
      <c r="AC59" s="52"/>
      <c r="AD59" s="458" t="s">
        <v>135</v>
      </c>
      <c r="AE59" s="293" t="s">
        <v>136</v>
      </c>
      <c r="AF59" s="301" t="s">
        <v>137</v>
      </c>
      <c r="AG59" s="1" t="s">
        <v>2350</v>
      </c>
      <c r="AH59" s="1" t="s">
        <v>2350</v>
      </c>
    </row>
    <row r="60" spans="1:34">
      <c r="A60" s="183" t="s">
        <v>150</v>
      </c>
      <c r="B60" s="64" t="s">
        <v>151</v>
      </c>
      <c r="C60" s="21">
        <v>1</v>
      </c>
      <c r="D60" s="27" t="s">
        <v>134</v>
      </c>
      <c r="E60" s="28"/>
      <c r="F60" s="18"/>
      <c r="G60" s="79">
        <v>62</v>
      </c>
      <c r="H60" s="59"/>
      <c r="I60" s="134"/>
      <c r="J60" s="134"/>
      <c r="K60" s="68"/>
      <c r="L60" s="52"/>
      <c r="M60" s="458" t="s">
        <v>135</v>
      </c>
      <c r="N60" s="293" t="s">
        <v>136</v>
      </c>
      <c r="O60" s="301" t="s">
        <v>137</v>
      </c>
      <c r="P60" s="1" t="str">
        <f t="shared" si="14"/>
        <v/>
      </c>
      <c r="Q60" s="1" t="str">
        <f t="shared" si="14"/>
        <v/>
      </c>
      <c r="R60" s="183" t="s">
        <v>150</v>
      </c>
      <c r="S60" s="64" t="s">
        <v>151</v>
      </c>
      <c r="T60" s="21">
        <v>1</v>
      </c>
      <c r="U60" s="27" t="s">
        <v>134</v>
      </c>
      <c r="V60" s="28"/>
      <c r="W60" s="18"/>
      <c r="X60" s="79">
        <v>62</v>
      </c>
      <c r="Y60" s="59"/>
      <c r="Z60" s="134"/>
      <c r="AA60" s="134"/>
      <c r="AB60" s="68"/>
      <c r="AC60" s="52"/>
      <c r="AD60" s="458" t="s">
        <v>135</v>
      </c>
      <c r="AE60" s="293" t="s">
        <v>136</v>
      </c>
      <c r="AF60" s="301" t="s">
        <v>137</v>
      </c>
      <c r="AG60" s="1" t="s">
        <v>2350</v>
      </c>
      <c r="AH60" s="1" t="s">
        <v>2350</v>
      </c>
    </row>
    <row r="61" spans="1:34">
      <c r="A61" s="183" t="s">
        <v>152</v>
      </c>
      <c r="B61" s="64" t="s">
        <v>153</v>
      </c>
      <c r="C61" s="21">
        <v>1</v>
      </c>
      <c r="D61" s="27" t="s">
        <v>134</v>
      </c>
      <c r="E61" s="28"/>
      <c r="F61" s="18"/>
      <c r="G61" s="79">
        <v>16</v>
      </c>
      <c r="H61" s="59"/>
      <c r="I61" s="134"/>
      <c r="J61" s="134"/>
      <c r="K61" s="68"/>
      <c r="L61" s="52"/>
      <c r="M61" s="458" t="s">
        <v>135</v>
      </c>
      <c r="N61" s="293" t="s">
        <v>136</v>
      </c>
      <c r="O61" s="301" t="s">
        <v>137</v>
      </c>
      <c r="P61" s="1" t="str">
        <f t="shared" si="14"/>
        <v/>
      </c>
      <c r="Q61" s="1" t="str">
        <f t="shared" si="14"/>
        <v/>
      </c>
      <c r="R61" s="183" t="s">
        <v>152</v>
      </c>
      <c r="S61" s="64" t="s">
        <v>153</v>
      </c>
      <c r="T61" s="21">
        <v>1</v>
      </c>
      <c r="U61" s="27" t="s">
        <v>134</v>
      </c>
      <c r="V61" s="28"/>
      <c r="W61" s="18"/>
      <c r="X61" s="79">
        <v>16</v>
      </c>
      <c r="Y61" s="59"/>
      <c r="Z61" s="134"/>
      <c r="AA61" s="134"/>
      <c r="AB61" s="68"/>
      <c r="AC61" s="52"/>
      <c r="AD61" s="458" t="s">
        <v>135</v>
      </c>
      <c r="AE61" s="293" t="s">
        <v>136</v>
      </c>
      <c r="AF61" s="301" t="s">
        <v>137</v>
      </c>
      <c r="AG61" s="1" t="s">
        <v>2350</v>
      </c>
      <c r="AH61" s="1" t="s">
        <v>2350</v>
      </c>
    </row>
    <row r="62" spans="1:34">
      <c r="A62" s="183" t="s">
        <v>154</v>
      </c>
      <c r="B62" s="64" t="s">
        <v>155</v>
      </c>
      <c r="C62" s="21">
        <v>1</v>
      </c>
      <c r="D62" s="27" t="s">
        <v>134</v>
      </c>
      <c r="E62" s="28"/>
      <c r="F62" s="18"/>
      <c r="G62" s="79">
        <v>39</v>
      </c>
      <c r="H62" s="59"/>
      <c r="I62" s="134"/>
      <c r="J62" s="134"/>
      <c r="K62" s="68"/>
      <c r="L62" s="52"/>
      <c r="M62" s="458" t="s">
        <v>135</v>
      </c>
      <c r="N62" s="293" t="s">
        <v>136</v>
      </c>
      <c r="O62" s="301" t="s">
        <v>137</v>
      </c>
      <c r="P62" s="1" t="str">
        <f t="shared" si="14"/>
        <v/>
      </c>
      <c r="Q62" s="1" t="str">
        <f t="shared" si="14"/>
        <v/>
      </c>
      <c r="R62" s="183" t="s">
        <v>154</v>
      </c>
      <c r="S62" s="64" t="s">
        <v>155</v>
      </c>
      <c r="T62" s="21">
        <v>1</v>
      </c>
      <c r="U62" s="27" t="s">
        <v>134</v>
      </c>
      <c r="V62" s="28"/>
      <c r="W62" s="18"/>
      <c r="X62" s="79">
        <v>39</v>
      </c>
      <c r="Y62" s="59"/>
      <c r="Z62" s="134"/>
      <c r="AA62" s="134"/>
      <c r="AB62" s="68"/>
      <c r="AC62" s="52"/>
      <c r="AD62" s="458" t="s">
        <v>135</v>
      </c>
      <c r="AE62" s="293" t="s">
        <v>136</v>
      </c>
      <c r="AF62" s="301" t="s">
        <v>137</v>
      </c>
      <c r="AG62" s="1" t="s">
        <v>2350</v>
      </c>
      <c r="AH62" s="1" t="s">
        <v>2350</v>
      </c>
    </row>
    <row r="63" spans="1:34">
      <c r="A63" s="183" t="s">
        <v>156</v>
      </c>
      <c r="B63" s="64" t="s">
        <v>157</v>
      </c>
      <c r="C63" s="21">
        <v>1</v>
      </c>
      <c r="D63" s="27" t="s">
        <v>134</v>
      </c>
      <c r="E63" s="28"/>
      <c r="F63" s="18"/>
      <c r="G63" s="79">
        <v>51</v>
      </c>
      <c r="H63" s="59"/>
      <c r="I63" s="134"/>
      <c r="J63" s="134"/>
      <c r="K63" s="68"/>
      <c r="L63" s="52"/>
      <c r="M63" s="458" t="s">
        <v>135</v>
      </c>
      <c r="N63" s="293" t="s">
        <v>136</v>
      </c>
      <c r="O63" s="301" t="s">
        <v>137</v>
      </c>
      <c r="P63" s="1" t="str">
        <f t="shared" si="14"/>
        <v/>
      </c>
      <c r="Q63" s="1" t="str">
        <f t="shared" si="14"/>
        <v/>
      </c>
      <c r="R63" s="183" t="s">
        <v>156</v>
      </c>
      <c r="S63" s="64" t="s">
        <v>157</v>
      </c>
      <c r="T63" s="21">
        <v>1</v>
      </c>
      <c r="U63" s="27" t="s">
        <v>134</v>
      </c>
      <c r="V63" s="28"/>
      <c r="W63" s="18"/>
      <c r="X63" s="79">
        <v>51</v>
      </c>
      <c r="Y63" s="59"/>
      <c r="Z63" s="134"/>
      <c r="AA63" s="134"/>
      <c r="AB63" s="68"/>
      <c r="AC63" s="52"/>
      <c r="AD63" s="458" t="s">
        <v>135</v>
      </c>
      <c r="AE63" s="293" t="s">
        <v>136</v>
      </c>
      <c r="AF63" s="301" t="s">
        <v>137</v>
      </c>
      <c r="AG63" s="1" t="s">
        <v>2350</v>
      </c>
      <c r="AH63" s="1" t="s">
        <v>2350</v>
      </c>
    </row>
    <row r="64" spans="1:34">
      <c r="A64" s="183" t="s">
        <v>158</v>
      </c>
      <c r="B64" s="64" t="s">
        <v>159</v>
      </c>
      <c r="C64" s="21">
        <v>1</v>
      </c>
      <c r="D64" s="27" t="s">
        <v>134</v>
      </c>
      <c r="E64" s="28"/>
      <c r="F64" s="18"/>
      <c r="G64" s="79">
        <v>68</v>
      </c>
      <c r="H64" s="59"/>
      <c r="I64" s="134"/>
      <c r="J64" s="134"/>
      <c r="K64" s="68"/>
      <c r="L64" s="52"/>
      <c r="M64" s="458" t="s">
        <v>135</v>
      </c>
      <c r="N64" s="293" t="s">
        <v>136</v>
      </c>
      <c r="O64" s="301" t="s">
        <v>137</v>
      </c>
      <c r="P64" s="1" t="str">
        <f t="shared" si="14"/>
        <v/>
      </c>
      <c r="Q64" s="1" t="str">
        <f t="shared" si="14"/>
        <v/>
      </c>
      <c r="R64" s="183" t="s">
        <v>158</v>
      </c>
      <c r="S64" s="64" t="s">
        <v>159</v>
      </c>
      <c r="T64" s="21">
        <v>1</v>
      </c>
      <c r="U64" s="27" t="s">
        <v>134</v>
      </c>
      <c r="V64" s="28"/>
      <c r="W64" s="18"/>
      <c r="X64" s="79">
        <v>68</v>
      </c>
      <c r="Y64" s="59"/>
      <c r="Z64" s="134"/>
      <c r="AA64" s="134"/>
      <c r="AB64" s="68"/>
      <c r="AC64" s="52"/>
      <c r="AD64" s="458" t="s">
        <v>135</v>
      </c>
      <c r="AE64" s="293" t="s">
        <v>136</v>
      </c>
      <c r="AF64" s="301" t="s">
        <v>137</v>
      </c>
      <c r="AG64" s="1" t="s">
        <v>2350</v>
      </c>
      <c r="AH64" s="1" t="s">
        <v>2350</v>
      </c>
    </row>
    <row r="65" spans="1:34">
      <c r="A65" s="184" t="s">
        <v>160</v>
      </c>
      <c r="B65" s="291" t="s">
        <v>161</v>
      </c>
      <c r="C65" s="89">
        <v>1</v>
      </c>
      <c r="D65" s="31" t="s">
        <v>134</v>
      </c>
      <c r="E65" s="32"/>
      <c r="F65" s="35"/>
      <c r="G65" s="91">
        <v>383</v>
      </c>
      <c r="H65" s="91"/>
      <c r="I65" s="90"/>
      <c r="J65" s="90"/>
      <c r="K65" s="32"/>
      <c r="L65" s="90"/>
      <c r="M65" s="458" t="s">
        <v>135</v>
      </c>
      <c r="N65" s="293" t="s">
        <v>136</v>
      </c>
      <c r="O65" s="399" t="s">
        <v>137</v>
      </c>
      <c r="P65" s="1" t="str">
        <f t="shared" si="14"/>
        <v/>
      </c>
      <c r="Q65" s="1" t="str">
        <f t="shared" si="14"/>
        <v/>
      </c>
      <c r="R65" s="184" t="s">
        <v>160</v>
      </c>
      <c r="S65" s="291" t="s">
        <v>161</v>
      </c>
      <c r="T65" s="89">
        <v>1</v>
      </c>
      <c r="U65" s="31" t="s">
        <v>134</v>
      </c>
      <c r="V65" s="32"/>
      <c r="W65" s="35"/>
      <c r="X65" s="91">
        <v>383</v>
      </c>
      <c r="Y65" s="91"/>
      <c r="Z65" s="90"/>
      <c r="AA65" s="90"/>
      <c r="AB65" s="32"/>
      <c r="AC65" s="90"/>
      <c r="AD65" s="458" t="s">
        <v>135</v>
      </c>
      <c r="AE65" s="293" t="s">
        <v>136</v>
      </c>
      <c r="AF65" s="399" t="s">
        <v>137</v>
      </c>
      <c r="AG65" s="1" t="s">
        <v>2350</v>
      </c>
      <c r="AH65" s="1" t="s">
        <v>2350</v>
      </c>
    </row>
    <row r="66" spans="1:34">
      <c r="A66" s="183" t="s">
        <v>162</v>
      </c>
      <c r="B66" s="64" t="s">
        <v>163</v>
      </c>
      <c r="C66" s="21">
        <v>1</v>
      </c>
      <c r="D66" s="27" t="s">
        <v>134</v>
      </c>
      <c r="E66" s="28"/>
      <c r="F66" s="18"/>
      <c r="G66" s="79">
        <v>509</v>
      </c>
      <c r="H66" s="79"/>
      <c r="I66" s="52"/>
      <c r="J66" s="52"/>
      <c r="K66" s="13"/>
      <c r="L66" s="52"/>
      <c r="M66" s="458" t="s">
        <v>135</v>
      </c>
      <c r="N66" s="293" t="s">
        <v>136</v>
      </c>
      <c r="O66" s="297" t="s">
        <v>137</v>
      </c>
      <c r="P66" s="1" t="str">
        <f t="shared" si="14"/>
        <v/>
      </c>
      <c r="Q66" s="1" t="str">
        <f t="shared" si="14"/>
        <v/>
      </c>
      <c r="R66" s="183" t="s">
        <v>162</v>
      </c>
      <c r="S66" s="64" t="s">
        <v>163</v>
      </c>
      <c r="T66" s="21">
        <v>1</v>
      </c>
      <c r="U66" s="27" t="s">
        <v>134</v>
      </c>
      <c r="V66" s="28"/>
      <c r="W66" s="18"/>
      <c r="X66" s="79">
        <v>509</v>
      </c>
      <c r="Y66" s="79"/>
      <c r="Z66" s="52"/>
      <c r="AA66" s="52"/>
      <c r="AB66" s="13"/>
      <c r="AC66" s="52"/>
      <c r="AD66" s="458" t="s">
        <v>135</v>
      </c>
      <c r="AE66" s="293" t="s">
        <v>136</v>
      </c>
      <c r="AF66" s="297" t="s">
        <v>137</v>
      </c>
      <c r="AG66" s="1" t="s">
        <v>2350</v>
      </c>
      <c r="AH66" s="1" t="s">
        <v>2350</v>
      </c>
    </row>
    <row r="67" spans="1:34">
      <c r="A67" s="183" t="s">
        <v>164</v>
      </c>
      <c r="B67" s="64" t="s">
        <v>165</v>
      </c>
      <c r="C67" s="21">
        <v>1</v>
      </c>
      <c r="D67" s="27" t="s">
        <v>134</v>
      </c>
      <c r="E67" s="28"/>
      <c r="F67" s="18"/>
      <c r="G67" s="22">
        <v>137.59</v>
      </c>
      <c r="H67" s="63"/>
      <c r="I67" s="52"/>
      <c r="J67" s="52"/>
      <c r="K67" s="13"/>
      <c r="L67" s="52"/>
      <c r="M67" s="458" t="s">
        <v>135</v>
      </c>
      <c r="N67" s="293" t="s">
        <v>136</v>
      </c>
      <c r="O67" s="297" t="s">
        <v>137</v>
      </c>
      <c r="P67" s="1" t="str">
        <f t="shared" si="14"/>
        <v/>
      </c>
      <c r="Q67" s="1" t="str">
        <f t="shared" si="14"/>
        <v/>
      </c>
      <c r="R67" s="183" t="s">
        <v>164</v>
      </c>
      <c r="S67" s="64" t="s">
        <v>165</v>
      </c>
      <c r="T67" s="21">
        <v>1</v>
      </c>
      <c r="U67" s="27" t="s">
        <v>134</v>
      </c>
      <c r="V67" s="28"/>
      <c r="W67" s="18"/>
      <c r="X67" s="22">
        <v>137.59</v>
      </c>
      <c r="Y67" s="63"/>
      <c r="Z67" s="52"/>
      <c r="AA67" s="52"/>
      <c r="AB67" s="13"/>
      <c r="AC67" s="52"/>
      <c r="AD67" s="458" t="s">
        <v>135</v>
      </c>
      <c r="AE67" s="293" t="s">
        <v>136</v>
      </c>
      <c r="AF67" s="297" t="s">
        <v>137</v>
      </c>
      <c r="AG67" s="1" t="s">
        <v>2350</v>
      </c>
      <c r="AH67" s="1" t="s">
        <v>2350</v>
      </c>
    </row>
    <row r="68" spans="1:34">
      <c r="A68" s="183" t="s">
        <v>166</v>
      </c>
      <c r="B68" s="64" t="s">
        <v>167</v>
      </c>
      <c r="C68" s="21">
        <v>1</v>
      </c>
      <c r="D68" s="27" t="s">
        <v>134</v>
      </c>
      <c r="E68" s="28"/>
      <c r="F68" s="18"/>
      <c r="G68" s="22">
        <v>221.92</v>
      </c>
      <c r="H68" s="63"/>
      <c r="I68" s="52"/>
      <c r="J68" s="52"/>
      <c r="K68" s="13"/>
      <c r="L68" s="52"/>
      <c r="M68" s="458" t="s">
        <v>135</v>
      </c>
      <c r="N68" s="293" t="s">
        <v>136</v>
      </c>
      <c r="O68" s="297" t="s">
        <v>137</v>
      </c>
      <c r="P68" s="1" t="str">
        <f t="shared" si="14"/>
        <v/>
      </c>
      <c r="Q68" s="1" t="str">
        <f t="shared" si="14"/>
        <v/>
      </c>
      <c r="R68" s="183" t="s">
        <v>166</v>
      </c>
      <c r="S68" s="64" t="s">
        <v>167</v>
      </c>
      <c r="T68" s="21">
        <v>1</v>
      </c>
      <c r="U68" s="27" t="s">
        <v>134</v>
      </c>
      <c r="V68" s="28"/>
      <c r="W68" s="18"/>
      <c r="X68" s="22">
        <v>221.92</v>
      </c>
      <c r="Y68" s="63"/>
      <c r="Z68" s="52"/>
      <c r="AA68" s="52"/>
      <c r="AB68" s="13"/>
      <c r="AC68" s="52"/>
      <c r="AD68" s="458" t="s">
        <v>135</v>
      </c>
      <c r="AE68" s="293" t="s">
        <v>136</v>
      </c>
      <c r="AF68" s="297" t="s">
        <v>137</v>
      </c>
      <c r="AG68" s="1" t="s">
        <v>2350</v>
      </c>
      <c r="AH68" s="1" t="s">
        <v>2350</v>
      </c>
    </row>
    <row r="69" spans="1:34" s="80" customFormat="1" ht="25" customHeight="1">
      <c r="A69" s="332" t="s">
        <v>2929</v>
      </c>
      <c r="B69" s="393" t="s">
        <v>124</v>
      </c>
      <c r="C69" s="324"/>
      <c r="D69" s="325"/>
      <c r="E69" s="325"/>
      <c r="F69" s="326"/>
      <c r="G69" s="327"/>
      <c r="H69" s="328"/>
      <c r="I69" s="329"/>
      <c r="J69" s="329"/>
      <c r="K69" s="327"/>
      <c r="L69" s="330"/>
      <c r="M69" s="456"/>
      <c r="N69" s="331"/>
      <c r="O69" s="330"/>
      <c r="P69" s="330"/>
      <c r="Q69" s="330"/>
      <c r="R69" s="332" t="s">
        <v>2929</v>
      </c>
      <c r="S69" s="393" t="s">
        <v>124</v>
      </c>
      <c r="T69" s="324"/>
      <c r="U69" s="325"/>
      <c r="V69" s="325"/>
      <c r="W69" s="326"/>
      <c r="X69" s="327"/>
      <c r="Y69" s="328"/>
      <c r="Z69" s="329"/>
      <c r="AA69" s="329"/>
      <c r="AB69" s="327"/>
      <c r="AC69" s="330"/>
      <c r="AD69" s="456"/>
      <c r="AE69" s="331"/>
      <c r="AF69" s="330"/>
      <c r="AG69" s="330"/>
      <c r="AH69" s="330"/>
    </row>
    <row r="70" spans="1:34" s="80" customFormat="1">
      <c r="A70" s="700" t="s">
        <v>2836</v>
      </c>
      <c r="B70" s="49" t="s">
        <v>2835</v>
      </c>
      <c r="C70" s="50">
        <v>1</v>
      </c>
      <c r="D70" s="65" t="s">
        <v>126</v>
      </c>
      <c r="E70" s="766">
        <v>1329.18</v>
      </c>
      <c r="F70" s="61">
        <f>rv_mba_mg</f>
        <v>0.17599999999999999</v>
      </c>
      <c r="G70" s="701">
        <f t="shared" ref="G70:G78" si="15">E70-(E70*F70)</f>
        <v>1095.24432</v>
      </c>
      <c r="H70" s="702" t="s">
        <v>172</v>
      </c>
      <c r="I70" s="58">
        <v>65.84</v>
      </c>
      <c r="J70" s="58">
        <f>G70+I70</f>
        <v>1161.0843199999999</v>
      </c>
      <c r="K70" s="58" t="s">
        <v>128</v>
      </c>
      <c r="L70" s="58">
        <v>3.32</v>
      </c>
      <c r="M70" s="457" t="s">
        <v>173</v>
      </c>
      <c r="N70" s="305" t="s">
        <v>130</v>
      </c>
      <c r="O70" s="309" t="s">
        <v>131</v>
      </c>
      <c r="P70" s="84">
        <f t="shared" ref="P70:Q70" si="16">+IF($J70&lt;&gt;"",P$2*$J70,"")</f>
        <v>233.73642995463663</v>
      </c>
      <c r="Q70" s="84">
        <f t="shared" si="16"/>
        <v>121.47433230369647</v>
      </c>
      <c r="R70" s="700" t="s">
        <v>2836</v>
      </c>
      <c r="S70" s="49" t="s">
        <v>2835</v>
      </c>
      <c r="T70" s="50">
        <v>1</v>
      </c>
      <c r="U70" s="65" t="s">
        <v>126</v>
      </c>
      <c r="V70" s="57">
        <v>1332.2</v>
      </c>
      <c r="W70" s="61">
        <v>0.17599999999999999</v>
      </c>
      <c r="X70" s="701">
        <v>1097.7328</v>
      </c>
      <c r="Y70" s="702" t="s">
        <v>172</v>
      </c>
      <c r="Z70" s="58">
        <v>65.84</v>
      </c>
      <c r="AA70" s="58">
        <v>1163.5727999999999</v>
      </c>
      <c r="AB70" s="58" t="s">
        <v>128</v>
      </c>
      <c r="AC70" s="58">
        <v>0.3</v>
      </c>
      <c r="AD70" s="457" t="s">
        <v>173</v>
      </c>
      <c r="AE70" s="305" t="s">
        <v>130</v>
      </c>
      <c r="AF70" s="309" t="s">
        <v>131</v>
      </c>
      <c r="AG70" s="84">
        <v>234.23738274608723</v>
      </c>
      <c r="AH70" s="84">
        <v>121.73468070496598</v>
      </c>
    </row>
    <row r="71" spans="1:34" s="80" customFormat="1">
      <c r="A71" s="199" t="s">
        <v>2837</v>
      </c>
      <c r="B71" s="197" t="s">
        <v>2845</v>
      </c>
      <c r="C71" s="198">
        <v>1</v>
      </c>
      <c r="D71" s="79" t="s">
        <v>126</v>
      </c>
      <c r="E71" s="186">
        <v>191.67</v>
      </c>
      <c r="F71" s="412">
        <f t="shared" ref="F71:F74" si="17">rv_mba_mg_cto</f>
        <v>0.17599999999999999</v>
      </c>
      <c r="G71" s="413">
        <f t="shared" si="15"/>
        <v>157.93608</v>
      </c>
      <c r="H71" s="134"/>
      <c r="I71" s="134"/>
      <c r="J71" s="134"/>
      <c r="K71" s="68"/>
      <c r="L71" s="134"/>
      <c r="M71" s="458" t="s">
        <v>173</v>
      </c>
      <c r="N71" s="293" t="s">
        <v>130</v>
      </c>
      <c r="O71" s="301" t="s">
        <v>131</v>
      </c>
      <c r="P71" s="1"/>
      <c r="Q71" s="1"/>
      <c r="R71" s="199" t="s">
        <v>2837</v>
      </c>
      <c r="S71" s="197" t="s">
        <v>2845</v>
      </c>
      <c r="T71" s="198">
        <v>1</v>
      </c>
      <c r="U71" s="79" t="s">
        <v>126</v>
      </c>
      <c r="V71" s="186">
        <v>191.67</v>
      </c>
      <c r="W71" s="412">
        <v>0.17599999999999999</v>
      </c>
      <c r="X71" s="413">
        <v>157.93608</v>
      </c>
      <c r="Y71" s="134"/>
      <c r="Z71" s="134"/>
      <c r="AA71" s="134"/>
      <c r="AB71" s="68"/>
      <c r="AC71" s="134"/>
      <c r="AD71" s="458" t="s">
        <v>173</v>
      </c>
      <c r="AE71" s="293" t="s">
        <v>130</v>
      </c>
      <c r="AF71" s="301" t="s">
        <v>131</v>
      </c>
      <c r="AG71" s="1"/>
      <c r="AH71" s="1"/>
    </row>
    <row r="72" spans="1:34" s="80" customFormat="1">
      <c r="A72" s="199" t="s">
        <v>2838</v>
      </c>
      <c r="B72" s="197" t="s">
        <v>2846</v>
      </c>
      <c r="C72" s="198">
        <v>1</v>
      </c>
      <c r="D72" s="79" t="s">
        <v>126</v>
      </c>
      <c r="E72" s="186">
        <v>191.67</v>
      </c>
      <c r="F72" s="412">
        <f t="shared" si="17"/>
        <v>0.17599999999999999</v>
      </c>
      <c r="G72" s="413">
        <f t="shared" si="15"/>
        <v>157.93608</v>
      </c>
      <c r="H72" s="134"/>
      <c r="I72" s="134"/>
      <c r="J72" s="134"/>
      <c r="K72" s="68"/>
      <c r="L72" s="134"/>
      <c r="M72" s="458" t="s">
        <v>173</v>
      </c>
      <c r="N72" s="293" t="s">
        <v>130</v>
      </c>
      <c r="O72" s="301" t="s">
        <v>131</v>
      </c>
      <c r="P72" s="1"/>
      <c r="Q72" s="1"/>
      <c r="R72" s="199" t="s">
        <v>2838</v>
      </c>
      <c r="S72" s="197" t="s">
        <v>2846</v>
      </c>
      <c r="T72" s="198">
        <v>1</v>
      </c>
      <c r="U72" s="79" t="s">
        <v>126</v>
      </c>
      <c r="V72" s="186">
        <v>191.67</v>
      </c>
      <c r="W72" s="412">
        <v>0.17599999999999999</v>
      </c>
      <c r="X72" s="413">
        <v>157.93608</v>
      </c>
      <c r="Y72" s="134"/>
      <c r="Z72" s="134"/>
      <c r="AA72" s="134"/>
      <c r="AB72" s="68"/>
      <c r="AC72" s="134"/>
      <c r="AD72" s="458" t="s">
        <v>173</v>
      </c>
      <c r="AE72" s="293" t="s">
        <v>130</v>
      </c>
      <c r="AF72" s="301" t="s">
        <v>131</v>
      </c>
      <c r="AG72" s="1"/>
      <c r="AH72" s="1"/>
    </row>
    <row r="73" spans="1:34" s="80" customFormat="1">
      <c r="A73" s="199" t="s">
        <v>2843</v>
      </c>
      <c r="B73" s="197" t="s">
        <v>2847</v>
      </c>
      <c r="C73" s="198">
        <v>1</v>
      </c>
      <c r="D73" s="79" t="s">
        <v>126</v>
      </c>
      <c r="E73" s="186">
        <v>383.33</v>
      </c>
      <c r="F73" s="412">
        <f t="shared" si="17"/>
        <v>0.17599999999999999</v>
      </c>
      <c r="G73" s="413">
        <f t="shared" si="15"/>
        <v>315.86392000000001</v>
      </c>
      <c r="H73" s="134"/>
      <c r="I73" s="134"/>
      <c r="J73" s="134"/>
      <c r="K73" s="68"/>
      <c r="L73" s="134"/>
      <c r="M73" s="458" t="s">
        <v>173</v>
      </c>
      <c r="N73" s="293" t="s">
        <v>130</v>
      </c>
      <c r="O73" s="301" t="s">
        <v>131</v>
      </c>
      <c r="P73" s="1"/>
      <c r="Q73" s="1"/>
      <c r="R73" s="199" t="s">
        <v>2843</v>
      </c>
      <c r="S73" s="197" t="s">
        <v>2847</v>
      </c>
      <c r="T73" s="198">
        <v>1</v>
      </c>
      <c r="U73" s="79" t="s">
        <v>126</v>
      </c>
      <c r="V73" s="186">
        <v>383.33</v>
      </c>
      <c r="W73" s="412">
        <v>0.17599999999999999</v>
      </c>
      <c r="X73" s="413">
        <v>315.86392000000001</v>
      </c>
      <c r="Y73" s="134"/>
      <c r="Z73" s="134"/>
      <c r="AA73" s="134"/>
      <c r="AB73" s="68"/>
      <c r="AC73" s="134"/>
      <c r="AD73" s="458" t="s">
        <v>173</v>
      </c>
      <c r="AE73" s="293" t="s">
        <v>130</v>
      </c>
      <c r="AF73" s="301" t="s">
        <v>131</v>
      </c>
      <c r="AG73" s="1"/>
      <c r="AH73" s="1"/>
    </row>
    <row r="74" spans="1:34" s="80" customFormat="1">
      <c r="A74" s="199" t="s">
        <v>2844</v>
      </c>
      <c r="B74" s="197" t="s">
        <v>2848</v>
      </c>
      <c r="C74" s="198">
        <v>1</v>
      </c>
      <c r="D74" s="79" t="s">
        <v>126</v>
      </c>
      <c r="E74" s="186">
        <v>766.67</v>
      </c>
      <c r="F74" s="412">
        <f t="shared" si="17"/>
        <v>0.17599999999999999</v>
      </c>
      <c r="G74" s="413">
        <f t="shared" si="15"/>
        <v>631.73608000000002</v>
      </c>
      <c r="H74" s="134"/>
      <c r="I74" s="131"/>
      <c r="J74" s="131"/>
      <c r="K74" s="59"/>
      <c r="L74" s="131"/>
      <c r="M74" s="458" t="s">
        <v>173</v>
      </c>
      <c r="N74" s="293" t="s">
        <v>130</v>
      </c>
      <c r="O74" s="301" t="s">
        <v>131</v>
      </c>
      <c r="P74" s="1"/>
      <c r="Q74" s="1"/>
      <c r="R74" s="199" t="s">
        <v>2844</v>
      </c>
      <c r="S74" s="197" t="s">
        <v>2848</v>
      </c>
      <c r="T74" s="198">
        <v>1</v>
      </c>
      <c r="U74" s="79" t="s">
        <v>126</v>
      </c>
      <c r="V74" s="186">
        <v>766.67</v>
      </c>
      <c r="W74" s="412">
        <v>0.17599999999999999</v>
      </c>
      <c r="X74" s="413">
        <v>631.73608000000002</v>
      </c>
      <c r="Y74" s="134"/>
      <c r="Z74" s="131"/>
      <c r="AA74" s="131"/>
      <c r="AB74" s="59"/>
      <c r="AC74" s="131"/>
      <c r="AD74" s="458" t="s">
        <v>173</v>
      </c>
      <c r="AE74" s="293" t="s">
        <v>130</v>
      </c>
      <c r="AF74" s="301" t="s">
        <v>131</v>
      </c>
      <c r="AG74" s="1"/>
      <c r="AH74" s="1"/>
    </row>
    <row r="75" spans="1:34" s="80" customFormat="1">
      <c r="A75" s="199" t="s">
        <v>2839</v>
      </c>
      <c r="B75" s="197" t="s">
        <v>2849</v>
      </c>
      <c r="C75" s="198">
        <v>1</v>
      </c>
      <c r="D75" s="79" t="s">
        <v>126</v>
      </c>
      <c r="E75" s="186">
        <v>0</v>
      </c>
      <c r="F75" s="412"/>
      <c r="G75" s="413">
        <f t="shared" si="15"/>
        <v>0</v>
      </c>
      <c r="H75" s="134"/>
      <c r="I75" s="134"/>
      <c r="J75" s="134"/>
      <c r="K75" s="68"/>
      <c r="L75" s="134"/>
      <c r="M75" s="458" t="s">
        <v>173</v>
      </c>
      <c r="N75" s="293" t="s">
        <v>130</v>
      </c>
      <c r="O75" s="301" t="s">
        <v>131</v>
      </c>
      <c r="P75" s="1"/>
      <c r="Q75" s="1"/>
      <c r="R75" s="199" t="s">
        <v>2839</v>
      </c>
      <c r="S75" s="197" t="s">
        <v>2849</v>
      </c>
      <c r="T75" s="198">
        <v>1</v>
      </c>
      <c r="U75" s="79" t="s">
        <v>126</v>
      </c>
      <c r="V75" s="186">
        <v>0</v>
      </c>
      <c r="W75" s="412"/>
      <c r="X75" s="413">
        <v>0</v>
      </c>
      <c r="Y75" s="134"/>
      <c r="Z75" s="134"/>
      <c r="AA75" s="134"/>
      <c r="AB75" s="68"/>
      <c r="AC75" s="134"/>
      <c r="AD75" s="458" t="s">
        <v>173</v>
      </c>
      <c r="AE75" s="293" t="s">
        <v>130</v>
      </c>
      <c r="AF75" s="301" t="s">
        <v>131</v>
      </c>
      <c r="AG75" s="1"/>
      <c r="AH75" s="1"/>
    </row>
    <row r="76" spans="1:34" s="80" customFormat="1">
      <c r="A76" s="199" t="s">
        <v>2841</v>
      </c>
      <c r="B76" s="197" t="s">
        <v>2851</v>
      </c>
      <c r="C76" s="198">
        <v>1</v>
      </c>
      <c r="D76" s="79" t="s">
        <v>126</v>
      </c>
      <c r="E76" s="186">
        <v>0</v>
      </c>
      <c r="F76" s="412"/>
      <c r="G76" s="413">
        <f>E76-(E76*F76)</f>
        <v>0</v>
      </c>
      <c r="H76" s="134"/>
      <c r="I76" s="134"/>
      <c r="J76" s="134"/>
      <c r="K76" s="68"/>
      <c r="L76" s="134"/>
      <c r="M76" s="458" t="s">
        <v>173</v>
      </c>
      <c r="N76" s="293" t="s">
        <v>130</v>
      </c>
      <c r="O76" s="301" t="s">
        <v>131</v>
      </c>
      <c r="P76" s="1"/>
      <c r="Q76" s="1"/>
      <c r="R76" s="199" t="s">
        <v>2841</v>
      </c>
      <c r="S76" s="197" t="s">
        <v>2851</v>
      </c>
      <c r="T76" s="198">
        <v>1</v>
      </c>
      <c r="U76" s="79" t="s">
        <v>126</v>
      </c>
      <c r="V76" s="186">
        <v>0</v>
      </c>
      <c r="W76" s="412"/>
      <c r="X76" s="413">
        <v>0</v>
      </c>
      <c r="Y76" s="134"/>
      <c r="Z76" s="134"/>
      <c r="AA76" s="134"/>
      <c r="AB76" s="68"/>
      <c r="AC76" s="134"/>
      <c r="AD76" s="458" t="s">
        <v>173</v>
      </c>
      <c r="AE76" s="293" t="s">
        <v>130</v>
      </c>
      <c r="AF76" s="301" t="s">
        <v>131</v>
      </c>
      <c r="AG76" s="1"/>
      <c r="AH76" s="1"/>
    </row>
    <row r="77" spans="1:34" s="80" customFormat="1">
      <c r="A77" s="199" t="s">
        <v>2840</v>
      </c>
      <c r="B77" s="197" t="s">
        <v>2850</v>
      </c>
      <c r="C77" s="198">
        <v>1</v>
      </c>
      <c r="D77" s="79" t="s">
        <v>126</v>
      </c>
      <c r="E77" s="186">
        <v>0</v>
      </c>
      <c r="F77" s="412"/>
      <c r="G77" s="413">
        <f t="shared" si="15"/>
        <v>0</v>
      </c>
      <c r="H77" s="134"/>
      <c r="I77" s="134"/>
      <c r="J77" s="134"/>
      <c r="K77" s="68"/>
      <c r="L77" s="134"/>
      <c r="M77" s="458" t="s">
        <v>173</v>
      </c>
      <c r="N77" s="293" t="s">
        <v>130</v>
      </c>
      <c r="O77" s="301" t="s">
        <v>131</v>
      </c>
      <c r="P77" s="1"/>
      <c r="Q77" s="1"/>
      <c r="R77" s="199" t="s">
        <v>2840</v>
      </c>
      <c r="S77" s="197" t="s">
        <v>2850</v>
      </c>
      <c r="T77" s="198">
        <v>1</v>
      </c>
      <c r="U77" s="79" t="s">
        <v>126</v>
      </c>
      <c r="V77" s="186">
        <v>0</v>
      </c>
      <c r="W77" s="412"/>
      <c r="X77" s="413">
        <v>0</v>
      </c>
      <c r="Y77" s="134"/>
      <c r="Z77" s="134"/>
      <c r="AA77" s="134"/>
      <c r="AB77" s="68"/>
      <c r="AC77" s="134"/>
      <c r="AD77" s="458" t="s">
        <v>173</v>
      </c>
      <c r="AE77" s="293" t="s">
        <v>130</v>
      </c>
      <c r="AF77" s="301" t="s">
        <v>131</v>
      </c>
      <c r="AG77" s="1"/>
      <c r="AH77" s="1"/>
    </row>
    <row r="78" spans="1:34" s="80" customFormat="1">
      <c r="A78" s="199" t="s">
        <v>2842</v>
      </c>
      <c r="B78" s="197" t="s">
        <v>2852</v>
      </c>
      <c r="C78" s="198">
        <v>1</v>
      </c>
      <c r="D78" s="79" t="s">
        <v>126</v>
      </c>
      <c r="E78" s="186">
        <v>0</v>
      </c>
      <c r="F78" s="412"/>
      <c r="G78" s="413">
        <f t="shared" si="15"/>
        <v>0</v>
      </c>
      <c r="H78" s="134"/>
      <c r="I78" s="134"/>
      <c r="J78" s="134"/>
      <c r="K78" s="68"/>
      <c r="L78" s="134"/>
      <c r="M78" s="458" t="s">
        <v>173</v>
      </c>
      <c r="N78" s="293" t="s">
        <v>130</v>
      </c>
      <c r="O78" s="301" t="s">
        <v>131</v>
      </c>
      <c r="P78" s="1"/>
      <c r="Q78" s="1"/>
      <c r="R78" s="199" t="s">
        <v>2842</v>
      </c>
      <c r="S78" s="197" t="s">
        <v>2852</v>
      </c>
      <c r="T78" s="198">
        <v>1</v>
      </c>
      <c r="U78" s="79" t="s">
        <v>126</v>
      </c>
      <c r="V78" s="186">
        <v>0</v>
      </c>
      <c r="W78" s="412"/>
      <c r="X78" s="413">
        <v>0</v>
      </c>
      <c r="Y78" s="134"/>
      <c r="Z78" s="134"/>
      <c r="AA78" s="134"/>
      <c r="AB78" s="68"/>
      <c r="AC78" s="134"/>
      <c r="AD78" s="458" t="s">
        <v>173</v>
      </c>
      <c r="AE78" s="293" t="s">
        <v>130</v>
      </c>
      <c r="AF78" s="301" t="s">
        <v>131</v>
      </c>
      <c r="AG78" s="1"/>
      <c r="AH78" s="1"/>
    </row>
    <row r="79" spans="1:34" s="80" customFormat="1">
      <c r="A79" s="194" t="s">
        <v>172</v>
      </c>
      <c r="B79" s="95" t="s">
        <v>133</v>
      </c>
      <c r="C79" s="82">
        <v>1</v>
      </c>
      <c r="D79" s="97" t="s">
        <v>134</v>
      </c>
      <c r="E79" s="228">
        <v>79.900000000000006</v>
      </c>
      <c r="F79" s="229">
        <f>rv_mba_mg</f>
        <v>0.17599999999999999</v>
      </c>
      <c r="G79" s="230">
        <f t="shared" ref="G79" si="18">E79-(E79*F79)</f>
        <v>65.837600000000009</v>
      </c>
      <c r="H79" s="131"/>
      <c r="I79" s="134"/>
      <c r="J79" s="134"/>
      <c r="K79" s="134"/>
      <c r="L79" s="134"/>
      <c r="M79" s="457" t="s">
        <v>135</v>
      </c>
      <c r="N79" s="305" t="s">
        <v>136</v>
      </c>
      <c r="O79" s="309" t="s">
        <v>137</v>
      </c>
      <c r="P79" s="84" t="str">
        <f t="shared" ref="P79:Q94" si="19">+IF($J79&lt;&gt;"",P$2*$J79,"")</f>
        <v/>
      </c>
      <c r="Q79" s="84" t="str">
        <f t="shared" si="19"/>
        <v/>
      </c>
      <c r="R79" s="194" t="s">
        <v>172</v>
      </c>
      <c r="S79" s="95" t="s">
        <v>133</v>
      </c>
      <c r="T79" s="82">
        <v>1</v>
      </c>
      <c r="U79" s="97" t="s">
        <v>134</v>
      </c>
      <c r="V79" s="228">
        <v>79.900000000000006</v>
      </c>
      <c r="W79" s="229">
        <v>0.17599999999999999</v>
      </c>
      <c r="X79" s="230">
        <v>65.837600000000009</v>
      </c>
      <c r="Y79" s="131"/>
      <c r="Z79" s="134"/>
      <c r="AA79" s="134"/>
      <c r="AB79" s="134"/>
      <c r="AC79" s="134"/>
      <c r="AD79" s="457" t="s">
        <v>135</v>
      </c>
      <c r="AE79" s="305" t="s">
        <v>136</v>
      </c>
      <c r="AF79" s="309" t="s">
        <v>137</v>
      </c>
      <c r="AG79" s="84" t="s">
        <v>2350</v>
      </c>
      <c r="AH79" s="84" t="s">
        <v>2350</v>
      </c>
    </row>
    <row r="80" spans="1:34" s="80" customFormat="1">
      <c r="A80" s="199" t="s">
        <v>174</v>
      </c>
      <c r="B80" s="197" t="s">
        <v>139</v>
      </c>
      <c r="C80" s="198">
        <v>1</v>
      </c>
      <c r="D80" s="226" t="s">
        <v>134</v>
      </c>
      <c r="E80" s="186"/>
      <c r="F80" s="188"/>
      <c r="G80" s="79">
        <v>18</v>
      </c>
      <c r="H80" s="22"/>
      <c r="I80" s="134"/>
      <c r="J80" s="134"/>
      <c r="K80" s="68"/>
      <c r="L80" s="52"/>
      <c r="M80" s="458" t="s">
        <v>135</v>
      </c>
      <c r="N80" s="293" t="s">
        <v>136</v>
      </c>
      <c r="O80" s="301" t="s">
        <v>137</v>
      </c>
      <c r="P80" s="1" t="str">
        <f t="shared" si="19"/>
        <v/>
      </c>
      <c r="Q80" s="1" t="str">
        <f t="shared" si="19"/>
        <v/>
      </c>
      <c r="R80" s="199" t="s">
        <v>174</v>
      </c>
      <c r="S80" s="197" t="s">
        <v>139</v>
      </c>
      <c r="T80" s="198">
        <v>1</v>
      </c>
      <c r="U80" s="226" t="s">
        <v>134</v>
      </c>
      <c r="V80" s="186"/>
      <c r="W80" s="188"/>
      <c r="X80" s="79">
        <v>18</v>
      </c>
      <c r="Y80" s="22"/>
      <c r="Z80" s="134"/>
      <c r="AA80" s="134"/>
      <c r="AB80" s="68"/>
      <c r="AC80" s="52"/>
      <c r="AD80" s="458" t="s">
        <v>135</v>
      </c>
      <c r="AE80" s="293" t="s">
        <v>136</v>
      </c>
      <c r="AF80" s="301" t="s">
        <v>137</v>
      </c>
      <c r="AG80" s="1" t="s">
        <v>2350</v>
      </c>
      <c r="AH80" s="1" t="s">
        <v>2350</v>
      </c>
    </row>
    <row r="81" spans="1:34" s="80" customFormat="1">
      <c r="A81" s="199" t="s">
        <v>175</v>
      </c>
      <c r="B81" s="197" t="s">
        <v>141</v>
      </c>
      <c r="C81" s="198">
        <v>1</v>
      </c>
      <c r="D81" s="226" t="s">
        <v>134</v>
      </c>
      <c r="E81" s="186"/>
      <c r="F81" s="188"/>
      <c r="G81" s="79">
        <v>26</v>
      </c>
      <c r="H81" s="22"/>
      <c r="I81" s="134"/>
      <c r="J81" s="134"/>
      <c r="K81" s="68"/>
      <c r="L81" s="52"/>
      <c r="M81" s="458" t="s">
        <v>135</v>
      </c>
      <c r="N81" s="293" t="s">
        <v>136</v>
      </c>
      <c r="O81" s="301" t="s">
        <v>137</v>
      </c>
      <c r="P81" s="1" t="str">
        <f t="shared" si="19"/>
        <v/>
      </c>
      <c r="Q81" s="1" t="str">
        <f t="shared" si="19"/>
        <v/>
      </c>
      <c r="R81" s="199" t="s">
        <v>175</v>
      </c>
      <c r="S81" s="197" t="s">
        <v>141</v>
      </c>
      <c r="T81" s="198">
        <v>1</v>
      </c>
      <c r="U81" s="226" t="s">
        <v>134</v>
      </c>
      <c r="V81" s="186"/>
      <c r="W81" s="188"/>
      <c r="X81" s="79">
        <v>26</v>
      </c>
      <c r="Y81" s="22"/>
      <c r="Z81" s="134"/>
      <c r="AA81" s="134"/>
      <c r="AB81" s="68"/>
      <c r="AC81" s="52"/>
      <c r="AD81" s="458" t="s">
        <v>135</v>
      </c>
      <c r="AE81" s="293" t="s">
        <v>136</v>
      </c>
      <c r="AF81" s="301" t="s">
        <v>137</v>
      </c>
      <c r="AG81" s="1" t="s">
        <v>2350</v>
      </c>
      <c r="AH81" s="1" t="s">
        <v>2350</v>
      </c>
    </row>
    <row r="82" spans="1:34" s="80" customFormat="1">
      <c r="A82" s="199" t="s">
        <v>176</v>
      </c>
      <c r="B82" s="197" t="s">
        <v>143</v>
      </c>
      <c r="C82" s="198">
        <v>1</v>
      </c>
      <c r="D82" s="226" t="s">
        <v>134</v>
      </c>
      <c r="E82" s="186"/>
      <c r="F82" s="188"/>
      <c r="G82" s="79">
        <v>37</v>
      </c>
      <c r="H82" s="22"/>
      <c r="I82" s="134"/>
      <c r="J82" s="134"/>
      <c r="K82" s="68"/>
      <c r="L82" s="52"/>
      <c r="M82" s="458" t="s">
        <v>135</v>
      </c>
      <c r="N82" s="293" t="s">
        <v>136</v>
      </c>
      <c r="O82" s="301" t="s">
        <v>137</v>
      </c>
      <c r="P82" s="1" t="str">
        <f t="shared" si="19"/>
        <v/>
      </c>
      <c r="Q82" s="1" t="str">
        <f t="shared" si="19"/>
        <v/>
      </c>
      <c r="R82" s="199" t="s">
        <v>176</v>
      </c>
      <c r="S82" s="197" t="s">
        <v>143</v>
      </c>
      <c r="T82" s="198">
        <v>1</v>
      </c>
      <c r="U82" s="226" t="s">
        <v>134</v>
      </c>
      <c r="V82" s="186"/>
      <c r="W82" s="188"/>
      <c r="X82" s="79">
        <v>37</v>
      </c>
      <c r="Y82" s="22"/>
      <c r="Z82" s="134"/>
      <c r="AA82" s="134"/>
      <c r="AB82" s="68"/>
      <c r="AC82" s="52"/>
      <c r="AD82" s="458" t="s">
        <v>135</v>
      </c>
      <c r="AE82" s="293" t="s">
        <v>136</v>
      </c>
      <c r="AF82" s="301" t="s">
        <v>137</v>
      </c>
      <c r="AG82" s="1" t="s">
        <v>2350</v>
      </c>
      <c r="AH82" s="1" t="s">
        <v>2350</v>
      </c>
    </row>
    <row r="83" spans="1:34" s="80" customFormat="1">
      <c r="A83" s="199" t="s">
        <v>177</v>
      </c>
      <c r="B83" s="197" t="s">
        <v>145</v>
      </c>
      <c r="C83" s="198">
        <v>1</v>
      </c>
      <c r="D83" s="226" t="s">
        <v>134</v>
      </c>
      <c r="E83" s="186"/>
      <c r="F83" s="188"/>
      <c r="G83" s="79">
        <v>21</v>
      </c>
      <c r="H83" s="22"/>
      <c r="I83" s="134"/>
      <c r="J83" s="134"/>
      <c r="K83" s="68"/>
      <c r="L83" s="52"/>
      <c r="M83" s="458" t="s">
        <v>135</v>
      </c>
      <c r="N83" s="293" t="s">
        <v>136</v>
      </c>
      <c r="O83" s="301" t="s">
        <v>137</v>
      </c>
      <c r="P83" s="1" t="str">
        <f t="shared" si="19"/>
        <v/>
      </c>
      <c r="Q83" s="1" t="str">
        <f t="shared" si="19"/>
        <v/>
      </c>
      <c r="R83" s="199" t="s">
        <v>177</v>
      </c>
      <c r="S83" s="197" t="s">
        <v>145</v>
      </c>
      <c r="T83" s="198">
        <v>1</v>
      </c>
      <c r="U83" s="226" t="s">
        <v>134</v>
      </c>
      <c r="V83" s="186"/>
      <c r="W83" s="188"/>
      <c r="X83" s="79">
        <v>21</v>
      </c>
      <c r="Y83" s="22"/>
      <c r="Z83" s="134"/>
      <c r="AA83" s="134"/>
      <c r="AB83" s="68"/>
      <c r="AC83" s="52"/>
      <c r="AD83" s="458" t="s">
        <v>135</v>
      </c>
      <c r="AE83" s="293" t="s">
        <v>136</v>
      </c>
      <c r="AF83" s="301" t="s">
        <v>137</v>
      </c>
      <c r="AG83" s="1" t="s">
        <v>2350</v>
      </c>
      <c r="AH83" s="1" t="s">
        <v>2350</v>
      </c>
    </row>
    <row r="84" spans="1:34" s="80" customFormat="1">
      <c r="A84" s="199" t="s">
        <v>178</v>
      </c>
      <c r="B84" s="197" t="s">
        <v>147</v>
      </c>
      <c r="C84" s="198">
        <v>1</v>
      </c>
      <c r="D84" s="226" t="s">
        <v>134</v>
      </c>
      <c r="E84" s="186"/>
      <c r="F84" s="188"/>
      <c r="G84" s="79">
        <v>46</v>
      </c>
      <c r="H84" s="59"/>
      <c r="I84" s="134"/>
      <c r="J84" s="134"/>
      <c r="K84" s="68"/>
      <c r="L84" s="52"/>
      <c r="M84" s="458" t="s">
        <v>135</v>
      </c>
      <c r="N84" s="293" t="s">
        <v>136</v>
      </c>
      <c r="O84" s="301" t="s">
        <v>137</v>
      </c>
      <c r="P84" s="1" t="str">
        <f t="shared" si="19"/>
        <v/>
      </c>
      <c r="Q84" s="1" t="str">
        <f t="shared" si="19"/>
        <v/>
      </c>
      <c r="R84" s="199" t="s">
        <v>178</v>
      </c>
      <c r="S84" s="197" t="s">
        <v>147</v>
      </c>
      <c r="T84" s="198">
        <v>1</v>
      </c>
      <c r="U84" s="226" t="s">
        <v>134</v>
      </c>
      <c r="V84" s="186"/>
      <c r="W84" s="188"/>
      <c r="X84" s="79">
        <v>46</v>
      </c>
      <c r="Y84" s="59"/>
      <c r="Z84" s="134"/>
      <c r="AA84" s="134"/>
      <c r="AB84" s="68"/>
      <c r="AC84" s="52"/>
      <c r="AD84" s="458" t="s">
        <v>135</v>
      </c>
      <c r="AE84" s="293" t="s">
        <v>136</v>
      </c>
      <c r="AF84" s="301" t="s">
        <v>137</v>
      </c>
      <c r="AG84" s="1" t="s">
        <v>2350</v>
      </c>
      <c r="AH84" s="1" t="s">
        <v>2350</v>
      </c>
    </row>
    <row r="85" spans="1:34" s="80" customFormat="1">
      <c r="A85" s="199" t="s">
        <v>179</v>
      </c>
      <c r="B85" s="197" t="s">
        <v>149</v>
      </c>
      <c r="C85" s="198">
        <v>1</v>
      </c>
      <c r="D85" s="226" t="s">
        <v>134</v>
      </c>
      <c r="E85" s="186"/>
      <c r="F85" s="188"/>
      <c r="G85" s="79">
        <v>55</v>
      </c>
      <c r="H85" s="59"/>
      <c r="I85" s="134"/>
      <c r="J85" s="134"/>
      <c r="K85" s="68"/>
      <c r="L85" s="52"/>
      <c r="M85" s="458" t="s">
        <v>135</v>
      </c>
      <c r="N85" s="293" t="s">
        <v>136</v>
      </c>
      <c r="O85" s="301" t="s">
        <v>137</v>
      </c>
      <c r="P85" s="1" t="str">
        <f t="shared" si="19"/>
        <v/>
      </c>
      <c r="Q85" s="1" t="str">
        <f t="shared" si="19"/>
        <v/>
      </c>
      <c r="R85" s="199" t="s">
        <v>179</v>
      </c>
      <c r="S85" s="197" t="s">
        <v>149</v>
      </c>
      <c r="T85" s="198">
        <v>1</v>
      </c>
      <c r="U85" s="226" t="s">
        <v>134</v>
      </c>
      <c r="V85" s="186"/>
      <c r="W85" s="188"/>
      <c r="X85" s="79">
        <v>55</v>
      </c>
      <c r="Y85" s="59"/>
      <c r="Z85" s="134"/>
      <c r="AA85" s="134"/>
      <c r="AB85" s="68"/>
      <c r="AC85" s="52"/>
      <c r="AD85" s="458" t="s">
        <v>135</v>
      </c>
      <c r="AE85" s="293" t="s">
        <v>136</v>
      </c>
      <c r="AF85" s="301" t="s">
        <v>137</v>
      </c>
      <c r="AG85" s="1" t="s">
        <v>2350</v>
      </c>
      <c r="AH85" s="1" t="s">
        <v>2350</v>
      </c>
    </row>
    <row r="86" spans="1:34" s="80" customFormat="1">
      <c r="A86" s="199" t="s">
        <v>180</v>
      </c>
      <c r="B86" s="197" t="s">
        <v>151</v>
      </c>
      <c r="C86" s="198">
        <v>1</v>
      </c>
      <c r="D86" s="226" t="s">
        <v>134</v>
      </c>
      <c r="E86" s="186"/>
      <c r="F86" s="188"/>
      <c r="G86" s="79">
        <v>62</v>
      </c>
      <c r="H86" s="59"/>
      <c r="I86" s="134"/>
      <c r="J86" s="134"/>
      <c r="K86" s="68"/>
      <c r="L86" s="52"/>
      <c r="M86" s="458" t="s">
        <v>135</v>
      </c>
      <c r="N86" s="293" t="s">
        <v>136</v>
      </c>
      <c r="O86" s="301" t="s">
        <v>137</v>
      </c>
      <c r="P86" s="1" t="str">
        <f t="shared" si="19"/>
        <v/>
      </c>
      <c r="Q86" s="1" t="str">
        <f t="shared" si="19"/>
        <v/>
      </c>
      <c r="R86" s="199" t="s">
        <v>180</v>
      </c>
      <c r="S86" s="197" t="s">
        <v>151</v>
      </c>
      <c r="T86" s="198">
        <v>1</v>
      </c>
      <c r="U86" s="226" t="s">
        <v>134</v>
      </c>
      <c r="V86" s="186"/>
      <c r="W86" s="188"/>
      <c r="X86" s="79">
        <v>62</v>
      </c>
      <c r="Y86" s="59"/>
      <c r="Z86" s="134"/>
      <c r="AA86" s="134"/>
      <c r="AB86" s="68"/>
      <c r="AC86" s="52"/>
      <c r="AD86" s="458" t="s">
        <v>135</v>
      </c>
      <c r="AE86" s="293" t="s">
        <v>136</v>
      </c>
      <c r="AF86" s="301" t="s">
        <v>137</v>
      </c>
      <c r="AG86" s="1" t="s">
        <v>2350</v>
      </c>
      <c r="AH86" s="1" t="s">
        <v>2350</v>
      </c>
    </row>
    <row r="87" spans="1:34" s="80" customFormat="1">
      <c r="A87" s="199" t="s">
        <v>181</v>
      </c>
      <c r="B87" s="197" t="s">
        <v>153</v>
      </c>
      <c r="C87" s="198">
        <v>1</v>
      </c>
      <c r="D87" s="226" t="s">
        <v>134</v>
      </c>
      <c r="E87" s="186"/>
      <c r="F87" s="188"/>
      <c r="G87" s="79">
        <v>16</v>
      </c>
      <c r="H87" s="59"/>
      <c r="I87" s="134"/>
      <c r="J87" s="134"/>
      <c r="K87" s="68"/>
      <c r="L87" s="52"/>
      <c r="M87" s="458" t="s">
        <v>135</v>
      </c>
      <c r="N87" s="293" t="s">
        <v>136</v>
      </c>
      <c r="O87" s="301" t="s">
        <v>137</v>
      </c>
      <c r="P87" s="1" t="str">
        <f t="shared" si="19"/>
        <v/>
      </c>
      <c r="Q87" s="1" t="str">
        <f t="shared" si="19"/>
        <v/>
      </c>
      <c r="R87" s="199" t="s">
        <v>181</v>
      </c>
      <c r="S87" s="197" t="s">
        <v>153</v>
      </c>
      <c r="T87" s="198">
        <v>1</v>
      </c>
      <c r="U87" s="226" t="s">
        <v>134</v>
      </c>
      <c r="V87" s="186"/>
      <c r="W87" s="188"/>
      <c r="X87" s="79">
        <v>16</v>
      </c>
      <c r="Y87" s="59"/>
      <c r="Z87" s="134"/>
      <c r="AA87" s="134"/>
      <c r="AB87" s="68"/>
      <c r="AC87" s="52"/>
      <c r="AD87" s="458" t="s">
        <v>135</v>
      </c>
      <c r="AE87" s="293" t="s">
        <v>136</v>
      </c>
      <c r="AF87" s="301" t="s">
        <v>137</v>
      </c>
      <c r="AG87" s="1" t="s">
        <v>2350</v>
      </c>
      <c r="AH87" s="1" t="s">
        <v>2350</v>
      </c>
    </row>
    <row r="88" spans="1:34" s="80" customFormat="1">
      <c r="A88" s="199" t="s">
        <v>182</v>
      </c>
      <c r="B88" s="197" t="s">
        <v>155</v>
      </c>
      <c r="C88" s="198">
        <v>1</v>
      </c>
      <c r="D88" s="226" t="s">
        <v>134</v>
      </c>
      <c r="E88" s="186"/>
      <c r="F88" s="188"/>
      <c r="G88" s="79">
        <v>39</v>
      </c>
      <c r="H88" s="59"/>
      <c r="I88" s="134"/>
      <c r="J88" s="134"/>
      <c r="K88" s="68"/>
      <c r="L88" s="52"/>
      <c r="M88" s="458" t="s">
        <v>135</v>
      </c>
      <c r="N88" s="293" t="s">
        <v>136</v>
      </c>
      <c r="O88" s="301" t="s">
        <v>137</v>
      </c>
      <c r="P88" s="1" t="str">
        <f t="shared" si="19"/>
        <v/>
      </c>
      <c r="Q88" s="1" t="str">
        <f t="shared" si="19"/>
        <v/>
      </c>
      <c r="R88" s="199" t="s">
        <v>182</v>
      </c>
      <c r="S88" s="197" t="s">
        <v>155</v>
      </c>
      <c r="T88" s="198">
        <v>1</v>
      </c>
      <c r="U88" s="226" t="s">
        <v>134</v>
      </c>
      <c r="V88" s="186"/>
      <c r="W88" s="188"/>
      <c r="X88" s="79">
        <v>39</v>
      </c>
      <c r="Y88" s="59"/>
      <c r="Z88" s="134"/>
      <c r="AA88" s="134"/>
      <c r="AB88" s="68"/>
      <c r="AC88" s="52"/>
      <c r="AD88" s="458" t="s">
        <v>135</v>
      </c>
      <c r="AE88" s="293" t="s">
        <v>136</v>
      </c>
      <c r="AF88" s="301" t="s">
        <v>137</v>
      </c>
      <c r="AG88" s="1" t="s">
        <v>2350</v>
      </c>
      <c r="AH88" s="1" t="s">
        <v>2350</v>
      </c>
    </row>
    <row r="89" spans="1:34" s="80" customFormat="1">
      <c r="A89" s="199" t="s">
        <v>183</v>
      </c>
      <c r="B89" s="197" t="s">
        <v>157</v>
      </c>
      <c r="C89" s="198">
        <v>1</v>
      </c>
      <c r="D89" s="226" t="s">
        <v>134</v>
      </c>
      <c r="E89" s="186"/>
      <c r="F89" s="188"/>
      <c r="G89" s="79">
        <v>51</v>
      </c>
      <c r="H89" s="59"/>
      <c r="I89" s="134"/>
      <c r="J89" s="134"/>
      <c r="K89" s="68"/>
      <c r="L89" s="52"/>
      <c r="M89" s="458" t="s">
        <v>135</v>
      </c>
      <c r="N89" s="293" t="s">
        <v>136</v>
      </c>
      <c r="O89" s="301" t="s">
        <v>137</v>
      </c>
      <c r="P89" s="1" t="str">
        <f t="shared" si="19"/>
        <v/>
      </c>
      <c r="Q89" s="1" t="str">
        <f t="shared" si="19"/>
        <v/>
      </c>
      <c r="R89" s="199" t="s">
        <v>183</v>
      </c>
      <c r="S89" s="197" t="s">
        <v>157</v>
      </c>
      <c r="T89" s="198">
        <v>1</v>
      </c>
      <c r="U89" s="226" t="s">
        <v>134</v>
      </c>
      <c r="V89" s="186"/>
      <c r="W89" s="188"/>
      <c r="X89" s="79">
        <v>51</v>
      </c>
      <c r="Y89" s="59"/>
      <c r="Z89" s="134"/>
      <c r="AA89" s="134"/>
      <c r="AB89" s="68"/>
      <c r="AC89" s="52"/>
      <c r="AD89" s="458" t="s">
        <v>135</v>
      </c>
      <c r="AE89" s="293" t="s">
        <v>136</v>
      </c>
      <c r="AF89" s="301" t="s">
        <v>137</v>
      </c>
      <c r="AG89" s="1" t="s">
        <v>2350</v>
      </c>
      <c r="AH89" s="1" t="s">
        <v>2350</v>
      </c>
    </row>
    <row r="90" spans="1:34" s="80" customFormat="1">
      <c r="A90" s="199" t="s">
        <v>184</v>
      </c>
      <c r="B90" s="197" t="s">
        <v>159</v>
      </c>
      <c r="C90" s="198">
        <v>1</v>
      </c>
      <c r="D90" s="226" t="s">
        <v>134</v>
      </c>
      <c r="E90" s="186"/>
      <c r="F90" s="188"/>
      <c r="G90" s="79">
        <v>68</v>
      </c>
      <c r="H90" s="59"/>
      <c r="I90" s="134"/>
      <c r="J90" s="134"/>
      <c r="K90" s="68"/>
      <c r="L90" s="52"/>
      <c r="M90" s="458" t="s">
        <v>135</v>
      </c>
      <c r="N90" s="293" t="s">
        <v>136</v>
      </c>
      <c r="O90" s="301" t="s">
        <v>137</v>
      </c>
      <c r="P90" s="1" t="str">
        <f t="shared" si="19"/>
        <v/>
      </c>
      <c r="Q90" s="1" t="str">
        <f t="shared" si="19"/>
        <v/>
      </c>
      <c r="R90" s="199" t="s">
        <v>184</v>
      </c>
      <c r="S90" s="197" t="s">
        <v>159</v>
      </c>
      <c r="T90" s="198">
        <v>1</v>
      </c>
      <c r="U90" s="226" t="s">
        <v>134</v>
      </c>
      <c r="V90" s="186"/>
      <c r="W90" s="188"/>
      <c r="X90" s="79">
        <v>68</v>
      </c>
      <c r="Y90" s="59"/>
      <c r="Z90" s="134"/>
      <c r="AA90" s="134"/>
      <c r="AB90" s="68"/>
      <c r="AC90" s="52"/>
      <c r="AD90" s="458" t="s">
        <v>135</v>
      </c>
      <c r="AE90" s="293" t="s">
        <v>136</v>
      </c>
      <c r="AF90" s="301" t="s">
        <v>137</v>
      </c>
      <c r="AG90" s="1" t="s">
        <v>2350</v>
      </c>
      <c r="AH90" s="1" t="s">
        <v>2350</v>
      </c>
    </row>
    <row r="91" spans="1:34" s="70" customFormat="1">
      <c r="A91" s="221" t="s">
        <v>185</v>
      </c>
      <c r="B91" s="414" t="s">
        <v>161</v>
      </c>
      <c r="C91" s="415">
        <v>1</v>
      </c>
      <c r="D91" s="227" t="s">
        <v>134</v>
      </c>
      <c r="E91" s="204"/>
      <c r="F91" s="208"/>
      <c r="G91" s="91">
        <v>383</v>
      </c>
      <c r="H91" s="91"/>
      <c r="I91" s="90"/>
      <c r="J91" s="90"/>
      <c r="K91" s="32"/>
      <c r="L91" s="90"/>
      <c r="M91" s="458" t="s">
        <v>135</v>
      </c>
      <c r="N91" s="293" t="s">
        <v>136</v>
      </c>
      <c r="O91" s="399" t="s">
        <v>137</v>
      </c>
      <c r="P91" s="1" t="str">
        <f t="shared" si="19"/>
        <v/>
      </c>
      <c r="Q91" s="1" t="str">
        <f t="shared" si="19"/>
        <v/>
      </c>
      <c r="R91" s="221" t="s">
        <v>185</v>
      </c>
      <c r="S91" s="414" t="s">
        <v>161</v>
      </c>
      <c r="T91" s="415">
        <v>1</v>
      </c>
      <c r="U91" s="227" t="s">
        <v>134</v>
      </c>
      <c r="V91" s="204"/>
      <c r="W91" s="208"/>
      <c r="X91" s="91">
        <v>383</v>
      </c>
      <c r="Y91" s="91"/>
      <c r="Z91" s="90"/>
      <c r="AA91" s="90"/>
      <c r="AB91" s="32"/>
      <c r="AC91" s="90"/>
      <c r="AD91" s="458" t="s">
        <v>135</v>
      </c>
      <c r="AE91" s="293" t="s">
        <v>136</v>
      </c>
      <c r="AF91" s="399" t="s">
        <v>137</v>
      </c>
      <c r="AG91" s="1" t="s">
        <v>2350</v>
      </c>
      <c r="AH91" s="1" t="s">
        <v>2350</v>
      </c>
    </row>
    <row r="92" spans="1:34">
      <c r="A92" s="199" t="s">
        <v>186</v>
      </c>
      <c r="B92" s="197" t="s">
        <v>163</v>
      </c>
      <c r="C92" s="198">
        <v>1</v>
      </c>
      <c r="D92" s="226" t="s">
        <v>134</v>
      </c>
      <c r="E92" s="186"/>
      <c r="F92" s="188"/>
      <c r="G92" s="79">
        <v>509</v>
      </c>
      <c r="H92" s="79"/>
      <c r="I92" s="52"/>
      <c r="J92" s="52"/>
      <c r="K92" s="13"/>
      <c r="L92" s="52"/>
      <c r="M92" s="458" t="s">
        <v>135</v>
      </c>
      <c r="N92" s="293" t="s">
        <v>136</v>
      </c>
      <c r="O92" s="297" t="s">
        <v>137</v>
      </c>
      <c r="P92" s="1" t="str">
        <f t="shared" si="19"/>
        <v/>
      </c>
      <c r="Q92" s="1" t="str">
        <f t="shared" si="19"/>
        <v/>
      </c>
      <c r="R92" s="199" t="s">
        <v>186</v>
      </c>
      <c r="S92" s="197" t="s">
        <v>163</v>
      </c>
      <c r="T92" s="198">
        <v>1</v>
      </c>
      <c r="U92" s="226" t="s">
        <v>134</v>
      </c>
      <c r="V92" s="186"/>
      <c r="W92" s="188"/>
      <c r="X92" s="79">
        <v>509</v>
      </c>
      <c r="Y92" s="79"/>
      <c r="Z92" s="52"/>
      <c r="AA92" s="52"/>
      <c r="AB92" s="13"/>
      <c r="AC92" s="52"/>
      <c r="AD92" s="458" t="s">
        <v>135</v>
      </c>
      <c r="AE92" s="293" t="s">
        <v>136</v>
      </c>
      <c r="AF92" s="297" t="s">
        <v>137</v>
      </c>
      <c r="AG92" s="1" t="s">
        <v>2350</v>
      </c>
      <c r="AH92" s="1" t="s">
        <v>2350</v>
      </c>
    </row>
    <row r="93" spans="1:34">
      <c r="A93" s="199" t="s">
        <v>187</v>
      </c>
      <c r="B93" s="197" t="s">
        <v>165</v>
      </c>
      <c r="C93" s="198">
        <v>1</v>
      </c>
      <c r="D93" s="226" t="s">
        <v>134</v>
      </c>
      <c r="E93" s="186"/>
      <c r="F93" s="188"/>
      <c r="G93" s="79">
        <v>137.59</v>
      </c>
      <c r="H93" s="63"/>
      <c r="I93" s="52"/>
      <c r="J93" s="52"/>
      <c r="K93" s="13"/>
      <c r="L93" s="52"/>
      <c r="M93" s="458" t="s">
        <v>135</v>
      </c>
      <c r="N93" s="293" t="s">
        <v>136</v>
      </c>
      <c r="O93" s="400" t="s">
        <v>137</v>
      </c>
      <c r="P93" s="1" t="str">
        <f t="shared" si="19"/>
        <v/>
      </c>
      <c r="Q93" s="1" t="str">
        <f t="shared" si="19"/>
        <v/>
      </c>
      <c r="R93" s="199" t="s">
        <v>187</v>
      </c>
      <c r="S93" s="197" t="s">
        <v>165</v>
      </c>
      <c r="T93" s="198">
        <v>1</v>
      </c>
      <c r="U93" s="226" t="s">
        <v>134</v>
      </c>
      <c r="V93" s="186"/>
      <c r="W93" s="188"/>
      <c r="X93" s="79">
        <v>137.59</v>
      </c>
      <c r="Y93" s="63"/>
      <c r="Z93" s="52"/>
      <c r="AA93" s="52"/>
      <c r="AB93" s="13"/>
      <c r="AC93" s="52"/>
      <c r="AD93" s="458" t="s">
        <v>135</v>
      </c>
      <c r="AE93" s="293" t="s">
        <v>136</v>
      </c>
      <c r="AF93" s="400" t="s">
        <v>137</v>
      </c>
      <c r="AG93" s="1" t="s">
        <v>2350</v>
      </c>
      <c r="AH93" s="1" t="s">
        <v>2350</v>
      </c>
    </row>
    <row r="94" spans="1:34">
      <c r="A94" s="199" t="s">
        <v>188</v>
      </c>
      <c r="B94" s="197" t="s">
        <v>167</v>
      </c>
      <c r="C94" s="198">
        <v>1</v>
      </c>
      <c r="D94" s="226" t="s">
        <v>134</v>
      </c>
      <c r="E94" s="186"/>
      <c r="F94" s="188"/>
      <c r="G94" s="79">
        <v>221.92</v>
      </c>
      <c r="H94" s="63"/>
      <c r="I94" s="52"/>
      <c r="J94" s="52"/>
      <c r="K94" s="13"/>
      <c r="L94" s="52"/>
      <c r="M94" s="458" t="s">
        <v>135</v>
      </c>
      <c r="N94" s="293" t="s">
        <v>136</v>
      </c>
      <c r="O94" s="297" t="s">
        <v>137</v>
      </c>
      <c r="P94" s="1" t="str">
        <f t="shared" si="19"/>
        <v/>
      </c>
      <c r="Q94" s="1" t="str">
        <f t="shared" si="19"/>
        <v/>
      </c>
      <c r="R94" s="199" t="s">
        <v>188</v>
      </c>
      <c r="S94" s="197" t="s">
        <v>167</v>
      </c>
      <c r="T94" s="198">
        <v>1</v>
      </c>
      <c r="U94" s="226" t="s">
        <v>134</v>
      </c>
      <c r="V94" s="186"/>
      <c r="W94" s="188"/>
      <c r="X94" s="79">
        <v>221.92</v>
      </c>
      <c r="Y94" s="63"/>
      <c r="Z94" s="52"/>
      <c r="AA94" s="52"/>
      <c r="AB94" s="13"/>
      <c r="AC94" s="52"/>
      <c r="AD94" s="458" t="s">
        <v>135</v>
      </c>
      <c r="AE94" s="293" t="s">
        <v>136</v>
      </c>
      <c r="AF94" s="297" t="s">
        <v>137</v>
      </c>
      <c r="AG94" s="1" t="s">
        <v>2350</v>
      </c>
      <c r="AH94" s="1" t="s">
        <v>2350</v>
      </c>
    </row>
    <row r="95" spans="1:34" s="270" customFormat="1" ht="25" customHeight="1">
      <c r="A95" s="332" t="s">
        <v>2705</v>
      </c>
      <c r="B95" s="393" t="s">
        <v>2706</v>
      </c>
      <c r="C95" s="334"/>
      <c r="D95" s="335"/>
      <c r="E95" s="335"/>
      <c r="F95" s="336"/>
      <c r="G95" s="337"/>
      <c r="H95" s="337"/>
      <c r="I95" s="338"/>
      <c r="J95" s="338"/>
      <c r="K95" s="337"/>
      <c r="L95" s="338"/>
      <c r="M95" s="456"/>
      <c r="N95" s="339"/>
      <c r="O95" s="338"/>
      <c r="P95" s="338"/>
      <c r="Q95" s="338"/>
      <c r="R95" s="332" t="s">
        <v>2705</v>
      </c>
      <c r="S95" s="393" t="s">
        <v>2706</v>
      </c>
      <c r="T95" s="334"/>
      <c r="U95" s="335"/>
      <c r="V95" s="335"/>
      <c r="W95" s="336"/>
      <c r="X95" s="337"/>
      <c r="Y95" s="337"/>
      <c r="Z95" s="338"/>
      <c r="AA95" s="338"/>
      <c r="AB95" s="337"/>
      <c r="AC95" s="338"/>
      <c r="AD95" s="456"/>
      <c r="AE95" s="339"/>
      <c r="AF95" s="338"/>
      <c r="AG95" s="338"/>
      <c r="AH95" s="338"/>
    </row>
    <row r="96" spans="1:34" s="311" customFormat="1">
      <c r="A96" s="174" t="s">
        <v>2710</v>
      </c>
      <c r="B96" s="49" t="s">
        <v>2707</v>
      </c>
      <c r="C96" s="50">
        <v>1</v>
      </c>
      <c r="D96" s="65" t="s">
        <v>126</v>
      </c>
      <c r="E96" s="57">
        <v>1579.18</v>
      </c>
      <c r="F96" s="61">
        <f>rv_mbp13_eg</f>
        <v>0.17599999999999999</v>
      </c>
      <c r="G96" s="65">
        <f t="shared" ref="G96:G100" si="20">E96-(E96*F96)</f>
        <v>1301.24432</v>
      </c>
      <c r="H96" s="50" t="s">
        <v>190</v>
      </c>
      <c r="I96" s="58">
        <f>mbp13_5pl</f>
        <v>74.077600000000004</v>
      </c>
      <c r="J96" s="58">
        <f>G96+I96</f>
        <v>1375.3219200000001</v>
      </c>
      <c r="K96" s="58" t="s">
        <v>128</v>
      </c>
      <c r="L96" s="58">
        <v>3.32</v>
      </c>
      <c r="M96" s="457" t="s">
        <v>191</v>
      </c>
      <c r="N96" s="305" t="s">
        <v>130</v>
      </c>
      <c r="O96" s="309" t="s">
        <v>192</v>
      </c>
      <c r="P96" s="84">
        <f t="shared" ref="P96:Q105" si="21">+IF($J96&lt;&gt;"",P$2*$J96,"")</f>
        <v>276.86433283256844</v>
      </c>
      <c r="Q96" s="84">
        <f t="shared" si="21"/>
        <v>143.88818198374935</v>
      </c>
      <c r="R96" s="174" t="s">
        <v>2710</v>
      </c>
      <c r="S96" s="49" t="s">
        <v>2707</v>
      </c>
      <c r="T96" s="50">
        <v>1</v>
      </c>
      <c r="U96" s="65" t="s">
        <v>126</v>
      </c>
      <c r="V96" s="57">
        <v>1582.2</v>
      </c>
      <c r="W96" s="61">
        <v>0.17599999999999999</v>
      </c>
      <c r="X96" s="65">
        <v>1303.7328</v>
      </c>
      <c r="Y96" s="50" t="s">
        <v>190</v>
      </c>
      <c r="Z96" s="58">
        <v>74.077600000000004</v>
      </c>
      <c r="AA96" s="58">
        <v>1377.8104000000001</v>
      </c>
      <c r="AB96" s="58" t="s">
        <v>128</v>
      </c>
      <c r="AC96" s="58">
        <v>0.3</v>
      </c>
      <c r="AD96" s="457" t="s">
        <v>191</v>
      </c>
      <c r="AE96" s="305" t="s">
        <v>130</v>
      </c>
      <c r="AF96" s="309" t="s">
        <v>192</v>
      </c>
      <c r="AG96" s="84">
        <v>277.36528562401901</v>
      </c>
      <c r="AH96" s="84">
        <v>144.14853038501889</v>
      </c>
    </row>
    <row r="97" spans="1:34" s="80" customFormat="1">
      <c r="A97" s="409" t="s">
        <v>2853</v>
      </c>
      <c r="B97" s="197" t="s">
        <v>2711</v>
      </c>
      <c r="C97" s="198">
        <v>1</v>
      </c>
      <c r="D97" s="62" t="s">
        <v>126</v>
      </c>
      <c r="E97" s="186">
        <v>191.67</v>
      </c>
      <c r="F97" s="234">
        <f t="shared" ref="F97:F102" si="22">rv_mbp13_eg_cto</f>
        <v>0.17599999999999999</v>
      </c>
      <c r="G97" s="79">
        <f t="shared" si="20"/>
        <v>157.93608</v>
      </c>
      <c r="H97" s="59"/>
      <c r="I97" s="134"/>
      <c r="J97" s="134"/>
      <c r="K97" s="68"/>
      <c r="L97" s="134"/>
      <c r="M97" s="458" t="s">
        <v>191</v>
      </c>
      <c r="N97" s="293" t="s">
        <v>130</v>
      </c>
      <c r="O97" s="301" t="s">
        <v>192</v>
      </c>
      <c r="P97" s="1" t="str">
        <f t="shared" si="21"/>
        <v/>
      </c>
      <c r="Q97" s="1" t="str">
        <f t="shared" si="21"/>
        <v/>
      </c>
      <c r="R97" s="409" t="s">
        <v>2853</v>
      </c>
      <c r="S97" s="197" t="s">
        <v>2711</v>
      </c>
      <c r="T97" s="198">
        <v>1</v>
      </c>
      <c r="U97" s="62" t="s">
        <v>126</v>
      </c>
      <c r="V97" s="186">
        <v>191.67</v>
      </c>
      <c r="W97" s="234">
        <v>0.17599999999999999</v>
      </c>
      <c r="X97" s="79">
        <v>157.93608</v>
      </c>
      <c r="Y97" s="59"/>
      <c r="Z97" s="134"/>
      <c r="AA97" s="134"/>
      <c r="AB97" s="68"/>
      <c r="AC97" s="134"/>
      <c r="AD97" s="458" t="s">
        <v>191</v>
      </c>
      <c r="AE97" s="293" t="s">
        <v>130</v>
      </c>
      <c r="AF97" s="301" t="s">
        <v>192</v>
      </c>
      <c r="AG97" s="1" t="s">
        <v>2350</v>
      </c>
      <c r="AH97" s="1" t="s">
        <v>2350</v>
      </c>
    </row>
    <row r="98" spans="1:34" s="80" customFormat="1">
      <c r="A98" s="409" t="s">
        <v>2854</v>
      </c>
      <c r="B98" s="197" t="s">
        <v>2712</v>
      </c>
      <c r="C98" s="198">
        <v>1</v>
      </c>
      <c r="D98" s="62" t="s">
        <v>126</v>
      </c>
      <c r="E98" s="186">
        <v>383.33</v>
      </c>
      <c r="F98" s="234">
        <f t="shared" si="22"/>
        <v>0.17599999999999999</v>
      </c>
      <c r="G98" s="79">
        <f t="shared" ref="G98" si="23">E98-(E98*F98)</f>
        <v>315.86392000000001</v>
      </c>
      <c r="H98" s="59"/>
      <c r="I98" s="134"/>
      <c r="J98" s="134"/>
      <c r="K98" s="68"/>
      <c r="L98" s="134"/>
      <c r="M98" s="458" t="s">
        <v>191</v>
      </c>
      <c r="N98" s="293" t="s">
        <v>130</v>
      </c>
      <c r="O98" s="301" t="s">
        <v>192</v>
      </c>
      <c r="P98" s="1" t="str">
        <f t="shared" si="21"/>
        <v/>
      </c>
      <c r="Q98" s="1" t="str">
        <f t="shared" si="21"/>
        <v/>
      </c>
      <c r="R98" s="409" t="s">
        <v>2854</v>
      </c>
      <c r="S98" s="197" t="s">
        <v>2712</v>
      </c>
      <c r="T98" s="198">
        <v>1</v>
      </c>
      <c r="U98" s="62" t="s">
        <v>126</v>
      </c>
      <c r="V98" s="186">
        <v>383.33</v>
      </c>
      <c r="W98" s="234">
        <v>0.17599999999999999</v>
      </c>
      <c r="X98" s="79">
        <v>315.86392000000001</v>
      </c>
      <c r="Y98" s="59"/>
      <c r="Z98" s="134"/>
      <c r="AA98" s="134"/>
      <c r="AB98" s="68"/>
      <c r="AC98" s="134"/>
      <c r="AD98" s="458" t="s">
        <v>191</v>
      </c>
      <c r="AE98" s="293" t="s">
        <v>130</v>
      </c>
      <c r="AF98" s="301" t="s">
        <v>192</v>
      </c>
      <c r="AG98" s="1" t="s">
        <v>2350</v>
      </c>
      <c r="AH98" s="1" t="s">
        <v>2350</v>
      </c>
    </row>
    <row r="99" spans="1:34" s="80" customFormat="1">
      <c r="A99" s="409" t="s">
        <v>2855</v>
      </c>
      <c r="B99" s="197" t="s">
        <v>2713</v>
      </c>
      <c r="C99" s="198">
        <v>1</v>
      </c>
      <c r="D99" s="62" t="s">
        <v>126</v>
      </c>
      <c r="E99" s="186">
        <v>191.67</v>
      </c>
      <c r="F99" s="234">
        <f t="shared" si="22"/>
        <v>0.17599999999999999</v>
      </c>
      <c r="G99" s="79">
        <f t="shared" si="20"/>
        <v>157.93608</v>
      </c>
      <c r="H99" s="59"/>
      <c r="I99" s="134"/>
      <c r="J99" s="134"/>
      <c r="K99" s="68"/>
      <c r="L99" s="134"/>
      <c r="M99" s="458" t="s">
        <v>191</v>
      </c>
      <c r="N99" s="293" t="s">
        <v>130</v>
      </c>
      <c r="O99" s="301" t="s">
        <v>192</v>
      </c>
      <c r="P99" s="1" t="str">
        <f t="shared" si="21"/>
        <v/>
      </c>
      <c r="Q99" s="1" t="str">
        <f t="shared" si="21"/>
        <v/>
      </c>
      <c r="R99" s="409" t="s">
        <v>2855</v>
      </c>
      <c r="S99" s="197" t="s">
        <v>2713</v>
      </c>
      <c r="T99" s="198">
        <v>1</v>
      </c>
      <c r="U99" s="62" t="s">
        <v>126</v>
      </c>
      <c r="V99" s="186">
        <v>191.67</v>
      </c>
      <c r="W99" s="234">
        <v>0.17599999999999999</v>
      </c>
      <c r="X99" s="79">
        <v>157.93608</v>
      </c>
      <c r="Y99" s="59"/>
      <c r="Z99" s="134"/>
      <c r="AA99" s="134"/>
      <c r="AB99" s="68"/>
      <c r="AC99" s="134"/>
      <c r="AD99" s="458" t="s">
        <v>191</v>
      </c>
      <c r="AE99" s="293" t="s">
        <v>130</v>
      </c>
      <c r="AF99" s="301" t="s">
        <v>192</v>
      </c>
      <c r="AG99" s="1" t="s">
        <v>2350</v>
      </c>
      <c r="AH99" s="1" t="s">
        <v>2350</v>
      </c>
    </row>
    <row r="100" spans="1:34" s="80" customFormat="1">
      <c r="A100" s="409" t="s">
        <v>2856</v>
      </c>
      <c r="B100" s="197" t="s">
        <v>2714</v>
      </c>
      <c r="C100" s="198">
        <v>1</v>
      </c>
      <c r="D100" s="62" t="s">
        <v>126</v>
      </c>
      <c r="E100" s="186">
        <v>575</v>
      </c>
      <c r="F100" s="234">
        <f t="shared" si="22"/>
        <v>0.17599999999999999</v>
      </c>
      <c r="G100" s="79">
        <f t="shared" si="20"/>
        <v>473.8</v>
      </c>
      <c r="H100" s="59"/>
      <c r="I100" s="134"/>
      <c r="J100" s="134"/>
      <c r="K100" s="68"/>
      <c r="L100" s="134"/>
      <c r="M100" s="458" t="s">
        <v>191</v>
      </c>
      <c r="N100" s="293" t="s">
        <v>130</v>
      </c>
      <c r="O100" s="301" t="s">
        <v>192</v>
      </c>
      <c r="P100" s="1" t="str">
        <f t="shared" si="21"/>
        <v/>
      </c>
      <c r="Q100" s="1" t="str">
        <f t="shared" si="21"/>
        <v/>
      </c>
      <c r="R100" s="409" t="s">
        <v>2856</v>
      </c>
      <c r="S100" s="197" t="s">
        <v>2714</v>
      </c>
      <c r="T100" s="198">
        <v>1</v>
      </c>
      <c r="U100" s="62" t="s">
        <v>126</v>
      </c>
      <c r="V100" s="186">
        <v>575</v>
      </c>
      <c r="W100" s="234">
        <v>0.17599999999999999</v>
      </c>
      <c r="X100" s="79">
        <v>473.8</v>
      </c>
      <c r="Y100" s="59"/>
      <c r="Z100" s="134"/>
      <c r="AA100" s="134"/>
      <c r="AB100" s="68"/>
      <c r="AC100" s="134"/>
      <c r="AD100" s="458" t="s">
        <v>191</v>
      </c>
      <c r="AE100" s="293" t="s">
        <v>130</v>
      </c>
      <c r="AF100" s="301" t="s">
        <v>192</v>
      </c>
      <c r="AG100" s="1" t="s">
        <v>2350</v>
      </c>
      <c r="AH100" s="1" t="s">
        <v>2350</v>
      </c>
    </row>
    <row r="101" spans="1:34" s="80" customFormat="1">
      <c r="A101" s="410" t="s">
        <v>2719</v>
      </c>
      <c r="B101" s="348" t="s">
        <v>2747</v>
      </c>
      <c r="C101" s="198">
        <v>1</v>
      </c>
      <c r="D101" s="62" t="s">
        <v>126</v>
      </c>
      <c r="E101" s="186">
        <v>141.66999999999999</v>
      </c>
      <c r="F101" s="234">
        <f t="shared" si="22"/>
        <v>0.17599999999999999</v>
      </c>
      <c r="G101" s="79">
        <f t="shared" ref="G101" si="24">E101-(E101*F101)</f>
        <v>116.73607999999999</v>
      </c>
      <c r="H101" s="59"/>
      <c r="I101" s="134"/>
      <c r="J101" s="134"/>
      <c r="K101" s="68"/>
      <c r="L101" s="134"/>
      <c r="M101" s="458" t="s">
        <v>191</v>
      </c>
      <c r="N101" s="293" t="s">
        <v>130</v>
      </c>
      <c r="O101" s="301" t="s">
        <v>192</v>
      </c>
      <c r="P101" s="1"/>
      <c r="Q101" s="1"/>
      <c r="R101" s="410" t="s">
        <v>2719</v>
      </c>
      <c r="S101" s="348" t="s">
        <v>2747</v>
      </c>
      <c r="T101" s="198">
        <v>1</v>
      </c>
      <c r="U101" s="62" t="s">
        <v>126</v>
      </c>
      <c r="V101" s="186">
        <v>141.66999999999999</v>
      </c>
      <c r="W101" s="234">
        <v>0.17599999999999999</v>
      </c>
      <c r="X101" s="79">
        <v>116.73607999999999</v>
      </c>
      <c r="Y101" s="59"/>
      <c r="Z101" s="134"/>
      <c r="AA101" s="134"/>
      <c r="AB101" s="68"/>
      <c r="AC101" s="134"/>
      <c r="AD101" s="458" t="s">
        <v>191</v>
      </c>
      <c r="AE101" s="293" t="s">
        <v>130</v>
      </c>
      <c r="AF101" s="301" t="s">
        <v>192</v>
      </c>
      <c r="AG101" s="1"/>
      <c r="AH101" s="1"/>
    </row>
    <row r="102" spans="1:34" s="80" customFormat="1">
      <c r="A102" s="199" t="s">
        <v>2857</v>
      </c>
      <c r="B102" s="197" t="s">
        <v>2715</v>
      </c>
      <c r="C102" s="198">
        <v>1</v>
      </c>
      <c r="D102" s="62" t="s">
        <v>126</v>
      </c>
      <c r="E102" s="186">
        <v>16.670000000000002</v>
      </c>
      <c r="F102" s="234">
        <f t="shared" si="22"/>
        <v>0.17599999999999999</v>
      </c>
      <c r="G102" s="79">
        <f t="shared" ref="G102" si="25">E102-(E102*F102)</f>
        <v>13.736080000000001</v>
      </c>
      <c r="H102" s="59"/>
      <c r="I102" s="134"/>
      <c r="J102" s="134"/>
      <c r="K102" s="68"/>
      <c r="L102" s="134"/>
      <c r="M102" s="458" t="s">
        <v>191</v>
      </c>
      <c r="N102" s="293" t="s">
        <v>130</v>
      </c>
      <c r="O102" s="301" t="s">
        <v>192</v>
      </c>
      <c r="P102" s="1"/>
      <c r="Q102" s="1"/>
      <c r="R102" s="199" t="s">
        <v>2857</v>
      </c>
      <c r="S102" s="197" t="s">
        <v>2715</v>
      </c>
      <c r="T102" s="198">
        <v>1</v>
      </c>
      <c r="U102" s="62" t="s">
        <v>126</v>
      </c>
      <c r="V102" s="186">
        <v>16.670000000000002</v>
      </c>
      <c r="W102" s="234">
        <v>0.17599999999999999</v>
      </c>
      <c r="X102" s="79">
        <v>13.736080000000001</v>
      </c>
      <c r="Y102" s="59"/>
      <c r="Z102" s="134"/>
      <c r="AA102" s="134"/>
      <c r="AB102" s="68"/>
      <c r="AC102" s="134"/>
      <c r="AD102" s="458" t="s">
        <v>191</v>
      </c>
      <c r="AE102" s="293" t="s">
        <v>130</v>
      </c>
      <c r="AF102" s="301" t="s">
        <v>192</v>
      </c>
      <c r="AG102" s="1"/>
      <c r="AH102" s="1"/>
    </row>
    <row r="103" spans="1:34" s="80" customFormat="1">
      <c r="A103" s="409" t="s">
        <v>2858</v>
      </c>
      <c r="B103" s="197" t="s">
        <v>2716</v>
      </c>
      <c r="C103" s="198">
        <v>1</v>
      </c>
      <c r="D103" s="79" t="s">
        <v>126</v>
      </c>
      <c r="E103" s="186">
        <v>0</v>
      </c>
      <c r="F103" s="188"/>
      <c r="G103" s="79">
        <v>0</v>
      </c>
      <c r="H103" s="131"/>
      <c r="I103" s="134"/>
      <c r="J103" s="134"/>
      <c r="K103" s="68"/>
      <c r="L103" s="134"/>
      <c r="M103" s="458" t="s">
        <v>191</v>
      </c>
      <c r="N103" s="293" t="s">
        <v>130</v>
      </c>
      <c r="O103" s="301" t="s">
        <v>192</v>
      </c>
      <c r="P103" s="1" t="str">
        <f>+IF($J103&lt;&gt;"",P$2*$J103,"")</f>
        <v/>
      </c>
      <c r="Q103" s="1" t="str">
        <f>+IF($J103&lt;&gt;"",Q$2*$J103,"")</f>
        <v/>
      </c>
      <c r="R103" s="409" t="s">
        <v>2858</v>
      </c>
      <c r="S103" s="197" t="s">
        <v>2716</v>
      </c>
      <c r="T103" s="198">
        <v>1</v>
      </c>
      <c r="U103" s="79" t="s">
        <v>126</v>
      </c>
      <c r="V103" s="186">
        <v>0</v>
      </c>
      <c r="W103" s="188"/>
      <c r="X103" s="79">
        <v>0</v>
      </c>
      <c r="Y103" s="131"/>
      <c r="Z103" s="134"/>
      <c r="AA103" s="134"/>
      <c r="AB103" s="68"/>
      <c r="AC103" s="134"/>
      <c r="AD103" s="458" t="s">
        <v>191</v>
      </c>
      <c r="AE103" s="293" t="s">
        <v>130</v>
      </c>
      <c r="AF103" s="301" t="s">
        <v>192</v>
      </c>
      <c r="AG103" s="1" t="s">
        <v>2350</v>
      </c>
      <c r="AH103" s="1" t="s">
        <v>2350</v>
      </c>
    </row>
    <row r="104" spans="1:34" s="80" customFormat="1">
      <c r="A104" s="409" t="s">
        <v>2859</v>
      </c>
      <c r="B104" s="197" t="s">
        <v>2717</v>
      </c>
      <c r="C104" s="198">
        <v>1</v>
      </c>
      <c r="D104" s="79" t="s">
        <v>126</v>
      </c>
      <c r="E104" s="186">
        <v>0</v>
      </c>
      <c r="F104" s="188"/>
      <c r="G104" s="79">
        <v>0</v>
      </c>
      <c r="H104" s="59"/>
      <c r="I104" s="134"/>
      <c r="J104" s="134"/>
      <c r="K104" s="68"/>
      <c r="L104" s="134"/>
      <c r="M104" s="458" t="s">
        <v>191</v>
      </c>
      <c r="N104" s="293" t="s">
        <v>130</v>
      </c>
      <c r="O104" s="301" t="s">
        <v>192</v>
      </c>
      <c r="P104" s="1" t="str">
        <f t="shared" si="21"/>
        <v/>
      </c>
      <c r="Q104" s="1" t="str">
        <f t="shared" si="21"/>
        <v/>
      </c>
      <c r="R104" s="409" t="s">
        <v>2859</v>
      </c>
      <c r="S104" s="197" t="s">
        <v>2717</v>
      </c>
      <c r="T104" s="198">
        <v>1</v>
      </c>
      <c r="U104" s="79" t="s">
        <v>126</v>
      </c>
      <c r="V104" s="186">
        <v>0</v>
      </c>
      <c r="W104" s="188"/>
      <c r="X104" s="79">
        <v>0</v>
      </c>
      <c r="Y104" s="59"/>
      <c r="Z104" s="134"/>
      <c r="AA104" s="134"/>
      <c r="AB104" s="68"/>
      <c r="AC104" s="134"/>
      <c r="AD104" s="458" t="s">
        <v>191</v>
      </c>
      <c r="AE104" s="293" t="s">
        <v>130</v>
      </c>
      <c r="AF104" s="301" t="s">
        <v>192</v>
      </c>
      <c r="AG104" s="1" t="s">
        <v>2350</v>
      </c>
      <c r="AH104" s="1" t="s">
        <v>2350</v>
      </c>
    </row>
    <row r="105" spans="1:34" s="80" customFormat="1">
      <c r="A105" s="409" t="s">
        <v>2860</v>
      </c>
      <c r="B105" s="197" t="s">
        <v>2718</v>
      </c>
      <c r="C105" s="198">
        <v>1</v>
      </c>
      <c r="D105" s="79" t="s">
        <v>126</v>
      </c>
      <c r="E105" s="186">
        <v>0</v>
      </c>
      <c r="F105" s="188"/>
      <c r="G105" s="79">
        <v>0</v>
      </c>
      <c r="H105" s="131"/>
      <c r="I105" s="131"/>
      <c r="J105" s="131"/>
      <c r="K105" s="59"/>
      <c r="L105" s="131"/>
      <c r="M105" s="458" t="s">
        <v>191</v>
      </c>
      <c r="N105" s="293" t="s">
        <v>130</v>
      </c>
      <c r="O105" s="301" t="s">
        <v>192</v>
      </c>
      <c r="P105" s="1" t="str">
        <f t="shared" si="21"/>
        <v/>
      </c>
      <c r="Q105" s="1" t="str">
        <f t="shared" si="21"/>
        <v/>
      </c>
      <c r="R105" s="409" t="s">
        <v>2860</v>
      </c>
      <c r="S105" s="197" t="s">
        <v>2718</v>
      </c>
      <c r="T105" s="198">
        <v>1</v>
      </c>
      <c r="U105" s="79" t="s">
        <v>126</v>
      </c>
      <c r="V105" s="186">
        <v>0</v>
      </c>
      <c r="W105" s="188"/>
      <c r="X105" s="79">
        <v>0</v>
      </c>
      <c r="Y105" s="131"/>
      <c r="Z105" s="131"/>
      <c r="AA105" s="131"/>
      <c r="AB105" s="59"/>
      <c r="AC105" s="131"/>
      <c r="AD105" s="458" t="s">
        <v>191</v>
      </c>
      <c r="AE105" s="293" t="s">
        <v>130</v>
      </c>
      <c r="AF105" s="301" t="s">
        <v>192</v>
      </c>
      <c r="AG105" s="1" t="s">
        <v>2350</v>
      </c>
      <c r="AH105" s="1" t="s">
        <v>2350</v>
      </c>
    </row>
    <row r="106" spans="1:34" s="80" customFormat="1">
      <c r="A106" s="191" t="s">
        <v>190</v>
      </c>
      <c r="B106" s="53" t="s">
        <v>193</v>
      </c>
      <c r="C106" s="75">
        <v>1</v>
      </c>
      <c r="D106" s="69" t="s">
        <v>134</v>
      </c>
      <c r="E106" s="231">
        <v>89.9</v>
      </c>
      <c r="F106" s="98">
        <v>0.17599999999999999</v>
      </c>
      <c r="G106" s="63">
        <f>E106-(E106*F106)</f>
        <v>74.077600000000004</v>
      </c>
      <c r="H106" s="67"/>
      <c r="I106" s="52"/>
      <c r="J106" s="52"/>
      <c r="K106" s="134"/>
      <c r="L106" s="52"/>
      <c r="M106" s="458" t="s">
        <v>135</v>
      </c>
      <c r="N106" s="293" t="s">
        <v>136</v>
      </c>
      <c r="O106" s="301" t="s">
        <v>137</v>
      </c>
      <c r="P106" s="1" t="str">
        <f>+IF($J106&lt;&gt;"",P$2*$J106,"")</f>
        <v/>
      </c>
      <c r="Q106" s="1" t="str">
        <f>+IF($J106&lt;&gt;"",Q$2*$J106,"")</f>
        <v/>
      </c>
      <c r="R106" s="191" t="s">
        <v>190</v>
      </c>
      <c r="S106" s="53" t="s">
        <v>193</v>
      </c>
      <c r="T106" s="75">
        <v>1</v>
      </c>
      <c r="U106" s="69" t="s">
        <v>134</v>
      </c>
      <c r="V106" s="231">
        <v>89.9</v>
      </c>
      <c r="W106" s="98">
        <v>0.17599999999999999</v>
      </c>
      <c r="X106" s="63">
        <v>74.077600000000004</v>
      </c>
      <c r="Y106" s="67"/>
      <c r="Z106" s="52"/>
      <c r="AA106" s="52"/>
      <c r="AB106" s="134"/>
      <c r="AC106" s="52"/>
      <c r="AD106" s="458" t="s">
        <v>135</v>
      </c>
      <c r="AE106" s="293" t="s">
        <v>136</v>
      </c>
      <c r="AF106" s="301" t="s">
        <v>137</v>
      </c>
      <c r="AG106" s="1" t="s">
        <v>2350</v>
      </c>
      <c r="AH106" s="1" t="s">
        <v>2350</v>
      </c>
    </row>
    <row r="107" spans="1:34" s="80" customFormat="1">
      <c r="A107" s="183" t="s">
        <v>194</v>
      </c>
      <c r="B107" s="64" t="s">
        <v>195</v>
      </c>
      <c r="C107" s="21">
        <v>1</v>
      </c>
      <c r="D107" s="27" t="s">
        <v>134</v>
      </c>
      <c r="E107" s="28"/>
      <c r="F107" s="18"/>
      <c r="G107" s="79">
        <v>24</v>
      </c>
      <c r="H107" s="22"/>
      <c r="I107" s="52"/>
      <c r="J107" s="52"/>
      <c r="K107" s="13"/>
      <c r="L107" s="52"/>
      <c r="M107" s="458" t="s">
        <v>135</v>
      </c>
      <c r="N107" s="293" t="s">
        <v>136</v>
      </c>
      <c r="O107" s="301" t="s">
        <v>137</v>
      </c>
      <c r="P107" s="1" t="str">
        <f t="shared" ref="P107:Q121" si="26">+IF($J107&lt;&gt;"",P$2*$J107,"")</f>
        <v/>
      </c>
      <c r="Q107" s="1" t="str">
        <f t="shared" si="26"/>
        <v/>
      </c>
      <c r="R107" s="183" t="s">
        <v>194</v>
      </c>
      <c r="S107" s="64" t="s">
        <v>195</v>
      </c>
      <c r="T107" s="21">
        <v>1</v>
      </c>
      <c r="U107" s="27" t="s">
        <v>134</v>
      </c>
      <c r="V107" s="28"/>
      <c r="W107" s="18"/>
      <c r="X107" s="79">
        <v>24</v>
      </c>
      <c r="Y107" s="22"/>
      <c r="Z107" s="52"/>
      <c r="AA107" s="52"/>
      <c r="AB107" s="13"/>
      <c r="AC107" s="52"/>
      <c r="AD107" s="458" t="s">
        <v>135</v>
      </c>
      <c r="AE107" s="293" t="s">
        <v>136</v>
      </c>
      <c r="AF107" s="301" t="s">
        <v>137</v>
      </c>
      <c r="AG107" s="1" t="s">
        <v>2350</v>
      </c>
      <c r="AH107" s="1" t="s">
        <v>2350</v>
      </c>
    </row>
    <row r="108" spans="1:34" s="80" customFormat="1">
      <c r="A108" s="183" t="s">
        <v>196</v>
      </c>
      <c r="B108" s="64" t="s">
        <v>197</v>
      </c>
      <c r="C108" s="21">
        <v>1</v>
      </c>
      <c r="D108" s="27" t="s">
        <v>134</v>
      </c>
      <c r="E108" s="28"/>
      <c r="F108" s="18"/>
      <c r="G108" s="79">
        <v>48</v>
      </c>
      <c r="H108" s="22"/>
      <c r="I108" s="52"/>
      <c r="J108" s="52"/>
      <c r="K108" s="13"/>
      <c r="L108" s="52"/>
      <c r="M108" s="458" t="s">
        <v>135</v>
      </c>
      <c r="N108" s="293" t="s">
        <v>136</v>
      </c>
      <c r="O108" s="301" t="s">
        <v>137</v>
      </c>
      <c r="P108" s="1" t="str">
        <f t="shared" si="26"/>
        <v/>
      </c>
      <c r="Q108" s="1" t="str">
        <f t="shared" si="26"/>
        <v/>
      </c>
      <c r="R108" s="183" t="s">
        <v>196</v>
      </c>
      <c r="S108" s="64" t="s">
        <v>197</v>
      </c>
      <c r="T108" s="21">
        <v>1</v>
      </c>
      <c r="U108" s="27" t="s">
        <v>134</v>
      </c>
      <c r="V108" s="28"/>
      <c r="W108" s="18"/>
      <c r="X108" s="79">
        <v>48</v>
      </c>
      <c r="Y108" s="22"/>
      <c r="Z108" s="52"/>
      <c r="AA108" s="52"/>
      <c r="AB108" s="13"/>
      <c r="AC108" s="52"/>
      <c r="AD108" s="458" t="s">
        <v>135</v>
      </c>
      <c r="AE108" s="293" t="s">
        <v>136</v>
      </c>
      <c r="AF108" s="301" t="s">
        <v>137</v>
      </c>
      <c r="AG108" s="1" t="s">
        <v>2350</v>
      </c>
      <c r="AH108" s="1" t="s">
        <v>2350</v>
      </c>
    </row>
    <row r="109" spans="1:34" s="80" customFormat="1">
      <c r="A109" s="183" t="s">
        <v>198</v>
      </c>
      <c r="B109" s="64" t="s">
        <v>199</v>
      </c>
      <c r="C109" s="21">
        <v>1</v>
      </c>
      <c r="D109" s="27" t="s">
        <v>134</v>
      </c>
      <c r="E109" s="28"/>
      <c r="F109" s="18"/>
      <c r="G109" s="79">
        <v>74</v>
      </c>
      <c r="H109" s="22"/>
      <c r="I109" s="52"/>
      <c r="J109" s="52"/>
      <c r="K109" s="13"/>
      <c r="L109" s="52"/>
      <c r="M109" s="458" t="s">
        <v>135</v>
      </c>
      <c r="N109" s="293" t="s">
        <v>136</v>
      </c>
      <c r="O109" s="301" t="s">
        <v>137</v>
      </c>
      <c r="P109" s="1" t="str">
        <f t="shared" si="26"/>
        <v/>
      </c>
      <c r="Q109" s="1" t="str">
        <f t="shared" si="26"/>
        <v/>
      </c>
      <c r="R109" s="183" t="s">
        <v>198</v>
      </c>
      <c r="S109" s="64" t="s">
        <v>199</v>
      </c>
      <c r="T109" s="21">
        <v>1</v>
      </c>
      <c r="U109" s="27" t="s">
        <v>134</v>
      </c>
      <c r="V109" s="28"/>
      <c r="W109" s="18"/>
      <c r="X109" s="79">
        <v>74</v>
      </c>
      <c r="Y109" s="22"/>
      <c r="Z109" s="52"/>
      <c r="AA109" s="52"/>
      <c r="AB109" s="13"/>
      <c r="AC109" s="52"/>
      <c r="AD109" s="458" t="s">
        <v>135</v>
      </c>
      <c r="AE109" s="293" t="s">
        <v>136</v>
      </c>
      <c r="AF109" s="301" t="s">
        <v>137</v>
      </c>
      <c r="AG109" s="1" t="s">
        <v>2350</v>
      </c>
      <c r="AH109" s="1" t="s">
        <v>2350</v>
      </c>
    </row>
    <row r="110" spans="1:34" s="80" customFormat="1">
      <c r="A110" s="183" t="s">
        <v>200</v>
      </c>
      <c r="B110" s="64" t="s">
        <v>201</v>
      </c>
      <c r="C110" s="21">
        <v>1</v>
      </c>
      <c r="D110" s="27" t="s">
        <v>134</v>
      </c>
      <c r="E110" s="28"/>
      <c r="F110" s="18"/>
      <c r="G110" s="79">
        <v>21</v>
      </c>
      <c r="H110" s="22"/>
      <c r="I110" s="52"/>
      <c r="J110" s="52"/>
      <c r="K110" s="13"/>
      <c r="L110" s="52"/>
      <c r="M110" s="458" t="s">
        <v>135</v>
      </c>
      <c r="N110" s="293" t="s">
        <v>136</v>
      </c>
      <c r="O110" s="301" t="s">
        <v>137</v>
      </c>
      <c r="P110" s="1" t="str">
        <f t="shared" si="26"/>
        <v/>
      </c>
      <c r="Q110" s="1" t="str">
        <f t="shared" si="26"/>
        <v/>
      </c>
      <c r="R110" s="183" t="s">
        <v>200</v>
      </c>
      <c r="S110" s="64" t="s">
        <v>201</v>
      </c>
      <c r="T110" s="21">
        <v>1</v>
      </c>
      <c r="U110" s="27" t="s">
        <v>134</v>
      </c>
      <c r="V110" s="28"/>
      <c r="W110" s="18"/>
      <c r="X110" s="79">
        <v>21</v>
      </c>
      <c r="Y110" s="22"/>
      <c r="Z110" s="52"/>
      <c r="AA110" s="52"/>
      <c r="AB110" s="13"/>
      <c r="AC110" s="52"/>
      <c r="AD110" s="458" t="s">
        <v>135</v>
      </c>
      <c r="AE110" s="293" t="s">
        <v>136</v>
      </c>
      <c r="AF110" s="301" t="s">
        <v>137</v>
      </c>
      <c r="AG110" s="1" t="s">
        <v>2350</v>
      </c>
      <c r="AH110" s="1" t="s">
        <v>2350</v>
      </c>
    </row>
    <row r="111" spans="1:34" s="80" customFormat="1">
      <c r="A111" s="183" t="s">
        <v>202</v>
      </c>
      <c r="B111" s="64" t="s">
        <v>203</v>
      </c>
      <c r="C111" s="21">
        <v>1</v>
      </c>
      <c r="D111" s="27" t="s">
        <v>134</v>
      </c>
      <c r="E111" s="28"/>
      <c r="F111" s="18"/>
      <c r="G111" s="79">
        <v>58</v>
      </c>
      <c r="H111" s="22"/>
      <c r="I111" s="52"/>
      <c r="J111" s="52"/>
      <c r="K111" s="13"/>
      <c r="L111" s="52"/>
      <c r="M111" s="458" t="s">
        <v>135</v>
      </c>
      <c r="N111" s="293" t="s">
        <v>136</v>
      </c>
      <c r="O111" s="301" t="s">
        <v>137</v>
      </c>
      <c r="P111" s="1" t="str">
        <f t="shared" si="26"/>
        <v/>
      </c>
      <c r="Q111" s="1" t="str">
        <f t="shared" si="26"/>
        <v/>
      </c>
      <c r="R111" s="183" t="s">
        <v>202</v>
      </c>
      <c r="S111" s="64" t="s">
        <v>203</v>
      </c>
      <c r="T111" s="21">
        <v>1</v>
      </c>
      <c r="U111" s="27" t="s">
        <v>134</v>
      </c>
      <c r="V111" s="28"/>
      <c r="W111" s="18"/>
      <c r="X111" s="79">
        <v>58</v>
      </c>
      <c r="Y111" s="22"/>
      <c r="Z111" s="52"/>
      <c r="AA111" s="52"/>
      <c r="AB111" s="13"/>
      <c r="AC111" s="52"/>
      <c r="AD111" s="458" t="s">
        <v>135</v>
      </c>
      <c r="AE111" s="293" t="s">
        <v>136</v>
      </c>
      <c r="AF111" s="301" t="s">
        <v>137</v>
      </c>
      <c r="AG111" s="1" t="s">
        <v>2350</v>
      </c>
      <c r="AH111" s="1" t="s">
        <v>2350</v>
      </c>
    </row>
    <row r="112" spans="1:34" s="80" customFormat="1">
      <c r="A112" s="183" t="s">
        <v>204</v>
      </c>
      <c r="B112" s="64" t="s">
        <v>205</v>
      </c>
      <c r="C112" s="21">
        <v>1</v>
      </c>
      <c r="D112" s="27" t="s">
        <v>134</v>
      </c>
      <c r="E112" s="28"/>
      <c r="F112" s="18"/>
      <c r="G112" s="79">
        <v>86</v>
      </c>
      <c r="H112" s="22"/>
      <c r="I112" s="52"/>
      <c r="J112" s="52"/>
      <c r="K112" s="13"/>
      <c r="L112" s="52"/>
      <c r="M112" s="458" t="s">
        <v>135</v>
      </c>
      <c r="N112" s="293" t="s">
        <v>136</v>
      </c>
      <c r="O112" s="301" t="s">
        <v>137</v>
      </c>
      <c r="P112" s="1" t="str">
        <f t="shared" si="26"/>
        <v/>
      </c>
      <c r="Q112" s="1" t="str">
        <f t="shared" si="26"/>
        <v/>
      </c>
      <c r="R112" s="183" t="s">
        <v>204</v>
      </c>
      <c r="S112" s="64" t="s">
        <v>205</v>
      </c>
      <c r="T112" s="21">
        <v>1</v>
      </c>
      <c r="U112" s="27" t="s">
        <v>134</v>
      </c>
      <c r="V112" s="28"/>
      <c r="W112" s="18"/>
      <c r="X112" s="79">
        <v>86</v>
      </c>
      <c r="Y112" s="22"/>
      <c r="Z112" s="52"/>
      <c r="AA112" s="52"/>
      <c r="AB112" s="13"/>
      <c r="AC112" s="52"/>
      <c r="AD112" s="458" t="s">
        <v>135</v>
      </c>
      <c r="AE112" s="293" t="s">
        <v>136</v>
      </c>
      <c r="AF112" s="301" t="s">
        <v>137</v>
      </c>
      <c r="AG112" s="1" t="s">
        <v>2350</v>
      </c>
      <c r="AH112" s="1" t="s">
        <v>2350</v>
      </c>
    </row>
    <row r="113" spans="1:34" s="80" customFormat="1">
      <c r="A113" s="183" t="s">
        <v>206</v>
      </c>
      <c r="B113" s="64" t="s">
        <v>207</v>
      </c>
      <c r="C113" s="21">
        <v>1</v>
      </c>
      <c r="D113" s="27" t="s">
        <v>134</v>
      </c>
      <c r="E113" s="28"/>
      <c r="F113" s="18"/>
      <c r="G113" s="79">
        <v>88</v>
      </c>
      <c r="H113" s="22"/>
      <c r="I113" s="52"/>
      <c r="J113" s="52"/>
      <c r="K113" s="13"/>
      <c r="L113" s="52"/>
      <c r="M113" s="458" t="s">
        <v>135</v>
      </c>
      <c r="N113" s="293" t="s">
        <v>136</v>
      </c>
      <c r="O113" s="301" t="s">
        <v>137</v>
      </c>
      <c r="P113" s="1" t="str">
        <f t="shared" si="26"/>
        <v/>
      </c>
      <c r="Q113" s="1" t="str">
        <f t="shared" si="26"/>
        <v/>
      </c>
      <c r="R113" s="183" t="s">
        <v>206</v>
      </c>
      <c r="S113" s="64" t="s">
        <v>207</v>
      </c>
      <c r="T113" s="21">
        <v>1</v>
      </c>
      <c r="U113" s="27" t="s">
        <v>134</v>
      </c>
      <c r="V113" s="28"/>
      <c r="W113" s="18"/>
      <c r="X113" s="79">
        <v>88</v>
      </c>
      <c r="Y113" s="22"/>
      <c r="Z113" s="52"/>
      <c r="AA113" s="52"/>
      <c r="AB113" s="13"/>
      <c r="AC113" s="52"/>
      <c r="AD113" s="458" t="s">
        <v>135</v>
      </c>
      <c r="AE113" s="293" t="s">
        <v>136</v>
      </c>
      <c r="AF113" s="301" t="s">
        <v>137</v>
      </c>
      <c r="AG113" s="1" t="s">
        <v>2350</v>
      </c>
      <c r="AH113" s="1" t="s">
        <v>2350</v>
      </c>
    </row>
    <row r="114" spans="1:34" s="80" customFormat="1">
      <c r="A114" s="183" t="s">
        <v>208</v>
      </c>
      <c r="B114" s="64" t="s">
        <v>209</v>
      </c>
      <c r="C114" s="21">
        <v>1</v>
      </c>
      <c r="D114" s="27" t="s">
        <v>134</v>
      </c>
      <c r="E114" s="28"/>
      <c r="F114" s="18"/>
      <c r="G114" s="79">
        <v>37</v>
      </c>
      <c r="H114" s="22"/>
      <c r="I114" s="52"/>
      <c r="J114" s="52"/>
      <c r="K114" s="13"/>
      <c r="L114" s="52"/>
      <c r="M114" s="458" t="s">
        <v>135</v>
      </c>
      <c r="N114" s="293" t="s">
        <v>136</v>
      </c>
      <c r="O114" s="301" t="s">
        <v>137</v>
      </c>
      <c r="P114" s="1" t="str">
        <f t="shared" si="26"/>
        <v/>
      </c>
      <c r="Q114" s="1" t="str">
        <f t="shared" si="26"/>
        <v/>
      </c>
      <c r="R114" s="183" t="s">
        <v>208</v>
      </c>
      <c r="S114" s="64" t="s">
        <v>209</v>
      </c>
      <c r="T114" s="21">
        <v>1</v>
      </c>
      <c r="U114" s="27" t="s">
        <v>134</v>
      </c>
      <c r="V114" s="28"/>
      <c r="W114" s="18"/>
      <c r="X114" s="79">
        <v>37</v>
      </c>
      <c r="Y114" s="22"/>
      <c r="Z114" s="52"/>
      <c r="AA114" s="52"/>
      <c r="AB114" s="13"/>
      <c r="AC114" s="52"/>
      <c r="AD114" s="458" t="s">
        <v>135</v>
      </c>
      <c r="AE114" s="293" t="s">
        <v>136</v>
      </c>
      <c r="AF114" s="301" t="s">
        <v>137</v>
      </c>
      <c r="AG114" s="1" t="s">
        <v>2350</v>
      </c>
      <c r="AH114" s="1" t="s">
        <v>2350</v>
      </c>
    </row>
    <row r="115" spans="1:34" s="80" customFormat="1">
      <c r="A115" s="183" t="s">
        <v>210</v>
      </c>
      <c r="B115" s="64" t="s">
        <v>211</v>
      </c>
      <c r="C115" s="21">
        <v>1</v>
      </c>
      <c r="D115" s="27" t="s">
        <v>134</v>
      </c>
      <c r="E115" s="28"/>
      <c r="F115" s="18"/>
      <c r="G115" s="79">
        <v>84</v>
      </c>
      <c r="H115" s="22"/>
      <c r="I115" s="52"/>
      <c r="J115" s="52"/>
      <c r="K115" s="13"/>
      <c r="L115" s="52"/>
      <c r="M115" s="458" t="s">
        <v>135</v>
      </c>
      <c r="N115" s="293" t="s">
        <v>136</v>
      </c>
      <c r="O115" s="301" t="s">
        <v>137</v>
      </c>
      <c r="P115" s="1" t="str">
        <f t="shared" si="26"/>
        <v/>
      </c>
      <c r="Q115" s="1" t="str">
        <f t="shared" si="26"/>
        <v/>
      </c>
      <c r="R115" s="183" t="s">
        <v>210</v>
      </c>
      <c r="S115" s="64" t="s">
        <v>211</v>
      </c>
      <c r="T115" s="21">
        <v>1</v>
      </c>
      <c r="U115" s="27" t="s">
        <v>134</v>
      </c>
      <c r="V115" s="28"/>
      <c r="W115" s="18"/>
      <c r="X115" s="79">
        <v>84</v>
      </c>
      <c r="Y115" s="22"/>
      <c r="Z115" s="52"/>
      <c r="AA115" s="52"/>
      <c r="AB115" s="13"/>
      <c r="AC115" s="52"/>
      <c r="AD115" s="458" t="s">
        <v>135</v>
      </c>
      <c r="AE115" s="293" t="s">
        <v>136</v>
      </c>
      <c r="AF115" s="301" t="s">
        <v>137</v>
      </c>
      <c r="AG115" s="1" t="s">
        <v>2350</v>
      </c>
      <c r="AH115" s="1" t="s">
        <v>2350</v>
      </c>
    </row>
    <row r="116" spans="1:34" s="80" customFormat="1">
      <c r="A116" s="183" t="s">
        <v>212</v>
      </c>
      <c r="B116" s="64" t="s">
        <v>213</v>
      </c>
      <c r="C116" s="21">
        <v>1</v>
      </c>
      <c r="D116" s="27" t="s">
        <v>134</v>
      </c>
      <c r="E116" s="28"/>
      <c r="F116" s="18"/>
      <c r="G116" s="79">
        <v>126</v>
      </c>
      <c r="H116" s="22"/>
      <c r="I116" s="52"/>
      <c r="J116" s="52"/>
      <c r="K116" s="13"/>
      <c r="L116" s="52"/>
      <c r="M116" s="458" t="s">
        <v>135</v>
      </c>
      <c r="N116" s="293" t="s">
        <v>136</v>
      </c>
      <c r="O116" s="301" t="s">
        <v>137</v>
      </c>
      <c r="P116" s="1" t="str">
        <f t="shared" si="26"/>
        <v/>
      </c>
      <c r="Q116" s="1" t="str">
        <f t="shared" si="26"/>
        <v/>
      </c>
      <c r="R116" s="183" t="s">
        <v>212</v>
      </c>
      <c r="S116" s="64" t="s">
        <v>213</v>
      </c>
      <c r="T116" s="21">
        <v>1</v>
      </c>
      <c r="U116" s="27" t="s">
        <v>134</v>
      </c>
      <c r="V116" s="28"/>
      <c r="W116" s="18"/>
      <c r="X116" s="79">
        <v>126</v>
      </c>
      <c r="Y116" s="22"/>
      <c r="Z116" s="52"/>
      <c r="AA116" s="52"/>
      <c r="AB116" s="13"/>
      <c r="AC116" s="52"/>
      <c r="AD116" s="458" t="s">
        <v>135</v>
      </c>
      <c r="AE116" s="293" t="s">
        <v>136</v>
      </c>
      <c r="AF116" s="301" t="s">
        <v>137</v>
      </c>
      <c r="AG116" s="1" t="s">
        <v>2350</v>
      </c>
      <c r="AH116" s="1" t="s">
        <v>2350</v>
      </c>
    </row>
    <row r="117" spans="1:34" s="80" customFormat="1">
      <c r="A117" s="183" t="s">
        <v>214</v>
      </c>
      <c r="B117" s="64" t="s">
        <v>215</v>
      </c>
      <c r="C117" s="21">
        <v>1</v>
      </c>
      <c r="D117" s="27" t="s">
        <v>134</v>
      </c>
      <c r="E117" s="28"/>
      <c r="F117" s="18"/>
      <c r="G117" s="79">
        <v>194</v>
      </c>
      <c r="H117" s="22"/>
      <c r="I117" s="52"/>
      <c r="J117" s="52"/>
      <c r="K117" s="13"/>
      <c r="L117" s="52"/>
      <c r="M117" s="458" t="s">
        <v>135</v>
      </c>
      <c r="N117" s="293" t="s">
        <v>136</v>
      </c>
      <c r="O117" s="301" t="s">
        <v>137</v>
      </c>
      <c r="P117" s="1" t="str">
        <f t="shared" si="26"/>
        <v/>
      </c>
      <c r="Q117" s="1" t="str">
        <f t="shared" si="26"/>
        <v/>
      </c>
      <c r="R117" s="183" t="s">
        <v>214</v>
      </c>
      <c r="S117" s="64" t="s">
        <v>215</v>
      </c>
      <c r="T117" s="21">
        <v>1</v>
      </c>
      <c r="U117" s="27" t="s">
        <v>134</v>
      </c>
      <c r="V117" s="28"/>
      <c r="W117" s="18"/>
      <c r="X117" s="79">
        <v>194</v>
      </c>
      <c r="Y117" s="22"/>
      <c r="Z117" s="52"/>
      <c r="AA117" s="52"/>
      <c r="AB117" s="13"/>
      <c r="AC117" s="52"/>
      <c r="AD117" s="458" t="s">
        <v>135</v>
      </c>
      <c r="AE117" s="293" t="s">
        <v>136</v>
      </c>
      <c r="AF117" s="301" t="s">
        <v>137</v>
      </c>
      <c r="AG117" s="1" t="s">
        <v>2350</v>
      </c>
      <c r="AH117" s="1" t="s">
        <v>2350</v>
      </c>
    </row>
    <row r="118" spans="1:34" s="80" customFormat="1">
      <c r="A118" s="184" t="s">
        <v>216</v>
      </c>
      <c r="B118" s="291" t="s">
        <v>217</v>
      </c>
      <c r="C118" s="89">
        <v>1</v>
      </c>
      <c r="D118" s="31" t="s">
        <v>134</v>
      </c>
      <c r="E118" s="32"/>
      <c r="F118" s="35"/>
      <c r="G118" s="91">
        <v>384</v>
      </c>
      <c r="H118" s="30"/>
      <c r="I118" s="90"/>
      <c r="J118" s="90"/>
      <c r="K118" s="32"/>
      <c r="L118" s="90"/>
      <c r="M118" s="458" t="s">
        <v>135</v>
      </c>
      <c r="N118" s="293" t="s">
        <v>136</v>
      </c>
      <c r="O118" s="301" t="s">
        <v>137</v>
      </c>
      <c r="P118" s="1" t="str">
        <f t="shared" si="26"/>
        <v/>
      </c>
      <c r="Q118" s="1" t="str">
        <f t="shared" si="26"/>
        <v/>
      </c>
      <c r="R118" s="184" t="s">
        <v>216</v>
      </c>
      <c r="S118" s="291" t="s">
        <v>217</v>
      </c>
      <c r="T118" s="89">
        <v>1</v>
      </c>
      <c r="U118" s="31" t="s">
        <v>134</v>
      </c>
      <c r="V118" s="32"/>
      <c r="W118" s="35"/>
      <c r="X118" s="91">
        <v>384</v>
      </c>
      <c r="Y118" s="30"/>
      <c r="Z118" s="90"/>
      <c r="AA118" s="90"/>
      <c r="AB118" s="32"/>
      <c r="AC118" s="90"/>
      <c r="AD118" s="458" t="s">
        <v>135</v>
      </c>
      <c r="AE118" s="293" t="s">
        <v>136</v>
      </c>
      <c r="AF118" s="301" t="s">
        <v>137</v>
      </c>
      <c r="AG118" s="1" t="s">
        <v>2350</v>
      </c>
      <c r="AH118" s="1" t="s">
        <v>2350</v>
      </c>
    </row>
    <row r="119" spans="1:34" s="80" customFormat="1">
      <c r="A119" s="183" t="s">
        <v>218</v>
      </c>
      <c r="B119" s="64" t="s">
        <v>219</v>
      </c>
      <c r="C119" s="21">
        <v>1</v>
      </c>
      <c r="D119" s="27" t="s">
        <v>134</v>
      </c>
      <c r="E119" s="28"/>
      <c r="F119" s="18"/>
      <c r="G119" s="79">
        <v>510</v>
      </c>
      <c r="H119" s="22"/>
      <c r="I119" s="52"/>
      <c r="J119" s="52"/>
      <c r="K119" s="13"/>
      <c r="L119" s="52"/>
      <c r="M119" s="458" t="s">
        <v>135</v>
      </c>
      <c r="N119" s="293" t="s">
        <v>136</v>
      </c>
      <c r="O119" s="301" t="s">
        <v>137</v>
      </c>
      <c r="P119" s="1" t="str">
        <f t="shared" si="26"/>
        <v/>
      </c>
      <c r="Q119" s="1" t="str">
        <f t="shared" si="26"/>
        <v/>
      </c>
      <c r="R119" s="183" t="s">
        <v>218</v>
      </c>
      <c r="S119" s="64" t="s">
        <v>219</v>
      </c>
      <c r="T119" s="21">
        <v>1</v>
      </c>
      <c r="U119" s="27" t="s">
        <v>134</v>
      </c>
      <c r="V119" s="28"/>
      <c r="W119" s="18"/>
      <c r="X119" s="79">
        <v>510</v>
      </c>
      <c r="Y119" s="22"/>
      <c r="Z119" s="52"/>
      <c r="AA119" s="52"/>
      <c r="AB119" s="13"/>
      <c r="AC119" s="52"/>
      <c r="AD119" s="458" t="s">
        <v>135</v>
      </c>
      <c r="AE119" s="293" t="s">
        <v>136</v>
      </c>
      <c r="AF119" s="301" t="s">
        <v>137</v>
      </c>
      <c r="AG119" s="1" t="s">
        <v>2350</v>
      </c>
      <c r="AH119" s="1" t="s">
        <v>2350</v>
      </c>
    </row>
    <row r="120" spans="1:34" s="80" customFormat="1">
      <c r="A120" s="183" t="s">
        <v>220</v>
      </c>
      <c r="B120" s="64" t="s">
        <v>221</v>
      </c>
      <c r="C120" s="21">
        <v>1</v>
      </c>
      <c r="D120" s="27" t="s">
        <v>134</v>
      </c>
      <c r="E120" s="94"/>
      <c r="F120" s="55"/>
      <c r="G120" s="22">
        <v>355.49</v>
      </c>
      <c r="H120" s="67"/>
      <c r="I120" s="52"/>
      <c r="J120" s="52"/>
      <c r="K120" s="13"/>
      <c r="L120" s="52"/>
      <c r="M120" s="458" t="s">
        <v>135</v>
      </c>
      <c r="N120" s="293" t="s">
        <v>136</v>
      </c>
      <c r="O120" s="301" t="s">
        <v>137</v>
      </c>
      <c r="P120" s="1" t="str">
        <f t="shared" si="26"/>
        <v/>
      </c>
      <c r="Q120" s="1" t="str">
        <f t="shared" si="26"/>
        <v/>
      </c>
      <c r="R120" s="183" t="s">
        <v>220</v>
      </c>
      <c r="S120" s="64" t="s">
        <v>221</v>
      </c>
      <c r="T120" s="21">
        <v>1</v>
      </c>
      <c r="U120" s="27" t="s">
        <v>134</v>
      </c>
      <c r="V120" s="94"/>
      <c r="W120" s="55"/>
      <c r="X120" s="22">
        <v>355.49</v>
      </c>
      <c r="Y120" s="67"/>
      <c r="Z120" s="52"/>
      <c r="AA120" s="52"/>
      <c r="AB120" s="13"/>
      <c r="AC120" s="52"/>
      <c r="AD120" s="458" t="s">
        <v>135</v>
      </c>
      <c r="AE120" s="293" t="s">
        <v>136</v>
      </c>
      <c r="AF120" s="301" t="s">
        <v>137</v>
      </c>
      <c r="AG120" s="1" t="s">
        <v>2350</v>
      </c>
      <c r="AH120" s="1" t="s">
        <v>2350</v>
      </c>
    </row>
    <row r="121" spans="1:34" s="80" customFormat="1">
      <c r="A121" s="183" t="s">
        <v>222</v>
      </c>
      <c r="B121" s="64" t="s">
        <v>223</v>
      </c>
      <c r="C121" s="21">
        <v>1</v>
      </c>
      <c r="D121" s="27" t="s">
        <v>134</v>
      </c>
      <c r="E121" s="28"/>
      <c r="F121" s="18"/>
      <c r="G121" s="22">
        <v>573.38</v>
      </c>
      <c r="H121" s="67"/>
      <c r="I121" s="52"/>
      <c r="J121" s="52"/>
      <c r="K121" s="13"/>
      <c r="L121" s="52"/>
      <c r="M121" s="458" t="s">
        <v>135</v>
      </c>
      <c r="N121" s="293" t="s">
        <v>136</v>
      </c>
      <c r="O121" s="302" t="s">
        <v>137</v>
      </c>
      <c r="P121" s="1" t="str">
        <f t="shared" si="26"/>
        <v/>
      </c>
      <c r="Q121" s="1" t="str">
        <f t="shared" si="26"/>
        <v/>
      </c>
      <c r="R121" s="183" t="s">
        <v>222</v>
      </c>
      <c r="S121" s="64" t="s">
        <v>223</v>
      </c>
      <c r="T121" s="21">
        <v>1</v>
      </c>
      <c r="U121" s="27" t="s">
        <v>134</v>
      </c>
      <c r="V121" s="28"/>
      <c r="W121" s="18"/>
      <c r="X121" s="22">
        <v>573.38</v>
      </c>
      <c r="Y121" s="67"/>
      <c r="Z121" s="52"/>
      <c r="AA121" s="52"/>
      <c r="AB121" s="13"/>
      <c r="AC121" s="52"/>
      <c r="AD121" s="458" t="s">
        <v>135</v>
      </c>
      <c r="AE121" s="293" t="s">
        <v>136</v>
      </c>
      <c r="AF121" s="302" t="s">
        <v>137</v>
      </c>
      <c r="AG121" s="1" t="s">
        <v>2350</v>
      </c>
      <c r="AH121" s="1" t="s">
        <v>2350</v>
      </c>
    </row>
    <row r="122" spans="1:34" s="270" customFormat="1" ht="25" customHeight="1">
      <c r="A122" s="332" t="s">
        <v>2930</v>
      </c>
      <c r="B122" s="393" t="s">
        <v>224</v>
      </c>
      <c r="C122" s="334"/>
      <c r="D122" s="335"/>
      <c r="E122" s="335"/>
      <c r="F122" s="336"/>
      <c r="G122" s="337"/>
      <c r="H122" s="337"/>
      <c r="I122" s="338"/>
      <c r="J122" s="338"/>
      <c r="K122" s="337"/>
      <c r="L122" s="338"/>
      <c r="M122" s="456"/>
      <c r="N122" s="339"/>
      <c r="O122" s="338"/>
      <c r="P122" s="338"/>
      <c r="Q122" s="338"/>
      <c r="R122" s="332" t="s">
        <v>2930</v>
      </c>
      <c r="S122" s="393" t="s">
        <v>224</v>
      </c>
      <c r="T122" s="334"/>
      <c r="U122" s="335"/>
      <c r="V122" s="335"/>
      <c r="W122" s="336"/>
      <c r="X122" s="337"/>
      <c r="Y122" s="337"/>
      <c r="Z122" s="338"/>
      <c r="AA122" s="338"/>
      <c r="AB122" s="337"/>
      <c r="AC122" s="338"/>
      <c r="AD122" s="456"/>
      <c r="AE122" s="339"/>
      <c r="AF122" s="338"/>
      <c r="AG122" s="338"/>
      <c r="AH122" s="338"/>
    </row>
    <row r="123" spans="1:34" s="84" customFormat="1">
      <c r="A123" s="185" t="s">
        <v>2720</v>
      </c>
      <c r="B123" s="49" t="s">
        <v>2721</v>
      </c>
      <c r="C123" s="50">
        <v>1</v>
      </c>
      <c r="D123" s="51" t="s">
        <v>126</v>
      </c>
      <c r="E123" s="57">
        <v>1995.85</v>
      </c>
      <c r="F123" s="61">
        <f>rv_mbp14_eg</f>
        <v>0.17599999999999999</v>
      </c>
      <c r="G123" s="65">
        <f t="shared" ref="G123" si="27">E123-(E123*F123)</f>
        <v>1644.5803999999998</v>
      </c>
      <c r="H123" s="50" t="s">
        <v>190</v>
      </c>
      <c r="I123" s="58">
        <v>74.08</v>
      </c>
      <c r="J123" s="58">
        <f>G123+I123</f>
        <v>1718.6603999999998</v>
      </c>
      <c r="K123" s="58" t="s">
        <v>128</v>
      </c>
      <c r="L123" s="58">
        <v>3.32</v>
      </c>
      <c r="M123" s="457" t="s">
        <v>226</v>
      </c>
      <c r="N123" s="305" t="s">
        <v>130</v>
      </c>
      <c r="O123" s="309" t="s">
        <v>192</v>
      </c>
      <c r="P123" s="84">
        <f t="shared" ref="P123:Q127" si="28">+IF($J123&lt;&gt;"",P$2*$J123,"")</f>
        <v>345.9813721370449</v>
      </c>
      <c r="Q123" s="84">
        <f t="shared" si="28"/>
        <v>179.80875372324715</v>
      </c>
      <c r="R123" s="185" t="s">
        <v>2720</v>
      </c>
      <c r="S123" s="49" t="s">
        <v>2721</v>
      </c>
      <c r="T123" s="50">
        <v>1</v>
      </c>
      <c r="U123" s="51" t="s">
        <v>126</v>
      </c>
      <c r="V123" s="57">
        <v>1998.87</v>
      </c>
      <c r="W123" s="61">
        <v>0.17599999999999999</v>
      </c>
      <c r="X123" s="65">
        <v>1647.0688799999998</v>
      </c>
      <c r="Y123" s="50" t="s">
        <v>190</v>
      </c>
      <c r="Z123" s="58">
        <v>74.08</v>
      </c>
      <c r="AA123" s="58">
        <v>1721.1488799999997</v>
      </c>
      <c r="AB123" s="58" t="s">
        <v>128</v>
      </c>
      <c r="AC123" s="58">
        <v>0.3</v>
      </c>
      <c r="AD123" s="457" t="s">
        <v>226</v>
      </c>
      <c r="AE123" s="305" t="s">
        <v>130</v>
      </c>
      <c r="AF123" s="309" t="s">
        <v>192</v>
      </c>
      <c r="AG123" s="84">
        <v>346.48232492849553</v>
      </c>
      <c r="AH123" s="84">
        <v>180.06910212451666</v>
      </c>
    </row>
    <row r="124" spans="1:34">
      <c r="A124" s="199" t="s">
        <v>2727</v>
      </c>
      <c r="B124" s="310" t="s">
        <v>2934</v>
      </c>
      <c r="C124" s="198">
        <v>1</v>
      </c>
      <c r="D124" s="62" t="s">
        <v>126</v>
      </c>
      <c r="E124" s="186">
        <v>225</v>
      </c>
      <c r="F124" s="485">
        <f t="shared" ref="F124:F141" si="29">rv_mbp14_eg_cto</f>
        <v>0.17599999999999999</v>
      </c>
      <c r="G124" s="486">
        <f t="shared" ref="G124" si="30">E124-(E124*F124)</f>
        <v>185.4</v>
      </c>
      <c r="H124" s="671"/>
      <c r="I124" s="672"/>
      <c r="J124" s="672"/>
      <c r="K124" s="673"/>
      <c r="L124" s="672"/>
      <c r="M124" s="458" t="s">
        <v>226</v>
      </c>
      <c r="N124" s="293" t="s">
        <v>130</v>
      </c>
      <c r="O124" s="301" t="s">
        <v>192</v>
      </c>
      <c r="P124" s="1" t="str">
        <f t="shared" si="28"/>
        <v/>
      </c>
      <c r="Q124" s="1" t="str">
        <f t="shared" si="28"/>
        <v/>
      </c>
      <c r="R124" s="199" t="s">
        <v>2727</v>
      </c>
      <c r="S124" s="310" t="s">
        <v>2934</v>
      </c>
      <c r="T124" s="198">
        <v>1</v>
      </c>
      <c r="U124" s="62" t="s">
        <v>126</v>
      </c>
      <c r="V124" s="186">
        <v>225</v>
      </c>
      <c r="W124" s="485">
        <v>0.17599999999999999</v>
      </c>
      <c r="X124" s="486">
        <v>185.4</v>
      </c>
      <c r="Y124" s="671"/>
      <c r="Z124" s="672"/>
      <c r="AA124" s="672"/>
      <c r="AB124" s="673"/>
      <c r="AC124" s="672"/>
      <c r="AD124" s="458" t="s">
        <v>226</v>
      </c>
      <c r="AE124" s="293" t="s">
        <v>130</v>
      </c>
      <c r="AF124" s="301" t="s">
        <v>192</v>
      </c>
      <c r="AG124" s="1" t="s">
        <v>2350</v>
      </c>
      <c r="AH124" s="1" t="s">
        <v>2350</v>
      </c>
    </row>
    <row r="125" spans="1:34">
      <c r="A125" s="199" t="s">
        <v>2960</v>
      </c>
      <c r="B125" s="310" t="s">
        <v>2774</v>
      </c>
      <c r="C125" s="198">
        <v>1</v>
      </c>
      <c r="D125" s="62" t="s">
        <v>126</v>
      </c>
      <c r="E125" s="186">
        <v>383.33</v>
      </c>
      <c r="F125" s="485">
        <f t="shared" si="29"/>
        <v>0.17599999999999999</v>
      </c>
      <c r="G125" s="486">
        <f t="shared" ref="G125" si="31">E125-(E125*F125)</f>
        <v>315.86392000000001</v>
      </c>
      <c r="H125" s="671"/>
      <c r="I125" s="672"/>
      <c r="J125" s="672"/>
      <c r="K125" s="673"/>
      <c r="L125" s="672"/>
      <c r="M125" s="458" t="s">
        <v>226</v>
      </c>
      <c r="N125" s="293" t="s">
        <v>130</v>
      </c>
      <c r="O125" s="301" t="s">
        <v>192</v>
      </c>
      <c r="P125" s="1"/>
      <c r="Q125" s="1"/>
      <c r="R125" s="199"/>
      <c r="S125" s="310" t="s">
        <v>2774</v>
      </c>
      <c r="T125" s="198">
        <v>1</v>
      </c>
      <c r="U125" s="62" t="s">
        <v>126</v>
      </c>
      <c r="V125" s="186">
        <v>383.33</v>
      </c>
      <c r="W125" s="485">
        <v>0.17599999999999999</v>
      </c>
      <c r="X125" s="486">
        <v>315.86392000000001</v>
      </c>
      <c r="Y125" s="671"/>
      <c r="Z125" s="672"/>
      <c r="AA125" s="672"/>
      <c r="AB125" s="673"/>
      <c r="AC125" s="672"/>
      <c r="AD125" s="458" t="s">
        <v>226</v>
      </c>
      <c r="AE125" s="293" t="s">
        <v>130</v>
      </c>
      <c r="AF125" s="301" t="s">
        <v>192</v>
      </c>
      <c r="AG125" s="1"/>
      <c r="AH125" s="1"/>
    </row>
    <row r="126" spans="1:34">
      <c r="A126" s="199" t="s">
        <v>2729</v>
      </c>
      <c r="B126" s="310" t="s">
        <v>2775</v>
      </c>
      <c r="C126" s="482">
        <v>1</v>
      </c>
      <c r="D126" s="483" t="s">
        <v>126</v>
      </c>
      <c r="E126" s="484">
        <v>191.67</v>
      </c>
      <c r="F126" s="485">
        <f t="shared" si="29"/>
        <v>0.17599999999999999</v>
      </c>
      <c r="G126" s="486">
        <f t="shared" ref="G126:G130" si="32">E126-(E126*F126)</f>
        <v>157.93608</v>
      </c>
      <c r="H126" s="671"/>
      <c r="I126" s="672"/>
      <c r="J126" s="672"/>
      <c r="K126" s="673"/>
      <c r="L126" s="672"/>
      <c r="M126" s="458" t="s">
        <v>226</v>
      </c>
      <c r="N126" s="293" t="s">
        <v>130</v>
      </c>
      <c r="O126" s="301" t="s">
        <v>192</v>
      </c>
      <c r="P126" s="1" t="str">
        <f t="shared" si="28"/>
        <v/>
      </c>
      <c r="Q126" s="1" t="str">
        <f t="shared" si="28"/>
        <v/>
      </c>
      <c r="R126" s="199" t="s">
        <v>2729</v>
      </c>
      <c r="S126" s="310" t="s">
        <v>2775</v>
      </c>
      <c r="T126" s="482">
        <v>1</v>
      </c>
      <c r="U126" s="483" t="s">
        <v>126</v>
      </c>
      <c r="V126" s="484">
        <v>191.67</v>
      </c>
      <c r="W126" s="485">
        <v>0.17599999999999999</v>
      </c>
      <c r="X126" s="486">
        <v>157.93608</v>
      </c>
      <c r="Y126" s="671"/>
      <c r="Z126" s="672"/>
      <c r="AA126" s="672"/>
      <c r="AB126" s="673"/>
      <c r="AC126" s="672"/>
      <c r="AD126" s="458" t="s">
        <v>226</v>
      </c>
      <c r="AE126" s="293" t="s">
        <v>130</v>
      </c>
      <c r="AF126" s="301" t="s">
        <v>192</v>
      </c>
      <c r="AG126" s="1" t="s">
        <v>2350</v>
      </c>
      <c r="AH126" s="1" t="s">
        <v>2350</v>
      </c>
    </row>
    <row r="127" spans="1:34">
      <c r="A127" s="199" t="s">
        <v>2730</v>
      </c>
      <c r="B127" s="310" t="s">
        <v>2776</v>
      </c>
      <c r="C127" s="482">
        <v>1</v>
      </c>
      <c r="D127" s="483" t="s">
        <v>126</v>
      </c>
      <c r="E127" s="484">
        <v>575</v>
      </c>
      <c r="F127" s="485">
        <f t="shared" si="29"/>
        <v>0.17599999999999999</v>
      </c>
      <c r="G127" s="486">
        <f t="shared" si="32"/>
        <v>473.8</v>
      </c>
      <c r="H127" s="671"/>
      <c r="I127" s="672"/>
      <c r="J127" s="672"/>
      <c r="K127" s="673"/>
      <c r="L127" s="672"/>
      <c r="M127" s="458" t="s">
        <v>226</v>
      </c>
      <c r="N127" s="293" t="s">
        <v>130</v>
      </c>
      <c r="O127" s="301" t="s">
        <v>192</v>
      </c>
      <c r="P127" s="1" t="str">
        <f t="shared" si="28"/>
        <v/>
      </c>
      <c r="Q127" s="1" t="str">
        <f t="shared" si="28"/>
        <v/>
      </c>
      <c r="R127" s="199" t="s">
        <v>2730</v>
      </c>
      <c r="S127" s="310" t="s">
        <v>2776</v>
      </c>
      <c r="T127" s="482">
        <v>1</v>
      </c>
      <c r="U127" s="483" t="s">
        <v>126</v>
      </c>
      <c r="V127" s="484">
        <v>575</v>
      </c>
      <c r="W127" s="485">
        <v>0.17599999999999999</v>
      </c>
      <c r="X127" s="486">
        <v>473.8</v>
      </c>
      <c r="Y127" s="671"/>
      <c r="Z127" s="672"/>
      <c r="AA127" s="672"/>
      <c r="AB127" s="673"/>
      <c r="AC127" s="672"/>
      <c r="AD127" s="458" t="s">
        <v>226</v>
      </c>
      <c r="AE127" s="293" t="s">
        <v>130</v>
      </c>
      <c r="AF127" s="301" t="s">
        <v>192</v>
      </c>
      <c r="AG127" s="1" t="s">
        <v>2350</v>
      </c>
      <c r="AH127" s="1" t="s">
        <v>2350</v>
      </c>
    </row>
    <row r="128" spans="1:34">
      <c r="A128" s="199" t="s">
        <v>2731</v>
      </c>
      <c r="B128" s="310" t="s">
        <v>2777</v>
      </c>
      <c r="C128" s="482">
        <v>1</v>
      </c>
      <c r="D128" s="483" t="s">
        <v>126</v>
      </c>
      <c r="E128" s="484">
        <v>1150</v>
      </c>
      <c r="F128" s="485">
        <f t="shared" si="29"/>
        <v>0.17599999999999999</v>
      </c>
      <c r="G128" s="486">
        <f t="shared" si="32"/>
        <v>947.6</v>
      </c>
      <c r="H128" s="671"/>
      <c r="I128" s="672"/>
      <c r="J128" s="672"/>
      <c r="K128" s="673"/>
      <c r="L128" s="672"/>
      <c r="M128" s="458" t="s">
        <v>226</v>
      </c>
      <c r="N128" s="293" t="s">
        <v>130</v>
      </c>
      <c r="O128" s="301" t="s">
        <v>192</v>
      </c>
      <c r="P128" s="1" t="str">
        <f t="shared" ref="P128:Q134" si="33">+IF($J128&lt;&gt;"",P$2*$J128,"")</f>
        <v/>
      </c>
      <c r="Q128" s="1" t="str">
        <f t="shared" si="33"/>
        <v/>
      </c>
      <c r="R128" s="199" t="s">
        <v>2731</v>
      </c>
      <c r="S128" s="310" t="s">
        <v>2777</v>
      </c>
      <c r="T128" s="482">
        <v>1</v>
      </c>
      <c r="U128" s="483" t="s">
        <v>126</v>
      </c>
      <c r="V128" s="484">
        <v>1150</v>
      </c>
      <c r="W128" s="485">
        <v>0.17599999999999999</v>
      </c>
      <c r="X128" s="486">
        <v>947.6</v>
      </c>
      <c r="Y128" s="671"/>
      <c r="Z128" s="672"/>
      <c r="AA128" s="672"/>
      <c r="AB128" s="673"/>
      <c r="AC128" s="672"/>
      <c r="AD128" s="458" t="s">
        <v>226</v>
      </c>
      <c r="AE128" s="293" t="s">
        <v>130</v>
      </c>
      <c r="AF128" s="301" t="s">
        <v>192</v>
      </c>
      <c r="AG128" s="1" t="s">
        <v>2350</v>
      </c>
      <c r="AH128" s="1" t="s">
        <v>2350</v>
      </c>
    </row>
    <row r="129" spans="1:34">
      <c r="A129" s="199" t="s">
        <v>2728</v>
      </c>
      <c r="B129" s="348" t="s">
        <v>2778</v>
      </c>
      <c r="C129" s="198">
        <v>1</v>
      </c>
      <c r="D129" s="62" t="s">
        <v>126</v>
      </c>
      <c r="E129" s="186">
        <v>141.66999999999999</v>
      </c>
      <c r="F129" s="485">
        <f t="shared" si="29"/>
        <v>0.17599999999999999</v>
      </c>
      <c r="G129" s="486">
        <f t="shared" ref="G129" si="34">E129-(E129*F129)</f>
        <v>116.73607999999999</v>
      </c>
      <c r="H129" s="671"/>
      <c r="I129" s="672"/>
      <c r="J129" s="672"/>
      <c r="K129" s="673"/>
      <c r="L129" s="672"/>
      <c r="M129" s="458" t="s">
        <v>226</v>
      </c>
      <c r="N129" s="293" t="s">
        <v>130</v>
      </c>
      <c r="O129" s="301" t="s">
        <v>192</v>
      </c>
      <c r="P129" s="1"/>
      <c r="Q129" s="1"/>
      <c r="R129" s="199" t="s">
        <v>2728</v>
      </c>
      <c r="S129" s="348" t="s">
        <v>2778</v>
      </c>
      <c r="T129" s="198">
        <v>1</v>
      </c>
      <c r="U129" s="62" t="s">
        <v>126</v>
      </c>
      <c r="V129" s="186">
        <v>141.66999999999999</v>
      </c>
      <c r="W129" s="485">
        <v>0.17599999999999999</v>
      </c>
      <c r="X129" s="486">
        <v>116.73607999999999</v>
      </c>
      <c r="Y129" s="671"/>
      <c r="Z129" s="672"/>
      <c r="AA129" s="672"/>
      <c r="AB129" s="673"/>
      <c r="AC129" s="672"/>
      <c r="AD129" s="458" t="s">
        <v>226</v>
      </c>
      <c r="AE129" s="293" t="s">
        <v>130</v>
      </c>
      <c r="AF129" s="301" t="s">
        <v>192</v>
      </c>
      <c r="AG129" s="1"/>
      <c r="AH129" s="1"/>
    </row>
    <row r="130" spans="1:34">
      <c r="A130" s="199" t="s">
        <v>2732</v>
      </c>
      <c r="B130" s="310" t="s">
        <v>2779</v>
      </c>
      <c r="C130" s="482">
        <v>1</v>
      </c>
      <c r="D130" s="483" t="s">
        <v>126</v>
      </c>
      <c r="E130" s="484">
        <v>16.670000000000002</v>
      </c>
      <c r="F130" s="485">
        <f t="shared" si="29"/>
        <v>0.17599999999999999</v>
      </c>
      <c r="G130" s="486">
        <f t="shared" si="32"/>
        <v>13.736080000000001</v>
      </c>
      <c r="H130" s="671"/>
      <c r="I130" s="672"/>
      <c r="J130" s="672"/>
      <c r="K130" s="673"/>
      <c r="L130" s="672"/>
      <c r="M130" s="458" t="s">
        <v>226</v>
      </c>
      <c r="N130" s="293" t="s">
        <v>130</v>
      </c>
      <c r="O130" s="301" t="s">
        <v>192</v>
      </c>
      <c r="P130" s="1" t="str">
        <f t="shared" si="33"/>
        <v/>
      </c>
      <c r="Q130" s="1" t="str">
        <f t="shared" si="33"/>
        <v/>
      </c>
      <c r="R130" s="199" t="s">
        <v>2732</v>
      </c>
      <c r="S130" s="310" t="s">
        <v>2779</v>
      </c>
      <c r="T130" s="482">
        <v>1</v>
      </c>
      <c r="U130" s="483" t="s">
        <v>126</v>
      </c>
      <c r="V130" s="484">
        <v>16.670000000000002</v>
      </c>
      <c r="W130" s="485">
        <v>0.17599999999999999</v>
      </c>
      <c r="X130" s="486">
        <v>13.736080000000001</v>
      </c>
      <c r="Y130" s="671"/>
      <c r="Z130" s="672"/>
      <c r="AA130" s="672"/>
      <c r="AB130" s="673"/>
      <c r="AC130" s="672"/>
      <c r="AD130" s="458" t="s">
        <v>226</v>
      </c>
      <c r="AE130" s="293" t="s">
        <v>130</v>
      </c>
      <c r="AF130" s="301" t="s">
        <v>192</v>
      </c>
      <c r="AG130" s="1" t="s">
        <v>2350</v>
      </c>
      <c r="AH130" s="1" t="s">
        <v>2350</v>
      </c>
    </row>
    <row r="131" spans="1:34">
      <c r="A131" s="199" t="s">
        <v>2733</v>
      </c>
      <c r="B131" s="310" t="s">
        <v>2780</v>
      </c>
      <c r="C131" s="482">
        <v>1</v>
      </c>
      <c r="D131" s="483" t="s">
        <v>126</v>
      </c>
      <c r="E131" s="484">
        <v>0</v>
      </c>
      <c r="F131" s="485" t="s">
        <v>128</v>
      </c>
      <c r="G131" s="486">
        <f>E131</f>
        <v>0</v>
      </c>
      <c r="H131" s="671"/>
      <c r="I131" s="672"/>
      <c r="J131" s="672"/>
      <c r="K131" s="673"/>
      <c r="L131" s="672"/>
      <c r="M131" s="458" t="s">
        <v>226</v>
      </c>
      <c r="N131" s="293" t="s">
        <v>130</v>
      </c>
      <c r="O131" s="301" t="s">
        <v>192</v>
      </c>
      <c r="P131" s="1" t="str">
        <f>+IF($J131&lt;&gt;"",P$2*$J131,"")</f>
        <v/>
      </c>
      <c r="Q131" s="1" t="str">
        <f>+IF($J131&lt;&gt;"",Q$2*$J131,"")</f>
        <v/>
      </c>
      <c r="R131" s="199" t="s">
        <v>2733</v>
      </c>
      <c r="S131" s="310" t="s">
        <v>2780</v>
      </c>
      <c r="T131" s="482">
        <v>1</v>
      </c>
      <c r="U131" s="483" t="s">
        <v>126</v>
      </c>
      <c r="V131" s="484">
        <v>0</v>
      </c>
      <c r="W131" s="485" t="s">
        <v>128</v>
      </c>
      <c r="X131" s="486">
        <v>0</v>
      </c>
      <c r="Y131" s="671"/>
      <c r="Z131" s="672"/>
      <c r="AA131" s="672"/>
      <c r="AB131" s="673"/>
      <c r="AC131" s="672"/>
      <c r="AD131" s="458" t="s">
        <v>226</v>
      </c>
      <c r="AE131" s="293" t="s">
        <v>130</v>
      </c>
      <c r="AF131" s="301" t="s">
        <v>192</v>
      </c>
      <c r="AG131" s="1" t="s">
        <v>2350</v>
      </c>
      <c r="AH131" s="1" t="s">
        <v>2350</v>
      </c>
    </row>
    <row r="132" spans="1:34">
      <c r="A132" s="199" t="s">
        <v>2734</v>
      </c>
      <c r="B132" s="310" t="s">
        <v>2781</v>
      </c>
      <c r="C132" s="482">
        <v>1</v>
      </c>
      <c r="D132" s="483" t="s">
        <v>126</v>
      </c>
      <c r="E132" s="484">
        <v>0</v>
      </c>
      <c r="F132" s="485" t="s">
        <v>128</v>
      </c>
      <c r="G132" s="486">
        <f>E132</f>
        <v>0</v>
      </c>
      <c r="H132" s="671"/>
      <c r="I132" s="672"/>
      <c r="J132" s="672"/>
      <c r="K132" s="673"/>
      <c r="L132" s="672"/>
      <c r="M132" s="458" t="s">
        <v>226</v>
      </c>
      <c r="N132" s="293" t="s">
        <v>130</v>
      </c>
      <c r="O132" s="301" t="s">
        <v>192</v>
      </c>
      <c r="P132" s="1" t="str">
        <f t="shared" si="33"/>
        <v/>
      </c>
      <c r="Q132" s="1" t="str">
        <f t="shared" si="33"/>
        <v/>
      </c>
      <c r="R132" s="199" t="s">
        <v>2734</v>
      </c>
      <c r="S132" s="310" t="s">
        <v>2781</v>
      </c>
      <c r="T132" s="482">
        <v>1</v>
      </c>
      <c r="U132" s="483" t="s">
        <v>126</v>
      </c>
      <c r="V132" s="484">
        <v>0</v>
      </c>
      <c r="W132" s="485" t="s">
        <v>128</v>
      </c>
      <c r="X132" s="486">
        <v>0</v>
      </c>
      <c r="Y132" s="671"/>
      <c r="Z132" s="672"/>
      <c r="AA132" s="672"/>
      <c r="AB132" s="673"/>
      <c r="AC132" s="672"/>
      <c r="AD132" s="458" t="s">
        <v>226</v>
      </c>
      <c r="AE132" s="293" t="s">
        <v>130</v>
      </c>
      <c r="AF132" s="301" t="s">
        <v>192</v>
      </c>
      <c r="AG132" s="1" t="s">
        <v>2350</v>
      </c>
      <c r="AH132" s="1" t="s">
        <v>2350</v>
      </c>
    </row>
    <row r="133" spans="1:34" s="80" customFormat="1">
      <c r="A133" s="199" t="s">
        <v>2735</v>
      </c>
      <c r="B133" s="197" t="s">
        <v>2782</v>
      </c>
      <c r="C133" s="482">
        <v>1</v>
      </c>
      <c r="D133" s="483" t="s">
        <v>126</v>
      </c>
      <c r="E133" s="484">
        <v>0</v>
      </c>
      <c r="F133" s="485" t="s">
        <v>128</v>
      </c>
      <c r="G133" s="486">
        <f t="shared" ref="G133" si="35">E133</f>
        <v>0</v>
      </c>
      <c r="H133" s="671"/>
      <c r="I133" s="672"/>
      <c r="J133" s="672"/>
      <c r="K133" s="673"/>
      <c r="L133" s="672"/>
      <c r="M133" s="458" t="s">
        <v>226</v>
      </c>
      <c r="N133" s="293" t="s">
        <v>130</v>
      </c>
      <c r="O133" s="301" t="s">
        <v>192</v>
      </c>
      <c r="P133" s="1" t="str">
        <f t="shared" si="33"/>
        <v/>
      </c>
      <c r="Q133" s="1" t="str">
        <f t="shared" si="33"/>
        <v/>
      </c>
      <c r="R133" s="199" t="s">
        <v>2735</v>
      </c>
      <c r="S133" s="197" t="s">
        <v>2782</v>
      </c>
      <c r="T133" s="482">
        <v>1</v>
      </c>
      <c r="U133" s="483" t="s">
        <v>126</v>
      </c>
      <c r="V133" s="484">
        <v>0</v>
      </c>
      <c r="W133" s="485" t="s">
        <v>128</v>
      </c>
      <c r="X133" s="486">
        <v>0</v>
      </c>
      <c r="Y133" s="671"/>
      <c r="Z133" s="672"/>
      <c r="AA133" s="672"/>
      <c r="AB133" s="673"/>
      <c r="AC133" s="672"/>
      <c r="AD133" s="458" t="s">
        <v>226</v>
      </c>
      <c r="AE133" s="293" t="s">
        <v>130</v>
      </c>
      <c r="AF133" s="301" t="s">
        <v>192</v>
      </c>
      <c r="AG133" s="1" t="s">
        <v>2350</v>
      </c>
      <c r="AH133" s="1" t="s">
        <v>2350</v>
      </c>
    </row>
    <row r="134" spans="1:34" s="80" customFormat="1">
      <c r="A134" s="185" t="s">
        <v>2722</v>
      </c>
      <c r="B134" s="49" t="s">
        <v>2723</v>
      </c>
      <c r="C134" s="50">
        <v>1</v>
      </c>
      <c r="D134" s="51" t="s">
        <v>126</v>
      </c>
      <c r="E134" s="57">
        <v>3162.51</v>
      </c>
      <c r="F134" s="61">
        <f>rv_mbp14_eg</f>
        <v>0.17599999999999999</v>
      </c>
      <c r="G134" s="65">
        <f t="shared" ref="G134" si="36">E134-(E134*F134)</f>
        <v>2605.9082400000002</v>
      </c>
      <c r="H134" s="50" t="s">
        <v>190</v>
      </c>
      <c r="I134" s="58">
        <v>74.08</v>
      </c>
      <c r="J134" s="58">
        <f>G134+I134</f>
        <v>2679.9882400000001</v>
      </c>
      <c r="K134" s="58" t="s">
        <v>128</v>
      </c>
      <c r="L134" s="58">
        <v>3.32</v>
      </c>
      <c r="M134" s="457" t="s">
        <v>227</v>
      </c>
      <c r="N134" s="305" t="s">
        <v>130</v>
      </c>
      <c r="O134" s="309" t="s">
        <v>192</v>
      </c>
      <c r="P134" s="84">
        <f t="shared" si="33"/>
        <v>539.50507534027327</v>
      </c>
      <c r="Q134" s="84">
        <f t="shared" si="33"/>
        <v>280.38427220837735</v>
      </c>
      <c r="R134" s="185" t="s">
        <v>2722</v>
      </c>
      <c r="S134" s="49" t="s">
        <v>2723</v>
      </c>
      <c r="T134" s="50">
        <v>1</v>
      </c>
      <c r="U134" s="51" t="s">
        <v>126</v>
      </c>
      <c r="V134" s="57">
        <v>3165.53</v>
      </c>
      <c r="W134" s="61">
        <v>0.17599999999999999</v>
      </c>
      <c r="X134" s="65">
        <v>2608.3967200000002</v>
      </c>
      <c r="Y134" s="50" t="s">
        <v>190</v>
      </c>
      <c r="Z134" s="58">
        <v>74.08</v>
      </c>
      <c r="AA134" s="58">
        <v>2682.4767200000001</v>
      </c>
      <c r="AB134" s="58" t="s">
        <v>128</v>
      </c>
      <c r="AC134" s="58">
        <v>0.3</v>
      </c>
      <c r="AD134" s="457" t="s">
        <v>227</v>
      </c>
      <c r="AE134" s="305" t="s">
        <v>130</v>
      </c>
      <c r="AF134" s="309" t="s">
        <v>192</v>
      </c>
      <c r="AG134" s="84">
        <v>540.00602813172384</v>
      </c>
      <c r="AH134" s="84">
        <v>280.64462060964684</v>
      </c>
    </row>
    <row r="135" spans="1:34" s="80" customFormat="1">
      <c r="A135" s="199" t="s">
        <v>2743</v>
      </c>
      <c r="B135" s="310" t="s">
        <v>2764</v>
      </c>
      <c r="C135" s="198">
        <v>1</v>
      </c>
      <c r="D135" s="62" t="s">
        <v>126</v>
      </c>
      <c r="E135" s="484">
        <v>479.17</v>
      </c>
      <c r="F135" s="485">
        <f t="shared" si="29"/>
        <v>0.17599999999999999</v>
      </c>
      <c r="G135" s="486">
        <f t="shared" ref="G135:G140" si="37">E135-(E135*F135)</f>
        <v>394.83608000000004</v>
      </c>
      <c r="H135" s="671"/>
      <c r="I135" s="672"/>
      <c r="J135" s="672"/>
      <c r="K135" s="673"/>
      <c r="L135" s="672"/>
      <c r="M135" s="458" t="s">
        <v>227</v>
      </c>
      <c r="N135" s="293" t="s">
        <v>130</v>
      </c>
      <c r="O135" s="301" t="s">
        <v>192</v>
      </c>
      <c r="P135" s="1" t="str">
        <f t="shared" ref="P135:Q136" si="38">+IF($J135&lt;&gt;"",P$2*$J135,"")</f>
        <v/>
      </c>
      <c r="Q135" s="1" t="str">
        <f t="shared" si="38"/>
        <v/>
      </c>
      <c r="R135" s="199" t="s">
        <v>2743</v>
      </c>
      <c r="S135" s="310" t="s">
        <v>2764</v>
      </c>
      <c r="T135" s="198">
        <v>1</v>
      </c>
      <c r="U135" s="62" t="s">
        <v>126</v>
      </c>
      <c r="V135" s="484">
        <v>479.17</v>
      </c>
      <c r="W135" s="485">
        <v>0.17599999999999999</v>
      </c>
      <c r="X135" s="486">
        <v>394.83608000000004</v>
      </c>
      <c r="Y135" s="671"/>
      <c r="Z135" s="672"/>
      <c r="AA135" s="672"/>
      <c r="AB135" s="673"/>
      <c r="AC135" s="672"/>
      <c r="AD135" s="458" t="s">
        <v>227</v>
      </c>
      <c r="AE135" s="293" t="s">
        <v>130</v>
      </c>
      <c r="AF135" s="301" t="s">
        <v>192</v>
      </c>
      <c r="AG135" s="1" t="s">
        <v>2350</v>
      </c>
      <c r="AH135" s="1" t="s">
        <v>2350</v>
      </c>
    </row>
    <row r="136" spans="1:34" s="80" customFormat="1">
      <c r="A136" s="199" t="s">
        <v>2744</v>
      </c>
      <c r="B136" s="310" t="s">
        <v>2765</v>
      </c>
      <c r="C136" s="198">
        <v>1</v>
      </c>
      <c r="D136" s="62" t="s">
        <v>126</v>
      </c>
      <c r="E136" s="186">
        <v>670.83</v>
      </c>
      <c r="F136" s="485">
        <f t="shared" si="29"/>
        <v>0.17599999999999999</v>
      </c>
      <c r="G136" s="79">
        <f t="shared" si="37"/>
        <v>552.7639200000001</v>
      </c>
      <c r="H136" s="671"/>
      <c r="I136" s="672"/>
      <c r="J136" s="672"/>
      <c r="K136" s="673"/>
      <c r="L136" s="672"/>
      <c r="M136" s="458" t="s">
        <v>227</v>
      </c>
      <c r="N136" s="293" t="s">
        <v>130</v>
      </c>
      <c r="O136" s="301" t="s">
        <v>192</v>
      </c>
      <c r="P136" s="1" t="str">
        <f t="shared" si="38"/>
        <v/>
      </c>
      <c r="Q136" s="1" t="str">
        <f t="shared" si="38"/>
        <v/>
      </c>
      <c r="R136" s="199" t="s">
        <v>2744</v>
      </c>
      <c r="S136" s="310" t="s">
        <v>2765</v>
      </c>
      <c r="T136" s="198">
        <v>1</v>
      </c>
      <c r="U136" s="62" t="s">
        <v>126</v>
      </c>
      <c r="V136" s="186">
        <v>670.83</v>
      </c>
      <c r="W136" s="485">
        <v>0.17599999999999999</v>
      </c>
      <c r="X136" s="79">
        <v>552.7639200000001</v>
      </c>
      <c r="Y136" s="671"/>
      <c r="Z136" s="672"/>
      <c r="AA136" s="672"/>
      <c r="AB136" s="673"/>
      <c r="AC136" s="672"/>
      <c r="AD136" s="458" t="s">
        <v>227</v>
      </c>
      <c r="AE136" s="293" t="s">
        <v>130</v>
      </c>
      <c r="AF136" s="301" t="s">
        <v>192</v>
      </c>
      <c r="AG136" s="1" t="s">
        <v>2350</v>
      </c>
      <c r="AH136" s="1" t="s">
        <v>2350</v>
      </c>
    </row>
    <row r="137" spans="1:34" s="80" customFormat="1">
      <c r="A137" s="199" t="s">
        <v>2745</v>
      </c>
      <c r="B137" s="310" t="s">
        <v>2766</v>
      </c>
      <c r="C137" s="198">
        <v>1</v>
      </c>
      <c r="D137" s="62" t="s">
        <v>126</v>
      </c>
      <c r="E137" s="484">
        <v>1437.5</v>
      </c>
      <c r="F137" s="485">
        <f t="shared" si="29"/>
        <v>0.17599999999999999</v>
      </c>
      <c r="G137" s="486">
        <f t="shared" si="37"/>
        <v>1184.5</v>
      </c>
      <c r="H137" s="671"/>
      <c r="I137" s="672"/>
      <c r="J137" s="672"/>
      <c r="K137" s="673"/>
      <c r="L137" s="672"/>
      <c r="M137" s="458" t="s">
        <v>227</v>
      </c>
      <c r="N137" s="293" t="s">
        <v>130</v>
      </c>
      <c r="O137" s="301" t="s">
        <v>192</v>
      </c>
      <c r="P137" s="1"/>
      <c r="Q137" s="1"/>
      <c r="R137" s="199" t="s">
        <v>2745</v>
      </c>
      <c r="S137" s="310" t="s">
        <v>2766</v>
      </c>
      <c r="T137" s="198">
        <v>1</v>
      </c>
      <c r="U137" s="62" t="s">
        <v>126</v>
      </c>
      <c r="V137" s="484">
        <v>1437.5</v>
      </c>
      <c r="W137" s="485">
        <v>0.17599999999999999</v>
      </c>
      <c r="X137" s="486">
        <v>1184.5</v>
      </c>
      <c r="Y137" s="671"/>
      <c r="Z137" s="672"/>
      <c r="AA137" s="672"/>
      <c r="AB137" s="673"/>
      <c r="AC137" s="672"/>
      <c r="AD137" s="458" t="s">
        <v>227</v>
      </c>
      <c r="AE137" s="293" t="s">
        <v>130</v>
      </c>
      <c r="AF137" s="301" t="s">
        <v>192</v>
      </c>
      <c r="AG137" s="1"/>
      <c r="AH137" s="1"/>
    </row>
    <row r="138" spans="1:34" s="80" customFormat="1">
      <c r="A138" s="199" t="s">
        <v>2739</v>
      </c>
      <c r="B138" s="310" t="s">
        <v>2767</v>
      </c>
      <c r="C138" s="198">
        <v>1</v>
      </c>
      <c r="D138" s="62" t="s">
        <v>126</v>
      </c>
      <c r="E138" s="484">
        <v>383.33</v>
      </c>
      <c r="F138" s="485">
        <f t="shared" si="29"/>
        <v>0.17599999999999999</v>
      </c>
      <c r="G138" s="486">
        <f t="shared" si="37"/>
        <v>315.86392000000001</v>
      </c>
      <c r="H138" s="671"/>
      <c r="I138" s="672"/>
      <c r="J138" s="672"/>
      <c r="K138" s="673"/>
      <c r="L138" s="672"/>
      <c r="M138" s="458" t="s">
        <v>227</v>
      </c>
      <c r="N138" s="293" t="s">
        <v>130</v>
      </c>
      <c r="O138" s="301" t="s">
        <v>192</v>
      </c>
      <c r="P138" s="1"/>
      <c r="Q138" s="1"/>
      <c r="R138" s="199" t="s">
        <v>2739</v>
      </c>
      <c r="S138" s="310" t="s">
        <v>2767</v>
      </c>
      <c r="T138" s="198">
        <v>1</v>
      </c>
      <c r="U138" s="62" t="s">
        <v>126</v>
      </c>
      <c r="V138" s="484">
        <v>383.33</v>
      </c>
      <c r="W138" s="485">
        <v>0.17599999999999999</v>
      </c>
      <c r="X138" s="486">
        <v>315.86392000000001</v>
      </c>
      <c r="Y138" s="671"/>
      <c r="Z138" s="672"/>
      <c r="AA138" s="672"/>
      <c r="AB138" s="673"/>
      <c r="AC138" s="672"/>
      <c r="AD138" s="458" t="s">
        <v>227</v>
      </c>
      <c r="AE138" s="293" t="s">
        <v>130</v>
      </c>
      <c r="AF138" s="301" t="s">
        <v>192</v>
      </c>
      <c r="AG138" s="1"/>
      <c r="AH138" s="1"/>
    </row>
    <row r="139" spans="1:34" s="80" customFormat="1">
      <c r="A139" s="199" t="s">
        <v>2740</v>
      </c>
      <c r="B139" s="310" t="s">
        <v>2768</v>
      </c>
      <c r="C139" s="198">
        <v>1</v>
      </c>
      <c r="D139" s="62" t="s">
        <v>126</v>
      </c>
      <c r="E139" s="484">
        <v>958.33</v>
      </c>
      <c r="F139" s="485">
        <f t="shared" si="29"/>
        <v>0.17599999999999999</v>
      </c>
      <c r="G139" s="486">
        <f t="shared" si="37"/>
        <v>789.66392000000008</v>
      </c>
      <c r="H139" s="671"/>
      <c r="I139" s="672"/>
      <c r="J139" s="672"/>
      <c r="K139" s="673"/>
      <c r="L139" s="672"/>
      <c r="M139" s="458" t="s">
        <v>227</v>
      </c>
      <c r="N139" s="293" t="s">
        <v>130</v>
      </c>
      <c r="O139" s="301" t="s">
        <v>192</v>
      </c>
      <c r="P139" s="1"/>
      <c r="Q139" s="1"/>
      <c r="R139" s="199" t="s">
        <v>2740</v>
      </c>
      <c r="S139" s="310" t="s">
        <v>2768</v>
      </c>
      <c r="T139" s="198">
        <v>1</v>
      </c>
      <c r="U139" s="62" t="s">
        <v>126</v>
      </c>
      <c r="V139" s="484">
        <v>958.33</v>
      </c>
      <c r="W139" s="485">
        <v>0.17599999999999999</v>
      </c>
      <c r="X139" s="486">
        <v>789.66392000000008</v>
      </c>
      <c r="Y139" s="671"/>
      <c r="Z139" s="672"/>
      <c r="AA139" s="672"/>
      <c r="AB139" s="673"/>
      <c r="AC139" s="672"/>
      <c r="AD139" s="458" t="s">
        <v>227</v>
      </c>
      <c r="AE139" s="293" t="s">
        <v>130</v>
      </c>
      <c r="AF139" s="301" t="s">
        <v>192</v>
      </c>
      <c r="AG139" s="1"/>
      <c r="AH139" s="1"/>
    </row>
    <row r="140" spans="1:34" s="80" customFormat="1">
      <c r="A140" s="199" t="s">
        <v>2741</v>
      </c>
      <c r="B140" s="310" t="s">
        <v>2769</v>
      </c>
      <c r="C140" s="198">
        <v>1</v>
      </c>
      <c r="D140" s="62" t="s">
        <v>126</v>
      </c>
      <c r="E140" s="484">
        <v>2108.33</v>
      </c>
      <c r="F140" s="485">
        <f t="shared" si="29"/>
        <v>0.17599999999999999</v>
      </c>
      <c r="G140" s="486">
        <f t="shared" si="37"/>
        <v>1737.2639199999999</v>
      </c>
      <c r="H140" s="671"/>
      <c r="I140" s="672"/>
      <c r="J140" s="672"/>
      <c r="K140" s="673"/>
      <c r="L140" s="672"/>
      <c r="M140" s="458" t="s">
        <v>227</v>
      </c>
      <c r="N140" s="293" t="s">
        <v>130</v>
      </c>
      <c r="O140" s="301" t="s">
        <v>192</v>
      </c>
      <c r="P140" s="1"/>
      <c r="Q140" s="1"/>
      <c r="R140" s="199" t="s">
        <v>2741</v>
      </c>
      <c r="S140" s="310" t="s">
        <v>2769</v>
      </c>
      <c r="T140" s="198">
        <v>1</v>
      </c>
      <c r="U140" s="62" t="s">
        <v>126</v>
      </c>
      <c r="V140" s="484">
        <v>2108.33</v>
      </c>
      <c r="W140" s="485">
        <v>0.17599999999999999</v>
      </c>
      <c r="X140" s="486">
        <v>1737.2639199999999</v>
      </c>
      <c r="Y140" s="671"/>
      <c r="Z140" s="672"/>
      <c r="AA140" s="672"/>
      <c r="AB140" s="673"/>
      <c r="AC140" s="672"/>
      <c r="AD140" s="458" t="s">
        <v>227</v>
      </c>
      <c r="AE140" s="293" t="s">
        <v>130</v>
      </c>
      <c r="AF140" s="301" t="s">
        <v>192</v>
      </c>
      <c r="AG140" s="1"/>
      <c r="AH140" s="1"/>
    </row>
    <row r="141" spans="1:34" s="80" customFormat="1">
      <c r="A141" s="199" t="s">
        <v>2742</v>
      </c>
      <c r="B141" s="348" t="s">
        <v>2770</v>
      </c>
      <c r="C141" s="198">
        <v>1</v>
      </c>
      <c r="D141" s="62" t="s">
        <v>126</v>
      </c>
      <c r="E141" s="484">
        <v>141.66999999999999</v>
      </c>
      <c r="F141" s="485">
        <f t="shared" si="29"/>
        <v>0.17599999999999999</v>
      </c>
      <c r="G141" s="486">
        <f t="shared" ref="G141" si="39">E141-(E141*F141)</f>
        <v>116.73607999999999</v>
      </c>
      <c r="H141" s="671"/>
      <c r="I141" s="672"/>
      <c r="J141" s="672"/>
      <c r="K141" s="673"/>
      <c r="L141" s="672"/>
      <c r="M141" s="458" t="s">
        <v>227</v>
      </c>
      <c r="N141" s="293" t="s">
        <v>130</v>
      </c>
      <c r="O141" s="301" t="s">
        <v>192</v>
      </c>
      <c r="P141" s="1"/>
      <c r="Q141" s="1"/>
      <c r="R141" s="199" t="s">
        <v>2742</v>
      </c>
      <c r="S141" s="348" t="s">
        <v>2770</v>
      </c>
      <c r="T141" s="198">
        <v>1</v>
      </c>
      <c r="U141" s="62" t="s">
        <v>126</v>
      </c>
      <c r="V141" s="484">
        <v>141.66999999999999</v>
      </c>
      <c r="W141" s="485">
        <v>0.17599999999999999</v>
      </c>
      <c r="X141" s="486">
        <v>116.73607999999999</v>
      </c>
      <c r="Y141" s="671"/>
      <c r="Z141" s="672"/>
      <c r="AA141" s="672"/>
      <c r="AB141" s="673"/>
      <c r="AC141" s="672"/>
      <c r="AD141" s="458" t="s">
        <v>227</v>
      </c>
      <c r="AE141" s="293" t="s">
        <v>130</v>
      </c>
      <c r="AF141" s="301" t="s">
        <v>192</v>
      </c>
      <c r="AG141" s="1"/>
      <c r="AH141" s="1"/>
    </row>
    <row r="142" spans="1:34" s="80" customFormat="1">
      <c r="A142" s="199" t="s">
        <v>2736</v>
      </c>
      <c r="B142" s="310" t="s">
        <v>2771</v>
      </c>
      <c r="C142" s="198">
        <v>1</v>
      </c>
      <c r="D142" s="62" t="s">
        <v>126</v>
      </c>
      <c r="E142" s="484">
        <v>0</v>
      </c>
      <c r="F142" s="485" t="s">
        <v>128</v>
      </c>
      <c r="G142" s="486">
        <f>E142</f>
        <v>0</v>
      </c>
      <c r="H142" s="671"/>
      <c r="I142" s="672"/>
      <c r="J142" s="672"/>
      <c r="K142" s="673"/>
      <c r="L142" s="672"/>
      <c r="M142" s="458" t="s">
        <v>227</v>
      </c>
      <c r="N142" s="293" t="s">
        <v>130</v>
      </c>
      <c r="O142" s="301" t="s">
        <v>192</v>
      </c>
      <c r="P142" s="1" t="str">
        <f>+IF($J142&lt;&gt;"",P$2*$J142,"")</f>
        <v/>
      </c>
      <c r="Q142" s="1" t="str">
        <f>+IF($J142&lt;&gt;"",Q$2*$J142,"")</f>
        <v/>
      </c>
      <c r="R142" s="199" t="s">
        <v>2736</v>
      </c>
      <c r="S142" s="310" t="s">
        <v>2771</v>
      </c>
      <c r="T142" s="198">
        <v>1</v>
      </c>
      <c r="U142" s="62" t="s">
        <v>126</v>
      </c>
      <c r="V142" s="484">
        <v>0</v>
      </c>
      <c r="W142" s="485" t="s">
        <v>128</v>
      </c>
      <c r="X142" s="486">
        <v>0</v>
      </c>
      <c r="Y142" s="671"/>
      <c r="Z142" s="672"/>
      <c r="AA142" s="672"/>
      <c r="AB142" s="673"/>
      <c r="AC142" s="672"/>
      <c r="AD142" s="458" t="s">
        <v>227</v>
      </c>
      <c r="AE142" s="293" t="s">
        <v>130</v>
      </c>
      <c r="AF142" s="301" t="s">
        <v>192</v>
      </c>
      <c r="AG142" s="1" t="s">
        <v>2350</v>
      </c>
      <c r="AH142" s="1" t="s">
        <v>2350</v>
      </c>
    </row>
    <row r="143" spans="1:34" s="80" customFormat="1">
      <c r="A143" s="199" t="s">
        <v>2737</v>
      </c>
      <c r="B143" s="310" t="s">
        <v>2772</v>
      </c>
      <c r="C143" s="198">
        <v>1</v>
      </c>
      <c r="D143" s="62" t="s">
        <v>126</v>
      </c>
      <c r="E143" s="484">
        <v>0</v>
      </c>
      <c r="F143" s="485" t="s">
        <v>128</v>
      </c>
      <c r="G143" s="486">
        <f>E143</f>
        <v>0</v>
      </c>
      <c r="H143" s="671"/>
      <c r="I143" s="672"/>
      <c r="J143" s="672"/>
      <c r="K143" s="673"/>
      <c r="L143" s="672"/>
      <c r="M143" s="458" t="s">
        <v>227</v>
      </c>
      <c r="N143" s="293" t="s">
        <v>130</v>
      </c>
      <c r="O143" s="301" t="s">
        <v>192</v>
      </c>
      <c r="P143" s="1" t="str">
        <f t="shared" ref="P143:Q144" si="40">+IF($J143&lt;&gt;"",P$2*$J143,"")</f>
        <v/>
      </c>
      <c r="Q143" s="1" t="str">
        <f t="shared" si="40"/>
        <v/>
      </c>
      <c r="R143" s="199" t="s">
        <v>2737</v>
      </c>
      <c r="S143" s="310" t="s">
        <v>2772</v>
      </c>
      <c r="T143" s="198">
        <v>1</v>
      </c>
      <c r="U143" s="62" t="s">
        <v>126</v>
      </c>
      <c r="V143" s="484">
        <v>0</v>
      </c>
      <c r="W143" s="485" t="s">
        <v>128</v>
      </c>
      <c r="X143" s="486">
        <v>0</v>
      </c>
      <c r="Y143" s="671"/>
      <c r="Z143" s="672"/>
      <c r="AA143" s="672"/>
      <c r="AB143" s="673"/>
      <c r="AC143" s="672"/>
      <c r="AD143" s="458" t="s">
        <v>227</v>
      </c>
      <c r="AE143" s="293" t="s">
        <v>130</v>
      </c>
      <c r="AF143" s="301" t="s">
        <v>192</v>
      </c>
      <c r="AG143" s="1" t="s">
        <v>2350</v>
      </c>
      <c r="AH143" s="1" t="s">
        <v>2350</v>
      </c>
    </row>
    <row r="144" spans="1:34" s="80" customFormat="1">
      <c r="A144" s="199" t="s">
        <v>2738</v>
      </c>
      <c r="B144" s="197" t="s">
        <v>2773</v>
      </c>
      <c r="C144" s="198">
        <v>1</v>
      </c>
      <c r="D144" s="62" t="s">
        <v>126</v>
      </c>
      <c r="E144" s="484">
        <v>0</v>
      </c>
      <c r="F144" s="485" t="s">
        <v>128</v>
      </c>
      <c r="G144" s="486">
        <f t="shared" ref="G144" si="41">E144</f>
        <v>0</v>
      </c>
      <c r="H144" s="671"/>
      <c r="I144" s="672"/>
      <c r="J144" s="672"/>
      <c r="K144" s="673"/>
      <c r="L144" s="672"/>
      <c r="M144" s="458" t="s">
        <v>227</v>
      </c>
      <c r="N144" s="293" t="s">
        <v>130</v>
      </c>
      <c r="O144" s="301" t="s">
        <v>192</v>
      </c>
      <c r="P144" s="1" t="str">
        <f t="shared" si="40"/>
        <v/>
      </c>
      <c r="Q144" s="1" t="str">
        <f t="shared" si="40"/>
        <v/>
      </c>
      <c r="R144" s="199" t="s">
        <v>2738</v>
      </c>
      <c r="S144" s="197" t="s">
        <v>2773</v>
      </c>
      <c r="T144" s="198">
        <v>1</v>
      </c>
      <c r="U144" s="62" t="s">
        <v>126</v>
      </c>
      <c r="V144" s="484">
        <v>0</v>
      </c>
      <c r="W144" s="485" t="s">
        <v>128</v>
      </c>
      <c r="X144" s="486">
        <v>0</v>
      </c>
      <c r="Y144" s="671"/>
      <c r="Z144" s="672"/>
      <c r="AA144" s="672"/>
      <c r="AB144" s="673"/>
      <c r="AC144" s="672"/>
      <c r="AD144" s="458" t="s">
        <v>227</v>
      </c>
      <c r="AE144" s="293" t="s">
        <v>130</v>
      </c>
      <c r="AF144" s="301" t="s">
        <v>192</v>
      </c>
      <c r="AG144" s="1" t="s">
        <v>2350</v>
      </c>
      <c r="AH144" s="1" t="s">
        <v>2350</v>
      </c>
    </row>
    <row r="145" spans="1:34" s="84" customFormat="1">
      <c r="A145" s="191" t="s">
        <v>190</v>
      </c>
      <c r="B145" s="53" t="s">
        <v>193</v>
      </c>
      <c r="C145" s="75">
        <v>1</v>
      </c>
      <c r="D145" s="69" t="s">
        <v>134</v>
      </c>
      <c r="E145" s="231">
        <v>89.9</v>
      </c>
      <c r="F145" s="98">
        <v>0.17599999999999999</v>
      </c>
      <c r="G145" s="63">
        <f>E145-(E145*F145)</f>
        <v>74.077600000000004</v>
      </c>
      <c r="H145" s="67"/>
      <c r="I145" s="52"/>
      <c r="J145" s="52"/>
      <c r="K145" s="134"/>
      <c r="L145" s="52"/>
      <c r="M145" s="457" t="s">
        <v>135</v>
      </c>
      <c r="N145" s="305" t="s">
        <v>136</v>
      </c>
      <c r="O145" s="309" t="s">
        <v>137</v>
      </c>
      <c r="P145" s="84" t="str">
        <f t="shared" ref="P145:Q154" si="42">+IF($J145&lt;&gt;"",P$2*$J145,"")</f>
        <v/>
      </c>
      <c r="Q145" s="84" t="str">
        <f t="shared" si="42"/>
        <v/>
      </c>
      <c r="R145" s="191" t="s">
        <v>190</v>
      </c>
      <c r="S145" s="53" t="s">
        <v>193</v>
      </c>
      <c r="T145" s="75">
        <v>1</v>
      </c>
      <c r="U145" s="69" t="s">
        <v>134</v>
      </c>
      <c r="V145" s="231">
        <v>89.9</v>
      </c>
      <c r="W145" s="98">
        <v>0.17599999999999999</v>
      </c>
      <c r="X145" s="63">
        <v>74.077600000000004</v>
      </c>
      <c r="Y145" s="67"/>
      <c r="Z145" s="52"/>
      <c r="AA145" s="52"/>
      <c r="AB145" s="134"/>
      <c r="AC145" s="52"/>
      <c r="AD145" s="457" t="s">
        <v>135</v>
      </c>
      <c r="AE145" s="305" t="s">
        <v>136</v>
      </c>
      <c r="AF145" s="309" t="s">
        <v>137</v>
      </c>
      <c r="AG145" s="84" t="s">
        <v>2350</v>
      </c>
      <c r="AH145" s="84" t="s">
        <v>2350</v>
      </c>
    </row>
    <row r="146" spans="1:34">
      <c r="A146" s="183" t="s">
        <v>194</v>
      </c>
      <c r="B146" s="64" t="s">
        <v>195</v>
      </c>
      <c r="C146" s="21">
        <v>1</v>
      </c>
      <c r="D146" s="27" t="s">
        <v>134</v>
      </c>
      <c r="E146" s="28"/>
      <c r="F146" s="18"/>
      <c r="G146" s="79">
        <v>24</v>
      </c>
      <c r="H146" s="22"/>
      <c r="I146" s="52"/>
      <c r="J146" s="52"/>
      <c r="K146" s="13"/>
      <c r="L146" s="52"/>
      <c r="M146" s="458" t="s">
        <v>135</v>
      </c>
      <c r="N146" s="293" t="s">
        <v>136</v>
      </c>
      <c r="O146" s="301" t="s">
        <v>137</v>
      </c>
      <c r="P146" s="1" t="str">
        <f t="shared" si="42"/>
        <v/>
      </c>
      <c r="Q146" s="1" t="str">
        <f t="shared" si="42"/>
        <v/>
      </c>
      <c r="R146" s="183" t="s">
        <v>194</v>
      </c>
      <c r="S146" s="64" t="s">
        <v>195</v>
      </c>
      <c r="T146" s="21">
        <v>1</v>
      </c>
      <c r="U146" s="27" t="s">
        <v>134</v>
      </c>
      <c r="V146" s="28"/>
      <c r="W146" s="18"/>
      <c r="X146" s="79">
        <v>24</v>
      </c>
      <c r="Y146" s="22"/>
      <c r="Z146" s="52"/>
      <c r="AA146" s="52"/>
      <c r="AB146" s="13"/>
      <c r="AC146" s="52"/>
      <c r="AD146" s="458" t="s">
        <v>135</v>
      </c>
      <c r="AE146" s="293" t="s">
        <v>136</v>
      </c>
      <c r="AF146" s="301" t="s">
        <v>137</v>
      </c>
      <c r="AG146" s="1" t="s">
        <v>2350</v>
      </c>
      <c r="AH146" s="1" t="s">
        <v>2350</v>
      </c>
    </row>
    <row r="147" spans="1:34">
      <c r="A147" s="183" t="s">
        <v>196</v>
      </c>
      <c r="B147" s="64" t="s">
        <v>197</v>
      </c>
      <c r="C147" s="21">
        <v>1</v>
      </c>
      <c r="D147" s="27" t="s">
        <v>134</v>
      </c>
      <c r="E147" s="28"/>
      <c r="F147" s="18"/>
      <c r="G147" s="79">
        <v>48</v>
      </c>
      <c r="H147" s="22"/>
      <c r="I147" s="52"/>
      <c r="J147" s="52"/>
      <c r="K147" s="13"/>
      <c r="L147" s="52"/>
      <c r="M147" s="458" t="s">
        <v>135</v>
      </c>
      <c r="N147" s="293" t="s">
        <v>136</v>
      </c>
      <c r="O147" s="301" t="s">
        <v>137</v>
      </c>
      <c r="P147" s="1" t="str">
        <f t="shared" si="42"/>
        <v/>
      </c>
      <c r="Q147" s="1" t="str">
        <f t="shared" si="42"/>
        <v/>
      </c>
      <c r="R147" s="183" t="s">
        <v>196</v>
      </c>
      <c r="S147" s="64" t="s">
        <v>197</v>
      </c>
      <c r="T147" s="21">
        <v>1</v>
      </c>
      <c r="U147" s="27" t="s">
        <v>134</v>
      </c>
      <c r="V147" s="28"/>
      <c r="W147" s="18"/>
      <c r="X147" s="79">
        <v>48</v>
      </c>
      <c r="Y147" s="22"/>
      <c r="Z147" s="52"/>
      <c r="AA147" s="52"/>
      <c r="AB147" s="13"/>
      <c r="AC147" s="52"/>
      <c r="AD147" s="458" t="s">
        <v>135</v>
      </c>
      <c r="AE147" s="293" t="s">
        <v>136</v>
      </c>
      <c r="AF147" s="301" t="s">
        <v>137</v>
      </c>
      <c r="AG147" s="1" t="s">
        <v>2350</v>
      </c>
      <c r="AH147" s="1" t="s">
        <v>2350</v>
      </c>
    </row>
    <row r="148" spans="1:34">
      <c r="A148" s="183" t="s">
        <v>198</v>
      </c>
      <c r="B148" s="64" t="s">
        <v>199</v>
      </c>
      <c r="C148" s="21">
        <v>1</v>
      </c>
      <c r="D148" s="27" t="s">
        <v>134</v>
      </c>
      <c r="E148" s="28"/>
      <c r="F148" s="18"/>
      <c r="G148" s="79">
        <v>74</v>
      </c>
      <c r="H148" s="22"/>
      <c r="I148" s="52"/>
      <c r="J148" s="52"/>
      <c r="K148" s="13"/>
      <c r="L148" s="52"/>
      <c r="M148" s="458" t="s">
        <v>135</v>
      </c>
      <c r="N148" s="293" t="s">
        <v>136</v>
      </c>
      <c r="O148" s="301" t="s">
        <v>137</v>
      </c>
      <c r="P148" s="1" t="str">
        <f t="shared" si="42"/>
        <v/>
      </c>
      <c r="Q148" s="1" t="str">
        <f t="shared" si="42"/>
        <v/>
      </c>
      <c r="R148" s="183" t="s">
        <v>198</v>
      </c>
      <c r="S148" s="64" t="s">
        <v>199</v>
      </c>
      <c r="T148" s="21">
        <v>1</v>
      </c>
      <c r="U148" s="27" t="s">
        <v>134</v>
      </c>
      <c r="V148" s="28"/>
      <c r="W148" s="18"/>
      <c r="X148" s="79">
        <v>74</v>
      </c>
      <c r="Y148" s="22"/>
      <c r="Z148" s="52"/>
      <c r="AA148" s="52"/>
      <c r="AB148" s="13"/>
      <c r="AC148" s="52"/>
      <c r="AD148" s="458" t="s">
        <v>135</v>
      </c>
      <c r="AE148" s="293" t="s">
        <v>136</v>
      </c>
      <c r="AF148" s="301" t="s">
        <v>137</v>
      </c>
      <c r="AG148" s="1" t="s">
        <v>2350</v>
      </c>
      <c r="AH148" s="1" t="s">
        <v>2350</v>
      </c>
    </row>
    <row r="149" spans="1:34">
      <c r="A149" s="183" t="s">
        <v>200</v>
      </c>
      <c r="B149" s="64" t="s">
        <v>201</v>
      </c>
      <c r="C149" s="21">
        <v>1</v>
      </c>
      <c r="D149" s="27" t="s">
        <v>134</v>
      </c>
      <c r="E149" s="28"/>
      <c r="F149" s="18"/>
      <c r="G149" s="79">
        <v>21</v>
      </c>
      <c r="H149" s="22"/>
      <c r="I149" s="52"/>
      <c r="J149" s="52"/>
      <c r="K149" s="13"/>
      <c r="L149" s="52"/>
      <c r="M149" s="458" t="s">
        <v>135</v>
      </c>
      <c r="N149" s="293" t="s">
        <v>136</v>
      </c>
      <c r="O149" s="297" t="s">
        <v>137</v>
      </c>
      <c r="P149" s="1" t="str">
        <f t="shared" si="42"/>
        <v/>
      </c>
      <c r="Q149" s="1" t="str">
        <f t="shared" si="42"/>
        <v/>
      </c>
      <c r="R149" s="183" t="s">
        <v>200</v>
      </c>
      <c r="S149" s="64" t="s">
        <v>201</v>
      </c>
      <c r="T149" s="21">
        <v>1</v>
      </c>
      <c r="U149" s="27" t="s">
        <v>134</v>
      </c>
      <c r="V149" s="28"/>
      <c r="W149" s="18"/>
      <c r="X149" s="79">
        <v>21</v>
      </c>
      <c r="Y149" s="22"/>
      <c r="Z149" s="52"/>
      <c r="AA149" s="52"/>
      <c r="AB149" s="13"/>
      <c r="AC149" s="52"/>
      <c r="AD149" s="458" t="s">
        <v>135</v>
      </c>
      <c r="AE149" s="293" t="s">
        <v>136</v>
      </c>
      <c r="AF149" s="297" t="s">
        <v>137</v>
      </c>
      <c r="AG149" s="1" t="s">
        <v>2350</v>
      </c>
      <c r="AH149" s="1" t="s">
        <v>2350</v>
      </c>
    </row>
    <row r="150" spans="1:34">
      <c r="A150" s="183" t="s">
        <v>202</v>
      </c>
      <c r="B150" s="64" t="s">
        <v>203</v>
      </c>
      <c r="C150" s="21">
        <v>1</v>
      </c>
      <c r="D150" s="27" t="s">
        <v>134</v>
      </c>
      <c r="E150" s="28"/>
      <c r="F150" s="18"/>
      <c r="G150" s="79">
        <v>58</v>
      </c>
      <c r="H150" s="22"/>
      <c r="I150" s="52"/>
      <c r="J150" s="52"/>
      <c r="K150" s="13"/>
      <c r="L150" s="52"/>
      <c r="M150" s="458" t="s">
        <v>135</v>
      </c>
      <c r="N150" s="293" t="s">
        <v>136</v>
      </c>
      <c r="O150" s="297" t="s">
        <v>137</v>
      </c>
      <c r="P150" s="1" t="str">
        <f t="shared" si="42"/>
        <v/>
      </c>
      <c r="Q150" s="1" t="str">
        <f t="shared" si="42"/>
        <v/>
      </c>
      <c r="R150" s="183" t="s">
        <v>202</v>
      </c>
      <c r="S150" s="64" t="s">
        <v>203</v>
      </c>
      <c r="T150" s="21">
        <v>1</v>
      </c>
      <c r="U150" s="27" t="s">
        <v>134</v>
      </c>
      <c r="V150" s="28"/>
      <c r="W150" s="18"/>
      <c r="X150" s="79">
        <v>58</v>
      </c>
      <c r="Y150" s="22"/>
      <c r="Z150" s="52"/>
      <c r="AA150" s="52"/>
      <c r="AB150" s="13"/>
      <c r="AC150" s="52"/>
      <c r="AD150" s="458" t="s">
        <v>135</v>
      </c>
      <c r="AE150" s="293" t="s">
        <v>136</v>
      </c>
      <c r="AF150" s="297" t="s">
        <v>137</v>
      </c>
      <c r="AG150" s="1" t="s">
        <v>2350</v>
      </c>
      <c r="AH150" s="1" t="s">
        <v>2350</v>
      </c>
    </row>
    <row r="151" spans="1:34">
      <c r="A151" s="183" t="s">
        <v>204</v>
      </c>
      <c r="B151" s="64" t="s">
        <v>205</v>
      </c>
      <c r="C151" s="21">
        <v>1</v>
      </c>
      <c r="D151" s="27" t="s">
        <v>134</v>
      </c>
      <c r="E151" s="28"/>
      <c r="F151" s="18"/>
      <c r="G151" s="79">
        <v>86</v>
      </c>
      <c r="H151" s="22"/>
      <c r="I151" s="52"/>
      <c r="J151" s="52"/>
      <c r="K151" s="13"/>
      <c r="L151" s="52"/>
      <c r="M151" s="458" t="s">
        <v>135</v>
      </c>
      <c r="N151" s="293" t="s">
        <v>136</v>
      </c>
      <c r="O151" s="297" t="s">
        <v>137</v>
      </c>
      <c r="P151" s="1" t="str">
        <f t="shared" si="42"/>
        <v/>
      </c>
      <c r="Q151" s="1" t="str">
        <f t="shared" si="42"/>
        <v/>
      </c>
      <c r="R151" s="183" t="s">
        <v>204</v>
      </c>
      <c r="S151" s="64" t="s">
        <v>205</v>
      </c>
      <c r="T151" s="21">
        <v>1</v>
      </c>
      <c r="U151" s="27" t="s">
        <v>134</v>
      </c>
      <c r="V151" s="28"/>
      <c r="W151" s="18"/>
      <c r="X151" s="79">
        <v>86</v>
      </c>
      <c r="Y151" s="22"/>
      <c r="Z151" s="52"/>
      <c r="AA151" s="52"/>
      <c r="AB151" s="13"/>
      <c r="AC151" s="52"/>
      <c r="AD151" s="458" t="s">
        <v>135</v>
      </c>
      <c r="AE151" s="293" t="s">
        <v>136</v>
      </c>
      <c r="AF151" s="297" t="s">
        <v>137</v>
      </c>
      <c r="AG151" s="1" t="s">
        <v>2350</v>
      </c>
      <c r="AH151" s="1" t="s">
        <v>2350</v>
      </c>
    </row>
    <row r="152" spans="1:34">
      <c r="A152" s="183" t="s">
        <v>206</v>
      </c>
      <c r="B152" s="64" t="s">
        <v>207</v>
      </c>
      <c r="C152" s="21">
        <v>1</v>
      </c>
      <c r="D152" s="27" t="s">
        <v>134</v>
      </c>
      <c r="E152" s="28"/>
      <c r="F152" s="18"/>
      <c r="G152" s="79">
        <v>88</v>
      </c>
      <c r="H152" s="22"/>
      <c r="I152" s="52"/>
      <c r="J152" s="52"/>
      <c r="K152" s="13"/>
      <c r="L152" s="52"/>
      <c r="M152" s="458" t="s">
        <v>135</v>
      </c>
      <c r="N152" s="293" t="s">
        <v>136</v>
      </c>
      <c r="O152" s="297" t="s">
        <v>137</v>
      </c>
      <c r="P152" s="1" t="str">
        <f t="shared" si="42"/>
        <v/>
      </c>
      <c r="Q152" s="1" t="str">
        <f t="shared" si="42"/>
        <v/>
      </c>
      <c r="R152" s="183" t="s">
        <v>206</v>
      </c>
      <c r="S152" s="64" t="s">
        <v>207</v>
      </c>
      <c r="T152" s="21">
        <v>1</v>
      </c>
      <c r="U152" s="27" t="s">
        <v>134</v>
      </c>
      <c r="V152" s="28"/>
      <c r="W152" s="18"/>
      <c r="X152" s="79">
        <v>88</v>
      </c>
      <c r="Y152" s="22"/>
      <c r="Z152" s="52"/>
      <c r="AA152" s="52"/>
      <c r="AB152" s="13"/>
      <c r="AC152" s="52"/>
      <c r="AD152" s="458" t="s">
        <v>135</v>
      </c>
      <c r="AE152" s="293" t="s">
        <v>136</v>
      </c>
      <c r="AF152" s="297" t="s">
        <v>137</v>
      </c>
      <c r="AG152" s="1" t="s">
        <v>2350</v>
      </c>
      <c r="AH152" s="1" t="s">
        <v>2350</v>
      </c>
    </row>
    <row r="153" spans="1:34">
      <c r="A153" s="183" t="s">
        <v>208</v>
      </c>
      <c r="B153" s="64" t="s">
        <v>209</v>
      </c>
      <c r="C153" s="21">
        <v>1</v>
      </c>
      <c r="D153" s="27" t="s">
        <v>134</v>
      </c>
      <c r="E153" s="28"/>
      <c r="F153" s="18"/>
      <c r="G153" s="79">
        <v>37</v>
      </c>
      <c r="H153" s="22"/>
      <c r="I153" s="52"/>
      <c r="J153" s="52"/>
      <c r="K153" s="13"/>
      <c r="L153" s="52"/>
      <c r="M153" s="458" t="s">
        <v>135</v>
      </c>
      <c r="N153" s="293" t="s">
        <v>136</v>
      </c>
      <c r="O153" s="297" t="s">
        <v>137</v>
      </c>
      <c r="P153" s="1" t="str">
        <f t="shared" si="42"/>
        <v/>
      </c>
      <c r="Q153" s="1" t="str">
        <f t="shared" si="42"/>
        <v/>
      </c>
      <c r="R153" s="183" t="s">
        <v>208</v>
      </c>
      <c r="S153" s="64" t="s">
        <v>209</v>
      </c>
      <c r="T153" s="21">
        <v>1</v>
      </c>
      <c r="U153" s="27" t="s">
        <v>134</v>
      </c>
      <c r="V153" s="28"/>
      <c r="W153" s="18"/>
      <c r="X153" s="79">
        <v>37</v>
      </c>
      <c r="Y153" s="22"/>
      <c r="Z153" s="52"/>
      <c r="AA153" s="52"/>
      <c r="AB153" s="13"/>
      <c r="AC153" s="52"/>
      <c r="AD153" s="458" t="s">
        <v>135</v>
      </c>
      <c r="AE153" s="293" t="s">
        <v>136</v>
      </c>
      <c r="AF153" s="297" t="s">
        <v>137</v>
      </c>
      <c r="AG153" s="1" t="s">
        <v>2350</v>
      </c>
      <c r="AH153" s="1" t="s">
        <v>2350</v>
      </c>
    </row>
    <row r="154" spans="1:34">
      <c r="A154" s="183" t="s">
        <v>210</v>
      </c>
      <c r="B154" s="64" t="s">
        <v>211</v>
      </c>
      <c r="C154" s="21">
        <v>1</v>
      </c>
      <c r="D154" s="27" t="s">
        <v>134</v>
      </c>
      <c r="E154" s="28"/>
      <c r="F154" s="18"/>
      <c r="G154" s="79">
        <v>84</v>
      </c>
      <c r="H154" s="22"/>
      <c r="I154" s="52"/>
      <c r="J154" s="52"/>
      <c r="K154" s="13"/>
      <c r="L154" s="52"/>
      <c r="M154" s="458" t="s">
        <v>135</v>
      </c>
      <c r="N154" s="293" t="s">
        <v>136</v>
      </c>
      <c r="O154" s="297" t="s">
        <v>137</v>
      </c>
      <c r="P154" s="1" t="str">
        <f t="shared" si="42"/>
        <v/>
      </c>
      <c r="Q154" s="1" t="str">
        <f t="shared" si="42"/>
        <v/>
      </c>
      <c r="R154" s="183" t="s">
        <v>210</v>
      </c>
      <c r="S154" s="64" t="s">
        <v>211</v>
      </c>
      <c r="T154" s="21">
        <v>1</v>
      </c>
      <c r="U154" s="27" t="s">
        <v>134</v>
      </c>
      <c r="V154" s="28"/>
      <c r="W154" s="18"/>
      <c r="X154" s="79">
        <v>84</v>
      </c>
      <c r="Y154" s="22"/>
      <c r="Z154" s="52"/>
      <c r="AA154" s="52"/>
      <c r="AB154" s="13"/>
      <c r="AC154" s="52"/>
      <c r="AD154" s="458" t="s">
        <v>135</v>
      </c>
      <c r="AE154" s="293" t="s">
        <v>136</v>
      </c>
      <c r="AF154" s="297" t="s">
        <v>137</v>
      </c>
      <c r="AG154" s="1" t="s">
        <v>2350</v>
      </c>
      <c r="AH154" s="1" t="s">
        <v>2350</v>
      </c>
    </row>
    <row r="155" spans="1:34">
      <c r="A155" s="183" t="s">
        <v>212</v>
      </c>
      <c r="B155" s="64" t="s">
        <v>213</v>
      </c>
      <c r="C155" s="21">
        <v>1</v>
      </c>
      <c r="D155" s="27" t="s">
        <v>134</v>
      </c>
      <c r="E155" s="28"/>
      <c r="F155" s="18"/>
      <c r="G155" s="79">
        <v>126</v>
      </c>
      <c r="H155" s="22"/>
      <c r="I155" s="52"/>
      <c r="J155" s="52"/>
      <c r="K155" s="13"/>
      <c r="L155" s="52"/>
      <c r="M155" s="458" t="s">
        <v>135</v>
      </c>
      <c r="N155" s="293" t="s">
        <v>136</v>
      </c>
      <c r="O155" s="297" t="s">
        <v>137</v>
      </c>
      <c r="P155" s="1" t="str">
        <f t="shared" ref="P155:Q162" si="43">+IF($J155&lt;&gt;"",P$2*$J155,"")</f>
        <v/>
      </c>
      <c r="Q155" s="1" t="str">
        <f t="shared" si="43"/>
        <v/>
      </c>
      <c r="R155" s="183" t="s">
        <v>212</v>
      </c>
      <c r="S155" s="64" t="s">
        <v>213</v>
      </c>
      <c r="T155" s="21">
        <v>1</v>
      </c>
      <c r="U155" s="27" t="s">
        <v>134</v>
      </c>
      <c r="V155" s="28"/>
      <c r="W155" s="18"/>
      <c r="X155" s="79">
        <v>126</v>
      </c>
      <c r="Y155" s="22"/>
      <c r="Z155" s="52"/>
      <c r="AA155" s="52"/>
      <c r="AB155" s="13"/>
      <c r="AC155" s="52"/>
      <c r="AD155" s="458" t="s">
        <v>135</v>
      </c>
      <c r="AE155" s="293" t="s">
        <v>136</v>
      </c>
      <c r="AF155" s="297" t="s">
        <v>137</v>
      </c>
      <c r="AG155" s="1" t="s">
        <v>2350</v>
      </c>
      <c r="AH155" s="1" t="s">
        <v>2350</v>
      </c>
    </row>
    <row r="156" spans="1:34">
      <c r="A156" s="183" t="s">
        <v>214</v>
      </c>
      <c r="B156" s="64" t="s">
        <v>215</v>
      </c>
      <c r="C156" s="21">
        <v>1</v>
      </c>
      <c r="D156" s="27" t="s">
        <v>134</v>
      </c>
      <c r="E156" s="28"/>
      <c r="F156" s="18"/>
      <c r="G156" s="79">
        <v>194</v>
      </c>
      <c r="H156" s="22"/>
      <c r="I156" s="52"/>
      <c r="J156" s="52"/>
      <c r="K156" s="13"/>
      <c r="L156" s="52"/>
      <c r="M156" s="458" t="s">
        <v>135</v>
      </c>
      <c r="N156" s="293" t="s">
        <v>136</v>
      </c>
      <c r="O156" s="297" t="s">
        <v>137</v>
      </c>
      <c r="P156" s="1" t="str">
        <f t="shared" si="43"/>
        <v/>
      </c>
      <c r="Q156" s="1" t="str">
        <f t="shared" si="43"/>
        <v/>
      </c>
      <c r="R156" s="183" t="s">
        <v>214</v>
      </c>
      <c r="S156" s="64" t="s">
        <v>215</v>
      </c>
      <c r="T156" s="21">
        <v>1</v>
      </c>
      <c r="U156" s="27" t="s">
        <v>134</v>
      </c>
      <c r="V156" s="28"/>
      <c r="W156" s="18"/>
      <c r="X156" s="79">
        <v>194</v>
      </c>
      <c r="Y156" s="22"/>
      <c r="Z156" s="52"/>
      <c r="AA156" s="52"/>
      <c r="AB156" s="13"/>
      <c r="AC156" s="52"/>
      <c r="AD156" s="458" t="s">
        <v>135</v>
      </c>
      <c r="AE156" s="293" t="s">
        <v>136</v>
      </c>
      <c r="AF156" s="297" t="s">
        <v>137</v>
      </c>
      <c r="AG156" s="1" t="s">
        <v>2350</v>
      </c>
      <c r="AH156" s="1" t="s">
        <v>2350</v>
      </c>
    </row>
    <row r="157" spans="1:34">
      <c r="A157" s="184" t="s">
        <v>216</v>
      </c>
      <c r="B157" s="291" t="s">
        <v>217</v>
      </c>
      <c r="C157" s="89">
        <v>1</v>
      </c>
      <c r="D157" s="31" t="s">
        <v>134</v>
      </c>
      <c r="E157" s="32"/>
      <c r="F157" s="35"/>
      <c r="G157" s="91">
        <v>384</v>
      </c>
      <c r="H157" s="30"/>
      <c r="I157" s="90"/>
      <c r="J157" s="90"/>
      <c r="K157" s="32"/>
      <c r="L157" s="90"/>
      <c r="M157" s="458" t="s">
        <v>135</v>
      </c>
      <c r="N157" s="293" t="s">
        <v>136</v>
      </c>
      <c r="O157" s="297" t="s">
        <v>137</v>
      </c>
      <c r="P157" s="1" t="str">
        <f t="shared" si="43"/>
        <v/>
      </c>
      <c r="Q157" s="1" t="str">
        <f t="shared" si="43"/>
        <v/>
      </c>
      <c r="R157" s="184" t="s">
        <v>216</v>
      </c>
      <c r="S157" s="291" t="s">
        <v>217</v>
      </c>
      <c r="T157" s="89">
        <v>1</v>
      </c>
      <c r="U157" s="31" t="s">
        <v>134</v>
      </c>
      <c r="V157" s="32"/>
      <c r="W157" s="35"/>
      <c r="X157" s="91">
        <v>384</v>
      </c>
      <c r="Y157" s="30"/>
      <c r="Z157" s="90"/>
      <c r="AA157" s="90"/>
      <c r="AB157" s="32"/>
      <c r="AC157" s="90"/>
      <c r="AD157" s="458" t="s">
        <v>135</v>
      </c>
      <c r="AE157" s="293" t="s">
        <v>136</v>
      </c>
      <c r="AF157" s="297" t="s">
        <v>137</v>
      </c>
      <c r="AG157" s="1" t="s">
        <v>2350</v>
      </c>
      <c r="AH157" s="1" t="s">
        <v>2350</v>
      </c>
    </row>
    <row r="158" spans="1:34">
      <c r="A158" s="183" t="s">
        <v>218</v>
      </c>
      <c r="B158" s="64" t="s">
        <v>219</v>
      </c>
      <c r="C158" s="21">
        <v>1</v>
      </c>
      <c r="D158" s="27" t="s">
        <v>134</v>
      </c>
      <c r="E158" s="28"/>
      <c r="F158" s="18"/>
      <c r="G158" s="79">
        <v>510</v>
      </c>
      <c r="H158" s="22"/>
      <c r="I158" s="52"/>
      <c r="J158" s="52"/>
      <c r="K158" s="13"/>
      <c r="L158" s="52"/>
      <c r="M158" s="458" t="s">
        <v>135</v>
      </c>
      <c r="N158" s="293" t="s">
        <v>136</v>
      </c>
      <c r="O158" s="297" t="s">
        <v>137</v>
      </c>
      <c r="P158" s="1" t="str">
        <f t="shared" si="43"/>
        <v/>
      </c>
      <c r="Q158" s="1" t="str">
        <f t="shared" si="43"/>
        <v/>
      </c>
      <c r="R158" s="183" t="s">
        <v>218</v>
      </c>
      <c r="S158" s="64" t="s">
        <v>219</v>
      </c>
      <c r="T158" s="21">
        <v>1</v>
      </c>
      <c r="U158" s="27" t="s">
        <v>134</v>
      </c>
      <c r="V158" s="28"/>
      <c r="W158" s="18"/>
      <c r="X158" s="79">
        <v>510</v>
      </c>
      <c r="Y158" s="22"/>
      <c r="Z158" s="52"/>
      <c r="AA158" s="52"/>
      <c r="AB158" s="13"/>
      <c r="AC158" s="52"/>
      <c r="AD158" s="458" t="s">
        <v>135</v>
      </c>
      <c r="AE158" s="293" t="s">
        <v>136</v>
      </c>
      <c r="AF158" s="297" t="s">
        <v>137</v>
      </c>
      <c r="AG158" s="1" t="s">
        <v>2350</v>
      </c>
      <c r="AH158" s="1" t="s">
        <v>2350</v>
      </c>
    </row>
    <row r="159" spans="1:34">
      <c r="A159" s="183" t="s">
        <v>220</v>
      </c>
      <c r="B159" s="64" t="s">
        <v>221</v>
      </c>
      <c r="C159" s="21">
        <v>1</v>
      </c>
      <c r="D159" s="27" t="s">
        <v>134</v>
      </c>
      <c r="E159" s="94"/>
      <c r="F159" s="55"/>
      <c r="G159" s="22">
        <v>355.49</v>
      </c>
      <c r="H159" s="67"/>
      <c r="I159" s="52"/>
      <c r="J159" s="52"/>
      <c r="K159" s="13"/>
      <c r="L159" s="52"/>
      <c r="M159" s="458" t="s">
        <v>135</v>
      </c>
      <c r="N159" s="293" t="s">
        <v>136</v>
      </c>
      <c r="O159" s="297" t="s">
        <v>137</v>
      </c>
      <c r="P159" s="1" t="str">
        <f t="shared" si="43"/>
        <v/>
      </c>
      <c r="Q159" s="1" t="str">
        <f t="shared" si="43"/>
        <v/>
      </c>
      <c r="R159" s="183" t="s">
        <v>220</v>
      </c>
      <c r="S159" s="64" t="s">
        <v>221</v>
      </c>
      <c r="T159" s="21">
        <v>1</v>
      </c>
      <c r="U159" s="27" t="s">
        <v>134</v>
      </c>
      <c r="V159" s="94"/>
      <c r="W159" s="55"/>
      <c r="X159" s="22">
        <v>355.49</v>
      </c>
      <c r="Y159" s="67"/>
      <c r="Z159" s="52"/>
      <c r="AA159" s="52"/>
      <c r="AB159" s="13"/>
      <c r="AC159" s="52"/>
      <c r="AD159" s="458" t="s">
        <v>135</v>
      </c>
      <c r="AE159" s="293" t="s">
        <v>136</v>
      </c>
      <c r="AF159" s="297" t="s">
        <v>137</v>
      </c>
      <c r="AG159" s="1" t="s">
        <v>2350</v>
      </c>
      <c r="AH159" s="1" t="s">
        <v>2350</v>
      </c>
    </row>
    <row r="160" spans="1:34">
      <c r="A160" s="183" t="s">
        <v>222</v>
      </c>
      <c r="B160" s="64" t="s">
        <v>223</v>
      </c>
      <c r="C160" s="21">
        <v>1</v>
      </c>
      <c r="D160" s="27" t="s">
        <v>134</v>
      </c>
      <c r="E160" s="28"/>
      <c r="F160" s="18"/>
      <c r="G160" s="22">
        <v>573.38</v>
      </c>
      <c r="H160" s="67"/>
      <c r="I160" s="52"/>
      <c r="J160" s="52"/>
      <c r="K160" s="13"/>
      <c r="L160" s="52"/>
      <c r="M160" s="458" t="s">
        <v>135</v>
      </c>
      <c r="N160" s="293" t="s">
        <v>136</v>
      </c>
      <c r="O160" s="297" t="s">
        <v>137</v>
      </c>
      <c r="P160" s="1" t="str">
        <f t="shared" si="43"/>
        <v/>
      </c>
      <c r="Q160" s="1" t="str">
        <f t="shared" si="43"/>
        <v/>
      </c>
      <c r="R160" s="183" t="s">
        <v>222</v>
      </c>
      <c r="S160" s="64" t="s">
        <v>223</v>
      </c>
      <c r="T160" s="21">
        <v>1</v>
      </c>
      <c r="U160" s="27" t="s">
        <v>134</v>
      </c>
      <c r="V160" s="28"/>
      <c r="W160" s="18"/>
      <c r="X160" s="22">
        <v>573.38</v>
      </c>
      <c r="Y160" s="67"/>
      <c r="Z160" s="52"/>
      <c r="AA160" s="52"/>
      <c r="AB160" s="13"/>
      <c r="AC160" s="52"/>
      <c r="AD160" s="458" t="s">
        <v>135</v>
      </c>
      <c r="AE160" s="293" t="s">
        <v>136</v>
      </c>
      <c r="AF160" s="297" t="s">
        <v>137</v>
      </c>
      <c r="AG160" s="1" t="s">
        <v>2350</v>
      </c>
      <c r="AH160" s="1" t="s">
        <v>2350</v>
      </c>
    </row>
    <row r="161" spans="1:34" s="270" customFormat="1" ht="25" customHeight="1">
      <c r="A161" s="332" t="s">
        <v>2931</v>
      </c>
      <c r="B161" s="393" t="s">
        <v>224</v>
      </c>
      <c r="C161" s="334"/>
      <c r="D161" s="335"/>
      <c r="E161" s="335"/>
      <c r="F161" s="336"/>
      <c r="G161" s="337"/>
      <c r="H161" s="337"/>
      <c r="I161" s="338"/>
      <c r="J161" s="338"/>
      <c r="K161" s="337"/>
      <c r="L161" s="338"/>
      <c r="M161" s="456"/>
      <c r="N161" s="339"/>
      <c r="O161" s="338"/>
      <c r="P161" s="338"/>
      <c r="Q161" s="338"/>
      <c r="R161" s="332" t="s">
        <v>2931</v>
      </c>
      <c r="S161" s="393" t="s">
        <v>224</v>
      </c>
      <c r="T161" s="334"/>
      <c r="U161" s="335"/>
      <c r="V161" s="335"/>
      <c r="W161" s="336"/>
      <c r="X161" s="337"/>
      <c r="Y161" s="337"/>
      <c r="Z161" s="338"/>
      <c r="AA161" s="338"/>
      <c r="AB161" s="337"/>
      <c r="AC161" s="338"/>
      <c r="AD161" s="456"/>
      <c r="AE161" s="339"/>
      <c r="AF161" s="338"/>
      <c r="AG161" s="338"/>
      <c r="AH161" s="338"/>
    </row>
    <row r="162" spans="1:34" s="84" customFormat="1">
      <c r="A162" s="185" t="s">
        <v>2746</v>
      </c>
      <c r="B162" s="49" t="s">
        <v>2755</v>
      </c>
      <c r="C162" s="50">
        <v>1</v>
      </c>
      <c r="D162" s="51" t="s">
        <v>126</v>
      </c>
      <c r="E162" s="57">
        <v>2412.5100000000002</v>
      </c>
      <c r="F162" s="61">
        <f>rv_mbp16_eg</f>
        <v>0.17599999999999999</v>
      </c>
      <c r="G162" s="65">
        <f t="shared" ref="G162:G167" si="44">E162-(E162*F162)</f>
        <v>1987.9082400000002</v>
      </c>
      <c r="H162" s="50" t="s">
        <v>229</v>
      </c>
      <c r="I162" s="58">
        <v>82.32</v>
      </c>
      <c r="J162" s="58">
        <f>G162+I162</f>
        <v>2070.2282400000004</v>
      </c>
      <c r="K162" s="58" t="s">
        <v>128</v>
      </c>
      <c r="L162" s="58">
        <v>3.32</v>
      </c>
      <c r="M162" s="457" t="s">
        <v>230</v>
      </c>
      <c r="N162" s="313" t="s">
        <v>231</v>
      </c>
      <c r="O162" s="314" t="s">
        <v>192</v>
      </c>
      <c r="P162" s="84">
        <f t="shared" si="43"/>
        <v>416.75505359410141</v>
      </c>
      <c r="Q162" s="84">
        <f t="shared" si="43"/>
        <v>216.59029308935698</v>
      </c>
      <c r="R162" s="185" t="s">
        <v>2746</v>
      </c>
      <c r="S162" s="49" t="s">
        <v>2755</v>
      </c>
      <c r="T162" s="50">
        <v>1</v>
      </c>
      <c r="U162" s="51" t="s">
        <v>126</v>
      </c>
      <c r="V162" s="57">
        <v>2415.41</v>
      </c>
      <c r="W162" s="61">
        <v>0.17599999999999999</v>
      </c>
      <c r="X162" s="65">
        <v>1990.29784</v>
      </c>
      <c r="Y162" s="50" t="s">
        <v>229</v>
      </c>
      <c r="Z162" s="58">
        <v>82.32</v>
      </c>
      <c r="AA162" s="58">
        <v>2072.6178399999999</v>
      </c>
      <c r="AB162" s="58" t="s">
        <v>128</v>
      </c>
      <c r="AC162" s="58">
        <v>0.42</v>
      </c>
      <c r="AD162" s="457" t="s">
        <v>230</v>
      </c>
      <c r="AE162" s="313" t="s">
        <v>231</v>
      </c>
      <c r="AF162" s="314" t="s">
        <v>192</v>
      </c>
      <c r="AG162" s="84">
        <v>417.23610097662009</v>
      </c>
      <c r="AH162" s="84">
        <v>216.84029652103959</v>
      </c>
    </row>
    <row r="163" spans="1:34">
      <c r="A163" s="481" t="s">
        <v>2756</v>
      </c>
      <c r="B163" s="310" t="s">
        <v>2783</v>
      </c>
      <c r="C163" s="198">
        <v>1</v>
      </c>
      <c r="D163" s="62" t="s">
        <v>126</v>
      </c>
      <c r="E163" s="186">
        <v>383.33</v>
      </c>
      <c r="F163" s="485">
        <f t="shared" ref="F163" si="45">rv_mbp14_eg_cto</f>
        <v>0.17599999999999999</v>
      </c>
      <c r="G163" s="486">
        <f t="shared" ref="G163" si="46">E163-(E163*F163)</f>
        <v>315.86392000000001</v>
      </c>
      <c r="H163" s="671"/>
      <c r="I163" s="672"/>
      <c r="J163" s="672"/>
      <c r="K163" s="673"/>
      <c r="L163" s="672"/>
      <c r="M163" s="458" t="s">
        <v>230</v>
      </c>
      <c r="N163" s="294" t="s">
        <v>231</v>
      </c>
      <c r="O163" s="299" t="s">
        <v>192</v>
      </c>
      <c r="P163" s="1"/>
      <c r="Q163" s="1"/>
      <c r="R163" s="481" t="s">
        <v>2756</v>
      </c>
      <c r="S163" s="310" t="s">
        <v>2783</v>
      </c>
      <c r="T163" s="198">
        <v>1</v>
      </c>
      <c r="U163" s="62" t="s">
        <v>126</v>
      </c>
      <c r="V163" s="186">
        <v>383.33</v>
      </c>
      <c r="W163" s="485">
        <v>0.17599999999999999</v>
      </c>
      <c r="X163" s="486">
        <v>315.86392000000001</v>
      </c>
      <c r="Y163" s="671"/>
      <c r="Z163" s="672"/>
      <c r="AA163" s="672"/>
      <c r="AB163" s="673"/>
      <c r="AC163" s="672"/>
      <c r="AD163" s="458" t="s">
        <v>230</v>
      </c>
      <c r="AE163" s="294" t="s">
        <v>231</v>
      </c>
      <c r="AF163" s="299" t="s">
        <v>192</v>
      </c>
      <c r="AG163" s="1"/>
      <c r="AH163" s="1"/>
    </row>
    <row r="164" spans="1:34">
      <c r="A164" s="481" t="s">
        <v>2749</v>
      </c>
      <c r="B164" s="416" t="s">
        <v>2784</v>
      </c>
      <c r="C164" s="482">
        <v>1</v>
      </c>
      <c r="D164" s="483" t="s">
        <v>126</v>
      </c>
      <c r="E164" s="484">
        <v>191.67</v>
      </c>
      <c r="F164" s="485">
        <f t="shared" ref="F164:F177" si="47">rv_mbp16_eg_cto</f>
        <v>0.17599999999999999</v>
      </c>
      <c r="G164" s="486">
        <f t="shared" si="44"/>
        <v>157.93608</v>
      </c>
      <c r="H164" s="671"/>
      <c r="I164" s="672"/>
      <c r="J164" s="672"/>
      <c r="K164" s="673"/>
      <c r="L164" s="672"/>
      <c r="M164" s="458" t="s">
        <v>230</v>
      </c>
      <c r="N164" s="294" t="s">
        <v>231</v>
      </c>
      <c r="O164" s="299" t="s">
        <v>192</v>
      </c>
      <c r="P164" s="1" t="str">
        <f t="shared" ref="P164:Q169" si="48">+IF($J164&lt;&gt;"",P$2*$J164,"")</f>
        <v/>
      </c>
      <c r="Q164" s="1" t="str">
        <f t="shared" si="48"/>
        <v/>
      </c>
      <c r="R164" s="481" t="s">
        <v>2749</v>
      </c>
      <c r="S164" s="416" t="s">
        <v>2784</v>
      </c>
      <c r="T164" s="482">
        <v>1</v>
      </c>
      <c r="U164" s="483" t="s">
        <v>126</v>
      </c>
      <c r="V164" s="484">
        <v>191.67</v>
      </c>
      <c r="W164" s="485">
        <v>0.17599999999999999</v>
      </c>
      <c r="X164" s="486">
        <v>157.93608</v>
      </c>
      <c r="Y164" s="671"/>
      <c r="Z164" s="672"/>
      <c r="AA164" s="672"/>
      <c r="AB164" s="673"/>
      <c r="AC164" s="672"/>
      <c r="AD164" s="458" t="s">
        <v>230</v>
      </c>
      <c r="AE164" s="294" t="s">
        <v>231</v>
      </c>
      <c r="AF164" s="299" t="s">
        <v>192</v>
      </c>
      <c r="AG164" s="1" t="s">
        <v>2350</v>
      </c>
      <c r="AH164" s="1" t="s">
        <v>2350</v>
      </c>
    </row>
    <row r="165" spans="1:34">
      <c r="A165" s="481" t="s">
        <v>2750</v>
      </c>
      <c r="B165" s="416" t="s">
        <v>2785</v>
      </c>
      <c r="C165" s="482">
        <v>1</v>
      </c>
      <c r="D165" s="483" t="s">
        <v>126</v>
      </c>
      <c r="E165" s="484">
        <v>575</v>
      </c>
      <c r="F165" s="485">
        <f t="shared" si="47"/>
        <v>0.17599999999999999</v>
      </c>
      <c r="G165" s="486">
        <f t="shared" si="44"/>
        <v>473.8</v>
      </c>
      <c r="H165" s="671"/>
      <c r="I165" s="672"/>
      <c r="J165" s="672"/>
      <c r="K165" s="673"/>
      <c r="L165" s="672"/>
      <c r="M165" s="458" t="s">
        <v>230</v>
      </c>
      <c r="N165" s="294" t="s">
        <v>231</v>
      </c>
      <c r="O165" s="299" t="s">
        <v>192</v>
      </c>
      <c r="P165" s="1" t="str">
        <f t="shared" si="48"/>
        <v/>
      </c>
      <c r="Q165" s="1" t="str">
        <f t="shared" si="48"/>
        <v/>
      </c>
      <c r="R165" s="481" t="s">
        <v>2750</v>
      </c>
      <c r="S165" s="416" t="s">
        <v>2785</v>
      </c>
      <c r="T165" s="482">
        <v>1</v>
      </c>
      <c r="U165" s="483" t="s">
        <v>126</v>
      </c>
      <c r="V165" s="484">
        <v>575</v>
      </c>
      <c r="W165" s="485">
        <v>0.17599999999999999</v>
      </c>
      <c r="X165" s="486">
        <v>473.8</v>
      </c>
      <c r="Y165" s="671"/>
      <c r="Z165" s="672"/>
      <c r="AA165" s="672"/>
      <c r="AB165" s="673"/>
      <c r="AC165" s="672"/>
      <c r="AD165" s="458" t="s">
        <v>230</v>
      </c>
      <c r="AE165" s="294" t="s">
        <v>231</v>
      </c>
      <c r="AF165" s="299" t="s">
        <v>192</v>
      </c>
      <c r="AG165" s="1" t="s">
        <v>2350</v>
      </c>
      <c r="AH165" s="1" t="s">
        <v>2350</v>
      </c>
    </row>
    <row r="166" spans="1:34">
      <c r="A166" s="481" t="s">
        <v>2751</v>
      </c>
      <c r="B166" s="416" t="s">
        <v>2786</v>
      </c>
      <c r="C166" s="482">
        <v>1</v>
      </c>
      <c r="D166" s="483" t="s">
        <v>126</v>
      </c>
      <c r="E166" s="484">
        <v>1150</v>
      </c>
      <c r="F166" s="485">
        <f t="shared" si="47"/>
        <v>0.17599999999999999</v>
      </c>
      <c r="G166" s="486">
        <f t="shared" si="44"/>
        <v>947.6</v>
      </c>
      <c r="H166" s="671"/>
      <c r="I166" s="672"/>
      <c r="J166" s="672"/>
      <c r="K166" s="673"/>
      <c r="L166" s="672"/>
      <c r="M166" s="458" t="s">
        <v>230</v>
      </c>
      <c r="N166" s="294" t="s">
        <v>231</v>
      </c>
      <c r="O166" s="299" t="s">
        <v>192</v>
      </c>
      <c r="P166" s="1" t="str">
        <f t="shared" si="48"/>
        <v/>
      </c>
      <c r="Q166" s="1" t="str">
        <f t="shared" si="48"/>
        <v/>
      </c>
      <c r="R166" s="481" t="s">
        <v>2751</v>
      </c>
      <c r="S166" s="416" t="s">
        <v>2786</v>
      </c>
      <c r="T166" s="482">
        <v>1</v>
      </c>
      <c r="U166" s="483" t="s">
        <v>126</v>
      </c>
      <c r="V166" s="484">
        <v>1150</v>
      </c>
      <c r="W166" s="485">
        <v>0.17599999999999999</v>
      </c>
      <c r="X166" s="486">
        <v>947.6</v>
      </c>
      <c r="Y166" s="671"/>
      <c r="Z166" s="672"/>
      <c r="AA166" s="672"/>
      <c r="AB166" s="673"/>
      <c r="AC166" s="672"/>
      <c r="AD166" s="458" t="s">
        <v>230</v>
      </c>
      <c r="AE166" s="294" t="s">
        <v>231</v>
      </c>
      <c r="AF166" s="299" t="s">
        <v>192</v>
      </c>
      <c r="AG166" s="1" t="s">
        <v>2350</v>
      </c>
      <c r="AH166" s="1" t="s">
        <v>2350</v>
      </c>
    </row>
    <row r="167" spans="1:34">
      <c r="A167" s="199" t="s">
        <v>2748</v>
      </c>
      <c r="B167" s="348" t="s">
        <v>2787</v>
      </c>
      <c r="C167" s="198">
        <v>1</v>
      </c>
      <c r="D167" s="62" t="s">
        <v>126</v>
      </c>
      <c r="E167" s="484">
        <v>141.66999999999999</v>
      </c>
      <c r="F167" s="485">
        <f t="shared" ref="F167" si="49">rv_mbp14_eg_cto</f>
        <v>0.17599999999999999</v>
      </c>
      <c r="G167" s="486">
        <f t="shared" si="44"/>
        <v>116.73607999999999</v>
      </c>
      <c r="H167" s="671"/>
      <c r="I167" s="672"/>
      <c r="J167" s="672"/>
      <c r="K167" s="673"/>
      <c r="L167" s="672"/>
      <c r="M167" s="458" t="s">
        <v>230</v>
      </c>
      <c r="N167" s="294" t="s">
        <v>231</v>
      </c>
      <c r="O167" s="299" t="s">
        <v>192</v>
      </c>
      <c r="P167" s="1"/>
      <c r="Q167" s="1"/>
      <c r="R167" s="199" t="s">
        <v>2748</v>
      </c>
      <c r="S167" s="348" t="s">
        <v>2787</v>
      </c>
      <c r="T167" s="198">
        <v>1</v>
      </c>
      <c r="U167" s="62" t="s">
        <v>126</v>
      </c>
      <c r="V167" s="484">
        <v>141.66999999999999</v>
      </c>
      <c r="W167" s="485">
        <v>0.17599999999999999</v>
      </c>
      <c r="X167" s="486">
        <v>116.73607999999999</v>
      </c>
      <c r="Y167" s="671"/>
      <c r="Z167" s="672"/>
      <c r="AA167" s="672"/>
      <c r="AB167" s="673"/>
      <c r="AC167" s="672"/>
      <c r="AD167" s="458" t="s">
        <v>230</v>
      </c>
      <c r="AE167" s="294" t="s">
        <v>231</v>
      </c>
      <c r="AF167" s="299" t="s">
        <v>192</v>
      </c>
      <c r="AG167" s="1"/>
      <c r="AH167" s="1"/>
    </row>
    <row r="168" spans="1:34">
      <c r="A168" s="481" t="s">
        <v>2752</v>
      </c>
      <c r="B168" s="205" t="s">
        <v>2788</v>
      </c>
      <c r="C168" s="198">
        <v>1</v>
      </c>
      <c r="D168" s="79" t="s">
        <v>126</v>
      </c>
      <c r="E168" s="186">
        <v>0</v>
      </c>
      <c r="F168" s="188" t="s">
        <v>128</v>
      </c>
      <c r="G168" s="79">
        <f>E168</f>
        <v>0</v>
      </c>
      <c r="H168" s="486"/>
      <c r="I168" s="487"/>
      <c r="J168" s="487"/>
      <c r="K168" s="488"/>
      <c r="L168" s="487"/>
      <c r="M168" s="458" t="s">
        <v>230</v>
      </c>
      <c r="N168" s="294" t="s">
        <v>231</v>
      </c>
      <c r="O168" s="299" t="s">
        <v>192</v>
      </c>
      <c r="P168" s="1" t="str">
        <f>+IF($J168&lt;&gt;"",P$2*$J168,"")</f>
        <v/>
      </c>
      <c r="Q168" s="1" t="str">
        <f>+IF($J168&lt;&gt;"",Q$2*$J168,"")</f>
        <v/>
      </c>
      <c r="R168" s="481" t="s">
        <v>2752</v>
      </c>
      <c r="S168" s="205" t="s">
        <v>2788</v>
      </c>
      <c r="T168" s="198">
        <v>1</v>
      </c>
      <c r="U168" s="79" t="s">
        <v>126</v>
      </c>
      <c r="V168" s="186">
        <v>0</v>
      </c>
      <c r="W168" s="188" t="s">
        <v>128</v>
      </c>
      <c r="X168" s="79">
        <v>0</v>
      </c>
      <c r="Y168" s="486"/>
      <c r="Z168" s="487"/>
      <c r="AA168" s="487"/>
      <c r="AB168" s="488"/>
      <c r="AC168" s="487"/>
      <c r="AD168" s="458" t="s">
        <v>230</v>
      </c>
      <c r="AE168" s="294" t="s">
        <v>231</v>
      </c>
      <c r="AF168" s="299" t="s">
        <v>192</v>
      </c>
      <c r="AG168" s="1" t="s">
        <v>2350</v>
      </c>
      <c r="AH168" s="1" t="s">
        <v>2350</v>
      </c>
    </row>
    <row r="169" spans="1:34">
      <c r="A169" s="481" t="s">
        <v>2753</v>
      </c>
      <c r="B169" s="205" t="s">
        <v>2789</v>
      </c>
      <c r="C169" s="198">
        <v>1</v>
      </c>
      <c r="D169" s="62" t="s">
        <v>126</v>
      </c>
      <c r="E169" s="186">
        <v>0</v>
      </c>
      <c r="F169" s="188" t="s">
        <v>128</v>
      </c>
      <c r="G169" s="79">
        <f t="shared" ref="G169" si="50">E169</f>
        <v>0</v>
      </c>
      <c r="H169" s="486"/>
      <c r="I169" s="487"/>
      <c r="J169" s="487"/>
      <c r="K169" s="488"/>
      <c r="L169" s="487"/>
      <c r="M169" s="458" t="s">
        <v>230</v>
      </c>
      <c r="N169" s="294" t="s">
        <v>231</v>
      </c>
      <c r="O169" s="299" t="s">
        <v>192</v>
      </c>
      <c r="P169" s="1" t="str">
        <f t="shared" si="48"/>
        <v/>
      </c>
      <c r="Q169" s="1" t="str">
        <f t="shared" si="48"/>
        <v/>
      </c>
      <c r="R169" s="481" t="s">
        <v>2753</v>
      </c>
      <c r="S169" s="205" t="s">
        <v>2789</v>
      </c>
      <c r="T169" s="198">
        <v>1</v>
      </c>
      <c r="U169" s="62" t="s">
        <v>126</v>
      </c>
      <c r="V169" s="186">
        <v>0</v>
      </c>
      <c r="W169" s="188" t="s">
        <v>128</v>
      </c>
      <c r="X169" s="79">
        <v>0</v>
      </c>
      <c r="Y169" s="486"/>
      <c r="Z169" s="487"/>
      <c r="AA169" s="487"/>
      <c r="AB169" s="488"/>
      <c r="AC169" s="487"/>
      <c r="AD169" s="458" t="s">
        <v>230</v>
      </c>
      <c r="AE169" s="294" t="s">
        <v>231</v>
      </c>
      <c r="AF169" s="299" t="s">
        <v>192</v>
      </c>
      <c r="AG169" s="1" t="s">
        <v>2350</v>
      </c>
      <c r="AH169" s="1" t="s">
        <v>2350</v>
      </c>
    </row>
    <row r="170" spans="1:34" s="80" customFormat="1">
      <c r="A170" s="481" t="s">
        <v>2754</v>
      </c>
      <c r="B170" s="205" t="s">
        <v>2790</v>
      </c>
      <c r="C170" s="198">
        <v>1</v>
      </c>
      <c r="D170" s="79" t="s">
        <v>126</v>
      </c>
      <c r="E170" s="186">
        <v>0</v>
      </c>
      <c r="F170" s="188" t="s">
        <v>128</v>
      </c>
      <c r="G170" s="79">
        <f>E170</f>
        <v>0</v>
      </c>
      <c r="H170" s="486"/>
      <c r="I170" s="487"/>
      <c r="J170" s="487"/>
      <c r="K170" s="488"/>
      <c r="L170" s="487"/>
      <c r="M170" s="458" t="s">
        <v>230</v>
      </c>
      <c r="N170" s="294" t="s">
        <v>231</v>
      </c>
      <c r="O170" s="299" t="s">
        <v>192</v>
      </c>
      <c r="P170" s="1" t="str">
        <f>+IF($J170&lt;&gt;"",P$2*$J170,"")</f>
        <v/>
      </c>
      <c r="Q170" s="1" t="str">
        <f>+IF($J170&lt;&gt;"",Q$2*$J170,"")</f>
        <v/>
      </c>
      <c r="R170" s="481" t="s">
        <v>2754</v>
      </c>
      <c r="S170" s="205" t="s">
        <v>2790</v>
      </c>
      <c r="T170" s="198">
        <v>1</v>
      </c>
      <c r="U170" s="79" t="s">
        <v>126</v>
      </c>
      <c r="V170" s="186">
        <v>0</v>
      </c>
      <c r="W170" s="188" t="s">
        <v>128</v>
      </c>
      <c r="X170" s="79">
        <v>0</v>
      </c>
      <c r="Y170" s="486"/>
      <c r="Z170" s="487"/>
      <c r="AA170" s="487"/>
      <c r="AB170" s="488"/>
      <c r="AC170" s="487"/>
      <c r="AD170" s="458" t="s">
        <v>230</v>
      </c>
      <c r="AE170" s="294" t="s">
        <v>231</v>
      </c>
      <c r="AF170" s="299" t="s">
        <v>192</v>
      </c>
      <c r="AG170" s="1" t="s">
        <v>2350</v>
      </c>
      <c r="AH170" s="1" t="s">
        <v>2350</v>
      </c>
    </row>
    <row r="171" spans="1:34" s="80" customFormat="1">
      <c r="A171" s="185" t="s">
        <v>2757</v>
      </c>
      <c r="B171" s="49" t="s">
        <v>2794</v>
      </c>
      <c r="C171" s="50">
        <v>1</v>
      </c>
      <c r="D171" s="51" t="s">
        <v>126</v>
      </c>
      <c r="E171" s="57">
        <v>3412.51</v>
      </c>
      <c r="F171" s="61">
        <f>rv_mbp16_eg</f>
        <v>0.17599999999999999</v>
      </c>
      <c r="G171" s="65">
        <f t="shared" ref="G171" si="51">E171-(E171*F171)</f>
        <v>2811.9082400000002</v>
      </c>
      <c r="H171" s="50" t="s">
        <v>229</v>
      </c>
      <c r="I171" s="58">
        <v>82.32</v>
      </c>
      <c r="J171" s="58">
        <f>G171+I171</f>
        <v>2894.2282400000004</v>
      </c>
      <c r="K171" s="58" t="s">
        <v>128</v>
      </c>
      <c r="L171" s="58">
        <v>3.32</v>
      </c>
      <c r="M171" s="457" t="s">
        <v>232</v>
      </c>
      <c r="N171" s="313" t="s">
        <v>231</v>
      </c>
      <c r="O171" s="314" t="s">
        <v>192</v>
      </c>
      <c r="P171" s="84">
        <f t="shared" ref="P171:Q177" si="52">+IF($J171&lt;&gt;"",P$2*$J171,"")</f>
        <v>582.63346135919858</v>
      </c>
      <c r="Q171" s="84">
        <f t="shared" si="52"/>
        <v>302.79837297992503</v>
      </c>
      <c r="R171" s="185" t="s">
        <v>2757</v>
      </c>
      <c r="S171" s="49" t="s">
        <v>2794</v>
      </c>
      <c r="T171" s="50">
        <v>1</v>
      </c>
      <c r="U171" s="51" t="s">
        <v>126</v>
      </c>
      <c r="V171" s="57">
        <v>3415.41</v>
      </c>
      <c r="W171" s="61">
        <v>0.17599999999999999</v>
      </c>
      <c r="X171" s="65">
        <v>2814.2978400000002</v>
      </c>
      <c r="Y171" s="50" t="s">
        <v>229</v>
      </c>
      <c r="Z171" s="58">
        <v>82.32</v>
      </c>
      <c r="AA171" s="58">
        <v>2896.6178400000003</v>
      </c>
      <c r="AB171" s="58" t="s">
        <v>128</v>
      </c>
      <c r="AC171" s="58">
        <v>0.42</v>
      </c>
      <c r="AD171" s="457" t="s">
        <v>232</v>
      </c>
      <c r="AE171" s="313" t="s">
        <v>231</v>
      </c>
      <c r="AF171" s="314" t="s">
        <v>192</v>
      </c>
      <c r="AG171" s="84">
        <v>583.11450874171737</v>
      </c>
      <c r="AH171" s="84">
        <v>303.04837641160771</v>
      </c>
    </row>
    <row r="172" spans="1:34" s="80" customFormat="1">
      <c r="A172" s="481" t="s">
        <v>2935</v>
      </c>
      <c r="B172" s="205" t="s">
        <v>2938</v>
      </c>
      <c r="C172" s="198">
        <v>1</v>
      </c>
      <c r="D172" s="62" t="s">
        <v>126</v>
      </c>
      <c r="E172" s="484">
        <v>500</v>
      </c>
      <c r="F172" s="485">
        <f t="shared" si="47"/>
        <v>0.17599999999999999</v>
      </c>
      <c r="G172" s="486">
        <f>E172-(E172*F172)</f>
        <v>412</v>
      </c>
      <c r="H172" s="671"/>
      <c r="I172" s="672"/>
      <c r="J172" s="672"/>
      <c r="K172" s="673"/>
      <c r="L172" s="672"/>
      <c r="M172" s="458" t="s">
        <v>232</v>
      </c>
      <c r="N172" s="294" t="s">
        <v>231</v>
      </c>
      <c r="O172" s="299" t="s">
        <v>192</v>
      </c>
      <c r="P172" s="1" t="str">
        <f t="shared" ref="P172:Q174" si="53">+IF($J172&lt;&gt;"",P$2*$J172,"")</f>
        <v/>
      </c>
      <c r="Q172" s="1" t="str">
        <f t="shared" si="53"/>
        <v/>
      </c>
      <c r="R172" s="481" t="s">
        <v>2935</v>
      </c>
      <c r="S172" s="205" t="s">
        <v>2938</v>
      </c>
      <c r="T172" s="198">
        <v>1</v>
      </c>
      <c r="U172" s="62" t="s">
        <v>126</v>
      </c>
      <c r="V172" s="484">
        <v>500</v>
      </c>
      <c r="W172" s="485">
        <v>0.17599999999999999</v>
      </c>
      <c r="X172" s="486">
        <v>412</v>
      </c>
      <c r="Y172" s="671"/>
      <c r="Z172" s="672"/>
      <c r="AA172" s="672"/>
      <c r="AB172" s="673"/>
      <c r="AC172" s="672"/>
      <c r="AD172" s="458" t="s">
        <v>232</v>
      </c>
      <c r="AE172" s="294" t="s">
        <v>231</v>
      </c>
      <c r="AF172" s="299" t="s">
        <v>192</v>
      </c>
      <c r="AG172" s="1" t="s">
        <v>2350</v>
      </c>
      <c r="AH172" s="1" t="s">
        <v>2350</v>
      </c>
    </row>
    <row r="173" spans="1:34" s="80" customFormat="1">
      <c r="A173" s="481" t="s">
        <v>2936</v>
      </c>
      <c r="B173" s="205" t="s">
        <v>2939</v>
      </c>
      <c r="C173" s="198">
        <v>1</v>
      </c>
      <c r="D173" s="62" t="s">
        <v>126</v>
      </c>
      <c r="E173" s="484">
        <v>691.67</v>
      </c>
      <c r="F173" s="485">
        <f t="shared" si="47"/>
        <v>0.17599999999999999</v>
      </c>
      <c r="G173" s="486">
        <f>E173-(E173*F173)</f>
        <v>569.93607999999995</v>
      </c>
      <c r="H173" s="671"/>
      <c r="I173" s="672"/>
      <c r="J173" s="672"/>
      <c r="K173" s="673"/>
      <c r="L173" s="672"/>
      <c r="M173" s="458" t="s">
        <v>232</v>
      </c>
      <c r="N173" s="294" t="s">
        <v>231</v>
      </c>
      <c r="O173" s="299" t="s">
        <v>192</v>
      </c>
      <c r="P173" s="1" t="str">
        <f t="shared" si="53"/>
        <v/>
      </c>
      <c r="Q173" s="1" t="str">
        <f t="shared" si="53"/>
        <v/>
      </c>
      <c r="R173" s="481" t="s">
        <v>2936</v>
      </c>
      <c r="S173" s="205" t="s">
        <v>2939</v>
      </c>
      <c r="T173" s="198">
        <v>1</v>
      </c>
      <c r="U173" s="62" t="s">
        <v>126</v>
      </c>
      <c r="V173" s="484">
        <v>691.67</v>
      </c>
      <c r="W173" s="485">
        <v>0.17599999999999999</v>
      </c>
      <c r="X173" s="486">
        <v>569.93607999999995</v>
      </c>
      <c r="Y173" s="671"/>
      <c r="Z173" s="672"/>
      <c r="AA173" s="672"/>
      <c r="AB173" s="673"/>
      <c r="AC173" s="672"/>
      <c r="AD173" s="458" t="s">
        <v>232</v>
      </c>
      <c r="AE173" s="294" t="s">
        <v>231</v>
      </c>
      <c r="AF173" s="299" t="s">
        <v>192</v>
      </c>
      <c r="AG173" s="1" t="s">
        <v>2350</v>
      </c>
      <c r="AH173" s="1" t="s">
        <v>2350</v>
      </c>
    </row>
    <row r="174" spans="1:34" s="80" customFormat="1">
      <c r="A174" s="481" t="s">
        <v>2937</v>
      </c>
      <c r="B174" s="205" t="s">
        <v>2940</v>
      </c>
      <c r="C174" s="198">
        <v>1</v>
      </c>
      <c r="D174" s="62" t="s">
        <v>126</v>
      </c>
      <c r="E174" s="484">
        <v>1458.33</v>
      </c>
      <c r="F174" s="485">
        <f t="shared" si="47"/>
        <v>0.17599999999999999</v>
      </c>
      <c r="G174" s="486">
        <f>E174-(E174*F174)</f>
        <v>1201.66392</v>
      </c>
      <c r="H174" s="671"/>
      <c r="I174" s="672"/>
      <c r="J174" s="672"/>
      <c r="K174" s="673"/>
      <c r="L174" s="672"/>
      <c r="M174" s="458" t="s">
        <v>232</v>
      </c>
      <c r="N174" s="294" t="s">
        <v>231</v>
      </c>
      <c r="O174" s="299" t="s">
        <v>192</v>
      </c>
      <c r="P174" s="1" t="str">
        <f t="shared" si="53"/>
        <v/>
      </c>
      <c r="Q174" s="1" t="str">
        <f t="shared" si="53"/>
        <v/>
      </c>
      <c r="R174" s="481" t="s">
        <v>2937</v>
      </c>
      <c r="S174" s="205" t="s">
        <v>2940</v>
      </c>
      <c r="T174" s="198">
        <v>1</v>
      </c>
      <c r="U174" s="62" t="s">
        <v>126</v>
      </c>
      <c r="V174" s="484">
        <v>1458.33</v>
      </c>
      <c r="W174" s="485">
        <v>0.17599999999999999</v>
      </c>
      <c r="X174" s="486">
        <v>1201.66392</v>
      </c>
      <c r="Y174" s="671"/>
      <c r="Z174" s="672"/>
      <c r="AA174" s="672"/>
      <c r="AB174" s="673"/>
      <c r="AC174" s="672"/>
      <c r="AD174" s="458" t="s">
        <v>232</v>
      </c>
      <c r="AE174" s="294" t="s">
        <v>231</v>
      </c>
      <c r="AF174" s="299" t="s">
        <v>192</v>
      </c>
      <c r="AG174" s="1" t="s">
        <v>2350</v>
      </c>
      <c r="AH174" s="1" t="s">
        <v>2350</v>
      </c>
    </row>
    <row r="175" spans="1:34" s="80" customFormat="1">
      <c r="A175" s="199" t="s">
        <v>2761</v>
      </c>
      <c r="B175" s="205" t="s">
        <v>2791</v>
      </c>
      <c r="C175" s="198">
        <v>1</v>
      </c>
      <c r="D175" s="62" t="s">
        <v>126</v>
      </c>
      <c r="E175" s="484">
        <v>383.33</v>
      </c>
      <c r="F175" s="485">
        <f t="shared" si="47"/>
        <v>0.17599999999999999</v>
      </c>
      <c r="G175" s="486">
        <f t="shared" ref="G175:G178" si="54">E175-(E175*F175)</f>
        <v>315.86392000000001</v>
      </c>
      <c r="H175" s="671"/>
      <c r="I175" s="672"/>
      <c r="J175" s="672"/>
      <c r="K175" s="673"/>
      <c r="L175" s="672"/>
      <c r="M175" s="458" t="s">
        <v>232</v>
      </c>
      <c r="N175" s="294" t="s">
        <v>231</v>
      </c>
      <c r="O175" s="299" t="s">
        <v>192</v>
      </c>
      <c r="P175" s="1" t="str">
        <f t="shared" si="52"/>
        <v/>
      </c>
      <c r="Q175" s="1" t="str">
        <f t="shared" si="52"/>
        <v/>
      </c>
      <c r="R175" s="199" t="s">
        <v>2761</v>
      </c>
      <c r="S175" s="205" t="s">
        <v>2791</v>
      </c>
      <c r="T175" s="198">
        <v>1</v>
      </c>
      <c r="U175" s="62" t="s">
        <v>126</v>
      </c>
      <c r="V175" s="484">
        <v>383.33</v>
      </c>
      <c r="W175" s="485">
        <v>0.17599999999999999</v>
      </c>
      <c r="X175" s="486">
        <v>315.86392000000001</v>
      </c>
      <c r="Y175" s="671"/>
      <c r="Z175" s="672"/>
      <c r="AA175" s="672"/>
      <c r="AB175" s="673"/>
      <c r="AC175" s="672"/>
      <c r="AD175" s="458" t="s">
        <v>232</v>
      </c>
      <c r="AE175" s="294" t="s">
        <v>231</v>
      </c>
      <c r="AF175" s="299" t="s">
        <v>192</v>
      </c>
      <c r="AG175" s="1" t="s">
        <v>2350</v>
      </c>
      <c r="AH175" s="1" t="s">
        <v>2350</v>
      </c>
    </row>
    <row r="176" spans="1:34" s="80" customFormat="1">
      <c r="A176" s="199" t="s">
        <v>2762</v>
      </c>
      <c r="B176" s="205" t="s">
        <v>2792</v>
      </c>
      <c r="C176" s="198">
        <v>1</v>
      </c>
      <c r="D176" s="62" t="s">
        <v>126</v>
      </c>
      <c r="E176" s="484">
        <v>958.33</v>
      </c>
      <c r="F176" s="485">
        <f t="shared" si="47"/>
        <v>0.17599999999999999</v>
      </c>
      <c r="G176" s="486">
        <f t="shared" si="54"/>
        <v>789.66392000000008</v>
      </c>
      <c r="H176" s="671"/>
      <c r="I176" s="672"/>
      <c r="J176" s="672"/>
      <c r="K176" s="673"/>
      <c r="L176" s="672"/>
      <c r="M176" s="458" t="s">
        <v>232</v>
      </c>
      <c r="N176" s="294" t="s">
        <v>231</v>
      </c>
      <c r="O176" s="299" t="s">
        <v>192</v>
      </c>
      <c r="P176" s="1" t="str">
        <f t="shared" si="52"/>
        <v/>
      </c>
      <c r="Q176" s="1" t="str">
        <f t="shared" si="52"/>
        <v/>
      </c>
      <c r="R176" s="199" t="s">
        <v>2762</v>
      </c>
      <c r="S176" s="205" t="s">
        <v>2792</v>
      </c>
      <c r="T176" s="198">
        <v>1</v>
      </c>
      <c r="U176" s="62" t="s">
        <v>126</v>
      </c>
      <c r="V176" s="484">
        <v>958.33</v>
      </c>
      <c r="W176" s="485">
        <v>0.17599999999999999</v>
      </c>
      <c r="X176" s="486">
        <v>789.66392000000008</v>
      </c>
      <c r="Y176" s="671"/>
      <c r="Z176" s="672"/>
      <c r="AA176" s="672"/>
      <c r="AB176" s="673"/>
      <c r="AC176" s="672"/>
      <c r="AD176" s="458" t="s">
        <v>232</v>
      </c>
      <c r="AE176" s="294" t="s">
        <v>231</v>
      </c>
      <c r="AF176" s="299" t="s">
        <v>192</v>
      </c>
      <c r="AG176" s="1" t="s">
        <v>2350</v>
      </c>
      <c r="AH176" s="1" t="s">
        <v>2350</v>
      </c>
    </row>
    <row r="177" spans="1:34" s="80" customFormat="1">
      <c r="A177" s="199" t="s">
        <v>2763</v>
      </c>
      <c r="B177" s="205" t="s">
        <v>2793</v>
      </c>
      <c r="C177" s="198">
        <v>1</v>
      </c>
      <c r="D177" s="62" t="s">
        <v>126</v>
      </c>
      <c r="E177" s="484">
        <v>2108.33</v>
      </c>
      <c r="F177" s="485">
        <f t="shared" si="47"/>
        <v>0.17599999999999999</v>
      </c>
      <c r="G177" s="486">
        <f t="shared" si="54"/>
        <v>1737.2639199999999</v>
      </c>
      <c r="H177" s="671"/>
      <c r="I177" s="672"/>
      <c r="J177" s="672"/>
      <c r="K177" s="673"/>
      <c r="L177" s="672"/>
      <c r="M177" s="458" t="s">
        <v>232</v>
      </c>
      <c r="N177" s="294" t="s">
        <v>231</v>
      </c>
      <c r="O177" s="299" t="s">
        <v>192</v>
      </c>
      <c r="P177" s="1" t="str">
        <f t="shared" si="52"/>
        <v/>
      </c>
      <c r="Q177" s="1" t="str">
        <f t="shared" si="52"/>
        <v/>
      </c>
      <c r="R177" s="199" t="s">
        <v>2763</v>
      </c>
      <c r="S177" s="205" t="s">
        <v>2793</v>
      </c>
      <c r="T177" s="198">
        <v>1</v>
      </c>
      <c r="U177" s="62" t="s">
        <v>126</v>
      </c>
      <c r="V177" s="484">
        <v>2108.33</v>
      </c>
      <c r="W177" s="485">
        <v>0.17599999999999999</v>
      </c>
      <c r="X177" s="486">
        <v>1737.2639199999999</v>
      </c>
      <c r="Y177" s="671"/>
      <c r="Z177" s="672"/>
      <c r="AA177" s="672"/>
      <c r="AB177" s="673"/>
      <c r="AC177" s="672"/>
      <c r="AD177" s="458" t="s">
        <v>232</v>
      </c>
      <c r="AE177" s="294" t="s">
        <v>231</v>
      </c>
      <c r="AF177" s="299" t="s">
        <v>192</v>
      </c>
      <c r="AG177" s="1" t="s">
        <v>2350</v>
      </c>
      <c r="AH177" s="1" t="s">
        <v>2350</v>
      </c>
    </row>
    <row r="178" spans="1:34" s="80" customFormat="1">
      <c r="A178" s="199" t="s">
        <v>2795</v>
      </c>
      <c r="B178" s="348" t="s">
        <v>2796</v>
      </c>
      <c r="C178" s="198">
        <v>1</v>
      </c>
      <c r="D178" s="62" t="s">
        <v>126</v>
      </c>
      <c r="E178" s="484">
        <v>141.66999999999999</v>
      </c>
      <c r="F178" s="485">
        <f t="shared" ref="F178" si="55">rv_mbp14_eg_cto</f>
        <v>0.17599999999999999</v>
      </c>
      <c r="G178" s="486">
        <f t="shared" si="54"/>
        <v>116.73607999999999</v>
      </c>
      <c r="H178" s="671"/>
      <c r="I178" s="672"/>
      <c r="J178" s="672"/>
      <c r="K178" s="673"/>
      <c r="L178" s="672"/>
      <c r="M178" s="458"/>
      <c r="N178" s="294"/>
      <c r="O178" s="299"/>
      <c r="P178" s="1"/>
      <c r="Q178" s="1"/>
      <c r="R178" s="199" t="s">
        <v>2795</v>
      </c>
      <c r="S178" s="348" t="s">
        <v>2796</v>
      </c>
      <c r="T178" s="198">
        <v>1</v>
      </c>
      <c r="U178" s="62" t="s">
        <v>126</v>
      </c>
      <c r="V178" s="484">
        <v>141.66999999999999</v>
      </c>
      <c r="W178" s="485">
        <v>0.17599999999999999</v>
      </c>
      <c r="X178" s="486">
        <v>116.73607999999999</v>
      </c>
      <c r="Y178" s="671"/>
      <c r="Z178" s="672"/>
      <c r="AA178" s="672"/>
      <c r="AB178" s="673"/>
      <c r="AC178" s="672"/>
      <c r="AD178" s="458"/>
      <c r="AE178" s="294"/>
      <c r="AF178" s="299"/>
      <c r="AG178" s="1"/>
      <c r="AH178" s="1"/>
    </row>
    <row r="179" spans="1:34" s="80" customFormat="1">
      <c r="A179" s="481" t="s">
        <v>2758</v>
      </c>
      <c r="B179" s="205" t="s">
        <v>2797</v>
      </c>
      <c r="C179" s="198">
        <v>1</v>
      </c>
      <c r="D179" s="79" t="s">
        <v>126</v>
      </c>
      <c r="E179" s="484">
        <v>0</v>
      </c>
      <c r="F179" s="704" t="s">
        <v>128</v>
      </c>
      <c r="G179" s="486">
        <f>E179</f>
        <v>0</v>
      </c>
      <c r="H179" s="671"/>
      <c r="I179" s="672"/>
      <c r="J179" s="672"/>
      <c r="K179" s="673"/>
      <c r="L179" s="672"/>
      <c r="M179" s="458" t="s">
        <v>232</v>
      </c>
      <c r="N179" s="294" t="s">
        <v>231</v>
      </c>
      <c r="O179" s="299" t="s">
        <v>192</v>
      </c>
      <c r="P179" s="1" t="str">
        <f t="shared" ref="P179:Q181" si="56">+IF($J179&lt;&gt;"",P$2*$J179,"")</f>
        <v/>
      </c>
      <c r="Q179" s="1" t="str">
        <f t="shared" si="56"/>
        <v/>
      </c>
      <c r="R179" s="481" t="s">
        <v>2758</v>
      </c>
      <c r="S179" s="205" t="s">
        <v>2797</v>
      </c>
      <c r="T179" s="198">
        <v>1</v>
      </c>
      <c r="U179" s="79" t="s">
        <v>126</v>
      </c>
      <c r="V179" s="484">
        <v>0</v>
      </c>
      <c r="W179" s="704" t="s">
        <v>128</v>
      </c>
      <c r="X179" s="486">
        <v>0</v>
      </c>
      <c r="Y179" s="671"/>
      <c r="Z179" s="672"/>
      <c r="AA179" s="672"/>
      <c r="AB179" s="673"/>
      <c r="AC179" s="672"/>
      <c r="AD179" s="458" t="s">
        <v>232</v>
      </c>
      <c r="AE179" s="294" t="s">
        <v>231</v>
      </c>
      <c r="AF179" s="299" t="s">
        <v>192</v>
      </c>
      <c r="AG179" s="1" t="s">
        <v>2350</v>
      </c>
      <c r="AH179" s="1" t="s">
        <v>2350</v>
      </c>
    </row>
    <row r="180" spans="1:34" s="80" customFormat="1">
      <c r="A180" s="481" t="s">
        <v>2759</v>
      </c>
      <c r="B180" s="205" t="s">
        <v>2798</v>
      </c>
      <c r="C180" s="198">
        <v>1</v>
      </c>
      <c r="D180" s="62" t="s">
        <v>126</v>
      </c>
      <c r="E180" s="484">
        <v>0</v>
      </c>
      <c r="F180" s="704" t="s">
        <v>128</v>
      </c>
      <c r="G180" s="486">
        <f t="shared" ref="G180" si="57">E180</f>
        <v>0</v>
      </c>
      <c r="H180" s="671"/>
      <c r="I180" s="672"/>
      <c r="J180" s="672"/>
      <c r="K180" s="673"/>
      <c r="L180" s="672"/>
      <c r="M180" s="458" t="s">
        <v>232</v>
      </c>
      <c r="N180" s="294" t="s">
        <v>231</v>
      </c>
      <c r="O180" s="299" t="s">
        <v>192</v>
      </c>
      <c r="P180" s="1" t="str">
        <f t="shared" si="56"/>
        <v/>
      </c>
      <c r="Q180" s="1" t="str">
        <f t="shared" si="56"/>
        <v/>
      </c>
      <c r="R180" s="481" t="s">
        <v>2759</v>
      </c>
      <c r="S180" s="205" t="s">
        <v>2798</v>
      </c>
      <c r="T180" s="198">
        <v>1</v>
      </c>
      <c r="U180" s="62" t="s">
        <v>126</v>
      </c>
      <c r="V180" s="484">
        <v>0</v>
      </c>
      <c r="W180" s="704" t="s">
        <v>128</v>
      </c>
      <c r="X180" s="486">
        <v>0</v>
      </c>
      <c r="Y180" s="671"/>
      <c r="Z180" s="672"/>
      <c r="AA180" s="672"/>
      <c r="AB180" s="673"/>
      <c r="AC180" s="672"/>
      <c r="AD180" s="458" t="s">
        <v>232</v>
      </c>
      <c r="AE180" s="294" t="s">
        <v>231</v>
      </c>
      <c r="AF180" s="299" t="s">
        <v>192</v>
      </c>
      <c r="AG180" s="1" t="s">
        <v>2350</v>
      </c>
      <c r="AH180" s="1" t="s">
        <v>2350</v>
      </c>
    </row>
    <row r="181" spans="1:34" s="80" customFormat="1">
      <c r="A181" s="481" t="s">
        <v>2760</v>
      </c>
      <c r="B181" s="205" t="s">
        <v>2799</v>
      </c>
      <c r="C181" s="198">
        <v>1</v>
      </c>
      <c r="D181" s="79" t="s">
        <v>126</v>
      </c>
      <c r="E181" s="484">
        <v>0</v>
      </c>
      <c r="F181" s="704" t="s">
        <v>128</v>
      </c>
      <c r="G181" s="486">
        <f>E181</f>
        <v>0</v>
      </c>
      <c r="H181" s="671"/>
      <c r="I181" s="672"/>
      <c r="J181" s="672"/>
      <c r="K181" s="673"/>
      <c r="L181" s="672"/>
      <c r="M181" s="458" t="s">
        <v>232</v>
      </c>
      <c r="N181" s="294" t="s">
        <v>231</v>
      </c>
      <c r="O181" s="299" t="s">
        <v>192</v>
      </c>
      <c r="P181" s="1" t="str">
        <f t="shared" si="56"/>
        <v/>
      </c>
      <c r="Q181" s="1" t="str">
        <f t="shared" si="56"/>
        <v/>
      </c>
      <c r="R181" s="481" t="s">
        <v>2760</v>
      </c>
      <c r="S181" s="205" t="s">
        <v>2799</v>
      </c>
      <c r="T181" s="198">
        <v>1</v>
      </c>
      <c r="U181" s="79" t="s">
        <v>126</v>
      </c>
      <c r="V181" s="484">
        <v>0</v>
      </c>
      <c r="W181" s="704" t="s">
        <v>128</v>
      </c>
      <c r="X181" s="486">
        <v>0</v>
      </c>
      <c r="Y181" s="671"/>
      <c r="Z181" s="672"/>
      <c r="AA181" s="672"/>
      <c r="AB181" s="673"/>
      <c r="AC181" s="672"/>
      <c r="AD181" s="458" t="s">
        <v>232</v>
      </c>
      <c r="AE181" s="294" t="s">
        <v>231</v>
      </c>
      <c r="AF181" s="299" t="s">
        <v>192</v>
      </c>
      <c r="AG181" s="1" t="s">
        <v>2350</v>
      </c>
      <c r="AH181" s="1" t="s">
        <v>2350</v>
      </c>
    </row>
    <row r="182" spans="1:34" s="84" customFormat="1">
      <c r="A182" s="191" t="s">
        <v>229</v>
      </c>
      <c r="B182" s="53" t="s">
        <v>233</v>
      </c>
      <c r="C182" s="75">
        <v>1</v>
      </c>
      <c r="D182" s="69" t="s">
        <v>134</v>
      </c>
      <c r="E182" s="231">
        <v>99.9</v>
      </c>
      <c r="F182" s="98">
        <v>0.17599999999999999</v>
      </c>
      <c r="G182" s="63">
        <f>E182-(E182*F182)</f>
        <v>82.317599999999999</v>
      </c>
      <c r="H182" s="67"/>
      <c r="I182" s="52"/>
      <c r="J182" s="52"/>
      <c r="K182" s="52"/>
      <c r="L182" s="52"/>
      <c r="M182" s="457" t="s">
        <v>135</v>
      </c>
      <c r="N182" s="305" t="s">
        <v>136</v>
      </c>
      <c r="O182" s="306" t="s">
        <v>137</v>
      </c>
      <c r="P182" s="84" t="str">
        <f t="shared" ref="P182:Q191" si="58">+IF($J182&lt;&gt;"",P$2*$J182,"")</f>
        <v/>
      </c>
      <c r="Q182" s="84" t="str">
        <f t="shared" si="58"/>
        <v/>
      </c>
      <c r="R182" s="191" t="s">
        <v>229</v>
      </c>
      <c r="S182" s="53" t="s">
        <v>233</v>
      </c>
      <c r="T182" s="75">
        <v>1</v>
      </c>
      <c r="U182" s="69" t="s">
        <v>134</v>
      </c>
      <c r="V182" s="231">
        <v>99.9</v>
      </c>
      <c r="W182" s="98">
        <v>0.17599999999999999</v>
      </c>
      <c r="X182" s="63">
        <v>82.317599999999999</v>
      </c>
      <c r="Y182" s="67"/>
      <c r="Z182" s="52"/>
      <c r="AA182" s="52"/>
      <c r="AB182" s="52"/>
      <c r="AC182" s="52"/>
      <c r="AD182" s="457" t="s">
        <v>135</v>
      </c>
      <c r="AE182" s="305" t="s">
        <v>136</v>
      </c>
      <c r="AF182" s="306" t="s">
        <v>137</v>
      </c>
      <c r="AG182" s="84" t="s">
        <v>2350</v>
      </c>
      <c r="AH182" s="84" t="s">
        <v>2350</v>
      </c>
    </row>
    <row r="183" spans="1:34">
      <c r="A183" s="183" t="s">
        <v>234</v>
      </c>
      <c r="B183" s="64" t="s">
        <v>235</v>
      </c>
      <c r="C183" s="21">
        <v>1</v>
      </c>
      <c r="D183" s="27" t="s">
        <v>134</v>
      </c>
      <c r="E183" s="28"/>
      <c r="F183" s="18"/>
      <c r="G183" s="79">
        <v>34</v>
      </c>
      <c r="H183" s="59"/>
      <c r="I183" s="134"/>
      <c r="J183" s="134"/>
      <c r="K183" s="68"/>
      <c r="L183" s="134"/>
      <c r="M183" s="458" t="s">
        <v>135</v>
      </c>
      <c r="N183" s="294" t="s">
        <v>136</v>
      </c>
      <c r="O183" s="299" t="s">
        <v>137</v>
      </c>
      <c r="P183" s="1" t="str">
        <f t="shared" si="58"/>
        <v/>
      </c>
      <c r="Q183" s="1" t="str">
        <f t="shared" si="58"/>
        <v/>
      </c>
      <c r="R183" s="183" t="s">
        <v>234</v>
      </c>
      <c r="S183" s="64" t="s">
        <v>235</v>
      </c>
      <c r="T183" s="21">
        <v>1</v>
      </c>
      <c r="U183" s="27" t="s">
        <v>134</v>
      </c>
      <c r="V183" s="28"/>
      <c r="W183" s="18"/>
      <c r="X183" s="79">
        <v>34</v>
      </c>
      <c r="Y183" s="59"/>
      <c r="Z183" s="134"/>
      <c r="AA183" s="134"/>
      <c r="AB183" s="68"/>
      <c r="AC183" s="134"/>
      <c r="AD183" s="458" t="s">
        <v>135</v>
      </c>
      <c r="AE183" s="294" t="s">
        <v>136</v>
      </c>
      <c r="AF183" s="299" t="s">
        <v>137</v>
      </c>
      <c r="AG183" s="1" t="s">
        <v>2350</v>
      </c>
      <c r="AH183" s="1" t="s">
        <v>2350</v>
      </c>
    </row>
    <row r="184" spans="1:34">
      <c r="A184" s="183" t="s">
        <v>236</v>
      </c>
      <c r="B184" s="64" t="s">
        <v>237</v>
      </c>
      <c r="C184" s="21">
        <v>1</v>
      </c>
      <c r="D184" s="27" t="s">
        <v>134</v>
      </c>
      <c r="E184" s="28"/>
      <c r="F184" s="18"/>
      <c r="G184" s="79">
        <v>64</v>
      </c>
      <c r="H184" s="59"/>
      <c r="I184" s="134"/>
      <c r="J184" s="134"/>
      <c r="K184" s="68"/>
      <c r="L184" s="134"/>
      <c r="M184" s="458" t="s">
        <v>135</v>
      </c>
      <c r="N184" s="294" t="s">
        <v>136</v>
      </c>
      <c r="O184" s="299" t="s">
        <v>137</v>
      </c>
      <c r="P184" s="1" t="str">
        <f t="shared" si="58"/>
        <v/>
      </c>
      <c r="Q184" s="1" t="str">
        <f t="shared" si="58"/>
        <v/>
      </c>
      <c r="R184" s="183" t="s">
        <v>236</v>
      </c>
      <c r="S184" s="64" t="s">
        <v>237</v>
      </c>
      <c r="T184" s="21">
        <v>1</v>
      </c>
      <c r="U184" s="27" t="s">
        <v>134</v>
      </c>
      <c r="V184" s="28"/>
      <c r="W184" s="18"/>
      <c r="X184" s="79">
        <v>64</v>
      </c>
      <c r="Y184" s="59"/>
      <c r="Z184" s="134"/>
      <c r="AA184" s="134"/>
      <c r="AB184" s="68"/>
      <c r="AC184" s="134"/>
      <c r="AD184" s="458" t="s">
        <v>135</v>
      </c>
      <c r="AE184" s="294" t="s">
        <v>136</v>
      </c>
      <c r="AF184" s="299" t="s">
        <v>137</v>
      </c>
      <c r="AG184" s="1" t="s">
        <v>2350</v>
      </c>
      <c r="AH184" s="1" t="s">
        <v>2350</v>
      </c>
    </row>
    <row r="185" spans="1:34">
      <c r="A185" s="183" t="s">
        <v>238</v>
      </c>
      <c r="B185" s="64" t="s">
        <v>239</v>
      </c>
      <c r="C185" s="21">
        <v>1</v>
      </c>
      <c r="D185" s="27" t="s">
        <v>134</v>
      </c>
      <c r="E185" s="28"/>
      <c r="F185" s="18"/>
      <c r="G185" s="79">
        <v>96</v>
      </c>
      <c r="H185" s="59"/>
      <c r="I185" s="134"/>
      <c r="J185" s="134"/>
      <c r="K185" s="68"/>
      <c r="L185" s="134"/>
      <c r="M185" s="458" t="s">
        <v>135</v>
      </c>
      <c r="N185" s="294" t="s">
        <v>136</v>
      </c>
      <c r="O185" s="299" t="s">
        <v>137</v>
      </c>
      <c r="P185" s="1" t="str">
        <f t="shared" si="58"/>
        <v/>
      </c>
      <c r="Q185" s="1" t="str">
        <f t="shared" si="58"/>
        <v/>
      </c>
      <c r="R185" s="183" t="s">
        <v>238</v>
      </c>
      <c r="S185" s="64" t="s">
        <v>239</v>
      </c>
      <c r="T185" s="21">
        <v>1</v>
      </c>
      <c r="U185" s="27" t="s">
        <v>134</v>
      </c>
      <c r="V185" s="28"/>
      <c r="W185" s="18"/>
      <c r="X185" s="79">
        <v>96</v>
      </c>
      <c r="Y185" s="59"/>
      <c r="Z185" s="134"/>
      <c r="AA185" s="134"/>
      <c r="AB185" s="68"/>
      <c r="AC185" s="134"/>
      <c r="AD185" s="458" t="s">
        <v>135</v>
      </c>
      <c r="AE185" s="294" t="s">
        <v>136</v>
      </c>
      <c r="AF185" s="299" t="s">
        <v>137</v>
      </c>
      <c r="AG185" s="1" t="s">
        <v>2350</v>
      </c>
      <c r="AH185" s="1" t="s">
        <v>2350</v>
      </c>
    </row>
    <row r="186" spans="1:34">
      <c r="A186" s="183" t="s">
        <v>240</v>
      </c>
      <c r="B186" s="64" t="s">
        <v>241</v>
      </c>
      <c r="C186" s="21">
        <v>1</v>
      </c>
      <c r="D186" s="27" t="s">
        <v>134</v>
      </c>
      <c r="E186" s="28"/>
      <c r="F186" s="18"/>
      <c r="G186" s="79">
        <v>25</v>
      </c>
      <c r="H186" s="59"/>
      <c r="I186" s="134"/>
      <c r="J186" s="134"/>
      <c r="K186" s="68"/>
      <c r="L186" s="134"/>
      <c r="M186" s="458" t="s">
        <v>135</v>
      </c>
      <c r="N186" s="294" t="s">
        <v>136</v>
      </c>
      <c r="O186" s="299" t="s">
        <v>137</v>
      </c>
      <c r="P186" s="1" t="str">
        <f t="shared" si="58"/>
        <v/>
      </c>
      <c r="Q186" s="1" t="str">
        <f t="shared" si="58"/>
        <v/>
      </c>
      <c r="R186" s="183" t="s">
        <v>240</v>
      </c>
      <c r="S186" s="64" t="s">
        <v>241</v>
      </c>
      <c r="T186" s="21">
        <v>1</v>
      </c>
      <c r="U186" s="27" t="s">
        <v>134</v>
      </c>
      <c r="V186" s="28"/>
      <c r="W186" s="18"/>
      <c r="X186" s="79">
        <v>25</v>
      </c>
      <c r="Y186" s="59"/>
      <c r="Z186" s="134"/>
      <c r="AA186" s="134"/>
      <c r="AB186" s="68"/>
      <c r="AC186" s="134"/>
      <c r="AD186" s="458" t="s">
        <v>135</v>
      </c>
      <c r="AE186" s="294" t="s">
        <v>136</v>
      </c>
      <c r="AF186" s="299" t="s">
        <v>137</v>
      </c>
      <c r="AG186" s="1" t="s">
        <v>2350</v>
      </c>
      <c r="AH186" s="1" t="s">
        <v>2350</v>
      </c>
    </row>
    <row r="187" spans="1:34">
      <c r="A187" s="183" t="s">
        <v>242</v>
      </c>
      <c r="B187" s="64" t="s">
        <v>243</v>
      </c>
      <c r="C187" s="21">
        <v>1</v>
      </c>
      <c r="D187" s="27" t="s">
        <v>134</v>
      </c>
      <c r="E187" s="28"/>
      <c r="F187" s="18"/>
      <c r="G187" s="79">
        <v>81</v>
      </c>
      <c r="H187" s="59"/>
      <c r="I187" s="134"/>
      <c r="J187" s="134"/>
      <c r="K187" s="68"/>
      <c r="L187" s="134"/>
      <c r="M187" s="458" t="s">
        <v>135</v>
      </c>
      <c r="N187" s="294" t="s">
        <v>136</v>
      </c>
      <c r="O187" s="299" t="s">
        <v>137</v>
      </c>
      <c r="P187" s="1" t="str">
        <f t="shared" si="58"/>
        <v/>
      </c>
      <c r="Q187" s="1" t="str">
        <f t="shared" si="58"/>
        <v/>
      </c>
      <c r="R187" s="183" t="s">
        <v>242</v>
      </c>
      <c r="S187" s="64" t="s">
        <v>243</v>
      </c>
      <c r="T187" s="21">
        <v>1</v>
      </c>
      <c r="U187" s="27" t="s">
        <v>134</v>
      </c>
      <c r="V187" s="28"/>
      <c r="W187" s="18"/>
      <c r="X187" s="79">
        <v>81</v>
      </c>
      <c r="Y187" s="59"/>
      <c r="Z187" s="134"/>
      <c r="AA187" s="134"/>
      <c r="AB187" s="68"/>
      <c r="AC187" s="134"/>
      <c r="AD187" s="458" t="s">
        <v>135</v>
      </c>
      <c r="AE187" s="294" t="s">
        <v>136</v>
      </c>
      <c r="AF187" s="299" t="s">
        <v>137</v>
      </c>
      <c r="AG187" s="1" t="s">
        <v>2350</v>
      </c>
      <c r="AH187" s="1" t="s">
        <v>2350</v>
      </c>
    </row>
    <row r="188" spans="1:34">
      <c r="A188" s="183" t="s">
        <v>244</v>
      </c>
      <c r="B188" s="64" t="s">
        <v>245</v>
      </c>
      <c r="C188" s="21">
        <v>1</v>
      </c>
      <c r="D188" s="27" t="s">
        <v>134</v>
      </c>
      <c r="E188" s="28"/>
      <c r="F188" s="18"/>
      <c r="G188" s="79">
        <v>117</v>
      </c>
      <c r="H188" s="59"/>
      <c r="I188" s="134"/>
      <c r="J188" s="134"/>
      <c r="K188" s="68"/>
      <c r="L188" s="134"/>
      <c r="M188" s="458" t="s">
        <v>135</v>
      </c>
      <c r="N188" s="294" t="s">
        <v>136</v>
      </c>
      <c r="O188" s="299" t="s">
        <v>137</v>
      </c>
      <c r="P188" s="1" t="str">
        <f t="shared" si="58"/>
        <v/>
      </c>
      <c r="Q188" s="1" t="str">
        <f t="shared" si="58"/>
        <v/>
      </c>
      <c r="R188" s="183" t="s">
        <v>244</v>
      </c>
      <c r="S188" s="64" t="s">
        <v>245</v>
      </c>
      <c r="T188" s="21">
        <v>1</v>
      </c>
      <c r="U188" s="27" t="s">
        <v>134</v>
      </c>
      <c r="V188" s="28"/>
      <c r="W188" s="18"/>
      <c r="X188" s="79">
        <v>117</v>
      </c>
      <c r="Y188" s="59"/>
      <c r="Z188" s="134"/>
      <c r="AA188" s="134"/>
      <c r="AB188" s="68"/>
      <c r="AC188" s="134"/>
      <c r="AD188" s="458" t="s">
        <v>135</v>
      </c>
      <c r="AE188" s="294" t="s">
        <v>136</v>
      </c>
      <c r="AF188" s="299" t="s">
        <v>137</v>
      </c>
      <c r="AG188" s="1" t="s">
        <v>2350</v>
      </c>
      <c r="AH188" s="1" t="s">
        <v>2350</v>
      </c>
    </row>
    <row r="189" spans="1:34">
      <c r="A189" s="183" t="s">
        <v>246</v>
      </c>
      <c r="B189" s="64" t="s">
        <v>247</v>
      </c>
      <c r="C189" s="21">
        <v>1</v>
      </c>
      <c r="D189" s="27" t="s">
        <v>134</v>
      </c>
      <c r="E189" s="28"/>
      <c r="F189" s="18"/>
      <c r="G189" s="79">
        <v>116</v>
      </c>
      <c r="H189" s="59"/>
      <c r="I189" s="134"/>
      <c r="J189" s="134"/>
      <c r="K189" s="68"/>
      <c r="L189" s="134"/>
      <c r="M189" s="458" t="s">
        <v>135</v>
      </c>
      <c r="N189" s="294" t="s">
        <v>136</v>
      </c>
      <c r="O189" s="299" t="s">
        <v>137</v>
      </c>
      <c r="P189" s="1" t="str">
        <f t="shared" si="58"/>
        <v/>
      </c>
      <c r="Q189" s="1" t="str">
        <f t="shared" si="58"/>
        <v/>
      </c>
      <c r="R189" s="183" t="s">
        <v>246</v>
      </c>
      <c r="S189" s="64" t="s">
        <v>247</v>
      </c>
      <c r="T189" s="21">
        <v>1</v>
      </c>
      <c r="U189" s="27" t="s">
        <v>134</v>
      </c>
      <c r="V189" s="28"/>
      <c r="W189" s="18"/>
      <c r="X189" s="79">
        <v>116</v>
      </c>
      <c r="Y189" s="59"/>
      <c r="Z189" s="134"/>
      <c r="AA189" s="134"/>
      <c r="AB189" s="68"/>
      <c r="AC189" s="134"/>
      <c r="AD189" s="458" t="s">
        <v>135</v>
      </c>
      <c r="AE189" s="294" t="s">
        <v>136</v>
      </c>
      <c r="AF189" s="299" t="s">
        <v>137</v>
      </c>
      <c r="AG189" s="1" t="s">
        <v>2350</v>
      </c>
      <c r="AH189" s="1" t="s">
        <v>2350</v>
      </c>
    </row>
    <row r="190" spans="1:34">
      <c r="A190" s="183" t="s">
        <v>248</v>
      </c>
      <c r="B190" s="64" t="s">
        <v>249</v>
      </c>
      <c r="C190" s="21">
        <v>1</v>
      </c>
      <c r="D190" s="27" t="s">
        <v>134</v>
      </c>
      <c r="E190" s="28"/>
      <c r="F190" s="18"/>
      <c r="G190" s="79">
        <v>43</v>
      </c>
      <c r="H190" s="59"/>
      <c r="I190" s="134"/>
      <c r="J190" s="134"/>
      <c r="K190" s="68"/>
      <c r="L190" s="134"/>
      <c r="M190" s="458" t="s">
        <v>135</v>
      </c>
      <c r="N190" s="294" t="s">
        <v>136</v>
      </c>
      <c r="O190" s="299" t="s">
        <v>137</v>
      </c>
      <c r="P190" s="1" t="str">
        <f t="shared" si="58"/>
        <v/>
      </c>
      <c r="Q190" s="1" t="str">
        <f t="shared" si="58"/>
        <v/>
      </c>
      <c r="R190" s="183" t="s">
        <v>248</v>
      </c>
      <c r="S190" s="64" t="s">
        <v>249</v>
      </c>
      <c r="T190" s="21">
        <v>1</v>
      </c>
      <c r="U190" s="27" t="s">
        <v>134</v>
      </c>
      <c r="V190" s="28"/>
      <c r="W190" s="18"/>
      <c r="X190" s="79">
        <v>43</v>
      </c>
      <c r="Y190" s="59"/>
      <c r="Z190" s="134"/>
      <c r="AA190" s="134"/>
      <c r="AB190" s="68"/>
      <c r="AC190" s="134"/>
      <c r="AD190" s="458" t="s">
        <v>135</v>
      </c>
      <c r="AE190" s="294" t="s">
        <v>136</v>
      </c>
      <c r="AF190" s="299" t="s">
        <v>137</v>
      </c>
      <c r="AG190" s="1" t="s">
        <v>2350</v>
      </c>
      <c r="AH190" s="1" t="s">
        <v>2350</v>
      </c>
    </row>
    <row r="191" spans="1:34">
      <c r="A191" s="183" t="s">
        <v>250</v>
      </c>
      <c r="B191" s="64" t="s">
        <v>251</v>
      </c>
      <c r="C191" s="21">
        <v>1</v>
      </c>
      <c r="D191" s="27" t="s">
        <v>134</v>
      </c>
      <c r="E191" s="28"/>
      <c r="F191" s="18"/>
      <c r="G191" s="79">
        <v>106</v>
      </c>
      <c r="H191" s="59"/>
      <c r="I191" s="134"/>
      <c r="J191" s="134"/>
      <c r="K191" s="68"/>
      <c r="L191" s="134"/>
      <c r="M191" s="458" t="s">
        <v>135</v>
      </c>
      <c r="N191" s="294" t="s">
        <v>136</v>
      </c>
      <c r="O191" s="299" t="s">
        <v>137</v>
      </c>
      <c r="P191" s="1" t="str">
        <f t="shared" si="58"/>
        <v/>
      </c>
      <c r="Q191" s="1" t="str">
        <f t="shared" si="58"/>
        <v/>
      </c>
      <c r="R191" s="183" t="s">
        <v>250</v>
      </c>
      <c r="S191" s="64" t="s">
        <v>251</v>
      </c>
      <c r="T191" s="21">
        <v>1</v>
      </c>
      <c r="U191" s="27" t="s">
        <v>134</v>
      </c>
      <c r="V191" s="28"/>
      <c r="W191" s="18"/>
      <c r="X191" s="79">
        <v>106</v>
      </c>
      <c r="Y191" s="59"/>
      <c r="Z191" s="134"/>
      <c r="AA191" s="134"/>
      <c r="AB191" s="68"/>
      <c r="AC191" s="134"/>
      <c r="AD191" s="458" t="s">
        <v>135</v>
      </c>
      <c r="AE191" s="294" t="s">
        <v>136</v>
      </c>
      <c r="AF191" s="299" t="s">
        <v>137</v>
      </c>
      <c r="AG191" s="1" t="s">
        <v>2350</v>
      </c>
      <c r="AH191" s="1" t="s">
        <v>2350</v>
      </c>
    </row>
    <row r="192" spans="1:34">
      <c r="A192" s="183" t="s">
        <v>252</v>
      </c>
      <c r="B192" s="64" t="s">
        <v>253</v>
      </c>
      <c r="C192" s="21">
        <v>1</v>
      </c>
      <c r="D192" s="27" t="s">
        <v>134</v>
      </c>
      <c r="E192" s="28"/>
      <c r="F192" s="18"/>
      <c r="G192" s="79">
        <v>169</v>
      </c>
      <c r="H192" s="59"/>
      <c r="I192" s="134"/>
      <c r="J192" s="134"/>
      <c r="K192" s="68"/>
      <c r="L192" s="134"/>
      <c r="M192" s="458" t="s">
        <v>135</v>
      </c>
      <c r="N192" s="294" t="s">
        <v>136</v>
      </c>
      <c r="O192" s="299" t="s">
        <v>137</v>
      </c>
      <c r="P192" s="1" t="str">
        <f t="shared" ref="P192:Q197" si="59">+IF($J192&lt;&gt;"",P$2*$J192,"")</f>
        <v/>
      </c>
      <c r="Q192" s="1" t="str">
        <f t="shared" si="59"/>
        <v/>
      </c>
      <c r="R192" s="183" t="s">
        <v>252</v>
      </c>
      <c r="S192" s="64" t="s">
        <v>253</v>
      </c>
      <c r="T192" s="21">
        <v>1</v>
      </c>
      <c r="U192" s="27" t="s">
        <v>134</v>
      </c>
      <c r="V192" s="28"/>
      <c r="W192" s="18"/>
      <c r="X192" s="79">
        <v>169</v>
      </c>
      <c r="Y192" s="59"/>
      <c r="Z192" s="134"/>
      <c r="AA192" s="134"/>
      <c r="AB192" s="68"/>
      <c r="AC192" s="134"/>
      <c r="AD192" s="458" t="s">
        <v>135</v>
      </c>
      <c r="AE192" s="294" t="s">
        <v>136</v>
      </c>
      <c r="AF192" s="299" t="s">
        <v>137</v>
      </c>
      <c r="AG192" s="1" t="s">
        <v>2350</v>
      </c>
      <c r="AH192" s="1" t="s">
        <v>2350</v>
      </c>
    </row>
    <row r="193" spans="1:34" ht="15" customHeight="1">
      <c r="A193" s="183" t="s">
        <v>254</v>
      </c>
      <c r="B193" s="64" t="s">
        <v>255</v>
      </c>
      <c r="C193" s="21">
        <v>1</v>
      </c>
      <c r="D193" s="27" t="s">
        <v>134</v>
      </c>
      <c r="E193" s="28"/>
      <c r="F193" s="18"/>
      <c r="G193" s="79">
        <v>248</v>
      </c>
      <c r="H193" s="59"/>
      <c r="I193" s="134"/>
      <c r="J193" s="134"/>
      <c r="K193" s="68"/>
      <c r="L193" s="134"/>
      <c r="M193" s="458" t="s">
        <v>135</v>
      </c>
      <c r="N193" s="294" t="s">
        <v>136</v>
      </c>
      <c r="O193" s="299" t="s">
        <v>137</v>
      </c>
      <c r="P193" s="1" t="str">
        <f t="shared" si="59"/>
        <v/>
      </c>
      <c r="Q193" s="1" t="str">
        <f t="shared" si="59"/>
        <v/>
      </c>
      <c r="R193" s="183" t="s">
        <v>254</v>
      </c>
      <c r="S193" s="64" t="s">
        <v>255</v>
      </c>
      <c r="T193" s="21">
        <v>1</v>
      </c>
      <c r="U193" s="27" t="s">
        <v>134</v>
      </c>
      <c r="V193" s="28"/>
      <c r="W193" s="18"/>
      <c r="X193" s="79">
        <v>248</v>
      </c>
      <c r="Y193" s="59"/>
      <c r="Z193" s="134"/>
      <c r="AA193" s="134"/>
      <c r="AB193" s="68"/>
      <c r="AC193" s="134"/>
      <c r="AD193" s="458" t="s">
        <v>135</v>
      </c>
      <c r="AE193" s="294" t="s">
        <v>136</v>
      </c>
      <c r="AF193" s="299" t="s">
        <v>137</v>
      </c>
      <c r="AG193" s="1" t="s">
        <v>2350</v>
      </c>
      <c r="AH193" s="1" t="s">
        <v>2350</v>
      </c>
    </row>
    <row r="194" spans="1:34" ht="14" customHeight="1">
      <c r="A194" s="184" t="s">
        <v>256</v>
      </c>
      <c r="B194" s="189" t="s">
        <v>257</v>
      </c>
      <c r="C194" s="89">
        <v>1</v>
      </c>
      <c r="D194" s="31" t="s">
        <v>134</v>
      </c>
      <c r="E194" s="32"/>
      <c r="F194" s="35"/>
      <c r="G194" s="91">
        <v>602</v>
      </c>
      <c r="H194" s="133"/>
      <c r="I194" s="236"/>
      <c r="J194" s="236"/>
      <c r="K194" s="101"/>
      <c r="L194" s="236"/>
      <c r="M194" s="458" t="s">
        <v>135</v>
      </c>
      <c r="N194" s="294" t="s">
        <v>136</v>
      </c>
      <c r="O194" s="299" t="s">
        <v>137</v>
      </c>
      <c r="P194" s="1" t="str">
        <f t="shared" si="59"/>
        <v/>
      </c>
      <c r="Q194" s="1" t="str">
        <f t="shared" si="59"/>
        <v/>
      </c>
      <c r="R194" s="184" t="s">
        <v>256</v>
      </c>
      <c r="S194" s="189" t="s">
        <v>257</v>
      </c>
      <c r="T194" s="89">
        <v>1</v>
      </c>
      <c r="U194" s="31" t="s">
        <v>134</v>
      </c>
      <c r="V194" s="32"/>
      <c r="W194" s="35"/>
      <c r="X194" s="91">
        <v>602</v>
      </c>
      <c r="Y194" s="133"/>
      <c r="Z194" s="236"/>
      <c r="AA194" s="236"/>
      <c r="AB194" s="101"/>
      <c r="AC194" s="236"/>
      <c r="AD194" s="458" t="s">
        <v>135</v>
      </c>
      <c r="AE194" s="294" t="s">
        <v>136</v>
      </c>
      <c r="AF194" s="299" t="s">
        <v>137</v>
      </c>
      <c r="AG194" s="1" t="s">
        <v>2350</v>
      </c>
      <c r="AH194" s="1" t="s">
        <v>2350</v>
      </c>
    </row>
    <row r="195" spans="1:34">
      <c r="A195" s="184" t="s">
        <v>258</v>
      </c>
      <c r="B195" s="291" t="s">
        <v>259</v>
      </c>
      <c r="C195" s="89">
        <v>1</v>
      </c>
      <c r="D195" s="31" t="s">
        <v>134</v>
      </c>
      <c r="E195" s="32"/>
      <c r="F195" s="35"/>
      <c r="G195" s="91">
        <v>728</v>
      </c>
      <c r="H195" s="133"/>
      <c r="I195" s="236"/>
      <c r="J195" s="236"/>
      <c r="K195" s="101"/>
      <c r="L195" s="236"/>
      <c r="M195" s="458" t="s">
        <v>135</v>
      </c>
      <c r="N195" s="294" t="s">
        <v>136</v>
      </c>
      <c r="O195" s="299" t="s">
        <v>137</v>
      </c>
      <c r="P195" s="1" t="str">
        <f t="shared" si="59"/>
        <v/>
      </c>
      <c r="Q195" s="1" t="str">
        <f t="shared" si="59"/>
        <v/>
      </c>
      <c r="R195" s="184" t="s">
        <v>258</v>
      </c>
      <c r="S195" s="291" t="s">
        <v>259</v>
      </c>
      <c r="T195" s="89">
        <v>1</v>
      </c>
      <c r="U195" s="31" t="s">
        <v>134</v>
      </c>
      <c r="V195" s="32"/>
      <c r="W195" s="35"/>
      <c r="X195" s="91">
        <v>728</v>
      </c>
      <c r="Y195" s="133"/>
      <c r="Z195" s="236"/>
      <c r="AA195" s="236"/>
      <c r="AB195" s="101"/>
      <c r="AC195" s="236"/>
      <c r="AD195" s="458" t="s">
        <v>135</v>
      </c>
      <c r="AE195" s="294" t="s">
        <v>136</v>
      </c>
      <c r="AF195" s="299" t="s">
        <v>137</v>
      </c>
      <c r="AG195" s="1" t="s">
        <v>2350</v>
      </c>
      <c r="AH195" s="1" t="s">
        <v>2350</v>
      </c>
    </row>
    <row r="196" spans="1:34">
      <c r="A196" s="183" t="s">
        <v>260</v>
      </c>
      <c r="B196" s="64" t="s">
        <v>261</v>
      </c>
      <c r="C196" s="21">
        <v>1</v>
      </c>
      <c r="D196" s="31" t="s">
        <v>134</v>
      </c>
      <c r="E196" s="28"/>
      <c r="F196" s="18"/>
      <c r="G196" s="22">
        <v>382.62</v>
      </c>
      <c r="H196" s="131"/>
      <c r="I196" s="134"/>
      <c r="J196" s="134"/>
      <c r="K196" s="68"/>
      <c r="L196" s="134"/>
      <c r="M196" s="458" t="s">
        <v>135</v>
      </c>
      <c r="N196" s="294" t="s">
        <v>136</v>
      </c>
      <c r="O196" s="299" t="s">
        <v>262</v>
      </c>
      <c r="P196" s="1" t="str">
        <f t="shared" si="59"/>
        <v/>
      </c>
      <c r="Q196" s="1" t="str">
        <f t="shared" si="59"/>
        <v/>
      </c>
      <c r="R196" s="183" t="s">
        <v>260</v>
      </c>
      <c r="S196" s="64" t="s">
        <v>261</v>
      </c>
      <c r="T196" s="21">
        <v>1</v>
      </c>
      <c r="U196" s="31" t="s">
        <v>134</v>
      </c>
      <c r="V196" s="28"/>
      <c r="W196" s="18"/>
      <c r="X196" s="22">
        <v>382.62</v>
      </c>
      <c r="Y196" s="131"/>
      <c r="Z196" s="134"/>
      <c r="AA196" s="134"/>
      <c r="AB196" s="68"/>
      <c r="AC196" s="134"/>
      <c r="AD196" s="458" t="s">
        <v>135</v>
      </c>
      <c r="AE196" s="294" t="s">
        <v>136</v>
      </c>
      <c r="AF196" s="299" t="s">
        <v>262</v>
      </c>
      <c r="AG196" s="1" t="s">
        <v>2350</v>
      </c>
      <c r="AH196" s="1" t="s">
        <v>2350</v>
      </c>
    </row>
    <row r="197" spans="1:34">
      <c r="A197" s="183" t="s">
        <v>263</v>
      </c>
      <c r="B197" s="64" t="s">
        <v>264</v>
      </c>
      <c r="C197" s="21">
        <v>1</v>
      </c>
      <c r="D197" s="31" t="s">
        <v>134</v>
      </c>
      <c r="E197" s="28"/>
      <c r="F197" s="18"/>
      <c r="G197" s="22">
        <v>411.42</v>
      </c>
      <c r="H197" s="131"/>
      <c r="I197" s="134"/>
      <c r="J197" s="134"/>
      <c r="K197" s="68"/>
      <c r="L197" s="134"/>
      <c r="M197" s="458" t="s">
        <v>135</v>
      </c>
      <c r="N197" s="294" t="s">
        <v>136</v>
      </c>
      <c r="O197" s="299" t="s">
        <v>137</v>
      </c>
      <c r="P197" s="1" t="str">
        <f t="shared" si="59"/>
        <v/>
      </c>
      <c r="Q197" s="1" t="str">
        <f t="shared" si="59"/>
        <v/>
      </c>
      <c r="R197" s="183" t="s">
        <v>263</v>
      </c>
      <c r="S197" s="64" t="s">
        <v>264</v>
      </c>
      <c r="T197" s="21">
        <v>1</v>
      </c>
      <c r="U197" s="31" t="s">
        <v>134</v>
      </c>
      <c r="V197" s="28"/>
      <c r="W197" s="18"/>
      <c r="X197" s="22">
        <v>411.42</v>
      </c>
      <c r="Y197" s="131"/>
      <c r="Z197" s="134"/>
      <c r="AA197" s="134"/>
      <c r="AB197" s="68"/>
      <c r="AC197" s="134"/>
      <c r="AD197" s="458" t="s">
        <v>135</v>
      </c>
      <c r="AE197" s="294" t="s">
        <v>136</v>
      </c>
      <c r="AF197" s="299" t="s">
        <v>137</v>
      </c>
      <c r="AG197" s="1" t="s">
        <v>2350</v>
      </c>
      <c r="AH197" s="1" t="s">
        <v>2350</v>
      </c>
    </row>
    <row r="198" spans="1:34" s="270" customFormat="1" ht="25" customHeight="1">
      <c r="A198" s="332" t="s">
        <v>2932</v>
      </c>
      <c r="B198" s="333"/>
      <c r="C198" s="334"/>
      <c r="D198" s="335"/>
      <c r="E198" s="335"/>
      <c r="F198" s="336"/>
      <c r="G198" s="337"/>
      <c r="H198" s="337"/>
      <c r="I198" s="338"/>
      <c r="J198" s="338"/>
      <c r="K198" s="337"/>
      <c r="L198" s="338"/>
      <c r="M198" s="456"/>
      <c r="N198" s="339"/>
      <c r="O198" s="338"/>
      <c r="P198" s="338"/>
      <c r="Q198" s="338"/>
      <c r="R198" s="332" t="s">
        <v>2932</v>
      </c>
      <c r="S198" s="333"/>
      <c r="T198" s="334"/>
      <c r="U198" s="335"/>
      <c r="V198" s="335"/>
      <c r="W198" s="336"/>
      <c r="X198" s="337"/>
      <c r="Y198" s="337"/>
      <c r="Z198" s="338"/>
      <c r="AA198" s="338"/>
      <c r="AB198" s="337"/>
      <c r="AC198" s="338"/>
      <c r="AD198" s="456"/>
      <c r="AE198" s="339"/>
      <c r="AF198" s="338"/>
      <c r="AG198" s="338"/>
      <c r="AH198" s="338"/>
    </row>
    <row r="199" spans="1:34" s="84" customFormat="1">
      <c r="A199" s="185" t="s">
        <v>2641</v>
      </c>
      <c r="B199" s="692" t="s">
        <v>2708</v>
      </c>
      <c r="C199" s="50">
        <v>1</v>
      </c>
      <c r="D199" s="56" t="s">
        <v>126</v>
      </c>
      <c r="E199" s="57">
        <v>579.98</v>
      </c>
      <c r="F199" s="61">
        <v>0.16500000000000001</v>
      </c>
      <c r="G199" s="65">
        <f t="shared" ref="G199:G205" si="60">E199-(E199*F199)</f>
        <v>484.2833</v>
      </c>
      <c r="H199" s="65" t="s">
        <v>266</v>
      </c>
      <c r="I199" s="58">
        <v>57.6</v>
      </c>
      <c r="J199" s="58">
        <f>G199+I199</f>
        <v>541.88329999999996</v>
      </c>
      <c r="K199" s="58" t="s">
        <v>128</v>
      </c>
      <c r="L199" s="58">
        <v>2.52</v>
      </c>
      <c r="M199" s="457" t="s">
        <v>267</v>
      </c>
      <c r="N199" s="307" t="s">
        <v>268</v>
      </c>
      <c r="O199" s="308" t="s">
        <v>269</v>
      </c>
      <c r="P199" s="84">
        <f t="shared" ref="P199:Q200" si="61">+IF($J199&lt;&gt;"",P$2*$J199,"")</f>
        <v>109.08584829914622</v>
      </c>
      <c r="Q199" s="84">
        <f t="shared" si="61"/>
        <v>56.692619924471678</v>
      </c>
      <c r="R199" s="185" t="s">
        <v>2641</v>
      </c>
      <c r="S199" s="692" t="s">
        <v>2708</v>
      </c>
      <c r="T199" s="50">
        <v>1</v>
      </c>
      <c r="U199" s="56" t="s">
        <v>126</v>
      </c>
      <c r="V199" s="57">
        <v>581.9</v>
      </c>
      <c r="W199" s="61">
        <v>0.16500000000000001</v>
      </c>
      <c r="X199" s="65">
        <v>485.88649999999996</v>
      </c>
      <c r="Y199" s="65" t="s">
        <v>266</v>
      </c>
      <c r="Z199" s="58">
        <v>57.6</v>
      </c>
      <c r="AA199" s="58">
        <v>543.48649999999998</v>
      </c>
      <c r="AB199" s="58" t="s">
        <v>128</v>
      </c>
      <c r="AC199" s="58">
        <v>0.6</v>
      </c>
      <c r="AD199" s="457" t="s">
        <v>267</v>
      </c>
      <c r="AE199" s="307" t="s">
        <v>268</v>
      </c>
      <c r="AF199" s="308" t="s">
        <v>269</v>
      </c>
      <c r="AG199" s="84">
        <v>109.40858648279793</v>
      </c>
      <c r="AH199" s="84">
        <v>56.860349043016043</v>
      </c>
    </row>
    <row r="200" spans="1:34">
      <c r="A200" s="199" t="s">
        <v>2649</v>
      </c>
      <c r="B200" s="310" t="s">
        <v>2643</v>
      </c>
      <c r="C200" s="198">
        <v>1</v>
      </c>
      <c r="D200" s="62" t="s">
        <v>126</v>
      </c>
      <c r="E200" s="186">
        <v>191.67</v>
      </c>
      <c r="F200" s="234">
        <f t="shared" ref="F200:F205" si="62">rv_mm_eg_cto</f>
        <v>0.16500000000000001</v>
      </c>
      <c r="G200" s="79">
        <f t="shared" ref="G200" si="63">E200-(E200*F200)</f>
        <v>160.04444999999998</v>
      </c>
      <c r="H200" s="59"/>
      <c r="I200" s="134"/>
      <c r="J200" s="134"/>
      <c r="K200" s="68"/>
      <c r="L200" s="134"/>
      <c r="M200" s="458" t="s">
        <v>267</v>
      </c>
      <c r="N200" s="293" t="s">
        <v>268</v>
      </c>
      <c r="O200" s="297" t="s">
        <v>269</v>
      </c>
      <c r="P200" s="1" t="str">
        <f t="shared" si="61"/>
        <v/>
      </c>
      <c r="Q200" s="1" t="str">
        <f t="shared" si="61"/>
        <v/>
      </c>
      <c r="R200" s="199" t="s">
        <v>2649</v>
      </c>
      <c r="S200" s="310" t="s">
        <v>2643</v>
      </c>
      <c r="T200" s="198">
        <v>1</v>
      </c>
      <c r="U200" s="62" t="s">
        <v>126</v>
      </c>
      <c r="V200" s="186">
        <v>191.67</v>
      </c>
      <c r="W200" s="234">
        <v>0.16500000000000001</v>
      </c>
      <c r="X200" s="79">
        <v>160.04444999999998</v>
      </c>
      <c r="Y200" s="59"/>
      <c r="Z200" s="134"/>
      <c r="AA200" s="134"/>
      <c r="AB200" s="68"/>
      <c r="AC200" s="134"/>
      <c r="AD200" s="458" t="s">
        <v>267</v>
      </c>
      <c r="AE200" s="293" t="s">
        <v>268</v>
      </c>
      <c r="AF200" s="297" t="s">
        <v>269</v>
      </c>
      <c r="AG200" s="1" t="s">
        <v>2350</v>
      </c>
      <c r="AH200" s="1" t="s">
        <v>2350</v>
      </c>
    </row>
    <row r="201" spans="1:34">
      <c r="A201" s="199" t="s">
        <v>2650</v>
      </c>
      <c r="B201" s="310" t="s">
        <v>2644</v>
      </c>
      <c r="C201" s="198">
        <v>1</v>
      </c>
      <c r="D201" s="62" t="s">
        <v>126</v>
      </c>
      <c r="E201" s="186">
        <v>383.33</v>
      </c>
      <c r="F201" s="234">
        <f t="shared" si="62"/>
        <v>0.16500000000000001</v>
      </c>
      <c r="G201" s="79">
        <f t="shared" ref="G201" si="64">E201-(E201*F201)</f>
        <v>320.08054999999996</v>
      </c>
      <c r="H201" s="59"/>
      <c r="I201" s="134"/>
      <c r="J201" s="134"/>
      <c r="K201" s="68"/>
      <c r="L201" s="134"/>
      <c r="M201" s="458" t="s">
        <v>267</v>
      </c>
      <c r="N201" s="293" t="s">
        <v>268</v>
      </c>
      <c r="O201" s="297" t="s">
        <v>269</v>
      </c>
      <c r="P201" s="1"/>
      <c r="Q201" s="1"/>
      <c r="R201" s="199" t="s">
        <v>2650</v>
      </c>
      <c r="S201" s="310" t="s">
        <v>2644</v>
      </c>
      <c r="T201" s="198">
        <v>1</v>
      </c>
      <c r="U201" s="62" t="s">
        <v>126</v>
      </c>
      <c r="V201" s="186">
        <v>383.33</v>
      </c>
      <c r="W201" s="234">
        <v>0.16500000000000001</v>
      </c>
      <c r="X201" s="79">
        <v>320.08054999999996</v>
      </c>
      <c r="Y201" s="59"/>
      <c r="Z201" s="134"/>
      <c r="AA201" s="134"/>
      <c r="AB201" s="68"/>
      <c r="AC201" s="134"/>
      <c r="AD201" s="458" t="s">
        <v>267</v>
      </c>
      <c r="AE201" s="293" t="s">
        <v>268</v>
      </c>
      <c r="AF201" s="297" t="s">
        <v>269</v>
      </c>
      <c r="AG201" s="1"/>
      <c r="AH201" s="1"/>
    </row>
    <row r="202" spans="1:34">
      <c r="A202" s="199" t="s">
        <v>2651</v>
      </c>
      <c r="B202" s="197" t="s">
        <v>2645</v>
      </c>
      <c r="C202" s="198">
        <v>1</v>
      </c>
      <c r="D202" s="62" t="s">
        <v>126</v>
      </c>
      <c r="E202" s="186">
        <v>191.67</v>
      </c>
      <c r="F202" s="234">
        <f t="shared" si="62"/>
        <v>0.16500000000000001</v>
      </c>
      <c r="G202" s="79">
        <f t="shared" si="60"/>
        <v>160.04444999999998</v>
      </c>
      <c r="H202" s="59"/>
      <c r="I202" s="134"/>
      <c r="J202" s="134"/>
      <c r="K202" s="68"/>
      <c r="L202" s="134"/>
      <c r="M202" s="458" t="s">
        <v>267</v>
      </c>
      <c r="N202" s="293" t="s">
        <v>268</v>
      </c>
      <c r="O202" s="297" t="s">
        <v>269</v>
      </c>
      <c r="P202" s="1" t="str">
        <f t="shared" ref="P202:Q214" si="65">+IF($J202&lt;&gt;"",P$2*$J202,"")</f>
        <v/>
      </c>
      <c r="Q202" s="1" t="str">
        <f t="shared" si="65"/>
        <v/>
      </c>
      <c r="R202" s="199" t="s">
        <v>2651</v>
      </c>
      <c r="S202" s="197" t="s">
        <v>2645</v>
      </c>
      <c r="T202" s="198">
        <v>1</v>
      </c>
      <c r="U202" s="62" t="s">
        <v>126</v>
      </c>
      <c r="V202" s="186">
        <v>191.67</v>
      </c>
      <c r="W202" s="234">
        <v>0.16500000000000001</v>
      </c>
      <c r="X202" s="79">
        <v>160.04444999999998</v>
      </c>
      <c r="Y202" s="59"/>
      <c r="Z202" s="134"/>
      <c r="AA202" s="134"/>
      <c r="AB202" s="68"/>
      <c r="AC202" s="134"/>
      <c r="AD202" s="458" t="s">
        <v>267</v>
      </c>
      <c r="AE202" s="293" t="s">
        <v>268</v>
      </c>
      <c r="AF202" s="297" t="s">
        <v>269</v>
      </c>
      <c r="AG202" s="1" t="s">
        <v>2350</v>
      </c>
      <c r="AH202" s="1" t="s">
        <v>2350</v>
      </c>
    </row>
    <row r="203" spans="1:34">
      <c r="A203" s="199" t="s">
        <v>2652</v>
      </c>
      <c r="B203" s="197" t="s">
        <v>2646</v>
      </c>
      <c r="C203" s="198">
        <v>1</v>
      </c>
      <c r="D203" s="62" t="s">
        <v>126</v>
      </c>
      <c r="E203" s="186">
        <v>383.33</v>
      </c>
      <c r="F203" s="234">
        <f t="shared" si="62"/>
        <v>0.16500000000000001</v>
      </c>
      <c r="G203" s="79">
        <f t="shared" si="60"/>
        <v>320.08054999999996</v>
      </c>
      <c r="H203" s="59"/>
      <c r="I203" s="134"/>
      <c r="J203" s="134"/>
      <c r="K203" s="68"/>
      <c r="L203" s="134"/>
      <c r="M203" s="458" t="s">
        <v>267</v>
      </c>
      <c r="N203" s="293" t="s">
        <v>268</v>
      </c>
      <c r="O203" s="297" t="s">
        <v>269</v>
      </c>
      <c r="P203" s="1" t="str">
        <f t="shared" si="65"/>
        <v/>
      </c>
      <c r="Q203" s="1" t="str">
        <f t="shared" si="65"/>
        <v/>
      </c>
      <c r="R203" s="199" t="s">
        <v>2652</v>
      </c>
      <c r="S203" s="197" t="s">
        <v>2646</v>
      </c>
      <c r="T203" s="198">
        <v>1</v>
      </c>
      <c r="U203" s="62" t="s">
        <v>126</v>
      </c>
      <c r="V203" s="186">
        <v>383.33</v>
      </c>
      <c r="W203" s="234">
        <v>0.16500000000000001</v>
      </c>
      <c r="X203" s="79">
        <v>320.08054999999996</v>
      </c>
      <c r="Y203" s="59"/>
      <c r="Z203" s="134"/>
      <c r="AA203" s="134"/>
      <c r="AB203" s="68"/>
      <c r="AC203" s="134"/>
      <c r="AD203" s="458" t="s">
        <v>267</v>
      </c>
      <c r="AE203" s="293" t="s">
        <v>268</v>
      </c>
      <c r="AF203" s="297" t="s">
        <v>269</v>
      </c>
      <c r="AG203" s="1" t="s">
        <v>2350</v>
      </c>
      <c r="AH203" s="1" t="s">
        <v>2350</v>
      </c>
    </row>
    <row r="204" spans="1:34">
      <c r="A204" s="199" t="s">
        <v>2653</v>
      </c>
      <c r="B204" s="197" t="s">
        <v>2647</v>
      </c>
      <c r="C204" s="198">
        <v>1</v>
      </c>
      <c r="D204" s="62" t="s">
        <v>126</v>
      </c>
      <c r="E204" s="186">
        <v>766.67</v>
      </c>
      <c r="F204" s="234">
        <f t="shared" si="62"/>
        <v>0.16500000000000001</v>
      </c>
      <c r="G204" s="79">
        <f t="shared" si="60"/>
        <v>640.16944999999998</v>
      </c>
      <c r="H204" s="59"/>
      <c r="I204" s="134"/>
      <c r="J204" s="134"/>
      <c r="K204" s="68"/>
      <c r="L204" s="134"/>
      <c r="M204" s="458" t="s">
        <v>267</v>
      </c>
      <c r="N204" s="293" t="s">
        <v>268</v>
      </c>
      <c r="O204" s="297" t="s">
        <v>269</v>
      </c>
      <c r="P204" s="1" t="str">
        <f t="shared" si="65"/>
        <v/>
      </c>
      <c r="Q204" s="1" t="str">
        <f t="shared" si="65"/>
        <v/>
      </c>
      <c r="R204" s="199" t="s">
        <v>2653</v>
      </c>
      <c r="S204" s="197" t="s">
        <v>2647</v>
      </c>
      <c r="T204" s="198">
        <v>1</v>
      </c>
      <c r="U204" s="62" t="s">
        <v>126</v>
      </c>
      <c r="V204" s="186">
        <v>766.67</v>
      </c>
      <c r="W204" s="234">
        <v>0.16500000000000001</v>
      </c>
      <c r="X204" s="79">
        <v>640.16944999999998</v>
      </c>
      <c r="Y204" s="59"/>
      <c r="Z204" s="134"/>
      <c r="AA204" s="134"/>
      <c r="AB204" s="68"/>
      <c r="AC204" s="134"/>
      <c r="AD204" s="458" t="s">
        <v>267</v>
      </c>
      <c r="AE204" s="293" t="s">
        <v>268</v>
      </c>
      <c r="AF204" s="297" t="s">
        <v>269</v>
      </c>
      <c r="AG204" s="1" t="s">
        <v>2350</v>
      </c>
      <c r="AH204" s="1" t="s">
        <v>2350</v>
      </c>
    </row>
    <row r="205" spans="1:34">
      <c r="A205" s="199" t="s">
        <v>2654</v>
      </c>
      <c r="B205" s="197" t="s">
        <v>2648</v>
      </c>
      <c r="C205" s="198">
        <v>1</v>
      </c>
      <c r="D205" s="62" t="s">
        <v>126</v>
      </c>
      <c r="E205" s="186">
        <v>95.832999999999998</v>
      </c>
      <c r="F205" s="234">
        <f t="shared" si="62"/>
        <v>0.16500000000000001</v>
      </c>
      <c r="G205" s="79">
        <f t="shared" si="60"/>
        <v>80.020555000000002</v>
      </c>
      <c r="H205" s="59"/>
      <c r="I205" s="134"/>
      <c r="J205" s="134"/>
      <c r="K205" s="68"/>
      <c r="L205" s="134"/>
      <c r="M205" s="458" t="s">
        <v>267</v>
      </c>
      <c r="N205" s="293" t="s">
        <v>268</v>
      </c>
      <c r="O205" s="297" t="s">
        <v>269</v>
      </c>
      <c r="P205" s="1" t="str">
        <f t="shared" si="65"/>
        <v/>
      </c>
      <c r="Q205" s="1" t="str">
        <f t="shared" si="65"/>
        <v/>
      </c>
      <c r="R205" s="199" t="s">
        <v>2654</v>
      </c>
      <c r="S205" s="197" t="s">
        <v>2648</v>
      </c>
      <c r="T205" s="198">
        <v>1</v>
      </c>
      <c r="U205" s="62" t="s">
        <v>126</v>
      </c>
      <c r="V205" s="186">
        <v>95.832999999999998</v>
      </c>
      <c r="W205" s="234">
        <v>0.16500000000000001</v>
      </c>
      <c r="X205" s="79">
        <v>80.020555000000002</v>
      </c>
      <c r="Y205" s="59"/>
      <c r="Z205" s="134"/>
      <c r="AA205" s="134"/>
      <c r="AB205" s="68"/>
      <c r="AC205" s="134"/>
      <c r="AD205" s="458" t="s">
        <v>267</v>
      </c>
      <c r="AE205" s="293" t="s">
        <v>268</v>
      </c>
      <c r="AF205" s="297" t="s">
        <v>269</v>
      </c>
      <c r="AG205" s="1" t="s">
        <v>2350</v>
      </c>
      <c r="AH205" s="1" t="s">
        <v>2350</v>
      </c>
    </row>
    <row r="206" spans="1:34" s="84" customFormat="1">
      <c r="A206" s="698" t="s">
        <v>2642</v>
      </c>
      <c r="B206" s="49" t="s">
        <v>2709</v>
      </c>
      <c r="C206" s="699">
        <v>1</v>
      </c>
      <c r="D206" s="60" t="s">
        <v>126</v>
      </c>
      <c r="E206" s="57">
        <v>1371.65</v>
      </c>
      <c r="F206" s="61">
        <f>rv_mm_hg</f>
        <v>0.16500000000000001</v>
      </c>
      <c r="G206" s="65">
        <f t="shared" ref="G206:G214" si="66">E206-(E206*F206)</f>
        <v>1145.3277500000002</v>
      </c>
      <c r="H206" s="65" t="s">
        <v>266</v>
      </c>
      <c r="I206" s="58">
        <f>mm_5pl</f>
        <v>57.6</v>
      </c>
      <c r="J206" s="58">
        <f>G206+I206</f>
        <v>1202.9277500000001</v>
      </c>
      <c r="K206" s="58" t="s">
        <v>128</v>
      </c>
      <c r="L206" s="58">
        <v>2.52</v>
      </c>
      <c r="M206" s="457" t="s">
        <v>270</v>
      </c>
      <c r="N206" s="305" t="s">
        <v>268</v>
      </c>
      <c r="O206" s="306" t="s">
        <v>269</v>
      </c>
      <c r="P206" s="84">
        <f t="shared" si="65"/>
        <v>242.15987843015887</v>
      </c>
      <c r="Q206" s="84">
        <f t="shared" si="65"/>
        <v>125.85205288177342</v>
      </c>
      <c r="R206" s="698" t="s">
        <v>2642</v>
      </c>
      <c r="S206" s="49" t="s">
        <v>2709</v>
      </c>
      <c r="T206" s="699">
        <v>1</v>
      </c>
      <c r="U206" s="60" t="s">
        <v>126</v>
      </c>
      <c r="V206" s="57">
        <v>1373.57</v>
      </c>
      <c r="W206" s="61">
        <v>0.16500000000000001</v>
      </c>
      <c r="X206" s="65">
        <v>1146.9309499999999</v>
      </c>
      <c r="Y206" s="65" t="s">
        <v>266</v>
      </c>
      <c r="Z206" s="58">
        <v>57.6</v>
      </c>
      <c r="AA206" s="58">
        <v>1204.5309499999998</v>
      </c>
      <c r="AB206" s="58" t="s">
        <v>128</v>
      </c>
      <c r="AC206" s="58">
        <v>0.6</v>
      </c>
      <c r="AD206" s="457" t="s">
        <v>270</v>
      </c>
      <c r="AE206" s="305" t="s">
        <v>268</v>
      </c>
      <c r="AF206" s="306" t="s">
        <v>269</v>
      </c>
      <c r="AG206" s="84">
        <v>242.48261661381054</v>
      </c>
      <c r="AH206" s="84">
        <v>126.01978200031776</v>
      </c>
    </row>
    <row r="207" spans="1:34">
      <c r="A207" s="199" t="s">
        <v>2663</v>
      </c>
      <c r="B207" s="197" t="s">
        <v>2655</v>
      </c>
      <c r="C207" s="198">
        <v>1</v>
      </c>
      <c r="D207" s="62" t="s">
        <v>126</v>
      </c>
      <c r="E207" s="186">
        <v>191.67</v>
      </c>
      <c r="F207" s="234">
        <f t="shared" ref="F207:F214" si="67">rv_mm_hg_cto</f>
        <v>0.16500000000000001</v>
      </c>
      <c r="G207" s="79">
        <f t="shared" si="66"/>
        <v>160.04444999999998</v>
      </c>
      <c r="H207" s="59"/>
      <c r="I207" s="134"/>
      <c r="J207" s="134"/>
      <c r="K207" s="68"/>
      <c r="L207" s="134"/>
      <c r="M207" s="458" t="s">
        <v>270</v>
      </c>
      <c r="N207" s="293" t="s">
        <v>268</v>
      </c>
      <c r="O207" s="297" t="s">
        <v>269</v>
      </c>
      <c r="P207" s="1" t="str">
        <f t="shared" si="65"/>
        <v/>
      </c>
      <c r="Q207" s="1" t="str">
        <f t="shared" si="65"/>
        <v/>
      </c>
      <c r="R207" s="199" t="s">
        <v>2663</v>
      </c>
      <c r="S207" s="197" t="s">
        <v>2655</v>
      </c>
      <c r="T207" s="198">
        <v>1</v>
      </c>
      <c r="U207" s="62" t="s">
        <v>126</v>
      </c>
      <c r="V207" s="186">
        <v>191.67</v>
      </c>
      <c r="W207" s="234">
        <v>0.16500000000000001</v>
      </c>
      <c r="X207" s="79">
        <v>160.04444999999998</v>
      </c>
      <c r="Y207" s="59"/>
      <c r="Z207" s="134"/>
      <c r="AA207" s="134"/>
      <c r="AB207" s="68"/>
      <c r="AC207" s="134"/>
      <c r="AD207" s="458" t="s">
        <v>270</v>
      </c>
      <c r="AE207" s="293" t="s">
        <v>268</v>
      </c>
      <c r="AF207" s="297" t="s">
        <v>269</v>
      </c>
      <c r="AG207" s="1" t="s">
        <v>2350</v>
      </c>
      <c r="AH207" s="1" t="s">
        <v>2350</v>
      </c>
    </row>
    <row r="208" spans="1:34">
      <c r="A208" s="199" t="s">
        <v>2664</v>
      </c>
      <c r="B208" s="197" t="s">
        <v>2661</v>
      </c>
      <c r="C208" s="198">
        <v>1</v>
      </c>
      <c r="D208" s="62" t="s">
        <v>126</v>
      </c>
      <c r="E208" s="186">
        <v>383.33</v>
      </c>
      <c r="F208" s="234">
        <f t="shared" si="67"/>
        <v>0.16500000000000001</v>
      </c>
      <c r="G208" s="79">
        <f t="shared" si="66"/>
        <v>320.08054999999996</v>
      </c>
      <c r="H208" s="59"/>
      <c r="I208" s="134"/>
      <c r="J208" s="134"/>
      <c r="K208" s="68"/>
      <c r="L208" s="134"/>
      <c r="M208" s="458" t="s">
        <v>270</v>
      </c>
      <c r="N208" s="293" t="s">
        <v>268</v>
      </c>
      <c r="O208" s="297" t="s">
        <v>269</v>
      </c>
      <c r="P208" s="1" t="str">
        <f t="shared" si="65"/>
        <v/>
      </c>
      <c r="Q208" s="1" t="str">
        <f t="shared" si="65"/>
        <v/>
      </c>
      <c r="R208" s="199" t="s">
        <v>2664</v>
      </c>
      <c r="S208" s="197" t="s">
        <v>2661</v>
      </c>
      <c r="T208" s="198">
        <v>1</v>
      </c>
      <c r="U208" s="62" t="s">
        <v>126</v>
      </c>
      <c r="V208" s="186">
        <v>383.33</v>
      </c>
      <c r="W208" s="234">
        <v>0.16500000000000001</v>
      </c>
      <c r="X208" s="79">
        <v>320.08054999999996</v>
      </c>
      <c r="Y208" s="59"/>
      <c r="Z208" s="134"/>
      <c r="AA208" s="134"/>
      <c r="AB208" s="68"/>
      <c r="AC208" s="134"/>
      <c r="AD208" s="458" t="s">
        <v>270</v>
      </c>
      <c r="AE208" s="293" t="s">
        <v>268</v>
      </c>
      <c r="AF208" s="297" t="s">
        <v>269</v>
      </c>
      <c r="AG208" s="1" t="s">
        <v>2350</v>
      </c>
      <c r="AH208" s="1" t="s">
        <v>2350</v>
      </c>
    </row>
    <row r="209" spans="1:34">
      <c r="A209" s="199" t="s">
        <v>2665</v>
      </c>
      <c r="B209" s="197" t="s">
        <v>2662</v>
      </c>
      <c r="C209" s="198">
        <v>1</v>
      </c>
      <c r="D209" s="62" t="s">
        <v>126</v>
      </c>
      <c r="E209" s="186">
        <v>575</v>
      </c>
      <c r="F209" s="234">
        <f t="shared" si="67"/>
        <v>0.16500000000000001</v>
      </c>
      <c r="G209" s="79">
        <f t="shared" ref="G209" si="68">E209-(E209*F209)</f>
        <v>480.125</v>
      </c>
      <c r="H209" s="59"/>
      <c r="I209" s="134"/>
      <c r="J209" s="134"/>
      <c r="K209" s="68"/>
      <c r="L209" s="134"/>
      <c r="M209" s="458" t="s">
        <v>270</v>
      </c>
      <c r="N209" s="293" t="s">
        <v>268</v>
      </c>
      <c r="O209" s="297" t="s">
        <v>269</v>
      </c>
      <c r="P209" s="1" t="str">
        <f t="shared" si="65"/>
        <v/>
      </c>
      <c r="Q209" s="1" t="str">
        <f t="shared" si="65"/>
        <v/>
      </c>
      <c r="R209" s="199" t="s">
        <v>2665</v>
      </c>
      <c r="S209" s="197" t="s">
        <v>2662</v>
      </c>
      <c r="T209" s="198">
        <v>1</v>
      </c>
      <c r="U209" s="62" t="s">
        <v>126</v>
      </c>
      <c r="V209" s="186">
        <v>575</v>
      </c>
      <c r="W209" s="234">
        <v>0.16500000000000001</v>
      </c>
      <c r="X209" s="79">
        <v>480.125</v>
      </c>
      <c r="Y209" s="59"/>
      <c r="Z209" s="134"/>
      <c r="AA209" s="134"/>
      <c r="AB209" s="68"/>
      <c r="AC209" s="134"/>
      <c r="AD209" s="458" t="s">
        <v>270</v>
      </c>
      <c r="AE209" s="293" t="s">
        <v>268</v>
      </c>
      <c r="AF209" s="297" t="s">
        <v>269</v>
      </c>
      <c r="AG209" s="1" t="s">
        <v>2350</v>
      </c>
      <c r="AH209" s="1" t="s">
        <v>2350</v>
      </c>
    </row>
    <row r="210" spans="1:34">
      <c r="A210" s="199" t="s">
        <v>2666</v>
      </c>
      <c r="B210" s="197" t="s">
        <v>2656</v>
      </c>
      <c r="C210" s="198">
        <v>1</v>
      </c>
      <c r="D210" s="62" t="s">
        <v>126</v>
      </c>
      <c r="E210" s="186">
        <v>191.67</v>
      </c>
      <c r="F210" s="234">
        <f t="shared" si="67"/>
        <v>0.16500000000000001</v>
      </c>
      <c r="G210" s="79">
        <f t="shared" si="66"/>
        <v>160.04444999999998</v>
      </c>
      <c r="H210" s="59"/>
      <c r="I210" s="134"/>
      <c r="J210" s="134"/>
      <c r="K210" s="68"/>
      <c r="L210" s="134"/>
      <c r="M210" s="458" t="s">
        <v>270</v>
      </c>
      <c r="N210" s="293" t="s">
        <v>268</v>
      </c>
      <c r="O210" s="297" t="s">
        <v>269</v>
      </c>
      <c r="P210" s="1" t="str">
        <f t="shared" si="65"/>
        <v/>
      </c>
      <c r="Q210" s="1" t="str">
        <f t="shared" si="65"/>
        <v/>
      </c>
      <c r="R210" s="199" t="s">
        <v>2666</v>
      </c>
      <c r="S210" s="197" t="s">
        <v>2656</v>
      </c>
      <c r="T210" s="198">
        <v>1</v>
      </c>
      <c r="U210" s="62" t="s">
        <v>126</v>
      </c>
      <c r="V210" s="186">
        <v>191.67</v>
      </c>
      <c r="W210" s="234">
        <v>0.16500000000000001</v>
      </c>
      <c r="X210" s="79">
        <v>160.04444999999998</v>
      </c>
      <c r="Y210" s="59"/>
      <c r="Z210" s="134"/>
      <c r="AA210" s="134"/>
      <c r="AB210" s="68"/>
      <c r="AC210" s="134"/>
      <c r="AD210" s="458" t="s">
        <v>270</v>
      </c>
      <c r="AE210" s="293" t="s">
        <v>268</v>
      </c>
      <c r="AF210" s="297" t="s">
        <v>269</v>
      </c>
      <c r="AG210" s="1" t="s">
        <v>2350</v>
      </c>
      <c r="AH210" s="1" t="s">
        <v>2350</v>
      </c>
    </row>
    <row r="211" spans="1:34">
      <c r="A211" s="199" t="s">
        <v>2868</v>
      </c>
      <c r="B211" s="197" t="s">
        <v>2657</v>
      </c>
      <c r="C211" s="198">
        <v>1</v>
      </c>
      <c r="D211" s="62" t="s">
        <v>126</v>
      </c>
      <c r="E211" s="186">
        <v>575</v>
      </c>
      <c r="F211" s="234">
        <f t="shared" si="67"/>
        <v>0.16500000000000001</v>
      </c>
      <c r="G211" s="79">
        <f t="shared" si="66"/>
        <v>480.125</v>
      </c>
      <c r="H211" s="59"/>
      <c r="I211" s="134"/>
      <c r="J211" s="134"/>
      <c r="K211" s="68"/>
      <c r="L211" s="134"/>
      <c r="M211" s="458" t="s">
        <v>270</v>
      </c>
      <c r="N211" s="293" t="s">
        <v>268</v>
      </c>
      <c r="O211" s="297" t="s">
        <v>269</v>
      </c>
      <c r="P211" s="1" t="str">
        <f t="shared" si="65"/>
        <v/>
      </c>
      <c r="Q211" s="1" t="str">
        <f t="shared" si="65"/>
        <v/>
      </c>
      <c r="R211" s="199" t="s">
        <v>2868</v>
      </c>
      <c r="S211" s="197" t="s">
        <v>2657</v>
      </c>
      <c r="T211" s="198">
        <v>1</v>
      </c>
      <c r="U211" s="62" t="s">
        <v>126</v>
      </c>
      <c r="V211" s="186">
        <v>575</v>
      </c>
      <c r="W211" s="234">
        <v>0.16500000000000001</v>
      </c>
      <c r="X211" s="79">
        <v>480.125</v>
      </c>
      <c r="Y211" s="59"/>
      <c r="Z211" s="134"/>
      <c r="AA211" s="134"/>
      <c r="AB211" s="68"/>
      <c r="AC211" s="134"/>
      <c r="AD211" s="458" t="s">
        <v>270</v>
      </c>
      <c r="AE211" s="293" t="s">
        <v>268</v>
      </c>
      <c r="AF211" s="297" t="s">
        <v>269</v>
      </c>
      <c r="AG211" s="1" t="s">
        <v>2350</v>
      </c>
      <c r="AH211" s="1" t="s">
        <v>2350</v>
      </c>
    </row>
    <row r="212" spans="1:34">
      <c r="A212" s="199" t="s">
        <v>2667</v>
      </c>
      <c r="B212" s="197" t="s">
        <v>2658</v>
      </c>
      <c r="C212" s="198">
        <v>1</v>
      </c>
      <c r="D212" s="62" t="s">
        <v>126</v>
      </c>
      <c r="E212" s="186">
        <v>1150</v>
      </c>
      <c r="F212" s="234">
        <f t="shared" si="67"/>
        <v>0.16500000000000001</v>
      </c>
      <c r="G212" s="79">
        <f t="shared" si="66"/>
        <v>960.25</v>
      </c>
      <c r="H212" s="59"/>
      <c r="I212" s="134"/>
      <c r="J212" s="134"/>
      <c r="K212" s="68"/>
      <c r="L212" s="134"/>
      <c r="M212" s="458" t="s">
        <v>270</v>
      </c>
      <c r="N212" s="293" t="s">
        <v>268</v>
      </c>
      <c r="O212" s="297" t="s">
        <v>269</v>
      </c>
      <c r="P212" s="1" t="str">
        <f t="shared" si="65"/>
        <v/>
      </c>
      <c r="Q212" s="1" t="str">
        <f t="shared" si="65"/>
        <v/>
      </c>
      <c r="R212" s="199" t="s">
        <v>2667</v>
      </c>
      <c r="S212" s="197" t="s">
        <v>2658</v>
      </c>
      <c r="T212" s="198">
        <v>1</v>
      </c>
      <c r="U212" s="62" t="s">
        <v>126</v>
      </c>
      <c r="V212" s="186">
        <v>1150</v>
      </c>
      <c r="W212" s="234">
        <v>0.16500000000000001</v>
      </c>
      <c r="X212" s="79">
        <v>960.25</v>
      </c>
      <c r="Y212" s="59"/>
      <c r="Z212" s="134"/>
      <c r="AA212" s="134"/>
      <c r="AB212" s="68"/>
      <c r="AC212" s="134"/>
      <c r="AD212" s="458" t="s">
        <v>270</v>
      </c>
      <c r="AE212" s="293" t="s">
        <v>268</v>
      </c>
      <c r="AF212" s="297" t="s">
        <v>269</v>
      </c>
      <c r="AG212" s="1" t="s">
        <v>2350</v>
      </c>
      <c r="AH212" s="1" t="s">
        <v>2350</v>
      </c>
    </row>
    <row r="213" spans="1:34">
      <c r="A213" s="199" t="s">
        <v>2668</v>
      </c>
      <c r="B213" s="197" t="s">
        <v>2659</v>
      </c>
      <c r="C213" s="198">
        <v>1</v>
      </c>
      <c r="D213" s="62" t="s">
        <v>126</v>
      </c>
      <c r="E213" s="186">
        <v>2300</v>
      </c>
      <c r="F213" s="234">
        <f t="shared" si="67"/>
        <v>0.16500000000000001</v>
      </c>
      <c r="G213" s="79">
        <f t="shared" si="66"/>
        <v>1920.5</v>
      </c>
      <c r="H213" s="59"/>
      <c r="I213" s="134"/>
      <c r="J213" s="134"/>
      <c r="K213" s="68"/>
      <c r="L213" s="134"/>
      <c r="M213" s="458" t="s">
        <v>270</v>
      </c>
      <c r="N213" s="293" t="s">
        <v>268</v>
      </c>
      <c r="O213" s="297" t="s">
        <v>269</v>
      </c>
      <c r="P213" s="1" t="str">
        <f t="shared" si="65"/>
        <v/>
      </c>
      <c r="Q213" s="1" t="str">
        <f t="shared" si="65"/>
        <v/>
      </c>
      <c r="R213" s="199" t="s">
        <v>2668</v>
      </c>
      <c r="S213" s="197" t="s">
        <v>2659</v>
      </c>
      <c r="T213" s="198">
        <v>1</v>
      </c>
      <c r="U213" s="62" t="s">
        <v>126</v>
      </c>
      <c r="V213" s="186">
        <v>2300</v>
      </c>
      <c r="W213" s="234">
        <v>0.16500000000000001</v>
      </c>
      <c r="X213" s="79">
        <v>1920.5</v>
      </c>
      <c r="Y213" s="59"/>
      <c r="Z213" s="134"/>
      <c r="AA213" s="134"/>
      <c r="AB213" s="68"/>
      <c r="AC213" s="134"/>
      <c r="AD213" s="458" t="s">
        <v>270</v>
      </c>
      <c r="AE213" s="293" t="s">
        <v>268</v>
      </c>
      <c r="AF213" s="297" t="s">
        <v>269</v>
      </c>
      <c r="AG213" s="1" t="s">
        <v>2350</v>
      </c>
      <c r="AH213" s="1" t="s">
        <v>2350</v>
      </c>
    </row>
    <row r="214" spans="1:34">
      <c r="A214" s="199" t="s">
        <v>2669</v>
      </c>
      <c r="B214" s="197" t="s">
        <v>2660</v>
      </c>
      <c r="C214" s="198">
        <v>1</v>
      </c>
      <c r="D214" s="62" t="s">
        <v>126</v>
      </c>
      <c r="E214" s="186">
        <v>95.83</v>
      </c>
      <c r="F214" s="234">
        <f t="shared" si="67"/>
        <v>0.16500000000000001</v>
      </c>
      <c r="G214" s="79">
        <f t="shared" si="66"/>
        <v>80.018050000000002</v>
      </c>
      <c r="H214" s="59"/>
      <c r="I214" s="134"/>
      <c r="J214" s="134"/>
      <c r="K214" s="68"/>
      <c r="L214" s="134"/>
      <c r="M214" s="458" t="s">
        <v>270</v>
      </c>
      <c r="N214" s="293" t="s">
        <v>268</v>
      </c>
      <c r="O214" s="297" t="s">
        <v>269</v>
      </c>
      <c r="P214" s="1" t="str">
        <f t="shared" si="65"/>
        <v/>
      </c>
      <c r="Q214" s="1" t="str">
        <f t="shared" si="65"/>
        <v/>
      </c>
      <c r="R214" s="199" t="s">
        <v>2669</v>
      </c>
      <c r="S214" s="197" t="s">
        <v>2660</v>
      </c>
      <c r="T214" s="198">
        <v>1</v>
      </c>
      <c r="U214" s="62" t="s">
        <v>126</v>
      </c>
      <c r="V214" s="186">
        <v>95.83</v>
      </c>
      <c r="W214" s="234">
        <v>0.16500000000000001</v>
      </c>
      <c r="X214" s="79">
        <v>80.018050000000002</v>
      </c>
      <c r="Y214" s="59"/>
      <c r="Z214" s="134"/>
      <c r="AA214" s="134"/>
      <c r="AB214" s="68"/>
      <c r="AC214" s="134"/>
      <c r="AD214" s="458" t="s">
        <v>270</v>
      </c>
      <c r="AE214" s="293" t="s">
        <v>268</v>
      </c>
      <c r="AF214" s="297" t="s">
        <v>269</v>
      </c>
      <c r="AG214" s="1" t="s">
        <v>2350</v>
      </c>
      <c r="AH214" s="1" t="s">
        <v>2350</v>
      </c>
    </row>
    <row r="215" spans="1:34" s="72" customFormat="1">
      <c r="A215" s="191" t="s">
        <v>266</v>
      </c>
      <c r="B215" s="53" t="s">
        <v>271</v>
      </c>
      <c r="C215" s="54">
        <v>1</v>
      </c>
      <c r="D215" s="66" t="s">
        <v>134</v>
      </c>
      <c r="E215" s="231">
        <v>68.98</v>
      </c>
      <c r="F215" s="98">
        <v>0.16500000000000001</v>
      </c>
      <c r="G215" s="63">
        <f>E215-(E215*F215)</f>
        <v>57.598300000000002</v>
      </c>
      <c r="H215" s="79"/>
      <c r="I215" s="71"/>
      <c r="J215" s="71"/>
      <c r="K215" s="13"/>
      <c r="L215" s="52"/>
      <c r="M215" s="458" t="s">
        <v>135</v>
      </c>
      <c r="N215" s="293" t="s">
        <v>136</v>
      </c>
      <c r="O215" s="297" t="s">
        <v>272</v>
      </c>
      <c r="P215" s="1" t="str">
        <f t="shared" ref="P215:Q293" si="69">+IF($J215&lt;&gt;"",P$2*$J215,"")</f>
        <v/>
      </c>
      <c r="Q215" s="1" t="str">
        <f t="shared" si="69"/>
        <v/>
      </c>
      <c r="R215" s="191" t="s">
        <v>266</v>
      </c>
      <c r="S215" s="53" t="s">
        <v>271</v>
      </c>
      <c r="T215" s="54">
        <v>1</v>
      </c>
      <c r="U215" s="66" t="s">
        <v>134</v>
      </c>
      <c r="V215" s="231">
        <v>68.98</v>
      </c>
      <c r="W215" s="98">
        <v>0.16500000000000001</v>
      </c>
      <c r="X215" s="63">
        <v>57.598300000000002</v>
      </c>
      <c r="Y215" s="79"/>
      <c r="Z215" s="71"/>
      <c r="AA215" s="71"/>
      <c r="AB215" s="13"/>
      <c r="AC215" s="52"/>
      <c r="AD215" s="458" t="s">
        <v>135</v>
      </c>
      <c r="AE215" s="293" t="s">
        <v>136</v>
      </c>
      <c r="AF215" s="297" t="s">
        <v>272</v>
      </c>
      <c r="AG215" s="1" t="s">
        <v>2350</v>
      </c>
      <c r="AH215" s="1" t="s">
        <v>2350</v>
      </c>
    </row>
    <row r="216" spans="1:34">
      <c r="A216" s="183" t="s">
        <v>273</v>
      </c>
      <c r="B216" s="64" t="s">
        <v>274</v>
      </c>
      <c r="C216" s="21">
        <v>1</v>
      </c>
      <c r="D216" s="27" t="s">
        <v>134</v>
      </c>
      <c r="E216" s="28"/>
      <c r="F216" s="18"/>
      <c r="G216" s="79">
        <v>9</v>
      </c>
      <c r="H216" s="79"/>
      <c r="I216" s="52"/>
      <c r="J216" s="52"/>
      <c r="K216" s="13"/>
      <c r="L216" s="52"/>
      <c r="M216" s="458" t="s">
        <v>135</v>
      </c>
      <c r="N216" s="293" t="s">
        <v>136</v>
      </c>
      <c r="O216" s="297" t="s">
        <v>272</v>
      </c>
      <c r="P216" s="1" t="str">
        <f t="shared" si="69"/>
        <v/>
      </c>
      <c r="Q216" s="1" t="str">
        <f t="shared" si="69"/>
        <v/>
      </c>
      <c r="R216" s="183" t="s">
        <v>273</v>
      </c>
      <c r="S216" s="64" t="s">
        <v>274</v>
      </c>
      <c r="T216" s="21">
        <v>1</v>
      </c>
      <c r="U216" s="27" t="s">
        <v>134</v>
      </c>
      <c r="V216" s="28"/>
      <c r="W216" s="18"/>
      <c r="X216" s="79">
        <v>9</v>
      </c>
      <c r="Y216" s="79"/>
      <c r="Z216" s="52"/>
      <c r="AA216" s="52"/>
      <c r="AB216" s="13"/>
      <c r="AC216" s="52"/>
      <c r="AD216" s="458" t="s">
        <v>135</v>
      </c>
      <c r="AE216" s="293" t="s">
        <v>136</v>
      </c>
      <c r="AF216" s="297" t="s">
        <v>272</v>
      </c>
      <c r="AG216" s="1" t="s">
        <v>2350</v>
      </c>
      <c r="AH216" s="1" t="s">
        <v>2350</v>
      </c>
    </row>
    <row r="217" spans="1:34">
      <c r="A217" s="183" t="s">
        <v>275</v>
      </c>
      <c r="B217" s="64" t="s">
        <v>276</v>
      </c>
      <c r="C217" s="21">
        <v>1</v>
      </c>
      <c r="D217" s="27" t="s">
        <v>134</v>
      </c>
      <c r="E217" s="28"/>
      <c r="F217" s="18"/>
      <c r="G217" s="79">
        <v>14</v>
      </c>
      <c r="H217" s="79"/>
      <c r="I217" s="52"/>
      <c r="J217" s="52"/>
      <c r="K217" s="13"/>
      <c r="L217" s="52"/>
      <c r="M217" s="458" t="s">
        <v>135</v>
      </c>
      <c r="N217" s="293" t="s">
        <v>136</v>
      </c>
      <c r="O217" s="297" t="s">
        <v>272</v>
      </c>
      <c r="P217" s="1" t="str">
        <f t="shared" si="69"/>
        <v/>
      </c>
      <c r="Q217" s="1" t="str">
        <f t="shared" si="69"/>
        <v/>
      </c>
      <c r="R217" s="183" t="s">
        <v>275</v>
      </c>
      <c r="S217" s="64" t="s">
        <v>276</v>
      </c>
      <c r="T217" s="21">
        <v>1</v>
      </c>
      <c r="U217" s="27" t="s">
        <v>134</v>
      </c>
      <c r="V217" s="28"/>
      <c r="W217" s="18"/>
      <c r="X217" s="79">
        <v>14</v>
      </c>
      <c r="Y217" s="79"/>
      <c r="Z217" s="52"/>
      <c r="AA217" s="52"/>
      <c r="AB217" s="13"/>
      <c r="AC217" s="52"/>
      <c r="AD217" s="458" t="s">
        <v>135</v>
      </c>
      <c r="AE217" s="293" t="s">
        <v>136</v>
      </c>
      <c r="AF217" s="297" t="s">
        <v>272</v>
      </c>
      <c r="AG217" s="1" t="s">
        <v>2350</v>
      </c>
      <c r="AH217" s="1" t="s">
        <v>2350</v>
      </c>
    </row>
    <row r="218" spans="1:34">
      <c r="A218" s="183" t="s">
        <v>277</v>
      </c>
      <c r="B218" s="64" t="s">
        <v>278</v>
      </c>
      <c r="C218" s="21">
        <v>1</v>
      </c>
      <c r="D218" s="27" t="s">
        <v>134</v>
      </c>
      <c r="E218" s="28"/>
      <c r="F218" s="18"/>
      <c r="G218" s="79">
        <v>19</v>
      </c>
      <c r="H218" s="79"/>
      <c r="I218" s="52"/>
      <c r="J218" s="52"/>
      <c r="K218" s="13"/>
      <c r="L218" s="52"/>
      <c r="M218" s="458" t="s">
        <v>135</v>
      </c>
      <c r="N218" s="293" t="s">
        <v>136</v>
      </c>
      <c r="O218" s="297" t="s">
        <v>272</v>
      </c>
      <c r="P218" s="1" t="str">
        <f t="shared" si="69"/>
        <v/>
      </c>
      <c r="Q218" s="1" t="str">
        <f t="shared" si="69"/>
        <v/>
      </c>
      <c r="R218" s="183" t="s">
        <v>277</v>
      </c>
      <c r="S218" s="64" t="s">
        <v>278</v>
      </c>
      <c r="T218" s="21">
        <v>1</v>
      </c>
      <c r="U218" s="27" t="s">
        <v>134</v>
      </c>
      <c r="V218" s="28"/>
      <c r="W218" s="18"/>
      <c r="X218" s="79">
        <v>19</v>
      </c>
      <c r="Y218" s="79"/>
      <c r="Z218" s="52"/>
      <c r="AA218" s="52"/>
      <c r="AB218" s="13"/>
      <c r="AC218" s="52"/>
      <c r="AD218" s="458" t="s">
        <v>135</v>
      </c>
      <c r="AE218" s="293" t="s">
        <v>136</v>
      </c>
      <c r="AF218" s="297" t="s">
        <v>272</v>
      </c>
      <c r="AG218" s="1" t="s">
        <v>2350</v>
      </c>
      <c r="AH218" s="1" t="s">
        <v>2350</v>
      </c>
    </row>
    <row r="219" spans="1:34">
      <c r="A219" s="183" t="s">
        <v>279</v>
      </c>
      <c r="B219" s="64" t="s">
        <v>280</v>
      </c>
      <c r="C219" s="21">
        <v>1</v>
      </c>
      <c r="D219" s="27" t="s">
        <v>134</v>
      </c>
      <c r="E219" s="28"/>
      <c r="F219" s="18"/>
      <c r="G219" s="79">
        <v>21</v>
      </c>
      <c r="H219" s="79"/>
      <c r="I219" s="52"/>
      <c r="J219" s="52"/>
      <c r="K219" s="13"/>
      <c r="L219" s="52"/>
      <c r="M219" s="458" t="s">
        <v>135</v>
      </c>
      <c r="N219" s="293" t="s">
        <v>136</v>
      </c>
      <c r="O219" s="297" t="s">
        <v>272</v>
      </c>
      <c r="P219" s="1" t="str">
        <f t="shared" si="69"/>
        <v/>
      </c>
      <c r="Q219" s="1" t="str">
        <f t="shared" si="69"/>
        <v/>
      </c>
      <c r="R219" s="183" t="s">
        <v>279</v>
      </c>
      <c r="S219" s="64" t="s">
        <v>280</v>
      </c>
      <c r="T219" s="21">
        <v>1</v>
      </c>
      <c r="U219" s="27" t="s">
        <v>134</v>
      </c>
      <c r="V219" s="28"/>
      <c r="W219" s="18"/>
      <c r="X219" s="79">
        <v>21</v>
      </c>
      <c r="Y219" s="79"/>
      <c r="Z219" s="52"/>
      <c r="AA219" s="52"/>
      <c r="AB219" s="13"/>
      <c r="AC219" s="52"/>
      <c r="AD219" s="458" t="s">
        <v>135</v>
      </c>
      <c r="AE219" s="293" t="s">
        <v>136</v>
      </c>
      <c r="AF219" s="297" t="s">
        <v>272</v>
      </c>
      <c r="AG219" s="1" t="s">
        <v>2350</v>
      </c>
      <c r="AH219" s="1" t="s">
        <v>2350</v>
      </c>
    </row>
    <row r="220" spans="1:34">
      <c r="A220" s="183" t="s">
        <v>281</v>
      </c>
      <c r="B220" s="64" t="s">
        <v>282</v>
      </c>
      <c r="C220" s="21">
        <v>1</v>
      </c>
      <c r="D220" s="27" t="s">
        <v>134</v>
      </c>
      <c r="E220" s="28"/>
      <c r="F220" s="18"/>
      <c r="G220" s="79">
        <v>24</v>
      </c>
      <c r="H220" s="79"/>
      <c r="I220" s="52"/>
      <c r="J220" s="52"/>
      <c r="K220" s="13"/>
      <c r="L220" s="52"/>
      <c r="M220" s="458" t="s">
        <v>135</v>
      </c>
      <c r="N220" s="293" t="s">
        <v>136</v>
      </c>
      <c r="O220" s="297" t="s">
        <v>272</v>
      </c>
      <c r="P220" s="1" t="str">
        <f t="shared" si="69"/>
        <v/>
      </c>
      <c r="Q220" s="1" t="str">
        <f t="shared" si="69"/>
        <v/>
      </c>
      <c r="R220" s="183" t="s">
        <v>281</v>
      </c>
      <c r="S220" s="64" t="s">
        <v>282</v>
      </c>
      <c r="T220" s="21">
        <v>1</v>
      </c>
      <c r="U220" s="27" t="s">
        <v>134</v>
      </c>
      <c r="V220" s="28"/>
      <c r="W220" s="18"/>
      <c r="X220" s="79">
        <v>24</v>
      </c>
      <c r="Y220" s="79"/>
      <c r="Z220" s="52"/>
      <c r="AA220" s="52"/>
      <c r="AB220" s="13"/>
      <c r="AC220" s="52"/>
      <c r="AD220" s="458" t="s">
        <v>135</v>
      </c>
      <c r="AE220" s="293" t="s">
        <v>136</v>
      </c>
      <c r="AF220" s="297" t="s">
        <v>272</v>
      </c>
      <c r="AG220" s="1" t="s">
        <v>2350</v>
      </c>
      <c r="AH220" s="1" t="s">
        <v>2350</v>
      </c>
    </row>
    <row r="221" spans="1:34">
      <c r="A221" s="183" t="s">
        <v>283</v>
      </c>
      <c r="B221" s="64" t="s">
        <v>284</v>
      </c>
      <c r="C221" s="21">
        <v>1</v>
      </c>
      <c r="D221" s="27" t="s">
        <v>134</v>
      </c>
      <c r="E221" s="28"/>
      <c r="F221" s="18"/>
      <c r="G221" s="79">
        <v>55</v>
      </c>
      <c r="H221" s="79"/>
      <c r="I221" s="52"/>
      <c r="J221" s="52"/>
      <c r="K221" s="13"/>
      <c r="L221" s="52"/>
      <c r="M221" s="458" t="s">
        <v>135</v>
      </c>
      <c r="N221" s="293" t="s">
        <v>136</v>
      </c>
      <c r="O221" s="297" t="s">
        <v>272</v>
      </c>
      <c r="P221" s="1" t="str">
        <f t="shared" si="69"/>
        <v/>
      </c>
      <c r="Q221" s="1" t="str">
        <f t="shared" si="69"/>
        <v/>
      </c>
      <c r="R221" s="183" t="s">
        <v>283</v>
      </c>
      <c r="S221" s="64" t="s">
        <v>284</v>
      </c>
      <c r="T221" s="21">
        <v>1</v>
      </c>
      <c r="U221" s="27" t="s">
        <v>134</v>
      </c>
      <c r="V221" s="28"/>
      <c r="W221" s="18"/>
      <c r="X221" s="79">
        <v>55</v>
      </c>
      <c r="Y221" s="79"/>
      <c r="Z221" s="52"/>
      <c r="AA221" s="52"/>
      <c r="AB221" s="13"/>
      <c r="AC221" s="52"/>
      <c r="AD221" s="458" t="s">
        <v>135</v>
      </c>
      <c r="AE221" s="293" t="s">
        <v>136</v>
      </c>
      <c r="AF221" s="297" t="s">
        <v>272</v>
      </c>
      <c r="AG221" s="1" t="s">
        <v>2350</v>
      </c>
      <c r="AH221" s="1" t="s">
        <v>2350</v>
      </c>
    </row>
    <row r="222" spans="1:34">
      <c r="A222" s="183" t="s">
        <v>285</v>
      </c>
      <c r="B222" s="64" t="s">
        <v>286</v>
      </c>
      <c r="C222" s="21">
        <v>1</v>
      </c>
      <c r="D222" s="27" t="s">
        <v>134</v>
      </c>
      <c r="E222" s="28"/>
      <c r="F222" s="18"/>
      <c r="G222" s="79">
        <v>60</v>
      </c>
      <c r="H222" s="79"/>
      <c r="I222" s="52"/>
      <c r="J222" s="52"/>
      <c r="K222" s="13"/>
      <c r="L222" s="52"/>
      <c r="M222" s="458" t="s">
        <v>135</v>
      </c>
      <c r="N222" s="293" t="s">
        <v>136</v>
      </c>
      <c r="O222" s="297" t="s">
        <v>272</v>
      </c>
      <c r="P222" s="1" t="str">
        <f t="shared" si="69"/>
        <v/>
      </c>
      <c r="Q222" s="1" t="str">
        <f t="shared" si="69"/>
        <v/>
      </c>
      <c r="R222" s="183" t="s">
        <v>285</v>
      </c>
      <c r="S222" s="64" t="s">
        <v>286</v>
      </c>
      <c r="T222" s="21">
        <v>1</v>
      </c>
      <c r="U222" s="27" t="s">
        <v>134</v>
      </c>
      <c r="V222" s="28"/>
      <c r="W222" s="18"/>
      <c r="X222" s="79">
        <v>60</v>
      </c>
      <c r="Y222" s="79"/>
      <c r="Z222" s="52"/>
      <c r="AA222" s="52"/>
      <c r="AB222" s="13"/>
      <c r="AC222" s="52"/>
      <c r="AD222" s="458" t="s">
        <v>135</v>
      </c>
      <c r="AE222" s="293" t="s">
        <v>136</v>
      </c>
      <c r="AF222" s="297" t="s">
        <v>272</v>
      </c>
      <c r="AG222" s="1" t="s">
        <v>2350</v>
      </c>
      <c r="AH222" s="1" t="s">
        <v>2350</v>
      </c>
    </row>
    <row r="223" spans="1:34">
      <c r="A223" s="183" t="s">
        <v>287</v>
      </c>
      <c r="B223" s="64" t="s">
        <v>288</v>
      </c>
      <c r="C223" s="21">
        <v>1</v>
      </c>
      <c r="D223" s="27" t="s">
        <v>134</v>
      </c>
      <c r="E223" s="28"/>
      <c r="F223" s="18"/>
      <c r="G223" s="79">
        <v>39</v>
      </c>
      <c r="H223" s="79"/>
      <c r="I223" s="52"/>
      <c r="J223" s="52"/>
      <c r="K223" s="13"/>
      <c r="L223" s="52"/>
      <c r="M223" s="458" t="s">
        <v>135</v>
      </c>
      <c r="N223" s="293" t="s">
        <v>136</v>
      </c>
      <c r="O223" s="297" t="s">
        <v>272</v>
      </c>
      <c r="P223" s="1" t="str">
        <f t="shared" si="69"/>
        <v/>
      </c>
      <c r="Q223" s="1" t="str">
        <f t="shared" si="69"/>
        <v/>
      </c>
      <c r="R223" s="183" t="s">
        <v>287</v>
      </c>
      <c r="S223" s="64" t="s">
        <v>288</v>
      </c>
      <c r="T223" s="21">
        <v>1</v>
      </c>
      <c r="U223" s="27" t="s">
        <v>134</v>
      </c>
      <c r="V223" s="28"/>
      <c r="W223" s="18"/>
      <c r="X223" s="79">
        <v>39</v>
      </c>
      <c r="Y223" s="79"/>
      <c r="Z223" s="52"/>
      <c r="AA223" s="52"/>
      <c r="AB223" s="13"/>
      <c r="AC223" s="52"/>
      <c r="AD223" s="458" t="s">
        <v>135</v>
      </c>
      <c r="AE223" s="293" t="s">
        <v>136</v>
      </c>
      <c r="AF223" s="297" t="s">
        <v>272</v>
      </c>
      <c r="AG223" s="1" t="s">
        <v>2350</v>
      </c>
      <c r="AH223" s="1" t="s">
        <v>2350</v>
      </c>
    </row>
    <row r="224" spans="1:34">
      <c r="A224" s="183" t="s">
        <v>289</v>
      </c>
      <c r="B224" s="64" t="s">
        <v>290</v>
      </c>
      <c r="C224" s="21">
        <v>1</v>
      </c>
      <c r="D224" s="27" t="s">
        <v>134</v>
      </c>
      <c r="E224" s="28"/>
      <c r="F224" s="18"/>
      <c r="G224" s="79">
        <v>45</v>
      </c>
      <c r="H224" s="79"/>
      <c r="I224" s="52"/>
      <c r="J224" s="52"/>
      <c r="K224" s="13"/>
      <c r="L224" s="52"/>
      <c r="M224" s="458" t="s">
        <v>135</v>
      </c>
      <c r="N224" s="293" t="s">
        <v>136</v>
      </c>
      <c r="O224" s="297" t="s">
        <v>272</v>
      </c>
      <c r="P224" s="1" t="str">
        <f t="shared" si="69"/>
        <v/>
      </c>
      <c r="Q224" s="1" t="str">
        <f t="shared" si="69"/>
        <v/>
      </c>
      <c r="R224" s="183" t="s">
        <v>289</v>
      </c>
      <c r="S224" s="64" t="s">
        <v>290</v>
      </c>
      <c r="T224" s="21">
        <v>1</v>
      </c>
      <c r="U224" s="27" t="s">
        <v>134</v>
      </c>
      <c r="V224" s="28"/>
      <c r="W224" s="18"/>
      <c r="X224" s="79">
        <v>45</v>
      </c>
      <c r="Y224" s="79"/>
      <c r="Z224" s="52"/>
      <c r="AA224" s="52"/>
      <c r="AB224" s="13"/>
      <c r="AC224" s="52"/>
      <c r="AD224" s="458" t="s">
        <v>135</v>
      </c>
      <c r="AE224" s="293" t="s">
        <v>136</v>
      </c>
      <c r="AF224" s="297" t="s">
        <v>272</v>
      </c>
      <c r="AG224" s="1" t="s">
        <v>2350</v>
      </c>
      <c r="AH224" s="1" t="s">
        <v>2350</v>
      </c>
    </row>
    <row r="225" spans="1:34">
      <c r="A225" s="183" t="s">
        <v>291</v>
      </c>
      <c r="B225" s="64" t="s">
        <v>292</v>
      </c>
      <c r="C225" s="21">
        <v>1</v>
      </c>
      <c r="D225" s="27" t="s">
        <v>134</v>
      </c>
      <c r="E225" s="28"/>
      <c r="F225" s="18"/>
      <c r="G225" s="79">
        <v>55</v>
      </c>
      <c r="H225" s="79"/>
      <c r="I225" s="52"/>
      <c r="J225" s="52"/>
      <c r="K225" s="13"/>
      <c r="L225" s="52"/>
      <c r="M225" s="458" t="s">
        <v>135</v>
      </c>
      <c r="N225" s="293" t="s">
        <v>136</v>
      </c>
      <c r="O225" s="297" t="s">
        <v>272</v>
      </c>
      <c r="P225" s="1" t="str">
        <f t="shared" si="69"/>
        <v/>
      </c>
      <c r="Q225" s="1" t="str">
        <f t="shared" si="69"/>
        <v/>
      </c>
      <c r="R225" s="183" t="s">
        <v>291</v>
      </c>
      <c r="S225" s="64" t="s">
        <v>292</v>
      </c>
      <c r="T225" s="21">
        <v>1</v>
      </c>
      <c r="U225" s="27" t="s">
        <v>134</v>
      </c>
      <c r="V225" s="28"/>
      <c r="W225" s="18"/>
      <c r="X225" s="79">
        <v>55</v>
      </c>
      <c r="Y225" s="79"/>
      <c r="Z225" s="52"/>
      <c r="AA225" s="52"/>
      <c r="AB225" s="13"/>
      <c r="AC225" s="52"/>
      <c r="AD225" s="458" t="s">
        <v>135</v>
      </c>
      <c r="AE225" s="293" t="s">
        <v>136</v>
      </c>
      <c r="AF225" s="297" t="s">
        <v>272</v>
      </c>
      <c r="AG225" s="1" t="s">
        <v>2350</v>
      </c>
      <c r="AH225" s="1" t="s">
        <v>2350</v>
      </c>
    </row>
    <row r="226" spans="1:34">
      <c r="A226" s="183" t="s">
        <v>293</v>
      </c>
      <c r="B226" s="64" t="s">
        <v>294</v>
      </c>
      <c r="C226" s="21">
        <v>1</v>
      </c>
      <c r="D226" s="27" t="s">
        <v>134</v>
      </c>
      <c r="E226" s="28"/>
      <c r="F226" s="18"/>
      <c r="G226" s="79">
        <v>62</v>
      </c>
      <c r="H226" s="79"/>
      <c r="I226" s="52"/>
      <c r="J226" s="52"/>
      <c r="K226" s="13"/>
      <c r="L226" s="52"/>
      <c r="M226" s="458" t="s">
        <v>135</v>
      </c>
      <c r="N226" s="293" t="s">
        <v>136</v>
      </c>
      <c r="O226" s="297" t="s">
        <v>272</v>
      </c>
      <c r="P226" s="1" t="str">
        <f t="shared" si="69"/>
        <v/>
      </c>
      <c r="Q226" s="1" t="str">
        <f t="shared" si="69"/>
        <v/>
      </c>
      <c r="R226" s="183" t="s">
        <v>293</v>
      </c>
      <c r="S226" s="64" t="s">
        <v>294</v>
      </c>
      <c r="T226" s="21">
        <v>1</v>
      </c>
      <c r="U226" s="27" t="s">
        <v>134</v>
      </c>
      <c r="V226" s="28"/>
      <c r="W226" s="18"/>
      <c r="X226" s="79">
        <v>62</v>
      </c>
      <c r="Y226" s="79"/>
      <c r="Z226" s="52"/>
      <c r="AA226" s="52"/>
      <c r="AB226" s="13"/>
      <c r="AC226" s="52"/>
      <c r="AD226" s="458" t="s">
        <v>135</v>
      </c>
      <c r="AE226" s="293" t="s">
        <v>136</v>
      </c>
      <c r="AF226" s="297" t="s">
        <v>272</v>
      </c>
      <c r="AG226" s="1" t="s">
        <v>2350</v>
      </c>
      <c r="AH226" s="1" t="s">
        <v>2350</v>
      </c>
    </row>
    <row r="227" spans="1:34" s="70" customFormat="1">
      <c r="A227" s="192" t="s">
        <v>295</v>
      </c>
      <c r="B227" s="291" t="s">
        <v>296</v>
      </c>
      <c r="C227" s="89">
        <v>1</v>
      </c>
      <c r="D227" s="31" t="s">
        <v>134</v>
      </c>
      <c r="E227" s="32"/>
      <c r="F227" s="35"/>
      <c r="G227" s="91">
        <v>215</v>
      </c>
      <c r="H227" s="91"/>
      <c r="I227" s="90"/>
      <c r="J227" s="90"/>
      <c r="K227" s="32"/>
      <c r="L227" s="90"/>
      <c r="M227" s="458" t="s">
        <v>135</v>
      </c>
      <c r="N227" s="293" t="s">
        <v>136</v>
      </c>
      <c r="O227" s="298" t="s">
        <v>272</v>
      </c>
      <c r="P227" s="1" t="str">
        <f t="shared" si="69"/>
        <v/>
      </c>
      <c r="Q227" s="1" t="str">
        <f t="shared" si="69"/>
        <v/>
      </c>
      <c r="R227" s="192" t="s">
        <v>295</v>
      </c>
      <c r="S227" s="291" t="s">
        <v>296</v>
      </c>
      <c r="T227" s="89">
        <v>1</v>
      </c>
      <c r="U227" s="31" t="s">
        <v>134</v>
      </c>
      <c r="V227" s="32"/>
      <c r="W227" s="35"/>
      <c r="X227" s="91">
        <v>215</v>
      </c>
      <c r="Y227" s="91"/>
      <c r="Z227" s="90"/>
      <c r="AA227" s="90"/>
      <c r="AB227" s="32"/>
      <c r="AC227" s="90"/>
      <c r="AD227" s="458" t="s">
        <v>135</v>
      </c>
      <c r="AE227" s="293" t="s">
        <v>136</v>
      </c>
      <c r="AF227" s="298" t="s">
        <v>272</v>
      </c>
      <c r="AG227" s="1" t="s">
        <v>2350</v>
      </c>
      <c r="AH227" s="1" t="s">
        <v>2350</v>
      </c>
    </row>
    <row r="228" spans="1:34">
      <c r="A228" s="193" t="s">
        <v>297</v>
      </c>
      <c r="B228" s="64" t="s">
        <v>298</v>
      </c>
      <c r="C228" s="21">
        <v>1</v>
      </c>
      <c r="D228" s="27" t="s">
        <v>134</v>
      </c>
      <c r="E228" s="28"/>
      <c r="F228" s="18"/>
      <c r="G228" s="79">
        <v>294</v>
      </c>
      <c r="H228" s="79"/>
      <c r="I228" s="52"/>
      <c r="J228" s="52"/>
      <c r="K228" s="13"/>
      <c r="L228" s="52"/>
      <c r="M228" s="458" t="s">
        <v>135</v>
      </c>
      <c r="N228" s="293" t="s">
        <v>136</v>
      </c>
      <c r="O228" s="297" t="s">
        <v>272</v>
      </c>
      <c r="P228" s="1" t="str">
        <f t="shared" si="69"/>
        <v/>
      </c>
      <c r="Q228" s="1" t="str">
        <f t="shared" si="69"/>
        <v/>
      </c>
      <c r="R228" s="193" t="s">
        <v>297</v>
      </c>
      <c r="S228" s="64" t="s">
        <v>298</v>
      </c>
      <c r="T228" s="21">
        <v>1</v>
      </c>
      <c r="U228" s="27" t="s">
        <v>134</v>
      </c>
      <c r="V228" s="28"/>
      <c r="W228" s="18"/>
      <c r="X228" s="79">
        <v>294</v>
      </c>
      <c r="Y228" s="79"/>
      <c r="Z228" s="52"/>
      <c r="AA228" s="52"/>
      <c r="AB228" s="13"/>
      <c r="AC228" s="52"/>
      <c r="AD228" s="458" t="s">
        <v>135</v>
      </c>
      <c r="AE228" s="293" t="s">
        <v>136</v>
      </c>
      <c r="AF228" s="297" t="s">
        <v>272</v>
      </c>
      <c r="AG228" s="1" t="s">
        <v>2350</v>
      </c>
      <c r="AH228" s="1" t="s">
        <v>2350</v>
      </c>
    </row>
    <row r="229" spans="1:34">
      <c r="A229" s="183" t="s">
        <v>299</v>
      </c>
      <c r="B229" s="64" t="s">
        <v>300</v>
      </c>
      <c r="C229" s="21">
        <v>1</v>
      </c>
      <c r="D229" s="27" t="s">
        <v>134</v>
      </c>
      <c r="E229" s="28"/>
      <c r="F229" s="18"/>
      <c r="G229" s="22">
        <v>277.22000000000003</v>
      </c>
      <c r="H229" s="79"/>
      <c r="I229" s="52"/>
      <c r="J229" s="52"/>
      <c r="K229" s="13"/>
      <c r="L229" s="52"/>
      <c r="M229" s="458" t="s">
        <v>135</v>
      </c>
      <c r="N229" s="293" t="s">
        <v>136</v>
      </c>
      <c r="O229" s="297" t="s">
        <v>137</v>
      </c>
      <c r="P229" s="1" t="str">
        <f t="shared" si="69"/>
        <v/>
      </c>
      <c r="Q229" s="1" t="str">
        <f t="shared" si="69"/>
        <v/>
      </c>
      <c r="R229" s="183" t="s">
        <v>299</v>
      </c>
      <c r="S229" s="64" t="s">
        <v>300</v>
      </c>
      <c r="T229" s="21">
        <v>1</v>
      </c>
      <c r="U229" s="27" t="s">
        <v>134</v>
      </c>
      <c r="V229" s="28"/>
      <c r="W229" s="18"/>
      <c r="X229" s="22">
        <v>277.22000000000003</v>
      </c>
      <c r="Y229" s="79"/>
      <c r="Z229" s="52"/>
      <c r="AA229" s="52"/>
      <c r="AB229" s="13"/>
      <c r="AC229" s="52"/>
      <c r="AD229" s="458" t="s">
        <v>135</v>
      </c>
      <c r="AE229" s="293" t="s">
        <v>136</v>
      </c>
      <c r="AF229" s="297" t="s">
        <v>137</v>
      </c>
      <c r="AG229" s="1" t="s">
        <v>2350</v>
      </c>
      <c r="AH229" s="1" t="s">
        <v>2350</v>
      </c>
    </row>
    <row r="230" spans="1:34" s="270" customFormat="1" ht="25" customHeight="1">
      <c r="A230" s="332" t="s">
        <v>2933</v>
      </c>
      <c r="B230" s="393" t="s">
        <v>301</v>
      </c>
      <c r="C230" s="334"/>
      <c r="D230" s="335"/>
      <c r="E230" s="335"/>
      <c r="F230" s="336"/>
      <c r="G230" s="337"/>
      <c r="H230" s="337"/>
      <c r="I230" s="338"/>
      <c r="J230" s="338"/>
      <c r="K230" s="337"/>
      <c r="L230" s="338"/>
      <c r="M230" s="456"/>
      <c r="N230" s="339"/>
      <c r="O230" s="338"/>
      <c r="P230" s="338"/>
      <c r="Q230" s="338"/>
      <c r="R230" s="332" t="s">
        <v>2933</v>
      </c>
      <c r="S230" s="393" t="s">
        <v>301</v>
      </c>
      <c r="T230" s="334"/>
      <c r="U230" s="335"/>
      <c r="V230" s="335"/>
      <c r="W230" s="336"/>
      <c r="X230" s="337"/>
      <c r="Y230" s="337"/>
      <c r="Z230" s="338"/>
      <c r="AA230" s="338"/>
      <c r="AB230" s="337"/>
      <c r="AC230" s="338"/>
      <c r="AD230" s="456"/>
      <c r="AE230" s="339"/>
      <c r="AF230" s="338"/>
      <c r="AG230" s="338"/>
      <c r="AH230" s="338"/>
    </row>
    <row r="231" spans="1:34" s="84" customFormat="1">
      <c r="A231" s="753" t="s">
        <v>2542</v>
      </c>
      <c r="B231" s="695" t="s">
        <v>2687</v>
      </c>
      <c r="C231" s="696">
        <v>1</v>
      </c>
      <c r="D231" s="408" t="s">
        <v>126</v>
      </c>
      <c r="E231" s="406">
        <v>1246</v>
      </c>
      <c r="F231" s="697">
        <f>rv_im21_hg</f>
        <v>0.17199999999999999</v>
      </c>
      <c r="G231" s="408">
        <f t="shared" ref="G231:G242" si="70">E231-(E231*F231)</f>
        <v>1031.6880000000001</v>
      </c>
      <c r="H231" s="696" t="s">
        <v>303</v>
      </c>
      <c r="I231" s="406">
        <v>65.88</v>
      </c>
      <c r="J231" s="406">
        <f>G231+I231</f>
        <v>1097.5680000000002</v>
      </c>
      <c r="K231" s="406" t="s">
        <v>128</v>
      </c>
      <c r="L231" s="406">
        <v>3.17</v>
      </c>
      <c r="M231" s="457" t="s">
        <v>304</v>
      </c>
      <c r="N231" s="312" t="s">
        <v>268</v>
      </c>
      <c r="O231" s="674" t="s">
        <v>269</v>
      </c>
      <c r="P231" s="675">
        <f t="shared" ref="P231:Q246" si="71">+IF($J231&lt;&gt;"",P$2*$J231,"")</f>
        <v>220.95003914310951</v>
      </c>
      <c r="Q231" s="675">
        <f t="shared" si="71"/>
        <v>114.82916241423669</v>
      </c>
      <c r="R231" s="753" t="s">
        <v>2542</v>
      </c>
      <c r="S231" s="695" t="s">
        <v>2687</v>
      </c>
      <c r="T231" s="696">
        <v>1</v>
      </c>
      <c r="U231" s="408" t="s">
        <v>126</v>
      </c>
      <c r="V231" s="406">
        <v>1247.75</v>
      </c>
      <c r="W231" s="697">
        <v>0.17199999999999999</v>
      </c>
      <c r="X231" s="408">
        <v>1033.1369999999999</v>
      </c>
      <c r="Y231" s="696" t="s">
        <v>303</v>
      </c>
      <c r="Z231" s="406">
        <v>65.88</v>
      </c>
      <c r="AA231" s="406">
        <v>1099.0169999999998</v>
      </c>
      <c r="AB231" s="406" t="s">
        <v>128</v>
      </c>
      <c r="AC231" s="406">
        <v>1.42</v>
      </c>
      <c r="AD231" s="457" t="s">
        <v>304</v>
      </c>
      <c r="AE231" s="312" t="s">
        <v>268</v>
      </c>
      <c r="AF231" s="674" t="s">
        <v>269</v>
      </c>
      <c r="AG231" s="675">
        <v>221.24173551792936</v>
      </c>
      <c r="AH231" s="675">
        <v>114.98075890423839</v>
      </c>
    </row>
    <row r="232" spans="1:34">
      <c r="A232" s="221" t="s">
        <v>2564</v>
      </c>
      <c r="B232" s="348" t="s">
        <v>2561</v>
      </c>
      <c r="C232" s="703">
        <v>1</v>
      </c>
      <c r="D232" s="681" t="s">
        <v>126</v>
      </c>
      <c r="E232" s="679">
        <v>191.67</v>
      </c>
      <c r="F232" s="680">
        <f t="shared" ref="F232:F236" si="72">rv_im21_hg_cto</f>
        <v>0.17199999999999999</v>
      </c>
      <c r="G232" s="681">
        <f t="shared" ref="G232" si="73">E232-(E232*F232)</f>
        <v>158.70275999999998</v>
      </c>
      <c r="H232" s="676"/>
      <c r="I232" s="678"/>
      <c r="J232" s="678"/>
      <c r="K232" s="677"/>
      <c r="L232" s="678"/>
      <c r="M232" s="458" t="s">
        <v>304</v>
      </c>
      <c r="N232" s="293" t="s">
        <v>268</v>
      </c>
      <c r="O232" s="298" t="s">
        <v>269</v>
      </c>
      <c r="P232" s="70" t="str">
        <f t="shared" si="71"/>
        <v/>
      </c>
      <c r="Q232" s="70" t="str">
        <f t="shared" si="71"/>
        <v/>
      </c>
      <c r="R232" s="221" t="s">
        <v>2564</v>
      </c>
      <c r="S232" s="348" t="s">
        <v>2561</v>
      </c>
      <c r="T232" s="703">
        <v>1</v>
      </c>
      <c r="U232" s="681" t="s">
        <v>126</v>
      </c>
      <c r="V232" s="679">
        <v>191.67</v>
      </c>
      <c r="W232" s="680">
        <v>0.17199999999999999</v>
      </c>
      <c r="X232" s="681">
        <v>158.70275999999998</v>
      </c>
      <c r="Y232" s="676"/>
      <c r="Z232" s="678"/>
      <c r="AA232" s="678"/>
      <c r="AB232" s="677"/>
      <c r="AC232" s="678"/>
      <c r="AD232" s="458" t="s">
        <v>304</v>
      </c>
      <c r="AE232" s="293" t="s">
        <v>268</v>
      </c>
      <c r="AF232" s="298" t="s">
        <v>269</v>
      </c>
      <c r="AG232" s="70" t="s">
        <v>2350</v>
      </c>
      <c r="AH232" s="70" t="s">
        <v>2350</v>
      </c>
    </row>
    <row r="233" spans="1:34">
      <c r="A233" s="221" t="s">
        <v>2869</v>
      </c>
      <c r="B233" s="348" t="s">
        <v>2546</v>
      </c>
      <c r="C233" s="703">
        <v>1</v>
      </c>
      <c r="D233" s="681" t="s">
        <v>126</v>
      </c>
      <c r="E233" s="679">
        <v>191.67</v>
      </c>
      <c r="F233" s="680">
        <f t="shared" si="72"/>
        <v>0.17199999999999999</v>
      </c>
      <c r="G233" s="681">
        <f t="shared" si="70"/>
        <v>158.70275999999998</v>
      </c>
      <c r="H233" s="676"/>
      <c r="I233" s="678"/>
      <c r="J233" s="678"/>
      <c r="K233" s="677"/>
      <c r="L233" s="678"/>
      <c r="M233" s="458" t="s">
        <v>304</v>
      </c>
      <c r="N233" s="293" t="s">
        <v>268</v>
      </c>
      <c r="O233" s="298" t="s">
        <v>269</v>
      </c>
      <c r="P233" s="70" t="str">
        <f t="shared" si="71"/>
        <v/>
      </c>
      <c r="Q233" s="70" t="str">
        <f t="shared" si="71"/>
        <v/>
      </c>
      <c r="R233" s="221" t="s">
        <v>2869</v>
      </c>
      <c r="S233" s="348" t="s">
        <v>2546</v>
      </c>
      <c r="T233" s="703">
        <v>1</v>
      </c>
      <c r="U233" s="681" t="s">
        <v>126</v>
      </c>
      <c r="V233" s="679">
        <v>191.67</v>
      </c>
      <c r="W233" s="680">
        <v>0.17199999999999999</v>
      </c>
      <c r="X233" s="681">
        <v>158.70275999999998</v>
      </c>
      <c r="Y233" s="676"/>
      <c r="Z233" s="678"/>
      <c r="AA233" s="678"/>
      <c r="AB233" s="677"/>
      <c r="AC233" s="678"/>
      <c r="AD233" s="458" t="s">
        <v>304</v>
      </c>
      <c r="AE233" s="293" t="s">
        <v>268</v>
      </c>
      <c r="AF233" s="298" t="s">
        <v>269</v>
      </c>
      <c r="AG233" s="70" t="s">
        <v>2350</v>
      </c>
      <c r="AH233" s="70" t="s">
        <v>2350</v>
      </c>
    </row>
    <row r="234" spans="1:34">
      <c r="A234" s="221" t="s">
        <v>2565</v>
      </c>
      <c r="B234" s="348" t="s">
        <v>2547</v>
      </c>
      <c r="C234" s="703">
        <v>1</v>
      </c>
      <c r="D234" s="681" t="s">
        <v>126</v>
      </c>
      <c r="E234" s="679">
        <v>383.33</v>
      </c>
      <c r="F234" s="680">
        <f t="shared" si="72"/>
        <v>0.17199999999999999</v>
      </c>
      <c r="G234" s="681">
        <f t="shared" si="70"/>
        <v>317.39724000000001</v>
      </c>
      <c r="H234" s="676"/>
      <c r="I234" s="678"/>
      <c r="J234" s="678"/>
      <c r="K234" s="677"/>
      <c r="L234" s="678"/>
      <c r="M234" s="458" t="s">
        <v>304</v>
      </c>
      <c r="N234" s="293" t="s">
        <v>268</v>
      </c>
      <c r="O234" s="298" t="s">
        <v>269</v>
      </c>
      <c r="P234" s="70" t="str">
        <f t="shared" si="71"/>
        <v/>
      </c>
      <c r="Q234" s="70" t="str">
        <f t="shared" si="71"/>
        <v/>
      </c>
      <c r="R234" s="221" t="s">
        <v>2565</v>
      </c>
      <c r="S234" s="348" t="s">
        <v>2547</v>
      </c>
      <c r="T234" s="703">
        <v>1</v>
      </c>
      <c r="U234" s="681" t="s">
        <v>126</v>
      </c>
      <c r="V234" s="679">
        <v>383.33</v>
      </c>
      <c r="W234" s="680">
        <v>0.17199999999999999</v>
      </c>
      <c r="X234" s="681">
        <v>317.39724000000001</v>
      </c>
      <c r="Y234" s="676"/>
      <c r="Z234" s="678"/>
      <c r="AA234" s="678"/>
      <c r="AB234" s="677"/>
      <c r="AC234" s="678"/>
      <c r="AD234" s="458" t="s">
        <v>304</v>
      </c>
      <c r="AE234" s="293" t="s">
        <v>268</v>
      </c>
      <c r="AF234" s="298" t="s">
        <v>269</v>
      </c>
      <c r="AG234" s="70" t="s">
        <v>2350</v>
      </c>
      <c r="AH234" s="70" t="s">
        <v>2350</v>
      </c>
    </row>
    <row r="235" spans="1:34">
      <c r="A235" s="221" t="s">
        <v>2566</v>
      </c>
      <c r="B235" s="348" t="s">
        <v>2548</v>
      </c>
      <c r="C235" s="703">
        <v>1</v>
      </c>
      <c r="D235" s="681" t="s">
        <v>126</v>
      </c>
      <c r="E235" s="679">
        <v>25</v>
      </c>
      <c r="F235" s="680">
        <f t="shared" si="72"/>
        <v>0.17199999999999999</v>
      </c>
      <c r="G235" s="681">
        <f t="shared" si="70"/>
        <v>20.7</v>
      </c>
      <c r="H235" s="676"/>
      <c r="I235" s="678"/>
      <c r="J235" s="678"/>
      <c r="K235" s="677"/>
      <c r="L235" s="678"/>
      <c r="M235" s="458" t="s">
        <v>304</v>
      </c>
      <c r="N235" s="293" t="s">
        <v>268</v>
      </c>
      <c r="O235" s="298" t="s">
        <v>269</v>
      </c>
      <c r="P235" s="70" t="str">
        <f t="shared" si="71"/>
        <v/>
      </c>
      <c r="Q235" s="70" t="str">
        <f t="shared" si="71"/>
        <v/>
      </c>
      <c r="R235" s="221" t="s">
        <v>2566</v>
      </c>
      <c r="S235" s="348" t="s">
        <v>2548</v>
      </c>
      <c r="T235" s="703">
        <v>1</v>
      </c>
      <c r="U235" s="681" t="s">
        <v>126</v>
      </c>
      <c r="V235" s="679">
        <v>25</v>
      </c>
      <c r="W235" s="680">
        <v>0.17199999999999999</v>
      </c>
      <c r="X235" s="681">
        <v>20.7</v>
      </c>
      <c r="Y235" s="676"/>
      <c r="Z235" s="678"/>
      <c r="AA235" s="678"/>
      <c r="AB235" s="677"/>
      <c r="AC235" s="678"/>
      <c r="AD235" s="458" t="s">
        <v>304</v>
      </c>
      <c r="AE235" s="293" t="s">
        <v>268</v>
      </c>
      <c r="AF235" s="298" t="s">
        <v>269</v>
      </c>
      <c r="AG235" s="70" t="s">
        <v>2350</v>
      </c>
      <c r="AH235" s="70" t="s">
        <v>2350</v>
      </c>
    </row>
    <row r="236" spans="1:34">
      <c r="A236" s="221" t="s">
        <v>2567</v>
      </c>
      <c r="B236" s="348" t="s">
        <v>2549</v>
      </c>
      <c r="C236" s="703">
        <v>1</v>
      </c>
      <c r="D236" s="681" t="s">
        <v>126</v>
      </c>
      <c r="E236" s="679">
        <v>45</v>
      </c>
      <c r="F236" s="680">
        <f t="shared" si="72"/>
        <v>0.17199999999999999</v>
      </c>
      <c r="G236" s="681">
        <f t="shared" si="70"/>
        <v>37.26</v>
      </c>
      <c r="H236" s="676"/>
      <c r="I236" s="678"/>
      <c r="J236" s="678"/>
      <c r="K236" s="677"/>
      <c r="L236" s="678"/>
      <c r="M236" s="458" t="s">
        <v>304</v>
      </c>
      <c r="N236" s="293" t="s">
        <v>268</v>
      </c>
      <c r="O236" s="298" t="s">
        <v>269</v>
      </c>
      <c r="P236" s="70" t="str">
        <f t="shared" si="71"/>
        <v/>
      </c>
      <c r="Q236" s="70" t="str">
        <f t="shared" si="71"/>
        <v/>
      </c>
      <c r="R236" s="221" t="s">
        <v>2567</v>
      </c>
      <c r="S236" s="348" t="s">
        <v>2549</v>
      </c>
      <c r="T236" s="703">
        <v>1</v>
      </c>
      <c r="U236" s="681" t="s">
        <v>126</v>
      </c>
      <c r="V236" s="679">
        <v>45</v>
      </c>
      <c r="W236" s="680">
        <v>0.17199999999999999</v>
      </c>
      <c r="X236" s="681">
        <v>37.26</v>
      </c>
      <c r="Y236" s="676"/>
      <c r="Z236" s="678"/>
      <c r="AA236" s="678"/>
      <c r="AB236" s="677"/>
      <c r="AC236" s="678"/>
      <c r="AD236" s="458" t="s">
        <v>304</v>
      </c>
      <c r="AE236" s="293" t="s">
        <v>268</v>
      </c>
      <c r="AF236" s="298" t="s">
        <v>269</v>
      </c>
      <c r="AG236" s="70" t="s">
        <v>2350</v>
      </c>
      <c r="AH236" s="70" t="s">
        <v>2350</v>
      </c>
    </row>
    <row r="237" spans="1:34">
      <c r="A237" s="221" t="s">
        <v>2568</v>
      </c>
      <c r="B237" s="348" t="s">
        <v>2550</v>
      </c>
      <c r="C237" s="703">
        <v>1</v>
      </c>
      <c r="D237" s="681" t="s">
        <v>126</v>
      </c>
      <c r="E237" s="679">
        <v>0</v>
      </c>
      <c r="F237" s="680"/>
      <c r="G237" s="681">
        <f>E237-(E237*F237)</f>
        <v>0</v>
      </c>
      <c r="H237" s="676"/>
      <c r="I237" s="678"/>
      <c r="J237" s="678"/>
      <c r="K237" s="677"/>
      <c r="L237" s="678"/>
      <c r="M237" s="458" t="s">
        <v>304</v>
      </c>
      <c r="N237" s="293" t="s">
        <v>268</v>
      </c>
      <c r="O237" s="298" t="s">
        <v>269</v>
      </c>
      <c r="P237" s="70" t="str">
        <f>+IF($J237&lt;&gt;"",P$2*$J237,"")</f>
        <v/>
      </c>
      <c r="Q237" s="70" t="str">
        <f>+IF($J237&lt;&gt;"",Q$2*$J237,"")</f>
        <v/>
      </c>
      <c r="R237" s="221" t="s">
        <v>2568</v>
      </c>
      <c r="S237" s="348" t="s">
        <v>2550</v>
      </c>
      <c r="T237" s="703">
        <v>1</v>
      </c>
      <c r="U237" s="681" t="s">
        <v>126</v>
      </c>
      <c r="V237" s="679">
        <v>0</v>
      </c>
      <c r="W237" s="680"/>
      <c r="X237" s="681">
        <v>0</v>
      </c>
      <c r="Y237" s="676"/>
      <c r="Z237" s="678"/>
      <c r="AA237" s="678"/>
      <c r="AB237" s="677"/>
      <c r="AC237" s="678"/>
      <c r="AD237" s="458" t="s">
        <v>304</v>
      </c>
      <c r="AE237" s="293" t="s">
        <v>268</v>
      </c>
      <c r="AF237" s="298" t="s">
        <v>269</v>
      </c>
      <c r="AG237" s="70" t="s">
        <v>2350</v>
      </c>
      <c r="AH237" s="70" t="s">
        <v>2350</v>
      </c>
    </row>
    <row r="238" spans="1:34">
      <c r="A238" s="221" t="s">
        <v>2569</v>
      </c>
      <c r="B238" s="348" t="s">
        <v>2554</v>
      </c>
      <c r="C238" s="703">
        <v>1</v>
      </c>
      <c r="D238" s="681" t="s">
        <v>126</v>
      </c>
      <c r="E238" s="679">
        <v>0</v>
      </c>
      <c r="F238" s="680"/>
      <c r="G238" s="681">
        <f t="shared" si="70"/>
        <v>0</v>
      </c>
      <c r="H238" s="676"/>
      <c r="I238" s="678"/>
      <c r="J238" s="678"/>
      <c r="K238" s="677"/>
      <c r="L238" s="678"/>
      <c r="M238" s="458" t="s">
        <v>304</v>
      </c>
      <c r="N238" s="293" t="s">
        <v>268</v>
      </c>
      <c r="O238" s="298" t="s">
        <v>269</v>
      </c>
      <c r="P238" s="70" t="str">
        <f t="shared" si="71"/>
        <v/>
      </c>
      <c r="Q238" s="70" t="str">
        <f t="shared" si="71"/>
        <v/>
      </c>
      <c r="R238" s="221" t="s">
        <v>2569</v>
      </c>
      <c r="S238" s="348" t="s">
        <v>2554</v>
      </c>
      <c r="T238" s="703">
        <v>1</v>
      </c>
      <c r="U238" s="681" t="s">
        <v>126</v>
      </c>
      <c r="V238" s="679">
        <v>0</v>
      </c>
      <c r="W238" s="680"/>
      <c r="X238" s="681">
        <v>0</v>
      </c>
      <c r="Y238" s="676"/>
      <c r="Z238" s="678"/>
      <c r="AA238" s="678"/>
      <c r="AB238" s="677"/>
      <c r="AC238" s="678"/>
      <c r="AD238" s="458" t="s">
        <v>304</v>
      </c>
      <c r="AE238" s="293" t="s">
        <v>268</v>
      </c>
      <c r="AF238" s="298" t="s">
        <v>269</v>
      </c>
      <c r="AG238" s="70" t="s">
        <v>2350</v>
      </c>
      <c r="AH238" s="70" t="s">
        <v>2350</v>
      </c>
    </row>
    <row r="239" spans="1:34">
      <c r="A239" s="221" t="s">
        <v>2570</v>
      </c>
      <c r="B239" s="348" t="s">
        <v>2555</v>
      </c>
      <c r="C239" s="703">
        <v>1</v>
      </c>
      <c r="D239" s="681" t="s">
        <v>126</v>
      </c>
      <c r="E239" s="679">
        <v>0</v>
      </c>
      <c r="F239" s="680"/>
      <c r="G239" s="681">
        <f t="shared" ref="G239" si="74">E239-(E239*F239)</f>
        <v>0</v>
      </c>
      <c r="H239" s="676"/>
      <c r="I239" s="678"/>
      <c r="J239" s="678"/>
      <c r="K239" s="677"/>
      <c r="L239" s="678"/>
      <c r="M239" s="458" t="s">
        <v>304</v>
      </c>
      <c r="N239" s="293" t="s">
        <v>268</v>
      </c>
      <c r="O239" s="298" t="s">
        <v>269</v>
      </c>
      <c r="P239" s="70"/>
      <c r="Q239" s="70"/>
      <c r="R239" s="221" t="s">
        <v>2570</v>
      </c>
      <c r="S239" s="348" t="s">
        <v>2555</v>
      </c>
      <c r="T239" s="703">
        <v>1</v>
      </c>
      <c r="U239" s="681" t="s">
        <v>126</v>
      </c>
      <c r="V239" s="679">
        <v>0</v>
      </c>
      <c r="W239" s="680"/>
      <c r="X239" s="681">
        <v>0</v>
      </c>
      <c r="Y239" s="676"/>
      <c r="Z239" s="678"/>
      <c r="AA239" s="678"/>
      <c r="AB239" s="677"/>
      <c r="AC239" s="678"/>
      <c r="AD239" s="458" t="s">
        <v>304</v>
      </c>
      <c r="AE239" s="293" t="s">
        <v>268</v>
      </c>
      <c r="AF239" s="298" t="s">
        <v>269</v>
      </c>
      <c r="AG239" s="70"/>
      <c r="AH239" s="70"/>
    </row>
    <row r="240" spans="1:34">
      <c r="A240" s="221" t="s">
        <v>2571</v>
      </c>
      <c r="B240" s="348" t="s">
        <v>2552</v>
      </c>
      <c r="C240" s="703">
        <v>1</v>
      </c>
      <c r="D240" s="681" t="s">
        <v>126</v>
      </c>
      <c r="E240" s="679">
        <v>66.67</v>
      </c>
      <c r="F240" s="680">
        <f t="shared" ref="F240:F243" si="75">rv_im21_hg_cto</f>
        <v>0.17199999999999999</v>
      </c>
      <c r="G240" s="681">
        <f t="shared" si="70"/>
        <v>55.202760000000005</v>
      </c>
      <c r="H240" s="676"/>
      <c r="I240" s="678"/>
      <c r="J240" s="678"/>
      <c r="K240" s="677"/>
      <c r="L240" s="678"/>
      <c r="M240" s="458" t="s">
        <v>304</v>
      </c>
      <c r="N240" s="293" t="s">
        <v>268</v>
      </c>
      <c r="O240" s="298" t="s">
        <v>269</v>
      </c>
      <c r="P240" s="70" t="str">
        <f t="shared" si="71"/>
        <v/>
      </c>
      <c r="Q240" s="70" t="str">
        <f t="shared" si="71"/>
        <v/>
      </c>
      <c r="R240" s="221" t="s">
        <v>2571</v>
      </c>
      <c r="S240" s="348" t="s">
        <v>2552</v>
      </c>
      <c r="T240" s="703">
        <v>1</v>
      </c>
      <c r="U240" s="681" t="s">
        <v>126</v>
      </c>
      <c r="V240" s="679">
        <v>66.67</v>
      </c>
      <c r="W240" s="680">
        <v>0.17199999999999999</v>
      </c>
      <c r="X240" s="681">
        <v>55.202760000000005</v>
      </c>
      <c r="Y240" s="676"/>
      <c r="Z240" s="678"/>
      <c r="AA240" s="678"/>
      <c r="AB240" s="677"/>
      <c r="AC240" s="678"/>
      <c r="AD240" s="458" t="s">
        <v>304</v>
      </c>
      <c r="AE240" s="293" t="s">
        <v>268</v>
      </c>
      <c r="AF240" s="298" t="s">
        <v>269</v>
      </c>
      <c r="AG240" s="70" t="s">
        <v>2350</v>
      </c>
      <c r="AH240" s="70" t="s">
        <v>2350</v>
      </c>
    </row>
    <row r="241" spans="1:34">
      <c r="A241" s="221" t="s">
        <v>2573</v>
      </c>
      <c r="B241" s="348" t="s">
        <v>2553</v>
      </c>
      <c r="C241" s="703">
        <v>1</v>
      </c>
      <c r="D241" s="681" t="s">
        <v>126</v>
      </c>
      <c r="E241" s="679">
        <v>66.67</v>
      </c>
      <c r="F241" s="680">
        <f t="shared" si="75"/>
        <v>0.17199999999999999</v>
      </c>
      <c r="G241" s="681">
        <f>E241-(E241*F241)</f>
        <v>55.202760000000005</v>
      </c>
      <c r="H241" s="676"/>
      <c r="I241" s="678"/>
      <c r="J241" s="678"/>
      <c r="K241" s="677"/>
      <c r="L241" s="678"/>
      <c r="M241" s="458" t="s">
        <v>304</v>
      </c>
      <c r="N241" s="293" t="s">
        <v>268</v>
      </c>
      <c r="O241" s="298" t="s">
        <v>269</v>
      </c>
      <c r="P241" s="70" t="str">
        <f>+IF($J241&lt;&gt;"",P$2*$J241,"")</f>
        <v/>
      </c>
      <c r="Q241" s="70" t="str">
        <f>+IF($J241&lt;&gt;"",Q$2*$J241,"")</f>
        <v/>
      </c>
      <c r="R241" s="221" t="s">
        <v>2573</v>
      </c>
      <c r="S241" s="348" t="s">
        <v>2553</v>
      </c>
      <c r="T241" s="703">
        <v>1</v>
      </c>
      <c r="U241" s="681" t="s">
        <v>126</v>
      </c>
      <c r="V241" s="679">
        <v>66.67</v>
      </c>
      <c r="W241" s="680">
        <v>0.17199999999999999</v>
      </c>
      <c r="X241" s="681">
        <v>55.202760000000005</v>
      </c>
      <c r="Y241" s="676"/>
      <c r="Z241" s="678"/>
      <c r="AA241" s="678"/>
      <c r="AB241" s="677"/>
      <c r="AC241" s="678"/>
      <c r="AD241" s="458" t="s">
        <v>304</v>
      </c>
      <c r="AE241" s="293" t="s">
        <v>268</v>
      </c>
      <c r="AF241" s="298" t="s">
        <v>269</v>
      </c>
      <c r="AG241" s="70" t="s">
        <v>2350</v>
      </c>
      <c r="AH241" s="70" t="s">
        <v>2350</v>
      </c>
    </row>
    <row r="242" spans="1:34">
      <c r="A242" s="221" t="s">
        <v>2574</v>
      </c>
      <c r="B242" s="348" t="s">
        <v>2558</v>
      </c>
      <c r="C242" s="703">
        <v>1</v>
      </c>
      <c r="D242" s="681" t="s">
        <v>126</v>
      </c>
      <c r="E242" s="679">
        <v>66.67</v>
      </c>
      <c r="F242" s="680">
        <f t="shared" si="75"/>
        <v>0.17199999999999999</v>
      </c>
      <c r="G242" s="681">
        <f t="shared" si="70"/>
        <v>55.202760000000005</v>
      </c>
      <c r="H242" s="676"/>
      <c r="I242" s="678"/>
      <c r="J242" s="678"/>
      <c r="K242" s="677"/>
      <c r="L242" s="678"/>
      <c r="M242" s="458" t="s">
        <v>304</v>
      </c>
      <c r="N242" s="293" t="s">
        <v>268</v>
      </c>
      <c r="O242" s="298" t="s">
        <v>269</v>
      </c>
      <c r="P242" s="70" t="str">
        <f t="shared" si="71"/>
        <v/>
      </c>
      <c r="Q242" s="70" t="str">
        <f t="shared" si="71"/>
        <v/>
      </c>
      <c r="R242" s="221" t="s">
        <v>2574</v>
      </c>
      <c r="S242" s="348" t="s">
        <v>2558</v>
      </c>
      <c r="T242" s="703">
        <v>1</v>
      </c>
      <c r="U242" s="681" t="s">
        <v>126</v>
      </c>
      <c r="V242" s="679">
        <v>66.67</v>
      </c>
      <c r="W242" s="680">
        <v>0.17199999999999999</v>
      </c>
      <c r="X242" s="681">
        <v>55.202760000000005</v>
      </c>
      <c r="Y242" s="676"/>
      <c r="Z242" s="678"/>
      <c r="AA242" s="678"/>
      <c r="AB242" s="677"/>
      <c r="AC242" s="678"/>
      <c r="AD242" s="458" t="s">
        <v>304</v>
      </c>
      <c r="AE242" s="293" t="s">
        <v>268</v>
      </c>
      <c r="AF242" s="298" t="s">
        <v>269</v>
      </c>
      <c r="AG242" s="70" t="s">
        <v>2350</v>
      </c>
      <c r="AH242" s="70" t="s">
        <v>2350</v>
      </c>
    </row>
    <row r="243" spans="1:34">
      <c r="A243" s="221" t="s">
        <v>2572</v>
      </c>
      <c r="B243" s="348" t="s">
        <v>2559</v>
      </c>
      <c r="C243" s="703">
        <v>1</v>
      </c>
      <c r="D243" s="681" t="s">
        <v>126</v>
      </c>
      <c r="E243" s="679">
        <v>66.67</v>
      </c>
      <c r="F243" s="680">
        <f t="shared" si="75"/>
        <v>0.17199999999999999</v>
      </c>
      <c r="G243" s="681">
        <f t="shared" ref="G243" si="76">E243-(E243*F243)</f>
        <v>55.202760000000005</v>
      </c>
      <c r="H243" s="676"/>
      <c r="I243" s="678"/>
      <c r="J243" s="678"/>
      <c r="K243" s="677"/>
      <c r="L243" s="678"/>
      <c r="M243" s="458" t="s">
        <v>304</v>
      </c>
      <c r="N243" s="293" t="s">
        <v>268</v>
      </c>
      <c r="O243" s="298" t="s">
        <v>269</v>
      </c>
      <c r="P243" s="70"/>
      <c r="Q243" s="70"/>
      <c r="R243" s="221" t="s">
        <v>2572</v>
      </c>
      <c r="S243" s="348" t="s">
        <v>2559</v>
      </c>
      <c r="T243" s="703">
        <v>1</v>
      </c>
      <c r="U243" s="681" t="s">
        <v>126</v>
      </c>
      <c r="V243" s="679">
        <v>66.67</v>
      </c>
      <c r="W243" s="680">
        <v>0.17199999999999999</v>
      </c>
      <c r="X243" s="681">
        <v>55.202760000000005</v>
      </c>
      <c r="Y243" s="676"/>
      <c r="Z243" s="678"/>
      <c r="AA243" s="678"/>
      <c r="AB243" s="677"/>
      <c r="AC243" s="678"/>
      <c r="AD243" s="458" t="s">
        <v>304</v>
      </c>
      <c r="AE243" s="293" t="s">
        <v>268</v>
      </c>
      <c r="AF243" s="298" t="s">
        <v>269</v>
      </c>
      <c r="AG243" s="70"/>
      <c r="AH243" s="70"/>
    </row>
    <row r="244" spans="1:34" s="84" customFormat="1">
      <c r="A244" s="753" t="s">
        <v>2543</v>
      </c>
      <c r="B244" s="695" t="s">
        <v>2686</v>
      </c>
      <c r="C244" s="696">
        <v>1</v>
      </c>
      <c r="D244" s="408" t="s">
        <v>126</v>
      </c>
      <c r="E244" s="406">
        <v>1454.33</v>
      </c>
      <c r="F244" s="697">
        <f>rv_im21_hg</f>
        <v>0.17199999999999999</v>
      </c>
      <c r="G244" s="408">
        <f t="shared" ref="G244:G256" si="77">E244-(E244*F244)</f>
        <v>1204.18524</v>
      </c>
      <c r="H244" s="696" t="s">
        <v>303</v>
      </c>
      <c r="I244" s="406">
        <v>65.88</v>
      </c>
      <c r="J244" s="406">
        <f>G244+I244</f>
        <v>1270.0652399999999</v>
      </c>
      <c r="K244" s="406" t="s">
        <v>128</v>
      </c>
      <c r="L244" s="406">
        <v>3.17</v>
      </c>
      <c r="M244" s="457" t="s">
        <v>305</v>
      </c>
      <c r="N244" s="313" t="s">
        <v>268</v>
      </c>
      <c r="O244" s="682" t="s">
        <v>269</v>
      </c>
      <c r="P244" s="675">
        <f t="shared" si="71"/>
        <v>255.67524243810198</v>
      </c>
      <c r="Q244" s="675">
        <f t="shared" si="71"/>
        <v>132.87607484970084</v>
      </c>
      <c r="R244" s="753" t="s">
        <v>2543</v>
      </c>
      <c r="S244" s="695" t="s">
        <v>2686</v>
      </c>
      <c r="T244" s="696">
        <v>1</v>
      </c>
      <c r="U244" s="408" t="s">
        <v>126</v>
      </c>
      <c r="V244" s="406">
        <v>1456.08</v>
      </c>
      <c r="W244" s="697">
        <v>0.17199999999999999</v>
      </c>
      <c r="X244" s="408">
        <v>1205.6342399999999</v>
      </c>
      <c r="Y244" s="696" t="s">
        <v>303</v>
      </c>
      <c r="Z244" s="406">
        <v>65.88</v>
      </c>
      <c r="AA244" s="406">
        <v>1271.51424</v>
      </c>
      <c r="AB244" s="406" t="s">
        <v>128</v>
      </c>
      <c r="AC244" s="406">
        <v>1.42</v>
      </c>
      <c r="AD244" s="457" t="s">
        <v>305</v>
      </c>
      <c r="AE244" s="313" t="s">
        <v>268</v>
      </c>
      <c r="AF244" s="682" t="s">
        <v>269</v>
      </c>
      <c r="AG244" s="675">
        <v>255.96693881292191</v>
      </c>
      <c r="AH244" s="675">
        <v>133.02767133970261</v>
      </c>
    </row>
    <row r="245" spans="1:34">
      <c r="A245" s="221" t="s">
        <v>2575</v>
      </c>
      <c r="B245" s="348" t="s">
        <v>2561</v>
      </c>
      <c r="C245" s="703">
        <v>1</v>
      </c>
      <c r="D245" s="681" t="s">
        <v>126</v>
      </c>
      <c r="E245" s="679">
        <v>191.67</v>
      </c>
      <c r="F245" s="680">
        <f t="shared" ref="F245:F250" si="78">rv_im21_hg_cto</f>
        <v>0.17199999999999999</v>
      </c>
      <c r="G245" s="681">
        <f t="shared" si="77"/>
        <v>158.70275999999998</v>
      </c>
      <c r="H245" s="676"/>
      <c r="I245" s="678"/>
      <c r="J245" s="678"/>
      <c r="K245" s="677"/>
      <c r="L245" s="678"/>
      <c r="M245" s="458" t="s">
        <v>304</v>
      </c>
      <c r="N245" s="293" t="s">
        <v>268</v>
      </c>
      <c r="O245" s="298" t="s">
        <v>269</v>
      </c>
      <c r="P245" s="70"/>
      <c r="Q245" s="70"/>
      <c r="R245" s="221" t="s">
        <v>2575</v>
      </c>
      <c r="S245" s="348" t="s">
        <v>2561</v>
      </c>
      <c r="T245" s="703">
        <v>1</v>
      </c>
      <c r="U245" s="681" t="s">
        <v>126</v>
      </c>
      <c r="V245" s="679">
        <v>191.67</v>
      </c>
      <c r="W245" s="680">
        <v>0.17199999999999999</v>
      </c>
      <c r="X245" s="681">
        <v>158.70275999999998</v>
      </c>
      <c r="Y245" s="676"/>
      <c r="Z245" s="678"/>
      <c r="AA245" s="678"/>
      <c r="AB245" s="677"/>
      <c r="AC245" s="678"/>
      <c r="AD245" s="458" t="s">
        <v>304</v>
      </c>
      <c r="AE245" s="293" t="s">
        <v>268</v>
      </c>
      <c r="AF245" s="298" t="s">
        <v>269</v>
      </c>
      <c r="AG245" s="70"/>
      <c r="AH245" s="70"/>
    </row>
    <row r="246" spans="1:34">
      <c r="A246" s="221" t="s">
        <v>2576</v>
      </c>
      <c r="B246" s="348" t="s">
        <v>2546</v>
      </c>
      <c r="C246" s="703">
        <v>1</v>
      </c>
      <c r="D246" s="681" t="s">
        <v>126</v>
      </c>
      <c r="E246" s="679">
        <v>191.67</v>
      </c>
      <c r="F246" s="680">
        <f t="shared" si="78"/>
        <v>0.17199999999999999</v>
      </c>
      <c r="G246" s="681">
        <f t="shared" si="77"/>
        <v>158.70275999999998</v>
      </c>
      <c r="H246" s="676"/>
      <c r="I246" s="678"/>
      <c r="J246" s="678"/>
      <c r="K246" s="677"/>
      <c r="L246" s="678"/>
      <c r="M246" s="458" t="s">
        <v>305</v>
      </c>
      <c r="N246" s="294" t="s">
        <v>268</v>
      </c>
      <c r="O246" s="300" t="s">
        <v>269</v>
      </c>
      <c r="P246" s="70" t="str">
        <f t="shared" si="71"/>
        <v/>
      </c>
      <c r="Q246" s="70" t="str">
        <f t="shared" si="71"/>
        <v/>
      </c>
      <c r="R246" s="221" t="s">
        <v>2576</v>
      </c>
      <c r="S246" s="348" t="s">
        <v>2546</v>
      </c>
      <c r="T246" s="703">
        <v>1</v>
      </c>
      <c r="U246" s="681" t="s">
        <v>126</v>
      </c>
      <c r="V246" s="679">
        <v>191.67</v>
      </c>
      <c r="W246" s="680">
        <v>0.17199999999999999</v>
      </c>
      <c r="X246" s="681">
        <v>158.70275999999998</v>
      </c>
      <c r="Y246" s="676"/>
      <c r="Z246" s="678"/>
      <c r="AA246" s="678"/>
      <c r="AB246" s="677"/>
      <c r="AC246" s="678"/>
      <c r="AD246" s="458" t="s">
        <v>305</v>
      </c>
      <c r="AE246" s="294" t="s">
        <v>268</v>
      </c>
      <c r="AF246" s="300" t="s">
        <v>269</v>
      </c>
      <c r="AG246" s="70" t="s">
        <v>2350</v>
      </c>
      <c r="AH246" s="70" t="s">
        <v>2350</v>
      </c>
    </row>
    <row r="247" spans="1:34">
      <c r="A247" s="221" t="s">
        <v>2577</v>
      </c>
      <c r="B247" s="348" t="s">
        <v>2547</v>
      </c>
      <c r="C247" s="703">
        <v>1</v>
      </c>
      <c r="D247" s="681" t="s">
        <v>126</v>
      </c>
      <c r="E247" s="679">
        <v>383.33</v>
      </c>
      <c r="F247" s="680">
        <f t="shared" si="78"/>
        <v>0.17199999999999999</v>
      </c>
      <c r="G247" s="681">
        <f t="shared" si="77"/>
        <v>317.39724000000001</v>
      </c>
      <c r="H247" s="676"/>
      <c r="I247" s="678"/>
      <c r="J247" s="678"/>
      <c r="K247" s="677"/>
      <c r="L247" s="678"/>
      <c r="M247" s="458" t="s">
        <v>305</v>
      </c>
      <c r="N247" s="294" t="s">
        <v>268</v>
      </c>
      <c r="O247" s="300" t="s">
        <v>269</v>
      </c>
      <c r="P247" s="70" t="str">
        <f t="shared" ref="P247:Q264" si="79">+IF($J247&lt;&gt;"",P$2*$J247,"")</f>
        <v/>
      </c>
      <c r="Q247" s="70" t="str">
        <f t="shared" si="79"/>
        <v/>
      </c>
      <c r="R247" s="221" t="s">
        <v>2577</v>
      </c>
      <c r="S247" s="348" t="s">
        <v>2547</v>
      </c>
      <c r="T247" s="703">
        <v>1</v>
      </c>
      <c r="U247" s="681" t="s">
        <v>126</v>
      </c>
      <c r="V247" s="679">
        <v>383.33</v>
      </c>
      <c r="W247" s="680">
        <v>0.17199999999999999</v>
      </c>
      <c r="X247" s="681">
        <v>317.39724000000001</v>
      </c>
      <c r="Y247" s="676"/>
      <c r="Z247" s="678"/>
      <c r="AA247" s="678"/>
      <c r="AB247" s="677"/>
      <c r="AC247" s="678"/>
      <c r="AD247" s="458" t="s">
        <v>305</v>
      </c>
      <c r="AE247" s="294" t="s">
        <v>268</v>
      </c>
      <c r="AF247" s="300" t="s">
        <v>269</v>
      </c>
      <c r="AG247" s="70" t="s">
        <v>2350</v>
      </c>
      <c r="AH247" s="70" t="s">
        <v>2350</v>
      </c>
    </row>
    <row r="248" spans="1:34">
      <c r="A248" s="221" t="s">
        <v>2578</v>
      </c>
      <c r="B248" s="348" t="s">
        <v>2560</v>
      </c>
      <c r="C248" s="703">
        <v>1</v>
      </c>
      <c r="D248" s="681" t="s">
        <v>126</v>
      </c>
      <c r="E248" s="679">
        <v>766.67</v>
      </c>
      <c r="F248" s="680">
        <f t="shared" si="78"/>
        <v>0.17199999999999999</v>
      </c>
      <c r="G248" s="681">
        <f t="shared" si="77"/>
        <v>634.80276000000003</v>
      </c>
      <c r="H248" s="676"/>
      <c r="I248" s="678"/>
      <c r="J248" s="678"/>
      <c r="K248" s="677"/>
      <c r="L248" s="678"/>
      <c r="M248" s="458" t="s">
        <v>305</v>
      </c>
      <c r="N248" s="294" t="s">
        <v>268</v>
      </c>
      <c r="O248" s="300" t="s">
        <v>269</v>
      </c>
      <c r="P248" s="70" t="str">
        <f t="shared" si="79"/>
        <v/>
      </c>
      <c r="Q248" s="70" t="str">
        <f t="shared" si="79"/>
        <v/>
      </c>
      <c r="R248" s="221" t="s">
        <v>2578</v>
      </c>
      <c r="S248" s="348" t="s">
        <v>2560</v>
      </c>
      <c r="T248" s="703">
        <v>1</v>
      </c>
      <c r="U248" s="681" t="s">
        <v>126</v>
      </c>
      <c r="V248" s="679">
        <v>766.67</v>
      </c>
      <c r="W248" s="680">
        <v>0.17199999999999999</v>
      </c>
      <c r="X248" s="681">
        <v>634.80276000000003</v>
      </c>
      <c r="Y248" s="676"/>
      <c r="Z248" s="678"/>
      <c r="AA248" s="678"/>
      <c r="AB248" s="677"/>
      <c r="AC248" s="678"/>
      <c r="AD248" s="458" t="s">
        <v>305</v>
      </c>
      <c r="AE248" s="294" t="s">
        <v>268</v>
      </c>
      <c r="AF248" s="300" t="s">
        <v>269</v>
      </c>
      <c r="AG248" s="70" t="s">
        <v>2350</v>
      </c>
      <c r="AH248" s="70" t="s">
        <v>2350</v>
      </c>
    </row>
    <row r="249" spans="1:34">
      <c r="A249" s="221" t="s">
        <v>2579</v>
      </c>
      <c r="B249" s="348" t="s">
        <v>2562</v>
      </c>
      <c r="C249" s="703">
        <v>1</v>
      </c>
      <c r="D249" s="681" t="s">
        <v>126</v>
      </c>
      <c r="E249" s="679">
        <v>191.67</v>
      </c>
      <c r="F249" s="680">
        <f t="shared" si="78"/>
        <v>0.17199999999999999</v>
      </c>
      <c r="G249" s="681">
        <f t="shared" ref="G249" si="80">E249-(E249*F249)</f>
        <v>158.70275999999998</v>
      </c>
      <c r="H249" s="676"/>
      <c r="I249" s="678"/>
      <c r="J249" s="678"/>
      <c r="K249" s="677"/>
      <c r="L249" s="678"/>
      <c r="M249" s="458" t="s">
        <v>305</v>
      </c>
      <c r="N249" s="294" t="s">
        <v>268</v>
      </c>
      <c r="O249" s="300" t="s">
        <v>269</v>
      </c>
      <c r="P249" s="70"/>
      <c r="Q249" s="70"/>
      <c r="R249" s="221" t="s">
        <v>2579</v>
      </c>
      <c r="S249" s="348" t="s">
        <v>2562</v>
      </c>
      <c r="T249" s="703">
        <v>1</v>
      </c>
      <c r="U249" s="681" t="s">
        <v>126</v>
      </c>
      <c r="V249" s="679">
        <v>191.67</v>
      </c>
      <c r="W249" s="680">
        <v>0.17199999999999999</v>
      </c>
      <c r="X249" s="681">
        <v>158.70275999999998</v>
      </c>
      <c r="Y249" s="676"/>
      <c r="Z249" s="678"/>
      <c r="AA249" s="678"/>
      <c r="AB249" s="677"/>
      <c r="AC249" s="678"/>
      <c r="AD249" s="458" t="s">
        <v>305</v>
      </c>
      <c r="AE249" s="294" t="s">
        <v>268</v>
      </c>
      <c r="AF249" s="300" t="s">
        <v>269</v>
      </c>
      <c r="AG249" s="70"/>
      <c r="AH249" s="70"/>
    </row>
    <row r="250" spans="1:34">
      <c r="A250" s="221" t="s">
        <v>2580</v>
      </c>
      <c r="B250" s="348" t="s">
        <v>2549</v>
      </c>
      <c r="C250" s="703">
        <v>1</v>
      </c>
      <c r="D250" s="681" t="s">
        <v>126</v>
      </c>
      <c r="E250" s="679">
        <v>45</v>
      </c>
      <c r="F250" s="680">
        <f t="shared" si="78"/>
        <v>0.17199999999999999</v>
      </c>
      <c r="G250" s="681">
        <f t="shared" si="77"/>
        <v>37.26</v>
      </c>
      <c r="H250" s="676"/>
      <c r="I250" s="678"/>
      <c r="J250" s="678"/>
      <c r="K250" s="677"/>
      <c r="L250" s="678"/>
      <c r="M250" s="458" t="s">
        <v>305</v>
      </c>
      <c r="N250" s="294" t="s">
        <v>268</v>
      </c>
      <c r="O250" s="300" t="s">
        <v>269</v>
      </c>
      <c r="P250" s="70" t="str">
        <f t="shared" si="79"/>
        <v/>
      </c>
      <c r="Q250" s="70" t="str">
        <f t="shared" si="79"/>
        <v/>
      </c>
      <c r="R250" s="221" t="s">
        <v>2580</v>
      </c>
      <c r="S250" s="348" t="s">
        <v>2549</v>
      </c>
      <c r="T250" s="703">
        <v>1</v>
      </c>
      <c r="U250" s="681" t="s">
        <v>126</v>
      </c>
      <c r="V250" s="679">
        <v>45</v>
      </c>
      <c r="W250" s="680">
        <v>0.17199999999999999</v>
      </c>
      <c r="X250" s="681">
        <v>37.26</v>
      </c>
      <c r="Y250" s="676"/>
      <c r="Z250" s="678"/>
      <c r="AA250" s="678"/>
      <c r="AB250" s="677"/>
      <c r="AC250" s="678"/>
      <c r="AD250" s="458" t="s">
        <v>305</v>
      </c>
      <c r="AE250" s="294" t="s">
        <v>268</v>
      </c>
      <c r="AF250" s="300" t="s">
        <v>269</v>
      </c>
      <c r="AG250" s="70" t="s">
        <v>2350</v>
      </c>
      <c r="AH250" s="70" t="s">
        <v>2350</v>
      </c>
    </row>
    <row r="251" spans="1:34">
      <c r="A251" s="221" t="s">
        <v>2582</v>
      </c>
      <c r="B251" s="348" t="s">
        <v>2551</v>
      </c>
      <c r="C251" s="703">
        <v>1</v>
      </c>
      <c r="D251" s="681" t="s">
        <v>126</v>
      </c>
      <c r="E251" s="679">
        <v>0</v>
      </c>
      <c r="F251" s="680"/>
      <c r="G251" s="681">
        <f>E251-(E251*F251)</f>
        <v>0</v>
      </c>
      <c r="H251" s="676"/>
      <c r="I251" s="678"/>
      <c r="J251" s="678"/>
      <c r="K251" s="677"/>
      <c r="L251" s="678"/>
      <c r="M251" s="458" t="s">
        <v>305</v>
      </c>
      <c r="N251" s="294" t="s">
        <v>268</v>
      </c>
      <c r="O251" s="300" t="s">
        <v>269</v>
      </c>
      <c r="P251" s="70" t="str">
        <f>+IF($J251&lt;&gt;"",P$2*$J251,"")</f>
        <v/>
      </c>
      <c r="Q251" s="70" t="str">
        <f>+IF($J251&lt;&gt;"",Q$2*$J251,"")</f>
        <v/>
      </c>
      <c r="R251" s="221" t="s">
        <v>2582</v>
      </c>
      <c r="S251" s="348" t="s">
        <v>2551</v>
      </c>
      <c r="T251" s="703">
        <v>1</v>
      </c>
      <c r="U251" s="681" t="s">
        <v>126</v>
      </c>
      <c r="V251" s="679">
        <v>0</v>
      </c>
      <c r="W251" s="680"/>
      <c r="X251" s="681">
        <v>0</v>
      </c>
      <c r="Y251" s="676"/>
      <c r="Z251" s="678"/>
      <c r="AA251" s="678"/>
      <c r="AB251" s="677"/>
      <c r="AC251" s="678"/>
      <c r="AD251" s="458" t="s">
        <v>305</v>
      </c>
      <c r="AE251" s="294" t="s">
        <v>268</v>
      </c>
      <c r="AF251" s="300" t="s">
        <v>269</v>
      </c>
      <c r="AG251" s="70" t="s">
        <v>2350</v>
      </c>
      <c r="AH251" s="70" t="s">
        <v>2350</v>
      </c>
    </row>
    <row r="252" spans="1:34">
      <c r="A252" s="221" t="s">
        <v>2583</v>
      </c>
      <c r="B252" s="348" t="s">
        <v>2556</v>
      </c>
      <c r="C252" s="703">
        <v>1</v>
      </c>
      <c r="D252" s="681" t="s">
        <v>126</v>
      </c>
      <c r="E252" s="679">
        <v>0</v>
      </c>
      <c r="F252" s="680"/>
      <c r="G252" s="681">
        <f t="shared" si="77"/>
        <v>0</v>
      </c>
      <c r="H252" s="676"/>
      <c r="I252" s="678"/>
      <c r="J252" s="678"/>
      <c r="K252" s="677"/>
      <c r="L252" s="678"/>
      <c r="M252" s="458" t="s">
        <v>305</v>
      </c>
      <c r="N252" s="294" t="s">
        <v>268</v>
      </c>
      <c r="O252" s="300" t="s">
        <v>269</v>
      </c>
      <c r="P252" s="70" t="str">
        <f t="shared" si="79"/>
        <v/>
      </c>
      <c r="Q252" s="70" t="str">
        <f t="shared" si="79"/>
        <v/>
      </c>
      <c r="R252" s="221" t="s">
        <v>2583</v>
      </c>
      <c r="S252" s="348" t="s">
        <v>2556</v>
      </c>
      <c r="T252" s="703">
        <v>1</v>
      </c>
      <c r="U252" s="681" t="s">
        <v>126</v>
      </c>
      <c r="V252" s="679">
        <v>0</v>
      </c>
      <c r="W252" s="680"/>
      <c r="X252" s="681">
        <v>0</v>
      </c>
      <c r="Y252" s="676"/>
      <c r="Z252" s="678"/>
      <c r="AA252" s="678"/>
      <c r="AB252" s="677"/>
      <c r="AC252" s="678"/>
      <c r="AD252" s="458" t="s">
        <v>305</v>
      </c>
      <c r="AE252" s="294" t="s">
        <v>268</v>
      </c>
      <c r="AF252" s="300" t="s">
        <v>269</v>
      </c>
      <c r="AG252" s="70" t="s">
        <v>2350</v>
      </c>
      <c r="AH252" s="70" t="s">
        <v>2350</v>
      </c>
    </row>
    <row r="253" spans="1:34">
      <c r="A253" s="221" t="s">
        <v>2581</v>
      </c>
      <c r="B253" s="348" t="s">
        <v>2557</v>
      </c>
      <c r="C253" s="703">
        <v>1</v>
      </c>
      <c r="D253" s="681" t="s">
        <v>126</v>
      </c>
      <c r="E253" s="679">
        <v>0</v>
      </c>
      <c r="F253" s="680"/>
      <c r="G253" s="681">
        <f t="shared" ref="G253" si="81">E253-(E253*F253)</f>
        <v>0</v>
      </c>
      <c r="H253" s="676"/>
      <c r="I253" s="678"/>
      <c r="J253" s="678"/>
      <c r="K253" s="677"/>
      <c r="L253" s="678"/>
      <c r="M253" s="458" t="s">
        <v>305</v>
      </c>
      <c r="N253" s="294" t="s">
        <v>268</v>
      </c>
      <c r="O253" s="300" t="s">
        <v>269</v>
      </c>
      <c r="P253" s="70"/>
      <c r="Q253" s="70"/>
      <c r="R253" s="221" t="s">
        <v>2581</v>
      </c>
      <c r="S253" s="348" t="s">
        <v>2557</v>
      </c>
      <c r="T253" s="703">
        <v>1</v>
      </c>
      <c r="U253" s="681" t="s">
        <v>126</v>
      </c>
      <c r="V253" s="679">
        <v>0</v>
      </c>
      <c r="W253" s="680"/>
      <c r="X253" s="681">
        <v>0</v>
      </c>
      <c r="Y253" s="676"/>
      <c r="Z253" s="678"/>
      <c r="AA253" s="678"/>
      <c r="AB253" s="677"/>
      <c r="AC253" s="678"/>
      <c r="AD253" s="458" t="s">
        <v>305</v>
      </c>
      <c r="AE253" s="294" t="s">
        <v>268</v>
      </c>
      <c r="AF253" s="300" t="s">
        <v>269</v>
      </c>
      <c r="AG253" s="70"/>
      <c r="AH253" s="70"/>
    </row>
    <row r="254" spans="1:34">
      <c r="A254" s="221" t="s">
        <v>2584</v>
      </c>
      <c r="B254" s="348" t="s">
        <v>2552</v>
      </c>
      <c r="C254" s="703">
        <v>1</v>
      </c>
      <c r="D254" s="681" t="s">
        <v>126</v>
      </c>
      <c r="E254" s="679">
        <v>25</v>
      </c>
      <c r="F254" s="680">
        <f>rv_im21_hg_cto</f>
        <v>0.17199999999999999</v>
      </c>
      <c r="G254" s="681">
        <f t="shared" si="77"/>
        <v>20.7</v>
      </c>
      <c r="H254" s="676"/>
      <c r="I254" s="678"/>
      <c r="J254" s="678"/>
      <c r="K254" s="677"/>
      <c r="L254" s="678"/>
      <c r="M254" s="458" t="s">
        <v>305</v>
      </c>
      <c r="N254" s="294" t="s">
        <v>268</v>
      </c>
      <c r="O254" s="300" t="s">
        <v>269</v>
      </c>
      <c r="P254" s="70" t="str">
        <f t="shared" si="79"/>
        <v/>
      </c>
      <c r="Q254" s="70" t="str">
        <f t="shared" si="79"/>
        <v/>
      </c>
      <c r="R254" s="221" t="s">
        <v>2584</v>
      </c>
      <c r="S254" s="348" t="s">
        <v>2552</v>
      </c>
      <c r="T254" s="703">
        <v>1</v>
      </c>
      <c r="U254" s="681" t="s">
        <v>126</v>
      </c>
      <c r="V254" s="679">
        <v>25</v>
      </c>
      <c r="W254" s="680">
        <v>0.17199999999999999</v>
      </c>
      <c r="X254" s="681">
        <v>20.7</v>
      </c>
      <c r="Y254" s="676"/>
      <c r="Z254" s="678"/>
      <c r="AA254" s="678"/>
      <c r="AB254" s="677"/>
      <c r="AC254" s="678"/>
      <c r="AD254" s="458" t="s">
        <v>305</v>
      </c>
      <c r="AE254" s="294" t="s">
        <v>268</v>
      </c>
      <c r="AF254" s="300" t="s">
        <v>269</v>
      </c>
      <c r="AG254" s="70" t="s">
        <v>2350</v>
      </c>
      <c r="AH254" s="70" t="s">
        <v>2350</v>
      </c>
    </row>
    <row r="255" spans="1:34">
      <c r="A255" s="304" t="s">
        <v>2586</v>
      </c>
      <c r="B255" s="348" t="s">
        <v>2553</v>
      </c>
      <c r="C255" s="703">
        <v>1</v>
      </c>
      <c r="D255" s="681" t="s">
        <v>126</v>
      </c>
      <c r="E255" s="679">
        <v>25</v>
      </c>
      <c r="F255" s="680">
        <f>rv_im21_hg_cto</f>
        <v>0.17199999999999999</v>
      </c>
      <c r="G255" s="681">
        <f>E255-(E255*F255)</f>
        <v>20.7</v>
      </c>
      <c r="H255" s="676"/>
      <c r="I255" s="678"/>
      <c r="J255" s="678"/>
      <c r="K255" s="677"/>
      <c r="L255" s="678"/>
      <c r="M255" s="458" t="s">
        <v>305</v>
      </c>
      <c r="N255" s="294" t="s">
        <v>268</v>
      </c>
      <c r="O255" s="300" t="s">
        <v>269</v>
      </c>
      <c r="P255" s="70" t="str">
        <f>+IF($J255&lt;&gt;"",P$2*$J255,"")</f>
        <v/>
      </c>
      <c r="Q255" s="70" t="str">
        <f>+IF($J255&lt;&gt;"",Q$2*$J255,"")</f>
        <v/>
      </c>
      <c r="R255" s="304" t="s">
        <v>2586</v>
      </c>
      <c r="S255" s="348" t="s">
        <v>2553</v>
      </c>
      <c r="T255" s="703">
        <v>1</v>
      </c>
      <c r="U255" s="681" t="s">
        <v>126</v>
      </c>
      <c r="V255" s="679">
        <v>25</v>
      </c>
      <c r="W255" s="680">
        <v>0.17199999999999999</v>
      </c>
      <c r="X255" s="681">
        <v>20.7</v>
      </c>
      <c r="Y255" s="676"/>
      <c r="Z255" s="678"/>
      <c r="AA255" s="678"/>
      <c r="AB255" s="677"/>
      <c r="AC255" s="678"/>
      <c r="AD255" s="458" t="s">
        <v>305</v>
      </c>
      <c r="AE255" s="294" t="s">
        <v>268</v>
      </c>
      <c r="AF255" s="300" t="s">
        <v>269</v>
      </c>
      <c r="AG255" s="70" t="s">
        <v>2350</v>
      </c>
      <c r="AH255" s="70" t="s">
        <v>2350</v>
      </c>
    </row>
    <row r="256" spans="1:34">
      <c r="A256" s="221" t="s">
        <v>2587</v>
      </c>
      <c r="B256" s="348" t="s">
        <v>2558</v>
      </c>
      <c r="C256" s="703">
        <v>1</v>
      </c>
      <c r="D256" s="681" t="s">
        <v>126</v>
      </c>
      <c r="E256" s="679">
        <v>25</v>
      </c>
      <c r="F256" s="680">
        <f>rv_im21_hg_cto</f>
        <v>0.17199999999999999</v>
      </c>
      <c r="G256" s="681">
        <f t="shared" si="77"/>
        <v>20.7</v>
      </c>
      <c r="H256" s="676"/>
      <c r="I256" s="678"/>
      <c r="J256" s="678"/>
      <c r="K256" s="677"/>
      <c r="L256" s="678"/>
      <c r="M256" s="458" t="s">
        <v>305</v>
      </c>
      <c r="N256" s="294" t="s">
        <v>268</v>
      </c>
      <c r="O256" s="300" t="s">
        <v>269</v>
      </c>
      <c r="P256" s="70" t="str">
        <f t="shared" si="79"/>
        <v/>
      </c>
      <c r="Q256" s="70" t="str">
        <f t="shared" si="79"/>
        <v/>
      </c>
      <c r="R256" s="221" t="s">
        <v>2587</v>
      </c>
      <c r="S256" s="348" t="s">
        <v>2558</v>
      </c>
      <c r="T256" s="703">
        <v>1</v>
      </c>
      <c r="U256" s="681" t="s">
        <v>126</v>
      </c>
      <c r="V256" s="679">
        <v>25</v>
      </c>
      <c r="W256" s="680">
        <v>0.17199999999999999</v>
      </c>
      <c r="X256" s="681">
        <v>20.7</v>
      </c>
      <c r="Y256" s="676"/>
      <c r="Z256" s="678"/>
      <c r="AA256" s="678"/>
      <c r="AB256" s="677"/>
      <c r="AC256" s="678"/>
      <c r="AD256" s="458" t="s">
        <v>305</v>
      </c>
      <c r="AE256" s="294" t="s">
        <v>268</v>
      </c>
      <c r="AF256" s="300" t="s">
        <v>269</v>
      </c>
      <c r="AG256" s="70" t="s">
        <v>2350</v>
      </c>
      <c r="AH256" s="70" t="s">
        <v>2350</v>
      </c>
    </row>
    <row r="257" spans="1:34">
      <c r="A257" s="221" t="s">
        <v>2585</v>
      </c>
      <c r="B257" s="348" t="s">
        <v>2559</v>
      </c>
      <c r="C257" s="703">
        <v>1</v>
      </c>
      <c r="D257" s="681" t="s">
        <v>126</v>
      </c>
      <c r="E257" s="679">
        <v>25</v>
      </c>
      <c r="F257" s="680">
        <f>rv_im21_hg_cto</f>
        <v>0.17199999999999999</v>
      </c>
      <c r="G257" s="681">
        <f t="shared" ref="G257" si="82">E257-(E257*F257)</f>
        <v>20.7</v>
      </c>
      <c r="H257" s="676"/>
      <c r="I257" s="678"/>
      <c r="J257" s="678"/>
      <c r="K257" s="677"/>
      <c r="L257" s="678"/>
      <c r="M257" s="458" t="s">
        <v>305</v>
      </c>
      <c r="N257" s="294" t="s">
        <v>268</v>
      </c>
      <c r="O257" s="300" t="s">
        <v>269</v>
      </c>
      <c r="P257" s="70"/>
      <c r="Q257" s="70"/>
      <c r="R257" s="221" t="s">
        <v>2585</v>
      </c>
      <c r="S257" s="348" t="s">
        <v>2559</v>
      </c>
      <c r="T257" s="703">
        <v>1</v>
      </c>
      <c r="U257" s="681" t="s">
        <v>126</v>
      </c>
      <c r="V257" s="679">
        <v>25</v>
      </c>
      <c r="W257" s="680">
        <v>0.17199999999999999</v>
      </c>
      <c r="X257" s="681">
        <v>20.7</v>
      </c>
      <c r="Y257" s="676"/>
      <c r="Z257" s="678"/>
      <c r="AA257" s="678"/>
      <c r="AB257" s="677"/>
      <c r="AC257" s="678"/>
      <c r="AD257" s="458" t="s">
        <v>305</v>
      </c>
      <c r="AE257" s="294" t="s">
        <v>268</v>
      </c>
      <c r="AF257" s="300" t="s">
        <v>269</v>
      </c>
      <c r="AG257" s="70"/>
      <c r="AH257" s="70"/>
    </row>
    <row r="258" spans="1:34" s="84" customFormat="1">
      <c r="A258" s="753" t="s">
        <v>2544</v>
      </c>
      <c r="B258" s="695" t="s">
        <v>2545</v>
      </c>
      <c r="C258" s="696">
        <v>1</v>
      </c>
      <c r="D258" s="408" t="s">
        <v>126</v>
      </c>
      <c r="E258" s="406">
        <v>1646</v>
      </c>
      <c r="F258" s="697">
        <f>rv_im21_hg</f>
        <v>0.17199999999999999</v>
      </c>
      <c r="G258" s="408">
        <f t="shared" ref="G258:G264" si="83">E258-(E258*F258)</f>
        <v>1362.8879999999999</v>
      </c>
      <c r="H258" s="696" t="s">
        <v>303</v>
      </c>
      <c r="I258" s="406">
        <v>65.88</v>
      </c>
      <c r="J258" s="406">
        <f>G258+I258</f>
        <v>1428.768</v>
      </c>
      <c r="K258" s="406" t="s">
        <v>128</v>
      </c>
      <c r="L258" s="406">
        <v>3.17</v>
      </c>
      <c r="M258" s="457" t="s">
        <v>3012</v>
      </c>
      <c r="N258" s="313" t="s">
        <v>268</v>
      </c>
      <c r="O258" s="682" t="s">
        <v>269</v>
      </c>
      <c r="P258" s="675">
        <f t="shared" si="79"/>
        <v>287.62349624480873</v>
      </c>
      <c r="Q258" s="675">
        <f t="shared" si="79"/>
        <v>149.47978870034851</v>
      </c>
      <c r="R258" s="753" t="s">
        <v>2544</v>
      </c>
      <c r="S258" s="695" t="s">
        <v>2545</v>
      </c>
      <c r="T258" s="696">
        <v>1</v>
      </c>
      <c r="U258" s="408" t="s">
        <v>126</v>
      </c>
      <c r="V258" s="406">
        <v>1647.75</v>
      </c>
      <c r="W258" s="697">
        <v>0.17199999999999999</v>
      </c>
      <c r="X258" s="408">
        <v>1364.337</v>
      </c>
      <c r="Y258" s="696" t="s">
        <v>303</v>
      </c>
      <c r="Z258" s="406">
        <v>65.88</v>
      </c>
      <c r="AA258" s="406">
        <v>1430.2170000000001</v>
      </c>
      <c r="AB258" s="406" t="s">
        <v>128</v>
      </c>
      <c r="AC258" s="406">
        <v>1.42</v>
      </c>
      <c r="AD258" s="457" t="s">
        <v>305</v>
      </c>
      <c r="AE258" s="313" t="s">
        <v>268</v>
      </c>
      <c r="AF258" s="682" t="s">
        <v>269</v>
      </c>
      <c r="AG258" s="675">
        <v>287.91519261962867</v>
      </c>
      <c r="AH258" s="675">
        <v>149.63138519035024</v>
      </c>
    </row>
    <row r="259" spans="1:34">
      <c r="A259" s="221" t="s">
        <v>2589</v>
      </c>
      <c r="B259" s="348" t="s">
        <v>2561</v>
      </c>
      <c r="C259" s="415">
        <v>1</v>
      </c>
      <c r="D259" s="91" t="s">
        <v>126</v>
      </c>
      <c r="E259" s="679">
        <v>191.67</v>
      </c>
      <c r="F259" s="680">
        <f t="shared" ref="F259:F264" si="84">rv_im21_hg_cto</f>
        <v>0.17199999999999999</v>
      </c>
      <c r="G259" s="681">
        <f t="shared" si="83"/>
        <v>158.70275999999998</v>
      </c>
      <c r="H259" s="676"/>
      <c r="I259" s="678"/>
      <c r="J259" s="678"/>
      <c r="K259" s="677"/>
      <c r="L259" s="678"/>
      <c r="M259" s="458" t="s">
        <v>3012</v>
      </c>
      <c r="N259" s="293" t="s">
        <v>268</v>
      </c>
      <c r="O259" s="298" t="s">
        <v>269</v>
      </c>
      <c r="P259" s="70"/>
      <c r="Q259" s="70"/>
      <c r="R259" s="221" t="s">
        <v>2589</v>
      </c>
      <c r="S259" s="348" t="s">
        <v>2561</v>
      </c>
      <c r="T259" s="415">
        <v>1</v>
      </c>
      <c r="U259" s="91" t="s">
        <v>126</v>
      </c>
      <c r="V259" s="679">
        <v>191.67</v>
      </c>
      <c r="W259" s="680">
        <v>0.17199999999999999</v>
      </c>
      <c r="X259" s="681">
        <v>158.70275999999998</v>
      </c>
      <c r="Y259" s="676"/>
      <c r="Z259" s="678"/>
      <c r="AA259" s="678"/>
      <c r="AB259" s="677"/>
      <c r="AC259" s="678"/>
      <c r="AD259" s="458" t="s">
        <v>304</v>
      </c>
      <c r="AE259" s="293" t="s">
        <v>268</v>
      </c>
      <c r="AF259" s="298" t="s">
        <v>269</v>
      </c>
      <c r="AG259" s="70"/>
      <c r="AH259" s="70"/>
    </row>
    <row r="260" spans="1:34">
      <c r="A260" s="221" t="s">
        <v>2590</v>
      </c>
      <c r="B260" s="348" t="s">
        <v>2563</v>
      </c>
      <c r="C260" s="415">
        <v>1</v>
      </c>
      <c r="D260" s="91" t="s">
        <v>126</v>
      </c>
      <c r="E260" s="679">
        <v>383.33</v>
      </c>
      <c r="F260" s="680">
        <f t="shared" si="84"/>
        <v>0.17199999999999999</v>
      </c>
      <c r="G260" s="681">
        <f t="shared" ref="G260" si="85">E260-(E260*F260)</f>
        <v>317.39724000000001</v>
      </c>
      <c r="H260" s="676"/>
      <c r="I260" s="678"/>
      <c r="J260" s="678"/>
      <c r="K260" s="677"/>
      <c r="L260" s="678"/>
      <c r="M260" s="458" t="s">
        <v>3012</v>
      </c>
      <c r="N260" s="293" t="s">
        <v>268</v>
      </c>
      <c r="O260" s="298" t="s">
        <v>269</v>
      </c>
      <c r="P260" s="70"/>
      <c r="Q260" s="70"/>
      <c r="R260" s="221" t="s">
        <v>2590</v>
      </c>
      <c r="S260" s="348" t="s">
        <v>2563</v>
      </c>
      <c r="T260" s="415">
        <v>1</v>
      </c>
      <c r="U260" s="91" t="s">
        <v>126</v>
      </c>
      <c r="V260" s="679">
        <v>383.33</v>
      </c>
      <c r="W260" s="680">
        <v>0.17199999999999999</v>
      </c>
      <c r="X260" s="681">
        <v>317.39724000000001</v>
      </c>
      <c r="Y260" s="676"/>
      <c r="Z260" s="678"/>
      <c r="AA260" s="678"/>
      <c r="AB260" s="677"/>
      <c r="AC260" s="678"/>
      <c r="AD260" s="458" t="s">
        <v>304</v>
      </c>
      <c r="AE260" s="293" t="s">
        <v>268</v>
      </c>
      <c r="AF260" s="298" t="s">
        <v>269</v>
      </c>
      <c r="AG260" s="70"/>
      <c r="AH260" s="70"/>
    </row>
    <row r="261" spans="1:34">
      <c r="A261" s="221" t="s">
        <v>2591</v>
      </c>
      <c r="B261" s="348" t="s">
        <v>2547</v>
      </c>
      <c r="C261" s="415">
        <v>1</v>
      </c>
      <c r="D261" s="91" t="s">
        <v>126</v>
      </c>
      <c r="E261" s="679">
        <v>191.67</v>
      </c>
      <c r="F261" s="680">
        <f t="shared" si="84"/>
        <v>0.17199999999999999</v>
      </c>
      <c r="G261" s="681">
        <f t="shared" si="83"/>
        <v>158.70275999999998</v>
      </c>
      <c r="H261" s="676"/>
      <c r="I261" s="678"/>
      <c r="J261" s="678"/>
      <c r="K261" s="677"/>
      <c r="L261" s="678"/>
      <c r="M261" s="458" t="s">
        <v>3012</v>
      </c>
      <c r="N261" s="294" t="s">
        <v>268</v>
      </c>
      <c r="O261" s="300" t="s">
        <v>269</v>
      </c>
      <c r="P261" s="70" t="str">
        <f t="shared" si="79"/>
        <v/>
      </c>
      <c r="Q261" s="70" t="str">
        <f t="shared" si="79"/>
        <v/>
      </c>
      <c r="R261" s="221" t="s">
        <v>2591</v>
      </c>
      <c r="S261" s="348" t="s">
        <v>2547</v>
      </c>
      <c r="T261" s="415">
        <v>1</v>
      </c>
      <c r="U261" s="91" t="s">
        <v>126</v>
      </c>
      <c r="V261" s="679">
        <v>191.67</v>
      </c>
      <c r="W261" s="680">
        <v>0.17199999999999999</v>
      </c>
      <c r="X261" s="681">
        <v>158.70275999999998</v>
      </c>
      <c r="Y261" s="676"/>
      <c r="Z261" s="678"/>
      <c r="AA261" s="678"/>
      <c r="AB261" s="677"/>
      <c r="AC261" s="678"/>
      <c r="AD261" s="458" t="s">
        <v>305</v>
      </c>
      <c r="AE261" s="294" t="s">
        <v>268</v>
      </c>
      <c r="AF261" s="300" t="s">
        <v>269</v>
      </c>
      <c r="AG261" s="70" t="s">
        <v>2350</v>
      </c>
      <c r="AH261" s="70" t="s">
        <v>2350</v>
      </c>
    </row>
    <row r="262" spans="1:34">
      <c r="A262" s="221" t="s">
        <v>2592</v>
      </c>
      <c r="B262" s="348" t="s">
        <v>2560</v>
      </c>
      <c r="C262" s="415">
        <v>1</v>
      </c>
      <c r="D262" s="91" t="s">
        <v>126</v>
      </c>
      <c r="E262" s="679">
        <v>575</v>
      </c>
      <c r="F262" s="680">
        <f t="shared" si="84"/>
        <v>0.17199999999999999</v>
      </c>
      <c r="G262" s="681">
        <f t="shared" si="83"/>
        <v>476.1</v>
      </c>
      <c r="H262" s="676"/>
      <c r="I262" s="678"/>
      <c r="J262" s="678"/>
      <c r="K262" s="677"/>
      <c r="L262" s="678"/>
      <c r="M262" s="458" t="s">
        <v>3012</v>
      </c>
      <c r="N262" s="294" t="s">
        <v>268</v>
      </c>
      <c r="O262" s="300" t="s">
        <v>269</v>
      </c>
      <c r="P262" s="70" t="str">
        <f t="shared" si="79"/>
        <v/>
      </c>
      <c r="Q262" s="70" t="str">
        <f t="shared" si="79"/>
        <v/>
      </c>
      <c r="R262" s="221" t="s">
        <v>2592</v>
      </c>
      <c r="S262" s="348" t="s">
        <v>2560</v>
      </c>
      <c r="T262" s="415">
        <v>1</v>
      </c>
      <c r="U262" s="91" t="s">
        <v>126</v>
      </c>
      <c r="V262" s="679">
        <v>575</v>
      </c>
      <c r="W262" s="680">
        <v>0.17199999999999999</v>
      </c>
      <c r="X262" s="681">
        <v>476.1</v>
      </c>
      <c r="Y262" s="676"/>
      <c r="Z262" s="678"/>
      <c r="AA262" s="678"/>
      <c r="AB262" s="677"/>
      <c r="AC262" s="678"/>
      <c r="AD262" s="458" t="s">
        <v>305</v>
      </c>
      <c r="AE262" s="294" t="s">
        <v>268</v>
      </c>
      <c r="AF262" s="300" t="s">
        <v>269</v>
      </c>
      <c r="AG262" s="70" t="s">
        <v>2350</v>
      </c>
      <c r="AH262" s="70" t="s">
        <v>2350</v>
      </c>
    </row>
    <row r="263" spans="1:34">
      <c r="A263" s="221" t="s">
        <v>2588</v>
      </c>
      <c r="B263" s="348" t="s">
        <v>2562</v>
      </c>
      <c r="C263" s="703">
        <v>1</v>
      </c>
      <c r="D263" s="681" t="s">
        <v>126</v>
      </c>
      <c r="E263" s="679">
        <v>191.67</v>
      </c>
      <c r="F263" s="680">
        <f t="shared" si="84"/>
        <v>0.17199999999999999</v>
      </c>
      <c r="G263" s="681">
        <f t="shared" si="83"/>
        <v>158.70275999999998</v>
      </c>
      <c r="H263" s="676"/>
      <c r="I263" s="678"/>
      <c r="J263" s="678"/>
      <c r="K263" s="677"/>
      <c r="L263" s="678"/>
      <c r="M263" s="458" t="s">
        <v>3012</v>
      </c>
      <c r="N263" s="294" t="s">
        <v>268</v>
      </c>
      <c r="O263" s="300" t="s">
        <v>269</v>
      </c>
      <c r="P263" s="70"/>
      <c r="Q263" s="70"/>
      <c r="R263" s="221" t="s">
        <v>2588</v>
      </c>
      <c r="S263" s="348" t="s">
        <v>2562</v>
      </c>
      <c r="T263" s="703">
        <v>1</v>
      </c>
      <c r="U263" s="681" t="s">
        <v>126</v>
      </c>
      <c r="V263" s="679">
        <v>191.67</v>
      </c>
      <c r="W263" s="680">
        <v>0.17199999999999999</v>
      </c>
      <c r="X263" s="681">
        <v>158.70275999999998</v>
      </c>
      <c r="Y263" s="676"/>
      <c r="Z263" s="678"/>
      <c r="AA263" s="678"/>
      <c r="AB263" s="677"/>
      <c r="AC263" s="678"/>
      <c r="AD263" s="458" t="s">
        <v>305</v>
      </c>
      <c r="AE263" s="294" t="s">
        <v>268</v>
      </c>
      <c r="AF263" s="300" t="s">
        <v>269</v>
      </c>
      <c r="AG263" s="70"/>
      <c r="AH263" s="70"/>
    </row>
    <row r="264" spans="1:34">
      <c r="A264" s="221" t="s">
        <v>2593</v>
      </c>
      <c r="B264" s="348" t="s">
        <v>2549</v>
      </c>
      <c r="C264" s="415">
        <v>1</v>
      </c>
      <c r="D264" s="91" t="s">
        <v>126</v>
      </c>
      <c r="E264" s="679">
        <v>45</v>
      </c>
      <c r="F264" s="680">
        <f t="shared" si="84"/>
        <v>0.17199999999999999</v>
      </c>
      <c r="G264" s="681">
        <f t="shared" si="83"/>
        <v>37.26</v>
      </c>
      <c r="H264" s="676"/>
      <c r="I264" s="678"/>
      <c r="J264" s="678"/>
      <c r="K264" s="677"/>
      <c r="L264" s="678"/>
      <c r="M264" s="458" t="s">
        <v>3012</v>
      </c>
      <c r="N264" s="294" t="s">
        <v>268</v>
      </c>
      <c r="O264" s="300" t="s">
        <v>269</v>
      </c>
      <c r="P264" s="70" t="str">
        <f t="shared" si="79"/>
        <v/>
      </c>
      <c r="Q264" s="70" t="str">
        <f t="shared" si="79"/>
        <v/>
      </c>
      <c r="R264" s="221" t="s">
        <v>2593</v>
      </c>
      <c r="S264" s="348" t="s">
        <v>2549</v>
      </c>
      <c r="T264" s="415">
        <v>1</v>
      </c>
      <c r="U264" s="91" t="s">
        <v>126</v>
      </c>
      <c r="V264" s="679">
        <v>45</v>
      </c>
      <c r="W264" s="680">
        <v>0.17199999999999999</v>
      </c>
      <c r="X264" s="681">
        <v>37.26</v>
      </c>
      <c r="Y264" s="676"/>
      <c r="Z264" s="678"/>
      <c r="AA264" s="678"/>
      <c r="AB264" s="677"/>
      <c r="AC264" s="678"/>
      <c r="AD264" s="458" t="s">
        <v>305</v>
      </c>
      <c r="AE264" s="294" t="s">
        <v>268</v>
      </c>
      <c r="AF264" s="300" t="s">
        <v>269</v>
      </c>
      <c r="AG264" s="70" t="s">
        <v>2350</v>
      </c>
      <c r="AH264" s="70" t="s">
        <v>2350</v>
      </c>
    </row>
    <row r="265" spans="1:34">
      <c r="A265" s="688" t="s">
        <v>2595</v>
      </c>
      <c r="B265" s="348" t="s">
        <v>2551</v>
      </c>
      <c r="C265" s="415">
        <v>1</v>
      </c>
      <c r="D265" s="91" t="s">
        <v>126</v>
      </c>
      <c r="E265" s="679">
        <v>0</v>
      </c>
      <c r="F265" s="680"/>
      <c r="G265" s="681">
        <f>E265-(E265*F265)</f>
        <v>0</v>
      </c>
      <c r="H265" s="676"/>
      <c r="I265" s="678"/>
      <c r="J265" s="678"/>
      <c r="K265" s="677"/>
      <c r="L265" s="678"/>
      <c r="M265" s="458" t="s">
        <v>3012</v>
      </c>
      <c r="N265" s="294" t="s">
        <v>268</v>
      </c>
      <c r="O265" s="300" t="s">
        <v>269</v>
      </c>
      <c r="P265" s="70" t="str">
        <f>+IF($J265&lt;&gt;"",P$2*$J265,"")</f>
        <v/>
      </c>
      <c r="Q265" s="70" t="str">
        <f>+IF($J265&lt;&gt;"",Q$2*$J265,"")</f>
        <v/>
      </c>
      <c r="R265" s="688" t="s">
        <v>2595</v>
      </c>
      <c r="S265" s="348" t="s">
        <v>2551</v>
      </c>
      <c r="T265" s="415">
        <v>1</v>
      </c>
      <c r="U265" s="91" t="s">
        <v>126</v>
      </c>
      <c r="V265" s="679">
        <v>0</v>
      </c>
      <c r="W265" s="680"/>
      <c r="X265" s="681">
        <v>0</v>
      </c>
      <c r="Y265" s="676"/>
      <c r="Z265" s="678"/>
      <c r="AA265" s="678"/>
      <c r="AB265" s="677"/>
      <c r="AC265" s="678"/>
      <c r="AD265" s="458" t="s">
        <v>305</v>
      </c>
      <c r="AE265" s="294" t="s">
        <v>268</v>
      </c>
      <c r="AF265" s="300" t="s">
        <v>269</v>
      </c>
      <c r="AG265" s="70" t="s">
        <v>2350</v>
      </c>
      <c r="AH265" s="70" t="s">
        <v>2350</v>
      </c>
    </row>
    <row r="266" spans="1:34">
      <c r="A266" s="304" t="s">
        <v>2596</v>
      </c>
      <c r="B266" s="348" t="s">
        <v>2556</v>
      </c>
      <c r="C266" s="415">
        <v>1</v>
      </c>
      <c r="D266" s="91" t="s">
        <v>126</v>
      </c>
      <c r="E266" s="679">
        <v>0</v>
      </c>
      <c r="F266" s="680"/>
      <c r="G266" s="681">
        <f t="shared" ref="G266:G268" si="86">E266-(E266*F266)</f>
        <v>0</v>
      </c>
      <c r="H266" s="676"/>
      <c r="I266" s="678"/>
      <c r="J266" s="678"/>
      <c r="K266" s="677"/>
      <c r="L266" s="678"/>
      <c r="M266" s="458" t="s">
        <v>3012</v>
      </c>
      <c r="N266" s="294" t="s">
        <v>268</v>
      </c>
      <c r="O266" s="300" t="s">
        <v>269</v>
      </c>
      <c r="P266" s="70" t="str">
        <f t="shared" ref="P266:Q270" si="87">+IF($J266&lt;&gt;"",P$2*$J266,"")</f>
        <v/>
      </c>
      <c r="Q266" s="70" t="str">
        <f t="shared" si="87"/>
        <v/>
      </c>
      <c r="R266" s="304" t="s">
        <v>2596</v>
      </c>
      <c r="S266" s="348" t="s">
        <v>2556</v>
      </c>
      <c r="T266" s="415">
        <v>1</v>
      </c>
      <c r="U266" s="91" t="s">
        <v>126</v>
      </c>
      <c r="V266" s="679">
        <v>0</v>
      </c>
      <c r="W266" s="680"/>
      <c r="X266" s="681">
        <v>0</v>
      </c>
      <c r="Y266" s="676"/>
      <c r="Z266" s="678"/>
      <c r="AA266" s="678"/>
      <c r="AB266" s="677"/>
      <c r="AC266" s="678"/>
      <c r="AD266" s="458" t="s">
        <v>305</v>
      </c>
      <c r="AE266" s="294" t="s">
        <v>268</v>
      </c>
      <c r="AF266" s="300" t="s">
        <v>269</v>
      </c>
      <c r="AG266" s="70" t="s">
        <v>2350</v>
      </c>
      <c r="AH266" s="70" t="s">
        <v>2350</v>
      </c>
    </row>
    <row r="267" spans="1:34">
      <c r="A267" s="221" t="s">
        <v>2594</v>
      </c>
      <c r="B267" s="348" t="s">
        <v>2557</v>
      </c>
      <c r="C267" s="415">
        <v>1</v>
      </c>
      <c r="D267" s="91" t="s">
        <v>126</v>
      </c>
      <c r="E267" s="679">
        <v>0</v>
      </c>
      <c r="F267" s="680"/>
      <c r="G267" s="681">
        <f t="shared" ref="G267" si="88">E267-(E267*F267)</f>
        <v>0</v>
      </c>
      <c r="H267" s="676"/>
      <c r="I267" s="678"/>
      <c r="J267" s="678"/>
      <c r="K267" s="677"/>
      <c r="L267" s="678"/>
      <c r="M267" s="458" t="s">
        <v>3012</v>
      </c>
      <c r="N267" s="294" t="s">
        <v>268</v>
      </c>
      <c r="O267" s="300" t="s">
        <v>269</v>
      </c>
      <c r="P267" s="70"/>
      <c r="Q267" s="70"/>
      <c r="R267" s="221" t="s">
        <v>2594</v>
      </c>
      <c r="S267" s="348" t="s">
        <v>2557</v>
      </c>
      <c r="T267" s="415">
        <v>1</v>
      </c>
      <c r="U267" s="91" t="s">
        <v>126</v>
      </c>
      <c r="V267" s="679">
        <v>0</v>
      </c>
      <c r="W267" s="680"/>
      <c r="X267" s="681">
        <v>0</v>
      </c>
      <c r="Y267" s="676"/>
      <c r="Z267" s="678"/>
      <c r="AA267" s="678"/>
      <c r="AB267" s="677"/>
      <c r="AC267" s="678"/>
      <c r="AD267" s="458" t="s">
        <v>305</v>
      </c>
      <c r="AE267" s="294" t="s">
        <v>268</v>
      </c>
      <c r="AF267" s="300" t="s">
        <v>269</v>
      </c>
      <c r="AG267" s="70"/>
      <c r="AH267" s="70"/>
    </row>
    <row r="268" spans="1:34">
      <c r="A268" s="221" t="s">
        <v>2597</v>
      </c>
      <c r="B268" s="348" t="s">
        <v>2552</v>
      </c>
      <c r="C268" s="415">
        <v>1</v>
      </c>
      <c r="D268" s="91" t="s">
        <v>126</v>
      </c>
      <c r="E268" s="679">
        <v>25</v>
      </c>
      <c r="F268" s="680">
        <f>rv_im21_hg_cto</f>
        <v>0.17199999999999999</v>
      </c>
      <c r="G268" s="681">
        <f t="shared" si="86"/>
        <v>20.7</v>
      </c>
      <c r="H268" s="676"/>
      <c r="I268" s="678"/>
      <c r="J268" s="678"/>
      <c r="K268" s="677"/>
      <c r="L268" s="678"/>
      <c r="M268" s="458" t="s">
        <v>3012</v>
      </c>
      <c r="N268" s="294" t="s">
        <v>268</v>
      </c>
      <c r="O268" s="300" t="s">
        <v>269</v>
      </c>
      <c r="P268" s="70" t="str">
        <f t="shared" si="87"/>
        <v/>
      </c>
      <c r="Q268" s="70" t="str">
        <f t="shared" si="87"/>
        <v/>
      </c>
      <c r="R268" s="221" t="s">
        <v>2597</v>
      </c>
      <c r="S268" s="348" t="s">
        <v>2552</v>
      </c>
      <c r="T268" s="415">
        <v>1</v>
      </c>
      <c r="U268" s="91" t="s">
        <v>126</v>
      </c>
      <c r="V268" s="679">
        <v>25</v>
      </c>
      <c r="W268" s="680">
        <v>0.17199999999999999</v>
      </c>
      <c r="X268" s="681">
        <v>20.7</v>
      </c>
      <c r="Y268" s="676"/>
      <c r="Z268" s="678"/>
      <c r="AA268" s="678"/>
      <c r="AB268" s="677"/>
      <c r="AC268" s="678"/>
      <c r="AD268" s="458" t="s">
        <v>305</v>
      </c>
      <c r="AE268" s="294" t="s">
        <v>268</v>
      </c>
      <c r="AF268" s="300" t="s">
        <v>269</v>
      </c>
      <c r="AG268" s="70" t="s">
        <v>2350</v>
      </c>
      <c r="AH268" s="70" t="s">
        <v>2350</v>
      </c>
    </row>
    <row r="269" spans="1:34">
      <c r="A269" s="221" t="s">
        <v>2599</v>
      </c>
      <c r="B269" s="348" t="s">
        <v>2553</v>
      </c>
      <c r="C269" s="415">
        <v>1</v>
      </c>
      <c r="D269" s="91" t="s">
        <v>126</v>
      </c>
      <c r="E269" s="679">
        <v>25</v>
      </c>
      <c r="F269" s="680">
        <f>rv_im21_hg_cto</f>
        <v>0.17199999999999999</v>
      </c>
      <c r="G269" s="681">
        <f>E269-(E269*F269)</f>
        <v>20.7</v>
      </c>
      <c r="H269" s="676"/>
      <c r="I269" s="678"/>
      <c r="J269" s="678"/>
      <c r="K269" s="677"/>
      <c r="L269" s="678"/>
      <c r="M269" s="458" t="s">
        <v>3012</v>
      </c>
      <c r="N269" s="294" t="s">
        <v>268</v>
      </c>
      <c r="O269" s="300" t="s">
        <v>269</v>
      </c>
      <c r="P269" s="70" t="str">
        <f>+IF($J269&lt;&gt;"",P$2*$J269,"")</f>
        <v/>
      </c>
      <c r="Q269" s="70" t="str">
        <f>+IF($J269&lt;&gt;"",Q$2*$J269,"")</f>
        <v/>
      </c>
      <c r="R269" s="221" t="s">
        <v>2599</v>
      </c>
      <c r="S269" s="348" t="s">
        <v>2553</v>
      </c>
      <c r="T269" s="415">
        <v>1</v>
      </c>
      <c r="U269" s="91" t="s">
        <v>126</v>
      </c>
      <c r="V269" s="679">
        <v>25</v>
      </c>
      <c r="W269" s="680">
        <v>0.17199999999999999</v>
      </c>
      <c r="X269" s="681">
        <v>20.7</v>
      </c>
      <c r="Y269" s="676"/>
      <c r="Z269" s="678"/>
      <c r="AA269" s="678"/>
      <c r="AB269" s="677"/>
      <c r="AC269" s="678"/>
      <c r="AD269" s="458" t="s">
        <v>305</v>
      </c>
      <c r="AE269" s="294" t="s">
        <v>268</v>
      </c>
      <c r="AF269" s="300" t="s">
        <v>269</v>
      </c>
      <c r="AG269" s="70" t="s">
        <v>2350</v>
      </c>
      <c r="AH269" s="70" t="s">
        <v>2350</v>
      </c>
    </row>
    <row r="270" spans="1:34">
      <c r="A270" s="221" t="s">
        <v>2600</v>
      </c>
      <c r="B270" s="348" t="s">
        <v>2558</v>
      </c>
      <c r="C270" s="415">
        <v>1</v>
      </c>
      <c r="D270" s="91" t="s">
        <v>126</v>
      </c>
      <c r="E270" s="679">
        <v>25</v>
      </c>
      <c r="F270" s="680">
        <f>rv_im21_hg_cto</f>
        <v>0.17199999999999999</v>
      </c>
      <c r="G270" s="681">
        <f t="shared" ref="G270" si="89">E270-(E270*F270)</f>
        <v>20.7</v>
      </c>
      <c r="H270" s="676"/>
      <c r="I270" s="678"/>
      <c r="J270" s="678"/>
      <c r="K270" s="677"/>
      <c r="L270" s="678"/>
      <c r="M270" s="458" t="s">
        <v>3012</v>
      </c>
      <c r="N270" s="294" t="s">
        <v>268</v>
      </c>
      <c r="O270" s="300" t="s">
        <v>269</v>
      </c>
      <c r="P270" s="70" t="str">
        <f t="shared" si="87"/>
        <v/>
      </c>
      <c r="Q270" s="70" t="str">
        <f t="shared" si="87"/>
        <v/>
      </c>
      <c r="R270" s="221" t="s">
        <v>2600</v>
      </c>
      <c r="S270" s="348" t="s">
        <v>2558</v>
      </c>
      <c r="T270" s="415">
        <v>1</v>
      </c>
      <c r="U270" s="91" t="s">
        <v>126</v>
      </c>
      <c r="V270" s="679">
        <v>25</v>
      </c>
      <c r="W270" s="680">
        <v>0.17199999999999999</v>
      </c>
      <c r="X270" s="681">
        <v>20.7</v>
      </c>
      <c r="Y270" s="676"/>
      <c r="Z270" s="678"/>
      <c r="AA270" s="678"/>
      <c r="AB270" s="677"/>
      <c r="AC270" s="678"/>
      <c r="AD270" s="458" t="s">
        <v>305</v>
      </c>
      <c r="AE270" s="294" t="s">
        <v>268</v>
      </c>
      <c r="AF270" s="300" t="s">
        <v>269</v>
      </c>
      <c r="AG270" s="70" t="s">
        <v>2350</v>
      </c>
      <c r="AH270" s="70" t="s">
        <v>2350</v>
      </c>
    </row>
    <row r="271" spans="1:34">
      <c r="A271" s="221" t="s">
        <v>2598</v>
      </c>
      <c r="B271" s="348" t="s">
        <v>2559</v>
      </c>
      <c r="C271" s="415">
        <v>1</v>
      </c>
      <c r="D271" s="91" t="s">
        <v>126</v>
      </c>
      <c r="E271" s="679">
        <v>25</v>
      </c>
      <c r="F271" s="680">
        <f>rv_im21_hg_cto</f>
        <v>0.17199999999999999</v>
      </c>
      <c r="G271" s="681">
        <f t="shared" ref="G271" si="90">E271-(E271*F271)</f>
        <v>20.7</v>
      </c>
      <c r="H271" s="676"/>
      <c r="I271" s="678"/>
      <c r="J271" s="678"/>
      <c r="K271" s="677"/>
      <c r="L271" s="678"/>
      <c r="M271" s="458" t="s">
        <v>3012</v>
      </c>
      <c r="N271" s="294" t="s">
        <v>268</v>
      </c>
      <c r="O271" s="300" t="s">
        <v>269</v>
      </c>
      <c r="P271" s="70"/>
      <c r="Q271" s="70"/>
      <c r="R271" s="221" t="s">
        <v>2598</v>
      </c>
      <c r="S271" s="348" t="s">
        <v>2559</v>
      </c>
      <c r="T271" s="415">
        <v>1</v>
      </c>
      <c r="U271" s="91" t="s">
        <v>126</v>
      </c>
      <c r="V271" s="679">
        <v>25</v>
      </c>
      <c r="W271" s="680">
        <v>0.17199999999999999</v>
      </c>
      <c r="X271" s="681">
        <v>20.7</v>
      </c>
      <c r="Y271" s="676"/>
      <c r="Z271" s="678"/>
      <c r="AA271" s="678"/>
      <c r="AB271" s="677"/>
      <c r="AC271" s="678"/>
      <c r="AD271" s="458" t="s">
        <v>305</v>
      </c>
      <c r="AE271" s="294" t="s">
        <v>268</v>
      </c>
      <c r="AF271" s="300" t="s">
        <v>269</v>
      </c>
      <c r="AG271" s="70"/>
      <c r="AH271" s="70"/>
    </row>
    <row r="272" spans="1:34">
      <c r="A272" s="683" t="s">
        <v>303</v>
      </c>
      <c r="B272" s="684" t="s">
        <v>306</v>
      </c>
      <c r="C272" s="685">
        <v>1</v>
      </c>
      <c r="D272" s="686" t="s">
        <v>134</v>
      </c>
      <c r="E272" s="228">
        <v>79.56</v>
      </c>
      <c r="F272" s="229">
        <f>rv_im21_hg</f>
        <v>0.17199999999999999</v>
      </c>
      <c r="G272" s="230">
        <f t="shared" ref="G272" si="91">E272-(E272*F272)</f>
        <v>65.875680000000003</v>
      </c>
      <c r="H272" s="687"/>
      <c r="I272" s="90"/>
      <c r="J272" s="90"/>
      <c r="K272" s="32"/>
      <c r="L272" s="90"/>
      <c r="M272" s="458" t="s">
        <v>135</v>
      </c>
      <c r="N272" s="294" t="s">
        <v>136</v>
      </c>
      <c r="O272" s="300" t="s">
        <v>272</v>
      </c>
      <c r="P272" s="70" t="str">
        <f t="shared" ref="P272:Q286" si="92">+IF($J272&lt;&gt;"",P$2*$J272,"")</f>
        <v/>
      </c>
      <c r="Q272" s="70" t="str">
        <f t="shared" si="92"/>
        <v/>
      </c>
      <c r="R272" s="683" t="s">
        <v>303</v>
      </c>
      <c r="S272" s="684" t="s">
        <v>306</v>
      </c>
      <c r="T272" s="685">
        <v>1</v>
      </c>
      <c r="U272" s="686" t="s">
        <v>134</v>
      </c>
      <c r="V272" s="228">
        <v>79.56</v>
      </c>
      <c r="W272" s="229">
        <v>0.17199999999999999</v>
      </c>
      <c r="X272" s="91">
        <v>65.875680000000003</v>
      </c>
      <c r="Y272" s="687"/>
      <c r="Z272" s="90"/>
      <c r="AA272" s="90"/>
      <c r="AB272" s="32"/>
      <c r="AC272" s="90"/>
      <c r="AD272" s="458" t="s">
        <v>135</v>
      </c>
      <c r="AE272" s="294" t="s">
        <v>136</v>
      </c>
      <c r="AF272" s="300" t="s">
        <v>272</v>
      </c>
      <c r="AG272" s="70" t="s">
        <v>2350</v>
      </c>
      <c r="AH272" s="70" t="s">
        <v>2350</v>
      </c>
    </row>
    <row r="273" spans="1:34">
      <c r="A273" s="184" t="s">
        <v>307</v>
      </c>
      <c r="B273" s="414" t="s">
        <v>308</v>
      </c>
      <c r="C273" s="89">
        <v>1</v>
      </c>
      <c r="D273" s="31" t="s">
        <v>134</v>
      </c>
      <c r="E273" s="32"/>
      <c r="F273" s="35"/>
      <c r="G273" s="91">
        <v>12</v>
      </c>
      <c r="H273" s="30"/>
      <c r="I273" s="90"/>
      <c r="J273" s="90"/>
      <c r="K273" s="32"/>
      <c r="L273" s="90"/>
      <c r="M273" s="458" t="s">
        <v>135</v>
      </c>
      <c r="N273" s="294" t="s">
        <v>136</v>
      </c>
      <c r="O273" s="300" t="s">
        <v>272</v>
      </c>
      <c r="P273" s="70" t="str">
        <f t="shared" si="92"/>
        <v/>
      </c>
      <c r="Q273" s="70" t="str">
        <f t="shared" si="92"/>
        <v/>
      </c>
      <c r="R273" s="184" t="s">
        <v>307</v>
      </c>
      <c r="S273" s="414" t="s">
        <v>308</v>
      </c>
      <c r="T273" s="89">
        <v>1</v>
      </c>
      <c r="U273" s="31" t="s">
        <v>134</v>
      </c>
      <c r="V273" s="32"/>
      <c r="W273" s="35"/>
      <c r="X273" s="91">
        <v>12</v>
      </c>
      <c r="Y273" s="30"/>
      <c r="Z273" s="90"/>
      <c r="AA273" s="90"/>
      <c r="AB273" s="32"/>
      <c r="AC273" s="90"/>
      <c r="AD273" s="458" t="s">
        <v>135</v>
      </c>
      <c r="AE273" s="294" t="s">
        <v>136</v>
      </c>
      <c r="AF273" s="300" t="s">
        <v>272</v>
      </c>
      <c r="AG273" s="70" t="s">
        <v>2350</v>
      </c>
      <c r="AH273" s="70" t="s">
        <v>2350</v>
      </c>
    </row>
    <row r="274" spans="1:34">
      <c r="A274" s="184" t="s">
        <v>309</v>
      </c>
      <c r="B274" s="414" t="s">
        <v>310</v>
      </c>
      <c r="C274" s="89">
        <v>1</v>
      </c>
      <c r="D274" s="31" t="s">
        <v>134</v>
      </c>
      <c r="E274" s="32"/>
      <c r="F274" s="35"/>
      <c r="G274" s="91">
        <v>17</v>
      </c>
      <c r="H274" s="30"/>
      <c r="I274" s="90"/>
      <c r="J274" s="90"/>
      <c r="K274" s="32"/>
      <c r="L274" s="90"/>
      <c r="M274" s="458" t="s">
        <v>135</v>
      </c>
      <c r="N274" s="294" t="s">
        <v>136</v>
      </c>
      <c r="O274" s="300" t="s">
        <v>272</v>
      </c>
      <c r="P274" s="70" t="str">
        <f t="shared" si="92"/>
        <v/>
      </c>
      <c r="Q274" s="70" t="str">
        <f t="shared" si="92"/>
        <v/>
      </c>
      <c r="R274" s="184" t="s">
        <v>309</v>
      </c>
      <c r="S274" s="414" t="s">
        <v>310</v>
      </c>
      <c r="T274" s="89">
        <v>1</v>
      </c>
      <c r="U274" s="31" t="s">
        <v>134</v>
      </c>
      <c r="V274" s="32"/>
      <c r="W274" s="35"/>
      <c r="X274" s="91">
        <v>17</v>
      </c>
      <c r="Y274" s="30"/>
      <c r="Z274" s="90"/>
      <c r="AA274" s="90"/>
      <c r="AB274" s="32"/>
      <c r="AC274" s="90"/>
      <c r="AD274" s="458" t="s">
        <v>135</v>
      </c>
      <c r="AE274" s="294" t="s">
        <v>136</v>
      </c>
      <c r="AF274" s="300" t="s">
        <v>272</v>
      </c>
      <c r="AG274" s="70" t="s">
        <v>2350</v>
      </c>
      <c r="AH274" s="70" t="s">
        <v>2350</v>
      </c>
    </row>
    <row r="275" spans="1:34">
      <c r="A275" s="184" t="s">
        <v>311</v>
      </c>
      <c r="B275" s="414" t="s">
        <v>312</v>
      </c>
      <c r="C275" s="89">
        <v>1</v>
      </c>
      <c r="D275" s="31" t="s">
        <v>134</v>
      </c>
      <c r="E275" s="32"/>
      <c r="F275" s="35"/>
      <c r="G275" s="91">
        <v>23</v>
      </c>
      <c r="H275" s="30"/>
      <c r="I275" s="90"/>
      <c r="J275" s="90"/>
      <c r="K275" s="32"/>
      <c r="L275" s="90"/>
      <c r="M275" s="458" t="s">
        <v>135</v>
      </c>
      <c r="N275" s="294" t="s">
        <v>136</v>
      </c>
      <c r="O275" s="300" t="s">
        <v>272</v>
      </c>
      <c r="P275" s="70" t="str">
        <f t="shared" si="92"/>
        <v/>
      </c>
      <c r="Q275" s="70" t="str">
        <f t="shared" si="92"/>
        <v/>
      </c>
      <c r="R275" s="184" t="s">
        <v>311</v>
      </c>
      <c r="S275" s="414" t="s">
        <v>312</v>
      </c>
      <c r="T275" s="89">
        <v>1</v>
      </c>
      <c r="U275" s="31" t="s">
        <v>134</v>
      </c>
      <c r="V275" s="32"/>
      <c r="W275" s="35"/>
      <c r="X275" s="91">
        <v>23</v>
      </c>
      <c r="Y275" s="30"/>
      <c r="Z275" s="90"/>
      <c r="AA275" s="90"/>
      <c r="AB275" s="32"/>
      <c r="AC275" s="90"/>
      <c r="AD275" s="458" t="s">
        <v>135</v>
      </c>
      <c r="AE275" s="294" t="s">
        <v>136</v>
      </c>
      <c r="AF275" s="300" t="s">
        <v>272</v>
      </c>
      <c r="AG275" s="70" t="s">
        <v>2350</v>
      </c>
      <c r="AH275" s="70" t="s">
        <v>2350</v>
      </c>
    </row>
    <row r="276" spans="1:34">
      <c r="A276" s="184" t="s">
        <v>313</v>
      </c>
      <c r="B276" s="414" t="s">
        <v>314</v>
      </c>
      <c r="C276" s="89">
        <v>1</v>
      </c>
      <c r="D276" s="31" t="s">
        <v>134</v>
      </c>
      <c r="E276" s="32"/>
      <c r="F276" s="35"/>
      <c r="G276" s="91">
        <v>21</v>
      </c>
      <c r="H276" s="30"/>
      <c r="I276" s="90"/>
      <c r="J276" s="90"/>
      <c r="K276" s="32"/>
      <c r="L276" s="90"/>
      <c r="M276" s="458" t="s">
        <v>135</v>
      </c>
      <c r="N276" s="294" t="s">
        <v>136</v>
      </c>
      <c r="O276" s="300" t="s">
        <v>272</v>
      </c>
      <c r="P276" s="70" t="str">
        <f t="shared" si="92"/>
        <v/>
      </c>
      <c r="Q276" s="70" t="str">
        <f t="shared" si="92"/>
        <v/>
      </c>
      <c r="R276" s="184" t="s">
        <v>313</v>
      </c>
      <c r="S276" s="414" t="s">
        <v>314</v>
      </c>
      <c r="T276" s="89">
        <v>1</v>
      </c>
      <c r="U276" s="31" t="s">
        <v>134</v>
      </c>
      <c r="V276" s="32"/>
      <c r="W276" s="35"/>
      <c r="X276" s="91">
        <v>21</v>
      </c>
      <c r="Y276" s="30"/>
      <c r="Z276" s="90"/>
      <c r="AA276" s="90"/>
      <c r="AB276" s="32"/>
      <c r="AC276" s="90"/>
      <c r="AD276" s="458" t="s">
        <v>135</v>
      </c>
      <c r="AE276" s="294" t="s">
        <v>136</v>
      </c>
      <c r="AF276" s="300" t="s">
        <v>272</v>
      </c>
      <c r="AG276" s="70" t="s">
        <v>2350</v>
      </c>
      <c r="AH276" s="70" t="s">
        <v>2350</v>
      </c>
    </row>
    <row r="277" spans="1:34">
      <c r="A277" s="184" t="s">
        <v>315</v>
      </c>
      <c r="B277" s="414" t="s">
        <v>316</v>
      </c>
      <c r="C277" s="89">
        <v>1</v>
      </c>
      <c r="D277" s="31" t="s">
        <v>134</v>
      </c>
      <c r="E277" s="32"/>
      <c r="F277" s="35"/>
      <c r="G277" s="91">
        <v>30</v>
      </c>
      <c r="H277" s="30"/>
      <c r="I277" s="90"/>
      <c r="J277" s="90"/>
      <c r="K277" s="32"/>
      <c r="L277" s="90"/>
      <c r="M277" s="458" t="s">
        <v>135</v>
      </c>
      <c r="N277" s="294" t="s">
        <v>136</v>
      </c>
      <c r="O277" s="300" t="s">
        <v>272</v>
      </c>
      <c r="P277" s="70" t="str">
        <f t="shared" si="92"/>
        <v/>
      </c>
      <c r="Q277" s="70" t="str">
        <f t="shared" si="92"/>
        <v/>
      </c>
      <c r="R277" s="184" t="s">
        <v>315</v>
      </c>
      <c r="S277" s="414" t="s">
        <v>316</v>
      </c>
      <c r="T277" s="89">
        <v>1</v>
      </c>
      <c r="U277" s="31" t="s">
        <v>134</v>
      </c>
      <c r="V277" s="32"/>
      <c r="W277" s="35"/>
      <c r="X277" s="91">
        <v>30</v>
      </c>
      <c r="Y277" s="30"/>
      <c r="Z277" s="90"/>
      <c r="AA277" s="90"/>
      <c r="AB277" s="32"/>
      <c r="AC277" s="90"/>
      <c r="AD277" s="458" t="s">
        <v>135</v>
      </c>
      <c r="AE277" s="294" t="s">
        <v>136</v>
      </c>
      <c r="AF277" s="300" t="s">
        <v>272</v>
      </c>
      <c r="AG277" s="70" t="s">
        <v>2350</v>
      </c>
      <c r="AH277" s="70" t="s">
        <v>2350</v>
      </c>
    </row>
    <row r="278" spans="1:34">
      <c r="A278" s="184" t="s">
        <v>317</v>
      </c>
      <c r="B278" s="414" t="s">
        <v>318</v>
      </c>
      <c r="C278" s="89">
        <v>1</v>
      </c>
      <c r="D278" s="31" t="s">
        <v>134</v>
      </c>
      <c r="E278" s="32"/>
      <c r="F278" s="35"/>
      <c r="G278" s="91">
        <v>36</v>
      </c>
      <c r="H278" s="30"/>
      <c r="I278" s="90"/>
      <c r="J278" s="90"/>
      <c r="K278" s="32"/>
      <c r="L278" s="90"/>
      <c r="M278" s="458" t="s">
        <v>135</v>
      </c>
      <c r="N278" s="294" t="s">
        <v>136</v>
      </c>
      <c r="O278" s="300" t="s">
        <v>272</v>
      </c>
      <c r="P278" s="70" t="str">
        <f t="shared" si="92"/>
        <v/>
      </c>
      <c r="Q278" s="70" t="str">
        <f t="shared" si="92"/>
        <v/>
      </c>
      <c r="R278" s="184" t="s">
        <v>317</v>
      </c>
      <c r="S278" s="414" t="s">
        <v>318</v>
      </c>
      <c r="T278" s="89">
        <v>1</v>
      </c>
      <c r="U278" s="31" t="s">
        <v>134</v>
      </c>
      <c r="V278" s="32"/>
      <c r="W278" s="35"/>
      <c r="X278" s="91">
        <v>36</v>
      </c>
      <c r="Y278" s="30"/>
      <c r="Z278" s="90"/>
      <c r="AA278" s="90"/>
      <c r="AB278" s="32"/>
      <c r="AC278" s="90"/>
      <c r="AD278" s="458" t="s">
        <v>135</v>
      </c>
      <c r="AE278" s="294" t="s">
        <v>136</v>
      </c>
      <c r="AF278" s="300" t="s">
        <v>272</v>
      </c>
      <c r="AG278" s="70" t="s">
        <v>2350</v>
      </c>
      <c r="AH278" s="70" t="s">
        <v>2350</v>
      </c>
    </row>
    <row r="279" spans="1:34">
      <c r="A279" s="184" t="s">
        <v>319</v>
      </c>
      <c r="B279" s="414" t="s">
        <v>320</v>
      </c>
      <c r="C279" s="89">
        <v>1</v>
      </c>
      <c r="D279" s="31" t="s">
        <v>134</v>
      </c>
      <c r="E279" s="32"/>
      <c r="F279" s="35"/>
      <c r="G279" s="91">
        <v>37</v>
      </c>
      <c r="H279" s="30"/>
      <c r="I279" s="90"/>
      <c r="J279" s="90"/>
      <c r="K279" s="32"/>
      <c r="L279" s="90"/>
      <c r="M279" s="458" t="s">
        <v>135</v>
      </c>
      <c r="N279" s="294" t="s">
        <v>136</v>
      </c>
      <c r="O279" s="300" t="s">
        <v>272</v>
      </c>
      <c r="P279" s="70" t="str">
        <f t="shared" si="92"/>
        <v/>
      </c>
      <c r="Q279" s="70" t="str">
        <f t="shared" si="92"/>
        <v/>
      </c>
      <c r="R279" s="184" t="s">
        <v>319</v>
      </c>
      <c r="S279" s="414" t="s">
        <v>320</v>
      </c>
      <c r="T279" s="89">
        <v>1</v>
      </c>
      <c r="U279" s="31" t="s">
        <v>134</v>
      </c>
      <c r="V279" s="32"/>
      <c r="W279" s="35"/>
      <c r="X279" s="91">
        <v>37</v>
      </c>
      <c r="Y279" s="30"/>
      <c r="Z279" s="90"/>
      <c r="AA279" s="90"/>
      <c r="AB279" s="32"/>
      <c r="AC279" s="90"/>
      <c r="AD279" s="458" t="s">
        <v>135</v>
      </c>
      <c r="AE279" s="294" t="s">
        <v>136</v>
      </c>
      <c r="AF279" s="300" t="s">
        <v>272</v>
      </c>
      <c r="AG279" s="70" t="s">
        <v>2350</v>
      </c>
      <c r="AH279" s="70" t="s">
        <v>2350</v>
      </c>
    </row>
    <row r="280" spans="1:34">
      <c r="A280" s="184" t="s">
        <v>321</v>
      </c>
      <c r="B280" s="414" t="s">
        <v>322</v>
      </c>
      <c r="C280" s="89">
        <v>1</v>
      </c>
      <c r="D280" s="31" t="s">
        <v>134</v>
      </c>
      <c r="E280" s="32"/>
      <c r="F280" s="35"/>
      <c r="G280" s="91">
        <v>16</v>
      </c>
      <c r="H280" s="30"/>
      <c r="I280" s="90"/>
      <c r="J280" s="90"/>
      <c r="K280" s="32"/>
      <c r="L280" s="90"/>
      <c r="M280" s="458" t="s">
        <v>135</v>
      </c>
      <c r="N280" s="294" t="s">
        <v>136</v>
      </c>
      <c r="O280" s="300" t="s">
        <v>272</v>
      </c>
      <c r="P280" s="70" t="str">
        <f t="shared" si="92"/>
        <v/>
      </c>
      <c r="Q280" s="70" t="str">
        <f t="shared" si="92"/>
        <v/>
      </c>
      <c r="R280" s="184" t="s">
        <v>321</v>
      </c>
      <c r="S280" s="414" t="s">
        <v>322</v>
      </c>
      <c r="T280" s="89">
        <v>1</v>
      </c>
      <c r="U280" s="31" t="s">
        <v>134</v>
      </c>
      <c r="V280" s="32"/>
      <c r="W280" s="35"/>
      <c r="X280" s="91">
        <v>16</v>
      </c>
      <c r="Y280" s="30"/>
      <c r="Z280" s="90"/>
      <c r="AA280" s="90"/>
      <c r="AB280" s="32"/>
      <c r="AC280" s="90"/>
      <c r="AD280" s="458" t="s">
        <v>135</v>
      </c>
      <c r="AE280" s="294" t="s">
        <v>136</v>
      </c>
      <c r="AF280" s="300" t="s">
        <v>272</v>
      </c>
      <c r="AG280" s="70" t="s">
        <v>2350</v>
      </c>
      <c r="AH280" s="70" t="s">
        <v>2350</v>
      </c>
    </row>
    <row r="281" spans="1:34">
      <c r="A281" s="184" t="s">
        <v>323</v>
      </c>
      <c r="B281" s="414" t="s">
        <v>324</v>
      </c>
      <c r="C281" s="89">
        <v>1</v>
      </c>
      <c r="D281" s="31" t="s">
        <v>134</v>
      </c>
      <c r="E281" s="32"/>
      <c r="F281" s="35"/>
      <c r="G281" s="91">
        <v>35</v>
      </c>
      <c r="H281" s="30"/>
      <c r="I281" s="90"/>
      <c r="J281" s="90"/>
      <c r="K281" s="32"/>
      <c r="L281" s="90"/>
      <c r="M281" s="458" t="s">
        <v>135</v>
      </c>
      <c r="N281" s="294" t="s">
        <v>136</v>
      </c>
      <c r="O281" s="300" t="s">
        <v>272</v>
      </c>
      <c r="P281" s="70" t="str">
        <f t="shared" si="92"/>
        <v/>
      </c>
      <c r="Q281" s="70" t="str">
        <f t="shared" si="92"/>
        <v/>
      </c>
      <c r="R281" s="184" t="s">
        <v>323</v>
      </c>
      <c r="S281" s="414" t="s">
        <v>324</v>
      </c>
      <c r="T281" s="89">
        <v>1</v>
      </c>
      <c r="U281" s="31" t="s">
        <v>134</v>
      </c>
      <c r="V281" s="32"/>
      <c r="W281" s="35"/>
      <c r="X281" s="91">
        <v>35</v>
      </c>
      <c r="Y281" s="30"/>
      <c r="Z281" s="90"/>
      <c r="AA281" s="90"/>
      <c r="AB281" s="32"/>
      <c r="AC281" s="90"/>
      <c r="AD281" s="458" t="s">
        <v>135</v>
      </c>
      <c r="AE281" s="294" t="s">
        <v>136</v>
      </c>
      <c r="AF281" s="300" t="s">
        <v>272</v>
      </c>
      <c r="AG281" s="70" t="s">
        <v>2350</v>
      </c>
      <c r="AH281" s="70" t="s">
        <v>2350</v>
      </c>
    </row>
    <row r="282" spans="1:34">
      <c r="A282" s="184" t="s">
        <v>325</v>
      </c>
      <c r="B282" s="414" t="s">
        <v>326</v>
      </c>
      <c r="C282" s="89">
        <v>1</v>
      </c>
      <c r="D282" s="31" t="s">
        <v>134</v>
      </c>
      <c r="E282" s="32"/>
      <c r="F282" s="35"/>
      <c r="G282" s="91">
        <v>46</v>
      </c>
      <c r="H282" s="30"/>
      <c r="I282" s="90"/>
      <c r="J282" s="90"/>
      <c r="K282" s="32"/>
      <c r="L282" s="90"/>
      <c r="M282" s="458" t="s">
        <v>135</v>
      </c>
      <c r="N282" s="294" t="s">
        <v>136</v>
      </c>
      <c r="O282" s="300" t="s">
        <v>272</v>
      </c>
      <c r="P282" s="70" t="str">
        <f t="shared" si="92"/>
        <v/>
      </c>
      <c r="Q282" s="70" t="str">
        <f t="shared" si="92"/>
        <v/>
      </c>
      <c r="R282" s="184" t="s">
        <v>325</v>
      </c>
      <c r="S282" s="414" t="s">
        <v>326</v>
      </c>
      <c r="T282" s="89">
        <v>1</v>
      </c>
      <c r="U282" s="31" t="s">
        <v>134</v>
      </c>
      <c r="V282" s="32"/>
      <c r="W282" s="35"/>
      <c r="X282" s="91">
        <v>46</v>
      </c>
      <c r="Y282" s="30"/>
      <c r="Z282" s="90"/>
      <c r="AA282" s="90"/>
      <c r="AB282" s="32"/>
      <c r="AC282" s="90"/>
      <c r="AD282" s="458" t="s">
        <v>135</v>
      </c>
      <c r="AE282" s="294" t="s">
        <v>136</v>
      </c>
      <c r="AF282" s="300" t="s">
        <v>272</v>
      </c>
      <c r="AG282" s="70" t="s">
        <v>2350</v>
      </c>
      <c r="AH282" s="70" t="s">
        <v>2350</v>
      </c>
    </row>
    <row r="283" spans="1:34">
      <c r="A283" s="184" t="s">
        <v>327</v>
      </c>
      <c r="B283" s="414" t="s">
        <v>328</v>
      </c>
      <c r="C283" s="89">
        <v>1</v>
      </c>
      <c r="D283" s="31" t="s">
        <v>134</v>
      </c>
      <c r="E283" s="32"/>
      <c r="F283" s="35"/>
      <c r="G283" s="91">
        <v>53</v>
      </c>
      <c r="H283" s="30"/>
      <c r="I283" s="90"/>
      <c r="J283" s="90"/>
      <c r="K283" s="32"/>
      <c r="L283" s="90"/>
      <c r="M283" s="458" t="s">
        <v>135</v>
      </c>
      <c r="N283" s="294" t="s">
        <v>136</v>
      </c>
      <c r="O283" s="300" t="s">
        <v>272</v>
      </c>
      <c r="P283" s="70" t="str">
        <f t="shared" si="92"/>
        <v/>
      </c>
      <c r="Q283" s="70" t="str">
        <f t="shared" si="92"/>
        <v/>
      </c>
      <c r="R283" s="184" t="s">
        <v>327</v>
      </c>
      <c r="S283" s="414" t="s">
        <v>328</v>
      </c>
      <c r="T283" s="89">
        <v>1</v>
      </c>
      <c r="U283" s="31" t="s">
        <v>134</v>
      </c>
      <c r="V283" s="32"/>
      <c r="W283" s="35"/>
      <c r="X283" s="91">
        <v>53</v>
      </c>
      <c r="Y283" s="30"/>
      <c r="Z283" s="90"/>
      <c r="AA283" s="90"/>
      <c r="AB283" s="32"/>
      <c r="AC283" s="90"/>
      <c r="AD283" s="458" t="s">
        <v>135</v>
      </c>
      <c r="AE283" s="294" t="s">
        <v>136</v>
      </c>
      <c r="AF283" s="300" t="s">
        <v>272</v>
      </c>
      <c r="AG283" s="70" t="s">
        <v>2350</v>
      </c>
      <c r="AH283" s="70" t="s">
        <v>2350</v>
      </c>
    </row>
    <row r="284" spans="1:34" s="70" customFormat="1">
      <c r="A284" s="192" t="s">
        <v>329</v>
      </c>
      <c r="B284" s="414" t="s">
        <v>330</v>
      </c>
      <c r="C284" s="89">
        <v>1</v>
      </c>
      <c r="D284" s="31" t="s">
        <v>134</v>
      </c>
      <c r="E284" s="32"/>
      <c r="F284" s="35"/>
      <c r="G284" s="91">
        <v>226</v>
      </c>
      <c r="H284" s="30"/>
      <c r="I284" s="90"/>
      <c r="J284" s="90"/>
      <c r="K284" s="32"/>
      <c r="L284" s="90"/>
      <c r="M284" s="458" t="s">
        <v>135</v>
      </c>
      <c r="N284" s="294" t="s">
        <v>136</v>
      </c>
      <c r="O284" s="300" t="s">
        <v>272</v>
      </c>
      <c r="P284" s="70" t="str">
        <f t="shared" si="92"/>
        <v/>
      </c>
      <c r="Q284" s="70" t="str">
        <f t="shared" si="92"/>
        <v/>
      </c>
      <c r="R284" s="192" t="s">
        <v>329</v>
      </c>
      <c r="S284" s="414" t="s">
        <v>330</v>
      </c>
      <c r="T284" s="89">
        <v>1</v>
      </c>
      <c r="U284" s="31" t="s">
        <v>134</v>
      </c>
      <c r="V284" s="32"/>
      <c r="W284" s="35"/>
      <c r="X284" s="91">
        <v>226</v>
      </c>
      <c r="Y284" s="30"/>
      <c r="Z284" s="90"/>
      <c r="AA284" s="90"/>
      <c r="AB284" s="32"/>
      <c r="AC284" s="90"/>
      <c r="AD284" s="458" t="s">
        <v>135</v>
      </c>
      <c r="AE284" s="294" t="s">
        <v>136</v>
      </c>
      <c r="AF284" s="300" t="s">
        <v>272</v>
      </c>
      <c r="AG284" s="70" t="s">
        <v>2350</v>
      </c>
      <c r="AH284" s="70" t="s">
        <v>2350</v>
      </c>
    </row>
    <row r="285" spans="1:34" s="70" customFormat="1" ht="26">
      <c r="A285" s="192" t="s">
        <v>331</v>
      </c>
      <c r="B285" s="477" t="s">
        <v>332</v>
      </c>
      <c r="C285" s="89">
        <v>1</v>
      </c>
      <c r="D285" s="31" t="s">
        <v>134</v>
      </c>
      <c r="E285" s="32"/>
      <c r="F285" s="35"/>
      <c r="G285" s="91">
        <v>383</v>
      </c>
      <c r="H285" s="30"/>
      <c r="I285" s="90"/>
      <c r="J285" s="90"/>
      <c r="K285" s="32"/>
      <c r="L285" s="90"/>
      <c r="M285" s="458" t="s">
        <v>135</v>
      </c>
      <c r="N285" s="294" t="s">
        <v>136</v>
      </c>
      <c r="O285" s="300" t="s">
        <v>272</v>
      </c>
      <c r="P285" s="70" t="str">
        <f t="shared" si="92"/>
        <v/>
      </c>
      <c r="Q285" s="70" t="str">
        <f t="shared" si="92"/>
        <v/>
      </c>
      <c r="R285" s="192" t="s">
        <v>331</v>
      </c>
      <c r="S285" s="477" t="s">
        <v>332</v>
      </c>
      <c r="T285" s="89">
        <v>1</v>
      </c>
      <c r="U285" s="31" t="s">
        <v>134</v>
      </c>
      <c r="V285" s="32"/>
      <c r="W285" s="35"/>
      <c r="X285" s="91">
        <v>383</v>
      </c>
      <c r="Y285" s="30"/>
      <c r="Z285" s="90"/>
      <c r="AA285" s="90"/>
      <c r="AB285" s="32"/>
      <c r="AC285" s="90"/>
      <c r="AD285" s="458" t="s">
        <v>135</v>
      </c>
      <c r="AE285" s="294" t="s">
        <v>136</v>
      </c>
      <c r="AF285" s="300" t="s">
        <v>272</v>
      </c>
      <c r="AG285" s="70" t="s">
        <v>2350</v>
      </c>
      <c r="AH285" s="70" t="s">
        <v>2350</v>
      </c>
    </row>
    <row r="286" spans="1:34">
      <c r="A286" s="184" t="s">
        <v>333</v>
      </c>
      <c r="B286" s="291" t="s">
        <v>334</v>
      </c>
      <c r="C286" s="89">
        <v>1</v>
      </c>
      <c r="D286" s="31" t="s">
        <v>134</v>
      </c>
      <c r="E286" s="32"/>
      <c r="F286" s="35"/>
      <c r="G286" s="30">
        <v>284.06</v>
      </c>
      <c r="H286" s="30"/>
      <c r="I286" s="90"/>
      <c r="J286" s="90"/>
      <c r="K286" s="32"/>
      <c r="L286" s="90"/>
      <c r="M286" s="458" t="s">
        <v>135</v>
      </c>
      <c r="N286" s="294" t="s">
        <v>268</v>
      </c>
      <c r="O286" s="300" t="s">
        <v>269</v>
      </c>
      <c r="P286" s="70" t="str">
        <f t="shared" si="92"/>
        <v/>
      </c>
      <c r="Q286" s="70" t="str">
        <f t="shared" si="92"/>
        <v/>
      </c>
      <c r="R286" s="184" t="s">
        <v>333</v>
      </c>
      <c r="S286" s="291" t="s">
        <v>334</v>
      </c>
      <c r="T286" s="89">
        <v>1</v>
      </c>
      <c r="U286" s="31" t="s">
        <v>134</v>
      </c>
      <c r="V286" s="32"/>
      <c r="W286" s="35"/>
      <c r="X286" s="30">
        <v>284.06</v>
      </c>
      <c r="Y286" s="30"/>
      <c r="Z286" s="90"/>
      <c r="AA286" s="90"/>
      <c r="AB286" s="32"/>
      <c r="AC286" s="90"/>
      <c r="AD286" s="458" t="s">
        <v>135</v>
      </c>
      <c r="AE286" s="294" t="s">
        <v>268</v>
      </c>
      <c r="AF286" s="300" t="s">
        <v>269</v>
      </c>
      <c r="AG286" s="70" t="s">
        <v>2350</v>
      </c>
      <c r="AH286" s="70" t="s">
        <v>2350</v>
      </c>
    </row>
    <row r="287" spans="1:34" s="270" customFormat="1" ht="25" customHeight="1">
      <c r="A287" s="345" t="s">
        <v>335</v>
      </c>
      <c r="B287" s="346"/>
      <c r="C287" s="334"/>
      <c r="D287" s="335"/>
      <c r="E287" s="335"/>
      <c r="F287" s="336"/>
      <c r="G287" s="337"/>
      <c r="H287" s="337"/>
      <c r="I287" s="338"/>
      <c r="J287" s="338"/>
      <c r="K287" s="337"/>
      <c r="L287" s="338"/>
      <c r="M287" s="456"/>
      <c r="N287" s="339"/>
      <c r="O287" s="338"/>
      <c r="P287" s="338"/>
      <c r="Q287" s="338"/>
      <c r="R287" s="345" t="s">
        <v>335</v>
      </c>
      <c r="S287" s="346"/>
      <c r="T287" s="334"/>
      <c r="U287" s="335"/>
      <c r="V287" s="335"/>
      <c r="W287" s="336"/>
      <c r="X287" s="337"/>
      <c r="Y287" s="337"/>
      <c r="Z287" s="338"/>
      <c r="AA287" s="338"/>
      <c r="AB287" s="337"/>
      <c r="AC287" s="338"/>
      <c r="AD287" s="456"/>
      <c r="AE287" s="339"/>
      <c r="AF287" s="338"/>
      <c r="AG287" s="338"/>
      <c r="AH287" s="338"/>
    </row>
    <row r="288" spans="1:34" s="84" customFormat="1">
      <c r="A288" s="174" t="s">
        <v>336</v>
      </c>
      <c r="B288" s="49" t="s">
        <v>337</v>
      </c>
      <c r="C288" s="404">
        <v>1</v>
      </c>
      <c r="D288" s="60" t="s">
        <v>126</v>
      </c>
      <c r="E288" s="57">
        <v>1996.65</v>
      </c>
      <c r="F288" s="405">
        <f>rv_ms_eg</f>
        <v>0.17199999999999999</v>
      </c>
      <c r="G288" s="406">
        <f t="shared" ref="G288:G306" si="93">E288-(E288*F288)</f>
        <v>1653.2262000000001</v>
      </c>
      <c r="H288" s="51" t="s">
        <v>338</v>
      </c>
      <c r="I288" s="406">
        <v>102.59</v>
      </c>
      <c r="J288" s="58">
        <f>G288+I288</f>
        <v>1755.8162</v>
      </c>
      <c r="K288" s="407"/>
      <c r="L288" s="57">
        <v>2.52</v>
      </c>
      <c r="M288" s="457" t="s">
        <v>339</v>
      </c>
      <c r="N288" s="307" t="s">
        <v>268</v>
      </c>
      <c r="O288" s="308" t="s">
        <v>269</v>
      </c>
      <c r="P288" s="84">
        <f t="shared" si="69"/>
        <v>353.46115968951875</v>
      </c>
      <c r="Q288" s="84">
        <f t="shared" si="69"/>
        <v>183.69604762470101</v>
      </c>
      <c r="R288" s="174" t="s">
        <v>336</v>
      </c>
      <c r="S288" s="49" t="s">
        <v>337</v>
      </c>
      <c r="T288" s="404">
        <v>1</v>
      </c>
      <c r="U288" s="60" t="s">
        <v>126</v>
      </c>
      <c r="V288" s="57">
        <v>1998.57</v>
      </c>
      <c r="W288" s="405">
        <v>0.17199999999999999</v>
      </c>
      <c r="X288" s="406">
        <v>1654.8159599999999</v>
      </c>
      <c r="Y288" s="51" t="s">
        <v>338</v>
      </c>
      <c r="Z288" s="406">
        <v>102.59</v>
      </c>
      <c r="AA288" s="58">
        <v>1757.4059599999998</v>
      </c>
      <c r="AB288" s="407"/>
      <c r="AC288" s="57">
        <v>0.6</v>
      </c>
      <c r="AD288" s="457" t="s">
        <v>339</v>
      </c>
      <c r="AE288" s="307" t="s">
        <v>268</v>
      </c>
      <c r="AF288" s="308" t="s">
        <v>269</v>
      </c>
      <c r="AG288" s="84">
        <v>353.78119228360686</v>
      </c>
      <c r="AH288" s="84">
        <v>183.86237063087435</v>
      </c>
    </row>
    <row r="289" spans="1:34">
      <c r="A289" s="409" t="s">
        <v>340</v>
      </c>
      <c r="B289" s="197" t="s">
        <v>341</v>
      </c>
      <c r="C289" s="206">
        <v>1</v>
      </c>
      <c r="D289" s="226" t="s">
        <v>126</v>
      </c>
      <c r="E289" s="204">
        <v>383.33</v>
      </c>
      <c r="F289" s="234">
        <f t="shared" ref="F289:F296" si="94">rv_ms_eg_cto</f>
        <v>0.17199999999999999</v>
      </c>
      <c r="G289" s="91">
        <f t="shared" si="93"/>
        <v>317.39724000000001</v>
      </c>
      <c r="H289" s="81"/>
      <c r="I289" s="464"/>
      <c r="J289" s="464"/>
      <c r="K289" s="86"/>
      <c r="L289" s="231"/>
      <c r="M289" s="458" t="s">
        <v>339</v>
      </c>
      <c r="N289" s="293" t="s">
        <v>268</v>
      </c>
      <c r="O289" s="297" t="s">
        <v>269</v>
      </c>
      <c r="P289" s="1" t="str">
        <f t="shared" si="69"/>
        <v/>
      </c>
      <c r="Q289" s="1" t="str">
        <f t="shared" si="69"/>
        <v/>
      </c>
      <c r="R289" s="409" t="s">
        <v>340</v>
      </c>
      <c r="S289" s="197" t="s">
        <v>341</v>
      </c>
      <c r="T289" s="206">
        <v>1</v>
      </c>
      <c r="U289" s="226" t="s">
        <v>126</v>
      </c>
      <c r="V289" s="204">
        <v>383.33</v>
      </c>
      <c r="W289" s="234">
        <v>0.17199999999999999</v>
      </c>
      <c r="X289" s="91">
        <v>317.39724000000001</v>
      </c>
      <c r="Y289" s="81"/>
      <c r="Z289" s="464"/>
      <c r="AA289" s="464"/>
      <c r="AB289" s="86"/>
      <c r="AC289" s="231"/>
      <c r="AD289" s="458" t="s">
        <v>339</v>
      </c>
      <c r="AE289" s="293" t="s">
        <v>268</v>
      </c>
      <c r="AF289" s="297" t="s">
        <v>269</v>
      </c>
      <c r="AG289" s="1" t="s">
        <v>2350</v>
      </c>
      <c r="AH289" s="1" t="s">
        <v>2350</v>
      </c>
    </row>
    <row r="290" spans="1:34">
      <c r="A290" s="409" t="s">
        <v>342</v>
      </c>
      <c r="B290" s="197" t="s">
        <v>343</v>
      </c>
      <c r="C290" s="206">
        <v>1</v>
      </c>
      <c r="D290" s="226" t="s">
        <v>126</v>
      </c>
      <c r="E290" s="204">
        <v>191.67</v>
      </c>
      <c r="F290" s="234">
        <f t="shared" si="94"/>
        <v>0.17199999999999999</v>
      </c>
      <c r="G290" s="91">
        <f t="shared" ref="G290" si="95">E290-(E290*F290)</f>
        <v>158.70275999999998</v>
      </c>
      <c r="H290" s="81"/>
      <c r="I290" s="464"/>
      <c r="J290" s="464"/>
      <c r="K290" s="86"/>
      <c r="L290" s="231"/>
      <c r="M290" s="458" t="s">
        <v>339</v>
      </c>
      <c r="N290" s="293" t="s">
        <v>268</v>
      </c>
      <c r="O290" s="297" t="s">
        <v>269</v>
      </c>
      <c r="P290" s="1"/>
      <c r="Q290" s="1"/>
      <c r="R290" s="409" t="s">
        <v>342</v>
      </c>
      <c r="S290" s="197" t="s">
        <v>343</v>
      </c>
      <c r="T290" s="206">
        <v>1</v>
      </c>
      <c r="U290" s="226" t="s">
        <v>126</v>
      </c>
      <c r="V290" s="204">
        <v>191.67</v>
      </c>
      <c r="W290" s="234">
        <v>0.17199999999999999</v>
      </c>
      <c r="X290" s="91">
        <v>158.70275999999998</v>
      </c>
      <c r="Y290" s="81"/>
      <c r="Z290" s="464"/>
      <c r="AA290" s="464"/>
      <c r="AB290" s="86"/>
      <c r="AC290" s="231"/>
      <c r="AD290" s="458" t="s">
        <v>339</v>
      </c>
      <c r="AE290" s="293" t="s">
        <v>268</v>
      </c>
      <c r="AF290" s="297" t="s">
        <v>269</v>
      </c>
      <c r="AG290" s="1"/>
      <c r="AH290" s="1"/>
    </row>
    <row r="291" spans="1:34" ht="13" customHeight="1">
      <c r="A291" s="409" t="s">
        <v>344</v>
      </c>
      <c r="B291" s="197" t="s">
        <v>345</v>
      </c>
      <c r="C291" s="206">
        <v>1</v>
      </c>
      <c r="D291" s="226" t="s">
        <v>126</v>
      </c>
      <c r="E291" s="204">
        <v>575</v>
      </c>
      <c r="F291" s="234">
        <f t="shared" si="94"/>
        <v>0.17199999999999999</v>
      </c>
      <c r="G291" s="91">
        <f t="shared" si="93"/>
        <v>476.1</v>
      </c>
      <c r="H291" s="81"/>
      <c r="I291" s="464"/>
      <c r="J291" s="464"/>
      <c r="K291" s="86"/>
      <c r="L291" s="231"/>
      <c r="M291" s="458" t="s">
        <v>339</v>
      </c>
      <c r="N291" s="293" t="s">
        <v>268</v>
      </c>
      <c r="O291" s="297" t="s">
        <v>269</v>
      </c>
      <c r="P291" s="1" t="str">
        <f t="shared" si="69"/>
        <v/>
      </c>
      <c r="Q291" s="1" t="str">
        <f t="shared" si="69"/>
        <v/>
      </c>
      <c r="R291" s="409" t="s">
        <v>344</v>
      </c>
      <c r="S291" s="197" t="s">
        <v>345</v>
      </c>
      <c r="T291" s="206">
        <v>1</v>
      </c>
      <c r="U291" s="226" t="s">
        <v>126</v>
      </c>
      <c r="V291" s="204">
        <v>575</v>
      </c>
      <c r="W291" s="234">
        <v>0.17199999999999999</v>
      </c>
      <c r="X291" s="91">
        <v>476.1</v>
      </c>
      <c r="Y291" s="81"/>
      <c r="Z291" s="464"/>
      <c r="AA291" s="464"/>
      <c r="AB291" s="86"/>
      <c r="AC291" s="231"/>
      <c r="AD291" s="458" t="s">
        <v>339</v>
      </c>
      <c r="AE291" s="293" t="s">
        <v>268</v>
      </c>
      <c r="AF291" s="297" t="s">
        <v>269</v>
      </c>
      <c r="AG291" s="1" t="s">
        <v>2350</v>
      </c>
      <c r="AH291" s="1" t="s">
        <v>2350</v>
      </c>
    </row>
    <row r="292" spans="1:34" ht="13" customHeight="1">
      <c r="A292" s="409" t="s">
        <v>346</v>
      </c>
      <c r="B292" s="197" t="s">
        <v>347</v>
      </c>
      <c r="C292" s="206">
        <v>1</v>
      </c>
      <c r="D292" s="226" t="s">
        <v>126</v>
      </c>
      <c r="E292" s="204">
        <v>958.33</v>
      </c>
      <c r="F292" s="234">
        <f t="shared" si="94"/>
        <v>0.17199999999999999</v>
      </c>
      <c r="G292" s="91">
        <f t="shared" ref="G292" si="96">E292-(E292*F292)</f>
        <v>793.49724000000003</v>
      </c>
      <c r="H292" s="81"/>
      <c r="I292" s="464"/>
      <c r="J292" s="464"/>
      <c r="K292" s="86"/>
      <c r="L292" s="231"/>
      <c r="M292" s="458" t="s">
        <v>339</v>
      </c>
      <c r="N292" s="293" t="s">
        <v>268</v>
      </c>
      <c r="O292" s="297" t="s">
        <v>269</v>
      </c>
      <c r="P292" s="1"/>
      <c r="Q292" s="1"/>
      <c r="R292" s="409" t="s">
        <v>346</v>
      </c>
      <c r="S292" s="197" t="s">
        <v>347</v>
      </c>
      <c r="T292" s="206">
        <v>1</v>
      </c>
      <c r="U292" s="226" t="s">
        <v>126</v>
      </c>
      <c r="V292" s="204">
        <v>958.33</v>
      </c>
      <c r="W292" s="234">
        <v>0.17199999999999999</v>
      </c>
      <c r="X292" s="91">
        <v>793.49724000000003</v>
      </c>
      <c r="Y292" s="81"/>
      <c r="Z292" s="464"/>
      <c r="AA292" s="464"/>
      <c r="AB292" s="86"/>
      <c r="AC292" s="231"/>
      <c r="AD292" s="458" t="s">
        <v>339</v>
      </c>
      <c r="AE292" s="293" t="s">
        <v>268</v>
      </c>
      <c r="AF292" s="297" t="s">
        <v>269</v>
      </c>
      <c r="AG292" s="1"/>
      <c r="AH292" s="1"/>
    </row>
    <row r="293" spans="1:34">
      <c r="A293" s="409" t="s">
        <v>348</v>
      </c>
      <c r="B293" s="197" t="s">
        <v>349</v>
      </c>
      <c r="C293" s="206">
        <v>1</v>
      </c>
      <c r="D293" s="226" t="s">
        <v>126</v>
      </c>
      <c r="E293" s="204">
        <v>191.67</v>
      </c>
      <c r="F293" s="234">
        <f t="shared" si="94"/>
        <v>0.17199999999999999</v>
      </c>
      <c r="G293" s="91">
        <f t="shared" si="93"/>
        <v>158.70275999999998</v>
      </c>
      <c r="H293" s="81"/>
      <c r="I293" s="464"/>
      <c r="J293" s="464"/>
      <c r="K293" s="86"/>
      <c r="L293" s="231"/>
      <c r="M293" s="458" t="s">
        <v>339</v>
      </c>
      <c r="N293" s="293" t="s">
        <v>268</v>
      </c>
      <c r="O293" s="297" t="s">
        <v>269</v>
      </c>
      <c r="P293" s="1" t="str">
        <f t="shared" si="69"/>
        <v/>
      </c>
      <c r="Q293" s="1" t="str">
        <f t="shared" si="69"/>
        <v/>
      </c>
      <c r="R293" s="409" t="s">
        <v>348</v>
      </c>
      <c r="S293" s="197" t="s">
        <v>349</v>
      </c>
      <c r="T293" s="206">
        <v>1</v>
      </c>
      <c r="U293" s="226" t="s">
        <v>126</v>
      </c>
      <c r="V293" s="204">
        <v>191.67</v>
      </c>
      <c r="W293" s="234">
        <v>0.17199999999999999</v>
      </c>
      <c r="X293" s="91">
        <v>158.70275999999998</v>
      </c>
      <c r="Y293" s="81"/>
      <c r="Z293" s="464"/>
      <c r="AA293" s="464"/>
      <c r="AB293" s="86"/>
      <c r="AC293" s="231"/>
      <c r="AD293" s="458" t="s">
        <v>339</v>
      </c>
      <c r="AE293" s="293" t="s">
        <v>268</v>
      </c>
      <c r="AF293" s="297" t="s">
        <v>269</v>
      </c>
      <c r="AG293" s="1" t="s">
        <v>2350</v>
      </c>
      <c r="AH293" s="1" t="s">
        <v>2350</v>
      </c>
    </row>
    <row r="294" spans="1:34">
      <c r="A294" s="409" t="s">
        <v>350</v>
      </c>
      <c r="B294" s="197" t="s">
        <v>351</v>
      </c>
      <c r="C294" s="206">
        <v>1</v>
      </c>
      <c r="D294" s="226" t="s">
        <v>126</v>
      </c>
      <c r="E294" s="204">
        <v>575</v>
      </c>
      <c r="F294" s="234">
        <f t="shared" si="94"/>
        <v>0.17199999999999999</v>
      </c>
      <c r="G294" s="91">
        <f t="shared" si="93"/>
        <v>476.1</v>
      </c>
      <c r="H294" s="397"/>
      <c r="I294" s="396"/>
      <c r="J294" s="396"/>
      <c r="K294" s="99"/>
      <c r="L294" s="190"/>
      <c r="M294" s="458" t="s">
        <v>339</v>
      </c>
      <c r="N294" s="293" t="s">
        <v>268</v>
      </c>
      <c r="O294" s="297" t="s">
        <v>269</v>
      </c>
      <c r="P294" s="1" t="str">
        <f t="shared" ref="P294:Q320" si="97">+IF($J294&lt;&gt;"",P$2*$J294,"")</f>
        <v/>
      </c>
      <c r="Q294" s="1" t="str">
        <f t="shared" si="97"/>
        <v/>
      </c>
      <c r="R294" s="409" t="s">
        <v>350</v>
      </c>
      <c r="S294" s="197" t="s">
        <v>351</v>
      </c>
      <c r="T294" s="206">
        <v>1</v>
      </c>
      <c r="U294" s="226" t="s">
        <v>126</v>
      </c>
      <c r="V294" s="204">
        <v>575</v>
      </c>
      <c r="W294" s="234">
        <v>0.17199999999999999</v>
      </c>
      <c r="X294" s="91">
        <v>476.1</v>
      </c>
      <c r="Y294" s="397"/>
      <c r="Z294" s="396"/>
      <c r="AA294" s="396"/>
      <c r="AB294" s="99"/>
      <c r="AC294" s="190"/>
      <c r="AD294" s="458" t="s">
        <v>339</v>
      </c>
      <c r="AE294" s="293" t="s">
        <v>268</v>
      </c>
      <c r="AF294" s="297" t="s">
        <v>269</v>
      </c>
      <c r="AG294" s="1" t="s">
        <v>2350</v>
      </c>
      <c r="AH294" s="1" t="s">
        <v>2350</v>
      </c>
    </row>
    <row r="295" spans="1:34">
      <c r="A295" s="409" t="s">
        <v>352</v>
      </c>
      <c r="B295" s="197" t="s">
        <v>353</v>
      </c>
      <c r="C295" s="206">
        <v>1</v>
      </c>
      <c r="D295" s="226" t="s">
        <v>126</v>
      </c>
      <c r="E295" s="204">
        <v>1150</v>
      </c>
      <c r="F295" s="234">
        <f t="shared" si="94"/>
        <v>0.17199999999999999</v>
      </c>
      <c r="G295" s="91">
        <f t="shared" si="93"/>
        <v>952.2</v>
      </c>
      <c r="H295" s="397"/>
      <c r="I295" s="396"/>
      <c r="J295" s="396"/>
      <c r="K295" s="99"/>
      <c r="L295" s="190"/>
      <c r="M295" s="458" t="s">
        <v>339</v>
      </c>
      <c r="N295" s="293" t="s">
        <v>268</v>
      </c>
      <c r="O295" s="297" t="s">
        <v>269</v>
      </c>
      <c r="P295" s="1" t="str">
        <f t="shared" si="97"/>
        <v/>
      </c>
      <c r="Q295" s="1" t="str">
        <f t="shared" si="97"/>
        <v/>
      </c>
      <c r="R295" s="409" t="s">
        <v>352</v>
      </c>
      <c r="S295" s="197" t="s">
        <v>353</v>
      </c>
      <c r="T295" s="206">
        <v>1</v>
      </c>
      <c r="U295" s="226" t="s">
        <v>126</v>
      </c>
      <c r="V295" s="204">
        <v>1150</v>
      </c>
      <c r="W295" s="234">
        <v>0.17199999999999999</v>
      </c>
      <c r="X295" s="91">
        <v>952.2</v>
      </c>
      <c r="Y295" s="397"/>
      <c r="Z295" s="396"/>
      <c r="AA295" s="396"/>
      <c r="AB295" s="99"/>
      <c r="AC295" s="190"/>
      <c r="AD295" s="458" t="s">
        <v>339</v>
      </c>
      <c r="AE295" s="293" t="s">
        <v>268</v>
      </c>
      <c r="AF295" s="297" t="s">
        <v>269</v>
      </c>
      <c r="AG295" s="1" t="s">
        <v>2350</v>
      </c>
      <c r="AH295" s="1" t="s">
        <v>2350</v>
      </c>
    </row>
    <row r="296" spans="1:34">
      <c r="A296" s="409" t="s">
        <v>354</v>
      </c>
      <c r="B296" s="197" t="s">
        <v>355</v>
      </c>
      <c r="C296" s="206">
        <v>1</v>
      </c>
      <c r="D296" s="226" t="s">
        <v>126</v>
      </c>
      <c r="E296" s="204">
        <v>2300</v>
      </c>
      <c r="F296" s="234">
        <f t="shared" si="94"/>
        <v>0.17199999999999999</v>
      </c>
      <c r="G296" s="91">
        <f t="shared" si="93"/>
        <v>1904.4</v>
      </c>
      <c r="H296" s="397"/>
      <c r="I296" s="396"/>
      <c r="J296" s="396"/>
      <c r="K296" s="99"/>
      <c r="L296" s="190"/>
      <c r="M296" s="458" t="s">
        <v>339</v>
      </c>
      <c r="N296" s="293" t="s">
        <v>268</v>
      </c>
      <c r="O296" s="297" t="s">
        <v>269</v>
      </c>
      <c r="P296" s="1" t="str">
        <f t="shared" si="97"/>
        <v/>
      </c>
      <c r="Q296" s="1" t="str">
        <f t="shared" si="97"/>
        <v/>
      </c>
      <c r="R296" s="409" t="s">
        <v>354</v>
      </c>
      <c r="S296" s="197" t="s">
        <v>355</v>
      </c>
      <c r="T296" s="206">
        <v>1</v>
      </c>
      <c r="U296" s="226" t="s">
        <v>126</v>
      </c>
      <c r="V296" s="204">
        <v>2300</v>
      </c>
      <c r="W296" s="234">
        <v>0.17199999999999999</v>
      </c>
      <c r="X296" s="91">
        <v>1904.4</v>
      </c>
      <c r="Y296" s="397"/>
      <c r="Z296" s="396"/>
      <c r="AA296" s="396"/>
      <c r="AB296" s="99"/>
      <c r="AC296" s="190"/>
      <c r="AD296" s="458" t="s">
        <v>339</v>
      </c>
      <c r="AE296" s="293" t="s">
        <v>268</v>
      </c>
      <c r="AF296" s="297" t="s">
        <v>269</v>
      </c>
      <c r="AG296" s="1" t="s">
        <v>2350</v>
      </c>
      <c r="AH296" s="1" t="s">
        <v>2350</v>
      </c>
    </row>
    <row r="297" spans="1:34" s="84" customFormat="1">
      <c r="A297" s="174" t="s">
        <v>356</v>
      </c>
      <c r="B297" s="709" t="s">
        <v>357</v>
      </c>
      <c r="C297" s="710">
        <v>1</v>
      </c>
      <c r="D297" s="56" t="s">
        <v>126</v>
      </c>
      <c r="E297" s="406">
        <v>3996.65</v>
      </c>
      <c r="F297" s="61">
        <f>rv_ms_hg</f>
        <v>0.17199999999999999</v>
      </c>
      <c r="G297" s="408">
        <f t="shared" si="93"/>
        <v>3309.2262000000001</v>
      </c>
      <c r="H297" s="51" t="s">
        <v>338</v>
      </c>
      <c r="I297" s="406">
        <v>102.59</v>
      </c>
      <c r="J297" s="58">
        <f>G297+I297</f>
        <v>3411.8162000000002</v>
      </c>
      <c r="K297" s="407"/>
      <c r="L297" s="57">
        <v>2.52</v>
      </c>
      <c r="M297" s="457" t="s">
        <v>358</v>
      </c>
      <c r="N297" s="305" t="s">
        <v>268</v>
      </c>
      <c r="O297" s="306" t="s">
        <v>269</v>
      </c>
      <c r="P297" s="84">
        <f t="shared" si="97"/>
        <v>686.82844519801506</v>
      </c>
      <c r="Q297" s="84">
        <f t="shared" si="97"/>
        <v>356.94917905526017</v>
      </c>
      <c r="R297" s="174" t="s">
        <v>356</v>
      </c>
      <c r="S297" s="709" t="s">
        <v>357</v>
      </c>
      <c r="T297" s="710">
        <v>1</v>
      </c>
      <c r="U297" s="56" t="s">
        <v>126</v>
      </c>
      <c r="V297" s="406">
        <v>3998.57</v>
      </c>
      <c r="W297" s="61">
        <v>0.17199999999999999</v>
      </c>
      <c r="X297" s="408">
        <v>3310.8159600000004</v>
      </c>
      <c r="Y297" s="51" t="s">
        <v>338</v>
      </c>
      <c r="Z297" s="406">
        <v>102.59</v>
      </c>
      <c r="AA297" s="58">
        <v>3413.4059600000005</v>
      </c>
      <c r="AB297" s="407"/>
      <c r="AC297" s="57">
        <v>0.6</v>
      </c>
      <c r="AD297" s="457" t="s">
        <v>358</v>
      </c>
      <c r="AE297" s="305" t="s">
        <v>268</v>
      </c>
      <c r="AF297" s="306" t="s">
        <v>269</v>
      </c>
      <c r="AG297" s="84">
        <v>687.14847779210334</v>
      </c>
      <c r="AH297" s="84">
        <v>357.11550206143352</v>
      </c>
    </row>
    <row r="298" spans="1:34">
      <c r="A298" s="410" t="s">
        <v>359</v>
      </c>
      <c r="B298" s="411" t="s">
        <v>360</v>
      </c>
      <c r="C298" s="206">
        <v>1</v>
      </c>
      <c r="D298" s="226" t="s">
        <v>126</v>
      </c>
      <c r="E298" s="204">
        <v>766.67</v>
      </c>
      <c r="F298" s="234">
        <f t="shared" ref="F298:F305" si="98">rv_ms_hg_cto</f>
        <v>0.17199999999999999</v>
      </c>
      <c r="G298" s="91">
        <f t="shared" si="93"/>
        <v>634.80276000000003</v>
      </c>
      <c r="H298" s="81"/>
      <c r="I298" s="464"/>
      <c r="J298" s="464"/>
      <c r="K298" s="86"/>
      <c r="L298" s="231"/>
      <c r="M298" s="458" t="s">
        <v>358</v>
      </c>
      <c r="N298" s="293" t="s">
        <v>268</v>
      </c>
      <c r="O298" s="297" t="s">
        <v>269</v>
      </c>
      <c r="P298" s="1" t="str">
        <f t="shared" si="97"/>
        <v/>
      </c>
      <c r="Q298" s="1" t="str">
        <f t="shared" si="97"/>
        <v/>
      </c>
      <c r="R298" s="410" t="s">
        <v>359</v>
      </c>
      <c r="S298" s="411" t="s">
        <v>360</v>
      </c>
      <c r="T298" s="206">
        <v>1</v>
      </c>
      <c r="U298" s="226" t="s">
        <v>126</v>
      </c>
      <c r="V298" s="204">
        <v>766.67</v>
      </c>
      <c r="W298" s="234">
        <v>0.17199999999999999</v>
      </c>
      <c r="X298" s="91">
        <v>634.80276000000003</v>
      </c>
      <c r="Y298" s="81"/>
      <c r="Z298" s="464"/>
      <c r="AA298" s="464"/>
      <c r="AB298" s="86"/>
      <c r="AC298" s="231"/>
      <c r="AD298" s="458" t="s">
        <v>358</v>
      </c>
      <c r="AE298" s="293" t="s">
        <v>268</v>
      </c>
      <c r="AF298" s="297" t="s">
        <v>269</v>
      </c>
      <c r="AG298" s="1" t="s">
        <v>2350</v>
      </c>
      <c r="AH298" s="1" t="s">
        <v>2350</v>
      </c>
    </row>
    <row r="299" spans="1:34">
      <c r="A299" s="410" t="s">
        <v>361</v>
      </c>
      <c r="B299" s="411" t="s">
        <v>362</v>
      </c>
      <c r="C299" s="206">
        <v>1</v>
      </c>
      <c r="D299" s="226" t="s">
        <v>126</v>
      </c>
      <c r="E299" s="204">
        <v>1533.33</v>
      </c>
      <c r="F299" s="234">
        <f t="shared" si="98"/>
        <v>0.17199999999999999</v>
      </c>
      <c r="G299" s="91">
        <f t="shared" si="93"/>
        <v>1269.5972400000001</v>
      </c>
      <c r="H299" s="81"/>
      <c r="I299" s="464"/>
      <c r="J299" s="464"/>
      <c r="K299" s="86"/>
      <c r="L299" s="231"/>
      <c r="M299" s="458" t="s">
        <v>358</v>
      </c>
      <c r="N299" s="293" t="s">
        <v>268</v>
      </c>
      <c r="O299" s="297" t="s">
        <v>269</v>
      </c>
      <c r="P299" s="1" t="str">
        <f t="shared" si="97"/>
        <v/>
      </c>
      <c r="Q299" s="1" t="str">
        <f t="shared" si="97"/>
        <v/>
      </c>
      <c r="R299" s="410" t="s">
        <v>361</v>
      </c>
      <c r="S299" s="411" t="s">
        <v>362</v>
      </c>
      <c r="T299" s="206">
        <v>1</v>
      </c>
      <c r="U299" s="226" t="s">
        <v>126</v>
      </c>
      <c r="V299" s="204">
        <v>1533.33</v>
      </c>
      <c r="W299" s="234">
        <v>0.17199999999999999</v>
      </c>
      <c r="X299" s="91">
        <v>1269.5972400000001</v>
      </c>
      <c r="Y299" s="81"/>
      <c r="Z299" s="464"/>
      <c r="AA299" s="464"/>
      <c r="AB299" s="86"/>
      <c r="AC299" s="231"/>
      <c r="AD299" s="458" t="s">
        <v>358</v>
      </c>
      <c r="AE299" s="293" t="s">
        <v>268</v>
      </c>
      <c r="AF299" s="297" t="s">
        <v>269</v>
      </c>
      <c r="AG299" s="1" t="s">
        <v>2350</v>
      </c>
      <c r="AH299" s="1" t="s">
        <v>2350</v>
      </c>
    </row>
    <row r="300" spans="1:34">
      <c r="A300" s="410" t="s">
        <v>363</v>
      </c>
      <c r="B300" s="411" t="s">
        <v>364</v>
      </c>
      <c r="C300" s="206">
        <v>1</v>
      </c>
      <c r="D300" s="226" t="s">
        <v>126</v>
      </c>
      <c r="E300" s="204">
        <v>958.33</v>
      </c>
      <c r="F300" s="234">
        <f t="shared" si="98"/>
        <v>0.17199999999999999</v>
      </c>
      <c r="G300" s="91">
        <f t="shared" si="93"/>
        <v>793.49724000000003</v>
      </c>
      <c r="H300" s="81"/>
      <c r="I300" s="464"/>
      <c r="J300" s="464"/>
      <c r="K300" s="86"/>
      <c r="L300" s="231"/>
      <c r="M300" s="458" t="s">
        <v>358</v>
      </c>
      <c r="N300" s="293" t="s">
        <v>268</v>
      </c>
      <c r="O300" s="297" t="s">
        <v>269</v>
      </c>
      <c r="P300" s="1" t="str">
        <f t="shared" si="97"/>
        <v/>
      </c>
      <c r="Q300" s="1" t="str">
        <f t="shared" si="97"/>
        <v/>
      </c>
      <c r="R300" s="410" t="s">
        <v>363</v>
      </c>
      <c r="S300" s="411" t="s">
        <v>364</v>
      </c>
      <c r="T300" s="206">
        <v>1</v>
      </c>
      <c r="U300" s="226" t="s">
        <v>126</v>
      </c>
      <c r="V300" s="204">
        <v>958.33</v>
      </c>
      <c r="W300" s="234">
        <v>0.17199999999999999</v>
      </c>
      <c r="X300" s="91">
        <v>793.49724000000003</v>
      </c>
      <c r="Y300" s="81"/>
      <c r="Z300" s="464"/>
      <c r="AA300" s="464"/>
      <c r="AB300" s="86"/>
      <c r="AC300" s="231"/>
      <c r="AD300" s="458" t="s">
        <v>358</v>
      </c>
      <c r="AE300" s="293" t="s">
        <v>268</v>
      </c>
      <c r="AF300" s="297" t="s">
        <v>269</v>
      </c>
      <c r="AG300" s="1" t="s">
        <v>2350</v>
      </c>
      <c r="AH300" s="1" t="s">
        <v>2350</v>
      </c>
    </row>
    <row r="301" spans="1:34">
      <c r="A301" s="410" t="s">
        <v>365</v>
      </c>
      <c r="B301" s="411" t="s">
        <v>366</v>
      </c>
      <c r="C301" s="206">
        <v>1</v>
      </c>
      <c r="D301" s="226" t="s">
        <v>126</v>
      </c>
      <c r="E301" s="204">
        <v>1725</v>
      </c>
      <c r="F301" s="234">
        <f t="shared" si="98"/>
        <v>0.17199999999999999</v>
      </c>
      <c r="G301" s="91">
        <f t="shared" ref="G301:G302" si="99">E301-(E301*F301)</f>
        <v>1428.3</v>
      </c>
      <c r="H301" s="81"/>
      <c r="I301" s="464"/>
      <c r="J301" s="464"/>
      <c r="K301" s="86"/>
      <c r="L301" s="231"/>
      <c r="M301" s="458" t="s">
        <v>358</v>
      </c>
      <c r="N301" s="293" t="s">
        <v>268</v>
      </c>
      <c r="O301" s="297" t="s">
        <v>269</v>
      </c>
      <c r="P301" s="1"/>
      <c r="Q301" s="1"/>
      <c r="R301" s="410" t="s">
        <v>365</v>
      </c>
      <c r="S301" s="411" t="s">
        <v>366</v>
      </c>
      <c r="T301" s="206">
        <v>1</v>
      </c>
      <c r="U301" s="226" t="s">
        <v>126</v>
      </c>
      <c r="V301" s="204">
        <v>1725</v>
      </c>
      <c r="W301" s="234">
        <v>0.17199999999999999</v>
      </c>
      <c r="X301" s="91">
        <v>1428.3</v>
      </c>
      <c r="Y301" s="81"/>
      <c r="Z301" s="464"/>
      <c r="AA301" s="464"/>
      <c r="AB301" s="86"/>
      <c r="AC301" s="231"/>
      <c r="AD301" s="458" t="s">
        <v>358</v>
      </c>
      <c r="AE301" s="293" t="s">
        <v>268</v>
      </c>
      <c r="AF301" s="297" t="s">
        <v>269</v>
      </c>
      <c r="AG301" s="1"/>
      <c r="AH301" s="1"/>
    </row>
    <row r="302" spans="1:34">
      <c r="A302" s="410" t="s">
        <v>367</v>
      </c>
      <c r="B302" s="411" t="s">
        <v>368</v>
      </c>
      <c r="C302" s="206">
        <v>1</v>
      </c>
      <c r="D302" s="226" t="s">
        <v>126</v>
      </c>
      <c r="E302" s="204">
        <v>2491.67</v>
      </c>
      <c r="F302" s="234">
        <f t="shared" si="98"/>
        <v>0.17199999999999999</v>
      </c>
      <c r="G302" s="91">
        <f t="shared" si="99"/>
        <v>2063.1027600000002</v>
      </c>
      <c r="H302" s="81"/>
      <c r="I302" s="464"/>
      <c r="J302" s="464"/>
      <c r="K302" s="86"/>
      <c r="L302" s="231"/>
      <c r="M302" s="458" t="s">
        <v>358</v>
      </c>
      <c r="N302" s="293" t="s">
        <v>268</v>
      </c>
      <c r="O302" s="297" t="s">
        <v>269</v>
      </c>
      <c r="P302" s="1"/>
      <c r="Q302" s="1"/>
      <c r="R302" s="410" t="s">
        <v>367</v>
      </c>
      <c r="S302" s="411" t="s">
        <v>368</v>
      </c>
      <c r="T302" s="206">
        <v>1</v>
      </c>
      <c r="U302" s="226" t="s">
        <v>126</v>
      </c>
      <c r="V302" s="204">
        <v>2491.67</v>
      </c>
      <c r="W302" s="234">
        <v>0.17199999999999999</v>
      </c>
      <c r="X302" s="91">
        <v>2063.1027600000002</v>
      </c>
      <c r="Y302" s="81"/>
      <c r="Z302" s="464"/>
      <c r="AA302" s="464"/>
      <c r="AB302" s="86"/>
      <c r="AC302" s="231"/>
      <c r="AD302" s="458" t="s">
        <v>358</v>
      </c>
      <c r="AE302" s="293" t="s">
        <v>268</v>
      </c>
      <c r="AF302" s="297" t="s">
        <v>269</v>
      </c>
      <c r="AG302" s="1"/>
      <c r="AH302" s="1"/>
    </row>
    <row r="303" spans="1:34">
      <c r="A303" s="410" t="s">
        <v>369</v>
      </c>
      <c r="B303" s="411" t="s">
        <v>351</v>
      </c>
      <c r="C303" s="206">
        <v>1</v>
      </c>
      <c r="D303" s="226" t="s">
        <v>126</v>
      </c>
      <c r="E303" s="204">
        <v>383.33333333333337</v>
      </c>
      <c r="F303" s="234">
        <f t="shared" si="98"/>
        <v>0.17199999999999999</v>
      </c>
      <c r="G303" s="91">
        <f t="shared" si="93"/>
        <v>317.40000000000003</v>
      </c>
      <c r="H303" s="81"/>
      <c r="I303" s="464"/>
      <c r="J303" s="464"/>
      <c r="K303" s="86"/>
      <c r="L303" s="231"/>
      <c r="M303" s="458" t="s">
        <v>358</v>
      </c>
      <c r="N303" s="293" t="s">
        <v>268</v>
      </c>
      <c r="O303" s="297" t="s">
        <v>269</v>
      </c>
      <c r="P303" s="1" t="str">
        <f t="shared" si="97"/>
        <v/>
      </c>
      <c r="Q303" s="1" t="str">
        <f t="shared" si="97"/>
        <v/>
      </c>
      <c r="R303" s="410" t="s">
        <v>369</v>
      </c>
      <c r="S303" s="411" t="s">
        <v>351</v>
      </c>
      <c r="T303" s="206">
        <v>1</v>
      </c>
      <c r="U303" s="226" t="s">
        <v>126</v>
      </c>
      <c r="V303" s="204">
        <v>383.33333333333337</v>
      </c>
      <c r="W303" s="234">
        <v>0.17199999999999999</v>
      </c>
      <c r="X303" s="91">
        <v>317.40000000000003</v>
      </c>
      <c r="Y303" s="81"/>
      <c r="Z303" s="464"/>
      <c r="AA303" s="464"/>
      <c r="AB303" s="86"/>
      <c r="AC303" s="231"/>
      <c r="AD303" s="458" t="s">
        <v>358</v>
      </c>
      <c r="AE303" s="293" t="s">
        <v>268</v>
      </c>
      <c r="AF303" s="297" t="s">
        <v>269</v>
      </c>
      <c r="AG303" s="1" t="s">
        <v>2350</v>
      </c>
      <c r="AH303" s="1" t="s">
        <v>2350</v>
      </c>
    </row>
    <row r="304" spans="1:34">
      <c r="A304" s="410" t="s">
        <v>370</v>
      </c>
      <c r="B304" s="411" t="s">
        <v>353</v>
      </c>
      <c r="C304" s="206">
        <v>1</v>
      </c>
      <c r="D304" s="226" t="s">
        <v>126</v>
      </c>
      <c r="E304" s="204">
        <v>958.33333333333337</v>
      </c>
      <c r="F304" s="234">
        <f t="shared" si="98"/>
        <v>0.17199999999999999</v>
      </c>
      <c r="G304" s="91">
        <f t="shared" ref="G304" si="100">E304-(E304*F304)</f>
        <v>793.5</v>
      </c>
      <c r="H304" s="81"/>
      <c r="I304" s="464"/>
      <c r="J304" s="464"/>
      <c r="K304" s="86"/>
      <c r="L304" s="231"/>
      <c r="M304" s="458" t="s">
        <v>358</v>
      </c>
      <c r="N304" s="293" t="s">
        <v>268</v>
      </c>
      <c r="O304" s="297" t="s">
        <v>269</v>
      </c>
      <c r="P304" s="1" t="str">
        <f t="shared" si="97"/>
        <v/>
      </c>
      <c r="Q304" s="1" t="str">
        <f t="shared" si="97"/>
        <v/>
      </c>
      <c r="R304" s="410" t="s">
        <v>370</v>
      </c>
      <c r="S304" s="411" t="s">
        <v>353</v>
      </c>
      <c r="T304" s="206">
        <v>1</v>
      </c>
      <c r="U304" s="226" t="s">
        <v>126</v>
      </c>
      <c r="V304" s="204">
        <v>958.33333333333337</v>
      </c>
      <c r="W304" s="234">
        <v>0.17199999999999999</v>
      </c>
      <c r="X304" s="91">
        <v>793.5</v>
      </c>
      <c r="Y304" s="81"/>
      <c r="Z304" s="464"/>
      <c r="AA304" s="464"/>
      <c r="AB304" s="86"/>
      <c r="AC304" s="231"/>
      <c r="AD304" s="458" t="s">
        <v>358</v>
      </c>
      <c r="AE304" s="293" t="s">
        <v>268</v>
      </c>
      <c r="AF304" s="297" t="s">
        <v>269</v>
      </c>
      <c r="AG304" s="1" t="s">
        <v>2350</v>
      </c>
      <c r="AH304" s="1" t="s">
        <v>2350</v>
      </c>
    </row>
    <row r="305" spans="1:34">
      <c r="A305" s="410" t="s">
        <v>371</v>
      </c>
      <c r="B305" s="411" t="s">
        <v>355</v>
      </c>
      <c r="C305" s="206">
        <v>1</v>
      </c>
      <c r="D305" s="226" t="s">
        <v>126</v>
      </c>
      <c r="E305" s="204">
        <v>2108.3333333333335</v>
      </c>
      <c r="F305" s="234">
        <f t="shared" si="98"/>
        <v>0.17199999999999999</v>
      </c>
      <c r="G305" s="91">
        <f t="shared" si="93"/>
        <v>1745.7000000000003</v>
      </c>
      <c r="H305" s="20"/>
      <c r="I305" s="235"/>
      <c r="J305" s="235"/>
      <c r="K305" s="19"/>
      <c r="L305" s="94"/>
      <c r="M305" s="458" t="s">
        <v>358</v>
      </c>
      <c r="N305" s="293" t="s">
        <v>268</v>
      </c>
      <c r="O305" s="297" t="s">
        <v>269</v>
      </c>
      <c r="P305" s="1" t="str">
        <f t="shared" si="97"/>
        <v/>
      </c>
      <c r="Q305" s="1" t="str">
        <f t="shared" si="97"/>
        <v/>
      </c>
      <c r="R305" s="410" t="s">
        <v>371</v>
      </c>
      <c r="S305" s="411" t="s">
        <v>355</v>
      </c>
      <c r="T305" s="206">
        <v>1</v>
      </c>
      <c r="U305" s="226" t="s">
        <v>126</v>
      </c>
      <c r="V305" s="204">
        <v>2108.3333333333335</v>
      </c>
      <c r="W305" s="234">
        <v>0.17199999999999999</v>
      </c>
      <c r="X305" s="91">
        <v>1745.7000000000003</v>
      </c>
      <c r="Y305" s="20"/>
      <c r="Z305" s="235"/>
      <c r="AA305" s="235"/>
      <c r="AB305" s="19"/>
      <c r="AC305" s="94"/>
      <c r="AD305" s="458" t="s">
        <v>358</v>
      </c>
      <c r="AE305" s="293" t="s">
        <v>268</v>
      </c>
      <c r="AF305" s="297" t="s">
        <v>269</v>
      </c>
      <c r="AG305" s="1" t="s">
        <v>2350</v>
      </c>
      <c r="AH305" s="1" t="s">
        <v>2350</v>
      </c>
    </row>
    <row r="306" spans="1:34" s="72" customFormat="1">
      <c r="A306" s="191" t="s">
        <v>338</v>
      </c>
      <c r="B306" s="53" t="s">
        <v>372</v>
      </c>
      <c r="C306" s="54">
        <v>1</v>
      </c>
      <c r="D306" s="69" t="s">
        <v>134</v>
      </c>
      <c r="E306" s="231">
        <v>123.9</v>
      </c>
      <c r="F306" s="232">
        <f>rv_ms_eg</f>
        <v>0.17199999999999999</v>
      </c>
      <c r="G306" s="233">
        <f t="shared" si="93"/>
        <v>102.58920000000001</v>
      </c>
      <c r="H306" s="22"/>
      <c r="I306" s="71"/>
      <c r="J306" s="71"/>
      <c r="K306" s="13"/>
      <c r="L306" s="52"/>
      <c r="M306" s="458" t="s">
        <v>135</v>
      </c>
      <c r="N306" s="293" t="s">
        <v>136</v>
      </c>
      <c r="O306" s="297" t="s">
        <v>272</v>
      </c>
      <c r="P306" s="1" t="str">
        <f t="shared" si="97"/>
        <v/>
      </c>
      <c r="Q306" s="1" t="str">
        <f t="shared" si="97"/>
        <v/>
      </c>
      <c r="R306" s="191" t="s">
        <v>338</v>
      </c>
      <c r="S306" s="53" t="s">
        <v>372</v>
      </c>
      <c r="T306" s="54">
        <v>1</v>
      </c>
      <c r="U306" s="69" t="s">
        <v>134</v>
      </c>
      <c r="V306" s="231">
        <v>123.9</v>
      </c>
      <c r="W306" s="232">
        <v>0.17199999999999999</v>
      </c>
      <c r="X306" s="233">
        <v>102.58920000000001</v>
      </c>
      <c r="Y306" s="22"/>
      <c r="Z306" s="71"/>
      <c r="AA306" s="71"/>
      <c r="AB306" s="13"/>
      <c r="AC306" s="52"/>
      <c r="AD306" s="458" t="s">
        <v>135</v>
      </c>
      <c r="AE306" s="293" t="s">
        <v>136</v>
      </c>
      <c r="AF306" s="297" t="s">
        <v>272</v>
      </c>
      <c r="AG306" s="1" t="s">
        <v>2350</v>
      </c>
      <c r="AH306" s="1" t="s">
        <v>2350</v>
      </c>
    </row>
    <row r="307" spans="1:34">
      <c r="A307" s="183" t="s">
        <v>373</v>
      </c>
      <c r="B307" s="64" t="s">
        <v>374</v>
      </c>
      <c r="C307" s="21">
        <v>1</v>
      </c>
      <c r="D307" s="27" t="s">
        <v>134</v>
      </c>
      <c r="E307" s="28"/>
      <c r="F307" s="18"/>
      <c r="G307" s="79">
        <v>26</v>
      </c>
      <c r="H307" s="59"/>
      <c r="I307" s="134"/>
      <c r="J307" s="134"/>
      <c r="K307" s="68"/>
      <c r="L307" s="134"/>
      <c r="M307" s="458" t="s">
        <v>135</v>
      </c>
      <c r="N307" s="294" t="s">
        <v>136</v>
      </c>
      <c r="O307" s="299" t="s">
        <v>272</v>
      </c>
      <c r="P307" s="1" t="str">
        <f t="shared" si="97"/>
        <v/>
      </c>
      <c r="Q307" s="1" t="str">
        <f t="shared" si="97"/>
        <v/>
      </c>
      <c r="R307" s="183" t="s">
        <v>373</v>
      </c>
      <c r="S307" s="64" t="s">
        <v>374</v>
      </c>
      <c r="T307" s="21">
        <v>1</v>
      </c>
      <c r="U307" s="27" t="s">
        <v>134</v>
      </c>
      <c r="V307" s="28"/>
      <c r="W307" s="18"/>
      <c r="X307" s="79">
        <v>26</v>
      </c>
      <c r="Y307" s="59"/>
      <c r="Z307" s="134"/>
      <c r="AA307" s="134"/>
      <c r="AB307" s="68"/>
      <c r="AC307" s="134"/>
      <c r="AD307" s="458" t="s">
        <v>135</v>
      </c>
      <c r="AE307" s="294" t="s">
        <v>136</v>
      </c>
      <c r="AF307" s="299" t="s">
        <v>272</v>
      </c>
      <c r="AG307" s="1" t="s">
        <v>2350</v>
      </c>
      <c r="AH307" s="1" t="s">
        <v>2350</v>
      </c>
    </row>
    <row r="308" spans="1:34">
      <c r="A308" s="183" t="s">
        <v>375</v>
      </c>
      <c r="B308" s="64" t="s">
        <v>376</v>
      </c>
      <c r="C308" s="21">
        <v>1</v>
      </c>
      <c r="D308" s="27" t="s">
        <v>134</v>
      </c>
      <c r="E308" s="28"/>
      <c r="F308" s="18"/>
      <c r="G308" s="79">
        <v>51</v>
      </c>
      <c r="H308" s="59"/>
      <c r="I308" s="134"/>
      <c r="J308" s="134"/>
      <c r="K308" s="68"/>
      <c r="L308" s="134"/>
      <c r="M308" s="458" t="s">
        <v>135</v>
      </c>
      <c r="N308" s="294" t="s">
        <v>136</v>
      </c>
      <c r="O308" s="299" t="s">
        <v>272</v>
      </c>
      <c r="P308" s="1" t="str">
        <f t="shared" si="97"/>
        <v/>
      </c>
      <c r="Q308" s="1" t="str">
        <f t="shared" si="97"/>
        <v/>
      </c>
      <c r="R308" s="183" t="s">
        <v>375</v>
      </c>
      <c r="S308" s="64" t="s">
        <v>376</v>
      </c>
      <c r="T308" s="21">
        <v>1</v>
      </c>
      <c r="U308" s="27" t="s">
        <v>134</v>
      </c>
      <c r="V308" s="28"/>
      <c r="W308" s="18"/>
      <c r="X308" s="79">
        <v>51</v>
      </c>
      <c r="Y308" s="59"/>
      <c r="Z308" s="134"/>
      <c r="AA308" s="134"/>
      <c r="AB308" s="68"/>
      <c r="AC308" s="134"/>
      <c r="AD308" s="458" t="s">
        <v>135</v>
      </c>
      <c r="AE308" s="294" t="s">
        <v>136</v>
      </c>
      <c r="AF308" s="299" t="s">
        <v>272</v>
      </c>
      <c r="AG308" s="1" t="s">
        <v>2350</v>
      </c>
      <c r="AH308" s="1" t="s">
        <v>2350</v>
      </c>
    </row>
    <row r="309" spans="1:34">
      <c r="A309" s="183" t="s">
        <v>377</v>
      </c>
      <c r="B309" s="64" t="s">
        <v>378</v>
      </c>
      <c r="C309" s="21">
        <v>1</v>
      </c>
      <c r="D309" s="27" t="s">
        <v>134</v>
      </c>
      <c r="E309" s="28"/>
      <c r="F309" s="18"/>
      <c r="G309" s="79">
        <v>79</v>
      </c>
      <c r="H309" s="59"/>
      <c r="I309" s="134"/>
      <c r="J309" s="134"/>
      <c r="K309" s="68"/>
      <c r="L309" s="134"/>
      <c r="M309" s="458" t="s">
        <v>135</v>
      </c>
      <c r="N309" s="294" t="s">
        <v>136</v>
      </c>
      <c r="O309" s="299" t="s">
        <v>272</v>
      </c>
      <c r="P309" s="1" t="str">
        <f t="shared" si="97"/>
        <v/>
      </c>
      <c r="Q309" s="1" t="str">
        <f t="shared" si="97"/>
        <v/>
      </c>
      <c r="R309" s="183" t="s">
        <v>377</v>
      </c>
      <c r="S309" s="64" t="s">
        <v>378</v>
      </c>
      <c r="T309" s="21">
        <v>1</v>
      </c>
      <c r="U309" s="27" t="s">
        <v>134</v>
      </c>
      <c r="V309" s="28"/>
      <c r="W309" s="18"/>
      <c r="X309" s="79">
        <v>79</v>
      </c>
      <c r="Y309" s="59"/>
      <c r="Z309" s="134"/>
      <c r="AA309" s="134"/>
      <c r="AB309" s="68"/>
      <c r="AC309" s="134"/>
      <c r="AD309" s="458" t="s">
        <v>135</v>
      </c>
      <c r="AE309" s="294" t="s">
        <v>136</v>
      </c>
      <c r="AF309" s="299" t="s">
        <v>272</v>
      </c>
      <c r="AG309" s="1" t="s">
        <v>2350</v>
      </c>
      <c r="AH309" s="1" t="s">
        <v>2350</v>
      </c>
    </row>
    <row r="310" spans="1:34">
      <c r="A310" s="183" t="s">
        <v>379</v>
      </c>
      <c r="B310" s="64" t="s">
        <v>380</v>
      </c>
      <c r="C310" s="21">
        <v>1</v>
      </c>
      <c r="D310" s="27" t="s">
        <v>134</v>
      </c>
      <c r="E310" s="28"/>
      <c r="F310" s="18"/>
      <c r="G310" s="79">
        <v>42</v>
      </c>
      <c r="H310" s="59"/>
      <c r="I310" s="134"/>
      <c r="J310" s="134"/>
      <c r="K310" s="68"/>
      <c r="L310" s="134"/>
      <c r="M310" s="458" t="s">
        <v>135</v>
      </c>
      <c r="N310" s="294" t="s">
        <v>136</v>
      </c>
      <c r="O310" s="299" t="s">
        <v>272</v>
      </c>
      <c r="P310" s="1" t="str">
        <f t="shared" si="97"/>
        <v/>
      </c>
      <c r="Q310" s="1" t="str">
        <f t="shared" si="97"/>
        <v/>
      </c>
      <c r="R310" s="183" t="s">
        <v>379</v>
      </c>
      <c r="S310" s="64" t="s">
        <v>380</v>
      </c>
      <c r="T310" s="21">
        <v>1</v>
      </c>
      <c r="U310" s="27" t="s">
        <v>134</v>
      </c>
      <c r="V310" s="28"/>
      <c r="W310" s="18"/>
      <c r="X310" s="79">
        <v>42</v>
      </c>
      <c r="Y310" s="59"/>
      <c r="Z310" s="134"/>
      <c r="AA310" s="134"/>
      <c r="AB310" s="68"/>
      <c r="AC310" s="134"/>
      <c r="AD310" s="458" t="s">
        <v>135</v>
      </c>
      <c r="AE310" s="294" t="s">
        <v>136</v>
      </c>
      <c r="AF310" s="299" t="s">
        <v>272</v>
      </c>
      <c r="AG310" s="1" t="s">
        <v>2350</v>
      </c>
      <c r="AH310" s="1" t="s">
        <v>2350</v>
      </c>
    </row>
    <row r="311" spans="1:34">
      <c r="A311" s="183" t="s">
        <v>381</v>
      </c>
      <c r="B311" s="64" t="s">
        <v>382</v>
      </c>
      <c r="C311" s="21">
        <v>1</v>
      </c>
      <c r="D311" s="27" t="s">
        <v>134</v>
      </c>
      <c r="E311" s="28"/>
      <c r="F311" s="18"/>
      <c r="G311" s="79">
        <v>79</v>
      </c>
      <c r="H311" s="59"/>
      <c r="I311" s="134"/>
      <c r="J311" s="134"/>
      <c r="K311" s="68"/>
      <c r="L311" s="134"/>
      <c r="M311" s="458" t="s">
        <v>135</v>
      </c>
      <c r="N311" s="294" t="s">
        <v>136</v>
      </c>
      <c r="O311" s="299" t="s">
        <v>272</v>
      </c>
      <c r="P311" s="1" t="str">
        <f t="shared" si="97"/>
        <v/>
      </c>
      <c r="Q311" s="1" t="str">
        <f t="shared" si="97"/>
        <v/>
      </c>
      <c r="R311" s="183" t="s">
        <v>381</v>
      </c>
      <c r="S311" s="64" t="s">
        <v>382</v>
      </c>
      <c r="T311" s="21">
        <v>1</v>
      </c>
      <c r="U311" s="27" t="s">
        <v>134</v>
      </c>
      <c r="V311" s="28"/>
      <c r="W311" s="18"/>
      <c r="X311" s="79">
        <v>79</v>
      </c>
      <c r="Y311" s="59"/>
      <c r="Z311" s="134"/>
      <c r="AA311" s="134"/>
      <c r="AB311" s="68"/>
      <c r="AC311" s="134"/>
      <c r="AD311" s="458" t="s">
        <v>135</v>
      </c>
      <c r="AE311" s="294" t="s">
        <v>136</v>
      </c>
      <c r="AF311" s="299" t="s">
        <v>272</v>
      </c>
      <c r="AG311" s="1" t="s">
        <v>2350</v>
      </c>
      <c r="AH311" s="1" t="s">
        <v>2350</v>
      </c>
    </row>
    <row r="312" spans="1:34">
      <c r="A312" s="183" t="s">
        <v>383</v>
      </c>
      <c r="B312" s="64" t="s">
        <v>384</v>
      </c>
      <c r="C312" s="21">
        <v>1</v>
      </c>
      <c r="D312" s="27" t="s">
        <v>134</v>
      </c>
      <c r="E312" s="28"/>
      <c r="F312" s="18"/>
      <c r="G312" s="79">
        <v>100</v>
      </c>
      <c r="H312" s="59"/>
      <c r="I312" s="134"/>
      <c r="J312" s="134"/>
      <c r="K312" s="68"/>
      <c r="L312" s="134"/>
      <c r="M312" s="458" t="s">
        <v>135</v>
      </c>
      <c r="N312" s="294" t="s">
        <v>136</v>
      </c>
      <c r="O312" s="299" t="s">
        <v>272</v>
      </c>
      <c r="P312" s="1" t="str">
        <f t="shared" si="97"/>
        <v/>
      </c>
      <c r="Q312" s="1" t="str">
        <f t="shared" si="97"/>
        <v/>
      </c>
      <c r="R312" s="183" t="s">
        <v>383</v>
      </c>
      <c r="S312" s="64" t="s">
        <v>384</v>
      </c>
      <c r="T312" s="21">
        <v>1</v>
      </c>
      <c r="U312" s="27" t="s">
        <v>134</v>
      </c>
      <c r="V312" s="28"/>
      <c r="W312" s="18"/>
      <c r="X312" s="79">
        <v>100</v>
      </c>
      <c r="Y312" s="59"/>
      <c r="Z312" s="134"/>
      <c r="AA312" s="134"/>
      <c r="AB312" s="68"/>
      <c r="AC312" s="134"/>
      <c r="AD312" s="458" t="s">
        <v>135</v>
      </c>
      <c r="AE312" s="294" t="s">
        <v>136</v>
      </c>
      <c r="AF312" s="299" t="s">
        <v>272</v>
      </c>
      <c r="AG312" s="1" t="s">
        <v>2350</v>
      </c>
      <c r="AH312" s="1" t="s">
        <v>2350</v>
      </c>
    </row>
    <row r="313" spans="1:34">
      <c r="A313" s="183" t="s">
        <v>385</v>
      </c>
      <c r="B313" s="64" t="s">
        <v>386</v>
      </c>
      <c r="C313" s="21">
        <v>1</v>
      </c>
      <c r="D313" s="27" t="s">
        <v>134</v>
      </c>
      <c r="E313" s="28"/>
      <c r="F313" s="18"/>
      <c r="G313" s="79">
        <v>105</v>
      </c>
      <c r="H313" s="59"/>
      <c r="I313" s="134"/>
      <c r="J313" s="134"/>
      <c r="K313" s="68"/>
      <c r="L313" s="134"/>
      <c r="M313" s="458" t="s">
        <v>135</v>
      </c>
      <c r="N313" s="294" t="s">
        <v>136</v>
      </c>
      <c r="O313" s="299" t="s">
        <v>272</v>
      </c>
      <c r="P313" s="1" t="str">
        <f t="shared" si="97"/>
        <v/>
      </c>
      <c r="Q313" s="1" t="str">
        <f t="shared" si="97"/>
        <v/>
      </c>
      <c r="R313" s="183" t="s">
        <v>385</v>
      </c>
      <c r="S313" s="64" t="s">
        <v>386</v>
      </c>
      <c r="T313" s="21">
        <v>1</v>
      </c>
      <c r="U313" s="27" t="s">
        <v>134</v>
      </c>
      <c r="V313" s="28"/>
      <c r="W313" s="18"/>
      <c r="X313" s="79">
        <v>105</v>
      </c>
      <c r="Y313" s="59"/>
      <c r="Z313" s="134"/>
      <c r="AA313" s="134"/>
      <c r="AB313" s="68"/>
      <c r="AC313" s="134"/>
      <c r="AD313" s="458" t="s">
        <v>135</v>
      </c>
      <c r="AE313" s="294" t="s">
        <v>136</v>
      </c>
      <c r="AF313" s="299" t="s">
        <v>272</v>
      </c>
      <c r="AG313" s="1" t="s">
        <v>2350</v>
      </c>
      <c r="AH313" s="1" t="s">
        <v>2350</v>
      </c>
    </row>
    <row r="314" spans="1:34">
      <c r="A314" s="183" t="s">
        <v>387</v>
      </c>
      <c r="B314" s="64" t="s">
        <v>388</v>
      </c>
      <c r="C314" s="21">
        <v>1</v>
      </c>
      <c r="D314" s="27" t="s">
        <v>134</v>
      </c>
      <c r="E314" s="28"/>
      <c r="F314" s="18"/>
      <c r="G314" s="79">
        <v>32</v>
      </c>
      <c r="H314" s="59"/>
      <c r="I314" s="134"/>
      <c r="J314" s="134"/>
      <c r="K314" s="68"/>
      <c r="L314" s="134"/>
      <c r="M314" s="458" t="s">
        <v>135</v>
      </c>
      <c r="N314" s="294" t="s">
        <v>136</v>
      </c>
      <c r="O314" s="299" t="s">
        <v>272</v>
      </c>
      <c r="P314" s="1" t="str">
        <f t="shared" si="97"/>
        <v/>
      </c>
      <c r="Q314" s="1" t="str">
        <f t="shared" si="97"/>
        <v/>
      </c>
      <c r="R314" s="183" t="s">
        <v>387</v>
      </c>
      <c r="S314" s="64" t="s">
        <v>388</v>
      </c>
      <c r="T314" s="21">
        <v>1</v>
      </c>
      <c r="U314" s="27" t="s">
        <v>134</v>
      </c>
      <c r="V314" s="28"/>
      <c r="W314" s="18"/>
      <c r="X314" s="79">
        <v>32</v>
      </c>
      <c r="Y314" s="59"/>
      <c r="Z314" s="134"/>
      <c r="AA314" s="134"/>
      <c r="AB314" s="68"/>
      <c r="AC314" s="134"/>
      <c r="AD314" s="458" t="s">
        <v>135</v>
      </c>
      <c r="AE314" s="294" t="s">
        <v>136</v>
      </c>
      <c r="AF314" s="299" t="s">
        <v>272</v>
      </c>
      <c r="AG314" s="1" t="s">
        <v>2350</v>
      </c>
      <c r="AH314" s="1" t="s">
        <v>2350</v>
      </c>
    </row>
    <row r="315" spans="1:34">
      <c r="A315" s="183" t="s">
        <v>389</v>
      </c>
      <c r="B315" s="64" t="s">
        <v>390</v>
      </c>
      <c r="C315" s="21">
        <v>1</v>
      </c>
      <c r="D315" s="27" t="s">
        <v>134</v>
      </c>
      <c r="E315" s="28"/>
      <c r="F315" s="18"/>
      <c r="G315" s="79">
        <v>79</v>
      </c>
      <c r="H315" s="59"/>
      <c r="I315" s="134"/>
      <c r="J315" s="134"/>
      <c r="K315" s="68"/>
      <c r="L315" s="134"/>
      <c r="M315" s="458" t="s">
        <v>135</v>
      </c>
      <c r="N315" s="294" t="s">
        <v>136</v>
      </c>
      <c r="O315" s="299" t="s">
        <v>272</v>
      </c>
      <c r="P315" s="1" t="str">
        <f t="shared" si="97"/>
        <v/>
      </c>
      <c r="Q315" s="1" t="str">
        <f t="shared" si="97"/>
        <v/>
      </c>
      <c r="R315" s="183" t="s">
        <v>389</v>
      </c>
      <c r="S315" s="64" t="s">
        <v>390</v>
      </c>
      <c r="T315" s="21">
        <v>1</v>
      </c>
      <c r="U315" s="27" t="s">
        <v>134</v>
      </c>
      <c r="V315" s="28"/>
      <c r="W315" s="18"/>
      <c r="X315" s="79">
        <v>79</v>
      </c>
      <c r="Y315" s="59"/>
      <c r="Z315" s="134"/>
      <c r="AA315" s="134"/>
      <c r="AB315" s="68"/>
      <c r="AC315" s="134"/>
      <c r="AD315" s="458" t="s">
        <v>135</v>
      </c>
      <c r="AE315" s="294" t="s">
        <v>136</v>
      </c>
      <c r="AF315" s="299" t="s">
        <v>272</v>
      </c>
      <c r="AG315" s="1" t="s">
        <v>2350</v>
      </c>
      <c r="AH315" s="1" t="s">
        <v>2350</v>
      </c>
    </row>
    <row r="316" spans="1:34">
      <c r="A316" s="183" t="s">
        <v>391</v>
      </c>
      <c r="B316" s="64" t="s">
        <v>392</v>
      </c>
      <c r="C316" s="21">
        <v>1</v>
      </c>
      <c r="D316" s="27" t="s">
        <v>134</v>
      </c>
      <c r="E316" s="28"/>
      <c r="F316" s="18"/>
      <c r="G316" s="79">
        <v>105</v>
      </c>
      <c r="H316" s="59"/>
      <c r="I316" s="134"/>
      <c r="J316" s="134"/>
      <c r="K316" s="68"/>
      <c r="L316" s="134"/>
      <c r="M316" s="458" t="s">
        <v>135</v>
      </c>
      <c r="N316" s="294" t="s">
        <v>136</v>
      </c>
      <c r="O316" s="299" t="s">
        <v>272</v>
      </c>
      <c r="P316" s="1" t="str">
        <f t="shared" si="97"/>
        <v/>
      </c>
      <c r="Q316" s="1" t="str">
        <f t="shared" si="97"/>
        <v/>
      </c>
      <c r="R316" s="183" t="s">
        <v>391</v>
      </c>
      <c r="S316" s="64" t="s">
        <v>392</v>
      </c>
      <c r="T316" s="21">
        <v>1</v>
      </c>
      <c r="U316" s="27" t="s">
        <v>134</v>
      </c>
      <c r="V316" s="28"/>
      <c r="W316" s="18"/>
      <c r="X316" s="79">
        <v>105</v>
      </c>
      <c r="Y316" s="59"/>
      <c r="Z316" s="134"/>
      <c r="AA316" s="134"/>
      <c r="AB316" s="68"/>
      <c r="AC316" s="134"/>
      <c r="AD316" s="458" t="s">
        <v>135</v>
      </c>
      <c r="AE316" s="294" t="s">
        <v>136</v>
      </c>
      <c r="AF316" s="299" t="s">
        <v>272</v>
      </c>
      <c r="AG316" s="1" t="s">
        <v>2350</v>
      </c>
      <c r="AH316" s="1" t="s">
        <v>2350</v>
      </c>
    </row>
    <row r="317" spans="1:34">
      <c r="A317" s="183" t="s">
        <v>393</v>
      </c>
      <c r="B317" s="64" t="s">
        <v>394</v>
      </c>
      <c r="C317" s="21">
        <v>1</v>
      </c>
      <c r="D317" s="27" t="s">
        <v>134</v>
      </c>
      <c r="E317" s="28"/>
      <c r="F317" s="18"/>
      <c r="G317" s="79">
        <v>137</v>
      </c>
      <c r="H317" s="59"/>
      <c r="I317" s="134"/>
      <c r="J317" s="134"/>
      <c r="K317" s="68"/>
      <c r="L317" s="134"/>
      <c r="M317" s="458" t="s">
        <v>135</v>
      </c>
      <c r="N317" s="294" t="s">
        <v>136</v>
      </c>
      <c r="O317" s="299" t="s">
        <v>272</v>
      </c>
      <c r="P317" s="1" t="str">
        <f t="shared" si="97"/>
        <v/>
      </c>
      <c r="Q317" s="1" t="str">
        <f t="shared" si="97"/>
        <v/>
      </c>
      <c r="R317" s="183" t="s">
        <v>393</v>
      </c>
      <c r="S317" s="64" t="s">
        <v>394</v>
      </c>
      <c r="T317" s="21">
        <v>1</v>
      </c>
      <c r="U317" s="27" t="s">
        <v>134</v>
      </c>
      <c r="V317" s="28"/>
      <c r="W317" s="18"/>
      <c r="X317" s="79">
        <v>137</v>
      </c>
      <c r="Y317" s="59"/>
      <c r="Z317" s="134"/>
      <c r="AA317" s="134"/>
      <c r="AB317" s="68"/>
      <c r="AC317" s="134"/>
      <c r="AD317" s="458" t="s">
        <v>135</v>
      </c>
      <c r="AE317" s="294" t="s">
        <v>136</v>
      </c>
      <c r="AF317" s="299" t="s">
        <v>272</v>
      </c>
      <c r="AG317" s="1" t="s">
        <v>2350</v>
      </c>
      <c r="AH317" s="1" t="s">
        <v>2350</v>
      </c>
    </row>
    <row r="318" spans="1:34" ht="13" customHeight="1">
      <c r="A318" s="184" t="s">
        <v>395</v>
      </c>
      <c r="B318" s="189" t="s">
        <v>396</v>
      </c>
      <c r="C318" s="89">
        <v>1</v>
      </c>
      <c r="D318" s="31" t="s">
        <v>134</v>
      </c>
      <c r="E318" s="32"/>
      <c r="F318" s="35"/>
      <c r="G318" s="91">
        <v>326</v>
      </c>
      <c r="H318" s="133"/>
      <c r="I318" s="236"/>
      <c r="J318" s="236"/>
      <c r="K318" s="101"/>
      <c r="L318" s="236"/>
      <c r="M318" s="458" t="s">
        <v>135</v>
      </c>
      <c r="N318" s="294" t="s">
        <v>136</v>
      </c>
      <c r="O318" s="300" t="s">
        <v>272</v>
      </c>
      <c r="P318" s="1" t="str">
        <f t="shared" si="97"/>
        <v/>
      </c>
      <c r="Q318" s="1" t="str">
        <f t="shared" si="97"/>
        <v/>
      </c>
      <c r="R318" s="184" t="s">
        <v>395</v>
      </c>
      <c r="S318" s="189" t="s">
        <v>396</v>
      </c>
      <c r="T318" s="89">
        <v>1</v>
      </c>
      <c r="U318" s="31" t="s">
        <v>134</v>
      </c>
      <c r="V318" s="32"/>
      <c r="W318" s="35"/>
      <c r="X318" s="91">
        <v>326</v>
      </c>
      <c r="Y318" s="133"/>
      <c r="Z318" s="236"/>
      <c r="AA318" s="236"/>
      <c r="AB318" s="101"/>
      <c r="AC318" s="236"/>
      <c r="AD318" s="458" t="s">
        <v>135</v>
      </c>
      <c r="AE318" s="294" t="s">
        <v>136</v>
      </c>
      <c r="AF318" s="300" t="s">
        <v>272</v>
      </c>
      <c r="AG318" s="1" t="s">
        <v>2350</v>
      </c>
      <c r="AH318" s="1" t="s">
        <v>2350</v>
      </c>
    </row>
    <row r="319" spans="1:34">
      <c r="A319" s="183" t="s">
        <v>397</v>
      </c>
      <c r="B319" s="64" t="s">
        <v>398</v>
      </c>
      <c r="C319" s="21">
        <v>1</v>
      </c>
      <c r="D319" s="27" t="s">
        <v>134</v>
      </c>
      <c r="E319" s="28"/>
      <c r="F319" s="18"/>
      <c r="G319" s="79">
        <v>620</v>
      </c>
      <c r="H319" s="59"/>
      <c r="I319" s="134"/>
      <c r="J319" s="134"/>
      <c r="K319" s="68"/>
      <c r="L319" s="134"/>
      <c r="M319" s="458" t="s">
        <v>135</v>
      </c>
      <c r="N319" s="294" t="s">
        <v>136</v>
      </c>
      <c r="O319" s="299" t="s">
        <v>272</v>
      </c>
      <c r="P319" s="1" t="str">
        <f t="shared" si="97"/>
        <v/>
      </c>
      <c r="Q319" s="1" t="str">
        <f t="shared" si="97"/>
        <v/>
      </c>
      <c r="R319" s="183" t="s">
        <v>397</v>
      </c>
      <c r="S319" s="64" t="s">
        <v>398</v>
      </c>
      <c r="T319" s="21">
        <v>1</v>
      </c>
      <c r="U319" s="27" t="s">
        <v>134</v>
      </c>
      <c r="V319" s="28"/>
      <c r="W319" s="18"/>
      <c r="X319" s="79">
        <v>620</v>
      </c>
      <c r="Y319" s="59"/>
      <c r="Z319" s="134"/>
      <c r="AA319" s="134"/>
      <c r="AB319" s="68"/>
      <c r="AC319" s="134"/>
      <c r="AD319" s="458" t="s">
        <v>135</v>
      </c>
      <c r="AE319" s="294" t="s">
        <v>136</v>
      </c>
      <c r="AF319" s="299" t="s">
        <v>272</v>
      </c>
      <c r="AG319" s="1" t="s">
        <v>2350</v>
      </c>
      <c r="AH319" s="1" t="s">
        <v>2350</v>
      </c>
    </row>
    <row r="320" spans="1:34">
      <c r="A320" s="183" t="s">
        <v>399</v>
      </c>
      <c r="B320" s="64" t="s">
        <v>400</v>
      </c>
      <c r="C320" s="21">
        <v>1</v>
      </c>
      <c r="D320" s="27" t="s">
        <v>134</v>
      </c>
      <c r="E320" s="28"/>
      <c r="F320" s="18"/>
      <c r="G320" s="79">
        <v>480</v>
      </c>
      <c r="H320" s="59"/>
      <c r="I320" s="134"/>
      <c r="J320" s="134"/>
      <c r="K320" s="68"/>
      <c r="L320" s="134"/>
      <c r="M320" s="458" t="s">
        <v>135</v>
      </c>
      <c r="N320" s="294" t="s">
        <v>136</v>
      </c>
      <c r="O320" s="299" t="s">
        <v>137</v>
      </c>
      <c r="P320" s="1" t="str">
        <f t="shared" si="97"/>
        <v/>
      </c>
      <c r="Q320" s="1" t="str">
        <f t="shared" si="97"/>
        <v/>
      </c>
      <c r="R320" s="183" t="s">
        <v>399</v>
      </c>
      <c r="S320" s="64" t="s">
        <v>400</v>
      </c>
      <c r="T320" s="21">
        <v>1</v>
      </c>
      <c r="U320" s="27" t="s">
        <v>134</v>
      </c>
      <c r="V320" s="28"/>
      <c r="W320" s="18"/>
      <c r="X320" s="79">
        <v>480</v>
      </c>
      <c r="Y320" s="59"/>
      <c r="Z320" s="134"/>
      <c r="AA320" s="134"/>
      <c r="AB320" s="68"/>
      <c r="AC320" s="134"/>
      <c r="AD320" s="458" t="s">
        <v>135</v>
      </c>
      <c r="AE320" s="294" t="s">
        <v>136</v>
      </c>
      <c r="AF320" s="299" t="s">
        <v>137</v>
      </c>
      <c r="AG320" s="1" t="s">
        <v>2350</v>
      </c>
      <c r="AH320" s="1" t="s">
        <v>2350</v>
      </c>
    </row>
    <row r="321" spans="1:34" s="270" customFormat="1" ht="25" customHeight="1">
      <c r="A321" s="332" t="s">
        <v>2693</v>
      </c>
      <c r="B321" s="333"/>
      <c r="C321" s="334"/>
      <c r="D321" s="335"/>
      <c r="E321" s="335"/>
      <c r="F321" s="336"/>
      <c r="G321" s="337"/>
      <c r="H321" s="337"/>
      <c r="I321" s="338"/>
      <c r="J321" s="338"/>
      <c r="K321" s="337"/>
      <c r="L321" s="338"/>
      <c r="M321" s="456"/>
      <c r="N321" s="339"/>
      <c r="O321" s="338"/>
      <c r="P321" s="338"/>
      <c r="Q321" s="338"/>
      <c r="R321" s="332" t="s">
        <v>2693</v>
      </c>
      <c r="S321" s="333"/>
      <c r="T321" s="334"/>
      <c r="U321" s="335"/>
      <c r="V321" s="335"/>
      <c r="W321" s="336"/>
      <c r="X321" s="337"/>
      <c r="Y321" s="337"/>
      <c r="Z321" s="338"/>
      <c r="AA321" s="338"/>
      <c r="AB321" s="337"/>
      <c r="AC321" s="338"/>
      <c r="AD321" s="456"/>
      <c r="AE321" s="339"/>
      <c r="AF321" s="338"/>
      <c r="AG321" s="338"/>
      <c r="AH321" s="338"/>
    </row>
    <row r="322" spans="1:34" s="84" customFormat="1">
      <c r="A322" s="185" t="s">
        <v>2670</v>
      </c>
      <c r="B322" s="49" t="s">
        <v>2688</v>
      </c>
      <c r="C322" s="50">
        <v>1</v>
      </c>
      <c r="D322" s="51" t="s">
        <v>126</v>
      </c>
      <c r="E322" s="57">
        <v>6913.31</v>
      </c>
      <c r="F322" s="61">
        <f>rv_mp_eg</f>
        <v>0.17199999999999999</v>
      </c>
      <c r="G322" s="65">
        <f t="shared" ref="G322:G334" si="101">E322-(E322*F322)</f>
        <v>5724.2206800000004</v>
      </c>
      <c r="H322" s="694" t="s">
        <v>402</v>
      </c>
      <c r="I322" s="58">
        <v>113.35</v>
      </c>
      <c r="J322" s="58">
        <f>G322+I322</f>
        <v>5837.5706800000007</v>
      </c>
      <c r="K322" s="58" t="s">
        <v>128</v>
      </c>
      <c r="L322" s="58">
        <v>2.52</v>
      </c>
      <c r="M322" s="457" t="s">
        <v>403</v>
      </c>
      <c r="N322" s="307" t="s">
        <v>268</v>
      </c>
      <c r="O322" s="308" t="s">
        <v>269</v>
      </c>
      <c r="P322" s="84">
        <f t="shared" ref="P322:Q322" si="102">+IF($J322&lt;&gt;"",P$2*$J322,"")</f>
        <v>1175.1540407944367</v>
      </c>
      <c r="Q322" s="84">
        <f t="shared" si="102"/>
        <v>610.73514508286144</v>
      </c>
      <c r="R322" s="185" t="s">
        <v>2670</v>
      </c>
      <c r="S322" s="49" t="s">
        <v>2688</v>
      </c>
      <c r="T322" s="50">
        <v>1</v>
      </c>
      <c r="U322" s="51" t="s">
        <v>126</v>
      </c>
      <c r="V322" s="57">
        <v>6914.63</v>
      </c>
      <c r="W322" s="61">
        <v>0.17199999999999999</v>
      </c>
      <c r="X322" s="65">
        <v>5725.3136400000003</v>
      </c>
      <c r="Y322" s="694" t="s">
        <v>402</v>
      </c>
      <c r="Z322" s="58">
        <v>113.35</v>
      </c>
      <c r="AA322" s="58">
        <v>5838.6636400000007</v>
      </c>
      <c r="AB322" s="58" t="s">
        <v>128</v>
      </c>
      <c r="AC322" s="58">
        <v>1.2</v>
      </c>
      <c r="AD322" s="457" t="s">
        <v>403</v>
      </c>
      <c r="AE322" s="307" t="s">
        <v>268</v>
      </c>
      <c r="AF322" s="308" t="s">
        <v>269</v>
      </c>
      <c r="AG322" s="84">
        <v>1175.3740632028723</v>
      </c>
      <c r="AH322" s="84">
        <v>610.84949214960557</v>
      </c>
    </row>
    <row r="323" spans="1:34">
      <c r="A323" s="199" t="s">
        <v>2671</v>
      </c>
      <c r="B323" s="197" t="s">
        <v>404</v>
      </c>
      <c r="C323" s="198">
        <v>1</v>
      </c>
      <c r="D323" s="62" t="s">
        <v>126</v>
      </c>
      <c r="E323" s="186">
        <v>958.33</v>
      </c>
      <c r="F323" s="234">
        <f t="shared" ref="F323:F331" si="103">rv_mp_eg_cto</f>
        <v>0.17199999999999999</v>
      </c>
      <c r="G323" s="79">
        <f t="shared" ref="G323" si="104">E323-(E323*F323)</f>
        <v>793.49724000000003</v>
      </c>
      <c r="H323" s="59"/>
      <c r="I323" s="134"/>
      <c r="J323" s="134"/>
      <c r="K323" s="68"/>
      <c r="L323" s="134"/>
      <c r="M323" s="458" t="s">
        <v>403</v>
      </c>
      <c r="N323" s="293" t="s">
        <v>268</v>
      </c>
      <c r="O323" s="297" t="s">
        <v>269</v>
      </c>
      <c r="P323" s="1" t="str">
        <f t="shared" ref="P323:Q328" si="105">+IF($J323&lt;&gt;"",P$2*$J323,"")</f>
        <v/>
      </c>
      <c r="Q323" s="1" t="str">
        <f t="shared" si="105"/>
        <v/>
      </c>
      <c r="R323" s="199" t="s">
        <v>2671</v>
      </c>
      <c r="S323" s="197" t="s">
        <v>404</v>
      </c>
      <c r="T323" s="198">
        <v>1</v>
      </c>
      <c r="U323" s="62" t="s">
        <v>126</v>
      </c>
      <c r="V323" s="186">
        <v>958.33</v>
      </c>
      <c r="W323" s="234">
        <v>0.17199999999999999</v>
      </c>
      <c r="X323" s="79">
        <v>793.49724000000003</v>
      </c>
      <c r="Y323" s="59"/>
      <c r="Z323" s="134"/>
      <c r="AA323" s="134"/>
      <c r="AB323" s="68"/>
      <c r="AC323" s="134"/>
      <c r="AD323" s="458" t="s">
        <v>403</v>
      </c>
      <c r="AE323" s="293" t="s">
        <v>268</v>
      </c>
      <c r="AF323" s="297" t="s">
        <v>269</v>
      </c>
      <c r="AG323" s="1" t="s">
        <v>2350</v>
      </c>
      <c r="AH323" s="1" t="s">
        <v>2350</v>
      </c>
    </row>
    <row r="324" spans="1:34">
      <c r="A324" s="199" t="s">
        <v>2672</v>
      </c>
      <c r="B324" s="197" t="s">
        <v>405</v>
      </c>
      <c r="C324" s="198">
        <v>1</v>
      </c>
      <c r="D324" s="62" t="s">
        <v>126</v>
      </c>
      <c r="E324" s="186">
        <v>766.67</v>
      </c>
      <c r="F324" s="234">
        <f t="shared" si="103"/>
        <v>0.17199999999999999</v>
      </c>
      <c r="G324" s="79">
        <f t="shared" ref="G324" si="106">E324-(E324*F324)</f>
        <v>634.80276000000003</v>
      </c>
      <c r="H324" s="59"/>
      <c r="I324" s="134"/>
      <c r="J324" s="134"/>
      <c r="K324" s="68"/>
      <c r="L324" s="134"/>
      <c r="M324" s="458" t="s">
        <v>403</v>
      </c>
      <c r="N324" s="293" t="s">
        <v>268</v>
      </c>
      <c r="O324" s="297" t="s">
        <v>269</v>
      </c>
      <c r="P324" s="1" t="str">
        <f t="shared" si="105"/>
        <v/>
      </c>
      <c r="Q324" s="1" t="str">
        <f t="shared" si="105"/>
        <v/>
      </c>
      <c r="R324" s="199" t="s">
        <v>2672</v>
      </c>
      <c r="S324" s="197" t="s">
        <v>405</v>
      </c>
      <c r="T324" s="198">
        <v>1</v>
      </c>
      <c r="U324" s="62" t="s">
        <v>126</v>
      </c>
      <c r="V324" s="186">
        <v>766.67</v>
      </c>
      <c r="W324" s="234">
        <v>0.17199999999999999</v>
      </c>
      <c r="X324" s="79">
        <v>634.80276000000003</v>
      </c>
      <c r="Y324" s="59"/>
      <c r="Z324" s="134"/>
      <c r="AA324" s="134"/>
      <c r="AB324" s="68"/>
      <c r="AC324" s="134"/>
      <c r="AD324" s="458" t="s">
        <v>403</v>
      </c>
      <c r="AE324" s="293" t="s">
        <v>268</v>
      </c>
      <c r="AF324" s="297" t="s">
        <v>269</v>
      </c>
      <c r="AG324" s="1" t="s">
        <v>2350</v>
      </c>
      <c r="AH324" s="1" t="s">
        <v>2350</v>
      </c>
    </row>
    <row r="325" spans="1:34">
      <c r="A325" s="199" t="s">
        <v>2673</v>
      </c>
      <c r="B325" s="197" t="s">
        <v>406</v>
      </c>
      <c r="C325" s="198">
        <v>1</v>
      </c>
      <c r="D325" s="62" t="s">
        <v>126</v>
      </c>
      <c r="E325" s="186">
        <v>1533.33</v>
      </c>
      <c r="F325" s="234">
        <f t="shared" si="103"/>
        <v>0.17199999999999999</v>
      </c>
      <c r="G325" s="79">
        <f t="shared" si="101"/>
        <v>1269.5972400000001</v>
      </c>
      <c r="H325" s="59"/>
      <c r="I325" s="134"/>
      <c r="J325" s="134"/>
      <c r="K325" s="68"/>
      <c r="L325" s="134"/>
      <c r="M325" s="458" t="s">
        <v>403</v>
      </c>
      <c r="N325" s="293" t="s">
        <v>268</v>
      </c>
      <c r="O325" s="297" t="s">
        <v>269</v>
      </c>
      <c r="P325" s="1" t="str">
        <f t="shared" si="105"/>
        <v/>
      </c>
      <c r="Q325" s="1" t="str">
        <f t="shared" si="105"/>
        <v/>
      </c>
      <c r="R325" s="199" t="s">
        <v>2673</v>
      </c>
      <c r="S325" s="197" t="s">
        <v>406</v>
      </c>
      <c r="T325" s="198">
        <v>1</v>
      </c>
      <c r="U325" s="62" t="s">
        <v>126</v>
      </c>
      <c r="V325" s="186">
        <v>1533.33</v>
      </c>
      <c r="W325" s="234">
        <v>0.17199999999999999</v>
      </c>
      <c r="X325" s="79">
        <v>1269.5972400000001</v>
      </c>
      <c r="Y325" s="59"/>
      <c r="Z325" s="134"/>
      <c r="AA325" s="134"/>
      <c r="AB325" s="68"/>
      <c r="AC325" s="134"/>
      <c r="AD325" s="458" t="s">
        <v>403</v>
      </c>
      <c r="AE325" s="293" t="s">
        <v>268</v>
      </c>
      <c r="AF325" s="297" t="s">
        <v>269</v>
      </c>
      <c r="AG325" s="1" t="s">
        <v>2350</v>
      </c>
      <c r="AH325" s="1" t="s">
        <v>2350</v>
      </c>
    </row>
    <row r="326" spans="1:34">
      <c r="A326" s="199" t="s">
        <v>2674</v>
      </c>
      <c r="B326" s="197" t="s">
        <v>407</v>
      </c>
      <c r="C326" s="198">
        <v>1</v>
      </c>
      <c r="D326" s="62" t="s">
        <v>126</v>
      </c>
      <c r="E326" s="186">
        <v>383.33</v>
      </c>
      <c r="F326" s="234">
        <f t="shared" si="103"/>
        <v>0.17199999999999999</v>
      </c>
      <c r="G326" s="79">
        <f t="shared" si="101"/>
        <v>317.39724000000001</v>
      </c>
      <c r="H326" s="59"/>
      <c r="I326" s="134"/>
      <c r="J326" s="134"/>
      <c r="K326" s="68"/>
      <c r="L326" s="134"/>
      <c r="M326" s="458" t="s">
        <v>403</v>
      </c>
      <c r="N326" s="293" t="s">
        <v>268</v>
      </c>
      <c r="O326" s="297" t="s">
        <v>269</v>
      </c>
      <c r="P326" s="1" t="str">
        <f t="shared" si="105"/>
        <v/>
      </c>
      <c r="Q326" s="1" t="str">
        <f t="shared" si="105"/>
        <v/>
      </c>
      <c r="R326" s="199" t="s">
        <v>2674</v>
      </c>
      <c r="S326" s="197" t="s">
        <v>407</v>
      </c>
      <c r="T326" s="198">
        <v>1</v>
      </c>
      <c r="U326" s="62" t="s">
        <v>126</v>
      </c>
      <c r="V326" s="186">
        <v>383.33</v>
      </c>
      <c r="W326" s="234">
        <v>0.17199999999999999</v>
      </c>
      <c r="X326" s="79">
        <v>317.39724000000001</v>
      </c>
      <c r="Y326" s="59"/>
      <c r="Z326" s="134"/>
      <c r="AA326" s="134"/>
      <c r="AB326" s="68"/>
      <c r="AC326" s="134"/>
      <c r="AD326" s="458" t="s">
        <v>403</v>
      </c>
      <c r="AE326" s="293" t="s">
        <v>268</v>
      </c>
      <c r="AF326" s="297" t="s">
        <v>269</v>
      </c>
      <c r="AG326" s="1" t="s">
        <v>2350</v>
      </c>
      <c r="AH326" s="1" t="s">
        <v>2350</v>
      </c>
    </row>
    <row r="327" spans="1:34">
      <c r="A327" s="199" t="s">
        <v>2675</v>
      </c>
      <c r="B327" s="197" t="s">
        <v>408</v>
      </c>
      <c r="C327" s="198">
        <v>1</v>
      </c>
      <c r="D327" s="62" t="s">
        <v>126</v>
      </c>
      <c r="E327" s="186">
        <v>958.33</v>
      </c>
      <c r="F327" s="234">
        <f t="shared" si="103"/>
        <v>0.17199999999999999</v>
      </c>
      <c r="G327" s="79">
        <f t="shared" si="101"/>
        <v>793.49724000000003</v>
      </c>
      <c r="H327" s="59"/>
      <c r="I327" s="134"/>
      <c r="J327" s="134"/>
      <c r="K327" s="68"/>
      <c r="L327" s="134"/>
      <c r="M327" s="458" t="s">
        <v>403</v>
      </c>
      <c r="N327" s="293" t="s">
        <v>268</v>
      </c>
      <c r="O327" s="297" t="s">
        <v>269</v>
      </c>
      <c r="P327" s="1" t="str">
        <f t="shared" si="105"/>
        <v/>
      </c>
      <c r="Q327" s="1" t="str">
        <f t="shared" si="105"/>
        <v/>
      </c>
      <c r="R327" s="199" t="s">
        <v>2675</v>
      </c>
      <c r="S327" s="197" t="s">
        <v>408</v>
      </c>
      <c r="T327" s="198">
        <v>1</v>
      </c>
      <c r="U327" s="62" t="s">
        <v>126</v>
      </c>
      <c r="V327" s="186">
        <v>958.33</v>
      </c>
      <c r="W327" s="234">
        <v>0.17199999999999999</v>
      </c>
      <c r="X327" s="79">
        <v>793.49724000000003</v>
      </c>
      <c r="Y327" s="59"/>
      <c r="Z327" s="134"/>
      <c r="AA327" s="134"/>
      <c r="AB327" s="68"/>
      <c r="AC327" s="134"/>
      <c r="AD327" s="458" t="s">
        <v>403</v>
      </c>
      <c r="AE327" s="293" t="s">
        <v>268</v>
      </c>
      <c r="AF327" s="297" t="s">
        <v>269</v>
      </c>
      <c r="AG327" s="1" t="s">
        <v>2350</v>
      </c>
      <c r="AH327" s="1" t="s">
        <v>2350</v>
      </c>
    </row>
    <row r="328" spans="1:34">
      <c r="A328" s="199" t="s">
        <v>2676</v>
      </c>
      <c r="B328" s="197" t="s">
        <v>409</v>
      </c>
      <c r="C328" s="198">
        <v>1</v>
      </c>
      <c r="D328" s="62" t="s">
        <v>126</v>
      </c>
      <c r="E328" s="186">
        <v>2108.33</v>
      </c>
      <c r="F328" s="234">
        <f t="shared" si="103"/>
        <v>0.17199999999999999</v>
      </c>
      <c r="G328" s="79">
        <f t="shared" si="101"/>
        <v>1745.69724</v>
      </c>
      <c r="H328" s="59"/>
      <c r="I328" s="134"/>
      <c r="J328" s="134"/>
      <c r="K328" s="68"/>
      <c r="L328" s="134"/>
      <c r="M328" s="458" t="s">
        <v>403</v>
      </c>
      <c r="N328" s="293" t="s">
        <v>268</v>
      </c>
      <c r="O328" s="297" t="s">
        <v>269</v>
      </c>
      <c r="P328" s="1" t="str">
        <f t="shared" si="105"/>
        <v/>
      </c>
      <c r="Q328" s="1" t="str">
        <f t="shared" si="105"/>
        <v/>
      </c>
      <c r="R328" s="199" t="s">
        <v>2676</v>
      </c>
      <c r="S328" s="197" t="s">
        <v>409</v>
      </c>
      <c r="T328" s="198">
        <v>1</v>
      </c>
      <c r="U328" s="62" t="s">
        <v>126</v>
      </c>
      <c r="V328" s="186">
        <v>2108.33</v>
      </c>
      <c r="W328" s="234">
        <v>0.17199999999999999</v>
      </c>
      <c r="X328" s="79">
        <v>1745.69724</v>
      </c>
      <c r="Y328" s="59"/>
      <c r="Z328" s="134"/>
      <c r="AA328" s="134"/>
      <c r="AB328" s="68"/>
      <c r="AC328" s="134"/>
      <c r="AD328" s="458" t="s">
        <v>403</v>
      </c>
      <c r="AE328" s="293" t="s">
        <v>268</v>
      </c>
      <c r="AF328" s="297" t="s">
        <v>269</v>
      </c>
      <c r="AG328" s="1" t="s">
        <v>2350</v>
      </c>
      <c r="AH328" s="1" t="s">
        <v>2350</v>
      </c>
    </row>
    <row r="329" spans="1:34">
      <c r="A329" s="199" t="s">
        <v>2679</v>
      </c>
      <c r="B329" s="197" t="s">
        <v>410</v>
      </c>
      <c r="C329" s="198">
        <v>1</v>
      </c>
      <c r="D329" s="62" t="s">
        <v>126</v>
      </c>
      <c r="E329" s="186">
        <v>416.67</v>
      </c>
      <c r="F329" s="234">
        <f>rv_mp_eg_cto</f>
        <v>0.17199999999999999</v>
      </c>
      <c r="G329" s="79">
        <f>E329-(E329*F329)</f>
        <v>345.00276000000002</v>
      </c>
      <c r="H329" s="59"/>
      <c r="I329" s="134"/>
      <c r="J329" s="134"/>
      <c r="K329" s="68"/>
      <c r="L329" s="134"/>
      <c r="M329" s="458" t="s">
        <v>403</v>
      </c>
      <c r="N329" s="293" t="s">
        <v>268</v>
      </c>
      <c r="O329" s="297" t="s">
        <v>269</v>
      </c>
      <c r="P329" s="1" t="str">
        <f>+IF($J329&lt;&gt;"",P$2*$J329,"")</f>
        <v/>
      </c>
      <c r="Q329" s="1" t="str">
        <f>+IF($J329&lt;&gt;"",Q$2*$J329,"")</f>
        <v/>
      </c>
      <c r="R329" s="199" t="s">
        <v>2679</v>
      </c>
      <c r="S329" s="197" t="s">
        <v>410</v>
      </c>
      <c r="T329" s="198">
        <v>1</v>
      </c>
      <c r="U329" s="62" t="s">
        <v>126</v>
      </c>
      <c r="V329" s="186">
        <v>416.67</v>
      </c>
      <c r="W329" s="234">
        <v>0.17199999999999999</v>
      </c>
      <c r="X329" s="79">
        <v>345.00276000000002</v>
      </c>
      <c r="Y329" s="59"/>
      <c r="Z329" s="134"/>
      <c r="AA329" s="134"/>
      <c r="AB329" s="68"/>
      <c r="AC329" s="134"/>
      <c r="AD329" s="458" t="s">
        <v>403</v>
      </c>
      <c r="AE329" s="293" t="s">
        <v>268</v>
      </c>
      <c r="AF329" s="297" t="s">
        <v>269</v>
      </c>
      <c r="AG329" s="1" t="s">
        <v>2350</v>
      </c>
      <c r="AH329" s="1" t="s">
        <v>2350</v>
      </c>
    </row>
    <row r="330" spans="1:34">
      <c r="A330" s="199" t="s">
        <v>2677</v>
      </c>
      <c r="B330" s="197" t="s">
        <v>2925</v>
      </c>
      <c r="C330" s="198">
        <v>1</v>
      </c>
      <c r="D330" s="62" t="s">
        <v>126</v>
      </c>
      <c r="E330" s="186">
        <v>41.67</v>
      </c>
      <c r="F330" s="234">
        <f t="shared" si="103"/>
        <v>0.17199999999999999</v>
      </c>
      <c r="G330" s="79">
        <f t="shared" si="101"/>
        <v>34.502760000000002</v>
      </c>
      <c r="H330" s="59"/>
      <c r="I330" s="134"/>
      <c r="J330" s="134"/>
      <c r="K330" s="68"/>
      <c r="L330" s="134"/>
      <c r="M330" s="458" t="s">
        <v>403</v>
      </c>
      <c r="N330" s="293" t="s">
        <v>268</v>
      </c>
      <c r="O330" s="297" t="s">
        <v>269</v>
      </c>
      <c r="P330" s="1" t="str">
        <f t="shared" ref="P330:Q334" si="107">+IF($J330&lt;&gt;"",P$2*$J330,"")</f>
        <v/>
      </c>
      <c r="Q330" s="1" t="str">
        <f t="shared" si="107"/>
        <v/>
      </c>
      <c r="R330" s="199" t="s">
        <v>2677</v>
      </c>
      <c r="S330" s="197" t="s">
        <v>2925</v>
      </c>
      <c r="T330" s="198">
        <v>1</v>
      </c>
      <c r="U330" s="62" t="s">
        <v>126</v>
      </c>
      <c r="V330" s="186">
        <v>41.67</v>
      </c>
      <c r="W330" s="234">
        <v>0.17199999999999999</v>
      </c>
      <c r="X330" s="79">
        <v>34.502760000000002</v>
      </c>
      <c r="Y330" s="59"/>
      <c r="Z330" s="134"/>
      <c r="AA330" s="134"/>
      <c r="AB330" s="68"/>
      <c r="AC330" s="134"/>
      <c r="AD330" s="458" t="s">
        <v>403</v>
      </c>
      <c r="AE330" s="293" t="s">
        <v>268</v>
      </c>
      <c r="AF330" s="297" t="s">
        <v>269</v>
      </c>
      <c r="AG330" s="1" t="s">
        <v>2350</v>
      </c>
      <c r="AH330" s="1" t="s">
        <v>2350</v>
      </c>
    </row>
    <row r="331" spans="1:34">
      <c r="A331" s="199" t="s">
        <v>2678</v>
      </c>
      <c r="B331" s="197" t="s">
        <v>2926</v>
      </c>
      <c r="C331" s="198">
        <v>1</v>
      </c>
      <c r="D331" s="62" t="s">
        <v>126</v>
      </c>
      <c r="E331" s="186">
        <v>140.83000000000001</v>
      </c>
      <c r="F331" s="234">
        <f t="shared" si="103"/>
        <v>0.17199999999999999</v>
      </c>
      <c r="G331" s="79">
        <f t="shared" si="101"/>
        <v>116.60724000000002</v>
      </c>
      <c r="H331" s="59"/>
      <c r="I331" s="134"/>
      <c r="J331" s="134"/>
      <c r="K331" s="68"/>
      <c r="L331" s="134"/>
      <c r="M331" s="458" t="s">
        <v>403</v>
      </c>
      <c r="N331" s="293" t="s">
        <v>268</v>
      </c>
      <c r="O331" s="297" t="s">
        <v>269</v>
      </c>
      <c r="P331" s="1" t="str">
        <f t="shared" si="107"/>
        <v/>
      </c>
      <c r="Q331" s="1" t="str">
        <f t="shared" si="107"/>
        <v/>
      </c>
      <c r="R331" s="199" t="s">
        <v>2678</v>
      </c>
      <c r="S331" s="197" t="s">
        <v>2926</v>
      </c>
      <c r="T331" s="198">
        <v>1</v>
      </c>
      <c r="U331" s="62" t="s">
        <v>126</v>
      </c>
      <c r="V331" s="186">
        <v>140.83000000000001</v>
      </c>
      <c r="W331" s="234">
        <v>0.17199999999999999</v>
      </c>
      <c r="X331" s="79">
        <v>116.60724000000002</v>
      </c>
      <c r="Y331" s="59"/>
      <c r="Z331" s="134"/>
      <c r="AA331" s="134"/>
      <c r="AB331" s="68"/>
      <c r="AC331" s="134"/>
      <c r="AD331" s="458" t="s">
        <v>403</v>
      </c>
      <c r="AE331" s="293" t="s">
        <v>268</v>
      </c>
      <c r="AF331" s="297" t="s">
        <v>269</v>
      </c>
      <c r="AG331" s="1" t="s">
        <v>2350</v>
      </c>
      <c r="AH331" s="1" t="s">
        <v>2350</v>
      </c>
    </row>
    <row r="332" spans="1:34">
      <c r="A332" s="199" t="s">
        <v>2680</v>
      </c>
      <c r="B332" s="197" t="s">
        <v>411</v>
      </c>
      <c r="C332" s="198">
        <v>1</v>
      </c>
      <c r="D332" s="62" t="s">
        <v>126</v>
      </c>
      <c r="E332" s="186">
        <v>0</v>
      </c>
      <c r="F332" s="188"/>
      <c r="G332" s="79">
        <f>E332-(E332*F332)</f>
        <v>0</v>
      </c>
      <c r="H332" s="59"/>
      <c r="I332" s="134"/>
      <c r="J332" s="134"/>
      <c r="K332" s="68"/>
      <c r="L332" s="134"/>
      <c r="M332" s="458" t="s">
        <v>403</v>
      </c>
      <c r="N332" s="293" t="s">
        <v>268</v>
      </c>
      <c r="O332" s="297" t="s">
        <v>269</v>
      </c>
      <c r="P332" s="1" t="str">
        <f t="shared" ref="P332:Q333" si="108">+IF($J332&lt;&gt;"",P$2*$J332,"")</f>
        <v/>
      </c>
      <c r="Q332" s="1" t="str">
        <f t="shared" si="108"/>
        <v/>
      </c>
      <c r="R332" s="199" t="s">
        <v>2680</v>
      </c>
      <c r="S332" s="197" t="s">
        <v>411</v>
      </c>
      <c r="T332" s="198">
        <v>1</v>
      </c>
      <c r="U332" s="62" t="s">
        <v>126</v>
      </c>
      <c r="V332" s="186">
        <v>0</v>
      </c>
      <c r="W332" s="188"/>
      <c r="X332" s="79">
        <v>0</v>
      </c>
      <c r="Y332" s="59"/>
      <c r="Z332" s="134"/>
      <c r="AA332" s="134"/>
      <c r="AB332" s="68"/>
      <c r="AC332" s="134"/>
      <c r="AD332" s="458" t="s">
        <v>403</v>
      </c>
      <c r="AE332" s="293" t="s">
        <v>268</v>
      </c>
      <c r="AF332" s="297" t="s">
        <v>269</v>
      </c>
      <c r="AG332" s="1" t="s">
        <v>2350</v>
      </c>
      <c r="AH332" s="1" t="s">
        <v>2350</v>
      </c>
    </row>
    <row r="333" spans="1:34">
      <c r="A333" s="199" t="s">
        <v>2681</v>
      </c>
      <c r="B333" s="197" t="s">
        <v>2683</v>
      </c>
      <c r="C333" s="198">
        <v>1</v>
      </c>
      <c r="D333" s="62" t="s">
        <v>126</v>
      </c>
      <c r="E333" s="186">
        <v>0</v>
      </c>
      <c r="F333" s="188"/>
      <c r="G333" s="79">
        <f t="shared" ref="G333" si="109">E333-(E333*F333)</f>
        <v>0</v>
      </c>
      <c r="H333" s="59"/>
      <c r="I333" s="134"/>
      <c r="J333" s="134"/>
      <c r="K333" s="68"/>
      <c r="L333" s="134"/>
      <c r="M333" s="458" t="s">
        <v>403</v>
      </c>
      <c r="N333" s="293" t="s">
        <v>268</v>
      </c>
      <c r="O333" s="297" t="s">
        <v>269</v>
      </c>
      <c r="P333" s="1" t="str">
        <f t="shared" si="108"/>
        <v/>
      </c>
      <c r="Q333" s="1" t="str">
        <f t="shared" si="108"/>
        <v/>
      </c>
      <c r="R333" s="199" t="s">
        <v>2681</v>
      </c>
      <c r="S333" s="197" t="s">
        <v>2683</v>
      </c>
      <c r="T333" s="198">
        <v>1</v>
      </c>
      <c r="U333" s="62" t="s">
        <v>126</v>
      </c>
      <c r="V333" s="186">
        <v>0</v>
      </c>
      <c r="W333" s="188"/>
      <c r="X333" s="79">
        <v>0</v>
      </c>
      <c r="Y333" s="59"/>
      <c r="Z333" s="134"/>
      <c r="AA333" s="134"/>
      <c r="AB333" s="68"/>
      <c r="AC333" s="134"/>
      <c r="AD333" s="458" t="s">
        <v>403</v>
      </c>
      <c r="AE333" s="293" t="s">
        <v>268</v>
      </c>
      <c r="AF333" s="297" t="s">
        <v>269</v>
      </c>
      <c r="AG333" s="1" t="s">
        <v>2350</v>
      </c>
      <c r="AH333" s="1" t="s">
        <v>2350</v>
      </c>
    </row>
    <row r="334" spans="1:34">
      <c r="A334" s="199" t="s">
        <v>2682</v>
      </c>
      <c r="B334" s="197" t="s">
        <v>412</v>
      </c>
      <c r="C334" s="198">
        <v>1</v>
      </c>
      <c r="D334" s="62" t="s">
        <v>126</v>
      </c>
      <c r="E334" s="186">
        <v>0</v>
      </c>
      <c r="F334" s="188"/>
      <c r="G334" s="79">
        <f t="shared" si="101"/>
        <v>0</v>
      </c>
      <c r="H334" s="59"/>
      <c r="I334" s="134"/>
      <c r="J334" s="134"/>
      <c r="K334" s="68"/>
      <c r="L334" s="134"/>
      <c r="M334" s="458" t="s">
        <v>403</v>
      </c>
      <c r="N334" s="293" t="s">
        <v>268</v>
      </c>
      <c r="O334" s="297" t="s">
        <v>269</v>
      </c>
      <c r="P334" s="1" t="str">
        <f t="shared" si="107"/>
        <v/>
      </c>
      <c r="Q334" s="1" t="str">
        <f t="shared" si="107"/>
        <v/>
      </c>
      <c r="R334" s="199" t="s">
        <v>2682</v>
      </c>
      <c r="S334" s="197" t="s">
        <v>412</v>
      </c>
      <c r="T334" s="198">
        <v>1</v>
      </c>
      <c r="U334" s="62" t="s">
        <v>126</v>
      </c>
      <c r="V334" s="186">
        <v>0</v>
      </c>
      <c r="W334" s="188"/>
      <c r="X334" s="79">
        <v>0</v>
      </c>
      <c r="Y334" s="59"/>
      <c r="Z334" s="134"/>
      <c r="AA334" s="134"/>
      <c r="AB334" s="68"/>
      <c r="AC334" s="134"/>
      <c r="AD334" s="458" t="s">
        <v>403</v>
      </c>
      <c r="AE334" s="293" t="s">
        <v>268</v>
      </c>
      <c r="AF334" s="297" t="s">
        <v>269</v>
      </c>
      <c r="AG334" s="1" t="s">
        <v>2350</v>
      </c>
      <c r="AH334" s="1" t="s">
        <v>2350</v>
      </c>
    </row>
    <row r="335" spans="1:34" s="84" customFormat="1">
      <c r="A335" s="185" t="s">
        <v>2684</v>
      </c>
      <c r="B335" s="49" t="s">
        <v>2685</v>
      </c>
      <c r="C335" s="50">
        <v>1</v>
      </c>
      <c r="D335" s="51" t="s">
        <v>126</v>
      </c>
      <c r="E335" s="57">
        <v>7496.65</v>
      </c>
      <c r="F335" s="61">
        <f>rv_mp_eg</f>
        <v>0.17199999999999999</v>
      </c>
      <c r="G335" s="65">
        <f t="shared" ref="G335:G346" si="110">E335-(E335*F335)</f>
        <v>6207.2262000000001</v>
      </c>
      <c r="H335" s="694" t="s">
        <v>402</v>
      </c>
      <c r="I335" s="58">
        <v>113.35</v>
      </c>
      <c r="J335" s="58">
        <f>G335+I335</f>
        <v>6320.5762000000004</v>
      </c>
      <c r="K335" s="58" t="s">
        <v>128</v>
      </c>
      <c r="L335" s="58">
        <v>2.52</v>
      </c>
      <c r="M335" s="457" t="s">
        <v>413</v>
      </c>
      <c r="N335" s="305" t="s">
        <v>268</v>
      </c>
      <c r="O335" s="306" t="s">
        <v>269</v>
      </c>
      <c r="P335" s="84">
        <f t="shared" ref="P335:Q341" si="111">+IF($J335&lt;&gt;"",P$2*$J335,"")</f>
        <v>1272.3872769586997</v>
      </c>
      <c r="Q335" s="84">
        <f t="shared" si="111"/>
        <v>661.26788592721255</v>
      </c>
      <c r="R335" s="185" t="s">
        <v>2684</v>
      </c>
      <c r="S335" s="49" t="s">
        <v>2685</v>
      </c>
      <c r="T335" s="50">
        <v>1</v>
      </c>
      <c r="U335" s="51" t="s">
        <v>126</v>
      </c>
      <c r="V335" s="57">
        <v>7497.97</v>
      </c>
      <c r="W335" s="61">
        <v>0.17199999999999999</v>
      </c>
      <c r="X335" s="65">
        <v>6208.31916</v>
      </c>
      <c r="Y335" s="694" t="s">
        <v>402</v>
      </c>
      <c r="Z335" s="58">
        <v>113.35</v>
      </c>
      <c r="AA335" s="58">
        <v>6321.6691600000004</v>
      </c>
      <c r="AB335" s="58" t="s">
        <v>128</v>
      </c>
      <c r="AC335" s="58">
        <v>1.2</v>
      </c>
      <c r="AD335" s="457" t="s">
        <v>413</v>
      </c>
      <c r="AE335" s="305" t="s">
        <v>268</v>
      </c>
      <c r="AF335" s="306" t="s">
        <v>269</v>
      </c>
      <c r="AG335" s="84">
        <v>1272.6072993671353</v>
      </c>
      <c r="AH335" s="84">
        <v>661.38223299395679</v>
      </c>
    </row>
    <row r="336" spans="1:34">
      <c r="A336" s="199" t="s">
        <v>2694</v>
      </c>
      <c r="B336" s="197" t="s">
        <v>414</v>
      </c>
      <c r="C336" s="198">
        <v>1</v>
      </c>
      <c r="D336" s="62" t="s">
        <v>126</v>
      </c>
      <c r="E336" s="186">
        <v>958.33</v>
      </c>
      <c r="F336" s="234">
        <f t="shared" ref="F336:F343" si="112">rv_mp_eg_cto</f>
        <v>0.17199999999999999</v>
      </c>
      <c r="G336" s="79">
        <f t="shared" ref="G336" si="113">E336-(E336*F336)</f>
        <v>793.49724000000003</v>
      </c>
      <c r="H336" s="59"/>
      <c r="I336" s="134"/>
      <c r="J336" s="134"/>
      <c r="K336" s="68"/>
      <c r="L336" s="134"/>
      <c r="M336" s="458" t="s">
        <v>413</v>
      </c>
      <c r="N336" s="293" t="s">
        <v>268</v>
      </c>
      <c r="O336" s="297" t="s">
        <v>269</v>
      </c>
      <c r="P336" s="1" t="str">
        <f t="shared" si="111"/>
        <v/>
      </c>
      <c r="Q336" s="1" t="str">
        <f t="shared" si="111"/>
        <v/>
      </c>
      <c r="R336" s="199" t="s">
        <v>2694</v>
      </c>
      <c r="S336" s="197" t="s">
        <v>414</v>
      </c>
      <c r="T336" s="198">
        <v>1</v>
      </c>
      <c r="U336" s="62" t="s">
        <v>126</v>
      </c>
      <c r="V336" s="186">
        <v>958.33</v>
      </c>
      <c r="W336" s="234">
        <v>0.17199999999999999</v>
      </c>
      <c r="X336" s="79">
        <v>793.49724000000003</v>
      </c>
      <c r="Y336" s="59"/>
      <c r="Z336" s="134"/>
      <c r="AA336" s="134"/>
      <c r="AB336" s="68"/>
      <c r="AC336" s="134"/>
      <c r="AD336" s="458" t="s">
        <v>413</v>
      </c>
      <c r="AE336" s="293" t="s">
        <v>268</v>
      </c>
      <c r="AF336" s="297" t="s">
        <v>269</v>
      </c>
      <c r="AG336" s="1" t="s">
        <v>2350</v>
      </c>
      <c r="AH336" s="1" t="s">
        <v>2350</v>
      </c>
    </row>
    <row r="337" spans="1:34">
      <c r="A337" s="199" t="s">
        <v>2695</v>
      </c>
      <c r="B337" s="197" t="s">
        <v>415</v>
      </c>
      <c r="C337" s="198">
        <v>1</v>
      </c>
      <c r="D337" s="62" t="s">
        <v>126</v>
      </c>
      <c r="E337" s="186">
        <v>766.67</v>
      </c>
      <c r="F337" s="234">
        <f t="shared" si="112"/>
        <v>0.17199999999999999</v>
      </c>
      <c r="G337" s="79">
        <f t="shared" si="110"/>
        <v>634.80276000000003</v>
      </c>
      <c r="H337" s="59"/>
      <c r="I337" s="134"/>
      <c r="J337" s="134"/>
      <c r="K337" s="68"/>
      <c r="L337" s="134"/>
      <c r="M337" s="458" t="s">
        <v>413</v>
      </c>
      <c r="N337" s="293" t="s">
        <v>268</v>
      </c>
      <c r="O337" s="297" t="s">
        <v>269</v>
      </c>
      <c r="P337" s="1"/>
      <c r="Q337" s="1"/>
      <c r="R337" s="199" t="s">
        <v>2695</v>
      </c>
      <c r="S337" s="197" t="s">
        <v>415</v>
      </c>
      <c r="T337" s="198">
        <v>1</v>
      </c>
      <c r="U337" s="62" t="s">
        <v>126</v>
      </c>
      <c r="V337" s="186">
        <v>766.67</v>
      </c>
      <c r="W337" s="234">
        <v>0.17199999999999999</v>
      </c>
      <c r="X337" s="79">
        <v>634.80276000000003</v>
      </c>
      <c r="Y337" s="59"/>
      <c r="Z337" s="134"/>
      <c r="AA337" s="134"/>
      <c r="AB337" s="68"/>
      <c r="AC337" s="134"/>
      <c r="AD337" s="458" t="s">
        <v>413</v>
      </c>
      <c r="AE337" s="293" t="s">
        <v>268</v>
      </c>
      <c r="AF337" s="297" t="s">
        <v>269</v>
      </c>
      <c r="AG337" s="1"/>
      <c r="AH337" s="1"/>
    </row>
    <row r="338" spans="1:34">
      <c r="A338" s="199" t="s">
        <v>2696</v>
      </c>
      <c r="B338" s="197" t="s">
        <v>416</v>
      </c>
      <c r="C338" s="198">
        <v>1</v>
      </c>
      <c r="D338" s="62" t="s">
        <v>126</v>
      </c>
      <c r="E338" s="186">
        <v>1533.33</v>
      </c>
      <c r="F338" s="234">
        <f t="shared" si="112"/>
        <v>0.17199999999999999</v>
      </c>
      <c r="G338" s="79">
        <f t="shared" si="110"/>
        <v>1269.5972400000001</v>
      </c>
      <c r="H338" s="59"/>
      <c r="I338" s="134"/>
      <c r="J338" s="134"/>
      <c r="K338" s="68"/>
      <c r="L338" s="134"/>
      <c r="M338" s="458" t="s">
        <v>413</v>
      </c>
      <c r="N338" s="293" t="s">
        <v>268</v>
      </c>
      <c r="O338" s="297" t="s">
        <v>269</v>
      </c>
      <c r="P338" s="1" t="str">
        <f t="shared" si="111"/>
        <v/>
      </c>
      <c r="Q338" s="1" t="str">
        <f t="shared" si="111"/>
        <v/>
      </c>
      <c r="R338" s="199" t="s">
        <v>2696</v>
      </c>
      <c r="S338" s="197" t="s">
        <v>416</v>
      </c>
      <c r="T338" s="198">
        <v>1</v>
      </c>
      <c r="U338" s="62" t="s">
        <v>126</v>
      </c>
      <c r="V338" s="186">
        <v>1533.33</v>
      </c>
      <c r="W338" s="234">
        <v>0.17199999999999999</v>
      </c>
      <c r="X338" s="79">
        <v>1269.5972400000001</v>
      </c>
      <c r="Y338" s="59"/>
      <c r="Z338" s="134"/>
      <c r="AA338" s="134"/>
      <c r="AB338" s="68"/>
      <c r="AC338" s="134"/>
      <c r="AD338" s="458" t="s">
        <v>413</v>
      </c>
      <c r="AE338" s="293" t="s">
        <v>268</v>
      </c>
      <c r="AF338" s="297" t="s">
        <v>269</v>
      </c>
      <c r="AG338" s="1" t="s">
        <v>2350</v>
      </c>
      <c r="AH338" s="1" t="s">
        <v>2350</v>
      </c>
    </row>
    <row r="339" spans="1:34">
      <c r="A339" s="199" t="s">
        <v>2697</v>
      </c>
      <c r="B339" s="197" t="s">
        <v>417</v>
      </c>
      <c r="C339" s="198">
        <v>1</v>
      </c>
      <c r="D339" s="62" t="s">
        <v>126</v>
      </c>
      <c r="E339" s="186">
        <v>383.33</v>
      </c>
      <c r="F339" s="234">
        <f t="shared" si="112"/>
        <v>0.17199999999999999</v>
      </c>
      <c r="G339" s="79">
        <f t="shared" si="110"/>
        <v>317.39724000000001</v>
      </c>
      <c r="H339" s="59"/>
      <c r="I339" s="134"/>
      <c r="J339" s="134"/>
      <c r="K339" s="68"/>
      <c r="L339" s="134"/>
      <c r="M339" s="458" t="s">
        <v>413</v>
      </c>
      <c r="N339" s="293" t="s">
        <v>268</v>
      </c>
      <c r="O339" s="297" t="s">
        <v>269</v>
      </c>
      <c r="P339" s="1" t="str">
        <f t="shared" si="111"/>
        <v/>
      </c>
      <c r="Q339" s="1" t="str">
        <f t="shared" si="111"/>
        <v/>
      </c>
      <c r="R339" s="199" t="s">
        <v>2697</v>
      </c>
      <c r="S339" s="197" t="s">
        <v>417</v>
      </c>
      <c r="T339" s="198">
        <v>1</v>
      </c>
      <c r="U339" s="62" t="s">
        <v>126</v>
      </c>
      <c r="V339" s="186">
        <v>383.33</v>
      </c>
      <c r="W339" s="234">
        <v>0.17199999999999999</v>
      </c>
      <c r="X339" s="79">
        <v>317.39724000000001</v>
      </c>
      <c r="Y339" s="59"/>
      <c r="Z339" s="134"/>
      <c r="AA339" s="134"/>
      <c r="AB339" s="68"/>
      <c r="AC339" s="134"/>
      <c r="AD339" s="458" t="s">
        <v>413</v>
      </c>
      <c r="AE339" s="293" t="s">
        <v>268</v>
      </c>
      <c r="AF339" s="297" t="s">
        <v>269</v>
      </c>
      <c r="AG339" s="1" t="s">
        <v>2350</v>
      </c>
      <c r="AH339" s="1" t="s">
        <v>2350</v>
      </c>
    </row>
    <row r="340" spans="1:34">
      <c r="A340" s="199" t="s">
        <v>2698</v>
      </c>
      <c r="B340" s="197" t="s">
        <v>418</v>
      </c>
      <c r="C340" s="198">
        <v>1</v>
      </c>
      <c r="D340" s="62" t="s">
        <v>126</v>
      </c>
      <c r="E340" s="186">
        <v>958.33</v>
      </c>
      <c r="F340" s="234">
        <f t="shared" si="112"/>
        <v>0.17199999999999999</v>
      </c>
      <c r="G340" s="79">
        <f t="shared" si="110"/>
        <v>793.49724000000003</v>
      </c>
      <c r="H340" s="59"/>
      <c r="I340" s="134"/>
      <c r="J340" s="134"/>
      <c r="K340" s="68"/>
      <c r="L340" s="134"/>
      <c r="M340" s="458" t="s">
        <v>413</v>
      </c>
      <c r="N340" s="293" t="s">
        <v>268</v>
      </c>
      <c r="O340" s="297" t="s">
        <v>269</v>
      </c>
      <c r="P340" s="1" t="str">
        <f t="shared" si="111"/>
        <v/>
      </c>
      <c r="Q340" s="1" t="str">
        <f t="shared" si="111"/>
        <v/>
      </c>
      <c r="R340" s="199" t="s">
        <v>2698</v>
      </c>
      <c r="S340" s="197" t="s">
        <v>418</v>
      </c>
      <c r="T340" s="198">
        <v>1</v>
      </c>
      <c r="U340" s="62" t="s">
        <v>126</v>
      </c>
      <c r="V340" s="186">
        <v>958.33</v>
      </c>
      <c r="W340" s="234">
        <v>0.17199999999999999</v>
      </c>
      <c r="X340" s="79">
        <v>793.49724000000003</v>
      </c>
      <c r="Y340" s="59"/>
      <c r="Z340" s="134"/>
      <c r="AA340" s="134"/>
      <c r="AB340" s="68"/>
      <c r="AC340" s="134"/>
      <c r="AD340" s="458" t="s">
        <v>413</v>
      </c>
      <c r="AE340" s="293" t="s">
        <v>268</v>
      </c>
      <c r="AF340" s="297" t="s">
        <v>269</v>
      </c>
      <c r="AG340" s="1" t="s">
        <v>2350</v>
      </c>
      <c r="AH340" s="1" t="s">
        <v>2350</v>
      </c>
    </row>
    <row r="341" spans="1:34">
      <c r="A341" s="199" t="s">
        <v>2699</v>
      </c>
      <c r="B341" s="197" t="s">
        <v>419</v>
      </c>
      <c r="C341" s="198">
        <v>1</v>
      </c>
      <c r="D341" s="62" t="s">
        <v>126</v>
      </c>
      <c r="E341" s="186">
        <v>2108.33</v>
      </c>
      <c r="F341" s="234">
        <f t="shared" si="112"/>
        <v>0.17199999999999999</v>
      </c>
      <c r="G341" s="79">
        <f t="shared" si="110"/>
        <v>1745.69724</v>
      </c>
      <c r="H341" s="59"/>
      <c r="I341" s="134"/>
      <c r="J341" s="134"/>
      <c r="K341" s="68"/>
      <c r="L341" s="134"/>
      <c r="M341" s="458" t="s">
        <v>413</v>
      </c>
      <c r="N341" s="293" t="s">
        <v>268</v>
      </c>
      <c r="O341" s="297" t="s">
        <v>269</v>
      </c>
      <c r="P341" s="1" t="str">
        <f t="shared" si="111"/>
        <v/>
      </c>
      <c r="Q341" s="1" t="str">
        <f t="shared" si="111"/>
        <v/>
      </c>
      <c r="R341" s="199" t="s">
        <v>2699</v>
      </c>
      <c r="S341" s="197" t="s">
        <v>419</v>
      </c>
      <c r="T341" s="198">
        <v>1</v>
      </c>
      <c r="U341" s="62" t="s">
        <v>126</v>
      </c>
      <c r="V341" s="186">
        <v>2108.33</v>
      </c>
      <c r="W341" s="234">
        <v>0.17199999999999999</v>
      </c>
      <c r="X341" s="79">
        <v>1745.69724</v>
      </c>
      <c r="Y341" s="59"/>
      <c r="Z341" s="134"/>
      <c r="AA341" s="134"/>
      <c r="AB341" s="68"/>
      <c r="AC341" s="134"/>
      <c r="AD341" s="458" t="s">
        <v>413</v>
      </c>
      <c r="AE341" s="293" t="s">
        <v>268</v>
      </c>
      <c r="AF341" s="297" t="s">
        <v>269</v>
      </c>
      <c r="AG341" s="1" t="s">
        <v>2350</v>
      </c>
      <c r="AH341" s="1" t="s">
        <v>2350</v>
      </c>
    </row>
    <row r="342" spans="1:34">
      <c r="A342" s="199" t="s">
        <v>2700</v>
      </c>
      <c r="B342" s="197" t="s">
        <v>2924</v>
      </c>
      <c r="C342" s="198">
        <v>1</v>
      </c>
      <c r="D342" s="62" t="s">
        <v>126</v>
      </c>
      <c r="E342" s="186">
        <v>41.67</v>
      </c>
      <c r="F342" s="234">
        <f t="shared" si="112"/>
        <v>0.17199999999999999</v>
      </c>
      <c r="G342" s="79">
        <f t="shared" si="110"/>
        <v>34.502760000000002</v>
      </c>
      <c r="H342" s="59"/>
      <c r="I342" s="134"/>
      <c r="J342" s="134"/>
      <c r="K342" s="68"/>
      <c r="L342" s="134"/>
      <c r="M342" s="458" t="s">
        <v>413</v>
      </c>
      <c r="N342" s="293" t="s">
        <v>268</v>
      </c>
      <c r="O342" s="297" t="s">
        <v>269</v>
      </c>
      <c r="P342" s="1" t="str">
        <f t="shared" ref="P342:Q346" si="114">+IF($J342&lt;&gt;"",P$2*$J342,"")</f>
        <v/>
      </c>
      <c r="Q342" s="1" t="str">
        <f t="shared" si="114"/>
        <v/>
      </c>
      <c r="R342" s="199" t="s">
        <v>2700</v>
      </c>
      <c r="S342" s="197" t="s">
        <v>2924</v>
      </c>
      <c r="T342" s="198">
        <v>1</v>
      </c>
      <c r="U342" s="62" t="s">
        <v>126</v>
      </c>
      <c r="V342" s="186">
        <v>41.67</v>
      </c>
      <c r="W342" s="234">
        <v>0.17199999999999999</v>
      </c>
      <c r="X342" s="79">
        <v>34.502760000000002</v>
      </c>
      <c r="Y342" s="59"/>
      <c r="Z342" s="134"/>
      <c r="AA342" s="134"/>
      <c r="AB342" s="68"/>
      <c r="AC342" s="134"/>
      <c r="AD342" s="458" t="s">
        <v>413</v>
      </c>
      <c r="AE342" s="293" t="s">
        <v>268</v>
      </c>
      <c r="AF342" s="297" t="s">
        <v>269</v>
      </c>
      <c r="AG342" s="1" t="s">
        <v>2350</v>
      </c>
      <c r="AH342" s="1" t="s">
        <v>2350</v>
      </c>
    </row>
    <row r="343" spans="1:34">
      <c r="A343" s="199" t="s">
        <v>2701</v>
      </c>
      <c r="B343" s="197" t="s">
        <v>2689</v>
      </c>
      <c r="C343" s="198">
        <v>1</v>
      </c>
      <c r="D343" s="62" t="s">
        <v>126</v>
      </c>
      <c r="E343" s="186">
        <v>140.83000000000001</v>
      </c>
      <c r="F343" s="234">
        <f t="shared" si="112"/>
        <v>0.17199999999999999</v>
      </c>
      <c r="G343" s="79">
        <f t="shared" si="110"/>
        <v>116.60724000000002</v>
      </c>
      <c r="H343" s="59"/>
      <c r="I343" s="134"/>
      <c r="J343" s="134"/>
      <c r="K343" s="68"/>
      <c r="L343" s="134"/>
      <c r="M343" s="458" t="s">
        <v>413</v>
      </c>
      <c r="N343" s="293" t="s">
        <v>268</v>
      </c>
      <c r="O343" s="297" t="s">
        <v>269</v>
      </c>
      <c r="P343" s="1" t="str">
        <f t="shared" si="114"/>
        <v/>
      </c>
      <c r="Q343" s="1" t="str">
        <f t="shared" si="114"/>
        <v/>
      </c>
      <c r="R343" s="199" t="s">
        <v>2701</v>
      </c>
      <c r="S343" s="197" t="s">
        <v>2689</v>
      </c>
      <c r="T343" s="198">
        <v>1</v>
      </c>
      <c r="U343" s="62" t="s">
        <v>126</v>
      </c>
      <c r="V343" s="186">
        <v>140.83000000000001</v>
      </c>
      <c r="W343" s="234">
        <v>0.17199999999999999</v>
      </c>
      <c r="X343" s="79">
        <v>116.60724000000002</v>
      </c>
      <c r="Y343" s="59"/>
      <c r="Z343" s="134"/>
      <c r="AA343" s="134"/>
      <c r="AB343" s="68"/>
      <c r="AC343" s="134"/>
      <c r="AD343" s="458" t="s">
        <v>413</v>
      </c>
      <c r="AE343" s="293" t="s">
        <v>268</v>
      </c>
      <c r="AF343" s="297" t="s">
        <v>269</v>
      </c>
      <c r="AG343" s="1" t="s">
        <v>2350</v>
      </c>
      <c r="AH343" s="1" t="s">
        <v>2350</v>
      </c>
    </row>
    <row r="344" spans="1:34">
      <c r="A344" s="199" t="s">
        <v>2702</v>
      </c>
      <c r="B344" s="197" t="s">
        <v>2690</v>
      </c>
      <c r="C344" s="198">
        <v>1</v>
      </c>
      <c r="D344" s="62" t="s">
        <v>126</v>
      </c>
      <c r="E344" s="186">
        <v>0</v>
      </c>
      <c r="F344" s="188"/>
      <c r="G344" s="79">
        <f>E344-(E344*F344)</f>
        <v>0</v>
      </c>
      <c r="H344" s="59"/>
      <c r="I344" s="134"/>
      <c r="J344" s="134"/>
      <c r="K344" s="68"/>
      <c r="L344" s="134"/>
      <c r="M344" s="458" t="s">
        <v>413</v>
      </c>
      <c r="N344" s="293" t="s">
        <v>268</v>
      </c>
      <c r="O344" s="297" t="s">
        <v>269</v>
      </c>
      <c r="P344" s="1" t="str">
        <f>+IF($J344&lt;&gt;"",P$2*$J344,"")</f>
        <v/>
      </c>
      <c r="Q344" s="1" t="str">
        <f>+IF($J344&lt;&gt;"",Q$2*$J344,"")</f>
        <v/>
      </c>
      <c r="R344" s="199" t="s">
        <v>2702</v>
      </c>
      <c r="S344" s="197" t="s">
        <v>2690</v>
      </c>
      <c r="T344" s="198">
        <v>1</v>
      </c>
      <c r="U344" s="62" t="s">
        <v>126</v>
      </c>
      <c r="V344" s="186">
        <v>0</v>
      </c>
      <c r="W344" s="188"/>
      <c r="X344" s="79">
        <v>0</v>
      </c>
      <c r="Y344" s="59"/>
      <c r="Z344" s="134"/>
      <c r="AA344" s="134"/>
      <c r="AB344" s="68"/>
      <c r="AC344" s="134"/>
      <c r="AD344" s="458" t="s">
        <v>413</v>
      </c>
      <c r="AE344" s="293" t="s">
        <v>268</v>
      </c>
      <c r="AF344" s="297" t="s">
        <v>269</v>
      </c>
      <c r="AG344" s="1" t="s">
        <v>2350</v>
      </c>
      <c r="AH344" s="1" t="s">
        <v>2350</v>
      </c>
    </row>
    <row r="345" spans="1:34">
      <c r="A345" s="199" t="s">
        <v>2703</v>
      </c>
      <c r="B345" s="359" t="s">
        <v>2691</v>
      </c>
      <c r="C345" s="198">
        <v>1</v>
      </c>
      <c r="D345" s="62" t="s">
        <v>126</v>
      </c>
      <c r="E345" s="186">
        <v>0</v>
      </c>
      <c r="F345" s="188"/>
      <c r="G345" s="79">
        <f t="shared" ref="G345" si="115">E345-(E345*F345)</f>
        <v>0</v>
      </c>
      <c r="H345" s="59"/>
      <c r="I345" s="134"/>
      <c r="J345" s="134"/>
      <c r="K345" s="68"/>
      <c r="L345" s="134"/>
      <c r="M345" s="458" t="s">
        <v>413</v>
      </c>
      <c r="N345" s="293" t="s">
        <v>268</v>
      </c>
      <c r="O345" s="297" t="s">
        <v>269</v>
      </c>
      <c r="P345" s="1"/>
      <c r="Q345" s="1"/>
      <c r="R345" s="199" t="s">
        <v>2703</v>
      </c>
      <c r="S345" s="359" t="s">
        <v>2691</v>
      </c>
      <c r="T345" s="198">
        <v>1</v>
      </c>
      <c r="U345" s="62" t="s">
        <v>126</v>
      </c>
      <c r="V345" s="186">
        <v>0</v>
      </c>
      <c r="W345" s="188"/>
      <c r="X345" s="79">
        <v>0</v>
      </c>
      <c r="Y345" s="59"/>
      <c r="Z345" s="134"/>
      <c r="AA345" s="134"/>
      <c r="AB345" s="68"/>
      <c r="AC345" s="134"/>
      <c r="AD345" s="458" t="s">
        <v>413</v>
      </c>
      <c r="AE345" s="293" t="s">
        <v>268</v>
      </c>
      <c r="AF345" s="297" t="s">
        <v>269</v>
      </c>
      <c r="AG345" s="1"/>
      <c r="AH345" s="1"/>
    </row>
    <row r="346" spans="1:34">
      <c r="A346" s="199" t="s">
        <v>2704</v>
      </c>
      <c r="B346" s="197" t="s">
        <v>2692</v>
      </c>
      <c r="C346" s="198">
        <v>1</v>
      </c>
      <c r="D346" s="62" t="s">
        <v>126</v>
      </c>
      <c r="E346" s="186">
        <v>0</v>
      </c>
      <c r="F346" s="188"/>
      <c r="G346" s="79">
        <f t="shared" si="110"/>
        <v>0</v>
      </c>
      <c r="H346" s="59"/>
      <c r="I346" s="134"/>
      <c r="J346" s="134"/>
      <c r="K346" s="68"/>
      <c r="L346" s="134"/>
      <c r="M346" s="458" t="s">
        <v>413</v>
      </c>
      <c r="N346" s="293" t="s">
        <v>268</v>
      </c>
      <c r="O346" s="297" t="s">
        <v>269</v>
      </c>
      <c r="P346" s="1" t="str">
        <f t="shared" si="114"/>
        <v/>
      </c>
      <c r="Q346" s="1" t="str">
        <f t="shared" si="114"/>
        <v/>
      </c>
      <c r="R346" s="199" t="s">
        <v>2704</v>
      </c>
      <c r="S346" s="197" t="s">
        <v>2692</v>
      </c>
      <c r="T346" s="198">
        <v>1</v>
      </c>
      <c r="U346" s="62" t="s">
        <v>126</v>
      </c>
      <c r="V346" s="186">
        <v>0</v>
      </c>
      <c r="W346" s="188"/>
      <c r="X346" s="79">
        <v>0</v>
      </c>
      <c r="Y346" s="59"/>
      <c r="Z346" s="134"/>
      <c r="AA346" s="134"/>
      <c r="AB346" s="68"/>
      <c r="AC346" s="134"/>
      <c r="AD346" s="458" t="s">
        <v>413</v>
      </c>
      <c r="AE346" s="293" t="s">
        <v>268</v>
      </c>
      <c r="AF346" s="297" t="s">
        <v>269</v>
      </c>
      <c r="AG346" s="1" t="s">
        <v>2350</v>
      </c>
      <c r="AH346" s="1" t="s">
        <v>2350</v>
      </c>
    </row>
    <row r="347" spans="1:34" s="72" customFormat="1">
      <c r="A347" s="191" t="s">
        <v>402</v>
      </c>
      <c r="B347" s="53" t="s">
        <v>420</v>
      </c>
      <c r="C347" s="54">
        <v>1</v>
      </c>
      <c r="D347" s="69" t="s">
        <v>134</v>
      </c>
      <c r="E347" s="231">
        <v>136.9</v>
      </c>
      <c r="F347" s="98">
        <v>0.17199999999999999</v>
      </c>
      <c r="G347" s="63">
        <f>E347-(E347*F347)</f>
        <v>113.35320000000002</v>
      </c>
      <c r="H347" s="79"/>
      <c r="I347" s="71"/>
      <c r="J347" s="71"/>
      <c r="K347" s="13"/>
      <c r="L347" s="52"/>
      <c r="M347" s="458" t="s">
        <v>135</v>
      </c>
      <c r="N347" s="293" t="s">
        <v>421</v>
      </c>
      <c r="O347" s="297" t="s">
        <v>272</v>
      </c>
      <c r="P347" s="1" t="str">
        <f t="shared" ref="P347:Q361" si="116">+IF($J347&lt;&gt;"",P$2*$J347,"")</f>
        <v/>
      </c>
      <c r="Q347" s="1" t="str">
        <f t="shared" si="116"/>
        <v/>
      </c>
      <c r="R347" s="191" t="s">
        <v>402</v>
      </c>
      <c r="S347" s="53" t="s">
        <v>420</v>
      </c>
      <c r="T347" s="54">
        <v>1</v>
      </c>
      <c r="U347" s="69" t="s">
        <v>134</v>
      </c>
      <c r="V347" s="231">
        <v>136.9</v>
      </c>
      <c r="W347" s="98">
        <v>0.17199999999999999</v>
      </c>
      <c r="X347" s="63">
        <v>113.35320000000002</v>
      </c>
      <c r="Y347" s="79"/>
      <c r="Z347" s="71"/>
      <c r="AA347" s="71"/>
      <c r="AB347" s="13"/>
      <c r="AC347" s="52"/>
      <c r="AD347" s="458" t="s">
        <v>135</v>
      </c>
      <c r="AE347" s="293" t="s">
        <v>421</v>
      </c>
      <c r="AF347" s="297" t="s">
        <v>272</v>
      </c>
      <c r="AG347" s="1" t="s">
        <v>2350</v>
      </c>
      <c r="AH347" s="1" t="s">
        <v>2350</v>
      </c>
    </row>
    <row r="348" spans="1:34">
      <c r="A348" s="183" t="s">
        <v>422</v>
      </c>
      <c r="B348" s="64" t="s">
        <v>423</v>
      </c>
      <c r="C348" s="21">
        <v>1</v>
      </c>
      <c r="D348" s="27" t="s">
        <v>134</v>
      </c>
      <c r="E348" s="28"/>
      <c r="F348" s="18"/>
      <c r="G348" s="79">
        <v>30</v>
      </c>
      <c r="H348" s="79"/>
      <c r="I348" s="52"/>
      <c r="J348" s="52"/>
      <c r="K348" s="13"/>
      <c r="L348" s="52"/>
      <c r="M348" s="458" t="s">
        <v>135</v>
      </c>
      <c r="N348" s="293" t="s">
        <v>421</v>
      </c>
      <c r="O348" s="297" t="s">
        <v>272</v>
      </c>
      <c r="P348" s="1" t="str">
        <f t="shared" si="116"/>
        <v/>
      </c>
      <c r="Q348" s="1" t="str">
        <f t="shared" si="116"/>
        <v/>
      </c>
      <c r="R348" s="183" t="s">
        <v>422</v>
      </c>
      <c r="S348" s="64" t="s">
        <v>423</v>
      </c>
      <c r="T348" s="21">
        <v>1</v>
      </c>
      <c r="U348" s="27" t="s">
        <v>134</v>
      </c>
      <c r="V348" s="28"/>
      <c r="W348" s="18"/>
      <c r="X348" s="79">
        <v>30</v>
      </c>
      <c r="Y348" s="79"/>
      <c r="Z348" s="52"/>
      <c r="AA348" s="52"/>
      <c r="AB348" s="13"/>
      <c r="AC348" s="52"/>
      <c r="AD348" s="458" t="s">
        <v>135</v>
      </c>
      <c r="AE348" s="293" t="s">
        <v>421</v>
      </c>
      <c r="AF348" s="297" t="s">
        <v>272</v>
      </c>
      <c r="AG348" s="1" t="s">
        <v>2350</v>
      </c>
      <c r="AH348" s="1" t="s">
        <v>2350</v>
      </c>
    </row>
    <row r="349" spans="1:34">
      <c r="A349" s="183" t="s">
        <v>424</v>
      </c>
      <c r="B349" s="64" t="s">
        <v>425</v>
      </c>
      <c r="C349" s="21">
        <v>1</v>
      </c>
      <c r="D349" s="27" t="s">
        <v>134</v>
      </c>
      <c r="E349" s="28"/>
      <c r="F349" s="18"/>
      <c r="G349" s="79">
        <v>54</v>
      </c>
      <c r="H349" s="79"/>
      <c r="I349" s="52"/>
      <c r="J349" s="52"/>
      <c r="K349" s="13"/>
      <c r="L349" s="52"/>
      <c r="M349" s="458" t="s">
        <v>135</v>
      </c>
      <c r="N349" s="293" t="s">
        <v>421</v>
      </c>
      <c r="O349" s="297" t="s">
        <v>272</v>
      </c>
      <c r="P349" s="1" t="str">
        <f t="shared" si="116"/>
        <v/>
      </c>
      <c r="Q349" s="1" t="str">
        <f t="shared" si="116"/>
        <v/>
      </c>
      <c r="R349" s="183" t="s">
        <v>424</v>
      </c>
      <c r="S349" s="64" t="s">
        <v>425</v>
      </c>
      <c r="T349" s="21">
        <v>1</v>
      </c>
      <c r="U349" s="27" t="s">
        <v>134</v>
      </c>
      <c r="V349" s="28"/>
      <c r="W349" s="18"/>
      <c r="X349" s="79">
        <v>54</v>
      </c>
      <c r="Y349" s="79"/>
      <c r="Z349" s="52"/>
      <c r="AA349" s="52"/>
      <c r="AB349" s="13"/>
      <c r="AC349" s="52"/>
      <c r="AD349" s="458" t="s">
        <v>135</v>
      </c>
      <c r="AE349" s="293" t="s">
        <v>421</v>
      </c>
      <c r="AF349" s="297" t="s">
        <v>272</v>
      </c>
      <c r="AG349" s="1" t="s">
        <v>2350</v>
      </c>
      <c r="AH349" s="1" t="s">
        <v>2350</v>
      </c>
    </row>
    <row r="350" spans="1:34">
      <c r="A350" s="183" t="s">
        <v>426</v>
      </c>
      <c r="B350" s="64" t="s">
        <v>427</v>
      </c>
      <c r="C350" s="21">
        <v>1</v>
      </c>
      <c r="D350" s="27" t="s">
        <v>134</v>
      </c>
      <c r="E350" s="28"/>
      <c r="F350" s="18"/>
      <c r="G350" s="79">
        <v>85</v>
      </c>
      <c r="H350" s="79"/>
      <c r="I350" s="52"/>
      <c r="J350" s="52"/>
      <c r="K350" s="13"/>
      <c r="L350" s="52"/>
      <c r="M350" s="458" t="s">
        <v>135</v>
      </c>
      <c r="N350" s="293" t="s">
        <v>421</v>
      </c>
      <c r="O350" s="297" t="s">
        <v>272</v>
      </c>
      <c r="P350" s="1" t="str">
        <f t="shared" si="116"/>
        <v/>
      </c>
      <c r="Q350" s="1" t="str">
        <f t="shared" si="116"/>
        <v/>
      </c>
      <c r="R350" s="183" t="s">
        <v>426</v>
      </c>
      <c r="S350" s="64" t="s">
        <v>427</v>
      </c>
      <c r="T350" s="21">
        <v>1</v>
      </c>
      <c r="U350" s="27" t="s">
        <v>134</v>
      </c>
      <c r="V350" s="28"/>
      <c r="W350" s="18"/>
      <c r="X350" s="79">
        <v>85</v>
      </c>
      <c r="Y350" s="79"/>
      <c r="Z350" s="52"/>
      <c r="AA350" s="52"/>
      <c r="AB350" s="13"/>
      <c r="AC350" s="52"/>
      <c r="AD350" s="458" t="s">
        <v>135</v>
      </c>
      <c r="AE350" s="293" t="s">
        <v>421</v>
      </c>
      <c r="AF350" s="297" t="s">
        <v>272</v>
      </c>
      <c r="AG350" s="1" t="s">
        <v>2350</v>
      </c>
      <c r="AH350" s="1" t="s">
        <v>2350</v>
      </c>
    </row>
    <row r="351" spans="1:34">
      <c r="A351" s="183" t="s">
        <v>428</v>
      </c>
      <c r="B351" s="64" t="s">
        <v>429</v>
      </c>
      <c r="C351" s="21">
        <v>1</v>
      </c>
      <c r="D351" s="27" t="s">
        <v>134</v>
      </c>
      <c r="E351" s="28"/>
      <c r="F351" s="18"/>
      <c r="G351" s="79">
        <v>43</v>
      </c>
      <c r="H351" s="79"/>
      <c r="I351" s="52"/>
      <c r="J351" s="52"/>
      <c r="K351" s="13"/>
      <c r="L351" s="52"/>
      <c r="M351" s="458" t="s">
        <v>135</v>
      </c>
      <c r="N351" s="293" t="s">
        <v>421</v>
      </c>
      <c r="O351" s="297" t="s">
        <v>272</v>
      </c>
      <c r="P351" s="1" t="str">
        <f t="shared" si="116"/>
        <v/>
      </c>
      <c r="Q351" s="1" t="str">
        <f t="shared" si="116"/>
        <v/>
      </c>
      <c r="R351" s="183" t="s">
        <v>428</v>
      </c>
      <c r="S351" s="64" t="s">
        <v>429</v>
      </c>
      <c r="T351" s="21">
        <v>1</v>
      </c>
      <c r="U351" s="27" t="s">
        <v>134</v>
      </c>
      <c r="V351" s="28"/>
      <c r="W351" s="18"/>
      <c r="X351" s="79">
        <v>43</v>
      </c>
      <c r="Y351" s="79"/>
      <c r="Z351" s="52"/>
      <c r="AA351" s="52"/>
      <c r="AB351" s="13"/>
      <c r="AC351" s="52"/>
      <c r="AD351" s="458" t="s">
        <v>135</v>
      </c>
      <c r="AE351" s="293" t="s">
        <v>421</v>
      </c>
      <c r="AF351" s="297" t="s">
        <v>272</v>
      </c>
      <c r="AG351" s="1" t="s">
        <v>2350</v>
      </c>
      <c r="AH351" s="1" t="s">
        <v>2350</v>
      </c>
    </row>
    <row r="352" spans="1:34">
      <c r="A352" s="183" t="s">
        <v>430</v>
      </c>
      <c r="B352" s="64" t="s">
        <v>431</v>
      </c>
      <c r="C352" s="21">
        <v>1</v>
      </c>
      <c r="D352" s="27" t="s">
        <v>134</v>
      </c>
      <c r="E352" s="28"/>
      <c r="F352" s="18"/>
      <c r="G352" s="79">
        <v>80</v>
      </c>
      <c r="H352" s="79"/>
      <c r="I352" s="52"/>
      <c r="J352" s="52"/>
      <c r="K352" s="13"/>
      <c r="L352" s="52"/>
      <c r="M352" s="458" t="s">
        <v>135</v>
      </c>
      <c r="N352" s="293" t="s">
        <v>421</v>
      </c>
      <c r="O352" s="297" t="s">
        <v>272</v>
      </c>
      <c r="P352" s="1" t="str">
        <f t="shared" si="116"/>
        <v/>
      </c>
      <c r="Q352" s="1" t="str">
        <f t="shared" si="116"/>
        <v/>
      </c>
      <c r="R352" s="183" t="s">
        <v>430</v>
      </c>
      <c r="S352" s="64" t="s">
        <v>431</v>
      </c>
      <c r="T352" s="21">
        <v>1</v>
      </c>
      <c r="U352" s="27" t="s">
        <v>134</v>
      </c>
      <c r="V352" s="28"/>
      <c r="W352" s="18"/>
      <c r="X352" s="79">
        <v>80</v>
      </c>
      <c r="Y352" s="79"/>
      <c r="Z352" s="52"/>
      <c r="AA352" s="52"/>
      <c r="AB352" s="13"/>
      <c r="AC352" s="52"/>
      <c r="AD352" s="458" t="s">
        <v>135</v>
      </c>
      <c r="AE352" s="293" t="s">
        <v>421</v>
      </c>
      <c r="AF352" s="297" t="s">
        <v>272</v>
      </c>
      <c r="AG352" s="1" t="s">
        <v>2350</v>
      </c>
      <c r="AH352" s="1" t="s">
        <v>2350</v>
      </c>
    </row>
    <row r="353" spans="1:34">
      <c r="A353" s="183" t="s">
        <v>432</v>
      </c>
      <c r="B353" s="64" t="s">
        <v>433</v>
      </c>
      <c r="C353" s="21">
        <v>1</v>
      </c>
      <c r="D353" s="27" t="s">
        <v>134</v>
      </c>
      <c r="E353" s="28"/>
      <c r="F353" s="18"/>
      <c r="G353" s="79">
        <v>103</v>
      </c>
      <c r="H353" s="79"/>
      <c r="I353" s="52"/>
      <c r="J353" s="52"/>
      <c r="K353" s="13"/>
      <c r="L353" s="52"/>
      <c r="M353" s="458" t="s">
        <v>135</v>
      </c>
      <c r="N353" s="293" t="s">
        <v>421</v>
      </c>
      <c r="O353" s="297" t="s">
        <v>272</v>
      </c>
      <c r="P353" s="1" t="str">
        <f t="shared" si="116"/>
        <v/>
      </c>
      <c r="Q353" s="1" t="str">
        <f t="shared" si="116"/>
        <v/>
      </c>
      <c r="R353" s="183" t="s">
        <v>432</v>
      </c>
      <c r="S353" s="64" t="s">
        <v>433</v>
      </c>
      <c r="T353" s="21">
        <v>1</v>
      </c>
      <c r="U353" s="27" t="s">
        <v>134</v>
      </c>
      <c r="V353" s="28"/>
      <c r="W353" s="18"/>
      <c r="X353" s="79">
        <v>103</v>
      </c>
      <c r="Y353" s="79"/>
      <c r="Z353" s="52"/>
      <c r="AA353" s="52"/>
      <c r="AB353" s="13"/>
      <c r="AC353" s="52"/>
      <c r="AD353" s="458" t="s">
        <v>135</v>
      </c>
      <c r="AE353" s="293" t="s">
        <v>421</v>
      </c>
      <c r="AF353" s="297" t="s">
        <v>272</v>
      </c>
      <c r="AG353" s="1" t="s">
        <v>2350</v>
      </c>
      <c r="AH353" s="1" t="s">
        <v>2350</v>
      </c>
    </row>
    <row r="354" spans="1:34">
      <c r="A354" s="183" t="s">
        <v>434</v>
      </c>
      <c r="B354" s="64" t="s">
        <v>435</v>
      </c>
      <c r="C354" s="21">
        <v>1</v>
      </c>
      <c r="D354" s="27" t="s">
        <v>134</v>
      </c>
      <c r="E354" s="28"/>
      <c r="F354" s="18"/>
      <c r="G354" s="79">
        <v>111</v>
      </c>
      <c r="H354" s="79"/>
      <c r="I354" s="52"/>
      <c r="J354" s="52"/>
      <c r="K354" s="13"/>
      <c r="L354" s="52"/>
      <c r="M354" s="458" t="s">
        <v>135</v>
      </c>
      <c r="N354" s="293" t="s">
        <v>421</v>
      </c>
      <c r="O354" s="297" t="s">
        <v>272</v>
      </c>
      <c r="P354" s="1" t="str">
        <f t="shared" si="116"/>
        <v/>
      </c>
      <c r="Q354" s="1" t="str">
        <f t="shared" si="116"/>
        <v/>
      </c>
      <c r="R354" s="183" t="s">
        <v>434</v>
      </c>
      <c r="S354" s="64" t="s">
        <v>435</v>
      </c>
      <c r="T354" s="21">
        <v>1</v>
      </c>
      <c r="U354" s="27" t="s">
        <v>134</v>
      </c>
      <c r="V354" s="28"/>
      <c r="W354" s="18"/>
      <c r="X354" s="79">
        <v>111</v>
      </c>
      <c r="Y354" s="79"/>
      <c r="Z354" s="52"/>
      <c r="AA354" s="52"/>
      <c r="AB354" s="13"/>
      <c r="AC354" s="52"/>
      <c r="AD354" s="458" t="s">
        <v>135</v>
      </c>
      <c r="AE354" s="293" t="s">
        <v>421</v>
      </c>
      <c r="AF354" s="297" t="s">
        <v>272</v>
      </c>
      <c r="AG354" s="1" t="s">
        <v>2350</v>
      </c>
      <c r="AH354" s="1" t="s">
        <v>2350</v>
      </c>
    </row>
    <row r="355" spans="1:34">
      <c r="A355" s="183" t="s">
        <v>436</v>
      </c>
      <c r="B355" s="64" t="s">
        <v>437</v>
      </c>
      <c r="C355" s="21">
        <v>1</v>
      </c>
      <c r="D355" s="27" t="s">
        <v>134</v>
      </c>
      <c r="E355" s="28"/>
      <c r="F355" s="18"/>
      <c r="G355" s="79">
        <v>33</v>
      </c>
      <c r="H355" s="79"/>
      <c r="I355" s="52"/>
      <c r="J355" s="52"/>
      <c r="K355" s="13"/>
      <c r="L355" s="52"/>
      <c r="M355" s="458" t="s">
        <v>135</v>
      </c>
      <c r="N355" s="293" t="s">
        <v>421</v>
      </c>
      <c r="O355" s="297" t="s">
        <v>272</v>
      </c>
      <c r="P355" s="1" t="str">
        <f t="shared" si="116"/>
        <v/>
      </c>
      <c r="Q355" s="1" t="str">
        <f t="shared" si="116"/>
        <v/>
      </c>
      <c r="R355" s="183" t="s">
        <v>436</v>
      </c>
      <c r="S355" s="64" t="s">
        <v>437</v>
      </c>
      <c r="T355" s="21">
        <v>1</v>
      </c>
      <c r="U355" s="27" t="s">
        <v>134</v>
      </c>
      <c r="V355" s="28"/>
      <c r="W355" s="18"/>
      <c r="X355" s="79">
        <v>33</v>
      </c>
      <c r="Y355" s="79"/>
      <c r="Z355" s="52"/>
      <c r="AA355" s="52"/>
      <c r="AB355" s="13"/>
      <c r="AC355" s="52"/>
      <c r="AD355" s="458" t="s">
        <v>135</v>
      </c>
      <c r="AE355" s="293" t="s">
        <v>421</v>
      </c>
      <c r="AF355" s="297" t="s">
        <v>272</v>
      </c>
      <c r="AG355" s="1" t="s">
        <v>2350</v>
      </c>
      <c r="AH355" s="1" t="s">
        <v>2350</v>
      </c>
    </row>
    <row r="356" spans="1:34">
      <c r="A356" s="183" t="s">
        <v>438</v>
      </c>
      <c r="B356" s="64" t="s">
        <v>439</v>
      </c>
      <c r="C356" s="21">
        <v>1</v>
      </c>
      <c r="D356" s="27" t="s">
        <v>134</v>
      </c>
      <c r="E356" s="28"/>
      <c r="F356" s="18"/>
      <c r="G356" s="79">
        <v>81</v>
      </c>
      <c r="H356" s="79"/>
      <c r="I356" s="52"/>
      <c r="J356" s="52"/>
      <c r="K356" s="13"/>
      <c r="L356" s="52"/>
      <c r="M356" s="458" t="s">
        <v>135</v>
      </c>
      <c r="N356" s="293" t="s">
        <v>421</v>
      </c>
      <c r="O356" s="297" t="s">
        <v>272</v>
      </c>
      <c r="P356" s="1" t="str">
        <f t="shared" si="116"/>
        <v/>
      </c>
      <c r="Q356" s="1" t="str">
        <f t="shared" si="116"/>
        <v/>
      </c>
      <c r="R356" s="183" t="s">
        <v>438</v>
      </c>
      <c r="S356" s="64" t="s">
        <v>439</v>
      </c>
      <c r="T356" s="21">
        <v>1</v>
      </c>
      <c r="U356" s="27" t="s">
        <v>134</v>
      </c>
      <c r="V356" s="28"/>
      <c r="W356" s="18"/>
      <c r="X356" s="79">
        <v>81</v>
      </c>
      <c r="Y356" s="79"/>
      <c r="Z356" s="52"/>
      <c r="AA356" s="52"/>
      <c r="AB356" s="13"/>
      <c r="AC356" s="52"/>
      <c r="AD356" s="458" t="s">
        <v>135</v>
      </c>
      <c r="AE356" s="293" t="s">
        <v>421</v>
      </c>
      <c r="AF356" s="297" t="s">
        <v>272</v>
      </c>
      <c r="AG356" s="1" t="s">
        <v>2350</v>
      </c>
      <c r="AH356" s="1" t="s">
        <v>2350</v>
      </c>
    </row>
    <row r="357" spans="1:34">
      <c r="A357" s="183" t="s">
        <v>440</v>
      </c>
      <c r="B357" s="64" t="s">
        <v>441</v>
      </c>
      <c r="C357" s="21">
        <v>1</v>
      </c>
      <c r="D357" s="27" t="s">
        <v>134</v>
      </c>
      <c r="E357" s="28"/>
      <c r="F357" s="18"/>
      <c r="G357" s="79">
        <v>108</v>
      </c>
      <c r="H357" s="79"/>
      <c r="I357" s="52"/>
      <c r="J357" s="52"/>
      <c r="K357" s="13"/>
      <c r="L357" s="52"/>
      <c r="M357" s="458" t="s">
        <v>135</v>
      </c>
      <c r="N357" s="293" t="s">
        <v>421</v>
      </c>
      <c r="O357" s="297" t="s">
        <v>272</v>
      </c>
      <c r="P357" s="1" t="str">
        <f t="shared" si="116"/>
        <v/>
      </c>
      <c r="Q357" s="1" t="str">
        <f t="shared" si="116"/>
        <v/>
      </c>
      <c r="R357" s="183" t="s">
        <v>440</v>
      </c>
      <c r="S357" s="64" t="s">
        <v>441</v>
      </c>
      <c r="T357" s="21">
        <v>1</v>
      </c>
      <c r="U357" s="27" t="s">
        <v>134</v>
      </c>
      <c r="V357" s="28"/>
      <c r="W357" s="18"/>
      <c r="X357" s="79">
        <v>108</v>
      </c>
      <c r="Y357" s="79"/>
      <c r="Z357" s="52"/>
      <c r="AA357" s="52"/>
      <c r="AB357" s="13"/>
      <c r="AC357" s="52"/>
      <c r="AD357" s="458" t="s">
        <v>135</v>
      </c>
      <c r="AE357" s="293" t="s">
        <v>421</v>
      </c>
      <c r="AF357" s="297" t="s">
        <v>272</v>
      </c>
      <c r="AG357" s="1" t="s">
        <v>2350</v>
      </c>
      <c r="AH357" s="1" t="s">
        <v>2350</v>
      </c>
    </row>
    <row r="358" spans="1:34">
      <c r="A358" s="183" t="s">
        <v>442</v>
      </c>
      <c r="B358" s="64" t="s">
        <v>443</v>
      </c>
      <c r="C358" s="21">
        <v>1</v>
      </c>
      <c r="D358" s="27" t="s">
        <v>134</v>
      </c>
      <c r="E358" s="28"/>
      <c r="F358" s="18"/>
      <c r="G358" s="79">
        <v>143</v>
      </c>
      <c r="H358" s="79"/>
      <c r="I358" s="52"/>
      <c r="J358" s="52"/>
      <c r="K358" s="13"/>
      <c r="L358" s="52"/>
      <c r="M358" s="458" t="s">
        <v>135</v>
      </c>
      <c r="N358" s="293" t="s">
        <v>421</v>
      </c>
      <c r="O358" s="297" t="s">
        <v>272</v>
      </c>
      <c r="P358" s="1" t="str">
        <f t="shared" si="116"/>
        <v/>
      </c>
      <c r="Q358" s="1" t="str">
        <f t="shared" si="116"/>
        <v/>
      </c>
      <c r="R358" s="183" t="s">
        <v>442</v>
      </c>
      <c r="S358" s="64" t="s">
        <v>443</v>
      </c>
      <c r="T358" s="21">
        <v>1</v>
      </c>
      <c r="U358" s="27" t="s">
        <v>134</v>
      </c>
      <c r="V358" s="28"/>
      <c r="W358" s="18"/>
      <c r="X358" s="79">
        <v>143</v>
      </c>
      <c r="Y358" s="79"/>
      <c r="Z358" s="52"/>
      <c r="AA358" s="52"/>
      <c r="AB358" s="13"/>
      <c r="AC358" s="52"/>
      <c r="AD358" s="458" t="s">
        <v>135</v>
      </c>
      <c r="AE358" s="293" t="s">
        <v>421</v>
      </c>
      <c r="AF358" s="297" t="s">
        <v>272</v>
      </c>
      <c r="AG358" s="1" t="s">
        <v>2350</v>
      </c>
      <c r="AH358" s="1" t="s">
        <v>2350</v>
      </c>
    </row>
    <row r="359" spans="1:34" s="70" customFormat="1">
      <c r="A359" s="184" t="s">
        <v>444</v>
      </c>
      <c r="B359" s="291" t="s">
        <v>445</v>
      </c>
      <c r="C359" s="89">
        <v>1</v>
      </c>
      <c r="D359" s="31" t="s">
        <v>134</v>
      </c>
      <c r="E359" s="32"/>
      <c r="F359" s="35"/>
      <c r="G359" s="91">
        <v>331</v>
      </c>
      <c r="H359" s="91"/>
      <c r="I359" s="90"/>
      <c r="J359" s="90"/>
      <c r="K359" s="32"/>
      <c r="L359" s="90"/>
      <c r="M359" s="458" t="s">
        <v>135</v>
      </c>
      <c r="N359" s="293" t="s">
        <v>421</v>
      </c>
      <c r="O359" s="298" t="s">
        <v>272</v>
      </c>
      <c r="P359" s="1" t="str">
        <f t="shared" si="116"/>
        <v/>
      </c>
      <c r="Q359" s="1" t="str">
        <f t="shared" si="116"/>
        <v/>
      </c>
      <c r="R359" s="184" t="s">
        <v>444</v>
      </c>
      <c r="S359" s="291" t="s">
        <v>445</v>
      </c>
      <c r="T359" s="89">
        <v>1</v>
      </c>
      <c r="U359" s="31" t="s">
        <v>134</v>
      </c>
      <c r="V359" s="32"/>
      <c r="W359" s="35"/>
      <c r="X359" s="91">
        <v>331</v>
      </c>
      <c r="Y359" s="91"/>
      <c r="Z359" s="90"/>
      <c r="AA359" s="90"/>
      <c r="AB359" s="32"/>
      <c r="AC359" s="90"/>
      <c r="AD359" s="458" t="s">
        <v>135</v>
      </c>
      <c r="AE359" s="293" t="s">
        <v>421</v>
      </c>
      <c r="AF359" s="298" t="s">
        <v>272</v>
      </c>
      <c r="AG359" s="1" t="s">
        <v>2350</v>
      </c>
      <c r="AH359" s="1" t="s">
        <v>2350</v>
      </c>
    </row>
    <row r="360" spans="1:34">
      <c r="A360" s="183" t="s">
        <v>446</v>
      </c>
      <c r="B360" s="64" t="s">
        <v>447</v>
      </c>
      <c r="C360" s="21">
        <v>1</v>
      </c>
      <c r="D360" s="27" t="s">
        <v>134</v>
      </c>
      <c r="E360" s="28"/>
      <c r="F360" s="18"/>
      <c r="G360" s="79">
        <v>641</v>
      </c>
      <c r="H360" s="79"/>
      <c r="I360" s="52"/>
      <c r="J360" s="52"/>
      <c r="K360" s="13"/>
      <c r="L360" s="52"/>
      <c r="M360" s="458" t="s">
        <v>135</v>
      </c>
      <c r="N360" s="293" t="s">
        <v>421</v>
      </c>
      <c r="O360" s="297" t="s">
        <v>272</v>
      </c>
      <c r="P360" s="1" t="str">
        <f t="shared" si="116"/>
        <v/>
      </c>
      <c r="Q360" s="1" t="str">
        <f t="shared" si="116"/>
        <v/>
      </c>
      <c r="R360" s="183" t="s">
        <v>446</v>
      </c>
      <c r="S360" s="64" t="s">
        <v>447</v>
      </c>
      <c r="T360" s="21">
        <v>1</v>
      </c>
      <c r="U360" s="27" t="s">
        <v>134</v>
      </c>
      <c r="V360" s="28"/>
      <c r="W360" s="18"/>
      <c r="X360" s="79">
        <v>641</v>
      </c>
      <c r="Y360" s="79"/>
      <c r="Z360" s="52"/>
      <c r="AA360" s="52"/>
      <c r="AB360" s="13"/>
      <c r="AC360" s="52"/>
      <c r="AD360" s="458" t="s">
        <v>135</v>
      </c>
      <c r="AE360" s="293" t="s">
        <v>421</v>
      </c>
      <c r="AF360" s="297" t="s">
        <v>272</v>
      </c>
      <c r="AG360" s="1" t="s">
        <v>2350</v>
      </c>
      <c r="AH360" s="1" t="s">
        <v>2350</v>
      </c>
    </row>
    <row r="361" spans="1:34">
      <c r="A361" s="183" t="s">
        <v>448</v>
      </c>
      <c r="B361" s="64" t="s">
        <v>449</v>
      </c>
      <c r="C361" s="21">
        <v>1</v>
      </c>
      <c r="D361" s="27" t="s">
        <v>134</v>
      </c>
      <c r="E361" s="28"/>
      <c r="F361" s="18"/>
      <c r="G361" s="22">
        <v>1592.16</v>
      </c>
      <c r="H361" s="79"/>
      <c r="I361" s="52"/>
      <c r="J361" s="52"/>
      <c r="K361" s="13"/>
      <c r="L361" s="52"/>
      <c r="M361" s="458" t="s">
        <v>135</v>
      </c>
      <c r="N361" s="293" t="s">
        <v>421</v>
      </c>
      <c r="O361" s="297" t="s">
        <v>137</v>
      </c>
      <c r="P361" s="1" t="str">
        <f t="shared" si="116"/>
        <v/>
      </c>
      <c r="Q361" s="1" t="str">
        <f t="shared" si="116"/>
        <v/>
      </c>
      <c r="R361" s="183" t="s">
        <v>448</v>
      </c>
      <c r="S361" s="64" t="s">
        <v>449</v>
      </c>
      <c r="T361" s="21">
        <v>1</v>
      </c>
      <c r="U361" s="27" t="s">
        <v>134</v>
      </c>
      <c r="V361" s="28"/>
      <c r="W361" s="18"/>
      <c r="X361" s="22">
        <v>1592.16</v>
      </c>
      <c r="Y361" s="79"/>
      <c r="Z361" s="52"/>
      <c r="AA361" s="52"/>
      <c r="AB361" s="13"/>
      <c r="AC361" s="52"/>
      <c r="AD361" s="458" t="s">
        <v>135</v>
      </c>
      <c r="AE361" s="293" t="s">
        <v>421</v>
      </c>
      <c r="AF361" s="297" t="s">
        <v>137</v>
      </c>
      <c r="AG361" s="1" t="s">
        <v>2350</v>
      </c>
      <c r="AH361" s="1" t="s">
        <v>2350</v>
      </c>
    </row>
    <row r="362" spans="1:34" s="270" customFormat="1" ht="25" customHeight="1">
      <c r="A362" s="332" t="s">
        <v>2481</v>
      </c>
      <c r="B362" s="394" t="s">
        <v>490</v>
      </c>
      <c r="C362" s="334"/>
      <c r="D362" s="335"/>
      <c r="E362" s="335"/>
      <c r="F362" s="336"/>
      <c r="G362" s="337"/>
      <c r="H362" s="337"/>
      <c r="I362" s="338"/>
      <c r="J362" s="338"/>
      <c r="K362" s="337"/>
      <c r="L362" s="338"/>
      <c r="M362" s="456"/>
      <c r="N362" s="339"/>
      <c r="O362" s="338"/>
      <c r="P362" s="338"/>
      <c r="Q362" s="338"/>
      <c r="R362" s="332" t="s">
        <v>2481</v>
      </c>
      <c r="S362" s="394" t="s">
        <v>490</v>
      </c>
      <c r="T362" s="334"/>
      <c r="U362" s="335"/>
      <c r="V362" s="335"/>
      <c r="W362" s="336"/>
      <c r="X362" s="337"/>
      <c r="Y362" s="337"/>
      <c r="Z362" s="338"/>
      <c r="AA362" s="338"/>
      <c r="AB362" s="337"/>
      <c r="AC362" s="338"/>
      <c r="AD362" s="456"/>
      <c r="AE362" s="339"/>
      <c r="AF362" s="338"/>
      <c r="AG362" s="338"/>
      <c r="AH362" s="338"/>
    </row>
    <row r="363" spans="1:34">
      <c r="A363" s="693" t="s">
        <v>2494</v>
      </c>
      <c r="B363" s="49" t="s">
        <v>2492</v>
      </c>
      <c r="C363" s="50">
        <v>1</v>
      </c>
      <c r="D363" s="56" t="s">
        <v>126</v>
      </c>
      <c r="E363" s="57">
        <v>492.65</v>
      </c>
      <c r="F363" s="61">
        <f t="shared" ref="F363:F368" si="117">rv_ipm</f>
        <v>0.1065</v>
      </c>
      <c r="G363" s="65">
        <f t="shared" ref="G363:G369" si="118">E363-(E363*F363)</f>
        <v>440.18277499999999</v>
      </c>
      <c r="H363" s="50" t="s">
        <v>450</v>
      </c>
      <c r="I363" s="58">
        <f t="shared" ref="I363:I368" si="119">pv_garantie_ipad_mini</f>
        <v>30.361129999999996</v>
      </c>
      <c r="J363" s="58">
        <f t="shared" ref="J363:J368" si="120">G363+I363</f>
        <v>470.543905</v>
      </c>
      <c r="K363" s="58">
        <v>14</v>
      </c>
      <c r="L363" s="58">
        <v>0.85</v>
      </c>
      <c r="M363" s="458" t="s">
        <v>451</v>
      </c>
      <c r="N363" s="292" t="s">
        <v>452</v>
      </c>
      <c r="O363" s="315" t="s">
        <v>131</v>
      </c>
      <c r="P363" s="1">
        <f t="shared" ref="P363:Q373" si="121">+IF($J363&lt;&gt;"",P$2*$J363,"")</f>
        <v>94.724604059431016</v>
      </c>
      <c r="Q363" s="1">
        <f t="shared" si="121"/>
        <v>49.228988536723143</v>
      </c>
      <c r="R363" s="693" t="s">
        <v>2494</v>
      </c>
      <c r="S363" s="49" t="s">
        <v>2492</v>
      </c>
      <c r="T363" s="50">
        <v>1</v>
      </c>
      <c r="U363" s="56" t="s">
        <v>126</v>
      </c>
      <c r="V363" s="57">
        <v>493.25</v>
      </c>
      <c r="W363" s="61">
        <v>0.1065</v>
      </c>
      <c r="X363" s="65">
        <v>440.71887500000003</v>
      </c>
      <c r="Y363" s="50" t="s">
        <v>450</v>
      </c>
      <c r="Z363" s="58">
        <v>30.361129999999996</v>
      </c>
      <c r="AA363" s="58">
        <v>471.08000500000003</v>
      </c>
      <c r="AB363" s="58">
        <v>14</v>
      </c>
      <c r="AC363" s="58">
        <v>0.25</v>
      </c>
      <c r="AD363" s="458" t="s">
        <v>451</v>
      </c>
      <c r="AE363" s="292" t="s">
        <v>452</v>
      </c>
      <c r="AF363" s="315" t="s">
        <v>131</v>
      </c>
      <c r="AG363" s="1">
        <v>94.832525678851979</v>
      </c>
      <c r="AH363" s="1">
        <v>49.285076099380106</v>
      </c>
    </row>
    <row r="364" spans="1:34">
      <c r="A364" s="693" t="s">
        <v>2495</v>
      </c>
      <c r="B364" s="49" t="s">
        <v>2488</v>
      </c>
      <c r="C364" s="50">
        <v>1</v>
      </c>
      <c r="D364" s="56" t="s">
        <v>126</v>
      </c>
      <c r="E364" s="57">
        <v>600.98</v>
      </c>
      <c r="F364" s="61">
        <f t="shared" si="117"/>
        <v>0.1065</v>
      </c>
      <c r="G364" s="65">
        <f t="shared" si="118"/>
        <v>536.97563000000002</v>
      </c>
      <c r="H364" s="50" t="s">
        <v>450</v>
      </c>
      <c r="I364" s="58">
        <f t="shared" si="119"/>
        <v>30.361129999999996</v>
      </c>
      <c r="J364" s="58">
        <f t="shared" si="120"/>
        <v>567.33676000000003</v>
      </c>
      <c r="K364" s="58">
        <v>14</v>
      </c>
      <c r="L364" s="58">
        <v>0.85</v>
      </c>
      <c r="M364" s="458" t="s">
        <v>453</v>
      </c>
      <c r="N364" s="293" t="s">
        <v>452</v>
      </c>
      <c r="O364" s="299" t="s">
        <v>131</v>
      </c>
      <c r="P364" s="1">
        <f t="shared" si="121"/>
        <v>114.20985244588482</v>
      </c>
      <c r="Q364" s="1">
        <f t="shared" si="121"/>
        <v>59.355597974436947</v>
      </c>
      <c r="R364" s="693" t="s">
        <v>2495</v>
      </c>
      <c r="S364" s="49" t="s">
        <v>2488</v>
      </c>
      <c r="T364" s="50">
        <v>1</v>
      </c>
      <c r="U364" s="56" t="s">
        <v>126</v>
      </c>
      <c r="V364" s="57">
        <v>601.58000000000004</v>
      </c>
      <c r="W364" s="61">
        <v>0.1065</v>
      </c>
      <c r="X364" s="65">
        <v>537.51173000000006</v>
      </c>
      <c r="Y364" s="50" t="s">
        <v>450</v>
      </c>
      <c r="Z364" s="58">
        <v>30.361129999999996</v>
      </c>
      <c r="AA364" s="58">
        <v>567.87286000000006</v>
      </c>
      <c r="AB364" s="58">
        <v>14</v>
      </c>
      <c r="AC364" s="58">
        <v>0.25</v>
      </c>
      <c r="AD364" s="458" t="s">
        <v>453</v>
      </c>
      <c r="AE364" s="293" t="s">
        <v>452</v>
      </c>
      <c r="AF364" s="299" t="s">
        <v>131</v>
      </c>
      <c r="AG364" s="1">
        <v>114.31777406530578</v>
      </c>
      <c r="AH364" s="1">
        <v>59.411685537093909</v>
      </c>
    </row>
    <row r="365" spans="1:34">
      <c r="A365" s="693" t="s">
        <v>2496</v>
      </c>
      <c r="B365" s="49" t="s">
        <v>2489</v>
      </c>
      <c r="C365" s="50">
        <v>1</v>
      </c>
      <c r="D365" s="56" t="s">
        <v>126</v>
      </c>
      <c r="E365" s="57">
        <v>809.31999999999994</v>
      </c>
      <c r="F365" s="61">
        <f t="shared" si="117"/>
        <v>0.1065</v>
      </c>
      <c r="G365" s="65">
        <f t="shared" si="118"/>
        <v>723.12741999999992</v>
      </c>
      <c r="H365" s="50" t="s">
        <v>450</v>
      </c>
      <c r="I365" s="58">
        <f t="shared" si="119"/>
        <v>30.361129999999996</v>
      </c>
      <c r="J365" s="58">
        <f t="shared" si="120"/>
        <v>753.48854999999992</v>
      </c>
      <c r="K365" s="58">
        <v>14</v>
      </c>
      <c r="L365" s="58">
        <v>0.85</v>
      </c>
      <c r="M365" s="458" t="s">
        <v>454</v>
      </c>
      <c r="N365" s="293" t="s">
        <v>452</v>
      </c>
      <c r="O365" s="299" t="s">
        <v>131</v>
      </c>
      <c r="P365" s="1"/>
      <c r="Q365" s="1"/>
      <c r="R365" s="693" t="s">
        <v>2496</v>
      </c>
      <c r="S365" s="49" t="s">
        <v>2489</v>
      </c>
      <c r="T365" s="50">
        <v>1</v>
      </c>
      <c r="U365" s="56" t="s">
        <v>126</v>
      </c>
      <c r="V365" s="57">
        <v>809.92</v>
      </c>
      <c r="W365" s="61">
        <v>0.1065</v>
      </c>
      <c r="X365" s="65">
        <v>723.66351999999995</v>
      </c>
      <c r="Y365" s="50" t="s">
        <v>450</v>
      </c>
      <c r="Z365" s="58">
        <v>30.361129999999996</v>
      </c>
      <c r="AA365" s="58">
        <v>754.02464999999995</v>
      </c>
      <c r="AB365" s="58">
        <v>14</v>
      </c>
      <c r="AC365" s="58">
        <v>0.25</v>
      </c>
      <c r="AD365" s="458" t="s">
        <v>454</v>
      </c>
      <c r="AE365" s="293" t="s">
        <v>452</v>
      </c>
      <c r="AF365" s="299" t="s">
        <v>131</v>
      </c>
      <c r="AG365" s="1"/>
      <c r="AH365" s="1"/>
    </row>
    <row r="366" spans="1:34">
      <c r="A366" s="693" t="s">
        <v>2497</v>
      </c>
      <c r="B366" s="49" t="s">
        <v>2493</v>
      </c>
      <c r="C366" s="50">
        <v>1</v>
      </c>
      <c r="D366" s="56" t="s">
        <v>126</v>
      </c>
      <c r="E366" s="57">
        <v>634.32000000000005</v>
      </c>
      <c r="F366" s="61">
        <f t="shared" si="117"/>
        <v>0.1065</v>
      </c>
      <c r="G366" s="65">
        <f t="shared" si="118"/>
        <v>566.76492000000007</v>
      </c>
      <c r="H366" s="50" t="s">
        <v>450</v>
      </c>
      <c r="I366" s="58">
        <f t="shared" si="119"/>
        <v>30.361129999999996</v>
      </c>
      <c r="J366" s="58">
        <f t="shared" si="120"/>
        <v>597.12605000000008</v>
      </c>
      <c r="K366" s="58">
        <v>14</v>
      </c>
      <c r="L366" s="58">
        <v>0.85</v>
      </c>
      <c r="M366" s="458" t="s">
        <v>455</v>
      </c>
      <c r="N366" s="293" t="s">
        <v>452</v>
      </c>
      <c r="O366" s="299" t="s">
        <v>131</v>
      </c>
      <c r="P366" s="1">
        <f t="shared" si="121"/>
        <v>120.20669709837601</v>
      </c>
      <c r="Q366" s="1">
        <f t="shared" si="121"/>
        <v>62.472196872741932</v>
      </c>
      <c r="R366" s="693" t="s">
        <v>2497</v>
      </c>
      <c r="S366" s="49" t="s">
        <v>2493</v>
      </c>
      <c r="T366" s="50">
        <v>1</v>
      </c>
      <c r="U366" s="56" t="s">
        <v>126</v>
      </c>
      <c r="V366" s="57">
        <v>634.91999999999996</v>
      </c>
      <c r="W366" s="61">
        <v>0.1065</v>
      </c>
      <c r="X366" s="65">
        <v>567.30101999999999</v>
      </c>
      <c r="Y366" s="50" t="s">
        <v>450</v>
      </c>
      <c r="Z366" s="58">
        <v>30.361129999999996</v>
      </c>
      <c r="AA366" s="58">
        <v>597.66215</v>
      </c>
      <c r="AB366" s="58">
        <v>14</v>
      </c>
      <c r="AC366" s="58">
        <v>0.25</v>
      </c>
      <c r="AD366" s="458" t="s">
        <v>455</v>
      </c>
      <c r="AE366" s="293" t="s">
        <v>452</v>
      </c>
      <c r="AF366" s="299" t="s">
        <v>131</v>
      </c>
      <c r="AG366" s="1">
        <v>120.31461871779695</v>
      </c>
      <c r="AH366" s="1">
        <v>62.528284435398881</v>
      </c>
    </row>
    <row r="367" spans="1:34">
      <c r="A367" s="693" t="s">
        <v>2498</v>
      </c>
      <c r="B367" s="49" t="s">
        <v>2490</v>
      </c>
      <c r="C367" s="50">
        <v>1</v>
      </c>
      <c r="D367" s="56" t="s">
        <v>126</v>
      </c>
      <c r="E367" s="57">
        <v>742.65</v>
      </c>
      <c r="F367" s="61">
        <f t="shared" si="117"/>
        <v>0.1065</v>
      </c>
      <c r="G367" s="65">
        <f t="shared" si="118"/>
        <v>663.55777499999999</v>
      </c>
      <c r="H367" s="50" t="s">
        <v>450</v>
      </c>
      <c r="I367" s="58">
        <f t="shared" si="119"/>
        <v>30.361129999999996</v>
      </c>
      <c r="J367" s="58">
        <f t="shared" si="120"/>
        <v>693.918905</v>
      </c>
      <c r="K367" s="58">
        <v>14</v>
      </c>
      <c r="L367" s="58">
        <v>0.85</v>
      </c>
      <c r="M367" s="458" t="s">
        <v>466</v>
      </c>
      <c r="N367" s="293" t="s">
        <v>452</v>
      </c>
      <c r="O367" s="299" t="s">
        <v>131</v>
      </c>
      <c r="P367" s="1">
        <f t="shared" si="121"/>
        <v>139.69194548482977</v>
      </c>
      <c r="Q367" s="1">
        <f t="shared" si="121"/>
        <v>72.598806310455714</v>
      </c>
      <c r="R367" s="693" t="s">
        <v>2498</v>
      </c>
      <c r="S367" s="49" t="s">
        <v>2490</v>
      </c>
      <c r="T367" s="50">
        <v>1</v>
      </c>
      <c r="U367" s="56" t="s">
        <v>126</v>
      </c>
      <c r="V367" s="57">
        <v>743.25</v>
      </c>
      <c r="W367" s="61">
        <v>0.1065</v>
      </c>
      <c r="X367" s="65">
        <v>664.09387500000003</v>
      </c>
      <c r="Y367" s="50" t="s">
        <v>450</v>
      </c>
      <c r="Z367" s="58">
        <v>30.361129999999996</v>
      </c>
      <c r="AA367" s="58">
        <v>694.45500500000003</v>
      </c>
      <c r="AB367" s="58">
        <v>14</v>
      </c>
      <c r="AC367" s="58">
        <v>0.25</v>
      </c>
      <c r="AD367" s="458" t="s">
        <v>466</v>
      </c>
      <c r="AE367" s="293" t="s">
        <v>452</v>
      </c>
      <c r="AF367" s="299" t="s">
        <v>131</v>
      </c>
      <c r="AG367" s="1">
        <v>139.79986710425075</v>
      </c>
      <c r="AH367" s="1">
        <v>72.654893873112684</v>
      </c>
    </row>
    <row r="368" spans="1:34">
      <c r="A368" s="693" t="s">
        <v>2499</v>
      </c>
      <c r="B368" s="49" t="s">
        <v>2491</v>
      </c>
      <c r="C368" s="50">
        <v>1</v>
      </c>
      <c r="D368" s="56" t="s">
        <v>126</v>
      </c>
      <c r="E368" s="57">
        <v>950.98</v>
      </c>
      <c r="F368" s="61">
        <f t="shared" si="117"/>
        <v>0.1065</v>
      </c>
      <c r="G368" s="65">
        <f t="shared" si="118"/>
        <v>849.70063000000005</v>
      </c>
      <c r="H368" s="50" t="s">
        <v>450</v>
      </c>
      <c r="I368" s="58">
        <f t="shared" si="119"/>
        <v>30.361129999999996</v>
      </c>
      <c r="J368" s="58">
        <f t="shared" si="120"/>
        <v>880.06176000000005</v>
      </c>
      <c r="K368" s="58">
        <v>14</v>
      </c>
      <c r="L368" s="58">
        <v>0.85</v>
      </c>
      <c r="M368" s="458" t="s">
        <v>467</v>
      </c>
      <c r="N368" s="293" t="s">
        <v>452</v>
      </c>
      <c r="O368" s="299" t="s">
        <v>131</v>
      </c>
      <c r="P368" s="1"/>
      <c r="Q368" s="1"/>
      <c r="R368" s="693" t="s">
        <v>2499</v>
      </c>
      <c r="S368" s="49" t="s">
        <v>2491</v>
      </c>
      <c r="T368" s="50">
        <v>1</v>
      </c>
      <c r="U368" s="56" t="s">
        <v>126</v>
      </c>
      <c r="V368" s="57">
        <v>951.58</v>
      </c>
      <c r="W368" s="61">
        <v>0.1065</v>
      </c>
      <c r="X368" s="65">
        <v>850.23673000000008</v>
      </c>
      <c r="Y368" s="50" t="s">
        <v>450</v>
      </c>
      <c r="Z368" s="58">
        <v>30.361129999999996</v>
      </c>
      <c r="AA368" s="58">
        <v>880.59786000000008</v>
      </c>
      <c r="AB368" s="58">
        <v>14</v>
      </c>
      <c r="AC368" s="58">
        <v>0.25</v>
      </c>
      <c r="AD368" s="458" t="s">
        <v>467</v>
      </c>
      <c r="AE368" s="293" t="s">
        <v>452</v>
      </c>
      <c r="AF368" s="299" t="s">
        <v>131</v>
      </c>
      <c r="AG368" s="1"/>
      <c r="AH368" s="1"/>
    </row>
    <row r="369" spans="1:34" s="72" customFormat="1">
      <c r="A369" s="194" t="s">
        <v>450</v>
      </c>
      <c r="B369" s="95" t="s">
        <v>456</v>
      </c>
      <c r="C369" s="82">
        <v>1</v>
      </c>
      <c r="D369" s="96" t="s">
        <v>134</v>
      </c>
      <c r="E369" s="231">
        <v>33.979999999999997</v>
      </c>
      <c r="F369" s="98">
        <v>0.1065</v>
      </c>
      <c r="G369" s="63">
        <f t="shared" si="118"/>
        <v>30.361129999999996</v>
      </c>
      <c r="H369" s="82"/>
      <c r="I369" s="233"/>
      <c r="J369" s="233"/>
      <c r="K369" s="203"/>
      <c r="L369" s="58"/>
      <c r="M369" s="458" t="s">
        <v>135</v>
      </c>
      <c r="N369" s="293" t="s">
        <v>421</v>
      </c>
      <c r="O369" s="297" t="s">
        <v>137</v>
      </c>
      <c r="P369" s="1" t="str">
        <f t="shared" si="121"/>
        <v/>
      </c>
      <c r="Q369" s="1" t="str">
        <f t="shared" si="121"/>
        <v/>
      </c>
      <c r="R369" s="194" t="s">
        <v>450</v>
      </c>
      <c r="S369" s="95" t="s">
        <v>456</v>
      </c>
      <c r="T369" s="82">
        <v>1</v>
      </c>
      <c r="U369" s="96" t="s">
        <v>134</v>
      </c>
      <c r="V369" s="231">
        <v>33.979999999999997</v>
      </c>
      <c r="W369" s="98">
        <v>0.1065</v>
      </c>
      <c r="X369" s="63">
        <v>30.361129999999996</v>
      </c>
      <c r="Y369" s="82"/>
      <c r="Z369" s="233"/>
      <c r="AA369" s="233"/>
      <c r="AB369" s="203"/>
      <c r="AC369" s="52"/>
      <c r="AD369" s="458" t="s">
        <v>135</v>
      </c>
      <c r="AE369" s="293" t="s">
        <v>421</v>
      </c>
      <c r="AF369" s="297" t="s">
        <v>137</v>
      </c>
      <c r="AG369" s="1" t="s">
        <v>2350</v>
      </c>
      <c r="AH369" s="1" t="s">
        <v>2350</v>
      </c>
    </row>
    <row r="370" spans="1:34">
      <c r="A370" s="183" t="s">
        <v>457</v>
      </c>
      <c r="B370" s="64" t="s">
        <v>458</v>
      </c>
      <c r="C370" s="21">
        <v>1</v>
      </c>
      <c r="D370" s="27" t="s">
        <v>134</v>
      </c>
      <c r="E370" s="28"/>
      <c r="F370" s="18"/>
      <c r="G370" s="79">
        <v>6</v>
      </c>
      <c r="H370" s="50"/>
      <c r="I370" s="52"/>
      <c r="J370" s="52"/>
      <c r="K370" s="13"/>
      <c r="L370" s="52"/>
      <c r="M370" s="458" t="s">
        <v>135</v>
      </c>
      <c r="N370" s="293" t="s">
        <v>421</v>
      </c>
      <c r="O370" s="297" t="s">
        <v>137</v>
      </c>
      <c r="P370" s="1" t="str">
        <f t="shared" si="121"/>
        <v/>
      </c>
      <c r="Q370" s="1" t="str">
        <f t="shared" si="121"/>
        <v/>
      </c>
      <c r="R370" s="183" t="s">
        <v>457</v>
      </c>
      <c r="S370" s="64" t="s">
        <v>458</v>
      </c>
      <c r="T370" s="21">
        <v>1</v>
      </c>
      <c r="U370" s="27" t="s">
        <v>134</v>
      </c>
      <c r="V370" s="28"/>
      <c r="W370" s="18"/>
      <c r="X370" s="79">
        <v>6</v>
      </c>
      <c r="Y370" s="50"/>
      <c r="Z370" s="52"/>
      <c r="AA370" s="52"/>
      <c r="AB370" s="13"/>
      <c r="AC370" s="52"/>
      <c r="AD370" s="458" t="s">
        <v>135</v>
      </c>
      <c r="AE370" s="293" t="s">
        <v>421</v>
      </c>
      <c r="AF370" s="297" t="s">
        <v>137</v>
      </c>
      <c r="AG370" s="1" t="s">
        <v>2350</v>
      </c>
      <c r="AH370" s="1" t="s">
        <v>2350</v>
      </c>
    </row>
    <row r="371" spans="1:34">
      <c r="A371" s="183" t="s">
        <v>459</v>
      </c>
      <c r="B371" s="64" t="s">
        <v>460</v>
      </c>
      <c r="C371" s="21">
        <v>1</v>
      </c>
      <c r="D371" s="27" t="s">
        <v>134</v>
      </c>
      <c r="E371" s="28"/>
      <c r="F371" s="18"/>
      <c r="G371" s="79">
        <v>8</v>
      </c>
      <c r="H371" s="50"/>
      <c r="I371" s="52"/>
      <c r="J371" s="52"/>
      <c r="K371" s="13"/>
      <c r="L371" s="52"/>
      <c r="M371" s="458" t="s">
        <v>135</v>
      </c>
      <c r="N371" s="293" t="s">
        <v>421</v>
      </c>
      <c r="O371" s="297" t="s">
        <v>137</v>
      </c>
      <c r="P371" s="1" t="str">
        <f t="shared" si="121"/>
        <v/>
      </c>
      <c r="Q371" s="1" t="str">
        <f t="shared" si="121"/>
        <v/>
      </c>
      <c r="R371" s="183" t="s">
        <v>459</v>
      </c>
      <c r="S371" s="64" t="s">
        <v>460</v>
      </c>
      <c r="T371" s="21">
        <v>1</v>
      </c>
      <c r="U371" s="27" t="s">
        <v>134</v>
      </c>
      <c r="V371" s="28"/>
      <c r="W371" s="18"/>
      <c r="X371" s="79">
        <v>8</v>
      </c>
      <c r="Y371" s="50"/>
      <c r="Z371" s="52"/>
      <c r="AA371" s="52"/>
      <c r="AB371" s="13"/>
      <c r="AC371" s="52"/>
      <c r="AD371" s="458" t="s">
        <v>135</v>
      </c>
      <c r="AE371" s="293" t="s">
        <v>421</v>
      </c>
      <c r="AF371" s="297" t="s">
        <v>137</v>
      </c>
      <c r="AG371" s="1" t="s">
        <v>2350</v>
      </c>
      <c r="AH371" s="1" t="s">
        <v>2350</v>
      </c>
    </row>
    <row r="372" spans="1:34">
      <c r="A372" s="183" t="s">
        <v>461</v>
      </c>
      <c r="B372" s="64" t="s">
        <v>462</v>
      </c>
      <c r="C372" s="21">
        <v>1</v>
      </c>
      <c r="D372" s="27" t="s">
        <v>134</v>
      </c>
      <c r="E372" s="28"/>
      <c r="F372" s="18"/>
      <c r="G372" s="79">
        <v>11</v>
      </c>
      <c r="H372" s="50"/>
      <c r="I372" s="52"/>
      <c r="J372" s="52"/>
      <c r="K372" s="13"/>
      <c r="L372" s="52"/>
      <c r="M372" s="458" t="s">
        <v>135</v>
      </c>
      <c r="N372" s="293" t="s">
        <v>421</v>
      </c>
      <c r="O372" s="297" t="s">
        <v>137</v>
      </c>
      <c r="P372" s="1" t="str">
        <f t="shared" si="121"/>
        <v/>
      </c>
      <c r="Q372" s="1" t="str">
        <f t="shared" si="121"/>
        <v/>
      </c>
      <c r="R372" s="183" t="s">
        <v>461</v>
      </c>
      <c r="S372" s="64" t="s">
        <v>462</v>
      </c>
      <c r="T372" s="21">
        <v>1</v>
      </c>
      <c r="U372" s="27" t="s">
        <v>134</v>
      </c>
      <c r="V372" s="28"/>
      <c r="W372" s="18"/>
      <c r="X372" s="79">
        <v>11</v>
      </c>
      <c r="Y372" s="50"/>
      <c r="Z372" s="52"/>
      <c r="AA372" s="52"/>
      <c r="AB372" s="13"/>
      <c r="AC372" s="52"/>
      <c r="AD372" s="458" t="s">
        <v>135</v>
      </c>
      <c r="AE372" s="293" t="s">
        <v>421</v>
      </c>
      <c r="AF372" s="297" t="s">
        <v>137</v>
      </c>
      <c r="AG372" s="1" t="s">
        <v>2350</v>
      </c>
      <c r="AH372" s="1" t="s">
        <v>2350</v>
      </c>
    </row>
    <row r="373" spans="1:34">
      <c r="A373" s="183" t="s">
        <v>463</v>
      </c>
      <c r="B373" s="64" t="s">
        <v>464</v>
      </c>
      <c r="C373" s="21">
        <v>1</v>
      </c>
      <c r="D373" s="27" t="s">
        <v>134</v>
      </c>
      <c r="E373" s="28"/>
      <c r="F373" s="18"/>
      <c r="G373" s="22">
        <v>94.63</v>
      </c>
      <c r="H373" s="50"/>
      <c r="I373" s="52"/>
      <c r="J373" s="52"/>
      <c r="K373" s="13"/>
      <c r="L373" s="52"/>
      <c r="M373" s="458" t="s">
        <v>135</v>
      </c>
      <c r="N373" s="293" t="s">
        <v>421</v>
      </c>
      <c r="O373" s="297" t="s">
        <v>137</v>
      </c>
      <c r="P373" s="1" t="str">
        <f t="shared" si="121"/>
        <v/>
      </c>
      <c r="Q373" s="1" t="str">
        <f t="shared" si="121"/>
        <v/>
      </c>
      <c r="R373" s="183" t="s">
        <v>463</v>
      </c>
      <c r="S373" s="64" t="s">
        <v>464</v>
      </c>
      <c r="T373" s="21">
        <v>1</v>
      </c>
      <c r="U373" s="27" t="s">
        <v>134</v>
      </c>
      <c r="V373" s="28"/>
      <c r="W373" s="18"/>
      <c r="X373" s="22">
        <v>94.63</v>
      </c>
      <c r="Y373" s="50"/>
      <c r="Z373" s="52"/>
      <c r="AA373" s="52"/>
      <c r="AB373" s="13"/>
      <c r="AC373" s="52"/>
      <c r="AD373" s="458" t="s">
        <v>135</v>
      </c>
      <c r="AE373" s="293" t="s">
        <v>421</v>
      </c>
      <c r="AF373" s="297" t="s">
        <v>137</v>
      </c>
      <c r="AG373" s="1" t="s">
        <v>2350</v>
      </c>
      <c r="AH373" s="1" t="s">
        <v>2350</v>
      </c>
    </row>
    <row r="374" spans="1:34" s="270" customFormat="1" ht="25" customHeight="1">
      <c r="A374" s="332" t="s">
        <v>474</v>
      </c>
      <c r="B374" s="394" t="s">
        <v>475</v>
      </c>
      <c r="C374" s="334"/>
      <c r="D374" s="335"/>
      <c r="E374" s="335"/>
      <c r="F374" s="336"/>
      <c r="G374" s="337"/>
      <c r="H374" s="337"/>
      <c r="I374" s="338"/>
      <c r="J374" s="338"/>
      <c r="K374" s="337"/>
      <c r="L374" s="338"/>
      <c r="M374" s="456"/>
      <c r="N374" s="339"/>
      <c r="O374" s="338"/>
      <c r="P374" s="338"/>
      <c r="Q374" s="338"/>
      <c r="R374" s="332" t="s">
        <v>474</v>
      </c>
      <c r="S374" s="394" t="s">
        <v>475</v>
      </c>
      <c r="T374" s="334"/>
      <c r="U374" s="335"/>
      <c r="V374" s="335"/>
      <c r="W374" s="336"/>
      <c r="X374" s="337"/>
      <c r="Y374" s="337"/>
      <c r="Z374" s="338"/>
      <c r="AA374" s="338"/>
      <c r="AB374" s="337"/>
      <c r="AC374" s="338"/>
      <c r="AD374" s="456"/>
      <c r="AE374" s="339"/>
      <c r="AF374" s="338"/>
      <c r="AG374" s="338"/>
      <c r="AH374" s="338"/>
    </row>
    <row r="375" spans="1:34">
      <c r="A375" s="693" t="s">
        <v>2482</v>
      </c>
      <c r="B375" s="49" t="s">
        <v>476</v>
      </c>
      <c r="C375" s="50">
        <v>1</v>
      </c>
      <c r="D375" s="56" t="s">
        <v>126</v>
      </c>
      <c r="E375" s="57">
        <v>327.98</v>
      </c>
      <c r="F375" s="61">
        <f>rv_ip97_hg</f>
        <v>0.1065</v>
      </c>
      <c r="G375" s="65">
        <f>E375-(E375*F375)</f>
        <v>293.05013000000002</v>
      </c>
      <c r="H375" s="50" t="s">
        <v>465</v>
      </c>
      <c r="I375" s="58">
        <f>pv_garantie_ipad</f>
        <v>30.361129999999996</v>
      </c>
      <c r="J375" s="58">
        <f>G375+I375</f>
        <v>323.41126000000003</v>
      </c>
      <c r="K375" s="58">
        <v>12</v>
      </c>
      <c r="L375" s="58">
        <v>0.85</v>
      </c>
      <c r="M375" s="458" t="s">
        <v>468</v>
      </c>
      <c r="N375" s="293" t="s">
        <v>452</v>
      </c>
      <c r="O375" s="299" t="s">
        <v>131</v>
      </c>
      <c r="P375" s="1">
        <f t="shared" ref="P375:Q395" si="122">+IF($J375&lt;&gt;"",P$2*$J375,"")</f>
        <v>65.105515609349354</v>
      </c>
      <c r="Q375" s="1">
        <f t="shared" si="122"/>
        <v>33.835756965520979</v>
      </c>
      <c r="R375" s="693" t="s">
        <v>2482</v>
      </c>
      <c r="S375" s="49" t="s">
        <v>476</v>
      </c>
      <c r="T375" s="50">
        <v>1</v>
      </c>
      <c r="U375" s="56" t="s">
        <v>126</v>
      </c>
      <c r="V375" s="57">
        <v>328.58</v>
      </c>
      <c r="W375" s="61">
        <v>0.1065</v>
      </c>
      <c r="X375" s="65">
        <v>293.58623</v>
      </c>
      <c r="Y375" s="50" t="s">
        <v>465</v>
      </c>
      <c r="Z375" s="58">
        <v>30.361129999999996</v>
      </c>
      <c r="AA375" s="58">
        <v>323.94736</v>
      </c>
      <c r="AB375" s="58">
        <v>12</v>
      </c>
      <c r="AC375" s="58">
        <v>0.25</v>
      </c>
      <c r="AD375" s="458" t="s">
        <v>468</v>
      </c>
      <c r="AE375" s="293" t="s">
        <v>452</v>
      </c>
      <c r="AF375" s="299" t="s">
        <v>131</v>
      </c>
      <c r="AG375" s="1">
        <v>65.213437228770317</v>
      </c>
      <c r="AH375" s="1">
        <v>33.891844528177934</v>
      </c>
    </row>
    <row r="376" spans="1:34">
      <c r="A376" s="693" t="s">
        <v>2483</v>
      </c>
      <c r="B376" s="49" t="s">
        <v>478</v>
      </c>
      <c r="C376" s="50">
        <v>1</v>
      </c>
      <c r="D376" s="56" t="s">
        <v>126</v>
      </c>
      <c r="E376" s="57">
        <v>467.65</v>
      </c>
      <c r="F376" s="61">
        <f>rv_ip97_hg</f>
        <v>0.1065</v>
      </c>
      <c r="G376" s="65">
        <f>E376-(E376*F376)</f>
        <v>417.84527499999996</v>
      </c>
      <c r="H376" s="50" t="s">
        <v>465</v>
      </c>
      <c r="I376" s="58">
        <f>pv_garantie_ipad</f>
        <v>30.361129999999996</v>
      </c>
      <c r="J376" s="58">
        <f>G376+I376</f>
        <v>448.20640499999996</v>
      </c>
      <c r="K376" s="58">
        <v>14</v>
      </c>
      <c r="L376" s="58">
        <v>0.85</v>
      </c>
      <c r="M376" s="458" t="s">
        <v>469</v>
      </c>
      <c r="N376" s="293" t="s">
        <v>452</v>
      </c>
      <c r="O376" s="299" t="s">
        <v>131</v>
      </c>
      <c r="P376" s="1">
        <f t="shared" si="122"/>
        <v>90.227869916891137</v>
      </c>
      <c r="Q376" s="1">
        <f t="shared" si="122"/>
        <v>46.892006759349883</v>
      </c>
      <c r="R376" s="693" t="s">
        <v>2483</v>
      </c>
      <c r="S376" s="49" t="s">
        <v>478</v>
      </c>
      <c r="T376" s="50">
        <v>1</v>
      </c>
      <c r="U376" s="56" t="s">
        <v>126</v>
      </c>
      <c r="V376" s="57">
        <v>468.25</v>
      </c>
      <c r="W376" s="61">
        <v>0.1065</v>
      </c>
      <c r="X376" s="65">
        <v>418.38137499999999</v>
      </c>
      <c r="Y376" s="50" t="s">
        <v>465</v>
      </c>
      <c r="Z376" s="58">
        <v>30.361129999999996</v>
      </c>
      <c r="AA376" s="58">
        <v>448.74250499999999</v>
      </c>
      <c r="AB376" s="58">
        <v>12</v>
      </c>
      <c r="AC376" s="58">
        <v>0.25</v>
      </c>
      <c r="AD376" s="458" t="s">
        <v>469</v>
      </c>
      <c r="AE376" s="293" t="s">
        <v>452</v>
      </c>
      <c r="AF376" s="299" t="s">
        <v>131</v>
      </c>
      <c r="AG376" s="1">
        <v>90.335791536312101</v>
      </c>
      <c r="AH376" s="1">
        <v>46.948094322006845</v>
      </c>
    </row>
    <row r="377" spans="1:34">
      <c r="A377" s="693" t="s">
        <v>2484</v>
      </c>
      <c r="B377" s="49" t="s">
        <v>480</v>
      </c>
      <c r="C377" s="50">
        <v>1</v>
      </c>
      <c r="D377" s="56" t="s">
        <v>126</v>
      </c>
      <c r="E377" s="57">
        <v>469.65</v>
      </c>
      <c r="F377" s="61">
        <f>rv_ip97_hg</f>
        <v>0.1065</v>
      </c>
      <c r="G377" s="65">
        <f>E377-(E377*F377)</f>
        <v>419.63227499999999</v>
      </c>
      <c r="H377" s="50" t="s">
        <v>465</v>
      </c>
      <c r="I377" s="58">
        <f>pv_garantie_ipad</f>
        <v>30.361129999999996</v>
      </c>
      <c r="J377" s="58">
        <f>G377+I377</f>
        <v>449.993405</v>
      </c>
      <c r="K377" s="58">
        <v>12</v>
      </c>
      <c r="L377" s="58">
        <v>0.85</v>
      </c>
      <c r="M377" s="458" t="s">
        <v>477</v>
      </c>
      <c r="N377" s="293" t="s">
        <v>452</v>
      </c>
      <c r="O377" s="299" t="s">
        <v>131</v>
      </c>
      <c r="P377" s="1">
        <f t="shared" si="122"/>
        <v>90.587608648294335</v>
      </c>
      <c r="Q377" s="1">
        <f t="shared" si="122"/>
        <v>47.078965301539746</v>
      </c>
      <c r="R377" s="693" t="s">
        <v>2484</v>
      </c>
      <c r="S377" s="49" t="s">
        <v>480</v>
      </c>
      <c r="T377" s="50">
        <v>1</v>
      </c>
      <c r="U377" s="56" t="s">
        <v>126</v>
      </c>
      <c r="V377" s="57">
        <v>470.25</v>
      </c>
      <c r="W377" s="61">
        <v>0.1065</v>
      </c>
      <c r="X377" s="65">
        <v>420.16837500000003</v>
      </c>
      <c r="Y377" s="50" t="s">
        <v>465</v>
      </c>
      <c r="Z377" s="58">
        <v>30.361129999999996</v>
      </c>
      <c r="AA377" s="58">
        <v>450.52950500000003</v>
      </c>
      <c r="AB377" s="58">
        <v>14</v>
      </c>
      <c r="AC377" s="58">
        <v>0.25</v>
      </c>
      <c r="AD377" s="458" t="s">
        <v>477</v>
      </c>
      <c r="AE377" s="293" t="s">
        <v>452</v>
      </c>
      <c r="AF377" s="299" t="s">
        <v>131</v>
      </c>
      <c r="AG377" s="1">
        <v>90.695530267715299</v>
      </c>
      <c r="AH377" s="1">
        <v>47.135052864196709</v>
      </c>
    </row>
    <row r="378" spans="1:34">
      <c r="A378" s="693" t="s">
        <v>2485</v>
      </c>
      <c r="B378" s="49" t="s">
        <v>482</v>
      </c>
      <c r="C378" s="50">
        <v>1</v>
      </c>
      <c r="D378" s="56" t="s">
        <v>126</v>
      </c>
      <c r="E378" s="57">
        <v>609.32000000000005</v>
      </c>
      <c r="F378" s="61">
        <f>rv_ip97_hg</f>
        <v>0.1065</v>
      </c>
      <c r="G378" s="65">
        <f>E378-(E378*F378)</f>
        <v>544.42741999999998</v>
      </c>
      <c r="H378" s="50" t="s">
        <v>465</v>
      </c>
      <c r="I378" s="58">
        <f>pv_garantie_ipad</f>
        <v>30.361129999999996</v>
      </c>
      <c r="J378" s="58">
        <f>G378+I378</f>
        <v>574.78854999999999</v>
      </c>
      <c r="K378" s="58">
        <v>14</v>
      </c>
      <c r="L378" s="58">
        <v>0.85</v>
      </c>
      <c r="M378" s="458" t="s">
        <v>479</v>
      </c>
      <c r="N378" s="293" t="s">
        <v>421</v>
      </c>
      <c r="O378" s="299" t="s">
        <v>137</v>
      </c>
      <c r="P378" s="1">
        <f t="shared" si="122"/>
        <v>115.7099629558361</v>
      </c>
      <c r="Q378" s="1">
        <f t="shared" si="122"/>
        <v>60.135215095368665</v>
      </c>
      <c r="R378" s="693" t="s">
        <v>2485</v>
      </c>
      <c r="S378" s="49" t="s">
        <v>482</v>
      </c>
      <c r="T378" s="50">
        <v>1</v>
      </c>
      <c r="U378" s="56" t="s">
        <v>126</v>
      </c>
      <c r="V378" s="57">
        <v>609.91999999999996</v>
      </c>
      <c r="W378" s="61">
        <v>0.1065</v>
      </c>
      <c r="X378" s="65">
        <v>544.96352000000002</v>
      </c>
      <c r="Y378" s="50" t="s">
        <v>465</v>
      </c>
      <c r="Z378" s="58">
        <v>30.361129999999996</v>
      </c>
      <c r="AA378" s="58">
        <v>575.32465000000002</v>
      </c>
      <c r="AB378" s="58">
        <v>14</v>
      </c>
      <c r="AC378" s="58">
        <v>0.25</v>
      </c>
      <c r="AD378" s="458" t="s">
        <v>479</v>
      </c>
      <c r="AE378" s="293" t="s">
        <v>421</v>
      </c>
      <c r="AF378" s="299" t="s">
        <v>137</v>
      </c>
      <c r="AG378" s="1">
        <v>115.81788457525707</v>
      </c>
      <c r="AH378" s="1">
        <v>60.191302658025627</v>
      </c>
    </row>
    <row r="379" spans="1:34">
      <c r="A379" s="191" t="s">
        <v>465</v>
      </c>
      <c r="B379" s="49" t="s">
        <v>484</v>
      </c>
      <c r="C379" s="54">
        <v>1</v>
      </c>
      <c r="D379" s="69" t="s">
        <v>134</v>
      </c>
      <c r="E379" s="231">
        <v>33.979999999999997</v>
      </c>
      <c r="F379" s="98">
        <v>0.1065</v>
      </c>
      <c r="G379" s="63">
        <f>E379-(E379*F379)</f>
        <v>30.361129999999996</v>
      </c>
      <c r="H379" s="54"/>
      <c r="I379" s="134"/>
      <c r="J379" s="134"/>
      <c r="K379" s="13"/>
      <c r="L379" s="52"/>
      <c r="M379" s="458" t="s">
        <v>135</v>
      </c>
      <c r="N379" s="293" t="s">
        <v>421</v>
      </c>
      <c r="O379" s="299" t="s">
        <v>137</v>
      </c>
      <c r="P379" s="1" t="str">
        <f t="shared" si="122"/>
        <v/>
      </c>
      <c r="Q379" s="1" t="str">
        <f t="shared" si="122"/>
        <v/>
      </c>
      <c r="R379" s="191" t="s">
        <v>465</v>
      </c>
      <c r="S379" s="49" t="s">
        <v>484</v>
      </c>
      <c r="T379" s="54">
        <v>1</v>
      </c>
      <c r="U379" s="69" t="s">
        <v>134</v>
      </c>
      <c r="V379" s="231">
        <v>33.979999999999997</v>
      </c>
      <c r="W379" s="98">
        <v>0.1065</v>
      </c>
      <c r="X379" s="63">
        <v>30.361129999999996</v>
      </c>
      <c r="Y379" s="54"/>
      <c r="Z379" s="134"/>
      <c r="AA379" s="134"/>
      <c r="AB379" s="13"/>
      <c r="AC379" s="52"/>
      <c r="AD379" s="458" t="s">
        <v>135</v>
      </c>
      <c r="AE379" s="293" t="s">
        <v>421</v>
      </c>
      <c r="AF379" s="299" t="s">
        <v>137</v>
      </c>
      <c r="AG379" s="1" t="s">
        <v>2350</v>
      </c>
      <c r="AH379" s="1" t="s">
        <v>2350</v>
      </c>
    </row>
    <row r="380" spans="1:34">
      <c r="A380" s="183" t="s">
        <v>470</v>
      </c>
      <c r="B380" s="650" t="s">
        <v>485</v>
      </c>
      <c r="C380" s="21">
        <v>1</v>
      </c>
      <c r="D380" s="27" t="s">
        <v>134</v>
      </c>
      <c r="E380" s="28"/>
      <c r="F380" s="18"/>
      <c r="G380" s="79">
        <v>6</v>
      </c>
      <c r="H380" s="50"/>
      <c r="I380" s="52"/>
      <c r="J380" s="52"/>
      <c r="K380" s="13"/>
      <c r="L380" s="52"/>
      <c r="M380" s="458" t="s">
        <v>135</v>
      </c>
      <c r="N380" s="293" t="s">
        <v>421</v>
      </c>
      <c r="O380" s="297" t="s">
        <v>137</v>
      </c>
      <c r="P380" s="1" t="str">
        <f t="shared" si="122"/>
        <v/>
      </c>
      <c r="Q380" s="1" t="str">
        <f t="shared" si="122"/>
        <v/>
      </c>
      <c r="R380" s="183" t="s">
        <v>470</v>
      </c>
      <c r="S380" s="650" t="s">
        <v>485</v>
      </c>
      <c r="T380" s="21">
        <v>1</v>
      </c>
      <c r="U380" s="27" t="s">
        <v>134</v>
      </c>
      <c r="V380" s="28"/>
      <c r="W380" s="18"/>
      <c r="X380" s="79">
        <v>6</v>
      </c>
      <c r="Y380" s="50"/>
      <c r="Z380" s="52"/>
      <c r="AA380" s="52"/>
      <c r="AB380" s="13"/>
      <c r="AC380" s="52"/>
      <c r="AD380" s="458" t="s">
        <v>135</v>
      </c>
      <c r="AE380" s="293" t="s">
        <v>421</v>
      </c>
      <c r="AF380" s="297" t="s">
        <v>137</v>
      </c>
      <c r="AG380" s="1" t="s">
        <v>2350</v>
      </c>
      <c r="AH380" s="1" t="s">
        <v>2350</v>
      </c>
    </row>
    <row r="381" spans="1:34">
      <c r="A381" s="183" t="s">
        <v>471</v>
      </c>
      <c r="B381" s="650" t="s">
        <v>486</v>
      </c>
      <c r="C381" s="21">
        <v>1</v>
      </c>
      <c r="D381" s="27" t="s">
        <v>134</v>
      </c>
      <c r="E381" s="187"/>
      <c r="F381" s="18"/>
      <c r="G381" s="79">
        <v>8</v>
      </c>
      <c r="H381" s="50"/>
      <c r="I381" s="52"/>
      <c r="J381" s="52"/>
      <c r="K381" s="13"/>
      <c r="L381" s="52"/>
      <c r="M381" s="458" t="s">
        <v>135</v>
      </c>
      <c r="N381" s="293" t="s">
        <v>421</v>
      </c>
      <c r="O381" s="297" t="s">
        <v>137</v>
      </c>
      <c r="P381" s="1" t="str">
        <f t="shared" si="122"/>
        <v/>
      </c>
      <c r="Q381" s="1" t="str">
        <f t="shared" si="122"/>
        <v/>
      </c>
      <c r="R381" s="183" t="s">
        <v>471</v>
      </c>
      <c r="S381" s="650" t="s">
        <v>486</v>
      </c>
      <c r="T381" s="21">
        <v>1</v>
      </c>
      <c r="U381" s="27" t="s">
        <v>134</v>
      </c>
      <c r="V381" s="187"/>
      <c r="W381" s="18"/>
      <c r="X381" s="79">
        <v>8</v>
      </c>
      <c r="Y381" s="50"/>
      <c r="Z381" s="52"/>
      <c r="AA381" s="52"/>
      <c r="AB381" s="13"/>
      <c r="AC381" s="52"/>
      <c r="AD381" s="458" t="s">
        <v>135</v>
      </c>
      <c r="AE381" s="293" t="s">
        <v>421</v>
      </c>
      <c r="AF381" s="297" t="s">
        <v>137</v>
      </c>
      <c r="AG381" s="1" t="s">
        <v>2350</v>
      </c>
      <c r="AH381" s="1" t="s">
        <v>2350</v>
      </c>
    </row>
    <row r="382" spans="1:34">
      <c r="A382" s="183" t="s">
        <v>472</v>
      </c>
      <c r="B382" s="650" t="s">
        <v>487</v>
      </c>
      <c r="C382" s="21">
        <v>1</v>
      </c>
      <c r="D382" s="27" t="s">
        <v>134</v>
      </c>
      <c r="E382" s="28"/>
      <c r="F382" s="18"/>
      <c r="G382" s="79">
        <v>11</v>
      </c>
      <c r="H382" s="50"/>
      <c r="I382" s="52"/>
      <c r="J382" s="52"/>
      <c r="K382" s="13"/>
      <c r="L382" s="52"/>
      <c r="M382" s="458" t="s">
        <v>135</v>
      </c>
      <c r="N382" s="293" t="s">
        <v>421</v>
      </c>
      <c r="O382" s="297" t="s">
        <v>137</v>
      </c>
      <c r="P382" s="1" t="str">
        <f t="shared" si="122"/>
        <v/>
      </c>
      <c r="Q382" s="1" t="str">
        <f t="shared" si="122"/>
        <v/>
      </c>
      <c r="R382" s="183" t="s">
        <v>472</v>
      </c>
      <c r="S382" s="650" t="s">
        <v>487</v>
      </c>
      <c r="T382" s="21">
        <v>1</v>
      </c>
      <c r="U382" s="27" t="s">
        <v>134</v>
      </c>
      <c r="V382" s="28"/>
      <c r="W382" s="18"/>
      <c r="X382" s="79">
        <v>11</v>
      </c>
      <c r="Y382" s="50"/>
      <c r="Z382" s="52"/>
      <c r="AA382" s="52"/>
      <c r="AB382" s="13"/>
      <c r="AC382" s="52"/>
      <c r="AD382" s="458" t="s">
        <v>135</v>
      </c>
      <c r="AE382" s="293" t="s">
        <v>421</v>
      </c>
      <c r="AF382" s="297" t="s">
        <v>137</v>
      </c>
      <c r="AG382" s="1" t="s">
        <v>2350</v>
      </c>
      <c r="AH382" s="1" t="s">
        <v>2350</v>
      </c>
    </row>
    <row r="383" spans="1:34">
      <c r="A383" s="183" t="s">
        <v>473</v>
      </c>
      <c r="B383" s="650" t="s">
        <v>488</v>
      </c>
      <c r="C383" s="21">
        <v>1</v>
      </c>
      <c r="D383" s="27" t="s">
        <v>134</v>
      </c>
      <c r="E383" s="28"/>
      <c r="F383" s="18"/>
      <c r="G383" s="22">
        <v>94.63</v>
      </c>
      <c r="H383" s="50"/>
      <c r="I383" s="52"/>
      <c r="J383" s="52"/>
      <c r="K383" s="13"/>
      <c r="L383" s="52"/>
      <c r="M383" s="458" t="s">
        <v>135</v>
      </c>
      <c r="N383" s="293" t="s">
        <v>421</v>
      </c>
      <c r="O383" s="297" t="s">
        <v>137</v>
      </c>
      <c r="P383" s="1" t="str">
        <f t="shared" si="122"/>
        <v/>
      </c>
      <c r="Q383" s="1" t="str">
        <f t="shared" si="122"/>
        <v/>
      </c>
      <c r="R383" s="183" t="s">
        <v>473</v>
      </c>
      <c r="S383" s="650" t="s">
        <v>488</v>
      </c>
      <c r="T383" s="21">
        <v>1</v>
      </c>
      <c r="U383" s="27" t="s">
        <v>134</v>
      </c>
      <c r="V383" s="28"/>
      <c r="W383" s="18"/>
      <c r="X383" s="22">
        <v>94.63</v>
      </c>
      <c r="Y383" s="50"/>
      <c r="Z383" s="52"/>
      <c r="AA383" s="52"/>
      <c r="AB383" s="13"/>
      <c r="AC383" s="52"/>
      <c r="AD383" s="458" t="s">
        <v>135</v>
      </c>
      <c r="AE383" s="293" t="s">
        <v>421</v>
      </c>
      <c r="AF383" s="297" t="s">
        <v>137</v>
      </c>
      <c r="AG383" s="1" t="s">
        <v>2350</v>
      </c>
      <c r="AH383" s="1" t="s">
        <v>2350</v>
      </c>
    </row>
    <row r="384" spans="1:34" s="270" customFormat="1" ht="25" customHeight="1">
      <c r="A384" s="332" t="s">
        <v>489</v>
      </c>
      <c r="B384" s="394" t="s">
        <v>490</v>
      </c>
      <c r="C384" s="334"/>
      <c r="D384" s="335"/>
      <c r="E384" s="335"/>
      <c r="F384" s="336"/>
      <c r="G384" s="337"/>
      <c r="H384" s="337"/>
      <c r="I384" s="338"/>
      <c r="J384" s="338"/>
      <c r="K384" s="337"/>
      <c r="L384" s="338"/>
      <c r="M384" s="456"/>
      <c r="N384" s="339"/>
      <c r="O384" s="338"/>
      <c r="P384" s="338"/>
      <c r="Q384" s="338"/>
      <c r="R384" s="332" t="s">
        <v>489</v>
      </c>
      <c r="S384" s="394" t="s">
        <v>490</v>
      </c>
      <c r="T384" s="334"/>
      <c r="U384" s="335"/>
      <c r="V384" s="335"/>
      <c r="W384" s="336"/>
      <c r="X384" s="337"/>
      <c r="Y384" s="337"/>
      <c r="Z384" s="338"/>
      <c r="AA384" s="338"/>
      <c r="AB384" s="337"/>
      <c r="AC384" s="338"/>
      <c r="AD384" s="456"/>
      <c r="AE384" s="339"/>
      <c r="AF384" s="338"/>
      <c r="AG384" s="338"/>
      <c r="AH384" s="338"/>
    </row>
    <row r="385" spans="1:34">
      <c r="A385" s="651" t="s">
        <v>493</v>
      </c>
      <c r="B385" s="652" t="s">
        <v>494</v>
      </c>
      <c r="C385" s="653">
        <v>1</v>
      </c>
      <c r="D385" s="654" t="s">
        <v>126</v>
      </c>
      <c r="E385" s="57">
        <v>584.32000000000005</v>
      </c>
      <c r="F385" s="656">
        <f t="shared" ref="F385:F392" si="123">rv_ipp105</f>
        <v>0.1065</v>
      </c>
      <c r="G385" s="65">
        <f t="shared" ref="G385:G393" si="124">E385-(E385*F385)</f>
        <v>522.08992000000001</v>
      </c>
      <c r="H385" s="653" t="s">
        <v>491</v>
      </c>
      <c r="I385" s="658">
        <f t="shared" ref="I385:I392" si="125">pv_garantie_ipad_Air11</f>
        <v>40.189629999999994</v>
      </c>
      <c r="J385" s="58">
        <f t="shared" ref="J385:J392" si="126">G385+I385</f>
        <v>562.27954999999997</v>
      </c>
      <c r="K385" s="659">
        <v>14</v>
      </c>
      <c r="L385" s="58">
        <v>0.85</v>
      </c>
      <c r="M385" s="458" t="s">
        <v>481</v>
      </c>
      <c r="N385" s="293" t="s">
        <v>452</v>
      </c>
      <c r="O385" s="297" t="s">
        <v>131</v>
      </c>
      <c r="P385" s="1">
        <f t="shared" si="122"/>
        <v>113.19179183601378</v>
      </c>
      <c r="Q385" s="1">
        <f t="shared" si="122"/>
        <v>58.826505300039635</v>
      </c>
      <c r="R385" s="651" t="s">
        <v>493</v>
      </c>
      <c r="S385" s="652" t="s">
        <v>494</v>
      </c>
      <c r="T385" s="653">
        <v>1</v>
      </c>
      <c r="U385" s="654" t="s">
        <v>126</v>
      </c>
      <c r="V385" s="655">
        <v>584.91999999999996</v>
      </c>
      <c r="W385" s="656">
        <v>0.1065</v>
      </c>
      <c r="X385" s="657">
        <v>522.62601999999993</v>
      </c>
      <c r="Y385" s="653" t="s">
        <v>491</v>
      </c>
      <c r="Z385" s="658">
        <v>40.189629999999994</v>
      </c>
      <c r="AA385" s="658">
        <v>562.81564999999989</v>
      </c>
      <c r="AB385" s="659">
        <v>14</v>
      </c>
      <c r="AC385" s="658">
        <v>0.25</v>
      </c>
      <c r="AD385" s="458" t="s">
        <v>481</v>
      </c>
      <c r="AE385" s="293" t="s">
        <v>452</v>
      </c>
      <c r="AF385" s="297" t="s">
        <v>131</v>
      </c>
      <c r="AG385" s="1">
        <v>113.29971345543471</v>
      </c>
      <c r="AH385" s="1">
        <v>58.882592862696583</v>
      </c>
    </row>
    <row r="386" spans="1:34">
      <c r="A386" s="651" t="s">
        <v>495</v>
      </c>
      <c r="B386" s="652" t="s">
        <v>496</v>
      </c>
      <c r="C386" s="653">
        <v>1</v>
      </c>
      <c r="D386" s="654" t="s">
        <v>126</v>
      </c>
      <c r="E386" s="57">
        <v>692.65</v>
      </c>
      <c r="F386" s="656">
        <f t="shared" si="123"/>
        <v>0.1065</v>
      </c>
      <c r="G386" s="65">
        <f t="shared" si="124"/>
        <v>618.88277500000004</v>
      </c>
      <c r="H386" s="653" t="s">
        <v>491</v>
      </c>
      <c r="I386" s="658">
        <f t="shared" si="125"/>
        <v>40.189629999999994</v>
      </c>
      <c r="J386" s="58">
        <f t="shared" si="126"/>
        <v>659.072405</v>
      </c>
      <c r="K386" s="659">
        <v>14</v>
      </c>
      <c r="L386" s="58">
        <v>0.85</v>
      </c>
      <c r="M386" s="458" t="s">
        <v>483</v>
      </c>
      <c r="N386" s="293" t="s">
        <v>452</v>
      </c>
      <c r="O386" s="297" t="s">
        <v>131</v>
      </c>
      <c r="P386" s="1">
        <f t="shared" si="122"/>
        <v>132.67704022246758</v>
      </c>
      <c r="Q386" s="1">
        <f t="shared" si="122"/>
        <v>68.953114737753438</v>
      </c>
      <c r="R386" s="651" t="s">
        <v>495</v>
      </c>
      <c r="S386" s="652" t="s">
        <v>496</v>
      </c>
      <c r="T386" s="653">
        <v>1</v>
      </c>
      <c r="U386" s="654" t="s">
        <v>126</v>
      </c>
      <c r="V386" s="655">
        <v>693.25</v>
      </c>
      <c r="W386" s="656">
        <v>0.1065</v>
      </c>
      <c r="X386" s="657">
        <v>619.41887499999996</v>
      </c>
      <c r="Y386" s="653" t="s">
        <v>491</v>
      </c>
      <c r="Z386" s="658">
        <v>40.189629999999994</v>
      </c>
      <c r="AA386" s="658">
        <v>659.60850499999992</v>
      </c>
      <c r="AB386" s="659">
        <v>14</v>
      </c>
      <c r="AC386" s="658">
        <v>0.25</v>
      </c>
      <c r="AD386" s="458" t="s">
        <v>483</v>
      </c>
      <c r="AE386" s="293" t="s">
        <v>452</v>
      </c>
      <c r="AF386" s="297" t="s">
        <v>131</v>
      </c>
      <c r="AG386" s="1">
        <v>132.78496184188853</v>
      </c>
      <c r="AH386" s="1">
        <v>69.009202300410394</v>
      </c>
    </row>
    <row r="387" spans="1:34">
      <c r="A387" s="651" t="s">
        <v>498</v>
      </c>
      <c r="B387" s="652" t="s">
        <v>499</v>
      </c>
      <c r="C387" s="653">
        <v>1</v>
      </c>
      <c r="D387" s="654" t="s">
        <v>126</v>
      </c>
      <c r="E387" s="57">
        <v>900.98</v>
      </c>
      <c r="F387" s="656">
        <f t="shared" si="123"/>
        <v>0.1065</v>
      </c>
      <c r="G387" s="65">
        <f t="shared" si="124"/>
        <v>805.02562999999998</v>
      </c>
      <c r="H387" s="653" t="s">
        <v>491</v>
      </c>
      <c r="I387" s="658">
        <f t="shared" si="125"/>
        <v>40.189629999999994</v>
      </c>
      <c r="J387" s="58">
        <f t="shared" si="126"/>
        <v>845.21525999999994</v>
      </c>
      <c r="K387" s="659">
        <v>14</v>
      </c>
      <c r="L387" s="58">
        <v>0.85</v>
      </c>
      <c r="M387" s="458" t="s">
        <v>492</v>
      </c>
      <c r="N387" s="576" t="s">
        <v>452</v>
      </c>
      <c r="O387" s="297" t="s">
        <v>131</v>
      </c>
      <c r="P387" s="1">
        <f t="shared" si="122"/>
        <v>170.14922517908087</v>
      </c>
      <c r="Q387" s="1">
        <f t="shared" si="122"/>
        <v>88.427651284960263</v>
      </c>
      <c r="R387" s="651" t="s">
        <v>498</v>
      </c>
      <c r="S387" s="652" t="s">
        <v>499</v>
      </c>
      <c r="T387" s="653">
        <v>1</v>
      </c>
      <c r="U387" s="654" t="s">
        <v>126</v>
      </c>
      <c r="V387" s="655">
        <v>901.58</v>
      </c>
      <c r="W387" s="656">
        <v>0.1065</v>
      </c>
      <c r="X387" s="657">
        <v>805.56173000000001</v>
      </c>
      <c r="Y387" s="653" t="s">
        <v>491</v>
      </c>
      <c r="Z387" s="658">
        <v>40.189629999999994</v>
      </c>
      <c r="AA387" s="658">
        <v>845.75135999999998</v>
      </c>
      <c r="AB387" s="659">
        <v>14</v>
      </c>
      <c r="AC387" s="658">
        <v>0.25</v>
      </c>
      <c r="AD387" s="458" t="s">
        <v>492</v>
      </c>
      <c r="AE387" s="576" t="s">
        <v>452</v>
      </c>
      <c r="AF387" s="297" t="s">
        <v>131</v>
      </c>
      <c r="AG387" s="1">
        <v>170.25714679850182</v>
      </c>
      <c r="AH387" s="1">
        <v>88.483738847617218</v>
      </c>
    </row>
    <row r="388" spans="1:34">
      <c r="A388" s="651" t="s">
        <v>501</v>
      </c>
      <c r="B388" s="652" t="s">
        <v>502</v>
      </c>
      <c r="C388" s="653">
        <v>1</v>
      </c>
      <c r="D388" s="654" t="s">
        <v>126</v>
      </c>
      <c r="E388" s="57">
        <v>1109.32</v>
      </c>
      <c r="F388" s="656">
        <f t="shared" si="123"/>
        <v>0.1065</v>
      </c>
      <c r="G388" s="65">
        <f t="shared" si="124"/>
        <v>991.17741999999998</v>
      </c>
      <c r="H388" s="653" t="s">
        <v>491</v>
      </c>
      <c r="I388" s="658">
        <f t="shared" si="125"/>
        <v>40.189629999999994</v>
      </c>
      <c r="J388" s="58">
        <f t="shared" si="126"/>
        <v>1031.3670500000001</v>
      </c>
      <c r="K388" s="659">
        <v>14</v>
      </c>
      <c r="L388" s="58">
        <v>0.85</v>
      </c>
      <c r="M388" s="458" t="s">
        <v>497</v>
      </c>
      <c r="N388" s="293" t="s">
        <v>452</v>
      </c>
      <c r="O388" s="297" t="s">
        <v>131</v>
      </c>
      <c r="P388" s="1">
        <f t="shared" si="122"/>
        <v>207.6232088293512</v>
      </c>
      <c r="Q388" s="1">
        <f t="shared" si="122"/>
        <v>107.90312262487805</v>
      </c>
      <c r="R388" s="651" t="s">
        <v>501</v>
      </c>
      <c r="S388" s="652" t="s">
        <v>502</v>
      </c>
      <c r="T388" s="653">
        <v>1</v>
      </c>
      <c r="U388" s="654" t="s">
        <v>126</v>
      </c>
      <c r="V388" s="655">
        <v>1109.92</v>
      </c>
      <c r="W388" s="656">
        <v>0.1065</v>
      </c>
      <c r="X388" s="657">
        <v>991.71352000000002</v>
      </c>
      <c r="Y388" s="653" t="s">
        <v>491</v>
      </c>
      <c r="Z388" s="658">
        <v>40.189629999999994</v>
      </c>
      <c r="AA388" s="658">
        <v>1031.9031500000001</v>
      </c>
      <c r="AB388" s="659">
        <v>14</v>
      </c>
      <c r="AC388" s="658">
        <v>0.25</v>
      </c>
      <c r="AD388" s="458" t="s">
        <v>497</v>
      </c>
      <c r="AE388" s="293" t="s">
        <v>452</v>
      </c>
      <c r="AF388" s="297" t="s">
        <v>131</v>
      </c>
      <c r="AG388" s="1">
        <v>207.73113044877218</v>
      </c>
      <c r="AH388" s="1">
        <v>107.95921018753502</v>
      </c>
    </row>
    <row r="389" spans="1:34">
      <c r="A389" s="651" t="s">
        <v>504</v>
      </c>
      <c r="B389" s="652" t="s">
        <v>505</v>
      </c>
      <c r="C389" s="653">
        <v>1</v>
      </c>
      <c r="D389" s="654" t="s">
        <v>126</v>
      </c>
      <c r="E389" s="57">
        <v>725.98</v>
      </c>
      <c r="F389" s="656">
        <f t="shared" si="123"/>
        <v>0.1065</v>
      </c>
      <c r="G389" s="65">
        <f t="shared" si="124"/>
        <v>648.66313000000002</v>
      </c>
      <c r="H389" s="653" t="s">
        <v>491</v>
      </c>
      <c r="I389" s="658">
        <f t="shared" si="125"/>
        <v>40.189629999999994</v>
      </c>
      <c r="J389" s="58">
        <f t="shared" si="126"/>
        <v>688.85275999999999</v>
      </c>
      <c r="K389" s="659">
        <v>14</v>
      </c>
      <c r="L389" s="58">
        <v>0.85</v>
      </c>
      <c r="M389" s="458" t="s">
        <v>500</v>
      </c>
      <c r="N389" s="293" t="s">
        <v>452</v>
      </c>
      <c r="O389" s="297" t="s">
        <v>131</v>
      </c>
      <c r="P389" s="1">
        <f t="shared" si="122"/>
        <v>138.67208618130175</v>
      </c>
      <c r="Q389" s="1">
        <f t="shared" si="122"/>
        <v>72.068778843347459</v>
      </c>
      <c r="R389" s="651" t="s">
        <v>504</v>
      </c>
      <c r="S389" s="652" t="s">
        <v>505</v>
      </c>
      <c r="T389" s="653">
        <v>1</v>
      </c>
      <c r="U389" s="654" t="s">
        <v>126</v>
      </c>
      <c r="V389" s="655">
        <v>726.58</v>
      </c>
      <c r="W389" s="656">
        <v>0.1065</v>
      </c>
      <c r="X389" s="657">
        <v>649.19923000000006</v>
      </c>
      <c r="Y389" s="653" t="s">
        <v>491</v>
      </c>
      <c r="Z389" s="658">
        <v>40.189629999999994</v>
      </c>
      <c r="AA389" s="658">
        <v>689.38886000000002</v>
      </c>
      <c r="AB389" s="659">
        <v>14</v>
      </c>
      <c r="AC389" s="658">
        <v>0.25</v>
      </c>
      <c r="AD389" s="458" t="s">
        <v>500</v>
      </c>
      <c r="AE389" s="293" t="s">
        <v>452</v>
      </c>
      <c r="AF389" s="297" t="s">
        <v>131</v>
      </c>
      <c r="AG389" s="1">
        <v>138.7800078007227</v>
      </c>
      <c r="AH389" s="1">
        <v>72.124866406004429</v>
      </c>
    </row>
    <row r="390" spans="1:34">
      <c r="A390" s="651" t="s">
        <v>507</v>
      </c>
      <c r="B390" s="652" t="s">
        <v>508</v>
      </c>
      <c r="C390" s="653">
        <v>1</v>
      </c>
      <c r="D390" s="654" t="s">
        <v>126</v>
      </c>
      <c r="E390" s="57">
        <v>834.32</v>
      </c>
      <c r="F390" s="656">
        <f t="shared" si="123"/>
        <v>0.1065</v>
      </c>
      <c r="G390" s="65">
        <f t="shared" si="124"/>
        <v>745.46492000000001</v>
      </c>
      <c r="H390" s="653" t="s">
        <v>491</v>
      </c>
      <c r="I390" s="658">
        <f t="shared" si="125"/>
        <v>40.189629999999994</v>
      </c>
      <c r="J390" s="58">
        <f t="shared" si="126"/>
        <v>785.65454999999997</v>
      </c>
      <c r="K390" s="659">
        <v>14</v>
      </c>
      <c r="L390" s="58">
        <v>0.85</v>
      </c>
      <c r="M390" s="458" t="s">
        <v>503</v>
      </c>
      <c r="N390" s="293" t="s">
        <v>452</v>
      </c>
      <c r="O390" s="297" t="s">
        <v>131</v>
      </c>
      <c r="P390" s="1">
        <f t="shared" si="122"/>
        <v>158.15913326141253</v>
      </c>
      <c r="Q390" s="1">
        <f t="shared" si="122"/>
        <v>82.196323073772206</v>
      </c>
      <c r="R390" s="651" t="s">
        <v>507</v>
      </c>
      <c r="S390" s="652" t="s">
        <v>508</v>
      </c>
      <c r="T390" s="653">
        <v>1</v>
      </c>
      <c r="U390" s="654" t="s">
        <v>126</v>
      </c>
      <c r="V390" s="655">
        <v>834.92</v>
      </c>
      <c r="W390" s="656">
        <v>0.1065</v>
      </c>
      <c r="X390" s="657">
        <v>746.00101999999993</v>
      </c>
      <c r="Y390" s="653" t="s">
        <v>491</v>
      </c>
      <c r="Z390" s="658">
        <v>40.189629999999994</v>
      </c>
      <c r="AA390" s="658">
        <v>786.19064999999989</v>
      </c>
      <c r="AB390" s="659">
        <v>14</v>
      </c>
      <c r="AC390" s="658">
        <v>0.25</v>
      </c>
      <c r="AD390" s="458" t="s">
        <v>503</v>
      </c>
      <c r="AE390" s="293" t="s">
        <v>452</v>
      </c>
      <c r="AF390" s="297" t="s">
        <v>131</v>
      </c>
      <c r="AG390" s="1">
        <v>158.26705488083348</v>
      </c>
      <c r="AH390" s="1">
        <v>82.252410636429161</v>
      </c>
    </row>
    <row r="391" spans="1:34">
      <c r="A391" s="651" t="s">
        <v>510</v>
      </c>
      <c r="B391" s="652" t="s">
        <v>511</v>
      </c>
      <c r="C391" s="653">
        <v>1</v>
      </c>
      <c r="D391" s="654" t="s">
        <v>126</v>
      </c>
      <c r="E391" s="57">
        <v>1042.6500000000001</v>
      </c>
      <c r="F391" s="656">
        <f t="shared" si="123"/>
        <v>0.1065</v>
      </c>
      <c r="G391" s="65">
        <f t="shared" si="124"/>
        <v>931.60777500000006</v>
      </c>
      <c r="H391" s="653" t="s">
        <v>491</v>
      </c>
      <c r="I391" s="658">
        <f t="shared" si="125"/>
        <v>40.189629999999994</v>
      </c>
      <c r="J391" s="58">
        <f t="shared" si="126"/>
        <v>971.79740500000003</v>
      </c>
      <c r="K391" s="659">
        <v>14</v>
      </c>
      <c r="L391" s="58">
        <v>0.85</v>
      </c>
      <c r="M391" s="458" t="s">
        <v>506</v>
      </c>
      <c r="N391" s="293" t="s">
        <v>452</v>
      </c>
      <c r="O391" s="297" t="s">
        <v>131</v>
      </c>
      <c r="P391" s="1">
        <f t="shared" si="122"/>
        <v>195.63131821802585</v>
      </c>
      <c r="Q391" s="1">
        <f t="shared" si="122"/>
        <v>101.67085962097904</v>
      </c>
      <c r="R391" s="651" t="s">
        <v>510</v>
      </c>
      <c r="S391" s="652" t="s">
        <v>511</v>
      </c>
      <c r="T391" s="653">
        <v>1</v>
      </c>
      <c r="U391" s="654" t="s">
        <v>126</v>
      </c>
      <c r="V391" s="655">
        <v>1043.25</v>
      </c>
      <c r="W391" s="656">
        <v>0.1065</v>
      </c>
      <c r="X391" s="657">
        <v>932.14387499999998</v>
      </c>
      <c r="Y391" s="653" t="s">
        <v>491</v>
      </c>
      <c r="Z391" s="658">
        <v>40.189629999999994</v>
      </c>
      <c r="AA391" s="658">
        <v>972.33350499999995</v>
      </c>
      <c r="AB391" s="659">
        <v>14</v>
      </c>
      <c r="AC391" s="658">
        <v>0.25</v>
      </c>
      <c r="AD391" s="458" t="s">
        <v>506</v>
      </c>
      <c r="AE391" s="293" t="s">
        <v>452</v>
      </c>
      <c r="AF391" s="297" t="s">
        <v>131</v>
      </c>
      <c r="AG391" s="1">
        <v>195.7392398374468</v>
      </c>
      <c r="AH391" s="1">
        <v>101.726947183636</v>
      </c>
    </row>
    <row r="392" spans="1:34">
      <c r="A392" s="651" t="s">
        <v>513</v>
      </c>
      <c r="B392" s="652" t="s">
        <v>514</v>
      </c>
      <c r="C392" s="653">
        <v>1</v>
      </c>
      <c r="D392" s="654" t="s">
        <v>126</v>
      </c>
      <c r="E392" s="57">
        <v>1250.98</v>
      </c>
      <c r="F392" s="656">
        <f t="shared" si="123"/>
        <v>0.1065</v>
      </c>
      <c r="G392" s="65">
        <f t="shared" si="124"/>
        <v>1117.75063</v>
      </c>
      <c r="H392" s="653" t="s">
        <v>491</v>
      </c>
      <c r="I392" s="658">
        <f t="shared" si="125"/>
        <v>40.189629999999994</v>
      </c>
      <c r="J392" s="58">
        <f t="shared" si="126"/>
        <v>1157.9402600000001</v>
      </c>
      <c r="K392" s="659">
        <v>14</v>
      </c>
      <c r="L392" s="58">
        <v>0.85</v>
      </c>
      <c r="M392" s="458" t="s">
        <v>509</v>
      </c>
      <c r="N392" s="293" t="s">
        <v>452</v>
      </c>
      <c r="O392" s="297" t="s">
        <v>131</v>
      </c>
      <c r="P392" s="1">
        <f t="shared" si="122"/>
        <v>233.10350317463917</v>
      </c>
      <c r="Q392" s="1">
        <f t="shared" si="122"/>
        <v>121.14539616818588</v>
      </c>
      <c r="R392" s="651" t="s">
        <v>513</v>
      </c>
      <c r="S392" s="652" t="s">
        <v>514</v>
      </c>
      <c r="T392" s="653">
        <v>1</v>
      </c>
      <c r="U392" s="654" t="s">
        <v>126</v>
      </c>
      <c r="V392" s="655">
        <v>1251.58</v>
      </c>
      <c r="W392" s="656">
        <v>0.1065</v>
      </c>
      <c r="X392" s="657">
        <v>1118.28673</v>
      </c>
      <c r="Y392" s="653" t="s">
        <v>491</v>
      </c>
      <c r="Z392" s="658">
        <v>40.189629999999994</v>
      </c>
      <c r="AA392" s="658">
        <v>1158.4763600000001</v>
      </c>
      <c r="AB392" s="659">
        <v>14</v>
      </c>
      <c r="AC392" s="658">
        <v>0.25</v>
      </c>
      <c r="AD392" s="458" t="s">
        <v>509</v>
      </c>
      <c r="AE392" s="293" t="s">
        <v>452</v>
      </c>
      <c r="AF392" s="297" t="s">
        <v>131</v>
      </c>
      <c r="AG392" s="1">
        <v>233.21142479406015</v>
      </c>
      <c r="AH392" s="1">
        <v>121.20148373084284</v>
      </c>
    </row>
    <row r="393" spans="1:34" s="72" customFormat="1">
      <c r="A393" s="194" t="s">
        <v>516</v>
      </c>
      <c r="B393" s="95" t="s">
        <v>517</v>
      </c>
      <c r="C393" s="82">
        <v>1</v>
      </c>
      <c r="D393" s="96" t="s">
        <v>134</v>
      </c>
      <c r="E393" s="231">
        <v>44.98</v>
      </c>
      <c r="F393" s="98">
        <v>0.1065</v>
      </c>
      <c r="G393" s="63">
        <f t="shared" si="124"/>
        <v>40.189629999999994</v>
      </c>
      <c r="H393" s="82"/>
      <c r="I393" s="233"/>
      <c r="J393" s="233"/>
      <c r="K393" s="203"/>
      <c r="L393" s="233"/>
      <c r="M393" s="458" t="s">
        <v>135</v>
      </c>
      <c r="N393" s="293" t="s">
        <v>421</v>
      </c>
      <c r="O393" s="297" t="s">
        <v>137</v>
      </c>
      <c r="P393" s="1" t="str">
        <f t="shared" si="122"/>
        <v/>
      </c>
      <c r="Q393" s="1" t="str">
        <f t="shared" si="122"/>
        <v/>
      </c>
      <c r="R393" s="194" t="s">
        <v>516</v>
      </c>
      <c r="S393" s="95" t="s">
        <v>517</v>
      </c>
      <c r="T393" s="82">
        <v>1</v>
      </c>
      <c r="U393" s="96" t="s">
        <v>134</v>
      </c>
      <c r="V393" s="231">
        <v>44.98</v>
      </c>
      <c r="W393" s="98">
        <v>0.1065</v>
      </c>
      <c r="X393" s="63">
        <v>40.189629999999994</v>
      </c>
      <c r="Y393" s="82"/>
      <c r="Z393" s="233"/>
      <c r="AA393" s="233"/>
      <c r="AB393" s="203"/>
      <c r="AC393" s="233"/>
      <c r="AD393" s="458" t="s">
        <v>135</v>
      </c>
      <c r="AE393" s="293" t="s">
        <v>421</v>
      </c>
      <c r="AF393" s="297" t="s">
        <v>137</v>
      </c>
      <c r="AG393" s="1" t="s">
        <v>2350</v>
      </c>
      <c r="AH393" s="1" t="s">
        <v>2350</v>
      </c>
    </row>
    <row r="394" spans="1:34" s="93" customFormat="1">
      <c r="A394" s="199" t="s">
        <v>518</v>
      </c>
      <c r="B394" s="197" t="s">
        <v>519</v>
      </c>
      <c r="C394" s="198">
        <v>1</v>
      </c>
      <c r="D394" s="226" t="s">
        <v>134</v>
      </c>
      <c r="E394" s="186"/>
      <c r="F394" s="188"/>
      <c r="G394" s="79">
        <v>9</v>
      </c>
      <c r="H394" s="79"/>
      <c r="I394" s="233"/>
      <c r="J394" s="233"/>
      <c r="K394" s="203"/>
      <c r="L394" s="233"/>
      <c r="M394" s="458" t="s">
        <v>135</v>
      </c>
      <c r="N394" s="293" t="s">
        <v>421</v>
      </c>
      <c r="O394" s="299" t="s">
        <v>137</v>
      </c>
      <c r="P394" s="1" t="str">
        <f t="shared" si="122"/>
        <v/>
      </c>
      <c r="Q394" s="1" t="str">
        <f t="shared" si="122"/>
        <v/>
      </c>
      <c r="R394" s="199" t="s">
        <v>518</v>
      </c>
      <c r="S394" s="197" t="s">
        <v>519</v>
      </c>
      <c r="T394" s="198">
        <v>1</v>
      </c>
      <c r="U394" s="226" t="s">
        <v>134</v>
      </c>
      <c r="V394" s="186"/>
      <c r="W394" s="188"/>
      <c r="X394" s="79">
        <v>9</v>
      </c>
      <c r="Y394" s="79"/>
      <c r="Z394" s="233"/>
      <c r="AA394" s="233"/>
      <c r="AB394" s="203"/>
      <c r="AC394" s="233"/>
      <c r="AD394" s="458" t="s">
        <v>135</v>
      </c>
      <c r="AE394" s="293" t="s">
        <v>421</v>
      </c>
      <c r="AF394" s="299" t="s">
        <v>137</v>
      </c>
      <c r="AG394" s="1" t="s">
        <v>2350</v>
      </c>
      <c r="AH394" s="1" t="s">
        <v>2350</v>
      </c>
    </row>
    <row r="395" spans="1:34" s="93" customFormat="1">
      <c r="A395" s="199" t="s">
        <v>520</v>
      </c>
      <c r="B395" s="197" t="s">
        <v>521</v>
      </c>
      <c r="C395" s="198">
        <v>1</v>
      </c>
      <c r="D395" s="226" t="s">
        <v>134</v>
      </c>
      <c r="E395" s="186"/>
      <c r="F395" s="188"/>
      <c r="G395" s="79">
        <v>10</v>
      </c>
      <c r="H395" s="79"/>
      <c r="I395" s="233"/>
      <c r="J395" s="233"/>
      <c r="K395" s="203"/>
      <c r="L395" s="233"/>
      <c r="M395" s="458" t="s">
        <v>135</v>
      </c>
      <c r="N395" s="293" t="s">
        <v>421</v>
      </c>
      <c r="O395" s="299" t="s">
        <v>137</v>
      </c>
      <c r="P395" s="1" t="str">
        <f t="shared" si="122"/>
        <v/>
      </c>
      <c r="Q395" s="1" t="str">
        <f t="shared" si="122"/>
        <v/>
      </c>
      <c r="R395" s="199" t="s">
        <v>520</v>
      </c>
      <c r="S395" s="197" t="s">
        <v>521</v>
      </c>
      <c r="T395" s="198">
        <v>1</v>
      </c>
      <c r="U395" s="226" t="s">
        <v>134</v>
      </c>
      <c r="V395" s="186"/>
      <c r="W395" s="188"/>
      <c r="X395" s="79">
        <v>10</v>
      </c>
      <c r="Y395" s="79"/>
      <c r="Z395" s="233"/>
      <c r="AA395" s="233"/>
      <c r="AB395" s="203"/>
      <c r="AC395" s="233"/>
      <c r="AD395" s="458" t="s">
        <v>135</v>
      </c>
      <c r="AE395" s="293" t="s">
        <v>421</v>
      </c>
      <c r="AF395" s="299" t="s">
        <v>137</v>
      </c>
      <c r="AG395" s="1" t="s">
        <v>2350</v>
      </c>
      <c r="AH395" s="1" t="s">
        <v>2350</v>
      </c>
    </row>
    <row r="396" spans="1:34" s="93" customFormat="1">
      <c r="A396" s="199" t="s">
        <v>522</v>
      </c>
      <c r="B396" s="197" t="s">
        <v>523</v>
      </c>
      <c r="C396" s="198">
        <v>1</v>
      </c>
      <c r="D396" s="226" t="s">
        <v>134</v>
      </c>
      <c r="E396" s="186"/>
      <c r="F396" s="188"/>
      <c r="G396" s="79">
        <v>14</v>
      </c>
      <c r="H396" s="79"/>
      <c r="I396" s="233"/>
      <c r="J396" s="233"/>
      <c r="K396" s="203"/>
      <c r="L396" s="233"/>
      <c r="M396" s="458" t="s">
        <v>135</v>
      </c>
      <c r="N396" s="293" t="s">
        <v>421</v>
      </c>
      <c r="O396" s="299" t="s">
        <v>137</v>
      </c>
      <c r="P396" s="1" t="str">
        <f t="shared" ref="P396:Q434" si="127">+IF($J396&lt;&gt;"",P$2*$J396,"")</f>
        <v/>
      </c>
      <c r="Q396" s="1" t="str">
        <f t="shared" si="127"/>
        <v/>
      </c>
      <c r="R396" s="199" t="s">
        <v>522</v>
      </c>
      <c r="S396" s="197" t="s">
        <v>523</v>
      </c>
      <c r="T396" s="198">
        <v>1</v>
      </c>
      <c r="U396" s="226" t="s">
        <v>134</v>
      </c>
      <c r="V396" s="186"/>
      <c r="W396" s="188"/>
      <c r="X396" s="79">
        <v>14</v>
      </c>
      <c r="Y396" s="79"/>
      <c r="Z396" s="233"/>
      <c r="AA396" s="233"/>
      <c r="AB396" s="203"/>
      <c r="AC396" s="233"/>
      <c r="AD396" s="458" t="s">
        <v>135</v>
      </c>
      <c r="AE396" s="293" t="s">
        <v>421</v>
      </c>
      <c r="AF396" s="299" t="s">
        <v>137</v>
      </c>
      <c r="AG396" s="1" t="s">
        <v>2350</v>
      </c>
      <c r="AH396" s="1" t="s">
        <v>2350</v>
      </c>
    </row>
    <row r="397" spans="1:34" s="93" customFormat="1">
      <c r="A397" s="199" t="s">
        <v>524</v>
      </c>
      <c r="B397" s="197" t="s">
        <v>525</v>
      </c>
      <c r="C397" s="198">
        <v>1</v>
      </c>
      <c r="D397" s="226" t="s">
        <v>134</v>
      </c>
      <c r="E397" s="186"/>
      <c r="F397" s="188"/>
      <c r="G397" s="79">
        <v>94.63</v>
      </c>
      <c r="H397" s="79"/>
      <c r="I397" s="233"/>
      <c r="J397" s="233"/>
      <c r="K397" s="203"/>
      <c r="L397" s="233"/>
      <c r="M397" s="458" t="s">
        <v>135</v>
      </c>
      <c r="N397" s="293" t="s">
        <v>421</v>
      </c>
      <c r="O397" s="299" t="s">
        <v>137</v>
      </c>
      <c r="P397" s="1" t="str">
        <f t="shared" si="127"/>
        <v/>
      </c>
      <c r="Q397" s="1" t="str">
        <f t="shared" si="127"/>
        <v/>
      </c>
      <c r="R397" s="199" t="s">
        <v>524</v>
      </c>
      <c r="S397" s="197" t="s">
        <v>525</v>
      </c>
      <c r="T397" s="198">
        <v>1</v>
      </c>
      <c r="U397" s="226" t="s">
        <v>134</v>
      </c>
      <c r="V397" s="186"/>
      <c r="W397" s="188"/>
      <c r="X397" s="79">
        <v>94.63</v>
      </c>
      <c r="Y397" s="79"/>
      <c r="Z397" s="233"/>
      <c r="AA397" s="233"/>
      <c r="AB397" s="203"/>
      <c r="AC397" s="233"/>
      <c r="AD397" s="458" t="s">
        <v>135</v>
      </c>
      <c r="AE397" s="293" t="s">
        <v>421</v>
      </c>
      <c r="AF397" s="299" t="s">
        <v>137</v>
      </c>
      <c r="AG397" s="1" t="s">
        <v>2350</v>
      </c>
      <c r="AH397" s="1" t="s">
        <v>2350</v>
      </c>
    </row>
    <row r="398" spans="1:34" s="270" customFormat="1" ht="25" customHeight="1">
      <c r="A398" s="332" t="s">
        <v>526</v>
      </c>
      <c r="B398" s="394" t="s">
        <v>490</v>
      </c>
      <c r="C398" s="334"/>
      <c r="D398" s="335"/>
      <c r="E398" s="335"/>
      <c r="F398" s="336"/>
      <c r="G398" s="337"/>
      <c r="H398" s="337"/>
      <c r="I398" s="338"/>
      <c r="J398" s="338"/>
      <c r="K398" s="337"/>
      <c r="L398" s="338"/>
      <c r="M398" s="456"/>
      <c r="N398" s="339"/>
      <c r="O398" s="338"/>
      <c r="P398" s="338"/>
      <c r="Q398" s="338"/>
      <c r="R398" s="332" t="s">
        <v>526</v>
      </c>
      <c r="S398" s="394" t="s">
        <v>490</v>
      </c>
      <c r="T398" s="334"/>
      <c r="U398" s="335"/>
      <c r="V398" s="335"/>
      <c r="W398" s="336"/>
      <c r="X398" s="337"/>
      <c r="Y398" s="337"/>
      <c r="Z398" s="338"/>
      <c r="AA398" s="338"/>
      <c r="AB398" s="337"/>
      <c r="AC398" s="338"/>
      <c r="AD398" s="456"/>
      <c r="AE398" s="339"/>
      <c r="AF398" s="338"/>
      <c r="AG398" s="338"/>
      <c r="AH398" s="338"/>
    </row>
    <row r="399" spans="1:34">
      <c r="A399" s="651" t="s">
        <v>527</v>
      </c>
      <c r="B399" s="652" t="s">
        <v>528</v>
      </c>
      <c r="C399" s="653">
        <v>1</v>
      </c>
      <c r="D399" s="654" t="s">
        <v>126</v>
      </c>
      <c r="E399" s="57">
        <v>792.65</v>
      </c>
      <c r="F399" s="656">
        <f t="shared" ref="F399:F406" si="128">rv_ipp105</f>
        <v>0.1065</v>
      </c>
      <c r="G399" s="65">
        <f t="shared" ref="G399:G407" si="129">E399-(E399*F399)</f>
        <v>708.23277499999995</v>
      </c>
      <c r="H399" s="653" t="s">
        <v>491</v>
      </c>
      <c r="I399" s="658">
        <f t="shared" ref="I399:I406" si="130">pv_garantie_ipad_Air13</f>
        <v>44.657129999999995</v>
      </c>
      <c r="J399" s="58">
        <f t="shared" ref="J399:J406" si="131">G399+I399</f>
        <v>752.889905</v>
      </c>
      <c r="K399" s="659">
        <v>14</v>
      </c>
      <c r="L399" s="58">
        <v>0.85</v>
      </c>
      <c r="M399" s="458" t="s">
        <v>512</v>
      </c>
      <c r="N399" s="292" t="s">
        <v>452</v>
      </c>
      <c r="O399" s="296" t="s">
        <v>131</v>
      </c>
      <c r="P399" s="1">
        <f t="shared" ref="P399:Q409" si="132">+IF($J399&lt;&gt;"",P$2*$J399,"")</f>
        <v>151.56332362113505</v>
      </c>
      <c r="Q399" s="1">
        <f t="shared" si="132"/>
        <v>78.768438202721114</v>
      </c>
      <c r="R399" s="651" t="s">
        <v>527</v>
      </c>
      <c r="S399" s="652" t="s">
        <v>528</v>
      </c>
      <c r="T399" s="653">
        <v>1</v>
      </c>
      <c r="U399" s="654" t="s">
        <v>126</v>
      </c>
      <c r="V399" s="655">
        <v>793.25</v>
      </c>
      <c r="W399" s="656">
        <v>0.1065</v>
      </c>
      <c r="X399" s="657">
        <v>708.76887499999998</v>
      </c>
      <c r="Y399" s="653" t="s">
        <v>491</v>
      </c>
      <c r="Z399" s="658">
        <v>44.657129999999995</v>
      </c>
      <c r="AA399" s="658">
        <v>753.42600500000003</v>
      </c>
      <c r="AB399" s="659">
        <v>14</v>
      </c>
      <c r="AC399" s="658">
        <v>0.25</v>
      </c>
      <c r="AD399" s="458" t="s">
        <v>512</v>
      </c>
      <c r="AE399" s="292" t="s">
        <v>452</v>
      </c>
      <c r="AF399" s="296" t="s">
        <v>131</v>
      </c>
      <c r="AG399" s="1">
        <v>151.67124524055603</v>
      </c>
      <c r="AH399" s="1">
        <v>78.824525765378084</v>
      </c>
    </row>
    <row r="400" spans="1:34">
      <c r="A400" s="651" t="s">
        <v>530</v>
      </c>
      <c r="B400" s="652" t="s">
        <v>531</v>
      </c>
      <c r="C400" s="653">
        <v>1</v>
      </c>
      <c r="D400" s="654" t="s">
        <v>126</v>
      </c>
      <c r="E400" s="57">
        <v>900.98</v>
      </c>
      <c r="F400" s="656">
        <f t="shared" si="128"/>
        <v>0.1065</v>
      </c>
      <c r="G400" s="65">
        <f t="shared" si="129"/>
        <v>805.02562999999998</v>
      </c>
      <c r="H400" s="653" t="s">
        <v>491</v>
      </c>
      <c r="I400" s="658">
        <f t="shared" si="130"/>
        <v>44.657129999999995</v>
      </c>
      <c r="J400" s="58">
        <f t="shared" si="131"/>
        <v>849.68275999999992</v>
      </c>
      <c r="K400" s="659">
        <v>14</v>
      </c>
      <c r="L400" s="58">
        <v>0.85</v>
      </c>
      <c r="M400" s="458" t="s">
        <v>515</v>
      </c>
      <c r="N400" s="293" t="s">
        <v>452</v>
      </c>
      <c r="O400" s="297" t="s">
        <v>131</v>
      </c>
      <c r="P400" s="1">
        <f t="shared" si="132"/>
        <v>171.04857200758883</v>
      </c>
      <c r="Q400" s="1">
        <f t="shared" si="132"/>
        <v>88.89504764043491</v>
      </c>
      <c r="R400" s="651" t="s">
        <v>530</v>
      </c>
      <c r="S400" s="652" t="s">
        <v>531</v>
      </c>
      <c r="T400" s="653">
        <v>1</v>
      </c>
      <c r="U400" s="654" t="s">
        <v>126</v>
      </c>
      <c r="V400" s="655">
        <v>901.58</v>
      </c>
      <c r="W400" s="656">
        <v>0.1065</v>
      </c>
      <c r="X400" s="657">
        <v>805.56173000000001</v>
      </c>
      <c r="Y400" s="653" t="s">
        <v>491</v>
      </c>
      <c r="Z400" s="658">
        <v>44.657129999999995</v>
      </c>
      <c r="AA400" s="658">
        <v>850.21885999999995</v>
      </c>
      <c r="AB400" s="659">
        <v>14</v>
      </c>
      <c r="AC400" s="658">
        <v>0.25</v>
      </c>
      <c r="AD400" s="458" t="s">
        <v>515</v>
      </c>
      <c r="AE400" s="293" t="s">
        <v>452</v>
      </c>
      <c r="AF400" s="297" t="s">
        <v>131</v>
      </c>
      <c r="AG400" s="1">
        <v>171.15649362700981</v>
      </c>
      <c r="AH400" s="1">
        <v>88.95113520309188</v>
      </c>
    </row>
    <row r="401" spans="1:34">
      <c r="A401" s="651" t="s">
        <v>533</v>
      </c>
      <c r="B401" s="652" t="s">
        <v>534</v>
      </c>
      <c r="C401" s="653">
        <v>1</v>
      </c>
      <c r="D401" s="654" t="s">
        <v>126</v>
      </c>
      <c r="E401" s="57">
        <v>1109.32</v>
      </c>
      <c r="F401" s="656">
        <f t="shared" si="128"/>
        <v>0.1065</v>
      </c>
      <c r="G401" s="65">
        <f t="shared" si="129"/>
        <v>991.17741999999998</v>
      </c>
      <c r="H401" s="653" t="s">
        <v>491</v>
      </c>
      <c r="I401" s="658">
        <f t="shared" si="130"/>
        <v>44.657129999999995</v>
      </c>
      <c r="J401" s="58">
        <f t="shared" si="131"/>
        <v>1035.83455</v>
      </c>
      <c r="K401" s="659">
        <v>14</v>
      </c>
      <c r="L401" s="58">
        <v>0.85</v>
      </c>
      <c r="M401" s="458" t="s">
        <v>529</v>
      </c>
      <c r="N401" s="293" t="s">
        <v>452</v>
      </c>
      <c r="O401" s="297" t="s">
        <v>131</v>
      </c>
      <c r="P401" s="1">
        <f t="shared" si="132"/>
        <v>208.52255565785919</v>
      </c>
      <c r="Q401" s="1">
        <f t="shared" si="132"/>
        <v>108.3705189803527</v>
      </c>
      <c r="R401" s="651" t="s">
        <v>533</v>
      </c>
      <c r="S401" s="652" t="s">
        <v>534</v>
      </c>
      <c r="T401" s="653">
        <v>1</v>
      </c>
      <c r="U401" s="654" t="s">
        <v>126</v>
      </c>
      <c r="V401" s="655">
        <v>1109.92</v>
      </c>
      <c r="W401" s="656">
        <v>0.1065</v>
      </c>
      <c r="X401" s="657">
        <v>991.71352000000002</v>
      </c>
      <c r="Y401" s="653" t="s">
        <v>491</v>
      </c>
      <c r="Z401" s="658">
        <v>44.657129999999995</v>
      </c>
      <c r="AA401" s="658">
        <v>1036.3706500000001</v>
      </c>
      <c r="AB401" s="659">
        <v>14</v>
      </c>
      <c r="AC401" s="658">
        <v>0.25</v>
      </c>
      <c r="AD401" s="458" t="s">
        <v>529</v>
      </c>
      <c r="AE401" s="293" t="s">
        <v>452</v>
      </c>
      <c r="AF401" s="297" t="s">
        <v>131</v>
      </c>
      <c r="AG401" s="1">
        <v>208.63047727728014</v>
      </c>
      <c r="AH401" s="1">
        <v>108.42660654300967</v>
      </c>
    </row>
    <row r="402" spans="1:34">
      <c r="A402" s="651" t="s">
        <v>536</v>
      </c>
      <c r="B402" s="652" t="s">
        <v>537</v>
      </c>
      <c r="C402" s="653">
        <v>1</v>
      </c>
      <c r="D402" s="654" t="s">
        <v>126</v>
      </c>
      <c r="E402" s="57">
        <v>1317.65</v>
      </c>
      <c r="F402" s="656">
        <f t="shared" si="128"/>
        <v>0.1065</v>
      </c>
      <c r="G402" s="65">
        <f t="shared" si="129"/>
        <v>1177.320275</v>
      </c>
      <c r="H402" s="653" t="s">
        <v>491</v>
      </c>
      <c r="I402" s="658">
        <f t="shared" si="130"/>
        <v>44.657129999999995</v>
      </c>
      <c r="J402" s="58">
        <f t="shared" si="131"/>
        <v>1221.9774050000001</v>
      </c>
      <c r="K402" s="659">
        <v>14</v>
      </c>
      <c r="L402" s="58">
        <v>0.85</v>
      </c>
      <c r="M402" s="458" t="s">
        <v>532</v>
      </c>
      <c r="N402" s="293" t="s">
        <v>452</v>
      </c>
      <c r="O402" s="297" t="s">
        <v>131</v>
      </c>
      <c r="P402" s="1">
        <f t="shared" si="132"/>
        <v>245.99474061447251</v>
      </c>
      <c r="Q402" s="1">
        <f t="shared" si="132"/>
        <v>127.84505552755954</v>
      </c>
      <c r="R402" s="651" t="s">
        <v>536</v>
      </c>
      <c r="S402" s="652" t="s">
        <v>537</v>
      </c>
      <c r="T402" s="653">
        <v>1</v>
      </c>
      <c r="U402" s="654" t="s">
        <v>126</v>
      </c>
      <c r="V402" s="655">
        <v>1318.25</v>
      </c>
      <c r="W402" s="656">
        <v>0.1065</v>
      </c>
      <c r="X402" s="657">
        <v>1177.8563750000001</v>
      </c>
      <c r="Y402" s="653" t="s">
        <v>491</v>
      </c>
      <c r="Z402" s="658">
        <v>44.657129999999995</v>
      </c>
      <c r="AA402" s="658">
        <v>1222.5135050000001</v>
      </c>
      <c r="AB402" s="659">
        <v>14</v>
      </c>
      <c r="AC402" s="658">
        <v>0.25</v>
      </c>
      <c r="AD402" s="458" t="s">
        <v>532</v>
      </c>
      <c r="AE402" s="293" t="s">
        <v>452</v>
      </c>
      <c r="AF402" s="297" t="s">
        <v>131</v>
      </c>
      <c r="AG402" s="1">
        <v>246.10266223389345</v>
      </c>
      <c r="AH402" s="1">
        <v>127.90114309021651</v>
      </c>
    </row>
    <row r="403" spans="1:34">
      <c r="A403" s="651" t="s">
        <v>539</v>
      </c>
      <c r="B403" s="652" t="s">
        <v>540</v>
      </c>
      <c r="C403" s="653">
        <v>1</v>
      </c>
      <c r="D403" s="654" t="s">
        <v>126</v>
      </c>
      <c r="E403" s="57">
        <v>934.32</v>
      </c>
      <c r="F403" s="656">
        <f t="shared" si="128"/>
        <v>0.1065</v>
      </c>
      <c r="G403" s="65">
        <f t="shared" si="129"/>
        <v>834.81492000000003</v>
      </c>
      <c r="H403" s="653" t="s">
        <v>491</v>
      </c>
      <c r="I403" s="658">
        <f t="shared" si="130"/>
        <v>44.657129999999995</v>
      </c>
      <c r="J403" s="58">
        <f t="shared" si="131"/>
        <v>879.47205000000008</v>
      </c>
      <c r="K403" s="659">
        <v>14</v>
      </c>
      <c r="L403" s="58">
        <v>0.85</v>
      </c>
      <c r="M403" s="458" t="s">
        <v>535</v>
      </c>
      <c r="N403" s="293" t="s">
        <v>452</v>
      </c>
      <c r="O403" s="297" t="s">
        <v>131</v>
      </c>
      <c r="P403" s="1">
        <f t="shared" si="132"/>
        <v>177.04541666008006</v>
      </c>
      <c r="Q403" s="1">
        <f t="shared" si="132"/>
        <v>92.01164653873991</v>
      </c>
      <c r="R403" s="651" t="s">
        <v>539</v>
      </c>
      <c r="S403" s="652" t="s">
        <v>540</v>
      </c>
      <c r="T403" s="653">
        <v>1</v>
      </c>
      <c r="U403" s="654" t="s">
        <v>126</v>
      </c>
      <c r="V403" s="655">
        <v>934.92</v>
      </c>
      <c r="W403" s="656">
        <v>0.1065</v>
      </c>
      <c r="X403" s="657">
        <v>835.35101999999995</v>
      </c>
      <c r="Y403" s="653" t="s">
        <v>491</v>
      </c>
      <c r="Z403" s="658">
        <v>44.657129999999995</v>
      </c>
      <c r="AA403" s="658">
        <v>880.00814999999989</v>
      </c>
      <c r="AB403" s="659">
        <v>14</v>
      </c>
      <c r="AC403" s="658">
        <v>0.25</v>
      </c>
      <c r="AD403" s="458" t="s">
        <v>535</v>
      </c>
      <c r="AE403" s="293" t="s">
        <v>452</v>
      </c>
      <c r="AF403" s="297" t="s">
        <v>131</v>
      </c>
      <c r="AG403" s="1">
        <v>177.15333827950096</v>
      </c>
      <c r="AH403" s="1">
        <v>92.067734101396837</v>
      </c>
    </row>
    <row r="404" spans="1:34">
      <c r="A404" s="651" t="s">
        <v>542</v>
      </c>
      <c r="B404" s="652" t="s">
        <v>543</v>
      </c>
      <c r="C404" s="653">
        <v>1</v>
      </c>
      <c r="D404" s="654" t="s">
        <v>126</v>
      </c>
      <c r="E404" s="57">
        <v>1042.6500000000001</v>
      </c>
      <c r="F404" s="656">
        <f t="shared" si="128"/>
        <v>0.1065</v>
      </c>
      <c r="G404" s="65">
        <f t="shared" si="129"/>
        <v>931.60777500000006</v>
      </c>
      <c r="H404" s="653" t="s">
        <v>491</v>
      </c>
      <c r="I404" s="658">
        <f t="shared" si="130"/>
        <v>44.657129999999995</v>
      </c>
      <c r="J404" s="58">
        <f t="shared" si="131"/>
        <v>976.264905</v>
      </c>
      <c r="K404" s="659">
        <v>14</v>
      </c>
      <c r="L404" s="58">
        <v>0.85</v>
      </c>
      <c r="M404" s="458" t="s">
        <v>538</v>
      </c>
      <c r="N404" s="293" t="s">
        <v>452</v>
      </c>
      <c r="O404" s="297" t="s">
        <v>131</v>
      </c>
      <c r="P404" s="1">
        <f t="shared" si="132"/>
        <v>196.53066504653384</v>
      </c>
      <c r="Q404" s="1">
        <f t="shared" si="132"/>
        <v>102.13825597645369</v>
      </c>
      <c r="R404" s="651" t="s">
        <v>542</v>
      </c>
      <c r="S404" s="652" t="s">
        <v>543</v>
      </c>
      <c r="T404" s="653">
        <v>1</v>
      </c>
      <c r="U404" s="654" t="s">
        <v>126</v>
      </c>
      <c r="V404" s="655">
        <v>1043.25</v>
      </c>
      <c r="W404" s="656">
        <v>0.1065</v>
      </c>
      <c r="X404" s="657">
        <v>932.14387499999998</v>
      </c>
      <c r="Y404" s="653" t="s">
        <v>491</v>
      </c>
      <c r="Z404" s="658">
        <v>44.657129999999995</v>
      </c>
      <c r="AA404" s="658">
        <v>976.80100500000003</v>
      </c>
      <c r="AB404" s="659">
        <v>14</v>
      </c>
      <c r="AC404" s="658">
        <v>0.25</v>
      </c>
      <c r="AD404" s="458" t="s">
        <v>538</v>
      </c>
      <c r="AE404" s="293" t="s">
        <v>452</v>
      </c>
      <c r="AF404" s="297" t="s">
        <v>131</v>
      </c>
      <c r="AG404" s="1">
        <v>196.63858666595479</v>
      </c>
      <c r="AH404" s="1">
        <v>102.19434353911066</v>
      </c>
    </row>
    <row r="405" spans="1:34">
      <c r="A405" s="651" t="s">
        <v>545</v>
      </c>
      <c r="B405" s="652" t="s">
        <v>546</v>
      </c>
      <c r="C405" s="653">
        <v>1</v>
      </c>
      <c r="D405" s="654" t="s">
        <v>126</v>
      </c>
      <c r="E405" s="57">
        <v>1250.98</v>
      </c>
      <c r="F405" s="656">
        <f t="shared" si="128"/>
        <v>0.1065</v>
      </c>
      <c r="G405" s="65">
        <f t="shared" si="129"/>
        <v>1117.75063</v>
      </c>
      <c r="H405" s="653" t="s">
        <v>491</v>
      </c>
      <c r="I405" s="658">
        <f t="shared" si="130"/>
        <v>44.657129999999995</v>
      </c>
      <c r="J405" s="58">
        <f t="shared" si="131"/>
        <v>1162.4077600000001</v>
      </c>
      <c r="K405" s="659">
        <v>14</v>
      </c>
      <c r="L405" s="58">
        <v>0.85</v>
      </c>
      <c r="M405" s="458" t="s">
        <v>541</v>
      </c>
      <c r="N405" s="293" t="s">
        <v>452</v>
      </c>
      <c r="O405" s="297" t="s">
        <v>131</v>
      </c>
      <c r="P405" s="1">
        <f t="shared" si="132"/>
        <v>234.00285000314713</v>
      </c>
      <c r="Q405" s="1">
        <f t="shared" si="132"/>
        <v>121.61279252366053</v>
      </c>
      <c r="R405" s="651" t="s">
        <v>545</v>
      </c>
      <c r="S405" s="652" t="s">
        <v>546</v>
      </c>
      <c r="T405" s="653">
        <v>1</v>
      </c>
      <c r="U405" s="654" t="s">
        <v>126</v>
      </c>
      <c r="V405" s="655">
        <v>1251.58</v>
      </c>
      <c r="W405" s="656">
        <v>0.1065</v>
      </c>
      <c r="X405" s="657">
        <v>1118.28673</v>
      </c>
      <c r="Y405" s="653" t="s">
        <v>491</v>
      </c>
      <c r="Z405" s="658">
        <v>44.657129999999995</v>
      </c>
      <c r="AA405" s="658">
        <v>1162.9438600000001</v>
      </c>
      <c r="AB405" s="659">
        <v>14</v>
      </c>
      <c r="AC405" s="658">
        <v>0.25</v>
      </c>
      <c r="AD405" s="458" t="s">
        <v>541</v>
      </c>
      <c r="AE405" s="293" t="s">
        <v>452</v>
      </c>
      <c r="AF405" s="297" t="s">
        <v>131</v>
      </c>
      <c r="AG405" s="1">
        <v>234.11077162256811</v>
      </c>
      <c r="AH405" s="1">
        <v>121.6688800863175</v>
      </c>
    </row>
    <row r="406" spans="1:34">
      <c r="A406" s="651" t="s">
        <v>548</v>
      </c>
      <c r="B406" s="652" t="s">
        <v>549</v>
      </c>
      <c r="C406" s="653">
        <v>1</v>
      </c>
      <c r="D406" s="654" t="s">
        <v>126</v>
      </c>
      <c r="E406" s="57">
        <v>1459.32</v>
      </c>
      <c r="F406" s="656">
        <f t="shared" si="128"/>
        <v>0.1065</v>
      </c>
      <c r="G406" s="65">
        <f t="shared" si="129"/>
        <v>1303.9024199999999</v>
      </c>
      <c r="H406" s="653" t="s">
        <v>491</v>
      </c>
      <c r="I406" s="658">
        <f t="shared" si="130"/>
        <v>44.657129999999995</v>
      </c>
      <c r="J406" s="58">
        <f t="shared" si="131"/>
        <v>1348.5595499999999</v>
      </c>
      <c r="K406" s="659">
        <v>14</v>
      </c>
      <c r="L406" s="58">
        <v>0.85</v>
      </c>
      <c r="M406" s="458" t="s">
        <v>544</v>
      </c>
      <c r="N406" s="293" t="s">
        <v>452</v>
      </c>
      <c r="O406" s="297" t="s">
        <v>131</v>
      </c>
      <c r="P406" s="1">
        <f t="shared" si="132"/>
        <v>271.47683365341743</v>
      </c>
      <c r="Q406" s="1">
        <f t="shared" si="132"/>
        <v>141.08826386357831</v>
      </c>
      <c r="R406" s="651" t="s">
        <v>548</v>
      </c>
      <c r="S406" s="652" t="s">
        <v>549</v>
      </c>
      <c r="T406" s="653">
        <v>1</v>
      </c>
      <c r="U406" s="654" t="s">
        <v>126</v>
      </c>
      <c r="V406" s="655">
        <v>1459.92</v>
      </c>
      <c r="W406" s="656">
        <v>0.1065</v>
      </c>
      <c r="X406" s="657">
        <v>1304.4385200000002</v>
      </c>
      <c r="Y406" s="653" t="s">
        <v>491</v>
      </c>
      <c r="Z406" s="658">
        <v>44.657129999999995</v>
      </c>
      <c r="AA406" s="658">
        <v>1349.0956500000002</v>
      </c>
      <c r="AB406" s="659">
        <v>14</v>
      </c>
      <c r="AC406" s="658">
        <v>0.25</v>
      </c>
      <c r="AD406" s="458" t="s">
        <v>544</v>
      </c>
      <c r="AE406" s="293" t="s">
        <v>452</v>
      </c>
      <c r="AF406" s="297" t="s">
        <v>131</v>
      </c>
      <c r="AG406" s="1">
        <v>271.58475527283844</v>
      </c>
      <c r="AH406" s="1">
        <v>141.14435142623529</v>
      </c>
    </row>
    <row r="407" spans="1:34" s="72" customFormat="1">
      <c r="A407" s="194" t="s">
        <v>551</v>
      </c>
      <c r="B407" s="95" t="s">
        <v>552</v>
      </c>
      <c r="C407" s="82">
        <v>1</v>
      </c>
      <c r="D407" s="96" t="s">
        <v>134</v>
      </c>
      <c r="E407" s="231">
        <v>49.98</v>
      </c>
      <c r="F407" s="98">
        <v>0.1065</v>
      </c>
      <c r="G407" s="63">
        <f t="shared" si="129"/>
        <v>44.657129999999995</v>
      </c>
      <c r="H407" s="82"/>
      <c r="I407" s="233"/>
      <c r="J407" s="233"/>
      <c r="K407" s="203"/>
      <c r="L407" s="233"/>
      <c r="M407" s="458" t="s">
        <v>135</v>
      </c>
      <c r="N407" s="293" t="s">
        <v>421</v>
      </c>
      <c r="O407" s="297" t="s">
        <v>137</v>
      </c>
      <c r="P407" s="1" t="str">
        <f t="shared" si="132"/>
        <v/>
      </c>
      <c r="Q407" s="1" t="str">
        <f t="shared" si="132"/>
        <v/>
      </c>
      <c r="R407" s="194" t="s">
        <v>551</v>
      </c>
      <c r="S407" s="95" t="s">
        <v>552</v>
      </c>
      <c r="T407" s="82">
        <v>1</v>
      </c>
      <c r="U407" s="96" t="s">
        <v>134</v>
      </c>
      <c r="V407" s="231">
        <v>49.98</v>
      </c>
      <c r="W407" s="98">
        <v>0.1065</v>
      </c>
      <c r="X407" s="63">
        <v>44.657129999999995</v>
      </c>
      <c r="Y407" s="82"/>
      <c r="Z407" s="233"/>
      <c r="AA407" s="233"/>
      <c r="AB407" s="203"/>
      <c r="AC407" s="233"/>
      <c r="AD407" s="458" t="s">
        <v>135</v>
      </c>
      <c r="AE407" s="293" t="s">
        <v>421</v>
      </c>
      <c r="AF407" s="297" t="s">
        <v>137</v>
      </c>
      <c r="AG407" s="1" t="s">
        <v>2350</v>
      </c>
      <c r="AH407" s="1" t="s">
        <v>2350</v>
      </c>
    </row>
    <row r="408" spans="1:34" s="93" customFormat="1">
      <c r="A408" s="199" t="s">
        <v>553</v>
      </c>
      <c r="B408" s="197" t="s">
        <v>554</v>
      </c>
      <c r="C408" s="198">
        <v>1</v>
      </c>
      <c r="D408" s="226" t="s">
        <v>134</v>
      </c>
      <c r="E408" s="186"/>
      <c r="F408" s="188"/>
      <c r="G408" s="79">
        <v>9</v>
      </c>
      <c r="H408" s="79"/>
      <c r="I408" s="233"/>
      <c r="J408" s="233"/>
      <c r="K408" s="203"/>
      <c r="L408" s="233"/>
      <c r="M408" s="458" t="s">
        <v>135</v>
      </c>
      <c r="N408" s="293" t="s">
        <v>421</v>
      </c>
      <c r="O408" s="299" t="s">
        <v>137</v>
      </c>
      <c r="P408" s="1" t="str">
        <f t="shared" si="132"/>
        <v/>
      </c>
      <c r="Q408" s="1" t="str">
        <f t="shared" si="132"/>
        <v/>
      </c>
      <c r="R408" s="199" t="s">
        <v>553</v>
      </c>
      <c r="S408" s="197" t="s">
        <v>554</v>
      </c>
      <c r="T408" s="198">
        <v>1</v>
      </c>
      <c r="U408" s="226" t="s">
        <v>134</v>
      </c>
      <c r="V408" s="186"/>
      <c r="W408" s="188"/>
      <c r="X408" s="79">
        <v>9</v>
      </c>
      <c r="Y408" s="79"/>
      <c r="Z408" s="233"/>
      <c r="AA408" s="233"/>
      <c r="AB408" s="203"/>
      <c r="AC408" s="233"/>
      <c r="AD408" s="458" t="s">
        <v>135</v>
      </c>
      <c r="AE408" s="293" t="s">
        <v>421</v>
      </c>
      <c r="AF408" s="299" t="s">
        <v>137</v>
      </c>
      <c r="AG408" s="1" t="s">
        <v>2350</v>
      </c>
      <c r="AH408" s="1" t="s">
        <v>2350</v>
      </c>
    </row>
    <row r="409" spans="1:34" s="93" customFormat="1">
      <c r="A409" s="199" t="s">
        <v>555</v>
      </c>
      <c r="B409" s="197" t="s">
        <v>556</v>
      </c>
      <c r="C409" s="198">
        <v>1</v>
      </c>
      <c r="D409" s="226" t="s">
        <v>134</v>
      </c>
      <c r="E409" s="186"/>
      <c r="F409" s="188"/>
      <c r="G409" s="79">
        <v>10</v>
      </c>
      <c r="H409" s="79"/>
      <c r="I409" s="233"/>
      <c r="J409" s="233"/>
      <c r="K409" s="203"/>
      <c r="L409" s="233"/>
      <c r="M409" s="458" t="s">
        <v>135</v>
      </c>
      <c r="N409" s="293" t="s">
        <v>421</v>
      </c>
      <c r="O409" s="299" t="s">
        <v>137</v>
      </c>
      <c r="P409" s="1" t="str">
        <f t="shared" si="132"/>
        <v/>
      </c>
      <c r="Q409" s="1" t="str">
        <f t="shared" si="132"/>
        <v/>
      </c>
      <c r="R409" s="199" t="s">
        <v>555</v>
      </c>
      <c r="S409" s="197" t="s">
        <v>556</v>
      </c>
      <c r="T409" s="198">
        <v>1</v>
      </c>
      <c r="U409" s="226" t="s">
        <v>134</v>
      </c>
      <c r="V409" s="186"/>
      <c r="W409" s="188"/>
      <c r="X409" s="79">
        <v>10</v>
      </c>
      <c r="Y409" s="79"/>
      <c r="Z409" s="233"/>
      <c r="AA409" s="233"/>
      <c r="AB409" s="203"/>
      <c r="AC409" s="233"/>
      <c r="AD409" s="458" t="s">
        <v>135</v>
      </c>
      <c r="AE409" s="293" t="s">
        <v>421</v>
      </c>
      <c r="AF409" s="299" t="s">
        <v>137</v>
      </c>
      <c r="AG409" s="1" t="s">
        <v>2350</v>
      </c>
      <c r="AH409" s="1" t="s">
        <v>2350</v>
      </c>
    </row>
    <row r="410" spans="1:34" s="93" customFormat="1">
      <c r="A410" s="199" t="s">
        <v>557</v>
      </c>
      <c r="B410" s="197" t="s">
        <v>558</v>
      </c>
      <c r="C410" s="198">
        <v>1</v>
      </c>
      <c r="D410" s="226" t="s">
        <v>134</v>
      </c>
      <c r="E410" s="186"/>
      <c r="F410" s="188"/>
      <c r="G410" s="79">
        <v>14</v>
      </c>
      <c r="H410" s="79"/>
      <c r="I410" s="233"/>
      <c r="J410" s="233"/>
      <c r="K410" s="203"/>
      <c r="L410" s="233"/>
      <c r="M410" s="458" t="s">
        <v>135</v>
      </c>
      <c r="N410" s="293" t="s">
        <v>421</v>
      </c>
      <c r="O410" s="299" t="s">
        <v>137</v>
      </c>
      <c r="P410" s="1" t="str">
        <f t="shared" si="127"/>
        <v/>
      </c>
      <c r="Q410" s="1" t="str">
        <f t="shared" si="127"/>
        <v/>
      </c>
      <c r="R410" s="199" t="s">
        <v>557</v>
      </c>
      <c r="S410" s="197" t="s">
        <v>558</v>
      </c>
      <c r="T410" s="198">
        <v>1</v>
      </c>
      <c r="U410" s="226" t="s">
        <v>134</v>
      </c>
      <c r="V410" s="186"/>
      <c r="W410" s="188"/>
      <c r="X410" s="79">
        <v>14</v>
      </c>
      <c r="Y410" s="79"/>
      <c r="Z410" s="233"/>
      <c r="AA410" s="233"/>
      <c r="AB410" s="203"/>
      <c r="AC410" s="233"/>
      <c r="AD410" s="458" t="s">
        <v>135</v>
      </c>
      <c r="AE410" s="293" t="s">
        <v>421</v>
      </c>
      <c r="AF410" s="299" t="s">
        <v>137</v>
      </c>
      <c r="AG410" s="1" t="s">
        <v>2350</v>
      </c>
      <c r="AH410" s="1" t="s">
        <v>2350</v>
      </c>
    </row>
    <row r="411" spans="1:34" s="93" customFormat="1">
      <c r="A411" s="199" t="s">
        <v>559</v>
      </c>
      <c r="B411" s="197" t="s">
        <v>560</v>
      </c>
      <c r="C411" s="198">
        <v>1</v>
      </c>
      <c r="D411" s="226" t="s">
        <v>134</v>
      </c>
      <c r="E411" s="186"/>
      <c r="F411" s="188"/>
      <c r="G411" s="79">
        <v>94.63</v>
      </c>
      <c r="H411" s="79"/>
      <c r="I411" s="233"/>
      <c r="J411" s="233"/>
      <c r="K411" s="203"/>
      <c r="L411" s="233"/>
      <c r="M411" s="458" t="s">
        <v>135</v>
      </c>
      <c r="N411" s="293" t="s">
        <v>421</v>
      </c>
      <c r="O411" s="299" t="s">
        <v>137</v>
      </c>
      <c r="P411" s="1" t="str">
        <f t="shared" si="127"/>
        <v/>
      </c>
      <c r="Q411" s="1" t="str">
        <f t="shared" si="127"/>
        <v/>
      </c>
      <c r="R411" s="199" t="s">
        <v>559</v>
      </c>
      <c r="S411" s="197" t="s">
        <v>560</v>
      </c>
      <c r="T411" s="198">
        <v>1</v>
      </c>
      <c r="U411" s="226" t="s">
        <v>134</v>
      </c>
      <c r="V411" s="186"/>
      <c r="W411" s="188"/>
      <c r="X411" s="79">
        <v>94.63</v>
      </c>
      <c r="Y411" s="79"/>
      <c r="Z411" s="233"/>
      <c r="AA411" s="233"/>
      <c r="AB411" s="203"/>
      <c r="AC411" s="233"/>
      <c r="AD411" s="458" t="s">
        <v>135</v>
      </c>
      <c r="AE411" s="293" t="s">
        <v>421</v>
      </c>
      <c r="AF411" s="299" t="s">
        <v>137</v>
      </c>
      <c r="AG411" s="1" t="s">
        <v>2350</v>
      </c>
      <c r="AH411" s="1" t="s">
        <v>2350</v>
      </c>
    </row>
    <row r="412" spans="1:34" s="271" customFormat="1" ht="25" customHeight="1">
      <c r="A412" s="332" t="s">
        <v>561</v>
      </c>
      <c r="B412" s="394" t="s">
        <v>562</v>
      </c>
      <c r="C412" s="334"/>
      <c r="D412" s="335"/>
      <c r="E412" s="335"/>
      <c r="F412" s="336"/>
      <c r="G412" s="337"/>
      <c r="H412" s="337"/>
      <c r="I412" s="338"/>
      <c r="J412" s="338"/>
      <c r="K412" s="337"/>
      <c r="L412" s="338"/>
      <c r="M412" s="456"/>
      <c r="N412" s="339"/>
      <c r="O412" s="338"/>
      <c r="P412" s="338"/>
      <c r="Q412" s="338"/>
      <c r="R412" s="332" t="s">
        <v>561</v>
      </c>
      <c r="S412" s="394" t="s">
        <v>562</v>
      </c>
      <c r="T412" s="334"/>
      <c r="U412" s="335"/>
      <c r="V412" s="335"/>
      <c r="W412" s="336"/>
      <c r="X412" s="337"/>
      <c r="Y412" s="337"/>
      <c r="Z412" s="338"/>
      <c r="AA412" s="338"/>
      <c r="AB412" s="337"/>
      <c r="AC412" s="338"/>
      <c r="AD412" s="456"/>
      <c r="AE412" s="339"/>
      <c r="AF412" s="338"/>
      <c r="AG412" s="338"/>
      <c r="AH412" s="338"/>
    </row>
    <row r="413" spans="1:34" s="92" customFormat="1">
      <c r="A413" s="660" t="s">
        <v>564</v>
      </c>
      <c r="B413" s="661" t="s">
        <v>565</v>
      </c>
      <c r="C413" s="653">
        <v>1</v>
      </c>
      <c r="D413" s="654" t="s">
        <v>126</v>
      </c>
      <c r="E413" s="57">
        <v>1000.98</v>
      </c>
      <c r="F413" s="656">
        <f t="shared" ref="F413:F421" si="133">rv_ipp11</f>
        <v>0.1065</v>
      </c>
      <c r="G413" s="65">
        <f t="shared" ref="G413:G421" si="134">E413-(E413*F413)</f>
        <v>894.37563</v>
      </c>
      <c r="H413" s="653" t="s">
        <v>563</v>
      </c>
      <c r="I413" s="658">
        <f t="shared" ref="I413:I420" si="135">pv_garantie_ipad_Pro11</f>
        <v>48.23113</v>
      </c>
      <c r="J413" s="58">
        <f t="shared" ref="J413:J419" si="136">G413+I413</f>
        <v>942.60676000000001</v>
      </c>
      <c r="K413" s="659">
        <v>14</v>
      </c>
      <c r="L413" s="58">
        <v>0.85</v>
      </c>
      <c r="M413" s="458" t="s">
        <v>547</v>
      </c>
      <c r="N413" s="293" t="s">
        <v>452</v>
      </c>
      <c r="O413" s="297" t="s">
        <v>131</v>
      </c>
      <c r="P413" s="1">
        <f t="shared" si="127"/>
        <v>189.75498604055474</v>
      </c>
      <c r="Q413" s="1">
        <f t="shared" si="127"/>
        <v>98.61689183430768</v>
      </c>
      <c r="R413" s="660" t="s">
        <v>564</v>
      </c>
      <c r="S413" s="661" t="s">
        <v>565</v>
      </c>
      <c r="T413" s="653">
        <v>1</v>
      </c>
      <c r="U413" s="654" t="s">
        <v>126</v>
      </c>
      <c r="V413" s="655">
        <v>1001.58</v>
      </c>
      <c r="W413" s="656">
        <v>0.1065</v>
      </c>
      <c r="X413" s="657">
        <v>894.91173000000003</v>
      </c>
      <c r="Y413" s="653" t="s">
        <v>563</v>
      </c>
      <c r="Z413" s="658">
        <v>48.23113</v>
      </c>
      <c r="AA413" s="658">
        <v>943.14286000000004</v>
      </c>
      <c r="AB413" s="659">
        <v>14</v>
      </c>
      <c r="AC413" s="658">
        <v>0.25</v>
      </c>
      <c r="AD413" s="458" t="s">
        <v>547</v>
      </c>
      <c r="AE413" s="293" t="s">
        <v>452</v>
      </c>
      <c r="AF413" s="297" t="s">
        <v>131</v>
      </c>
      <c r="AG413" s="1">
        <v>189.86290765997572</v>
      </c>
      <c r="AH413" s="1">
        <v>98.672979396964635</v>
      </c>
    </row>
    <row r="414" spans="1:34" s="92" customFormat="1">
      <c r="A414" s="660" t="s">
        <v>567</v>
      </c>
      <c r="B414" s="661" t="s">
        <v>568</v>
      </c>
      <c r="C414" s="653">
        <v>1</v>
      </c>
      <c r="D414" s="654" t="s">
        <v>126</v>
      </c>
      <c r="E414" s="57">
        <v>1209.32</v>
      </c>
      <c r="F414" s="656">
        <f t="shared" si="133"/>
        <v>0.1065</v>
      </c>
      <c r="G414" s="65">
        <f t="shared" si="134"/>
        <v>1080.5274199999999</v>
      </c>
      <c r="H414" s="653" t="s">
        <v>563</v>
      </c>
      <c r="I414" s="658">
        <f t="shared" si="135"/>
        <v>48.23113</v>
      </c>
      <c r="J414" s="58">
        <f t="shared" si="136"/>
        <v>1128.7585499999998</v>
      </c>
      <c r="K414" s="659">
        <v>14</v>
      </c>
      <c r="L414" s="58">
        <v>0.85</v>
      </c>
      <c r="M414" s="458" t="s">
        <v>550</v>
      </c>
      <c r="N414" s="293" t="s">
        <v>452</v>
      </c>
      <c r="O414" s="297" t="s">
        <v>131</v>
      </c>
      <c r="P414" s="1">
        <f t="shared" si="127"/>
        <v>227.22896969082501</v>
      </c>
      <c r="Q414" s="1">
        <f t="shared" si="127"/>
        <v>118.09236317422543</v>
      </c>
      <c r="R414" s="660" t="s">
        <v>567</v>
      </c>
      <c r="S414" s="661" t="s">
        <v>568</v>
      </c>
      <c r="T414" s="653">
        <v>1</v>
      </c>
      <c r="U414" s="654" t="s">
        <v>126</v>
      </c>
      <c r="V414" s="655">
        <v>1209.92</v>
      </c>
      <c r="W414" s="656">
        <v>0.1065</v>
      </c>
      <c r="X414" s="657">
        <v>1081.0635200000002</v>
      </c>
      <c r="Y414" s="653" t="s">
        <v>563</v>
      </c>
      <c r="Z414" s="658">
        <v>48.23113</v>
      </c>
      <c r="AA414" s="658">
        <v>1129.29465</v>
      </c>
      <c r="AB414" s="659">
        <v>14</v>
      </c>
      <c r="AC414" s="658">
        <v>0.25</v>
      </c>
      <c r="AD414" s="458" t="s">
        <v>550</v>
      </c>
      <c r="AE414" s="293" t="s">
        <v>452</v>
      </c>
      <c r="AF414" s="297" t="s">
        <v>131</v>
      </c>
      <c r="AG414" s="1">
        <v>227.33689131024602</v>
      </c>
      <c r="AH414" s="1">
        <v>118.14845073688241</v>
      </c>
    </row>
    <row r="415" spans="1:34" s="92" customFormat="1">
      <c r="A415" s="660" t="s">
        <v>570</v>
      </c>
      <c r="B415" s="661" t="s">
        <v>571</v>
      </c>
      <c r="C415" s="653">
        <v>1</v>
      </c>
      <c r="D415" s="654" t="s">
        <v>126</v>
      </c>
      <c r="E415" s="57">
        <v>1609.32</v>
      </c>
      <c r="F415" s="656">
        <f t="shared" si="133"/>
        <v>0.1065</v>
      </c>
      <c r="G415" s="65">
        <f t="shared" si="134"/>
        <v>1437.92742</v>
      </c>
      <c r="H415" s="653" t="s">
        <v>563</v>
      </c>
      <c r="I415" s="658">
        <f t="shared" si="135"/>
        <v>48.23113</v>
      </c>
      <c r="J415" s="58">
        <f t="shared" si="136"/>
        <v>1486.1585499999999</v>
      </c>
      <c r="K415" s="659">
        <v>14</v>
      </c>
      <c r="L415" s="58">
        <v>0.85</v>
      </c>
      <c r="M415" s="458" t="s">
        <v>566</v>
      </c>
      <c r="N415" s="293" t="s">
        <v>452</v>
      </c>
      <c r="O415" s="297" t="s">
        <v>131</v>
      </c>
      <c r="P415" s="1">
        <f t="shared" si="127"/>
        <v>299.17671597146307</v>
      </c>
      <c r="Q415" s="1">
        <f t="shared" si="127"/>
        <v>155.48407161219757</v>
      </c>
      <c r="R415" s="660" t="s">
        <v>570</v>
      </c>
      <c r="S415" s="661" t="s">
        <v>571</v>
      </c>
      <c r="T415" s="653">
        <v>1</v>
      </c>
      <c r="U415" s="654" t="s">
        <v>126</v>
      </c>
      <c r="V415" s="655">
        <v>1609.92</v>
      </c>
      <c r="W415" s="656">
        <v>0.1065</v>
      </c>
      <c r="X415" s="657">
        <v>1438.46352</v>
      </c>
      <c r="Y415" s="653" t="s">
        <v>563</v>
      </c>
      <c r="Z415" s="658">
        <v>48.23113</v>
      </c>
      <c r="AA415" s="658">
        <v>1486.6946499999999</v>
      </c>
      <c r="AB415" s="659">
        <v>14</v>
      </c>
      <c r="AC415" s="658">
        <v>0.25</v>
      </c>
      <c r="AD415" s="458" t="s">
        <v>566</v>
      </c>
      <c r="AE415" s="293" t="s">
        <v>452</v>
      </c>
      <c r="AF415" s="297" t="s">
        <v>131</v>
      </c>
      <c r="AG415" s="1">
        <v>299.28463759088402</v>
      </c>
      <c r="AH415" s="1">
        <v>155.54015917485452</v>
      </c>
    </row>
    <row r="416" spans="1:34" s="92" customFormat="1">
      <c r="A416" s="660" t="s">
        <v>573</v>
      </c>
      <c r="B416" s="661" t="s">
        <v>574</v>
      </c>
      <c r="C416" s="653">
        <v>1</v>
      </c>
      <c r="D416" s="654" t="s">
        <v>126</v>
      </c>
      <c r="E416" s="57">
        <v>1717.65</v>
      </c>
      <c r="F416" s="656">
        <f t="shared" si="133"/>
        <v>0.1065</v>
      </c>
      <c r="G416" s="65">
        <f t="shared" ref="G416" si="137">E416-(E416*F416)</f>
        <v>1534.7202750000001</v>
      </c>
      <c r="H416" s="653" t="s">
        <v>563</v>
      </c>
      <c r="I416" s="658">
        <f t="shared" si="135"/>
        <v>48.23113</v>
      </c>
      <c r="J416" s="58">
        <f t="shared" ref="J416" si="138">G416+I416</f>
        <v>1582.951405</v>
      </c>
      <c r="K416" s="659">
        <v>14</v>
      </c>
      <c r="L416" s="58">
        <v>0.85</v>
      </c>
      <c r="M416" s="458" t="s">
        <v>569</v>
      </c>
      <c r="N416" s="293" t="s">
        <v>452</v>
      </c>
      <c r="O416" s="297" t="s">
        <v>131</v>
      </c>
      <c r="P416" s="1">
        <f t="shared" si="127"/>
        <v>318.66196435791687</v>
      </c>
      <c r="Q416" s="1">
        <f t="shared" si="127"/>
        <v>165.61068104991136</v>
      </c>
      <c r="R416" s="660" t="s">
        <v>573</v>
      </c>
      <c r="S416" s="661" t="s">
        <v>574</v>
      </c>
      <c r="T416" s="653">
        <v>1</v>
      </c>
      <c r="U416" s="654" t="s">
        <v>126</v>
      </c>
      <c r="V416" s="655">
        <v>1718.25</v>
      </c>
      <c r="W416" s="656">
        <v>0.1065</v>
      </c>
      <c r="X416" s="657">
        <v>1535.2563749999999</v>
      </c>
      <c r="Y416" s="653" t="s">
        <v>563</v>
      </c>
      <c r="Z416" s="658">
        <v>48.23113</v>
      </c>
      <c r="AA416" s="658">
        <v>1583.4875049999998</v>
      </c>
      <c r="AB416" s="659">
        <v>14</v>
      </c>
      <c r="AC416" s="658">
        <v>0.25</v>
      </c>
      <c r="AD416" s="458" t="s">
        <v>569</v>
      </c>
      <c r="AE416" s="293" t="s">
        <v>452</v>
      </c>
      <c r="AF416" s="297" t="s">
        <v>131</v>
      </c>
      <c r="AG416" s="1">
        <v>318.76988597733782</v>
      </c>
      <c r="AH416" s="1">
        <v>165.66676861256832</v>
      </c>
    </row>
    <row r="417" spans="1:34" s="92" customFormat="1">
      <c r="A417" s="660" t="s">
        <v>576</v>
      </c>
      <c r="B417" s="661" t="s">
        <v>577</v>
      </c>
      <c r="C417" s="653">
        <v>1</v>
      </c>
      <c r="D417" s="654" t="s">
        <v>126</v>
      </c>
      <c r="E417" s="57">
        <v>1209.32</v>
      </c>
      <c r="F417" s="656">
        <f t="shared" si="133"/>
        <v>0.1065</v>
      </c>
      <c r="G417" s="65">
        <f t="shared" si="134"/>
        <v>1080.5274199999999</v>
      </c>
      <c r="H417" s="653" t="s">
        <v>563</v>
      </c>
      <c r="I417" s="658">
        <f t="shared" si="135"/>
        <v>48.23113</v>
      </c>
      <c r="J417" s="58">
        <f t="shared" si="136"/>
        <v>1128.7585499999998</v>
      </c>
      <c r="K417" s="659">
        <v>14</v>
      </c>
      <c r="L417" s="58">
        <v>0.85</v>
      </c>
      <c r="M417" s="458" t="s">
        <v>572</v>
      </c>
      <c r="N417" s="293" t="s">
        <v>452</v>
      </c>
      <c r="O417" s="297" t="s">
        <v>131</v>
      </c>
      <c r="P417" s="1">
        <f t="shared" si="127"/>
        <v>227.22896969082501</v>
      </c>
      <c r="Q417" s="1">
        <f t="shared" si="127"/>
        <v>118.09236317422543</v>
      </c>
      <c r="R417" s="660" t="s">
        <v>576</v>
      </c>
      <c r="S417" s="661" t="s">
        <v>577</v>
      </c>
      <c r="T417" s="653">
        <v>1</v>
      </c>
      <c r="U417" s="654" t="s">
        <v>126</v>
      </c>
      <c r="V417" s="655">
        <v>1209.92</v>
      </c>
      <c r="W417" s="656">
        <v>0.1065</v>
      </c>
      <c r="X417" s="657">
        <v>1081.0635200000002</v>
      </c>
      <c r="Y417" s="653" t="s">
        <v>563</v>
      </c>
      <c r="Z417" s="658">
        <v>48.23113</v>
      </c>
      <c r="AA417" s="658">
        <v>1129.29465</v>
      </c>
      <c r="AB417" s="659">
        <v>14</v>
      </c>
      <c r="AC417" s="658">
        <v>0.25</v>
      </c>
      <c r="AD417" s="458" t="s">
        <v>572</v>
      </c>
      <c r="AE417" s="293" t="s">
        <v>452</v>
      </c>
      <c r="AF417" s="297" t="s">
        <v>131</v>
      </c>
      <c r="AG417" s="1">
        <v>227.33689131024602</v>
      </c>
      <c r="AH417" s="1">
        <v>118.14845073688241</v>
      </c>
    </row>
    <row r="418" spans="1:34" s="92" customFormat="1">
      <c r="A418" s="660" t="s">
        <v>579</v>
      </c>
      <c r="B418" s="661" t="s">
        <v>580</v>
      </c>
      <c r="C418" s="653">
        <v>1</v>
      </c>
      <c r="D418" s="654" t="s">
        <v>126</v>
      </c>
      <c r="E418" s="57">
        <v>1417.65</v>
      </c>
      <c r="F418" s="656">
        <f t="shared" si="133"/>
        <v>0.1065</v>
      </c>
      <c r="G418" s="65">
        <f t="shared" si="134"/>
        <v>1266.6702750000002</v>
      </c>
      <c r="H418" s="653" t="s">
        <v>563</v>
      </c>
      <c r="I418" s="658">
        <f t="shared" si="135"/>
        <v>48.23113</v>
      </c>
      <c r="J418" s="58">
        <f t="shared" si="136"/>
        <v>1314.9014050000001</v>
      </c>
      <c r="K418" s="659">
        <v>14</v>
      </c>
      <c r="L418" s="58">
        <v>0.85</v>
      </c>
      <c r="M418" s="458" t="s">
        <v>575</v>
      </c>
      <c r="N418" s="293" t="s">
        <v>452</v>
      </c>
      <c r="O418" s="297" t="s">
        <v>131</v>
      </c>
      <c r="P418" s="1">
        <f t="shared" si="127"/>
        <v>264.70115464743839</v>
      </c>
      <c r="Q418" s="1">
        <f t="shared" si="127"/>
        <v>137.56689972143229</v>
      </c>
      <c r="R418" s="660" t="s">
        <v>579</v>
      </c>
      <c r="S418" s="661" t="s">
        <v>580</v>
      </c>
      <c r="T418" s="653">
        <v>1</v>
      </c>
      <c r="U418" s="654" t="s">
        <v>126</v>
      </c>
      <c r="V418" s="655">
        <v>1418.25</v>
      </c>
      <c r="W418" s="656">
        <v>0.1065</v>
      </c>
      <c r="X418" s="657">
        <v>1267.206375</v>
      </c>
      <c r="Y418" s="653" t="s">
        <v>563</v>
      </c>
      <c r="Z418" s="658">
        <v>48.23113</v>
      </c>
      <c r="AA418" s="658">
        <v>1315.4375049999999</v>
      </c>
      <c r="AB418" s="659">
        <v>14</v>
      </c>
      <c r="AC418" s="658">
        <v>0.25</v>
      </c>
      <c r="AD418" s="458" t="s">
        <v>575</v>
      </c>
      <c r="AE418" s="293" t="s">
        <v>452</v>
      </c>
      <c r="AF418" s="297" t="s">
        <v>131</v>
      </c>
      <c r="AG418" s="1">
        <v>264.80907626685928</v>
      </c>
      <c r="AH418" s="1">
        <v>137.62298728408922</v>
      </c>
    </row>
    <row r="419" spans="1:34" s="92" customFormat="1">
      <c r="A419" s="660" t="s">
        <v>582</v>
      </c>
      <c r="B419" s="661" t="s">
        <v>583</v>
      </c>
      <c r="C419" s="653">
        <v>1</v>
      </c>
      <c r="D419" s="654" t="s">
        <v>126</v>
      </c>
      <c r="E419" s="57">
        <v>1817.65</v>
      </c>
      <c r="F419" s="656">
        <f t="shared" si="133"/>
        <v>0.1065</v>
      </c>
      <c r="G419" s="65">
        <f t="shared" si="134"/>
        <v>1624.070275</v>
      </c>
      <c r="H419" s="653" t="s">
        <v>563</v>
      </c>
      <c r="I419" s="658">
        <f t="shared" si="135"/>
        <v>48.23113</v>
      </c>
      <c r="J419" s="58">
        <f t="shared" si="136"/>
        <v>1672.3014049999999</v>
      </c>
      <c r="K419" s="659">
        <v>14</v>
      </c>
      <c r="L419" s="58">
        <v>0.85</v>
      </c>
      <c r="M419" s="458" t="s">
        <v>578</v>
      </c>
      <c r="N419" s="293" t="s">
        <v>452</v>
      </c>
      <c r="O419" s="297" t="s">
        <v>131</v>
      </c>
      <c r="P419" s="1">
        <f t="shared" si="127"/>
        <v>336.64890092807639</v>
      </c>
      <c r="Q419" s="1">
        <f t="shared" si="127"/>
        <v>174.95860815940441</v>
      </c>
      <c r="R419" s="660" t="s">
        <v>582</v>
      </c>
      <c r="S419" s="661" t="s">
        <v>583</v>
      </c>
      <c r="T419" s="653">
        <v>1</v>
      </c>
      <c r="U419" s="654" t="s">
        <v>126</v>
      </c>
      <c r="V419" s="655">
        <v>1818.25</v>
      </c>
      <c r="W419" s="656">
        <v>0.1065</v>
      </c>
      <c r="X419" s="657">
        <v>1624.6063750000001</v>
      </c>
      <c r="Y419" s="653" t="s">
        <v>563</v>
      </c>
      <c r="Z419" s="658">
        <v>48.23113</v>
      </c>
      <c r="AA419" s="658">
        <v>1672.837505</v>
      </c>
      <c r="AB419" s="659">
        <v>14</v>
      </c>
      <c r="AC419" s="658">
        <v>0.25</v>
      </c>
      <c r="AD419" s="458" t="s">
        <v>578</v>
      </c>
      <c r="AE419" s="293" t="s">
        <v>452</v>
      </c>
      <c r="AF419" s="297" t="s">
        <v>131</v>
      </c>
      <c r="AG419" s="1">
        <v>336.75682254749734</v>
      </c>
      <c r="AH419" s="1">
        <v>175.01469572206136</v>
      </c>
    </row>
    <row r="420" spans="1:34" s="92" customFormat="1">
      <c r="A420" s="660" t="s">
        <v>585</v>
      </c>
      <c r="B420" s="661" t="s">
        <v>586</v>
      </c>
      <c r="C420" s="653">
        <v>1</v>
      </c>
      <c r="D420" s="654" t="s">
        <v>126</v>
      </c>
      <c r="E420" s="57">
        <v>1925.98</v>
      </c>
      <c r="F420" s="656">
        <f t="shared" si="133"/>
        <v>0.1065</v>
      </c>
      <c r="G420" s="65">
        <f t="shared" ref="G420" si="139">E420-(E420*F420)</f>
        <v>1720.86313</v>
      </c>
      <c r="H420" s="653" t="s">
        <v>563</v>
      </c>
      <c r="I420" s="658">
        <f t="shared" si="135"/>
        <v>48.23113</v>
      </c>
      <c r="J420" s="58">
        <f t="shared" ref="J420" si="140">G420+I420</f>
        <v>1769.0942599999998</v>
      </c>
      <c r="K420" s="659">
        <v>14</v>
      </c>
      <c r="L420" s="58">
        <v>0.85</v>
      </c>
      <c r="M420" s="458" t="s">
        <v>581</v>
      </c>
      <c r="N420" s="293" t="s">
        <v>452</v>
      </c>
      <c r="O420" s="297" t="s">
        <v>131</v>
      </c>
      <c r="P420" s="1">
        <f t="shared" si="127"/>
        <v>356.13414931453013</v>
      </c>
      <c r="Q420" s="1">
        <f t="shared" si="127"/>
        <v>185.08521759711817</v>
      </c>
      <c r="R420" s="660" t="s">
        <v>585</v>
      </c>
      <c r="S420" s="661" t="s">
        <v>586</v>
      </c>
      <c r="T420" s="653">
        <v>1</v>
      </c>
      <c r="U420" s="654" t="s">
        <v>126</v>
      </c>
      <c r="V420" s="655">
        <v>1926.58</v>
      </c>
      <c r="W420" s="656">
        <v>0.1065</v>
      </c>
      <c r="X420" s="657">
        <v>1721.39923</v>
      </c>
      <c r="Y420" s="653" t="s">
        <v>563</v>
      </c>
      <c r="Z420" s="658">
        <v>48.23113</v>
      </c>
      <c r="AA420" s="658">
        <v>1769.6303599999999</v>
      </c>
      <c r="AB420" s="659">
        <v>14</v>
      </c>
      <c r="AC420" s="658">
        <v>0.25</v>
      </c>
      <c r="AD420" s="458" t="s">
        <v>581</v>
      </c>
      <c r="AE420" s="293" t="s">
        <v>452</v>
      </c>
      <c r="AF420" s="297" t="s">
        <v>131</v>
      </c>
      <c r="AG420" s="1">
        <v>356.24207093395114</v>
      </c>
      <c r="AH420" s="1">
        <v>185.14130515977516</v>
      </c>
    </row>
    <row r="421" spans="1:34" s="72" customFormat="1">
      <c r="A421" s="194" t="s">
        <v>563</v>
      </c>
      <c r="B421" s="95" t="s">
        <v>588</v>
      </c>
      <c r="C421" s="82">
        <v>1</v>
      </c>
      <c r="D421" s="96" t="s">
        <v>134</v>
      </c>
      <c r="E421" s="231">
        <v>53.98</v>
      </c>
      <c r="F421" s="98">
        <f t="shared" si="133"/>
        <v>0.1065</v>
      </c>
      <c r="G421" s="63">
        <f t="shared" si="134"/>
        <v>48.23113</v>
      </c>
      <c r="H421" s="63"/>
      <c r="I421" s="233"/>
      <c r="J421" s="233"/>
      <c r="K421" s="203"/>
      <c r="L421" s="58"/>
      <c r="M421" s="458" t="s">
        <v>135</v>
      </c>
      <c r="N421" s="293" t="s">
        <v>421</v>
      </c>
      <c r="O421" s="297" t="s">
        <v>137</v>
      </c>
      <c r="P421" s="1" t="str">
        <f t="shared" si="127"/>
        <v/>
      </c>
      <c r="Q421" s="1" t="str">
        <f t="shared" si="127"/>
        <v/>
      </c>
      <c r="R421" s="194" t="s">
        <v>563</v>
      </c>
      <c r="S421" s="95" t="s">
        <v>588</v>
      </c>
      <c r="T421" s="82">
        <v>1</v>
      </c>
      <c r="U421" s="96" t="s">
        <v>134</v>
      </c>
      <c r="V421" s="231">
        <v>53.98</v>
      </c>
      <c r="W421" s="98">
        <v>0.1065</v>
      </c>
      <c r="X421" s="63">
        <v>48.23113</v>
      </c>
      <c r="Y421" s="63"/>
      <c r="Z421" s="233"/>
      <c r="AA421" s="233"/>
      <c r="AB421" s="203"/>
      <c r="AC421" s="233"/>
      <c r="AD421" s="458" t="s">
        <v>135</v>
      </c>
      <c r="AE421" s="293" t="s">
        <v>421</v>
      </c>
      <c r="AF421" s="297" t="s">
        <v>137</v>
      </c>
      <c r="AG421" s="1" t="s">
        <v>2350</v>
      </c>
      <c r="AH421" s="1" t="s">
        <v>2350</v>
      </c>
    </row>
    <row r="422" spans="1:34">
      <c r="A422" s="199" t="s">
        <v>589</v>
      </c>
      <c r="B422" s="197" t="s">
        <v>590</v>
      </c>
      <c r="C422" s="198">
        <v>1</v>
      </c>
      <c r="D422" s="226" t="s">
        <v>134</v>
      </c>
      <c r="E422" s="186"/>
      <c r="F422" s="188"/>
      <c r="G422" s="79">
        <v>9</v>
      </c>
      <c r="H422" s="79"/>
      <c r="I422" s="233"/>
      <c r="J422" s="233"/>
      <c r="K422" s="203"/>
      <c r="L422" s="58"/>
      <c r="M422" s="458" t="s">
        <v>135</v>
      </c>
      <c r="N422" s="293" t="s">
        <v>421</v>
      </c>
      <c r="O422" s="297" t="s">
        <v>137</v>
      </c>
      <c r="P422" s="1" t="str">
        <f t="shared" si="127"/>
        <v/>
      </c>
      <c r="Q422" s="1" t="str">
        <f t="shared" si="127"/>
        <v/>
      </c>
      <c r="R422" s="199" t="s">
        <v>589</v>
      </c>
      <c r="S422" s="197" t="s">
        <v>590</v>
      </c>
      <c r="T422" s="198">
        <v>1</v>
      </c>
      <c r="U422" s="226" t="s">
        <v>134</v>
      </c>
      <c r="V422" s="186"/>
      <c r="W422" s="188"/>
      <c r="X422" s="79">
        <v>9</v>
      </c>
      <c r="Y422" s="79"/>
      <c r="Z422" s="233"/>
      <c r="AA422" s="233"/>
      <c r="AB422" s="203"/>
      <c r="AC422" s="233"/>
      <c r="AD422" s="458" t="s">
        <v>135</v>
      </c>
      <c r="AE422" s="293" t="s">
        <v>421</v>
      </c>
      <c r="AF422" s="297" t="s">
        <v>137</v>
      </c>
      <c r="AG422" s="1" t="s">
        <v>2350</v>
      </c>
      <c r="AH422" s="1" t="s">
        <v>2350</v>
      </c>
    </row>
    <row r="423" spans="1:34">
      <c r="A423" s="199" t="s">
        <v>591</v>
      </c>
      <c r="B423" s="197" t="s">
        <v>592</v>
      </c>
      <c r="C423" s="198">
        <v>1</v>
      </c>
      <c r="D423" s="226" t="s">
        <v>134</v>
      </c>
      <c r="E423" s="186"/>
      <c r="F423" s="188"/>
      <c r="G423" s="79">
        <v>10</v>
      </c>
      <c r="H423" s="79"/>
      <c r="I423" s="233"/>
      <c r="J423" s="233"/>
      <c r="K423" s="203"/>
      <c r="L423" s="233"/>
      <c r="M423" s="458" t="s">
        <v>135</v>
      </c>
      <c r="N423" s="293" t="s">
        <v>421</v>
      </c>
      <c r="O423" s="297" t="s">
        <v>137</v>
      </c>
      <c r="P423" s="1" t="str">
        <f t="shared" si="127"/>
        <v/>
      </c>
      <c r="Q423" s="1" t="str">
        <f t="shared" si="127"/>
        <v/>
      </c>
      <c r="R423" s="199" t="s">
        <v>591</v>
      </c>
      <c r="S423" s="197" t="s">
        <v>592</v>
      </c>
      <c r="T423" s="198">
        <v>1</v>
      </c>
      <c r="U423" s="226" t="s">
        <v>134</v>
      </c>
      <c r="V423" s="186"/>
      <c r="W423" s="188"/>
      <c r="X423" s="79">
        <v>10</v>
      </c>
      <c r="Y423" s="79"/>
      <c r="Z423" s="233"/>
      <c r="AA423" s="233"/>
      <c r="AB423" s="203"/>
      <c r="AC423" s="233"/>
      <c r="AD423" s="458" t="s">
        <v>135</v>
      </c>
      <c r="AE423" s="293" t="s">
        <v>421</v>
      </c>
      <c r="AF423" s="297" t="s">
        <v>137</v>
      </c>
      <c r="AG423" s="1" t="s">
        <v>2350</v>
      </c>
      <c r="AH423" s="1" t="s">
        <v>2350</v>
      </c>
    </row>
    <row r="424" spans="1:34">
      <c r="A424" s="199" t="s">
        <v>593</v>
      </c>
      <c r="B424" s="197" t="s">
        <v>594</v>
      </c>
      <c r="C424" s="198">
        <v>1</v>
      </c>
      <c r="D424" s="226" t="s">
        <v>134</v>
      </c>
      <c r="E424" s="186"/>
      <c r="F424" s="188"/>
      <c r="G424" s="79">
        <v>14</v>
      </c>
      <c r="H424" s="79"/>
      <c r="I424" s="233"/>
      <c r="J424" s="233"/>
      <c r="K424" s="203"/>
      <c r="L424" s="233"/>
      <c r="M424" s="458" t="s">
        <v>135</v>
      </c>
      <c r="N424" s="293" t="s">
        <v>421</v>
      </c>
      <c r="O424" s="297" t="s">
        <v>137</v>
      </c>
      <c r="P424" s="1" t="str">
        <f t="shared" si="127"/>
        <v/>
      </c>
      <c r="Q424" s="1" t="str">
        <f t="shared" si="127"/>
        <v/>
      </c>
      <c r="R424" s="199" t="s">
        <v>593</v>
      </c>
      <c r="S424" s="197" t="s">
        <v>594</v>
      </c>
      <c r="T424" s="198">
        <v>1</v>
      </c>
      <c r="U424" s="226" t="s">
        <v>134</v>
      </c>
      <c r="V424" s="186"/>
      <c r="W424" s="188"/>
      <c r="X424" s="79">
        <v>14</v>
      </c>
      <c r="Y424" s="79"/>
      <c r="Z424" s="233"/>
      <c r="AA424" s="233"/>
      <c r="AB424" s="203"/>
      <c r="AC424" s="233"/>
      <c r="AD424" s="458" t="s">
        <v>135</v>
      </c>
      <c r="AE424" s="293" t="s">
        <v>421</v>
      </c>
      <c r="AF424" s="297" t="s">
        <v>137</v>
      </c>
      <c r="AG424" s="1" t="s">
        <v>2350</v>
      </c>
      <c r="AH424" s="1" t="s">
        <v>2350</v>
      </c>
    </row>
    <row r="425" spans="1:34">
      <c r="A425" s="199" t="s">
        <v>595</v>
      </c>
      <c r="B425" s="197" t="s">
        <v>596</v>
      </c>
      <c r="C425" s="198">
        <v>1</v>
      </c>
      <c r="D425" s="226" t="s">
        <v>134</v>
      </c>
      <c r="E425" s="186"/>
      <c r="F425" s="188"/>
      <c r="G425" s="79">
        <v>94.63</v>
      </c>
      <c r="H425" s="79"/>
      <c r="I425" s="233"/>
      <c r="J425" s="233"/>
      <c r="K425" s="203"/>
      <c r="L425" s="233"/>
      <c r="M425" s="458" t="s">
        <v>135</v>
      </c>
      <c r="N425" s="293" t="s">
        <v>421</v>
      </c>
      <c r="O425" s="297" t="s">
        <v>137</v>
      </c>
      <c r="P425" s="1" t="str">
        <f t="shared" si="127"/>
        <v/>
      </c>
      <c r="Q425" s="1" t="str">
        <f t="shared" si="127"/>
        <v/>
      </c>
      <c r="R425" s="199" t="s">
        <v>595</v>
      </c>
      <c r="S425" s="197" t="s">
        <v>596</v>
      </c>
      <c r="T425" s="198">
        <v>1</v>
      </c>
      <c r="U425" s="226" t="s">
        <v>134</v>
      </c>
      <c r="V425" s="186"/>
      <c r="W425" s="188"/>
      <c r="X425" s="79">
        <v>94.63</v>
      </c>
      <c r="Y425" s="79"/>
      <c r="Z425" s="233"/>
      <c r="AA425" s="233"/>
      <c r="AB425" s="203"/>
      <c r="AC425" s="233"/>
      <c r="AD425" s="458" t="s">
        <v>135</v>
      </c>
      <c r="AE425" s="293" t="s">
        <v>421</v>
      </c>
      <c r="AF425" s="297" t="s">
        <v>137</v>
      </c>
      <c r="AG425" s="1" t="s">
        <v>2350</v>
      </c>
      <c r="AH425" s="1" t="s">
        <v>2350</v>
      </c>
    </row>
    <row r="426" spans="1:34" s="270" customFormat="1" ht="25" customHeight="1">
      <c r="A426" s="347" t="s">
        <v>597</v>
      </c>
      <c r="B426" s="395" t="s">
        <v>562</v>
      </c>
      <c r="C426" s="334"/>
      <c r="D426" s="335"/>
      <c r="E426" s="335"/>
      <c r="F426" s="336"/>
      <c r="G426" s="337"/>
      <c r="H426" s="337"/>
      <c r="I426" s="338"/>
      <c r="J426" s="338"/>
      <c r="K426" s="337"/>
      <c r="L426" s="338"/>
      <c r="M426" s="456"/>
      <c r="N426" s="339"/>
      <c r="O426" s="338"/>
      <c r="P426" s="338"/>
      <c r="Q426" s="338"/>
      <c r="R426" s="347" t="s">
        <v>597</v>
      </c>
      <c r="S426" s="395" t="s">
        <v>562</v>
      </c>
      <c r="T426" s="334"/>
      <c r="U426" s="335"/>
      <c r="V426" s="335"/>
      <c r="W426" s="336"/>
      <c r="X426" s="337"/>
      <c r="Y426" s="337"/>
      <c r="Z426" s="338"/>
      <c r="AA426" s="338"/>
      <c r="AB426" s="337"/>
      <c r="AC426" s="338"/>
      <c r="AD426" s="456"/>
      <c r="AE426" s="339"/>
      <c r="AF426" s="338"/>
      <c r="AG426" s="338"/>
      <c r="AH426" s="338"/>
    </row>
    <row r="427" spans="1:34" s="92" customFormat="1">
      <c r="A427" s="660" t="s">
        <v>599</v>
      </c>
      <c r="B427" s="692" t="s">
        <v>2355</v>
      </c>
      <c r="C427" s="653">
        <v>1</v>
      </c>
      <c r="D427" s="654" t="s">
        <v>126</v>
      </c>
      <c r="E427" s="57">
        <v>1292.6500000000001</v>
      </c>
      <c r="F427" s="656">
        <f t="shared" ref="F427:F435" si="141">rv_ipp12</f>
        <v>0.1065</v>
      </c>
      <c r="G427" s="65">
        <f t="shared" ref="G427:G435" si="142">E427-(E427*F427)</f>
        <v>1154.9827750000002</v>
      </c>
      <c r="H427" s="653" t="s">
        <v>598</v>
      </c>
      <c r="I427" s="658">
        <f t="shared" ref="I427:I434" si="143">pv_garantie_ipad_pro13</f>
        <v>51.805129999999998</v>
      </c>
      <c r="J427" s="58">
        <f t="shared" ref="J427:J433" si="144">G427+I427</f>
        <v>1206.7879050000001</v>
      </c>
      <c r="K427" s="659">
        <v>14</v>
      </c>
      <c r="L427" s="58">
        <v>0.85</v>
      </c>
      <c r="M427" s="458" t="s">
        <v>584</v>
      </c>
      <c r="N427" s="293" t="s">
        <v>452</v>
      </c>
      <c r="O427" s="297" t="s">
        <v>131</v>
      </c>
      <c r="P427" s="1">
        <f t="shared" si="127"/>
        <v>242.93696139754539</v>
      </c>
      <c r="Q427" s="1">
        <f t="shared" si="127"/>
        <v>126.25590791894572</v>
      </c>
      <c r="R427" s="660" t="s">
        <v>599</v>
      </c>
      <c r="S427" s="692" t="s">
        <v>2355</v>
      </c>
      <c r="T427" s="653">
        <v>1</v>
      </c>
      <c r="U427" s="654" t="s">
        <v>126</v>
      </c>
      <c r="V427" s="655">
        <v>1293.25</v>
      </c>
      <c r="W427" s="656">
        <v>0.1065</v>
      </c>
      <c r="X427" s="657">
        <v>1155.518875</v>
      </c>
      <c r="Y427" s="653" t="s">
        <v>598</v>
      </c>
      <c r="Z427" s="658">
        <v>51.805129999999998</v>
      </c>
      <c r="AA427" s="658">
        <v>1207.3240049999999</v>
      </c>
      <c r="AB427" s="659">
        <v>14</v>
      </c>
      <c r="AC427" s="658">
        <v>0.25</v>
      </c>
      <c r="AD427" s="458" t="s">
        <v>584</v>
      </c>
      <c r="AE427" s="293" t="s">
        <v>452</v>
      </c>
      <c r="AF427" s="297" t="s">
        <v>131</v>
      </c>
      <c r="AG427" s="1">
        <v>243.04488301696631</v>
      </c>
      <c r="AH427" s="1">
        <v>126.31199548160266</v>
      </c>
    </row>
    <row r="428" spans="1:34" s="92" customFormat="1">
      <c r="A428" s="660" t="s">
        <v>601</v>
      </c>
      <c r="B428" s="692" t="s">
        <v>2356</v>
      </c>
      <c r="C428" s="653">
        <v>1</v>
      </c>
      <c r="D428" s="654" t="s">
        <v>126</v>
      </c>
      <c r="E428" s="57">
        <v>1500.98</v>
      </c>
      <c r="F428" s="656">
        <f t="shared" si="141"/>
        <v>0.1065</v>
      </c>
      <c r="G428" s="65">
        <f t="shared" si="142"/>
        <v>1341.12563</v>
      </c>
      <c r="H428" s="653" t="s">
        <v>598</v>
      </c>
      <c r="I428" s="658">
        <f t="shared" si="143"/>
        <v>51.805129999999998</v>
      </c>
      <c r="J428" s="58">
        <f t="shared" si="144"/>
        <v>1392.93076</v>
      </c>
      <c r="K428" s="659">
        <v>14</v>
      </c>
      <c r="L428" s="58">
        <v>0.85</v>
      </c>
      <c r="M428" s="458" t="s">
        <v>587</v>
      </c>
      <c r="N428" s="293" t="s">
        <v>452</v>
      </c>
      <c r="O428" s="297" t="s">
        <v>131</v>
      </c>
      <c r="P428" s="1">
        <f t="shared" si="127"/>
        <v>280.40914635415868</v>
      </c>
      <c r="Q428" s="1">
        <f t="shared" si="127"/>
        <v>145.73044446615253</v>
      </c>
      <c r="R428" s="660" t="s">
        <v>601</v>
      </c>
      <c r="S428" s="692" t="s">
        <v>2356</v>
      </c>
      <c r="T428" s="653">
        <v>1</v>
      </c>
      <c r="U428" s="654" t="s">
        <v>126</v>
      </c>
      <c r="V428" s="655">
        <v>1501.58</v>
      </c>
      <c r="W428" s="656">
        <v>0.1065</v>
      </c>
      <c r="X428" s="657">
        <v>1341.66173</v>
      </c>
      <c r="Y428" s="653" t="s">
        <v>598</v>
      </c>
      <c r="Z428" s="658">
        <v>51.805129999999998</v>
      </c>
      <c r="AA428" s="658">
        <v>1393.46686</v>
      </c>
      <c r="AB428" s="659">
        <v>14</v>
      </c>
      <c r="AC428" s="658">
        <v>0.25</v>
      </c>
      <c r="AD428" s="458" t="s">
        <v>587</v>
      </c>
      <c r="AE428" s="293" t="s">
        <v>452</v>
      </c>
      <c r="AF428" s="297" t="s">
        <v>131</v>
      </c>
      <c r="AG428" s="1">
        <v>280.51706797357963</v>
      </c>
      <c r="AH428" s="1">
        <v>145.78653202880949</v>
      </c>
    </row>
    <row r="429" spans="1:34" s="92" customFormat="1">
      <c r="A429" s="660" t="s">
        <v>603</v>
      </c>
      <c r="B429" s="692" t="s">
        <v>2357</v>
      </c>
      <c r="C429" s="653">
        <v>1</v>
      </c>
      <c r="D429" s="654" t="s">
        <v>126</v>
      </c>
      <c r="E429" s="57">
        <v>1900.98</v>
      </c>
      <c r="F429" s="656">
        <f t="shared" si="141"/>
        <v>0.1065</v>
      </c>
      <c r="G429" s="65">
        <f t="shared" si="142"/>
        <v>1698.5256300000001</v>
      </c>
      <c r="H429" s="653" t="s">
        <v>598</v>
      </c>
      <c r="I429" s="658">
        <f t="shared" si="143"/>
        <v>51.805129999999998</v>
      </c>
      <c r="J429" s="58">
        <f t="shared" si="144"/>
        <v>1750.3307600000001</v>
      </c>
      <c r="K429" s="659">
        <v>14</v>
      </c>
      <c r="L429" s="58">
        <v>0.85</v>
      </c>
      <c r="M429" s="458" t="s">
        <v>600</v>
      </c>
      <c r="N429" s="293" t="s">
        <v>452</v>
      </c>
      <c r="O429" s="297" t="s">
        <v>131</v>
      </c>
      <c r="P429" s="1">
        <f t="shared" si="127"/>
        <v>352.35689263479668</v>
      </c>
      <c r="Q429" s="1">
        <f t="shared" si="127"/>
        <v>183.12215290412468</v>
      </c>
      <c r="R429" s="660" t="s">
        <v>603</v>
      </c>
      <c r="S429" s="692" t="s">
        <v>2357</v>
      </c>
      <c r="T429" s="653">
        <v>1</v>
      </c>
      <c r="U429" s="654" t="s">
        <v>126</v>
      </c>
      <c r="V429" s="655">
        <v>1901.58</v>
      </c>
      <c r="W429" s="656">
        <v>0.1065</v>
      </c>
      <c r="X429" s="657">
        <v>1699.0617299999999</v>
      </c>
      <c r="Y429" s="653" t="s">
        <v>598</v>
      </c>
      <c r="Z429" s="658">
        <v>51.805129999999998</v>
      </c>
      <c r="AA429" s="658">
        <v>1750.8668599999999</v>
      </c>
      <c r="AB429" s="659">
        <v>14</v>
      </c>
      <c r="AC429" s="658">
        <v>0.25</v>
      </c>
      <c r="AD429" s="458" t="s">
        <v>600</v>
      </c>
      <c r="AE429" s="293" t="s">
        <v>452</v>
      </c>
      <c r="AF429" s="297" t="s">
        <v>131</v>
      </c>
      <c r="AG429" s="1">
        <v>352.46481425421763</v>
      </c>
      <c r="AH429" s="1">
        <v>183.1782404667816</v>
      </c>
    </row>
    <row r="430" spans="1:34" s="92" customFormat="1">
      <c r="A430" s="660" t="s">
        <v>605</v>
      </c>
      <c r="B430" s="692" t="s">
        <v>2358</v>
      </c>
      <c r="C430" s="653">
        <v>1</v>
      </c>
      <c r="D430" s="654" t="s">
        <v>126</v>
      </c>
      <c r="E430" s="57">
        <v>2009.32</v>
      </c>
      <c r="F430" s="656">
        <f t="shared" si="141"/>
        <v>0.1065</v>
      </c>
      <c r="G430" s="65">
        <f t="shared" ref="G430" si="145">E430-(E430*F430)</f>
        <v>1795.3274200000001</v>
      </c>
      <c r="H430" s="653" t="s">
        <v>598</v>
      </c>
      <c r="I430" s="658">
        <f t="shared" si="143"/>
        <v>51.805129999999998</v>
      </c>
      <c r="J430" s="58">
        <f t="shared" ref="J430" si="146">G430+I430</f>
        <v>1847.13255</v>
      </c>
      <c r="K430" s="659">
        <v>14</v>
      </c>
      <c r="L430" s="58">
        <v>0.85</v>
      </c>
      <c r="M430" s="458" t="s">
        <v>602</v>
      </c>
      <c r="N430" s="293" t="s">
        <v>452</v>
      </c>
      <c r="O430" s="297" t="s">
        <v>131</v>
      </c>
      <c r="P430" s="1">
        <f t="shared" si="127"/>
        <v>371.84393971490749</v>
      </c>
      <c r="Q430" s="1">
        <f t="shared" si="127"/>
        <v>193.24969713454942</v>
      </c>
      <c r="R430" s="660" t="s">
        <v>605</v>
      </c>
      <c r="S430" s="692" t="s">
        <v>2358</v>
      </c>
      <c r="T430" s="653">
        <v>1</v>
      </c>
      <c r="U430" s="654" t="s">
        <v>126</v>
      </c>
      <c r="V430" s="655">
        <v>2009.92</v>
      </c>
      <c r="W430" s="656">
        <v>0.1065</v>
      </c>
      <c r="X430" s="657">
        <v>1795.8635200000001</v>
      </c>
      <c r="Y430" s="653" t="s">
        <v>598</v>
      </c>
      <c r="Z430" s="658">
        <v>51.805129999999998</v>
      </c>
      <c r="AA430" s="658">
        <v>1847.6686500000001</v>
      </c>
      <c r="AB430" s="659">
        <v>14</v>
      </c>
      <c r="AC430" s="658">
        <v>0.25</v>
      </c>
      <c r="AD430" s="458" t="s">
        <v>602</v>
      </c>
      <c r="AE430" s="293" t="s">
        <v>452</v>
      </c>
      <c r="AF430" s="297" t="s">
        <v>131</v>
      </c>
      <c r="AG430" s="1">
        <v>371.9518613343285</v>
      </c>
      <c r="AH430" s="1">
        <v>193.30578469720638</v>
      </c>
    </row>
    <row r="431" spans="1:34" s="92" customFormat="1">
      <c r="A431" s="660" t="s">
        <v>606</v>
      </c>
      <c r="B431" s="692" t="s">
        <v>2359</v>
      </c>
      <c r="C431" s="653">
        <v>1</v>
      </c>
      <c r="D431" s="654" t="s">
        <v>126</v>
      </c>
      <c r="E431" s="57">
        <v>1500.98</v>
      </c>
      <c r="F431" s="656">
        <f t="shared" si="141"/>
        <v>0.1065</v>
      </c>
      <c r="G431" s="65">
        <f t="shared" si="142"/>
        <v>1341.12563</v>
      </c>
      <c r="H431" s="653" t="s">
        <v>598</v>
      </c>
      <c r="I431" s="658">
        <f t="shared" si="143"/>
        <v>51.805129999999998</v>
      </c>
      <c r="J431" s="58">
        <f t="shared" si="144"/>
        <v>1392.93076</v>
      </c>
      <c r="K431" s="659">
        <v>14</v>
      </c>
      <c r="L431" s="58">
        <v>0.85</v>
      </c>
      <c r="M431" s="458" t="s">
        <v>604</v>
      </c>
      <c r="N431" s="295" t="s">
        <v>607</v>
      </c>
      <c r="O431" s="297" t="s">
        <v>131</v>
      </c>
      <c r="P431" s="1">
        <f t="shared" si="127"/>
        <v>280.40914635415868</v>
      </c>
      <c r="Q431" s="1">
        <f t="shared" si="127"/>
        <v>145.73044446615253</v>
      </c>
      <c r="R431" s="660" t="s">
        <v>606</v>
      </c>
      <c r="S431" s="692" t="s">
        <v>2359</v>
      </c>
      <c r="T431" s="653">
        <v>1</v>
      </c>
      <c r="U431" s="654" t="s">
        <v>126</v>
      </c>
      <c r="V431" s="655">
        <v>1501.58</v>
      </c>
      <c r="W431" s="656">
        <v>0.1065</v>
      </c>
      <c r="X431" s="657">
        <v>1341.66173</v>
      </c>
      <c r="Y431" s="653" t="s">
        <v>598</v>
      </c>
      <c r="Z431" s="658">
        <v>51.805129999999998</v>
      </c>
      <c r="AA431" s="658">
        <v>1393.46686</v>
      </c>
      <c r="AB431" s="659">
        <v>14</v>
      </c>
      <c r="AC431" s="658">
        <v>0.25</v>
      </c>
      <c r="AD431" s="458" t="s">
        <v>604</v>
      </c>
      <c r="AE431" s="295" t="s">
        <v>607</v>
      </c>
      <c r="AF431" s="297" t="s">
        <v>131</v>
      </c>
      <c r="AG431" s="1">
        <v>280.51706797357963</v>
      </c>
      <c r="AH431" s="1">
        <v>145.78653202880949</v>
      </c>
    </row>
    <row r="432" spans="1:34" s="92" customFormat="1">
      <c r="A432" s="660" t="s">
        <v>608</v>
      </c>
      <c r="B432" s="692" t="s">
        <v>2360</v>
      </c>
      <c r="C432" s="653">
        <v>1</v>
      </c>
      <c r="D432" s="654" t="s">
        <v>126</v>
      </c>
      <c r="E432" s="57">
        <v>1709.32</v>
      </c>
      <c r="F432" s="656">
        <f t="shared" si="141"/>
        <v>0.1065</v>
      </c>
      <c r="G432" s="65">
        <f t="shared" si="142"/>
        <v>1527.2774199999999</v>
      </c>
      <c r="H432" s="653" t="s">
        <v>598</v>
      </c>
      <c r="I432" s="658">
        <f t="shared" si="143"/>
        <v>51.805129999999998</v>
      </c>
      <c r="J432" s="58">
        <f t="shared" si="144"/>
        <v>1579.0825499999999</v>
      </c>
      <c r="K432" s="659">
        <v>14</v>
      </c>
      <c r="L432" s="58">
        <v>0.85</v>
      </c>
      <c r="M432" s="458" t="s">
        <v>2347</v>
      </c>
      <c r="N432" s="295" t="s">
        <v>607</v>
      </c>
      <c r="O432" s="297" t="s">
        <v>131</v>
      </c>
      <c r="P432" s="1">
        <f t="shared" si="127"/>
        <v>317.88313000442895</v>
      </c>
      <c r="Q432" s="1">
        <f t="shared" si="127"/>
        <v>165.20591580607032</v>
      </c>
      <c r="R432" s="660" t="s">
        <v>608</v>
      </c>
      <c r="S432" s="692" t="s">
        <v>2360</v>
      </c>
      <c r="T432" s="653">
        <v>1</v>
      </c>
      <c r="U432" s="654" t="s">
        <v>126</v>
      </c>
      <c r="V432" s="655">
        <v>1709.92</v>
      </c>
      <c r="W432" s="656">
        <v>0.1065</v>
      </c>
      <c r="X432" s="657">
        <v>1527.8135200000002</v>
      </c>
      <c r="Y432" s="653" t="s">
        <v>598</v>
      </c>
      <c r="Z432" s="658">
        <v>51.805129999999998</v>
      </c>
      <c r="AA432" s="658">
        <v>1579.6186500000001</v>
      </c>
      <c r="AB432" s="659">
        <v>14</v>
      </c>
      <c r="AC432" s="658">
        <v>0.25</v>
      </c>
      <c r="AD432" s="458" t="s">
        <v>2347</v>
      </c>
      <c r="AE432" s="295" t="s">
        <v>607</v>
      </c>
      <c r="AF432" s="297" t="s">
        <v>131</v>
      </c>
      <c r="AG432" s="1">
        <v>317.99105162384996</v>
      </c>
      <c r="AH432" s="1">
        <v>165.26200336872731</v>
      </c>
    </row>
    <row r="433" spans="1:34" s="92" customFormat="1">
      <c r="A433" s="660" t="s">
        <v>609</v>
      </c>
      <c r="B433" s="692" t="s">
        <v>2361</v>
      </c>
      <c r="C433" s="653">
        <v>1</v>
      </c>
      <c r="D433" s="654" t="s">
        <v>126</v>
      </c>
      <c r="E433" s="57">
        <v>2109.3200000000002</v>
      </c>
      <c r="F433" s="656">
        <f t="shared" si="141"/>
        <v>0.1065</v>
      </c>
      <c r="G433" s="65">
        <f t="shared" si="142"/>
        <v>1884.6774200000002</v>
      </c>
      <c r="H433" s="653" t="s">
        <v>598</v>
      </c>
      <c r="I433" s="658">
        <f t="shared" si="143"/>
        <v>51.805129999999998</v>
      </c>
      <c r="J433" s="58">
        <f t="shared" si="144"/>
        <v>1936.4825500000002</v>
      </c>
      <c r="K433" s="659">
        <v>14</v>
      </c>
      <c r="L433" s="58">
        <v>0.85</v>
      </c>
      <c r="M433" s="458" t="s">
        <v>2486</v>
      </c>
      <c r="N433" s="293" t="s">
        <v>607</v>
      </c>
      <c r="O433" s="297" t="s">
        <v>131</v>
      </c>
      <c r="P433" s="1">
        <f t="shared" si="127"/>
        <v>389.83087628506706</v>
      </c>
      <c r="Q433" s="1">
        <f t="shared" si="127"/>
        <v>202.59762424404246</v>
      </c>
      <c r="R433" s="660" t="s">
        <v>609</v>
      </c>
      <c r="S433" s="692" t="s">
        <v>2361</v>
      </c>
      <c r="T433" s="653">
        <v>1</v>
      </c>
      <c r="U433" s="654" t="s">
        <v>126</v>
      </c>
      <c r="V433" s="655">
        <v>2109.92</v>
      </c>
      <c r="W433" s="656">
        <v>0.1065</v>
      </c>
      <c r="X433" s="657">
        <v>1885.21352</v>
      </c>
      <c r="Y433" s="653" t="s">
        <v>598</v>
      </c>
      <c r="Z433" s="658">
        <v>51.805129999999998</v>
      </c>
      <c r="AA433" s="658">
        <v>1937.01865</v>
      </c>
      <c r="AB433" s="659">
        <v>14</v>
      </c>
      <c r="AC433" s="658">
        <v>0.25</v>
      </c>
      <c r="AD433" s="458" t="s">
        <v>2486</v>
      </c>
      <c r="AE433" s="293" t="s">
        <v>607</v>
      </c>
      <c r="AF433" s="297" t="s">
        <v>131</v>
      </c>
      <c r="AG433" s="1">
        <v>389.93879790448796</v>
      </c>
      <c r="AH433" s="1">
        <v>202.65371180669939</v>
      </c>
    </row>
    <row r="434" spans="1:34" s="92" customFormat="1">
      <c r="A434" s="660" t="s">
        <v>610</v>
      </c>
      <c r="B434" s="692" t="s">
        <v>2362</v>
      </c>
      <c r="C434" s="653">
        <v>1</v>
      </c>
      <c r="D434" s="654" t="s">
        <v>126</v>
      </c>
      <c r="E434" s="57">
        <v>2217.65</v>
      </c>
      <c r="F434" s="656">
        <f t="shared" si="141"/>
        <v>0.1065</v>
      </c>
      <c r="G434" s="65">
        <f t="shared" ref="G434" si="147">E434-(E434*F434)</f>
        <v>1981.4702750000001</v>
      </c>
      <c r="H434" s="653" t="s">
        <v>598</v>
      </c>
      <c r="I434" s="658">
        <f t="shared" si="143"/>
        <v>51.805129999999998</v>
      </c>
      <c r="J434" s="58">
        <f t="shared" ref="J434" si="148">G434+I434</f>
        <v>2033.2754050000001</v>
      </c>
      <c r="K434" s="659">
        <v>14</v>
      </c>
      <c r="L434" s="58">
        <v>0.85</v>
      </c>
      <c r="M434" s="458" t="s">
        <v>2487</v>
      </c>
      <c r="N434" s="293" t="s">
        <v>607</v>
      </c>
      <c r="O434" s="297" t="s">
        <v>131</v>
      </c>
      <c r="P434" s="1">
        <f t="shared" si="127"/>
        <v>409.31612467152081</v>
      </c>
      <c r="Q434" s="1">
        <f t="shared" si="127"/>
        <v>212.72423368175626</v>
      </c>
      <c r="R434" s="660" t="s">
        <v>610</v>
      </c>
      <c r="S434" s="692" t="s">
        <v>2362</v>
      </c>
      <c r="T434" s="653">
        <v>1</v>
      </c>
      <c r="U434" s="654" t="s">
        <v>126</v>
      </c>
      <c r="V434" s="655">
        <v>2218.25</v>
      </c>
      <c r="W434" s="656">
        <v>0.1065</v>
      </c>
      <c r="X434" s="657">
        <v>1982.0063749999999</v>
      </c>
      <c r="Y434" s="653" t="s">
        <v>598</v>
      </c>
      <c r="Z434" s="658">
        <v>51.805129999999998</v>
      </c>
      <c r="AA434" s="658">
        <v>2033.8115049999999</v>
      </c>
      <c r="AB434" s="659">
        <v>14</v>
      </c>
      <c r="AC434" s="658">
        <v>0.25</v>
      </c>
      <c r="AD434" s="458" t="s">
        <v>2487</v>
      </c>
      <c r="AE434" s="293" t="s">
        <v>607</v>
      </c>
      <c r="AF434" s="297" t="s">
        <v>131</v>
      </c>
      <c r="AG434" s="1">
        <v>409.42404629094176</v>
      </c>
      <c r="AH434" s="1">
        <v>212.78032124441319</v>
      </c>
    </row>
    <row r="435" spans="1:34" s="72" customFormat="1">
      <c r="A435" s="662" t="s">
        <v>611</v>
      </c>
      <c r="B435" s="95" t="s">
        <v>612</v>
      </c>
      <c r="C435" s="82">
        <v>1</v>
      </c>
      <c r="D435" s="96" t="s">
        <v>134</v>
      </c>
      <c r="E435" s="231">
        <v>57.98</v>
      </c>
      <c r="F435" s="98">
        <f t="shared" si="141"/>
        <v>0.1065</v>
      </c>
      <c r="G435" s="63">
        <f t="shared" si="142"/>
        <v>51.805129999999998</v>
      </c>
      <c r="H435" s="63"/>
      <c r="I435" s="233"/>
      <c r="J435" s="233"/>
      <c r="K435" s="203"/>
      <c r="L435" s="233"/>
      <c r="M435" s="458" t="s">
        <v>135</v>
      </c>
      <c r="N435" s="293" t="s">
        <v>421</v>
      </c>
      <c r="O435" s="297" t="s">
        <v>137</v>
      </c>
      <c r="P435" s="1" t="str">
        <f t="shared" ref="P435:Q439" si="149">+IF($AA435&lt;&gt;"",P$2*$AA435,"")</f>
        <v/>
      </c>
      <c r="Q435" s="1" t="str">
        <f t="shared" si="149"/>
        <v/>
      </c>
      <c r="R435" s="662" t="s">
        <v>611</v>
      </c>
      <c r="S435" s="95" t="s">
        <v>612</v>
      </c>
      <c r="T435" s="82">
        <v>1</v>
      </c>
      <c r="U435" s="96" t="s">
        <v>134</v>
      </c>
      <c r="V435" s="231">
        <v>57.98</v>
      </c>
      <c r="W435" s="98">
        <v>0.1065</v>
      </c>
      <c r="X435" s="63">
        <v>51.805129999999998</v>
      </c>
      <c r="Y435" s="63"/>
      <c r="Z435" s="233"/>
      <c r="AA435" s="233"/>
      <c r="AB435" s="203"/>
      <c r="AC435" s="233"/>
      <c r="AD435" s="458" t="s">
        <v>135</v>
      </c>
      <c r="AE435" s="293" t="s">
        <v>421</v>
      </c>
      <c r="AF435" s="297" t="s">
        <v>137</v>
      </c>
      <c r="AG435" s="1" t="s">
        <v>2350</v>
      </c>
      <c r="AH435" s="1" t="s">
        <v>2350</v>
      </c>
    </row>
    <row r="436" spans="1:34">
      <c r="A436" s="199" t="s">
        <v>613</v>
      </c>
      <c r="B436" s="197" t="s">
        <v>614</v>
      </c>
      <c r="C436" s="198">
        <v>1</v>
      </c>
      <c r="D436" s="226" t="s">
        <v>134</v>
      </c>
      <c r="E436" s="186"/>
      <c r="F436" s="188"/>
      <c r="G436" s="79">
        <v>9</v>
      </c>
      <c r="H436" s="79"/>
      <c r="I436" s="233"/>
      <c r="J436" s="233"/>
      <c r="K436" s="203"/>
      <c r="L436" s="233"/>
      <c r="M436" s="458" t="s">
        <v>135</v>
      </c>
      <c r="N436" s="293" t="s">
        <v>421</v>
      </c>
      <c r="O436" s="297" t="s">
        <v>137</v>
      </c>
      <c r="P436" s="1" t="str">
        <f t="shared" si="149"/>
        <v/>
      </c>
      <c r="Q436" s="1" t="str">
        <f t="shared" si="149"/>
        <v/>
      </c>
      <c r="R436" s="199" t="s">
        <v>613</v>
      </c>
      <c r="S436" s="197" t="s">
        <v>614</v>
      </c>
      <c r="T436" s="198">
        <v>1</v>
      </c>
      <c r="U436" s="226" t="s">
        <v>134</v>
      </c>
      <c r="V436" s="186"/>
      <c r="W436" s="188"/>
      <c r="X436" s="79">
        <v>9</v>
      </c>
      <c r="Y436" s="79"/>
      <c r="Z436" s="233"/>
      <c r="AA436" s="233"/>
      <c r="AB436" s="203"/>
      <c r="AC436" s="233"/>
      <c r="AD436" s="458" t="s">
        <v>135</v>
      </c>
      <c r="AE436" s="293" t="s">
        <v>421</v>
      </c>
      <c r="AF436" s="297" t="s">
        <v>137</v>
      </c>
      <c r="AG436" s="1" t="s">
        <v>2350</v>
      </c>
      <c r="AH436" s="1" t="s">
        <v>2350</v>
      </c>
    </row>
    <row r="437" spans="1:34">
      <c r="A437" s="199" t="s">
        <v>615</v>
      </c>
      <c r="B437" s="197" t="s">
        <v>616</v>
      </c>
      <c r="C437" s="198">
        <v>1</v>
      </c>
      <c r="D437" s="226" t="s">
        <v>134</v>
      </c>
      <c r="E437" s="186"/>
      <c r="F437" s="188"/>
      <c r="G437" s="79">
        <v>10</v>
      </c>
      <c r="H437" s="79"/>
      <c r="I437" s="233"/>
      <c r="J437" s="233"/>
      <c r="K437" s="203"/>
      <c r="L437" s="233"/>
      <c r="M437" s="458" t="s">
        <v>135</v>
      </c>
      <c r="N437" s="293" t="s">
        <v>421</v>
      </c>
      <c r="O437" s="297" t="s">
        <v>137</v>
      </c>
      <c r="P437" s="1" t="str">
        <f t="shared" si="149"/>
        <v/>
      </c>
      <c r="Q437" s="1" t="str">
        <f t="shared" si="149"/>
        <v/>
      </c>
      <c r="R437" s="199" t="s">
        <v>615</v>
      </c>
      <c r="S437" s="197" t="s">
        <v>616</v>
      </c>
      <c r="T437" s="198">
        <v>1</v>
      </c>
      <c r="U437" s="226" t="s">
        <v>134</v>
      </c>
      <c r="V437" s="186"/>
      <c r="W437" s="188"/>
      <c r="X437" s="79">
        <v>10</v>
      </c>
      <c r="Y437" s="79"/>
      <c r="Z437" s="233"/>
      <c r="AA437" s="233"/>
      <c r="AB437" s="203"/>
      <c r="AC437" s="233"/>
      <c r="AD437" s="458" t="s">
        <v>135</v>
      </c>
      <c r="AE437" s="293" t="s">
        <v>421</v>
      </c>
      <c r="AF437" s="297" t="s">
        <v>137</v>
      </c>
      <c r="AG437" s="1" t="s">
        <v>2350</v>
      </c>
      <c r="AH437" s="1" t="s">
        <v>2350</v>
      </c>
    </row>
    <row r="438" spans="1:34">
      <c r="A438" s="199" t="s">
        <v>617</v>
      </c>
      <c r="B438" s="197" t="s">
        <v>618</v>
      </c>
      <c r="C438" s="198">
        <v>1</v>
      </c>
      <c r="D438" s="226" t="s">
        <v>134</v>
      </c>
      <c r="E438" s="186"/>
      <c r="F438" s="188"/>
      <c r="G438" s="79">
        <v>14</v>
      </c>
      <c r="H438" s="79"/>
      <c r="I438" s="233"/>
      <c r="J438" s="233"/>
      <c r="K438" s="203"/>
      <c r="L438" s="233"/>
      <c r="M438" s="458" t="s">
        <v>135</v>
      </c>
      <c r="N438" s="293" t="s">
        <v>421</v>
      </c>
      <c r="O438" s="297" t="s">
        <v>137</v>
      </c>
      <c r="P438" s="1" t="str">
        <f t="shared" si="149"/>
        <v/>
      </c>
      <c r="Q438" s="1" t="str">
        <f t="shared" si="149"/>
        <v/>
      </c>
      <c r="R438" s="199" t="s">
        <v>617</v>
      </c>
      <c r="S438" s="197" t="s">
        <v>618</v>
      </c>
      <c r="T438" s="198">
        <v>1</v>
      </c>
      <c r="U438" s="226" t="s">
        <v>134</v>
      </c>
      <c r="V438" s="186"/>
      <c r="W438" s="188"/>
      <c r="X438" s="79">
        <v>14</v>
      </c>
      <c r="Y438" s="79"/>
      <c r="Z438" s="233"/>
      <c r="AA438" s="233"/>
      <c r="AB438" s="203"/>
      <c r="AC438" s="233"/>
      <c r="AD438" s="458" t="s">
        <v>135</v>
      </c>
      <c r="AE438" s="293" t="s">
        <v>421</v>
      </c>
      <c r="AF438" s="297" t="s">
        <v>137</v>
      </c>
      <c r="AG438" s="1" t="s">
        <v>2350</v>
      </c>
      <c r="AH438" s="1" t="s">
        <v>2350</v>
      </c>
    </row>
    <row r="439" spans="1:34">
      <c r="A439" s="199" t="s">
        <v>619</v>
      </c>
      <c r="B439" s="197" t="s">
        <v>620</v>
      </c>
      <c r="C439" s="663">
        <v>1</v>
      </c>
      <c r="D439" s="664" t="s">
        <v>134</v>
      </c>
      <c r="E439" s="665"/>
      <c r="F439" s="666"/>
      <c r="G439" s="508">
        <v>94.63</v>
      </c>
      <c r="H439" s="508"/>
      <c r="I439" s="667"/>
      <c r="J439" s="667"/>
      <c r="K439" s="668"/>
      <c r="L439" s="667"/>
      <c r="M439" s="509" t="s">
        <v>135</v>
      </c>
      <c r="N439" s="510" t="s">
        <v>421</v>
      </c>
      <c r="O439" s="669" t="s">
        <v>137</v>
      </c>
      <c r="P439" s="276" t="str">
        <f t="shared" si="149"/>
        <v/>
      </c>
      <c r="Q439" s="276" t="str">
        <f t="shared" si="149"/>
        <v/>
      </c>
      <c r="R439" s="199" t="s">
        <v>619</v>
      </c>
      <c r="S439" s="197" t="s">
        <v>620</v>
      </c>
      <c r="T439" s="663">
        <v>1</v>
      </c>
      <c r="U439" s="664" t="s">
        <v>134</v>
      </c>
      <c r="V439" s="665"/>
      <c r="W439" s="666"/>
      <c r="X439" s="508">
        <v>94.63</v>
      </c>
      <c r="Y439" s="508"/>
      <c r="Z439" s="667"/>
      <c r="AA439" s="667"/>
      <c r="AB439" s="668"/>
      <c r="AC439" s="667"/>
      <c r="AD439" s="509" t="s">
        <v>135</v>
      </c>
      <c r="AE439" s="510" t="s">
        <v>421</v>
      </c>
      <c r="AF439" s="669" t="s">
        <v>137</v>
      </c>
      <c r="AG439" s="276" t="s">
        <v>2350</v>
      </c>
      <c r="AH439" s="276" t="s">
        <v>2350</v>
      </c>
    </row>
    <row r="440" spans="1:34" ht="25" customHeight="1" thickBot="1">
      <c r="A440" s="511" t="s">
        <v>621</v>
      </c>
      <c r="B440" s="512"/>
      <c r="C440" s="588"/>
      <c r="D440" s="589"/>
      <c r="E440" s="589"/>
      <c r="F440" s="590"/>
      <c r="G440" s="591"/>
      <c r="H440" s="591"/>
      <c r="I440" s="592"/>
      <c r="J440" s="592"/>
      <c r="K440" s="591"/>
      <c r="L440" s="592"/>
      <c r="M440" s="593"/>
      <c r="N440" s="594"/>
      <c r="O440" s="592"/>
      <c r="P440" s="592"/>
      <c r="Q440" s="592"/>
      <c r="R440" s="511" t="s">
        <v>621</v>
      </c>
      <c r="S440" s="512"/>
      <c r="T440" s="588"/>
      <c r="U440" s="589"/>
      <c r="V440" s="589"/>
      <c r="W440" s="590"/>
      <c r="X440" s="591"/>
      <c r="Y440" s="591"/>
      <c r="Z440" s="592"/>
      <c r="AA440" s="592"/>
      <c r="AB440" s="591"/>
      <c r="AC440" s="592"/>
      <c r="AD440" s="593"/>
      <c r="AE440" s="594"/>
      <c r="AF440" s="592"/>
      <c r="AG440" s="592"/>
      <c r="AH440" s="592"/>
    </row>
    <row r="441" spans="1:34" ht="13.5" thickTop="1">
      <c r="C441" s="638"/>
      <c r="D441" s="638"/>
      <c r="G441" s="639"/>
      <c r="H441" s="640"/>
      <c r="I441" s="641"/>
      <c r="J441" s="641"/>
      <c r="K441" s="639"/>
      <c r="L441" s="642"/>
      <c r="M441" s="643"/>
      <c r="N441" s="644"/>
      <c r="O441" s="640"/>
      <c r="P441" s="640"/>
      <c r="Q441" s="640"/>
      <c r="T441" s="638"/>
      <c r="V441" s="639"/>
      <c r="W441" s="645"/>
      <c r="X441" s="639"/>
      <c r="Y441" s="640"/>
      <c r="Z441" s="639"/>
      <c r="AA441" s="639"/>
      <c r="AB441" s="639"/>
      <c r="AC441" s="638"/>
      <c r="AD441" s="643"/>
      <c r="AE441" s="640"/>
      <c r="AF441" s="640"/>
      <c r="AG441" s="640"/>
    </row>
  </sheetData>
  <autoFilter ref="A4:AH440" xr:uid="{00000000-0001-0000-0000-000000000000}"/>
  <dataConsolidate/>
  <mergeCells count="6">
    <mergeCell ref="B2:L2"/>
    <mergeCell ref="AG3:AH3"/>
    <mergeCell ref="P3:Q3"/>
    <mergeCell ref="A3:L3"/>
    <mergeCell ref="S2:AC2"/>
    <mergeCell ref="R3:AC3"/>
  </mergeCells>
  <phoneticPr fontId="57" type="noConversion"/>
  <pageMargins left="0.75" right="0.75" top="1" bottom="1" header="0.5" footer="0.5"/>
  <pageSetup paperSize="9" orientation="portrait" horizontalDpi="4294967292" verticalDpi="4294967292"/>
  <ignoredErrors>
    <ignoredError sqref="F244"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codeName="Feuil3">
    <tabColor rgb="FF92D050"/>
  </sheetPr>
  <dimension ref="A1:X842"/>
  <sheetViews>
    <sheetView zoomScale="110" zoomScaleNormal="110" workbookViewId="0">
      <pane xSplit="1" ySplit="3" topLeftCell="B4" activePane="bottomRight" state="frozen"/>
      <selection pane="topRight" activeCell="C1" sqref="C1"/>
      <selection pane="bottomLeft" activeCell="A4" sqref="A4"/>
      <selection pane="bottomRight" activeCell="A2" sqref="A2:I2"/>
    </sheetView>
  </sheetViews>
  <sheetFormatPr baseColWidth="10" defaultColWidth="11.453125" defaultRowHeight="13"/>
  <cols>
    <col min="1" max="1" width="40.7265625" style="476" customWidth="1"/>
    <col min="2" max="2" width="195.453125" style="304" customWidth="1"/>
    <col min="3" max="3" width="10.7265625" style="304" customWidth="1"/>
    <col min="4" max="4" width="13" style="304" customWidth="1"/>
    <col min="5" max="5" width="17.453125" style="304" bestFit="1" customWidth="1"/>
    <col min="6" max="6" width="11.81640625" style="304" bestFit="1" customWidth="1"/>
    <col min="7" max="7" width="19.453125" style="304" bestFit="1" customWidth="1"/>
    <col min="8" max="9" width="10.7265625" style="304" customWidth="1"/>
    <col min="10" max="10" width="33.1796875" style="323" customWidth="1"/>
    <col min="11" max="11" width="10.7265625" style="304" customWidth="1"/>
    <col min="12" max="12" width="7.453125" style="304" customWidth="1"/>
    <col min="13" max="13" width="40.7265625" style="80" customWidth="1"/>
    <col min="14" max="14" width="169.81640625" style="80" customWidth="1"/>
    <col min="15" max="15" width="10.7265625" style="80" customWidth="1"/>
    <col min="16" max="16" width="13" style="80" customWidth="1"/>
    <col min="17" max="17" width="17.453125" style="80" bestFit="1" customWidth="1"/>
    <col min="18" max="18" width="11.81640625" style="80" bestFit="1" customWidth="1"/>
    <col min="19" max="19" width="19.453125" style="80" bestFit="1" customWidth="1"/>
    <col min="20" max="21" width="10.7265625" style="80" customWidth="1"/>
    <col min="22" max="22" width="33.1796875" style="323" customWidth="1"/>
    <col min="23" max="23" width="10.7265625" style="80" customWidth="1"/>
    <col min="24" max="24" width="7.453125" style="80" customWidth="1"/>
    <col min="25" max="16384" width="11.453125" style="80"/>
  </cols>
  <sheetData>
    <row r="1" spans="1:24" s="1" customFormat="1" ht="24" customHeight="1">
      <c r="A1" s="546" t="s">
        <v>106</v>
      </c>
      <c r="B1" s="351" t="s">
        <v>622</v>
      </c>
      <c r="C1" s="489"/>
      <c r="D1" s="489"/>
      <c r="E1" s="489"/>
      <c r="F1" s="489"/>
      <c r="G1" s="489"/>
      <c r="H1" s="489"/>
      <c r="I1" s="490"/>
      <c r="J1" s="318"/>
      <c r="K1" s="319"/>
      <c r="L1" s="320"/>
      <c r="M1" s="546" t="s">
        <v>106</v>
      </c>
      <c r="N1" s="351" t="s">
        <v>622</v>
      </c>
      <c r="O1" s="489"/>
      <c r="P1" s="489"/>
      <c r="Q1" s="489"/>
      <c r="R1" s="489"/>
      <c r="S1" s="489"/>
      <c r="T1" s="489"/>
      <c r="U1" s="490"/>
      <c r="V1" s="318"/>
      <c r="W1" s="319"/>
      <c r="X1" s="320"/>
    </row>
    <row r="2" spans="1:24" s="93" customFormat="1" ht="31">
      <c r="A2" s="832" t="s">
        <v>3051</v>
      </c>
      <c r="B2" s="830"/>
      <c r="C2" s="830"/>
      <c r="D2" s="830"/>
      <c r="E2" s="830"/>
      <c r="F2" s="830"/>
      <c r="G2" s="830"/>
      <c r="H2" s="830"/>
      <c r="I2" s="830"/>
      <c r="J2" s="513"/>
      <c r="K2" s="506"/>
      <c r="L2" s="515"/>
      <c r="M2" s="832" t="s">
        <v>2958</v>
      </c>
      <c r="N2" s="833"/>
      <c r="O2" s="833"/>
      <c r="P2" s="833"/>
      <c r="Q2" s="833"/>
      <c r="R2" s="833"/>
      <c r="S2" s="833"/>
      <c r="T2" s="833"/>
      <c r="U2" s="833"/>
      <c r="V2" s="513"/>
      <c r="W2" s="506"/>
      <c r="X2" s="515"/>
    </row>
    <row r="3" spans="1:24" s="424" customFormat="1" ht="48" customHeight="1" thickBot="1">
      <c r="A3" s="423" t="s">
        <v>109</v>
      </c>
      <c r="B3" s="504"/>
      <c r="C3" s="425" t="s">
        <v>111</v>
      </c>
      <c r="D3" s="426" t="s">
        <v>112</v>
      </c>
      <c r="E3" s="427" t="s">
        <v>113</v>
      </c>
      <c r="F3" s="428" t="s">
        <v>114</v>
      </c>
      <c r="G3" s="429" t="s">
        <v>115</v>
      </c>
      <c r="H3" s="430" t="s">
        <v>119</v>
      </c>
      <c r="I3" s="430" t="s">
        <v>3049</v>
      </c>
      <c r="J3" s="514" t="s">
        <v>121</v>
      </c>
      <c r="K3" s="507" t="s">
        <v>122</v>
      </c>
      <c r="L3" s="516" t="s">
        <v>123</v>
      </c>
      <c r="M3" s="423" t="s">
        <v>109</v>
      </c>
      <c r="N3" s="504"/>
      <c r="O3" s="425" t="s">
        <v>111</v>
      </c>
      <c r="P3" s="426" t="s">
        <v>112</v>
      </c>
      <c r="Q3" s="427" t="s">
        <v>113</v>
      </c>
      <c r="R3" s="428" t="s">
        <v>114</v>
      </c>
      <c r="S3" s="429" t="s">
        <v>115</v>
      </c>
      <c r="T3" s="430" t="s">
        <v>119</v>
      </c>
      <c r="U3" s="430" t="s">
        <v>120</v>
      </c>
      <c r="V3" s="514" t="s">
        <v>121</v>
      </c>
      <c r="W3" s="507" t="s">
        <v>122</v>
      </c>
      <c r="X3" s="516" t="s">
        <v>123</v>
      </c>
    </row>
    <row r="4" spans="1:24" s="1" customFormat="1" ht="25" customHeight="1" thickBot="1">
      <c r="A4" s="465" t="s">
        <v>623</v>
      </c>
      <c r="B4" s="340" t="s">
        <v>624</v>
      </c>
      <c r="C4" s="629"/>
      <c r="D4" s="629"/>
      <c r="E4" s="630"/>
      <c r="F4" s="631"/>
      <c r="G4" s="630"/>
      <c r="H4" s="630"/>
      <c r="I4" s="630"/>
      <c r="J4" s="459"/>
      <c r="K4" s="341"/>
      <c r="L4" s="341"/>
      <c r="M4" s="465" t="s">
        <v>623</v>
      </c>
      <c r="N4" s="340" t="s">
        <v>624</v>
      </c>
      <c r="O4" s="629"/>
      <c r="P4" s="629"/>
      <c r="Q4" s="630"/>
      <c r="R4" s="631"/>
      <c r="S4" s="630"/>
      <c r="T4" s="630"/>
      <c r="U4" s="630"/>
      <c r="V4" s="459"/>
      <c r="W4" s="341"/>
      <c r="X4" s="341"/>
    </row>
    <row r="5" spans="1:24" s="1" customFormat="1">
      <c r="A5" s="519" t="s">
        <v>625</v>
      </c>
      <c r="B5" s="269" t="s">
        <v>626</v>
      </c>
      <c r="C5" s="206">
        <v>1</v>
      </c>
      <c r="D5" s="226" t="s">
        <v>627</v>
      </c>
      <c r="E5" s="287">
        <v>183.96</v>
      </c>
      <c r="F5" s="188">
        <f>rv_iiyama</f>
        <v>0.2</v>
      </c>
      <c r="G5" s="79">
        <f t="shared" ref="G5:G21" si="0">E5-(E5*F5)</f>
        <v>147.16800000000001</v>
      </c>
      <c r="H5" s="203"/>
      <c r="I5" s="32">
        <v>2.13</v>
      </c>
      <c r="J5" s="238" t="s">
        <v>623</v>
      </c>
      <c r="K5" s="83" t="s">
        <v>231</v>
      </c>
      <c r="L5" s="100" t="s">
        <v>628</v>
      </c>
      <c r="M5" s="519" t="s">
        <v>625</v>
      </c>
      <c r="N5" s="269" t="s">
        <v>626</v>
      </c>
      <c r="O5" s="206">
        <v>1</v>
      </c>
      <c r="P5" s="226" t="s">
        <v>627</v>
      </c>
      <c r="Q5" s="287">
        <v>183.96</v>
      </c>
      <c r="R5" s="188">
        <v>0.2</v>
      </c>
      <c r="S5" s="79">
        <v>147.16800000000001</v>
      </c>
      <c r="T5" s="203"/>
      <c r="U5" s="204">
        <v>1.42</v>
      </c>
      <c r="V5" s="238" t="s">
        <v>623</v>
      </c>
      <c r="W5" s="83" t="s">
        <v>231</v>
      </c>
      <c r="X5" s="100" t="s">
        <v>628</v>
      </c>
    </row>
    <row r="6" spans="1:24" s="1" customFormat="1">
      <c r="A6" s="472" t="s">
        <v>629</v>
      </c>
      <c r="B6" s="269" t="s">
        <v>630</v>
      </c>
      <c r="C6" s="206">
        <v>1</v>
      </c>
      <c r="D6" s="226" t="s">
        <v>627</v>
      </c>
      <c r="E6" s="287">
        <v>225</v>
      </c>
      <c r="F6" s="188">
        <f>rv_iiyama</f>
        <v>0.2</v>
      </c>
      <c r="G6" s="79">
        <f t="shared" si="0"/>
        <v>180</v>
      </c>
      <c r="H6" s="203"/>
      <c r="I6" s="32">
        <v>2.13</v>
      </c>
      <c r="J6" s="238" t="s">
        <v>623</v>
      </c>
      <c r="K6" s="83" t="s">
        <v>231</v>
      </c>
      <c r="L6" s="100" t="s">
        <v>628</v>
      </c>
      <c r="M6" s="472" t="s">
        <v>629</v>
      </c>
      <c r="N6" s="269" t="s">
        <v>630</v>
      </c>
      <c r="O6" s="206">
        <v>1</v>
      </c>
      <c r="P6" s="226" t="s">
        <v>627</v>
      </c>
      <c r="Q6" s="287">
        <v>225</v>
      </c>
      <c r="R6" s="188">
        <v>0.2</v>
      </c>
      <c r="S6" s="79">
        <v>180</v>
      </c>
      <c r="T6" s="203"/>
      <c r="U6" s="204">
        <v>1.42</v>
      </c>
      <c r="V6" s="238" t="s">
        <v>623</v>
      </c>
      <c r="W6" s="83" t="s">
        <v>231</v>
      </c>
      <c r="X6" s="100" t="s">
        <v>628</v>
      </c>
    </row>
    <row r="7" spans="1:24" s="1" customFormat="1">
      <c r="A7" s="472" t="s">
        <v>631</v>
      </c>
      <c r="B7" s="359" t="s">
        <v>632</v>
      </c>
      <c r="C7" s="206">
        <v>1</v>
      </c>
      <c r="D7" s="226" t="s">
        <v>627</v>
      </c>
      <c r="E7" s="287">
        <v>489</v>
      </c>
      <c r="F7" s="188">
        <f>rv_iiyama</f>
        <v>0.2</v>
      </c>
      <c r="G7" s="79">
        <f t="shared" si="0"/>
        <v>391.2</v>
      </c>
      <c r="H7" s="203"/>
      <c r="I7" s="32">
        <v>3.53</v>
      </c>
      <c r="J7" s="238" t="s">
        <v>623</v>
      </c>
      <c r="K7" s="83" t="s">
        <v>231</v>
      </c>
      <c r="L7" s="100" t="s">
        <v>628</v>
      </c>
      <c r="M7" s="472" t="s">
        <v>631</v>
      </c>
      <c r="N7" s="359" t="s">
        <v>632</v>
      </c>
      <c r="O7" s="206">
        <v>1</v>
      </c>
      <c r="P7" s="226" t="s">
        <v>627</v>
      </c>
      <c r="Q7" s="287">
        <v>489</v>
      </c>
      <c r="R7" s="188">
        <v>0.2</v>
      </c>
      <c r="S7" s="79">
        <v>391.2</v>
      </c>
      <c r="T7" s="203"/>
      <c r="U7" s="204">
        <v>2.5</v>
      </c>
      <c r="V7" s="238" t="s">
        <v>623</v>
      </c>
      <c r="W7" s="83" t="s">
        <v>231</v>
      </c>
      <c r="X7" s="100" t="s">
        <v>628</v>
      </c>
    </row>
    <row r="8" spans="1:24" s="1" customFormat="1">
      <c r="A8" s="472" t="s">
        <v>633</v>
      </c>
      <c r="B8" s="269" t="s">
        <v>634</v>
      </c>
      <c r="C8" s="206">
        <v>1</v>
      </c>
      <c r="D8" s="226" t="s">
        <v>627</v>
      </c>
      <c r="E8" s="287">
        <v>449.17</v>
      </c>
      <c r="F8" s="188">
        <f>rv_iiyama</f>
        <v>0.2</v>
      </c>
      <c r="G8" s="79">
        <f t="shared" si="0"/>
        <v>359.33600000000001</v>
      </c>
      <c r="H8" s="203"/>
      <c r="I8" s="32">
        <v>3.53</v>
      </c>
      <c r="J8" s="238" t="s">
        <v>623</v>
      </c>
      <c r="K8" s="83" t="s">
        <v>231</v>
      </c>
      <c r="L8" s="100" t="s">
        <v>628</v>
      </c>
      <c r="M8" s="472" t="s">
        <v>633</v>
      </c>
      <c r="N8" s="269" t="s">
        <v>634</v>
      </c>
      <c r="O8" s="206">
        <v>1</v>
      </c>
      <c r="P8" s="226" t="s">
        <v>627</v>
      </c>
      <c r="Q8" s="287">
        <v>449.17</v>
      </c>
      <c r="R8" s="188">
        <v>0.2</v>
      </c>
      <c r="S8" s="79">
        <v>359.33600000000001</v>
      </c>
      <c r="T8" s="203"/>
      <c r="U8" s="204">
        <v>2.5</v>
      </c>
      <c r="V8" s="238" t="s">
        <v>623</v>
      </c>
      <c r="W8" s="83" t="s">
        <v>231</v>
      </c>
      <c r="X8" s="100" t="s">
        <v>628</v>
      </c>
    </row>
    <row r="9" spans="1:24" s="1" customFormat="1">
      <c r="A9" s="472" t="s">
        <v>635</v>
      </c>
      <c r="B9" s="359" t="s">
        <v>636</v>
      </c>
      <c r="C9" s="198">
        <v>1</v>
      </c>
      <c r="D9" s="226" t="s">
        <v>637</v>
      </c>
      <c r="E9" s="287">
        <v>227.78</v>
      </c>
      <c r="F9" s="188">
        <f t="shared" ref="F9:F13" si="1">rv_philips</f>
        <v>0.2</v>
      </c>
      <c r="G9" s="79">
        <f t="shared" si="0"/>
        <v>182.22399999999999</v>
      </c>
      <c r="H9" s="203"/>
      <c r="I9" s="32">
        <v>2.13</v>
      </c>
      <c r="J9" s="238" t="s">
        <v>623</v>
      </c>
      <c r="K9" s="83" t="s">
        <v>231</v>
      </c>
      <c r="L9" s="100" t="s">
        <v>628</v>
      </c>
      <c r="M9" s="472" t="s">
        <v>635</v>
      </c>
      <c r="N9" s="359" t="s">
        <v>636</v>
      </c>
      <c r="O9" s="198">
        <v>1</v>
      </c>
      <c r="P9" s="226" t="s">
        <v>637</v>
      </c>
      <c r="Q9" s="287">
        <v>227.78</v>
      </c>
      <c r="R9" s="188">
        <v>0.2</v>
      </c>
      <c r="S9" s="79">
        <v>182.22399999999999</v>
      </c>
      <c r="T9" s="203"/>
      <c r="U9" s="203">
        <v>1.42</v>
      </c>
      <c r="V9" s="238" t="s">
        <v>623</v>
      </c>
      <c r="W9" s="83" t="s">
        <v>231</v>
      </c>
      <c r="X9" s="100" t="s">
        <v>628</v>
      </c>
    </row>
    <row r="10" spans="1:24" s="1" customFormat="1">
      <c r="A10" s="472" t="s">
        <v>638</v>
      </c>
      <c r="B10" s="359" t="s">
        <v>639</v>
      </c>
      <c r="C10" s="198">
        <v>1</v>
      </c>
      <c r="D10" s="226" t="s">
        <v>637</v>
      </c>
      <c r="E10" s="287">
        <v>384.28</v>
      </c>
      <c r="F10" s="188">
        <f t="shared" si="1"/>
        <v>0.2</v>
      </c>
      <c r="G10" s="79">
        <f t="shared" si="0"/>
        <v>307.42399999999998</v>
      </c>
      <c r="H10" s="203"/>
      <c r="I10" s="13">
        <v>3.53</v>
      </c>
      <c r="J10" s="238" t="s">
        <v>623</v>
      </c>
      <c r="K10" s="83" t="s">
        <v>231</v>
      </c>
      <c r="L10" s="100" t="s">
        <v>628</v>
      </c>
      <c r="M10" s="472" t="s">
        <v>638</v>
      </c>
      <c r="N10" s="359" t="s">
        <v>639</v>
      </c>
      <c r="O10" s="198">
        <v>1</v>
      </c>
      <c r="P10" s="226" t="s">
        <v>637</v>
      </c>
      <c r="Q10" s="287">
        <v>384.28</v>
      </c>
      <c r="R10" s="188">
        <v>0.2</v>
      </c>
      <c r="S10" s="79">
        <v>307.42399999999998</v>
      </c>
      <c r="T10" s="203"/>
      <c r="U10" s="203">
        <v>1.42</v>
      </c>
      <c r="V10" s="238" t="s">
        <v>623</v>
      </c>
      <c r="W10" s="83" t="s">
        <v>231</v>
      </c>
      <c r="X10" s="100" t="s">
        <v>628</v>
      </c>
    </row>
    <row r="11" spans="1:24" s="1" customFormat="1">
      <c r="A11" s="472" t="s">
        <v>640</v>
      </c>
      <c r="B11" s="359" t="s">
        <v>641</v>
      </c>
      <c r="C11" s="198">
        <v>1</v>
      </c>
      <c r="D11" s="226" t="s">
        <v>637</v>
      </c>
      <c r="E11" s="287">
        <v>463.06</v>
      </c>
      <c r="F11" s="188">
        <f t="shared" si="1"/>
        <v>0.2</v>
      </c>
      <c r="G11" s="79">
        <f t="shared" si="0"/>
        <v>370.44799999999998</v>
      </c>
      <c r="H11" s="203"/>
      <c r="I11" s="13">
        <v>3.53</v>
      </c>
      <c r="J11" s="238" t="s">
        <v>623</v>
      </c>
      <c r="K11" s="83" t="s">
        <v>231</v>
      </c>
      <c r="L11" s="100" t="s">
        <v>628</v>
      </c>
      <c r="M11" s="472" t="s">
        <v>640</v>
      </c>
      <c r="N11" s="359" t="s">
        <v>641</v>
      </c>
      <c r="O11" s="198">
        <v>1</v>
      </c>
      <c r="P11" s="226" t="s">
        <v>637</v>
      </c>
      <c r="Q11" s="287">
        <v>463.06</v>
      </c>
      <c r="R11" s="188">
        <v>0.2</v>
      </c>
      <c r="S11" s="79">
        <v>370.44799999999998</v>
      </c>
      <c r="T11" s="203"/>
      <c r="U11" s="203">
        <v>1.42</v>
      </c>
      <c r="V11" s="238" t="s">
        <v>623</v>
      </c>
      <c r="W11" s="83" t="s">
        <v>231</v>
      </c>
      <c r="X11" s="100" t="s">
        <v>628</v>
      </c>
    </row>
    <row r="12" spans="1:24" s="88" customFormat="1">
      <c r="A12" s="472" t="s">
        <v>642</v>
      </c>
      <c r="B12" s="359" t="s">
        <v>643</v>
      </c>
      <c r="C12" s="198">
        <v>1</v>
      </c>
      <c r="D12" s="226" t="s">
        <v>637</v>
      </c>
      <c r="E12" s="287">
        <v>624.96</v>
      </c>
      <c r="F12" s="188">
        <f t="shared" si="1"/>
        <v>0.2</v>
      </c>
      <c r="G12" s="79">
        <f t="shared" si="0"/>
        <v>499.96800000000002</v>
      </c>
      <c r="H12" s="203"/>
      <c r="I12" s="13">
        <v>3.53</v>
      </c>
      <c r="J12" s="238" t="s">
        <v>623</v>
      </c>
      <c r="K12" s="83" t="s">
        <v>231</v>
      </c>
      <c r="L12" s="100" t="s">
        <v>628</v>
      </c>
      <c r="M12" s="472" t="s">
        <v>642</v>
      </c>
      <c r="N12" s="359" t="s">
        <v>643</v>
      </c>
      <c r="O12" s="198">
        <v>1</v>
      </c>
      <c r="P12" s="226" t="s">
        <v>637</v>
      </c>
      <c r="Q12" s="287">
        <v>624.96</v>
      </c>
      <c r="R12" s="188">
        <v>0.2</v>
      </c>
      <c r="S12" s="79">
        <v>499.96800000000002</v>
      </c>
      <c r="T12" s="203"/>
      <c r="U12" s="203">
        <v>2.5</v>
      </c>
      <c r="V12" s="238" t="s">
        <v>623</v>
      </c>
      <c r="W12" s="83" t="s">
        <v>231</v>
      </c>
      <c r="X12" s="100" t="s">
        <v>628</v>
      </c>
    </row>
    <row r="13" spans="1:24" s="1" customFormat="1">
      <c r="A13" s="472" t="s">
        <v>644</v>
      </c>
      <c r="B13" s="359" t="s">
        <v>645</v>
      </c>
      <c r="C13" s="198">
        <v>1</v>
      </c>
      <c r="D13" s="226" t="s">
        <v>637</v>
      </c>
      <c r="E13" s="287">
        <v>510.75</v>
      </c>
      <c r="F13" s="188">
        <f t="shared" si="1"/>
        <v>0.2</v>
      </c>
      <c r="G13" s="79">
        <f t="shared" si="0"/>
        <v>408.6</v>
      </c>
      <c r="H13" s="203"/>
      <c r="I13" s="13">
        <v>3.53</v>
      </c>
      <c r="J13" s="238" t="s">
        <v>623</v>
      </c>
      <c r="K13" s="83" t="s">
        <v>231</v>
      </c>
      <c r="L13" s="100" t="s">
        <v>628</v>
      </c>
      <c r="M13" s="472" t="s">
        <v>644</v>
      </c>
      <c r="N13" s="359" t="s">
        <v>645</v>
      </c>
      <c r="O13" s="198">
        <v>1</v>
      </c>
      <c r="P13" s="226" t="s">
        <v>637</v>
      </c>
      <c r="Q13" s="287">
        <v>510.75</v>
      </c>
      <c r="R13" s="188">
        <v>0.2</v>
      </c>
      <c r="S13" s="79">
        <v>408.6</v>
      </c>
      <c r="T13" s="203"/>
      <c r="U13" s="203">
        <v>2.5</v>
      </c>
      <c r="V13" s="238" t="s">
        <v>623</v>
      </c>
      <c r="W13" s="83" t="s">
        <v>231</v>
      </c>
      <c r="X13" s="100" t="s">
        <v>628</v>
      </c>
    </row>
    <row r="14" spans="1:24" s="1" customFormat="1">
      <c r="A14" s="472" t="s">
        <v>646</v>
      </c>
      <c r="B14" s="518" t="s">
        <v>647</v>
      </c>
      <c r="C14" s="206">
        <v>1</v>
      </c>
      <c r="D14" s="321" t="s">
        <v>648</v>
      </c>
      <c r="E14" s="287">
        <v>185</v>
      </c>
      <c r="F14" s="188">
        <f>rv_samsung</f>
        <v>0.2</v>
      </c>
      <c r="G14" s="62">
        <f t="shared" si="0"/>
        <v>148</v>
      </c>
      <c r="H14" s="186"/>
      <c r="I14" s="32">
        <v>2.13</v>
      </c>
      <c r="J14" s="238" t="s">
        <v>623</v>
      </c>
      <c r="K14" s="83" t="s">
        <v>231</v>
      </c>
      <c r="L14" s="100" t="s">
        <v>628</v>
      </c>
      <c r="M14" s="472" t="s">
        <v>646</v>
      </c>
      <c r="N14" s="518" t="s">
        <v>647</v>
      </c>
      <c r="O14" s="206">
        <v>1</v>
      </c>
      <c r="P14" s="321" t="s">
        <v>648</v>
      </c>
      <c r="Q14" s="287">
        <v>185</v>
      </c>
      <c r="R14" s="188">
        <v>0.2</v>
      </c>
      <c r="S14" s="62">
        <v>148</v>
      </c>
      <c r="T14" s="186"/>
      <c r="U14" s="186">
        <v>1.25</v>
      </c>
      <c r="V14" s="238" t="s">
        <v>623</v>
      </c>
      <c r="W14" s="83" t="s">
        <v>231</v>
      </c>
      <c r="X14" s="100" t="s">
        <v>628</v>
      </c>
    </row>
    <row r="15" spans="1:24" s="1" customFormat="1">
      <c r="A15" s="472" t="s">
        <v>649</v>
      </c>
      <c r="B15" s="518" t="s">
        <v>650</v>
      </c>
      <c r="C15" s="206">
        <v>1</v>
      </c>
      <c r="D15" s="321" t="s">
        <v>648</v>
      </c>
      <c r="E15" s="287">
        <v>399.17</v>
      </c>
      <c r="F15" s="188">
        <f>rv_samsung</f>
        <v>0.2</v>
      </c>
      <c r="G15" s="62">
        <f t="shared" si="0"/>
        <v>319.33600000000001</v>
      </c>
      <c r="H15" s="186"/>
      <c r="I15" s="32">
        <v>2.13</v>
      </c>
      <c r="J15" s="238" t="s">
        <v>623</v>
      </c>
      <c r="K15" s="83" t="s">
        <v>231</v>
      </c>
      <c r="L15" s="100" t="s">
        <v>628</v>
      </c>
      <c r="M15" s="472" t="s">
        <v>649</v>
      </c>
      <c r="N15" s="518" t="s">
        <v>650</v>
      </c>
      <c r="O15" s="206">
        <v>1</v>
      </c>
      <c r="P15" s="321" t="s">
        <v>648</v>
      </c>
      <c r="Q15" s="287">
        <v>399.17</v>
      </c>
      <c r="R15" s="188">
        <v>0.2</v>
      </c>
      <c r="S15" s="62">
        <v>319.33600000000001</v>
      </c>
      <c r="T15" s="186"/>
      <c r="U15" s="186">
        <v>2.08</v>
      </c>
      <c r="V15" s="238" t="s">
        <v>623</v>
      </c>
      <c r="W15" s="83" t="s">
        <v>231</v>
      </c>
      <c r="X15" s="100" t="s">
        <v>628</v>
      </c>
    </row>
    <row r="16" spans="1:24" s="85" customFormat="1">
      <c r="A16" s="517" t="s">
        <v>651</v>
      </c>
      <c r="B16" s="518" t="s">
        <v>652</v>
      </c>
      <c r="C16" s="206">
        <v>1</v>
      </c>
      <c r="D16" s="321" t="s">
        <v>648</v>
      </c>
      <c r="E16" s="287">
        <v>570.83000000000004</v>
      </c>
      <c r="F16" s="188">
        <f>rv_samsung</f>
        <v>0.2</v>
      </c>
      <c r="G16" s="62">
        <f t="shared" si="0"/>
        <v>456.66400000000004</v>
      </c>
      <c r="H16" s="186"/>
      <c r="I16" s="13">
        <v>3.53</v>
      </c>
      <c r="J16" s="238" t="s">
        <v>623</v>
      </c>
      <c r="K16" s="83" t="s">
        <v>231</v>
      </c>
      <c r="L16" s="100" t="s">
        <v>628</v>
      </c>
      <c r="M16" s="517" t="s">
        <v>651</v>
      </c>
      <c r="N16" s="518" t="s">
        <v>652</v>
      </c>
      <c r="O16" s="206">
        <v>1</v>
      </c>
      <c r="P16" s="321" t="s">
        <v>648</v>
      </c>
      <c r="Q16" s="287">
        <v>570.83000000000004</v>
      </c>
      <c r="R16" s="188">
        <v>0.2</v>
      </c>
      <c r="S16" s="62">
        <v>456.66400000000004</v>
      </c>
      <c r="T16" s="186"/>
      <c r="U16" s="186">
        <v>2.08</v>
      </c>
      <c r="V16" s="238" t="s">
        <v>623</v>
      </c>
      <c r="W16" s="83" t="s">
        <v>231</v>
      </c>
      <c r="X16" s="100" t="s">
        <v>628</v>
      </c>
    </row>
    <row r="17" spans="1:24" s="1" customFormat="1">
      <c r="A17" s="780" t="s">
        <v>3041</v>
      </c>
      <c r="B17" s="781" t="s">
        <v>3043</v>
      </c>
      <c r="C17" s="770">
        <v>1</v>
      </c>
      <c r="D17" s="771" t="s">
        <v>653</v>
      </c>
      <c r="E17" s="767">
        <v>363.64</v>
      </c>
      <c r="F17" s="18">
        <f t="shared" ref="F17:F21" si="2">rv_moniteur</f>
        <v>0.1</v>
      </c>
      <c r="G17" s="768">
        <f t="shared" si="0"/>
        <v>327.27600000000001</v>
      </c>
      <c r="H17" s="735"/>
      <c r="I17" s="32">
        <v>3.53</v>
      </c>
      <c r="J17" s="238" t="s">
        <v>623</v>
      </c>
      <c r="K17" s="83" t="s">
        <v>231</v>
      </c>
      <c r="L17" s="100" t="s">
        <v>628</v>
      </c>
      <c r="M17" s="754" t="s">
        <v>654</v>
      </c>
      <c r="N17" s="755" t="s">
        <v>655</v>
      </c>
      <c r="O17" s="713">
        <v>1</v>
      </c>
      <c r="P17" s="756" t="s">
        <v>653</v>
      </c>
      <c r="Q17" s="737">
        <v>333.33</v>
      </c>
      <c r="R17" s="716">
        <v>0.1</v>
      </c>
      <c r="S17" s="717">
        <v>299.99699999999996</v>
      </c>
      <c r="T17" s="719"/>
      <c r="U17" s="719">
        <v>2.5</v>
      </c>
      <c r="V17" s="238" t="s">
        <v>623</v>
      </c>
      <c r="W17" s="83" t="s">
        <v>231</v>
      </c>
      <c r="X17" s="100" t="s">
        <v>628</v>
      </c>
    </row>
    <row r="18" spans="1:24" s="1" customFormat="1">
      <c r="A18" s="772" t="s">
        <v>656</v>
      </c>
      <c r="B18" s="773" t="s">
        <v>657</v>
      </c>
      <c r="C18" s="770">
        <v>1</v>
      </c>
      <c r="D18" s="771" t="s">
        <v>653</v>
      </c>
      <c r="E18" s="767">
        <v>426.63</v>
      </c>
      <c r="F18" s="18">
        <f t="shared" si="2"/>
        <v>0.1</v>
      </c>
      <c r="G18" s="768">
        <f t="shared" si="0"/>
        <v>383.96699999999998</v>
      </c>
      <c r="H18" s="186"/>
      <c r="I18" s="32">
        <v>3.53</v>
      </c>
      <c r="J18" s="238" t="s">
        <v>623</v>
      </c>
      <c r="K18" s="83" t="s">
        <v>231</v>
      </c>
      <c r="L18" s="100" t="s">
        <v>628</v>
      </c>
      <c r="M18" s="472" t="s">
        <v>656</v>
      </c>
      <c r="N18" s="359" t="s">
        <v>657</v>
      </c>
      <c r="O18" s="206">
        <v>1</v>
      </c>
      <c r="P18" s="568" t="s">
        <v>653</v>
      </c>
      <c r="Q18" s="287">
        <v>416.63</v>
      </c>
      <c r="R18" s="188">
        <v>0.1</v>
      </c>
      <c r="S18" s="62">
        <v>374.96699999999998</v>
      </c>
      <c r="T18" s="186"/>
      <c r="U18" s="186">
        <v>2.5</v>
      </c>
      <c r="V18" s="238" t="s">
        <v>623</v>
      </c>
      <c r="W18" s="83" t="s">
        <v>231</v>
      </c>
      <c r="X18" s="100" t="s">
        <v>628</v>
      </c>
    </row>
    <row r="19" spans="1:24" s="1" customFormat="1">
      <c r="A19" s="772" t="s">
        <v>3042</v>
      </c>
      <c r="B19" s="773" t="s">
        <v>3044</v>
      </c>
      <c r="C19" s="770">
        <v>1</v>
      </c>
      <c r="D19" s="771" t="s">
        <v>653</v>
      </c>
      <c r="E19" s="767">
        <v>900</v>
      </c>
      <c r="F19" s="18">
        <f t="shared" si="2"/>
        <v>0.1</v>
      </c>
      <c r="G19" s="768">
        <f t="shared" si="0"/>
        <v>810</v>
      </c>
      <c r="H19" s="735"/>
      <c r="I19" s="32">
        <v>3.53</v>
      </c>
      <c r="J19" s="238" t="s">
        <v>623</v>
      </c>
      <c r="K19" s="83" t="s">
        <v>231</v>
      </c>
      <c r="L19" s="100" t="s">
        <v>628</v>
      </c>
      <c r="M19" s="754" t="s">
        <v>658</v>
      </c>
      <c r="N19" s="755" t="s">
        <v>659</v>
      </c>
      <c r="O19" s="713">
        <v>1</v>
      </c>
      <c r="P19" s="756" t="s">
        <v>653</v>
      </c>
      <c r="Q19" s="737">
        <v>900</v>
      </c>
      <c r="R19" s="716">
        <v>0.1</v>
      </c>
      <c r="S19" s="717">
        <v>810</v>
      </c>
      <c r="T19" s="719"/>
      <c r="U19" s="719">
        <v>2.5</v>
      </c>
      <c r="V19" s="238" t="s">
        <v>623</v>
      </c>
      <c r="W19" s="83" t="s">
        <v>231</v>
      </c>
      <c r="X19" s="100" t="s">
        <v>628</v>
      </c>
    </row>
    <row r="20" spans="1:24" s="1" customFormat="1">
      <c r="A20" s="472" t="s">
        <v>660</v>
      </c>
      <c r="B20" s="359" t="s">
        <v>661</v>
      </c>
      <c r="C20" s="206">
        <v>1</v>
      </c>
      <c r="D20" s="568" t="s">
        <v>653</v>
      </c>
      <c r="E20" s="287">
        <v>610.48</v>
      </c>
      <c r="F20" s="188">
        <f t="shared" si="2"/>
        <v>0.1</v>
      </c>
      <c r="G20" s="62">
        <f t="shared" si="0"/>
        <v>549.43200000000002</v>
      </c>
      <c r="H20" s="186"/>
      <c r="I20" s="28">
        <v>3.53</v>
      </c>
      <c r="J20" s="238" t="s">
        <v>623</v>
      </c>
      <c r="K20" s="83" t="s">
        <v>231</v>
      </c>
      <c r="L20" s="100" t="s">
        <v>628</v>
      </c>
      <c r="M20" s="472" t="s">
        <v>660</v>
      </c>
      <c r="N20" s="359" t="s">
        <v>661</v>
      </c>
      <c r="O20" s="206">
        <v>1</v>
      </c>
      <c r="P20" s="568" t="s">
        <v>653</v>
      </c>
      <c r="Q20" s="287">
        <v>610.48</v>
      </c>
      <c r="R20" s="188">
        <v>0.1</v>
      </c>
      <c r="S20" s="62">
        <v>549.43200000000002</v>
      </c>
      <c r="T20" s="186"/>
      <c r="U20" s="186">
        <v>2.5</v>
      </c>
      <c r="V20" s="238" t="s">
        <v>623</v>
      </c>
      <c r="W20" s="83" t="s">
        <v>231</v>
      </c>
      <c r="X20" s="100" t="s">
        <v>628</v>
      </c>
    </row>
    <row r="21" spans="1:24" s="1" customFormat="1" ht="13.5" thickBot="1">
      <c r="A21" s="473" t="s">
        <v>662</v>
      </c>
      <c r="B21" s="359" t="s">
        <v>663</v>
      </c>
      <c r="C21" s="206">
        <v>1</v>
      </c>
      <c r="D21" s="568" t="s">
        <v>653</v>
      </c>
      <c r="E21" s="287">
        <v>400.96</v>
      </c>
      <c r="F21" s="188">
        <f t="shared" si="2"/>
        <v>0.1</v>
      </c>
      <c r="G21" s="62">
        <f t="shared" si="0"/>
        <v>360.86399999999998</v>
      </c>
      <c r="H21" s="186"/>
      <c r="I21" s="28">
        <v>3.53</v>
      </c>
      <c r="J21" s="238" t="s">
        <v>623</v>
      </c>
      <c r="K21" s="83" t="s">
        <v>231</v>
      </c>
      <c r="L21" s="100" t="s">
        <v>628</v>
      </c>
      <c r="M21" s="473" t="s">
        <v>662</v>
      </c>
      <c r="N21" s="359" t="s">
        <v>663</v>
      </c>
      <c r="O21" s="206">
        <v>1</v>
      </c>
      <c r="P21" s="568" t="s">
        <v>653</v>
      </c>
      <c r="Q21" s="287">
        <v>400.96</v>
      </c>
      <c r="R21" s="188">
        <v>0.1</v>
      </c>
      <c r="S21" s="62">
        <v>360.86399999999998</v>
      </c>
      <c r="T21" s="186"/>
      <c r="U21" s="186">
        <v>2.5</v>
      </c>
      <c r="V21" s="238" t="s">
        <v>623</v>
      </c>
      <c r="W21" s="83" t="s">
        <v>231</v>
      </c>
      <c r="X21" s="100" t="s">
        <v>628</v>
      </c>
    </row>
    <row r="22" spans="1:24" s="1" customFormat="1" ht="25" customHeight="1" thickBot="1">
      <c r="A22" s="467" t="s">
        <v>664</v>
      </c>
      <c r="B22" s="340" t="s">
        <v>665</v>
      </c>
      <c r="C22" s="629"/>
      <c r="D22" s="629"/>
      <c r="E22" s="630"/>
      <c r="F22" s="631"/>
      <c r="G22" s="630"/>
      <c r="H22" s="630"/>
      <c r="I22" s="630"/>
      <c r="J22" s="459"/>
      <c r="K22" s="341"/>
      <c r="L22" s="341"/>
      <c r="M22" s="467" t="s">
        <v>664</v>
      </c>
      <c r="N22" s="340" t="s">
        <v>665</v>
      </c>
      <c r="O22" s="629"/>
      <c r="P22" s="629"/>
      <c r="Q22" s="630"/>
      <c r="R22" s="631"/>
      <c r="S22" s="630"/>
      <c r="T22" s="630"/>
      <c r="U22" s="630"/>
      <c r="V22" s="459"/>
      <c r="W22" s="341"/>
      <c r="X22" s="341"/>
    </row>
    <row r="23" spans="1:24" s="1" customFormat="1">
      <c r="A23" s="219" t="s">
        <v>666</v>
      </c>
      <c r="B23" s="205" t="s">
        <v>667</v>
      </c>
      <c r="C23" s="206">
        <v>1</v>
      </c>
      <c r="D23" s="226" t="s">
        <v>668</v>
      </c>
      <c r="E23" s="287">
        <v>5.0199999999999996</v>
      </c>
      <c r="F23" s="188">
        <f t="shared" ref="F23:F35" si="3">rv_20</f>
        <v>0.2</v>
      </c>
      <c r="G23" s="62">
        <f t="shared" ref="G23:G54" si="4">E23-(E23*F23)</f>
        <v>4.016</v>
      </c>
      <c r="H23" s="186">
        <v>2</v>
      </c>
      <c r="I23" s="28">
        <v>0.03</v>
      </c>
      <c r="J23" s="238" t="s">
        <v>669</v>
      </c>
      <c r="K23" s="83" t="s">
        <v>231</v>
      </c>
      <c r="L23" s="100" t="s">
        <v>628</v>
      </c>
      <c r="M23" s="219" t="s">
        <v>666</v>
      </c>
      <c r="N23" s="205" t="s">
        <v>667</v>
      </c>
      <c r="O23" s="206">
        <v>1</v>
      </c>
      <c r="P23" s="226" t="s">
        <v>668</v>
      </c>
      <c r="Q23" s="287">
        <v>5.0199999999999996</v>
      </c>
      <c r="R23" s="188">
        <v>0.2</v>
      </c>
      <c r="S23" s="62">
        <v>4.016</v>
      </c>
      <c r="T23" s="186">
        <v>2</v>
      </c>
      <c r="U23" s="186">
        <v>0.01</v>
      </c>
      <c r="V23" s="238" t="s">
        <v>669</v>
      </c>
      <c r="W23" s="83" t="s">
        <v>231</v>
      </c>
      <c r="X23" s="100" t="s">
        <v>628</v>
      </c>
    </row>
    <row r="24" spans="1:24" s="1" customFormat="1">
      <c r="A24" s="219" t="s">
        <v>670</v>
      </c>
      <c r="B24" s="205" t="s">
        <v>671</v>
      </c>
      <c r="C24" s="206">
        <v>1</v>
      </c>
      <c r="D24" s="226" t="s">
        <v>668</v>
      </c>
      <c r="E24" s="287">
        <v>9.18</v>
      </c>
      <c r="F24" s="188">
        <f t="shared" si="3"/>
        <v>0.2</v>
      </c>
      <c r="G24" s="62">
        <f t="shared" si="4"/>
        <v>7.3439999999999994</v>
      </c>
      <c r="H24" s="186">
        <v>2.8</v>
      </c>
      <c r="I24" s="28">
        <v>0.03</v>
      </c>
      <c r="J24" s="238" t="s">
        <v>669</v>
      </c>
      <c r="K24" s="83" t="s">
        <v>231</v>
      </c>
      <c r="L24" s="100" t="s">
        <v>628</v>
      </c>
      <c r="M24" s="219" t="s">
        <v>670</v>
      </c>
      <c r="N24" s="205" t="s">
        <v>671</v>
      </c>
      <c r="O24" s="206">
        <v>1</v>
      </c>
      <c r="P24" s="226" t="s">
        <v>668</v>
      </c>
      <c r="Q24" s="287">
        <v>9.18</v>
      </c>
      <c r="R24" s="188">
        <v>0.2</v>
      </c>
      <c r="S24" s="62">
        <v>7.3439999999999994</v>
      </c>
      <c r="T24" s="186">
        <v>2.8</v>
      </c>
      <c r="U24" s="186">
        <v>0.01</v>
      </c>
      <c r="V24" s="238" t="s">
        <v>669</v>
      </c>
      <c r="W24" s="83" t="s">
        <v>231</v>
      </c>
      <c r="X24" s="100" t="s">
        <v>628</v>
      </c>
    </row>
    <row r="25" spans="1:24" s="1" customFormat="1">
      <c r="A25" s="219" t="s">
        <v>672</v>
      </c>
      <c r="B25" s="205" t="s">
        <v>673</v>
      </c>
      <c r="C25" s="206">
        <v>1</v>
      </c>
      <c r="D25" s="226" t="s">
        <v>668</v>
      </c>
      <c r="E25" s="287">
        <v>17.52</v>
      </c>
      <c r="F25" s="188">
        <f t="shared" si="3"/>
        <v>0.2</v>
      </c>
      <c r="G25" s="62">
        <f t="shared" si="4"/>
        <v>14.016</v>
      </c>
      <c r="H25" s="186">
        <v>3.4</v>
      </c>
      <c r="I25" s="28">
        <v>0.03</v>
      </c>
      <c r="J25" s="238" t="s">
        <v>669</v>
      </c>
      <c r="K25" s="83" t="s">
        <v>231</v>
      </c>
      <c r="L25" s="100" t="s">
        <v>628</v>
      </c>
      <c r="M25" s="219" t="s">
        <v>672</v>
      </c>
      <c r="N25" s="205" t="s">
        <v>673</v>
      </c>
      <c r="O25" s="206">
        <v>1</v>
      </c>
      <c r="P25" s="226" t="s">
        <v>668</v>
      </c>
      <c r="Q25" s="287">
        <v>17.52</v>
      </c>
      <c r="R25" s="188">
        <v>0.2</v>
      </c>
      <c r="S25" s="62">
        <v>14.016</v>
      </c>
      <c r="T25" s="186">
        <v>3.4</v>
      </c>
      <c r="U25" s="186">
        <v>0.01</v>
      </c>
      <c r="V25" s="238" t="s">
        <v>669</v>
      </c>
      <c r="W25" s="83" t="s">
        <v>231</v>
      </c>
      <c r="X25" s="100" t="s">
        <v>628</v>
      </c>
    </row>
    <row r="26" spans="1:24" s="1" customFormat="1">
      <c r="A26" s="219" t="s">
        <v>674</v>
      </c>
      <c r="B26" s="205" t="s">
        <v>675</v>
      </c>
      <c r="C26" s="206">
        <v>1</v>
      </c>
      <c r="D26" s="226" t="s">
        <v>668</v>
      </c>
      <c r="E26" s="287">
        <v>44.04</v>
      </c>
      <c r="F26" s="188">
        <f t="shared" si="3"/>
        <v>0.2</v>
      </c>
      <c r="G26" s="62">
        <f t="shared" si="4"/>
        <v>35.231999999999999</v>
      </c>
      <c r="H26" s="186">
        <v>4</v>
      </c>
      <c r="I26" s="28">
        <v>0.03</v>
      </c>
      <c r="J26" s="238" t="s">
        <v>669</v>
      </c>
      <c r="K26" s="83" t="s">
        <v>231</v>
      </c>
      <c r="L26" s="100" t="s">
        <v>628</v>
      </c>
      <c r="M26" s="219" t="s">
        <v>674</v>
      </c>
      <c r="N26" s="205" t="s">
        <v>675</v>
      </c>
      <c r="O26" s="206">
        <v>1</v>
      </c>
      <c r="P26" s="226" t="s">
        <v>668</v>
      </c>
      <c r="Q26" s="287">
        <v>44.04</v>
      </c>
      <c r="R26" s="188">
        <v>0.2</v>
      </c>
      <c r="S26" s="62">
        <v>35.231999999999999</v>
      </c>
      <c r="T26" s="186">
        <v>4</v>
      </c>
      <c r="U26" s="186">
        <v>0.01</v>
      </c>
      <c r="V26" s="238" t="s">
        <v>669</v>
      </c>
      <c r="W26" s="83" t="s">
        <v>231</v>
      </c>
      <c r="X26" s="100" t="s">
        <v>628</v>
      </c>
    </row>
    <row r="27" spans="1:24" s="1" customFormat="1">
      <c r="A27" s="219">
        <v>49062</v>
      </c>
      <c r="B27" s="205" t="s">
        <v>676</v>
      </c>
      <c r="C27" s="206">
        <v>1</v>
      </c>
      <c r="D27" s="226" t="s">
        <v>677</v>
      </c>
      <c r="E27" s="287">
        <v>5.07</v>
      </c>
      <c r="F27" s="188">
        <f t="shared" si="3"/>
        <v>0.2</v>
      </c>
      <c r="G27" s="62">
        <f t="shared" si="4"/>
        <v>4.056</v>
      </c>
      <c r="H27" s="186">
        <v>1</v>
      </c>
      <c r="I27" s="28">
        <v>0.03</v>
      </c>
      <c r="J27" s="238" t="s">
        <v>669</v>
      </c>
      <c r="K27" s="83" t="s">
        <v>231</v>
      </c>
      <c r="L27" s="100" t="s">
        <v>628</v>
      </c>
      <c r="M27" s="219">
        <v>49062</v>
      </c>
      <c r="N27" s="205" t="s">
        <v>676</v>
      </c>
      <c r="O27" s="206">
        <v>1</v>
      </c>
      <c r="P27" s="226" t="s">
        <v>677</v>
      </c>
      <c r="Q27" s="287">
        <v>5.07</v>
      </c>
      <c r="R27" s="188">
        <v>0.2</v>
      </c>
      <c r="S27" s="62">
        <v>4.056</v>
      </c>
      <c r="T27" s="186">
        <v>1</v>
      </c>
      <c r="U27" s="186">
        <v>0.01</v>
      </c>
      <c r="V27" s="238" t="s">
        <v>669</v>
      </c>
      <c r="W27" s="83" t="s">
        <v>231</v>
      </c>
      <c r="X27" s="100" t="s">
        <v>628</v>
      </c>
    </row>
    <row r="28" spans="1:24" s="1" customFormat="1">
      <c r="A28" s="219">
        <v>49063</v>
      </c>
      <c r="B28" s="205" t="s">
        <v>678</v>
      </c>
      <c r="C28" s="206">
        <v>1</v>
      </c>
      <c r="D28" s="226" t="s">
        <v>677</v>
      </c>
      <c r="E28" s="287">
        <v>6.32</v>
      </c>
      <c r="F28" s="188">
        <f t="shared" si="3"/>
        <v>0.2</v>
      </c>
      <c r="G28" s="62">
        <f t="shared" si="4"/>
        <v>5.056</v>
      </c>
      <c r="H28" s="186">
        <v>1.5</v>
      </c>
      <c r="I28" s="28">
        <v>0.03</v>
      </c>
      <c r="J28" s="238" t="s">
        <v>669</v>
      </c>
      <c r="K28" s="83" t="s">
        <v>231</v>
      </c>
      <c r="L28" s="100" t="s">
        <v>628</v>
      </c>
      <c r="M28" s="219">
        <v>49063</v>
      </c>
      <c r="N28" s="205" t="s">
        <v>678</v>
      </c>
      <c r="O28" s="206">
        <v>1</v>
      </c>
      <c r="P28" s="226" t="s">
        <v>677</v>
      </c>
      <c r="Q28" s="287">
        <v>6.32</v>
      </c>
      <c r="R28" s="188">
        <v>0.2</v>
      </c>
      <c r="S28" s="62">
        <v>5.056</v>
      </c>
      <c r="T28" s="186">
        <v>1.5</v>
      </c>
      <c r="U28" s="186">
        <v>0.01</v>
      </c>
      <c r="V28" s="238" t="s">
        <v>669</v>
      </c>
      <c r="W28" s="83" t="s">
        <v>231</v>
      </c>
      <c r="X28" s="100" t="s">
        <v>628</v>
      </c>
    </row>
    <row r="29" spans="1:24" s="1" customFormat="1">
      <c r="A29" s="219" t="s">
        <v>679</v>
      </c>
      <c r="B29" s="205" t="s">
        <v>680</v>
      </c>
      <c r="C29" s="206">
        <v>1</v>
      </c>
      <c r="D29" s="226" t="s">
        <v>681</v>
      </c>
      <c r="E29" s="287">
        <v>15.33</v>
      </c>
      <c r="F29" s="188">
        <f t="shared" si="3"/>
        <v>0.2</v>
      </c>
      <c r="G29" s="62">
        <f t="shared" si="4"/>
        <v>12.263999999999999</v>
      </c>
      <c r="H29" s="186">
        <v>2</v>
      </c>
      <c r="I29" s="28">
        <v>0.03</v>
      </c>
      <c r="J29" s="238" t="s">
        <v>669</v>
      </c>
      <c r="K29" s="83" t="s">
        <v>231</v>
      </c>
      <c r="L29" s="100" t="s">
        <v>628</v>
      </c>
      <c r="M29" s="219" t="s">
        <v>679</v>
      </c>
      <c r="N29" s="205" t="s">
        <v>680</v>
      </c>
      <c r="O29" s="206">
        <v>1</v>
      </c>
      <c r="P29" s="226" t="s">
        <v>681</v>
      </c>
      <c r="Q29" s="287">
        <v>15.33</v>
      </c>
      <c r="R29" s="188">
        <v>0.2</v>
      </c>
      <c r="S29" s="62">
        <v>12.263999999999999</v>
      </c>
      <c r="T29" s="186">
        <v>2</v>
      </c>
      <c r="U29" s="186">
        <v>0.01</v>
      </c>
      <c r="V29" s="238" t="s">
        <v>669</v>
      </c>
      <c r="W29" s="83" t="s">
        <v>231</v>
      </c>
      <c r="X29" s="100" t="s">
        <v>628</v>
      </c>
    </row>
    <row r="30" spans="1:24" s="1" customFormat="1">
      <c r="A30" s="219" t="s">
        <v>682</v>
      </c>
      <c r="B30" s="205" t="s">
        <v>683</v>
      </c>
      <c r="C30" s="206">
        <v>1</v>
      </c>
      <c r="D30" s="226" t="s">
        <v>681</v>
      </c>
      <c r="E30" s="287">
        <v>22.49</v>
      </c>
      <c r="F30" s="188">
        <f t="shared" si="3"/>
        <v>0.2</v>
      </c>
      <c r="G30" s="62">
        <f t="shared" si="4"/>
        <v>17.991999999999997</v>
      </c>
      <c r="H30" s="186">
        <v>2.8</v>
      </c>
      <c r="I30" s="28">
        <v>0.03</v>
      </c>
      <c r="J30" s="238" t="s">
        <v>669</v>
      </c>
      <c r="K30" s="83" t="s">
        <v>231</v>
      </c>
      <c r="L30" s="100" t="s">
        <v>628</v>
      </c>
      <c r="M30" s="219" t="s">
        <v>682</v>
      </c>
      <c r="N30" s="205" t="s">
        <v>683</v>
      </c>
      <c r="O30" s="206">
        <v>1</v>
      </c>
      <c r="P30" s="226" t="s">
        <v>681</v>
      </c>
      <c r="Q30" s="287">
        <v>22.49</v>
      </c>
      <c r="R30" s="188">
        <v>0.2</v>
      </c>
      <c r="S30" s="62">
        <v>17.991999999999997</v>
      </c>
      <c r="T30" s="186">
        <v>2.8</v>
      </c>
      <c r="U30" s="186">
        <v>0.01</v>
      </c>
      <c r="V30" s="238" t="s">
        <v>669</v>
      </c>
      <c r="W30" s="83" t="s">
        <v>231</v>
      </c>
      <c r="X30" s="100" t="s">
        <v>628</v>
      </c>
    </row>
    <row r="31" spans="1:24" s="1" customFormat="1">
      <c r="A31" s="219" t="s">
        <v>684</v>
      </c>
      <c r="B31" s="205" t="s">
        <v>685</v>
      </c>
      <c r="C31" s="206">
        <v>1</v>
      </c>
      <c r="D31" s="226" t="s">
        <v>681</v>
      </c>
      <c r="E31" s="287">
        <v>32.99</v>
      </c>
      <c r="F31" s="188">
        <f t="shared" si="3"/>
        <v>0.2</v>
      </c>
      <c r="G31" s="62">
        <f t="shared" si="4"/>
        <v>26.392000000000003</v>
      </c>
      <c r="H31" s="186">
        <v>3.4</v>
      </c>
      <c r="I31" s="28">
        <v>0.03</v>
      </c>
      <c r="J31" s="238" t="s">
        <v>669</v>
      </c>
      <c r="K31" s="83" t="s">
        <v>231</v>
      </c>
      <c r="L31" s="100" t="s">
        <v>628</v>
      </c>
      <c r="M31" s="219" t="s">
        <v>684</v>
      </c>
      <c r="N31" s="205" t="s">
        <v>685</v>
      </c>
      <c r="O31" s="206">
        <v>1</v>
      </c>
      <c r="P31" s="226" t="s">
        <v>681</v>
      </c>
      <c r="Q31" s="287">
        <v>32.99</v>
      </c>
      <c r="R31" s="188">
        <v>0.2</v>
      </c>
      <c r="S31" s="62">
        <v>26.392000000000003</v>
      </c>
      <c r="T31" s="186">
        <v>3.4</v>
      </c>
      <c r="U31" s="186">
        <v>0.01</v>
      </c>
      <c r="V31" s="238" t="s">
        <v>669</v>
      </c>
      <c r="W31" s="83" t="s">
        <v>231</v>
      </c>
      <c r="X31" s="100" t="s">
        <v>628</v>
      </c>
    </row>
    <row r="32" spans="1:24" s="1" customFormat="1">
      <c r="A32" s="219" t="s">
        <v>686</v>
      </c>
      <c r="B32" s="205" t="s">
        <v>687</v>
      </c>
      <c r="C32" s="206">
        <v>1</v>
      </c>
      <c r="D32" s="226" t="s">
        <v>681</v>
      </c>
      <c r="E32" s="287">
        <v>70.989999999999995</v>
      </c>
      <c r="F32" s="188">
        <f t="shared" si="3"/>
        <v>0.2</v>
      </c>
      <c r="G32" s="62">
        <f t="shared" si="4"/>
        <v>56.791999999999994</v>
      </c>
      <c r="H32" s="186">
        <v>4</v>
      </c>
      <c r="I32" s="28">
        <v>0.03</v>
      </c>
      <c r="J32" s="238" t="s">
        <v>669</v>
      </c>
      <c r="K32" s="83" t="s">
        <v>231</v>
      </c>
      <c r="L32" s="100" t="s">
        <v>628</v>
      </c>
      <c r="M32" s="219" t="s">
        <v>686</v>
      </c>
      <c r="N32" s="205" t="s">
        <v>687</v>
      </c>
      <c r="O32" s="206">
        <v>1</v>
      </c>
      <c r="P32" s="226" t="s">
        <v>681</v>
      </c>
      <c r="Q32" s="287">
        <v>70.989999999999995</v>
      </c>
      <c r="R32" s="188">
        <v>0.2</v>
      </c>
      <c r="S32" s="62">
        <v>56.791999999999994</v>
      </c>
      <c r="T32" s="186">
        <v>4</v>
      </c>
      <c r="U32" s="186">
        <v>0.01</v>
      </c>
      <c r="V32" s="238" t="s">
        <v>669</v>
      </c>
      <c r="W32" s="83" t="s">
        <v>231</v>
      </c>
      <c r="X32" s="100" t="s">
        <v>628</v>
      </c>
    </row>
    <row r="33" spans="1:24" s="1" customFormat="1">
      <c r="A33" s="219" t="s">
        <v>688</v>
      </c>
      <c r="B33" s="205" t="s">
        <v>689</v>
      </c>
      <c r="C33" s="206">
        <v>1</v>
      </c>
      <c r="D33" s="226" t="s">
        <v>648</v>
      </c>
      <c r="E33" s="287">
        <v>16.579999999999998</v>
      </c>
      <c r="F33" s="188">
        <f t="shared" si="3"/>
        <v>0.2</v>
      </c>
      <c r="G33" s="62">
        <f t="shared" si="4"/>
        <v>13.263999999999999</v>
      </c>
      <c r="H33" s="186">
        <v>2.8</v>
      </c>
      <c r="I33" s="28">
        <v>0.11</v>
      </c>
      <c r="J33" s="238" t="s">
        <v>669</v>
      </c>
      <c r="K33" s="83" t="s">
        <v>231</v>
      </c>
      <c r="L33" s="100" t="s">
        <v>628</v>
      </c>
      <c r="M33" s="219" t="s">
        <v>688</v>
      </c>
      <c r="N33" s="205" t="s">
        <v>689</v>
      </c>
      <c r="O33" s="206">
        <v>1</v>
      </c>
      <c r="P33" s="226" t="s">
        <v>648</v>
      </c>
      <c r="Q33" s="287">
        <v>16.579999999999998</v>
      </c>
      <c r="R33" s="188">
        <v>0.2</v>
      </c>
      <c r="S33" s="62">
        <v>13.263999999999999</v>
      </c>
      <c r="T33" s="186">
        <v>2.8</v>
      </c>
      <c r="U33" s="186">
        <v>0.02</v>
      </c>
      <c r="V33" s="238" t="s">
        <v>669</v>
      </c>
      <c r="W33" s="83" t="s">
        <v>231</v>
      </c>
      <c r="X33" s="100" t="s">
        <v>628</v>
      </c>
    </row>
    <row r="34" spans="1:24" s="1" customFormat="1">
      <c r="A34" s="219" t="s">
        <v>690</v>
      </c>
      <c r="B34" s="205" t="s">
        <v>691</v>
      </c>
      <c r="C34" s="206">
        <v>1</v>
      </c>
      <c r="D34" s="226" t="s">
        <v>648</v>
      </c>
      <c r="E34" s="287">
        <v>24.92</v>
      </c>
      <c r="F34" s="188">
        <f t="shared" si="3"/>
        <v>0.2</v>
      </c>
      <c r="G34" s="62">
        <f t="shared" si="4"/>
        <v>19.936</v>
      </c>
      <c r="H34" s="186">
        <v>3.4</v>
      </c>
      <c r="I34" s="28">
        <v>0.11</v>
      </c>
      <c r="J34" s="238" t="s">
        <v>669</v>
      </c>
      <c r="K34" s="83" t="s">
        <v>231</v>
      </c>
      <c r="L34" s="100" t="s">
        <v>628</v>
      </c>
      <c r="M34" s="219" t="s">
        <v>690</v>
      </c>
      <c r="N34" s="205" t="s">
        <v>691</v>
      </c>
      <c r="O34" s="206">
        <v>1</v>
      </c>
      <c r="P34" s="226" t="s">
        <v>648</v>
      </c>
      <c r="Q34" s="287">
        <v>24.92</v>
      </c>
      <c r="R34" s="188">
        <v>0.2</v>
      </c>
      <c r="S34" s="62">
        <v>19.936</v>
      </c>
      <c r="T34" s="186">
        <v>3.4</v>
      </c>
      <c r="U34" s="186">
        <v>0.02</v>
      </c>
      <c r="V34" s="238" t="s">
        <v>669</v>
      </c>
      <c r="W34" s="83" t="s">
        <v>231</v>
      </c>
      <c r="X34" s="100" t="s">
        <v>628</v>
      </c>
    </row>
    <row r="35" spans="1:24" s="1" customFormat="1">
      <c r="A35" s="219" t="s">
        <v>692</v>
      </c>
      <c r="B35" s="205" t="s">
        <v>693</v>
      </c>
      <c r="C35" s="206">
        <v>1</v>
      </c>
      <c r="D35" s="226" t="s">
        <v>648</v>
      </c>
      <c r="E35" s="287">
        <v>59.88</v>
      </c>
      <c r="F35" s="188">
        <f t="shared" si="3"/>
        <v>0.2</v>
      </c>
      <c r="G35" s="62">
        <f t="shared" si="4"/>
        <v>47.904000000000003</v>
      </c>
      <c r="H35" s="186">
        <v>4</v>
      </c>
      <c r="I35" s="28">
        <v>0.11</v>
      </c>
      <c r="J35" s="238" t="s">
        <v>669</v>
      </c>
      <c r="K35" s="83" t="s">
        <v>231</v>
      </c>
      <c r="L35" s="100" t="s">
        <v>628</v>
      </c>
      <c r="M35" s="219" t="s">
        <v>692</v>
      </c>
      <c r="N35" s="205" t="s">
        <v>693</v>
      </c>
      <c r="O35" s="206">
        <v>1</v>
      </c>
      <c r="P35" s="226" t="s">
        <v>648</v>
      </c>
      <c r="Q35" s="287">
        <v>59.88</v>
      </c>
      <c r="R35" s="188">
        <v>0.2</v>
      </c>
      <c r="S35" s="62">
        <v>47.904000000000003</v>
      </c>
      <c r="T35" s="186">
        <v>4</v>
      </c>
      <c r="U35" s="186">
        <v>0.02</v>
      </c>
      <c r="V35" s="238" t="s">
        <v>669</v>
      </c>
      <c r="W35" s="83" t="s">
        <v>231</v>
      </c>
      <c r="X35" s="100" t="s">
        <v>628</v>
      </c>
    </row>
    <row r="36" spans="1:24" s="1" customFormat="1">
      <c r="A36" s="219" t="s">
        <v>694</v>
      </c>
      <c r="B36" s="205" t="s">
        <v>695</v>
      </c>
      <c r="C36" s="206">
        <v>1</v>
      </c>
      <c r="D36" s="207" t="s">
        <v>668</v>
      </c>
      <c r="E36" s="290">
        <v>57.95</v>
      </c>
      <c r="F36" s="188">
        <f>rv_10</f>
        <v>0.1</v>
      </c>
      <c r="G36" s="62">
        <f t="shared" si="4"/>
        <v>52.155000000000001</v>
      </c>
      <c r="H36" s="203">
        <v>4</v>
      </c>
      <c r="I36" s="28">
        <v>0.03</v>
      </c>
      <c r="J36" s="238" t="s">
        <v>669</v>
      </c>
      <c r="K36" s="83" t="s">
        <v>231</v>
      </c>
      <c r="L36" s="100" t="s">
        <v>628</v>
      </c>
      <c r="M36" s="219" t="s">
        <v>694</v>
      </c>
      <c r="N36" s="205" t="s">
        <v>695</v>
      </c>
      <c r="O36" s="206">
        <v>1</v>
      </c>
      <c r="P36" s="207" t="s">
        <v>668</v>
      </c>
      <c r="Q36" s="290">
        <v>57.95</v>
      </c>
      <c r="R36" s="188">
        <v>0.1</v>
      </c>
      <c r="S36" s="62">
        <v>52.155000000000001</v>
      </c>
      <c r="T36" s="203">
        <v>4</v>
      </c>
      <c r="U36" s="186">
        <v>0.01</v>
      </c>
      <c r="V36" s="238" t="s">
        <v>669</v>
      </c>
      <c r="W36" s="83" t="s">
        <v>231</v>
      </c>
      <c r="X36" s="100" t="s">
        <v>628</v>
      </c>
    </row>
    <row r="37" spans="1:24" s="1" customFormat="1">
      <c r="A37" s="219" t="s">
        <v>696</v>
      </c>
      <c r="B37" s="205" t="s">
        <v>697</v>
      </c>
      <c r="C37" s="206">
        <v>1</v>
      </c>
      <c r="D37" s="207" t="s">
        <v>668</v>
      </c>
      <c r="E37" s="290">
        <v>99.95</v>
      </c>
      <c r="F37" s="188">
        <f>rv_10</f>
        <v>0.1</v>
      </c>
      <c r="G37" s="62">
        <f t="shared" si="4"/>
        <v>89.954999999999998</v>
      </c>
      <c r="H37" s="203">
        <v>4.5999999999999996</v>
      </c>
      <c r="I37" s="28">
        <v>0.03</v>
      </c>
      <c r="J37" s="238" t="s">
        <v>669</v>
      </c>
      <c r="K37" s="83" t="s">
        <v>231</v>
      </c>
      <c r="L37" s="100" t="s">
        <v>628</v>
      </c>
      <c r="M37" s="219" t="s">
        <v>696</v>
      </c>
      <c r="N37" s="205" t="s">
        <v>697</v>
      </c>
      <c r="O37" s="206">
        <v>1</v>
      </c>
      <c r="P37" s="207" t="s">
        <v>668</v>
      </c>
      <c r="Q37" s="290">
        <v>99.95</v>
      </c>
      <c r="R37" s="188">
        <v>0.1</v>
      </c>
      <c r="S37" s="62">
        <v>89.954999999999998</v>
      </c>
      <c r="T37" s="203">
        <v>4.5999999999999996</v>
      </c>
      <c r="U37" s="186">
        <v>0.01</v>
      </c>
      <c r="V37" s="238" t="s">
        <v>669</v>
      </c>
      <c r="W37" s="83" t="s">
        <v>231</v>
      </c>
      <c r="X37" s="100" t="s">
        <v>628</v>
      </c>
    </row>
    <row r="38" spans="1:24" s="1" customFormat="1">
      <c r="A38" s="219" t="s">
        <v>698</v>
      </c>
      <c r="B38" s="205" t="s">
        <v>699</v>
      </c>
      <c r="C38" s="206">
        <v>1</v>
      </c>
      <c r="D38" s="207" t="s">
        <v>668</v>
      </c>
      <c r="E38" s="290">
        <v>174.95</v>
      </c>
      <c r="F38" s="188">
        <f>rv_10</f>
        <v>0.1</v>
      </c>
      <c r="G38" s="62">
        <f t="shared" si="4"/>
        <v>157.45499999999998</v>
      </c>
      <c r="H38" s="203">
        <v>4.5999999999999996</v>
      </c>
      <c r="I38" s="28">
        <v>0.03</v>
      </c>
      <c r="J38" s="238" t="s">
        <v>669</v>
      </c>
      <c r="K38" s="83" t="s">
        <v>231</v>
      </c>
      <c r="L38" s="100" t="s">
        <v>628</v>
      </c>
      <c r="M38" s="219" t="s">
        <v>698</v>
      </c>
      <c r="N38" s="205" t="s">
        <v>699</v>
      </c>
      <c r="O38" s="206">
        <v>1</v>
      </c>
      <c r="P38" s="207" t="s">
        <v>668</v>
      </c>
      <c r="Q38" s="290">
        <v>174.95</v>
      </c>
      <c r="R38" s="188">
        <v>0.1</v>
      </c>
      <c r="S38" s="62">
        <v>157.45499999999998</v>
      </c>
      <c r="T38" s="203">
        <v>4.5999999999999996</v>
      </c>
      <c r="U38" s="186">
        <v>0.01</v>
      </c>
      <c r="V38" s="238" t="s">
        <v>669</v>
      </c>
      <c r="W38" s="83" t="s">
        <v>231</v>
      </c>
      <c r="X38" s="100" t="s">
        <v>628</v>
      </c>
    </row>
    <row r="39" spans="1:24" s="1" customFormat="1">
      <c r="A39" s="219" t="s">
        <v>3016</v>
      </c>
      <c r="B39" s="205" t="s">
        <v>2724</v>
      </c>
      <c r="C39" s="206">
        <v>1</v>
      </c>
      <c r="D39" s="207" t="s">
        <v>700</v>
      </c>
      <c r="E39" s="287">
        <v>133.33000000000001</v>
      </c>
      <c r="F39" s="188">
        <f>rv_20</f>
        <v>0.2</v>
      </c>
      <c r="G39" s="62">
        <f>E39-(E39*F39)</f>
        <v>106.66400000000002</v>
      </c>
      <c r="H39" s="203">
        <v>6</v>
      </c>
      <c r="I39" s="28">
        <v>0.04</v>
      </c>
      <c r="J39" s="238" t="s">
        <v>669</v>
      </c>
      <c r="K39" s="83" t="s">
        <v>231</v>
      </c>
      <c r="L39" s="100" t="s">
        <v>628</v>
      </c>
      <c r="M39" s="219" t="s">
        <v>3016</v>
      </c>
      <c r="N39" s="205" t="s">
        <v>2724</v>
      </c>
      <c r="O39" s="206">
        <v>1</v>
      </c>
      <c r="P39" s="207" t="s">
        <v>700</v>
      </c>
      <c r="Q39" s="287">
        <v>133.33000000000001</v>
      </c>
      <c r="R39" s="188">
        <v>0.2</v>
      </c>
      <c r="S39" s="62">
        <v>106.66400000000002</v>
      </c>
      <c r="T39" s="203">
        <v>6</v>
      </c>
      <c r="U39" s="186">
        <v>0.02</v>
      </c>
      <c r="V39" s="238" t="s">
        <v>669</v>
      </c>
      <c r="W39" s="83" t="s">
        <v>231</v>
      </c>
      <c r="X39" s="100" t="s">
        <v>628</v>
      </c>
    </row>
    <row r="40" spans="1:24" s="1" customFormat="1">
      <c r="A40" s="219" t="s">
        <v>3017</v>
      </c>
      <c r="B40" s="205" t="s">
        <v>2725</v>
      </c>
      <c r="C40" s="206">
        <v>1</v>
      </c>
      <c r="D40" s="207" t="s">
        <v>700</v>
      </c>
      <c r="E40" s="287">
        <v>216.66</v>
      </c>
      <c r="F40" s="188">
        <f>rv_20</f>
        <v>0.2</v>
      </c>
      <c r="G40" s="62">
        <f>E40-(E40*F40)</f>
        <v>173.328</v>
      </c>
      <c r="H40" s="203">
        <v>6</v>
      </c>
      <c r="I40" s="28">
        <v>0.04</v>
      </c>
      <c r="J40" s="238" t="s">
        <v>669</v>
      </c>
      <c r="K40" s="83" t="s">
        <v>231</v>
      </c>
      <c r="L40" s="100" t="s">
        <v>628</v>
      </c>
      <c r="M40" s="219" t="s">
        <v>3017</v>
      </c>
      <c r="N40" s="205" t="s">
        <v>2725</v>
      </c>
      <c r="O40" s="206">
        <v>1</v>
      </c>
      <c r="P40" s="207" t="s">
        <v>700</v>
      </c>
      <c r="Q40" s="287">
        <v>216.66</v>
      </c>
      <c r="R40" s="188">
        <v>0.2</v>
      </c>
      <c r="S40" s="62">
        <v>173.328</v>
      </c>
      <c r="T40" s="203">
        <v>6</v>
      </c>
      <c r="U40" s="186">
        <v>0.02</v>
      </c>
      <c r="V40" s="238" t="s">
        <v>669</v>
      </c>
      <c r="W40" s="83" t="s">
        <v>231</v>
      </c>
      <c r="X40" s="100" t="s">
        <v>628</v>
      </c>
    </row>
    <row r="41" spans="1:24" s="1" customFormat="1">
      <c r="A41" s="219" t="s">
        <v>3018</v>
      </c>
      <c r="B41" s="205" t="s">
        <v>2726</v>
      </c>
      <c r="C41" s="206">
        <v>1</v>
      </c>
      <c r="D41" s="207" t="s">
        <v>700</v>
      </c>
      <c r="E41" s="287">
        <v>408.33</v>
      </c>
      <c r="F41" s="188">
        <f>rv_20</f>
        <v>0.2</v>
      </c>
      <c r="G41" s="62">
        <f>E41-(E41*F41)</f>
        <v>326.66399999999999</v>
      </c>
      <c r="H41" s="203">
        <v>6</v>
      </c>
      <c r="I41" s="28">
        <v>0.04</v>
      </c>
      <c r="J41" s="238" t="s">
        <v>669</v>
      </c>
      <c r="K41" s="83" t="s">
        <v>231</v>
      </c>
      <c r="L41" s="100" t="s">
        <v>628</v>
      </c>
      <c r="M41" s="219" t="s">
        <v>3018</v>
      </c>
      <c r="N41" s="205" t="s">
        <v>2726</v>
      </c>
      <c r="O41" s="206">
        <v>1</v>
      </c>
      <c r="P41" s="207" t="s">
        <v>700</v>
      </c>
      <c r="Q41" s="287">
        <v>408.33</v>
      </c>
      <c r="R41" s="188">
        <v>0.2</v>
      </c>
      <c r="S41" s="62">
        <v>326.66399999999999</v>
      </c>
      <c r="T41" s="203">
        <v>6</v>
      </c>
      <c r="U41" s="186">
        <v>0.02</v>
      </c>
      <c r="V41" s="238" t="s">
        <v>669</v>
      </c>
      <c r="W41" s="83" t="s">
        <v>231</v>
      </c>
      <c r="X41" s="100" t="s">
        <v>628</v>
      </c>
    </row>
    <row r="42" spans="1:24" s="1" customFormat="1">
      <c r="A42" s="219" t="s">
        <v>701</v>
      </c>
      <c r="B42" s="205" t="s">
        <v>702</v>
      </c>
      <c r="C42" s="206">
        <v>1</v>
      </c>
      <c r="D42" s="207" t="s">
        <v>700</v>
      </c>
      <c r="E42" s="287">
        <v>183.33</v>
      </c>
      <c r="F42" s="188">
        <f t="shared" ref="F42:F76" si="5">rv_20</f>
        <v>0.2</v>
      </c>
      <c r="G42" s="62">
        <f t="shared" si="4"/>
        <v>146.66400000000002</v>
      </c>
      <c r="H42" s="203">
        <v>6</v>
      </c>
      <c r="I42" s="28">
        <v>0.06</v>
      </c>
      <c r="J42" s="238" t="s">
        <v>669</v>
      </c>
      <c r="K42" s="83" t="s">
        <v>231</v>
      </c>
      <c r="L42" s="100" t="s">
        <v>628</v>
      </c>
      <c r="M42" s="219" t="s">
        <v>701</v>
      </c>
      <c r="N42" s="205" t="s">
        <v>702</v>
      </c>
      <c r="O42" s="206">
        <v>1</v>
      </c>
      <c r="P42" s="207" t="s">
        <v>700</v>
      </c>
      <c r="Q42" s="287">
        <v>183.33</v>
      </c>
      <c r="R42" s="188">
        <v>0.2</v>
      </c>
      <c r="S42" s="62">
        <v>146.66400000000002</v>
      </c>
      <c r="T42" s="203">
        <v>6</v>
      </c>
      <c r="U42" s="186">
        <v>0.38</v>
      </c>
      <c r="V42" s="238" t="s">
        <v>669</v>
      </c>
      <c r="W42" s="83" t="s">
        <v>231</v>
      </c>
      <c r="X42" s="100" t="s">
        <v>628</v>
      </c>
    </row>
    <row r="43" spans="1:24" s="1" customFormat="1">
      <c r="A43" s="219" t="s">
        <v>703</v>
      </c>
      <c r="B43" s="205" t="s">
        <v>704</v>
      </c>
      <c r="C43" s="206">
        <v>1</v>
      </c>
      <c r="D43" s="207" t="s">
        <v>700</v>
      </c>
      <c r="E43" s="287">
        <v>249.99</v>
      </c>
      <c r="F43" s="188">
        <f t="shared" si="5"/>
        <v>0.2</v>
      </c>
      <c r="G43" s="62">
        <f t="shared" si="4"/>
        <v>199.99200000000002</v>
      </c>
      <c r="H43" s="203">
        <v>6</v>
      </c>
      <c r="I43" s="28">
        <v>0.06</v>
      </c>
      <c r="J43" s="238" t="s">
        <v>669</v>
      </c>
      <c r="K43" s="83" t="s">
        <v>231</v>
      </c>
      <c r="L43" s="100" t="s">
        <v>628</v>
      </c>
      <c r="M43" s="219" t="s">
        <v>703</v>
      </c>
      <c r="N43" s="205" t="s">
        <v>704</v>
      </c>
      <c r="O43" s="206">
        <v>1</v>
      </c>
      <c r="P43" s="207" t="s">
        <v>700</v>
      </c>
      <c r="Q43" s="287">
        <v>249.99</v>
      </c>
      <c r="R43" s="188">
        <v>0.2</v>
      </c>
      <c r="S43" s="62">
        <v>199.99200000000002</v>
      </c>
      <c r="T43" s="203">
        <v>6</v>
      </c>
      <c r="U43" s="186">
        <v>0.38</v>
      </c>
      <c r="V43" s="238" t="s">
        <v>669</v>
      </c>
      <c r="W43" s="83" t="s">
        <v>231</v>
      </c>
      <c r="X43" s="100" t="s">
        <v>628</v>
      </c>
    </row>
    <row r="44" spans="1:24" s="1" customFormat="1">
      <c r="A44" s="219" t="s">
        <v>705</v>
      </c>
      <c r="B44" s="205" t="s">
        <v>706</v>
      </c>
      <c r="C44" s="206">
        <v>1</v>
      </c>
      <c r="D44" s="207" t="s">
        <v>700</v>
      </c>
      <c r="E44" s="287">
        <v>374.99</v>
      </c>
      <c r="F44" s="188">
        <f t="shared" si="5"/>
        <v>0.2</v>
      </c>
      <c r="G44" s="62">
        <f t="shared" si="4"/>
        <v>299.99200000000002</v>
      </c>
      <c r="H44" s="203">
        <v>6</v>
      </c>
      <c r="I44" s="28">
        <v>0.06</v>
      </c>
      <c r="J44" s="238" t="s">
        <v>669</v>
      </c>
      <c r="K44" s="83" t="s">
        <v>231</v>
      </c>
      <c r="L44" s="100" t="s">
        <v>628</v>
      </c>
      <c r="M44" s="219" t="s">
        <v>705</v>
      </c>
      <c r="N44" s="205" t="s">
        <v>706</v>
      </c>
      <c r="O44" s="206">
        <v>1</v>
      </c>
      <c r="P44" s="207" t="s">
        <v>700</v>
      </c>
      <c r="Q44" s="287">
        <v>374.99</v>
      </c>
      <c r="R44" s="188">
        <v>0.2</v>
      </c>
      <c r="S44" s="62">
        <v>299.99200000000002</v>
      </c>
      <c r="T44" s="203">
        <v>6</v>
      </c>
      <c r="U44" s="186">
        <v>0.38</v>
      </c>
      <c r="V44" s="238" t="s">
        <v>669</v>
      </c>
      <c r="W44" s="83" t="s">
        <v>231</v>
      </c>
      <c r="X44" s="100" t="s">
        <v>628</v>
      </c>
    </row>
    <row r="45" spans="1:24" s="1" customFormat="1">
      <c r="A45" s="219" t="s">
        <v>707</v>
      </c>
      <c r="B45" s="205" t="s">
        <v>708</v>
      </c>
      <c r="C45" s="206">
        <v>1</v>
      </c>
      <c r="D45" s="207" t="s">
        <v>700</v>
      </c>
      <c r="E45" s="287">
        <v>783.33</v>
      </c>
      <c r="F45" s="188">
        <f t="shared" si="5"/>
        <v>0.2</v>
      </c>
      <c r="G45" s="62">
        <f t="shared" si="4"/>
        <v>626.66399999999999</v>
      </c>
      <c r="H45" s="203">
        <v>6</v>
      </c>
      <c r="I45" s="28">
        <v>0.06</v>
      </c>
      <c r="J45" s="238" t="s">
        <v>669</v>
      </c>
      <c r="K45" s="83" t="s">
        <v>231</v>
      </c>
      <c r="L45" s="100" t="s">
        <v>628</v>
      </c>
      <c r="M45" s="219" t="s">
        <v>707</v>
      </c>
      <c r="N45" s="205" t="s">
        <v>708</v>
      </c>
      <c r="O45" s="206">
        <v>1</v>
      </c>
      <c r="P45" s="207" t="s">
        <v>700</v>
      </c>
      <c r="Q45" s="287">
        <v>783.33</v>
      </c>
      <c r="R45" s="188">
        <v>0.2</v>
      </c>
      <c r="S45" s="62">
        <v>626.66399999999999</v>
      </c>
      <c r="T45" s="203">
        <v>6</v>
      </c>
      <c r="U45" s="186">
        <v>0.38</v>
      </c>
      <c r="V45" s="238" t="s">
        <v>669</v>
      </c>
      <c r="W45" s="83" t="s">
        <v>231</v>
      </c>
      <c r="X45" s="100" t="s">
        <v>628</v>
      </c>
    </row>
    <row r="46" spans="1:24" s="1" customFormat="1">
      <c r="A46" s="219" t="s">
        <v>709</v>
      </c>
      <c r="B46" s="205" t="s">
        <v>710</v>
      </c>
      <c r="C46" s="206">
        <v>1</v>
      </c>
      <c r="D46" s="207" t="s">
        <v>700</v>
      </c>
      <c r="E46" s="287">
        <v>299.99</v>
      </c>
      <c r="F46" s="188">
        <f t="shared" si="5"/>
        <v>0.2</v>
      </c>
      <c r="G46" s="62">
        <f t="shared" si="4"/>
        <v>239.99200000000002</v>
      </c>
      <c r="H46" s="203">
        <v>6</v>
      </c>
      <c r="I46" s="28">
        <v>0.06</v>
      </c>
      <c r="J46" s="238" t="s">
        <v>669</v>
      </c>
      <c r="K46" s="83" t="s">
        <v>231</v>
      </c>
      <c r="L46" s="100" t="s">
        <v>628</v>
      </c>
      <c r="M46" s="219" t="s">
        <v>709</v>
      </c>
      <c r="N46" s="205" t="s">
        <v>710</v>
      </c>
      <c r="O46" s="206">
        <v>1</v>
      </c>
      <c r="P46" s="207" t="s">
        <v>700</v>
      </c>
      <c r="Q46" s="287">
        <v>299.99</v>
      </c>
      <c r="R46" s="188">
        <v>0.2</v>
      </c>
      <c r="S46" s="62">
        <v>239.99200000000002</v>
      </c>
      <c r="T46" s="203">
        <v>6</v>
      </c>
      <c r="U46" s="186">
        <v>0.38</v>
      </c>
      <c r="V46" s="238" t="s">
        <v>669</v>
      </c>
      <c r="W46" s="83" t="s">
        <v>231</v>
      </c>
      <c r="X46" s="100" t="s">
        <v>628</v>
      </c>
    </row>
    <row r="47" spans="1:24" s="1" customFormat="1">
      <c r="A47" s="219" t="s">
        <v>711</v>
      </c>
      <c r="B47" s="205" t="s">
        <v>712</v>
      </c>
      <c r="C47" s="206">
        <v>1</v>
      </c>
      <c r="D47" s="207" t="s">
        <v>700</v>
      </c>
      <c r="E47" s="287">
        <v>491.66</v>
      </c>
      <c r="F47" s="188">
        <f t="shared" si="5"/>
        <v>0.2</v>
      </c>
      <c r="G47" s="62">
        <f t="shared" si="4"/>
        <v>393.32800000000003</v>
      </c>
      <c r="H47" s="203">
        <v>6</v>
      </c>
      <c r="I47" s="28">
        <v>0.06</v>
      </c>
      <c r="J47" s="238" t="s">
        <v>669</v>
      </c>
      <c r="K47" s="83" t="s">
        <v>231</v>
      </c>
      <c r="L47" s="100" t="s">
        <v>628</v>
      </c>
      <c r="M47" s="219" t="s">
        <v>711</v>
      </c>
      <c r="N47" s="205" t="s">
        <v>712</v>
      </c>
      <c r="O47" s="206">
        <v>1</v>
      </c>
      <c r="P47" s="207" t="s">
        <v>700</v>
      </c>
      <c r="Q47" s="287">
        <v>491.66</v>
      </c>
      <c r="R47" s="188">
        <v>0.2</v>
      </c>
      <c r="S47" s="62">
        <v>393.32800000000003</v>
      </c>
      <c r="T47" s="203">
        <v>6</v>
      </c>
      <c r="U47" s="186">
        <v>0.38</v>
      </c>
      <c r="V47" s="238" t="s">
        <v>669</v>
      </c>
      <c r="W47" s="83" t="s">
        <v>231</v>
      </c>
      <c r="X47" s="100" t="s">
        <v>628</v>
      </c>
    </row>
    <row r="48" spans="1:24" s="1" customFormat="1">
      <c r="A48" s="219" t="s">
        <v>713</v>
      </c>
      <c r="B48" s="205" t="s">
        <v>714</v>
      </c>
      <c r="C48" s="206">
        <v>1</v>
      </c>
      <c r="D48" s="207" t="s">
        <v>700</v>
      </c>
      <c r="E48" s="287">
        <v>991.66</v>
      </c>
      <c r="F48" s="188">
        <f t="shared" si="5"/>
        <v>0.2</v>
      </c>
      <c r="G48" s="62">
        <f t="shared" si="4"/>
        <v>793.32799999999997</v>
      </c>
      <c r="H48" s="203">
        <v>6</v>
      </c>
      <c r="I48" s="28">
        <v>0.06</v>
      </c>
      <c r="J48" s="238" t="s">
        <v>669</v>
      </c>
      <c r="K48" s="83" t="s">
        <v>231</v>
      </c>
      <c r="L48" s="100" t="s">
        <v>628</v>
      </c>
      <c r="M48" s="219" t="s">
        <v>713</v>
      </c>
      <c r="N48" s="205" t="s">
        <v>714</v>
      </c>
      <c r="O48" s="206">
        <v>1</v>
      </c>
      <c r="P48" s="207" t="s">
        <v>700</v>
      </c>
      <c r="Q48" s="287">
        <v>991.66</v>
      </c>
      <c r="R48" s="188">
        <v>0.2</v>
      </c>
      <c r="S48" s="62">
        <v>793.32799999999997</v>
      </c>
      <c r="T48" s="203">
        <v>6</v>
      </c>
      <c r="U48" s="186">
        <v>0.38</v>
      </c>
      <c r="V48" s="238" t="s">
        <v>669</v>
      </c>
      <c r="W48" s="83" t="s">
        <v>231</v>
      </c>
      <c r="X48" s="100" t="s">
        <v>628</v>
      </c>
    </row>
    <row r="49" spans="1:24" s="1" customFormat="1">
      <c r="A49" s="219" t="s">
        <v>715</v>
      </c>
      <c r="B49" s="205" t="s">
        <v>716</v>
      </c>
      <c r="C49" s="206">
        <v>1</v>
      </c>
      <c r="D49" s="207" t="s">
        <v>700</v>
      </c>
      <c r="E49" s="287">
        <v>126.48</v>
      </c>
      <c r="F49" s="188">
        <f t="shared" si="5"/>
        <v>0.2</v>
      </c>
      <c r="G49" s="62">
        <f t="shared" si="4"/>
        <v>101.184</v>
      </c>
      <c r="H49" s="203">
        <v>6</v>
      </c>
      <c r="I49" s="28">
        <v>0.06</v>
      </c>
      <c r="J49" s="238" t="s">
        <v>669</v>
      </c>
      <c r="K49" s="83" t="s">
        <v>231</v>
      </c>
      <c r="L49" s="100" t="s">
        <v>628</v>
      </c>
      <c r="M49" s="219" t="s">
        <v>715</v>
      </c>
      <c r="N49" s="205" t="s">
        <v>716</v>
      </c>
      <c r="O49" s="206">
        <v>1</v>
      </c>
      <c r="P49" s="207" t="s">
        <v>700</v>
      </c>
      <c r="Q49" s="287">
        <v>126.48</v>
      </c>
      <c r="R49" s="188">
        <v>0.2</v>
      </c>
      <c r="S49" s="62">
        <v>101.184</v>
      </c>
      <c r="T49" s="203">
        <v>6</v>
      </c>
      <c r="U49" s="186">
        <v>0.05</v>
      </c>
      <c r="V49" s="238" t="s">
        <v>669</v>
      </c>
      <c r="W49" s="83" t="s">
        <v>231</v>
      </c>
      <c r="X49" s="100" t="s">
        <v>628</v>
      </c>
    </row>
    <row r="50" spans="1:24" s="1" customFormat="1">
      <c r="A50" s="219" t="s">
        <v>717</v>
      </c>
      <c r="B50" s="205" t="s">
        <v>718</v>
      </c>
      <c r="C50" s="206">
        <v>1</v>
      </c>
      <c r="D50" s="207" t="s">
        <v>700</v>
      </c>
      <c r="E50" s="287">
        <v>154.02000000000001</v>
      </c>
      <c r="F50" s="188">
        <f t="shared" si="5"/>
        <v>0.2</v>
      </c>
      <c r="G50" s="62">
        <f t="shared" si="4"/>
        <v>123.21600000000001</v>
      </c>
      <c r="H50" s="203">
        <v>6</v>
      </c>
      <c r="I50" s="28">
        <v>0.06</v>
      </c>
      <c r="J50" s="238" t="s">
        <v>669</v>
      </c>
      <c r="K50" s="83" t="s">
        <v>231</v>
      </c>
      <c r="L50" s="100" t="s">
        <v>628</v>
      </c>
      <c r="M50" s="219" t="s">
        <v>717</v>
      </c>
      <c r="N50" s="205" t="s">
        <v>718</v>
      </c>
      <c r="O50" s="206">
        <v>1</v>
      </c>
      <c r="P50" s="207" t="s">
        <v>700</v>
      </c>
      <c r="Q50" s="287">
        <v>154.02000000000001</v>
      </c>
      <c r="R50" s="188">
        <v>0.2</v>
      </c>
      <c r="S50" s="62">
        <v>123.21600000000001</v>
      </c>
      <c r="T50" s="203">
        <v>6</v>
      </c>
      <c r="U50" s="186">
        <v>0.05</v>
      </c>
      <c r="V50" s="238" t="s">
        <v>669</v>
      </c>
      <c r="W50" s="83" t="s">
        <v>231</v>
      </c>
      <c r="X50" s="100" t="s">
        <v>628</v>
      </c>
    </row>
    <row r="51" spans="1:24" s="1" customFormat="1">
      <c r="A51" s="219" t="s">
        <v>719</v>
      </c>
      <c r="B51" s="205" t="s">
        <v>720</v>
      </c>
      <c r="C51" s="206">
        <v>1</v>
      </c>
      <c r="D51" s="207" t="s">
        <v>700</v>
      </c>
      <c r="E51" s="287">
        <v>224.95</v>
      </c>
      <c r="F51" s="188">
        <f t="shared" si="5"/>
        <v>0.2</v>
      </c>
      <c r="G51" s="62">
        <f t="shared" si="4"/>
        <v>179.95999999999998</v>
      </c>
      <c r="H51" s="203">
        <v>6</v>
      </c>
      <c r="I51" s="28">
        <v>0.06</v>
      </c>
      <c r="J51" s="238" t="s">
        <v>669</v>
      </c>
      <c r="K51" s="83" t="s">
        <v>231</v>
      </c>
      <c r="L51" s="100" t="s">
        <v>628</v>
      </c>
      <c r="M51" s="219" t="s">
        <v>719</v>
      </c>
      <c r="N51" s="205" t="s">
        <v>720</v>
      </c>
      <c r="O51" s="206">
        <v>1</v>
      </c>
      <c r="P51" s="207" t="s">
        <v>700</v>
      </c>
      <c r="Q51" s="287">
        <v>224.95</v>
      </c>
      <c r="R51" s="188">
        <v>0.2</v>
      </c>
      <c r="S51" s="62">
        <v>179.95999999999998</v>
      </c>
      <c r="T51" s="203">
        <v>6</v>
      </c>
      <c r="U51" s="186">
        <v>0.05</v>
      </c>
      <c r="V51" s="238" t="s">
        <v>669</v>
      </c>
      <c r="W51" s="83" t="s">
        <v>231</v>
      </c>
      <c r="X51" s="100" t="s">
        <v>628</v>
      </c>
    </row>
    <row r="52" spans="1:24" s="1" customFormat="1">
      <c r="A52" s="219" t="s">
        <v>721</v>
      </c>
      <c r="B52" s="205" t="s">
        <v>722</v>
      </c>
      <c r="C52" s="206">
        <v>1</v>
      </c>
      <c r="D52" s="207" t="s">
        <v>700</v>
      </c>
      <c r="E52" s="287">
        <v>258.18</v>
      </c>
      <c r="F52" s="188">
        <f t="shared" si="5"/>
        <v>0.2</v>
      </c>
      <c r="G52" s="62">
        <f t="shared" si="4"/>
        <v>206.54400000000001</v>
      </c>
      <c r="H52" s="203">
        <v>10</v>
      </c>
      <c r="I52" s="28">
        <v>0.06</v>
      </c>
      <c r="J52" s="238" t="s">
        <v>669</v>
      </c>
      <c r="K52" s="83" t="s">
        <v>231</v>
      </c>
      <c r="L52" s="100" t="s">
        <v>628</v>
      </c>
      <c r="M52" s="219" t="s">
        <v>721</v>
      </c>
      <c r="N52" s="205" t="s">
        <v>722</v>
      </c>
      <c r="O52" s="206">
        <v>1</v>
      </c>
      <c r="P52" s="207" t="s">
        <v>700</v>
      </c>
      <c r="Q52" s="287">
        <v>258.18</v>
      </c>
      <c r="R52" s="188">
        <v>0.2</v>
      </c>
      <c r="S52" s="62">
        <v>206.54400000000001</v>
      </c>
      <c r="T52" s="203">
        <v>10</v>
      </c>
      <c r="U52" s="186">
        <v>0.05</v>
      </c>
      <c r="V52" s="238" t="s">
        <v>669</v>
      </c>
      <c r="W52" s="83" t="s">
        <v>231</v>
      </c>
      <c r="X52" s="100" t="s">
        <v>628</v>
      </c>
    </row>
    <row r="53" spans="1:24" s="1" customFormat="1">
      <c r="A53" s="219" t="s">
        <v>723</v>
      </c>
      <c r="B53" s="205" t="s">
        <v>724</v>
      </c>
      <c r="C53" s="206">
        <v>1</v>
      </c>
      <c r="D53" s="207" t="s">
        <v>700</v>
      </c>
      <c r="E53" s="287">
        <v>186.29</v>
      </c>
      <c r="F53" s="188">
        <f t="shared" si="5"/>
        <v>0.2</v>
      </c>
      <c r="G53" s="62">
        <f t="shared" si="4"/>
        <v>149.03199999999998</v>
      </c>
      <c r="H53" s="203">
        <v>6</v>
      </c>
      <c r="I53" s="28">
        <v>0.06</v>
      </c>
      <c r="J53" s="238" t="s">
        <v>669</v>
      </c>
      <c r="K53" s="83" t="s">
        <v>231</v>
      </c>
      <c r="L53" s="100" t="s">
        <v>628</v>
      </c>
      <c r="M53" s="219" t="s">
        <v>723</v>
      </c>
      <c r="N53" s="205" t="s">
        <v>724</v>
      </c>
      <c r="O53" s="206">
        <v>1</v>
      </c>
      <c r="P53" s="207" t="s">
        <v>700</v>
      </c>
      <c r="Q53" s="287">
        <v>186.29</v>
      </c>
      <c r="R53" s="188">
        <v>0.2</v>
      </c>
      <c r="S53" s="62">
        <v>149.03199999999998</v>
      </c>
      <c r="T53" s="203">
        <v>6</v>
      </c>
      <c r="U53" s="186">
        <v>0.05</v>
      </c>
      <c r="V53" s="238" t="s">
        <v>669</v>
      </c>
      <c r="W53" s="83" t="s">
        <v>231</v>
      </c>
      <c r="X53" s="100" t="s">
        <v>628</v>
      </c>
    </row>
    <row r="54" spans="1:24" s="1" customFormat="1">
      <c r="A54" s="219">
        <v>9000298</v>
      </c>
      <c r="B54" s="205" t="s">
        <v>725</v>
      </c>
      <c r="C54" s="206">
        <v>1</v>
      </c>
      <c r="D54" s="207" t="s">
        <v>700</v>
      </c>
      <c r="E54" s="287">
        <v>148.22999999999999</v>
      </c>
      <c r="F54" s="188">
        <f t="shared" si="5"/>
        <v>0.2</v>
      </c>
      <c r="G54" s="62">
        <f t="shared" si="4"/>
        <v>118.58399999999999</v>
      </c>
      <c r="H54" s="203">
        <v>6</v>
      </c>
      <c r="I54" s="28">
        <v>0.04</v>
      </c>
      <c r="J54" s="238" t="s">
        <v>669</v>
      </c>
      <c r="K54" s="83" t="s">
        <v>231</v>
      </c>
      <c r="L54" s="100" t="s">
        <v>628</v>
      </c>
      <c r="M54" s="219">
        <v>9000298</v>
      </c>
      <c r="N54" s="205" t="s">
        <v>725</v>
      </c>
      <c r="O54" s="206">
        <v>1</v>
      </c>
      <c r="P54" s="207" t="s">
        <v>700</v>
      </c>
      <c r="Q54" s="287">
        <v>148.22999999999999</v>
      </c>
      <c r="R54" s="188">
        <v>0.2</v>
      </c>
      <c r="S54" s="62">
        <v>118.58399999999999</v>
      </c>
      <c r="T54" s="203">
        <v>6</v>
      </c>
      <c r="U54" s="186">
        <v>0.05</v>
      </c>
      <c r="V54" s="238" t="s">
        <v>669</v>
      </c>
      <c r="W54" s="83" t="s">
        <v>231</v>
      </c>
      <c r="X54" s="100" t="s">
        <v>628</v>
      </c>
    </row>
    <row r="55" spans="1:24" s="1" customFormat="1">
      <c r="A55" s="219" t="s">
        <v>726</v>
      </c>
      <c r="B55" s="205" t="s">
        <v>727</v>
      </c>
      <c r="C55" s="206">
        <v>1</v>
      </c>
      <c r="D55" s="207" t="s">
        <v>700</v>
      </c>
      <c r="E55" s="287">
        <v>109.99</v>
      </c>
      <c r="F55" s="188">
        <f t="shared" si="5"/>
        <v>0.2</v>
      </c>
      <c r="G55" s="62">
        <f t="shared" ref="G55:G76" si="6">E55-(E55*F55)</f>
        <v>87.99199999999999</v>
      </c>
      <c r="H55" s="203">
        <v>6</v>
      </c>
      <c r="I55" s="28">
        <v>0.04</v>
      </c>
      <c r="J55" s="238" t="s">
        <v>669</v>
      </c>
      <c r="K55" s="83" t="s">
        <v>231</v>
      </c>
      <c r="L55" s="100" t="s">
        <v>628</v>
      </c>
      <c r="M55" s="219" t="s">
        <v>726</v>
      </c>
      <c r="N55" s="205" t="s">
        <v>727</v>
      </c>
      <c r="O55" s="206">
        <v>1</v>
      </c>
      <c r="P55" s="207" t="s">
        <v>700</v>
      </c>
      <c r="Q55" s="287">
        <v>109.99</v>
      </c>
      <c r="R55" s="188">
        <v>0.2</v>
      </c>
      <c r="S55" s="62">
        <v>87.99199999999999</v>
      </c>
      <c r="T55" s="203">
        <v>6</v>
      </c>
      <c r="U55" s="186">
        <v>0.05</v>
      </c>
      <c r="V55" s="238" t="s">
        <v>669</v>
      </c>
      <c r="W55" s="83" t="s">
        <v>231</v>
      </c>
      <c r="X55" s="100" t="s">
        <v>628</v>
      </c>
    </row>
    <row r="56" spans="1:24" s="1" customFormat="1">
      <c r="A56" s="219" t="s">
        <v>728</v>
      </c>
      <c r="B56" s="205" t="s">
        <v>729</v>
      </c>
      <c r="C56" s="206">
        <v>1</v>
      </c>
      <c r="D56" s="207" t="s">
        <v>700</v>
      </c>
      <c r="E56" s="287">
        <v>149.99</v>
      </c>
      <c r="F56" s="188">
        <f t="shared" si="5"/>
        <v>0.2</v>
      </c>
      <c r="G56" s="62">
        <f t="shared" si="6"/>
        <v>119.992</v>
      </c>
      <c r="H56" s="203">
        <v>6</v>
      </c>
      <c r="I56" s="28">
        <v>0.04</v>
      </c>
      <c r="J56" s="238" t="s">
        <v>669</v>
      </c>
      <c r="K56" s="83" t="s">
        <v>231</v>
      </c>
      <c r="L56" s="100" t="s">
        <v>628</v>
      </c>
      <c r="M56" s="219" t="s">
        <v>728</v>
      </c>
      <c r="N56" s="205" t="s">
        <v>729</v>
      </c>
      <c r="O56" s="206">
        <v>1</v>
      </c>
      <c r="P56" s="207" t="s">
        <v>700</v>
      </c>
      <c r="Q56" s="287">
        <v>149.99</v>
      </c>
      <c r="R56" s="188">
        <v>0.2</v>
      </c>
      <c r="S56" s="62">
        <v>119.992</v>
      </c>
      <c r="T56" s="203">
        <v>6</v>
      </c>
      <c r="U56" s="186">
        <v>0.05</v>
      </c>
      <c r="V56" s="238" t="s">
        <v>669</v>
      </c>
      <c r="W56" s="83" t="s">
        <v>231</v>
      </c>
      <c r="X56" s="100" t="s">
        <v>628</v>
      </c>
    </row>
    <row r="57" spans="1:24" s="1" customFormat="1">
      <c r="A57" s="219" t="s">
        <v>3045</v>
      </c>
      <c r="B57" s="205" t="s">
        <v>731</v>
      </c>
      <c r="C57" s="206">
        <v>1</v>
      </c>
      <c r="D57" s="207" t="s">
        <v>700</v>
      </c>
      <c r="E57" s="287">
        <v>210.99</v>
      </c>
      <c r="F57" s="188">
        <f t="shared" si="5"/>
        <v>0.2</v>
      </c>
      <c r="G57" s="62">
        <f t="shared" si="6"/>
        <v>168.792</v>
      </c>
      <c r="H57" s="203">
        <v>6</v>
      </c>
      <c r="I57" s="28">
        <v>0.04</v>
      </c>
      <c r="J57" s="238" t="s">
        <v>669</v>
      </c>
      <c r="K57" s="83" t="s">
        <v>231</v>
      </c>
      <c r="L57" s="100" t="s">
        <v>628</v>
      </c>
      <c r="M57" s="219" t="s">
        <v>730</v>
      </c>
      <c r="N57" s="205" t="s">
        <v>731</v>
      </c>
      <c r="O57" s="206">
        <v>1</v>
      </c>
      <c r="P57" s="207" t="s">
        <v>700</v>
      </c>
      <c r="Q57" s="287">
        <v>210.99</v>
      </c>
      <c r="R57" s="188">
        <v>0.2</v>
      </c>
      <c r="S57" s="62">
        <v>168.792</v>
      </c>
      <c r="T57" s="203">
        <v>6</v>
      </c>
      <c r="U57" s="186">
        <v>0.05</v>
      </c>
      <c r="V57" s="238" t="s">
        <v>669</v>
      </c>
      <c r="W57" s="83" t="s">
        <v>231</v>
      </c>
      <c r="X57" s="100" t="s">
        <v>628</v>
      </c>
    </row>
    <row r="58" spans="1:24" s="1" customFormat="1">
      <c r="A58" s="219" t="s">
        <v>732</v>
      </c>
      <c r="B58" s="205" t="s">
        <v>733</v>
      </c>
      <c r="C58" s="206">
        <v>1</v>
      </c>
      <c r="D58" s="207" t="s">
        <v>700</v>
      </c>
      <c r="E58" s="287">
        <v>229.98</v>
      </c>
      <c r="F58" s="188">
        <f t="shared" si="5"/>
        <v>0.2</v>
      </c>
      <c r="G58" s="62">
        <f t="shared" si="6"/>
        <v>183.98399999999998</v>
      </c>
      <c r="H58" s="203">
        <v>10</v>
      </c>
      <c r="I58" s="28">
        <v>0.04</v>
      </c>
      <c r="J58" s="238" t="s">
        <v>669</v>
      </c>
      <c r="K58" s="83" t="s">
        <v>231</v>
      </c>
      <c r="L58" s="100" t="s">
        <v>628</v>
      </c>
      <c r="M58" s="219" t="s">
        <v>732</v>
      </c>
      <c r="N58" s="205" t="s">
        <v>733</v>
      </c>
      <c r="O58" s="206">
        <v>1</v>
      </c>
      <c r="P58" s="207" t="s">
        <v>700</v>
      </c>
      <c r="Q58" s="287">
        <v>229.98</v>
      </c>
      <c r="R58" s="188">
        <v>0.2</v>
      </c>
      <c r="S58" s="62">
        <v>183.98399999999998</v>
      </c>
      <c r="T58" s="203">
        <v>10</v>
      </c>
      <c r="U58" s="186">
        <v>0.05</v>
      </c>
      <c r="V58" s="238" t="s">
        <v>669</v>
      </c>
      <c r="W58" s="83" t="s">
        <v>231</v>
      </c>
      <c r="X58" s="100" t="s">
        <v>628</v>
      </c>
    </row>
    <row r="59" spans="1:24" s="1" customFormat="1">
      <c r="A59" s="219" t="s">
        <v>734</v>
      </c>
      <c r="B59" s="205" t="s">
        <v>735</v>
      </c>
      <c r="C59" s="206">
        <v>1</v>
      </c>
      <c r="D59" s="207" t="s">
        <v>700</v>
      </c>
      <c r="E59" s="287">
        <v>169.99</v>
      </c>
      <c r="F59" s="188">
        <f t="shared" si="5"/>
        <v>0.2</v>
      </c>
      <c r="G59" s="62">
        <f t="shared" si="6"/>
        <v>135.99200000000002</v>
      </c>
      <c r="H59" s="203">
        <v>6</v>
      </c>
      <c r="I59" s="28">
        <v>0.04</v>
      </c>
      <c r="J59" s="238" t="s">
        <v>669</v>
      </c>
      <c r="K59" s="83" t="s">
        <v>231</v>
      </c>
      <c r="L59" s="100" t="s">
        <v>628</v>
      </c>
      <c r="M59" s="219" t="s">
        <v>734</v>
      </c>
      <c r="N59" s="205" t="s">
        <v>735</v>
      </c>
      <c r="O59" s="206">
        <v>1</v>
      </c>
      <c r="P59" s="207" t="s">
        <v>700</v>
      </c>
      <c r="Q59" s="287">
        <v>169.99</v>
      </c>
      <c r="R59" s="188">
        <v>0.2</v>
      </c>
      <c r="S59" s="62">
        <v>135.99200000000002</v>
      </c>
      <c r="T59" s="203">
        <v>6</v>
      </c>
      <c r="U59" s="186">
        <v>0.05</v>
      </c>
      <c r="V59" s="238" t="s">
        <v>669</v>
      </c>
      <c r="W59" s="83" t="s">
        <v>231</v>
      </c>
      <c r="X59" s="100" t="s">
        <v>628</v>
      </c>
    </row>
    <row r="60" spans="1:24" s="1" customFormat="1">
      <c r="A60" s="219" t="s">
        <v>3046</v>
      </c>
      <c r="B60" s="205" t="s">
        <v>737</v>
      </c>
      <c r="C60" s="206">
        <v>1</v>
      </c>
      <c r="D60" s="207" t="s">
        <v>700</v>
      </c>
      <c r="E60" s="287">
        <v>230.99</v>
      </c>
      <c r="F60" s="188">
        <f t="shared" si="5"/>
        <v>0.2</v>
      </c>
      <c r="G60" s="62">
        <f t="shared" si="6"/>
        <v>184.792</v>
      </c>
      <c r="H60" s="203">
        <v>6</v>
      </c>
      <c r="I60" s="28">
        <v>0.04</v>
      </c>
      <c r="J60" s="238" t="s">
        <v>669</v>
      </c>
      <c r="K60" s="83" t="s">
        <v>231</v>
      </c>
      <c r="L60" s="100" t="s">
        <v>628</v>
      </c>
      <c r="M60" s="219" t="s">
        <v>736</v>
      </c>
      <c r="N60" s="205" t="s">
        <v>737</v>
      </c>
      <c r="O60" s="206">
        <v>1</v>
      </c>
      <c r="P60" s="207" t="s">
        <v>700</v>
      </c>
      <c r="Q60" s="287">
        <v>230.99</v>
      </c>
      <c r="R60" s="188">
        <v>0.2</v>
      </c>
      <c r="S60" s="62">
        <v>184.792</v>
      </c>
      <c r="T60" s="203">
        <v>6</v>
      </c>
      <c r="U60" s="186">
        <v>0.05</v>
      </c>
      <c r="V60" s="238" t="s">
        <v>669</v>
      </c>
      <c r="W60" s="83" t="s">
        <v>231</v>
      </c>
      <c r="X60" s="100" t="s">
        <v>628</v>
      </c>
    </row>
    <row r="61" spans="1:24" s="1" customFormat="1">
      <c r="A61" s="219" t="s">
        <v>738</v>
      </c>
      <c r="B61" s="205" t="s">
        <v>739</v>
      </c>
      <c r="C61" s="206">
        <v>1</v>
      </c>
      <c r="D61" s="207" t="s">
        <v>700</v>
      </c>
      <c r="E61" s="287">
        <v>259.98</v>
      </c>
      <c r="F61" s="188">
        <f t="shared" si="5"/>
        <v>0.2</v>
      </c>
      <c r="G61" s="62">
        <f t="shared" si="6"/>
        <v>207.98400000000001</v>
      </c>
      <c r="H61" s="203">
        <v>10</v>
      </c>
      <c r="I61" s="28">
        <v>0.04</v>
      </c>
      <c r="J61" s="238" t="s">
        <v>669</v>
      </c>
      <c r="K61" s="83" t="s">
        <v>231</v>
      </c>
      <c r="L61" s="100" t="s">
        <v>628</v>
      </c>
      <c r="M61" s="219" t="s">
        <v>738</v>
      </c>
      <c r="N61" s="205" t="s">
        <v>739</v>
      </c>
      <c r="O61" s="206">
        <v>1</v>
      </c>
      <c r="P61" s="207" t="s">
        <v>700</v>
      </c>
      <c r="Q61" s="287">
        <v>259.98</v>
      </c>
      <c r="R61" s="188">
        <v>0.2</v>
      </c>
      <c r="S61" s="62">
        <v>207.98400000000001</v>
      </c>
      <c r="T61" s="203">
        <v>10</v>
      </c>
      <c r="U61" s="186">
        <v>0.05</v>
      </c>
      <c r="V61" s="238" t="s">
        <v>669</v>
      </c>
      <c r="W61" s="83" t="s">
        <v>231</v>
      </c>
      <c r="X61" s="100" t="s">
        <v>628</v>
      </c>
    </row>
    <row r="62" spans="1:24" s="1" customFormat="1">
      <c r="A62" s="219" t="s">
        <v>740</v>
      </c>
      <c r="B62" s="205" t="s">
        <v>741</v>
      </c>
      <c r="C62" s="206">
        <v>1</v>
      </c>
      <c r="D62" s="207" t="s">
        <v>700</v>
      </c>
      <c r="E62" s="287">
        <v>343.89</v>
      </c>
      <c r="F62" s="188">
        <f t="shared" si="5"/>
        <v>0.2</v>
      </c>
      <c r="G62" s="62">
        <f t="shared" si="6"/>
        <v>275.11199999999997</v>
      </c>
      <c r="H62" s="203">
        <v>10</v>
      </c>
      <c r="I62" s="28">
        <v>0.22</v>
      </c>
      <c r="J62" s="238" t="s">
        <v>669</v>
      </c>
      <c r="K62" s="83" t="s">
        <v>231</v>
      </c>
      <c r="L62" s="100" t="s">
        <v>628</v>
      </c>
      <c r="M62" s="219" t="s">
        <v>740</v>
      </c>
      <c r="N62" s="205" t="s">
        <v>741</v>
      </c>
      <c r="O62" s="206">
        <v>1</v>
      </c>
      <c r="P62" s="207" t="s">
        <v>700</v>
      </c>
      <c r="Q62" s="287">
        <v>343.89</v>
      </c>
      <c r="R62" s="188">
        <v>0.2</v>
      </c>
      <c r="S62" s="62">
        <v>275.11199999999997</v>
      </c>
      <c r="T62" s="203">
        <v>10</v>
      </c>
      <c r="U62" s="186">
        <v>0</v>
      </c>
      <c r="V62" s="238" t="s">
        <v>669</v>
      </c>
      <c r="W62" s="83" t="s">
        <v>231</v>
      </c>
      <c r="X62" s="100" t="s">
        <v>628</v>
      </c>
    </row>
    <row r="63" spans="1:24" s="1" customFormat="1">
      <c r="A63" s="219" t="s">
        <v>742</v>
      </c>
      <c r="B63" s="205" t="s">
        <v>743</v>
      </c>
      <c r="C63" s="206">
        <v>1</v>
      </c>
      <c r="D63" s="207" t="s">
        <v>700</v>
      </c>
      <c r="E63" s="287">
        <v>408.91</v>
      </c>
      <c r="F63" s="188">
        <f t="shared" si="5"/>
        <v>0.2</v>
      </c>
      <c r="G63" s="62">
        <f t="shared" si="6"/>
        <v>327.12800000000004</v>
      </c>
      <c r="H63" s="203">
        <v>15</v>
      </c>
      <c r="I63" s="28">
        <v>0.22</v>
      </c>
      <c r="J63" s="238" t="s">
        <v>669</v>
      </c>
      <c r="K63" s="83" t="s">
        <v>231</v>
      </c>
      <c r="L63" s="100" t="s">
        <v>628</v>
      </c>
      <c r="M63" s="219" t="s">
        <v>742</v>
      </c>
      <c r="N63" s="205" t="s">
        <v>743</v>
      </c>
      <c r="O63" s="206">
        <v>1</v>
      </c>
      <c r="P63" s="207" t="s">
        <v>700</v>
      </c>
      <c r="Q63" s="287">
        <v>408.91</v>
      </c>
      <c r="R63" s="188">
        <v>0.2</v>
      </c>
      <c r="S63" s="62">
        <v>327.12800000000004</v>
      </c>
      <c r="T63" s="203">
        <v>15</v>
      </c>
      <c r="U63" s="186">
        <v>0</v>
      </c>
      <c r="V63" s="238" t="s">
        <v>669</v>
      </c>
      <c r="W63" s="83" t="s">
        <v>231</v>
      </c>
      <c r="X63" s="100" t="s">
        <v>628</v>
      </c>
    </row>
    <row r="64" spans="1:24" s="1" customFormat="1">
      <c r="A64" s="219" t="s">
        <v>744</v>
      </c>
      <c r="B64" s="205" t="s">
        <v>745</v>
      </c>
      <c r="C64" s="206">
        <v>1</v>
      </c>
      <c r="D64" s="207" t="s">
        <v>700</v>
      </c>
      <c r="E64" s="290">
        <v>1019</v>
      </c>
      <c r="F64" s="188">
        <f t="shared" si="5"/>
        <v>0.2</v>
      </c>
      <c r="G64" s="62">
        <f t="shared" si="6"/>
        <v>815.2</v>
      </c>
      <c r="H64" s="203">
        <v>15</v>
      </c>
      <c r="I64" s="28">
        <v>0.85</v>
      </c>
      <c r="J64" s="238" t="s">
        <v>669</v>
      </c>
      <c r="K64" s="83" t="s">
        <v>231</v>
      </c>
      <c r="L64" s="100" t="s">
        <v>628</v>
      </c>
      <c r="M64" s="219" t="s">
        <v>744</v>
      </c>
      <c r="N64" s="205" t="s">
        <v>745</v>
      </c>
      <c r="O64" s="206">
        <v>1</v>
      </c>
      <c r="P64" s="207" t="s">
        <v>700</v>
      </c>
      <c r="Q64" s="290">
        <v>1019</v>
      </c>
      <c r="R64" s="188">
        <v>0.2</v>
      </c>
      <c r="S64" s="62">
        <v>815.2</v>
      </c>
      <c r="T64" s="203">
        <v>15</v>
      </c>
      <c r="U64" s="186">
        <v>0</v>
      </c>
      <c r="V64" s="238" t="s">
        <v>669</v>
      </c>
      <c r="W64" s="83" t="s">
        <v>231</v>
      </c>
      <c r="X64" s="100" t="s">
        <v>628</v>
      </c>
    </row>
    <row r="65" spans="1:24" s="1" customFormat="1">
      <c r="A65" s="219" t="s">
        <v>746</v>
      </c>
      <c r="B65" s="205" t="s">
        <v>747</v>
      </c>
      <c r="C65" s="206">
        <v>1</v>
      </c>
      <c r="D65" s="207" t="s">
        <v>700</v>
      </c>
      <c r="E65" s="290">
        <v>1149</v>
      </c>
      <c r="F65" s="188">
        <f t="shared" si="5"/>
        <v>0.2</v>
      </c>
      <c r="G65" s="62">
        <f t="shared" si="6"/>
        <v>919.2</v>
      </c>
      <c r="H65" s="203">
        <v>15</v>
      </c>
      <c r="I65" s="28">
        <v>0.85</v>
      </c>
      <c r="J65" s="238" t="s">
        <v>669</v>
      </c>
      <c r="K65" s="83" t="s">
        <v>231</v>
      </c>
      <c r="L65" s="100" t="s">
        <v>628</v>
      </c>
      <c r="M65" s="219" t="s">
        <v>746</v>
      </c>
      <c r="N65" s="205" t="s">
        <v>747</v>
      </c>
      <c r="O65" s="206">
        <v>1</v>
      </c>
      <c r="P65" s="207" t="s">
        <v>700</v>
      </c>
      <c r="Q65" s="290">
        <v>1149</v>
      </c>
      <c r="R65" s="188">
        <v>0.2</v>
      </c>
      <c r="S65" s="62">
        <v>919.2</v>
      </c>
      <c r="T65" s="203">
        <v>15</v>
      </c>
      <c r="U65" s="186">
        <v>0</v>
      </c>
      <c r="V65" s="238" t="s">
        <v>669</v>
      </c>
      <c r="W65" s="83" t="s">
        <v>231</v>
      </c>
      <c r="X65" s="100" t="s">
        <v>628</v>
      </c>
    </row>
    <row r="66" spans="1:24" s="1" customFormat="1">
      <c r="A66" s="219" t="s">
        <v>748</v>
      </c>
      <c r="B66" s="205" t="s">
        <v>749</v>
      </c>
      <c r="C66" s="206">
        <v>1</v>
      </c>
      <c r="D66" s="207" t="s">
        <v>700</v>
      </c>
      <c r="E66" s="290">
        <v>1549</v>
      </c>
      <c r="F66" s="188">
        <f t="shared" si="5"/>
        <v>0.2</v>
      </c>
      <c r="G66" s="62">
        <f t="shared" si="6"/>
        <v>1239.2</v>
      </c>
      <c r="H66" s="203">
        <v>15</v>
      </c>
      <c r="I66" s="28">
        <v>0.85</v>
      </c>
      <c r="J66" s="238" t="s">
        <v>669</v>
      </c>
      <c r="K66" s="83" t="s">
        <v>231</v>
      </c>
      <c r="L66" s="100" t="s">
        <v>628</v>
      </c>
      <c r="M66" s="219" t="s">
        <v>748</v>
      </c>
      <c r="N66" s="205" t="s">
        <v>749</v>
      </c>
      <c r="O66" s="206">
        <v>1</v>
      </c>
      <c r="P66" s="207" t="s">
        <v>700</v>
      </c>
      <c r="Q66" s="290">
        <v>1549</v>
      </c>
      <c r="R66" s="188">
        <v>0.2</v>
      </c>
      <c r="S66" s="62">
        <v>1239.2</v>
      </c>
      <c r="T66" s="203">
        <v>15</v>
      </c>
      <c r="U66" s="186">
        <v>0</v>
      </c>
      <c r="V66" s="238" t="s">
        <v>669</v>
      </c>
      <c r="W66" s="83" t="s">
        <v>231</v>
      </c>
      <c r="X66" s="100" t="s">
        <v>628</v>
      </c>
    </row>
    <row r="67" spans="1:24" s="1" customFormat="1">
      <c r="A67" s="219" t="s">
        <v>750</v>
      </c>
      <c r="B67" s="205" t="s">
        <v>751</v>
      </c>
      <c r="C67" s="206">
        <v>1</v>
      </c>
      <c r="D67" s="207" t="s">
        <v>700</v>
      </c>
      <c r="E67" s="290">
        <v>1749</v>
      </c>
      <c r="F67" s="188">
        <f t="shared" si="5"/>
        <v>0.2</v>
      </c>
      <c r="G67" s="62">
        <f t="shared" si="6"/>
        <v>1399.2</v>
      </c>
      <c r="H67" s="203">
        <v>15</v>
      </c>
      <c r="I67" s="28">
        <v>0.85</v>
      </c>
      <c r="J67" s="238" t="s">
        <v>669</v>
      </c>
      <c r="K67" s="83" t="s">
        <v>231</v>
      </c>
      <c r="L67" s="100" t="s">
        <v>628</v>
      </c>
      <c r="M67" s="219" t="s">
        <v>750</v>
      </c>
      <c r="N67" s="205" t="s">
        <v>751</v>
      </c>
      <c r="O67" s="206">
        <v>1</v>
      </c>
      <c r="P67" s="207" t="s">
        <v>700</v>
      </c>
      <c r="Q67" s="290">
        <v>1749</v>
      </c>
      <c r="R67" s="188">
        <v>0.2</v>
      </c>
      <c r="S67" s="62">
        <v>1399.2</v>
      </c>
      <c r="T67" s="203">
        <v>15</v>
      </c>
      <c r="U67" s="186">
        <v>0</v>
      </c>
      <c r="V67" s="238" t="s">
        <v>669</v>
      </c>
      <c r="W67" s="83" t="s">
        <v>231</v>
      </c>
      <c r="X67" s="100" t="s">
        <v>628</v>
      </c>
    </row>
    <row r="68" spans="1:24" s="1" customFormat="1">
      <c r="A68" s="219" t="s">
        <v>752</v>
      </c>
      <c r="B68" s="205" t="s">
        <v>753</v>
      </c>
      <c r="C68" s="206">
        <v>1</v>
      </c>
      <c r="D68" s="207" t="s">
        <v>700</v>
      </c>
      <c r="E68" s="290">
        <v>1899</v>
      </c>
      <c r="F68" s="188">
        <f t="shared" si="5"/>
        <v>0.2</v>
      </c>
      <c r="G68" s="62">
        <f t="shared" si="6"/>
        <v>1519.2</v>
      </c>
      <c r="H68" s="203">
        <v>15</v>
      </c>
      <c r="I68" s="28">
        <v>0.85</v>
      </c>
      <c r="J68" s="238" t="s">
        <v>669</v>
      </c>
      <c r="K68" s="83" t="s">
        <v>231</v>
      </c>
      <c r="L68" s="100" t="s">
        <v>628</v>
      </c>
      <c r="M68" s="219" t="s">
        <v>752</v>
      </c>
      <c r="N68" s="205" t="s">
        <v>753</v>
      </c>
      <c r="O68" s="206">
        <v>1</v>
      </c>
      <c r="P68" s="207" t="s">
        <v>700</v>
      </c>
      <c r="Q68" s="290">
        <v>1899</v>
      </c>
      <c r="R68" s="188">
        <v>0.2</v>
      </c>
      <c r="S68" s="62">
        <v>1519.2</v>
      </c>
      <c r="T68" s="203">
        <v>15</v>
      </c>
      <c r="U68" s="186">
        <v>0</v>
      </c>
      <c r="V68" s="238" t="s">
        <v>669</v>
      </c>
      <c r="W68" s="83" t="s">
        <v>231</v>
      </c>
      <c r="X68" s="100" t="s">
        <v>628</v>
      </c>
    </row>
    <row r="69" spans="1:24" s="1" customFormat="1">
      <c r="A69" s="219" t="s">
        <v>754</v>
      </c>
      <c r="B69" s="205" t="s">
        <v>755</v>
      </c>
      <c r="C69" s="206">
        <v>1</v>
      </c>
      <c r="D69" s="207" t="s">
        <v>700</v>
      </c>
      <c r="E69" s="290">
        <v>2099</v>
      </c>
      <c r="F69" s="188">
        <f t="shared" si="5"/>
        <v>0.2</v>
      </c>
      <c r="G69" s="62">
        <f t="shared" si="6"/>
        <v>1679.2</v>
      </c>
      <c r="H69" s="203">
        <v>15</v>
      </c>
      <c r="I69" s="28">
        <v>0.85</v>
      </c>
      <c r="J69" s="238" t="s">
        <v>669</v>
      </c>
      <c r="K69" s="83" t="s">
        <v>231</v>
      </c>
      <c r="L69" s="100" t="s">
        <v>628</v>
      </c>
      <c r="M69" s="219" t="s">
        <v>754</v>
      </c>
      <c r="N69" s="205" t="s">
        <v>755</v>
      </c>
      <c r="O69" s="206">
        <v>1</v>
      </c>
      <c r="P69" s="207" t="s">
        <v>700</v>
      </c>
      <c r="Q69" s="290">
        <v>2099</v>
      </c>
      <c r="R69" s="188">
        <v>0.2</v>
      </c>
      <c r="S69" s="62">
        <v>1679.2</v>
      </c>
      <c r="T69" s="203">
        <v>15</v>
      </c>
      <c r="U69" s="186">
        <v>0</v>
      </c>
      <c r="V69" s="238" t="s">
        <v>669</v>
      </c>
      <c r="W69" s="83" t="s">
        <v>231</v>
      </c>
      <c r="X69" s="100" t="s">
        <v>628</v>
      </c>
    </row>
    <row r="70" spans="1:24" s="1" customFormat="1">
      <c r="A70" s="219" t="s">
        <v>756</v>
      </c>
      <c r="B70" s="205" t="s">
        <v>757</v>
      </c>
      <c r="C70" s="206">
        <v>1</v>
      </c>
      <c r="D70" s="207" t="s">
        <v>758</v>
      </c>
      <c r="E70" s="287">
        <v>199.99</v>
      </c>
      <c r="F70" s="188">
        <f t="shared" si="5"/>
        <v>0.2</v>
      </c>
      <c r="G70" s="62">
        <f t="shared" si="6"/>
        <v>159.99200000000002</v>
      </c>
      <c r="H70" s="203">
        <v>10</v>
      </c>
      <c r="I70" s="28">
        <v>0.22</v>
      </c>
      <c r="J70" s="238" t="s">
        <v>669</v>
      </c>
      <c r="K70" s="83" t="s">
        <v>231</v>
      </c>
      <c r="L70" s="100" t="s">
        <v>628</v>
      </c>
      <c r="M70" s="219" t="s">
        <v>756</v>
      </c>
      <c r="N70" s="205" t="s">
        <v>757</v>
      </c>
      <c r="O70" s="206">
        <v>1</v>
      </c>
      <c r="P70" s="207" t="s">
        <v>758</v>
      </c>
      <c r="Q70" s="287">
        <v>199.99</v>
      </c>
      <c r="R70" s="188">
        <v>0.2</v>
      </c>
      <c r="S70" s="62">
        <v>159.99200000000002</v>
      </c>
      <c r="T70" s="203">
        <v>10</v>
      </c>
      <c r="U70" s="186">
        <v>0.05</v>
      </c>
      <c r="V70" s="238" t="s">
        <v>669</v>
      </c>
      <c r="W70" s="83" t="s">
        <v>231</v>
      </c>
      <c r="X70" s="100" t="s">
        <v>628</v>
      </c>
    </row>
    <row r="71" spans="1:24" s="1" customFormat="1">
      <c r="A71" s="219" t="s">
        <v>759</v>
      </c>
      <c r="B71" s="205" t="s">
        <v>760</v>
      </c>
      <c r="C71" s="206">
        <v>1</v>
      </c>
      <c r="D71" s="207" t="s">
        <v>758</v>
      </c>
      <c r="E71" s="287">
        <v>249.99</v>
      </c>
      <c r="F71" s="188">
        <f t="shared" si="5"/>
        <v>0.2</v>
      </c>
      <c r="G71" s="62">
        <f t="shared" si="6"/>
        <v>199.99200000000002</v>
      </c>
      <c r="H71" s="203">
        <v>10</v>
      </c>
      <c r="I71" s="28">
        <v>0.22</v>
      </c>
      <c r="J71" s="238" t="s">
        <v>669</v>
      </c>
      <c r="K71" s="83" t="s">
        <v>231</v>
      </c>
      <c r="L71" s="100" t="s">
        <v>628</v>
      </c>
      <c r="M71" s="219" t="s">
        <v>759</v>
      </c>
      <c r="N71" s="205" t="s">
        <v>760</v>
      </c>
      <c r="O71" s="206">
        <v>1</v>
      </c>
      <c r="P71" s="207" t="s">
        <v>758</v>
      </c>
      <c r="Q71" s="287">
        <v>249.99</v>
      </c>
      <c r="R71" s="188">
        <v>0.2</v>
      </c>
      <c r="S71" s="62">
        <v>199.99200000000002</v>
      </c>
      <c r="T71" s="203">
        <v>10</v>
      </c>
      <c r="U71" s="186">
        <v>0.05</v>
      </c>
      <c r="V71" s="238" t="s">
        <v>669</v>
      </c>
      <c r="W71" s="83" t="s">
        <v>231</v>
      </c>
      <c r="X71" s="100" t="s">
        <v>628</v>
      </c>
    </row>
    <row r="72" spans="1:24" s="1" customFormat="1">
      <c r="A72" s="219" t="s">
        <v>761</v>
      </c>
      <c r="B72" s="205" t="s">
        <v>762</v>
      </c>
      <c r="C72" s="206">
        <v>1</v>
      </c>
      <c r="D72" s="207" t="s">
        <v>758</v>
      </c>
      <c r="E72" s="287">
        <v>324.99</v>
      </c>
      <c r="F72" s="188">
        <f t="shared" si="5"/>
        <v>0.2</v>
      </c>
      <c r="G72" s="62">
        <f t="shared" si="6"/>
        <v>259.99200000000002</v>
      </c>
      <c r="H72" s="203">
        <v>15</v>
      </c>
      <c r="I72" s="28">
        <v>0.22</v>
      </c>
      <c r="J72" s="238" t="s">
        <v>669</v>
      </c>
      <c r="K72" s="83" t="s">
        <v>231</v>
      </c>
      <c r="L72" s="100" t="s">
        <v>628</v>
      </c>
      <c r="M72" s="219" t="s">
        <v>761</v>
      </c>
      <c r="N72" s="205" t="s">
        <v>762</v>
      </c>
      <c r="O72" s="206">
        <v>1</v>
      </c>
      <c r="P72" s="207" t="s">
        <v>758</v>
      </c>
      <c r="Q72" s="287">
        <v>324.99</v>
      </c>
      <c r="R72" s="188">
        <v>0.2</v>
      </c>
      <c r="S72" s="62">
        <v>259.99200000000002</v>
      </c>
      <c r="T72" s="203">
        <v>15</v>
      </c>
      <c r="U72" s="186">
        <v>0.05</v>
      </c>
      <c r="V72" s="238" t="s">
        <v>669</v>
      </c>
      <c r="W72" s="83" t="s">
        <v>231</v>
      </c>
      <c r="X72" s="100" t="s">
        <v>628</v>
      </c>
    </row>
    <row r="73" spans="1:24" s="1" customFormat="1">
      <c r="A73" s="219" t="s">
        <v>763</v>
      </c>
      <c r="B73" s="205" t="s">
        <v>764</v>
      </c>
      <c r="C73" s="206">
        <v>1</v>
      </c>
      <c r="D73" s="207" t="s">
        <v>758</v>
      </c>
      <c r="E73" s="287">
        <v>89.99</v>
      </c>
      <c r="F73" s="188">
        <f t="shared" si="5"/>
        <v>0.2</v>
      </c>
      <c r="G73" s="62">
        <f t="shared" si="6"/>
        <v>71.99199999999999</v>
      </c>
      <c r="H73" s="203">
        <v>6</v>
      </c>
      <c r="I73" s="28">
        <v>0.06</v>
      </c>
      <c r="J73" s="238" t="s">
        <v>669</v>
      </c>
      <c r="K73" s="83" t="s">
        <v>231</v>
      </c>
      <c r="L73" s="100" t="s">
        <v>628</v>
      </c>
      <c r="M73" s="219" t="s">
        <v>763</v>
      </c>
      <c r="N73" s="205" t="s">
        <v>764</v>
      </c>
      <c r="O73" s="206">
        <v>1</v>
      </c>
      <c r="P73" s="207" t="s">
        <v>758</v>
      </c>
      <c r="Q73" s="287">
        <v>89.99</v>
      </c>
      <c r="R73" s="188">
        <v>0.2</v>
      </c>
      <c r="S73" s="62">
        <v>71.99199999999999</v>
      </c>
      <c r="T73" s="203">
        <v>6</v>
      </c>
      <c r="U73" s="186">
        <v>0.05</v>
      </c>
      <c r="V73" s="238" t="s">
        <v>669</v>
      </c>
      <c r="W73" s="83" t="s">
        <v>231</v>
      </c>
      <c r="X73" s="100" t="s">
        <v>628</v>
      </c>
    </row>
    <row r="74" spans="1:24" s="1" customFormat="1">
      <c r="A74" s="219" t="s">
        <v>765</v>
      </c>
      <c r="B74" s="205" t="s">
        <v>766</v>
      </c>
      <c r="C74" s="206">
        <v>1</v>
      </c>
      <c r="D74" s="207" t="s">
        <v>758</v>
      </c>
      <c r="E74" s="287">
        <v>122.99</v>
      </c>
      <c r="F74" s="188">
        <f t="shared" si="5"/>
        <v>0.2</v>
      </c>
      <c r="G74" s="62">
        <f t="shared" si="6"/>
        <v>98.391999999999996</v>
      </c>
      <c r="H74" s="203">
        <v>6</v>
      </c>
      <c r="I74" s="28">
        <v>0.06</v>
      </c>
      <c r="J74" s="238" t="s">
        <v>669</v>
      </c>
      <c r="K74" s="83" t="s">
        <v>231</v>
      </c>
      <c r="L74" s="100" t="s">
        <v>628</v>
      </c>
      <c r="M74" s="219" t="s">
        <v>765</v>
      </c>
      <c r="N74" s="205" t="s">
        <v>766</v>
      </c>
      <c r="O74" s="206">
        <v>1</v>
      </c>
      <c r="P74" s="207" t="s">
        <v>758</v>
      </c>
      <c r="Q74" s="287">
        <v>122.99</v>
      </c>
      <c r="R74" s="188">
        <v>0.2</v>
      </c>
      <c r="S74" s="62">
        <v>98.391999999999996</v>
      </c>
      <c r="T74" s="203">
        <v>6</v>
      </c>
      <c r="U74" s="186">
        <v>0.05</v>
      </c>
      <c r="V74" s="238" t="s">
        <v>669</v>
      </c>
      <c r="W74" s="83" t="s">
        <v>231</v>
      </c>
      <c r="X74" s="100" t="s">
        <v>628</v>
      </c>
    </row>
    <row r="75" spans="1:24" s="1" customFormat="1">
      <c r="A75" s="219" t="s">
        <v>767</v>
      </c>
      <c r="B75" s="205" t="s">
        <v>768</v>
      </c>
      <c r="C75" s="206">
        <v>1</v>
      </c>
      <c r="D75" s="207" t="s">
        <v>758</v>
      </c>
      <c r="E75" s="287">
        <v>172.99</v>
      </c>
      <c r="F75" s="188">
        <f t="shared" si="5"/>
        <v>0.2</v>
      </c>
      <c r="G75" s="62">
        <f t="shared" si="6"/>
        <v>138.392</v>
      </c>
      <c r="H75" s="203">
        <v>6</v>
      </c>
      <c r="I75" s="28">
        <v>0.06</v>
      </c>
      <c r="J75" s="238" t="s">
        <v>669</v>
      </c>
      <c r="K75" s="83" t="s">
        <v>231</v>
      </c>
      <c r="L75" s="100" t="s">
        <v>628</v>
      </c>
      <c r="M75" s="219" t="s">
        <v>767</v>
      </c>
      <c r="N75" s="205" t="s">
        <v>768</v>
      </c>
      <c r="O75" s="206">
        <v>1</v>
      </c>
      <c r="P75" s="207" t="s">
        <v>758</v>
      </c>
      <c r="Q75" s="287">
        <v>172.99</v>
      </c>
      <c r="R75" s="188">
        <v>0.2</v>
      </c>
      <c r="S75" s="62">
        <v>138.392</v>
      </c>
      <c r="T75" s="203">
        <v>6</v>
      </c>
      <c r="U75" s="186">
        <v>0.05</v>
      </c>
      <c r="V75" s="238" t="s">
        <v>669</v>
      </c>
      <c r="W75" s="83" t="s">
        <v>231</v>
      </c>
      <c r="X75" s="100" t="s">
        <v>628</v>
      </c>
    </row>
    <row r="76" spans="1:24" s="1" customFormat="1">
      <c r="A76" s="219" t="s">
        <v>769</v>
      </c>
      <c r="B76" s="205" t="s">
        <v>770</v>
      </c>
      <c r="C76" s="206">
        <v>1</v>
      </c>
      <c r="D76" s="207" t="s">
        <v>758</v>
      </c>
      <c r="E76" s="287">
        <v>197.99</v>
      </c>
      <c r="F76" s="188">
        <f t="shared" si="5"/>
        <v>0.2</v>
      </c>
      <c r="G76" s="62">
        <f t="shared" si="6"/>
        <v>158.392</v>
      </c>
      <c r="H76" s="203">
        <v>10</v>
      </c>
      <c r="I76" s="28">
        <v>0.06</v>
      </c>
      <c r="J76" s="238" t="s">
        <v>669</v>
      </c>
      <c r="K76" s="83" t="s">
        <v>231</v>
      </c>
      <c r="L76" s="100" t="s">
        <v>628</v>
      </c>
      <c r="M76" s="219" t="s">
        <v>769</v>
      </c>
      <c r="N76" s="205" t="s">
        <v>770</v>
      </c>
      <c r="O76" s="206">
        <v>1</v>
      </c>
      <c r="P76" s="207" t="s">
        <v>758</v>
      </c>
      <c r="Q76" s="287">
        <v>197.99</v>
      </c>
      <c r="R76" s="188">
        <v>0.2</v>
      </c>
      <c r="S76" s="62">
        <v>158.392</v>
      </c>
      <c r="T76" s="203">
        <v>10</v>
      </c>
      <c r="U76" s="186">
        <v>0.05</v>
      </c>
      <c r="V76" s="238" t="s">
        <v>669</v>
      </c>
      <c r="W76" s="83" t="s">
        <v>231</v>
      </c>
      <c r="X76" s="100" t="s">
        <v>628</v>
      </c>
    </row>
    <row r="77" spans="1:24" s="1" customFormat="1" ht="13.5" thickBot="1">
      <c r="A77" s="219"/>
      <c r="B77" s="205"/>
      <c r="C77" s="206"/>
      <c r="D77" s="207"/>
      <c r="E77" s="287"/>
      <c r="F77" s="188"/>
      <c r="G77" s="62"/>
      <c r="H77" s="203"/>
      <c r="I77" s="28"/>
      <c r="J77" s="238"/>
      <c r="K77" s="83"/>
      <c r="L77" s="100"/>
      <c r="M77" s="711" t="s">
        <v>771</v>
      </c>
      <c r="N77" s="712" t="s">
        <v>772</v>
      </c>
      <c r="O77" s="713">
        <v>1</v>
      </c>
      <c r="P77" s="758" t="s">
        <v>773</v>
      </c>
      <c r="Q77" s="737">
        <v>434</v>
      </c>
      <c r="R77" s="716">
        <v>0.2</v>
      </c>
      <c r="S77" s="717">
        <v>347.2</v>
      </c>
      <c r="T77" s="759">
        <v>6</v>
      </c>
      <c r="U77" s="719">
        <v>0.38</v>
      </c>
      <c r="V77" s="238" t="s">
        <v>669</v>
      </c>
      <c r="W77" s="83" t="s">
        <v>231</v>
      </c>
      <c r="X77" s="100" t="s">
        <v>628</v>
      </c>
    </row>
    <row r="78" spans="1:24" s="303" customFormat="1" ht="25" customHeight="1" thickBot="1">
      <c r="A78" s="467" t="s">
        <v>774</v>
      </c>
      <c r="B78" s="340" t="s">
        <v>775</v>
      </c>
      <c r="C78" s="629"/>
      <c r="D78" s="629"/>
      <c r="E78" s="630"/>
      <c r="F78" s="631"/>
      <c r="G78" s="630"/>
      <c r="H78" s="630"/>
      <c r="I78" s="630"/>
      <c r="J78" s="459"/>
      <c r="K78" s="341"/>
      <c r="L78" s="341"/>
      <c r="M78" s="467" t="s">
        <v>774</v>
      </c>
      <c r="N78" s="340" t="s">
        <v>775</v>
      </c>
      <c r="O78" s="629"/>
      <c r="P78" s="629"/>
      <c r="Q78" s="630"/>
      <c r="R78" s="631"/>
      <c r="S78" s="630"/>
      <c r="T78" s="630"/>
      <c r="U78" s="630"/>
      <c r="V78" s="459"/>
      <c r="W78" s="341"/>
      <c r="X78" s="341"/>
    </row>
    <row r="79" spans="1:24" s="1" customFormat="1">
      <c r="A79" s="219" t="s">
        <v>2601</v>
      </c>
      <c r="B79" s="205" t="s">
        <v>2609</v>
      </c>
      <c r="C79" s="206">
        <v>1</v>
      </c>
      <c r="D79" s="227" t="s">
        <v>126</v>
      </c>
      <c r="E79" s="777">
        <v>99.11</v>
      </c>
      <c r="F79" s="18">
        <f>rv_apple_acc_mac</f>
        <v>0.09</v>
      </c>
      <c r="G79" s="768">
        <f t="shared" ref="G79:G102" si="7">E79-(E79*F79)</f>
        <v>90.190100000000001</v>
      </c>
      <c r="H79" s="19"/>
      <c r="I79" s="28">
        <v>0.06</v>
      </c>
      <c r="J79" s="238" t="s">
        <v>669</v>
      </c>
      <c r="K79" s="83" t="s">
        <v>231</v>
      </c>
      <c r="L79" s="100" t="s">
        <v>628</v>
      </c>
      <c r="M79" s="219" t="s">
        <v>2601</v>
      </c>
      <c r="N79" s="205" t="s">
        <v>2609</v>
      </c>
      <c r="O79" s="206">
        <v>1</v>
      </c>
      <c r="P79" s="227" t="s">
        <v>126</v>
      </c>
      <c r="Q79" s="288">
        <v>99.12</v>
      </c>
      <c r="R79" s="188">
        <v>0.09</v>
      </c>
      <c r="S79" s="62">
        <v>90.199200000000005</v>
      </c>
      <c r="T79" s="86"/>
      <c r="U79" s="186">
        <v>0.05</v>
      </c>
      <c r="V79" s="238" t="s">
        <v>669</v>
      </c>
      <c r="W79" s="83" t="s">
        <v>231</v>
      </c>
      <c r="X79" s="100" t="s">
        <v>628</v>
      </c>
    </row>
    <row r="80" spans="1:24" s="1" customFormat="1">
      <c r="A80" s="219" t="s">
        <v>2602</v>
      </c>
      <c r="B80" s="205" t="s">
        <v>2610</v>
      </c>
      <c r="C80" s="206">
        <v>1</v>
      </c>
      <c r="D80" s="227" t="s">
        <v>126</v>
      </c>
      <c r="E80" s="777">
        <v>99.11</v>
      </c>
      <c r="F80" s="18">
        <f>rv_apple_acc_mac</f>
        <v>0.09</v>
      </c>
      <c r="G80" s="768">
        <f t="shared" si="7"/>
        <v>90.190100000000001</v>
      </c>
      <c r="H80" s="19"/>
      <c r="I80" s="28">
        <v>0.06</v>
      </c>
      <c r="J80" s="238" t="s">
        <v>669</v>
      </c>
      <c r="K80" s="83" t="s">
        <v>231</v>
      </c>
      <c r="L80" s="100" t="s">
        <v>628</v>
      </c>
      <c r="M80" s="219" t="s">
        <v>2602</v>
      </c>
      <c r="N80" s="205" t="s">
        <v>2610</v>
      </c>
      <c r="O80" s="206">
        <v>1</v>
      </c>
      <c r="P80" s="227" t="s">
        <v>126</v>
      </c>
      <c r="Q80" s="288">
        <v>99.12</v>
      </c>
      <c r="R80" s="188">
        <v>0.09</v>
      </c>
      <c r="S80" s="62">
        <v>90.199200000000005</v>
      </c>
      <c r="T80" s="86"/>
      <c r="U80" s="186">
        <v>0.05</v>
      </c>
      <c r="V80" s="238" t="s">
        <v>669</v>
      </c>
      <c r="W80" s="83" t="s">
        <v>231</v>
      </c>
      <c r="X80" s="100" t="s">
        <v>628</v>
      </c>
    </row>
    <row r="81" spans="1:24" s="1" customFormat="1">
      <c r="A81" s="219" t="s">
        <v>2603</v>
      </c>
      <c r="B81" s="205" t="s">
        <v>2611</v>
      </c>
      <c r="C81" s="206">
        <v>1</v>
      </c>
      <c r="D81" s="227" t="s">
        <v>126</v>
      </c>
      <c r="E81" s="777">
        <v>99.11</v>
      </c>
      <c r="F81" s="18">
        <f>rv_apple_acc_mac</f>
        <v>0.09</v>
      </c>
      <c r="G81" s="768">
        <f t="shared" si="7"/>
        <v>90.190100000000001</v>
      </c>
      <c r="H81" s="19"/>
      <c r="I81" s="28">
        <v>0.06</v>
      </c>
      <c r="J81" s="238" t="s">
        <v>669</v>
      </c>
      <c r="K81" s="83" t="s">
        <v>231</v>
      </c>
      <c r="L81" s="100" t="s">
        <v>628</v>
      </c>
      <c r="M81" s="219" t="s">
        <v>2603</v>
      </c>
      <c r="N81" s="205" t="s">
        <v>2611</v>
      </c>
      <c r="O81" s="206">
        <v>1</v>
      </c>
      <c r="P81" s="227" t="s">
        <v>126</v>
      </c>
      <c r="Q81" s="288">
        <v>99.12</v>
      </c>
      <c r="R81" s="188">
        <v>0.09</v>
      </c>
      <c r="S81" s="62">
        <v>90.199200000000005</v>
      </c>
      <c r="T81" s="86"/>
      <c r="U81" s="186">
        <v>0.05</v>
      </c>
      <c r="V81" s="238" t="s">
        <v>669</v>
      </c>
      <c r="W81" s="83" t="s">
        <v>231</v>
      </c>
      <c r="X81" s="100" t="s">
        <v>628</v>
      </c>
    </row>
    <row r="82" spans="1:24" s="1" customFormat="1">
      <c r="A82" s="219" t="s">
        <v>2604</v>
      </c>
      <c r="B82" s="205" t="s">
        <v>2612</v>
      </c>
      <c r="C82" s="206">
        <v>1</v>
      </c>
      <c r="D82" s="227" t="s">
        <v>126</v>
      </c>
      <c r="E82" s="777">
        <v>99.11</v>
      </c>
      <c r="F82" s="18">
        <f>rv_apple_acc_mac</f>
        <v>0.09</v>
      </c>
      <c r="G82" s="768">
        <f t="shared" si="7"/>
        <v>90.190100000000001</v>
      </c>
      <c r="H82" s="19"/>
      <c r="I82" s="28">
        <v>0.06</v>
      </c>
      <c r="J82" s="238" t="s">
        <v>669</v>
      </c>
      <c r="K82" s="83" t="s">
        <v>231</v>
      </c>
      <c r="L82" s="100" t="s">
        <v>628</v>
      </c>
      <c r="M82" s="219" t="s">
        <v>2604</v>
      </c>
      <c r="N82" s="205" t="s">
        <v>2612</v>
      </c>
      <c r="O82" s="206">
        <v>1</v>
      </c>
      <c r="P82" s="227" t="s">
        <v>126</v>
      </c>
      <c r="Q82" s="288">
        <v>99.12</v>
      </c>
      <c r="R82" s="188">
        <v>0.09</v>
      </c>
      <c r="S82" s="62">
        <v>90.199200000000005</v>
      </c>
      <c r="T82" s="86"/>
      <c r="U82" s="186">
        <v>0.05</v>
      </c>
      <c r="V82" s="238" t="s">
        <v>669</v>
      </c>
      <c r="W82" s="83" t="s">
        <v>231</v>
      </c>
      <c r="X82" s="100" t="s">
        <v>628</v>
      </c>
    </row>
    <row r="83" spans="1:24" s="1" customFormat="1">
      <c r="A83" s="219"/>
      <c r="B83" s="205"/>
      <c r="C83" s="206"/>
      <c r="D83" s="227"/>
      <c r="E83" s="777"/>
      <c r="F83" s="18"/>
      <c r="G83" s="768"/>
      <c r="H83" s="19"/>
      <c r="I83" s="28"/>
      <c r="J83" s="238"/>
      <c r="K83" s="83"/>
      <c r="L83" s="100"/>
      <c r="M83" s="711" t="s">
        <v>776</v>
      </c>
      <c r="N83" s="712" t="s">
        <v>777</v>
      </c>
      <c r="O83" s="713">
        <v>1</v>
      </c>
      <c r="P83" s="714" t="s">
        <v>126</v>
      </c>
      <c r="Q83" s="715">
        <v>115.79</v>
      </c>
      <c r="R83" s="716">
        <v>0.09</v>
      </c>
      <c r="S83" s="717">
        <v>105.36890000000001</v>
      </c>
      <c r="T83" s="718"/>
      <c r="U83" s="719">
        <v>0.05</v>
      </c>
      <c r="V83" s="238" t="s">
        <v>669</v>
      </c>
      <c r="W83" s="83" t="s">
        <v>231</v>
      </c>
      <c r="X83" s="100" t="s">
        <v>628</v>
      </c>
    </row>
    <row r="84" spans="1:24" s="1" customFormat="1">
      <c r="A84" s="219"/>
      <c r="B84" s="205"/>
      <c r="C84" s="206"/>
      <c r="D84" s="227"/>
      <c r="E84" s="777"/>
      <c r="F84" s="18"/>
      <c r="G84" s="768"/>
      <c r="H84" s="19"/>
      <c r="I84" s="28"/>
      <c r="J84" s="238"/>
      <c r="K84" s="83"/>
      <c r="L84" s="100"/>
      <c r="M84" s="711" t="s">
        <v>778</v>
      </c>
      <c r="N84" s="712" t="s">
        <v>779</v>
      </c>
      <c r="O84" s="713">
        <v>1</v>
      </c>
      <c r="P84" s="714" t="s">
        <v>126</v>
      </c>
      <c r="Q84" s="715">
        <v>115.79</v>
      </c>
      <c r="R84" s="716">
        <v>0.09</v>
      </c>
      <c r="S84" s="717">
        <v>105.36890000000001</v>
      </c>
      <c r="T84" s="718"/>
      <c r="U84" s="719">
        <v>0.05</v>
      </c>
      <c r="V84" s="238" t="s">
        <v>669</v>
      </c>
      <c r="W84" s="83" t="s">
        <v>231</v>
      </c>
      <c r="X84" s="100" t="s">
        <v>628</v>
      </c>
    </row>
    <row r="85" spans="1:24" s="1" customFormat="1">
      <c r="A85" s="219"/>
      <c r="B85" s="205"/>
      <c r="C85" s="206"/>
      <c r="D85" s="227"/>
      <c r="E85" s="777"/>
      <c r="F85" s="18"/>
      <c r="G85" s="768"/>
      <c r="H85" s="19"/>
      <c r="I85" s="28"/>
      <c r="J85" s="238"/>
      <c r="K85" s="83"/>
      <c r="L85" s="100"/>
      <c r="M85" s="711" t="s">
        <v>780</v>
      </c>
      <c r="N85" s="712" t="s">
        <v>2630</v>
      </c>
      <c r="O85" s="713">
        <v>1</v>
      </c>
      <c r="P85" s="714" t="s">
        <v>126</v>
      </c>
      <c r="Q85" s="715">
        <v>115.79</v>
      </c>
      <c r="R85" s="716">
        <v>0.09</v>
      </c>
      <c r="S85" s="717">
        <v>105.36890000000001</v>
      </c>
      <c r="T85" s="718"/>
      <c r="U85" s="719">
        <v>0.05</v>
      </c>
      <c r="V85" s="238" t="s">
        <v>669</v>
      </c>
      <c r="W85" s="83" t="s">
        <v>231</v>
      </c>
      <c r="X85" s="100" t="s">
        <v>628</v>
      </c>
    </row>
    <row r="86" spans="1:24" s="1" customFormat="1">
      <c r="A86" s="219"/>
      <c r="B86" s="205"/>
      <c r="C86" s="206"/>
      <c r="D86" s="227"/>
      <c r="E86" s="777"/>
      <c r="F86" s="18"/>
      <c r="G86" s="768"/>
      <c r="H86" s="19"/>
      <c r="I86" s="28"/>
      <c r="J86" s="238"/>
      <c r="K86" s="83"/>
      <c r="L86" s="100"/>
      <c r="M86" s="711" t="s">
        <v>781</v>
      </c>
      <c r="N86" s="712" t="s">
        <v>782</v>
      </c>
      <c r="O86" s="713">
        <v>1</v>
      </c>
      <c r="P86" s="714" t="s">
        <v>126</v>
      </c>
      <c r="Q86" s="715">
        <v>115.79</v>
      </c>
      <c r="R86" s="716">
        <v>0.09</v>
      </c>
      <c r="S86" s="717">
        <v>105.36890000000001</v>
      </c>
      <c r="T86" s="718"/>
      <c r="U86" s="719">
        <v>0.05</v>
      </c>
      <c r="V86" s="238" t="s">
        <v>669</v>
      </c>
      <c r="W86" s="83" t="s">
        <v>231</v>
      </c>
      <c r="X86" s="100" t="s">
        <v>628</v>
      </c>
    </row>
    <row r="87" spans="1:24" s="1" customFormat="1">
      <c r="A87" s="219" t="s">
        <v>2605</v>
      </c>
      <c r="B87" s="205" t="s">
        <v>2613</v>
      </c>
      <c r="C87" s="206">
        <v>1</v>
      </c>
      <c r="D87" s="227" t="s">
        <v>126</v>
      </c>
      <c r="E87" s="777">
        <v>140.77000000000001</v>
      </c>
      <c r="F87" s="18">
        <f>rv_apple_acc_mac</f>
        <v>0.09</v>
      </c>
      <c r="G87" s="768">
        <f t="shared" si="7"/>
        <v>128.10070000000002</v>
      </c>
      <c r="H87" s="19"/>
      <c r="I87" s="28">
        <v>0.06</v>
      </c>
      <c r="J87" s="238" t="s">
        <v>669</v>
      </c>
      <c r="K87" s="83" t="s">
        <v>231</v>
      </c>
      <c r="L87" s="100" t="s">
        <v>628</v>
      </c>
      <c r="M87" s="219" t="s">
        <v>2605</v>
      </c>
      <c r="N87" s="205" t="s">
        <v>2613</v>
      </c>
      <c r="O87" s="206">
        <v>1</v>
      </c>
      <c r="P87" s="227" t="s">
        <v>126</v>
      </c>
      <c r="Q87" s="288">
        <v>140.78</v>
      </c>
      <c r="R87" s="188">
        <v>0.09</v>
      </c>
      <c r="S87" s="62">
        <v>128.10980000000001</v>
      </c>
      <c r="T87" s="86"/>
      <c r="U87" s="186">
        <v>0.05</v>
      </c>
      <c r="V87" s="238" t="s">
        <v>669</v>
      </c>
      <c r="W87" s="83" t="s">
        <v>231</v>
      </c>
      <c r="X87" s="100" t="s">
        <v>628</v>
      </c>
    </row>
    <row r="88" spans="1:24" s="1" customFormat="1">
      <c r="A88" s="219" t="s">
        <v>2606</v>
      </c>
      <c r="B88" s="205" t="s">
        <v>2614</v>
      </c>
      <c r="C88" s="206">
        <v>1</v>
      </c>
      <c r="D88" s="227" t="s">
        <v>126</v>
      </c>
      <c r="E88" s="777">
        <v>140.77000000000001</v>
      </c>
      <c r="F88" s="18">
        <v>0.09</v>
      </c>
      <c r="G88" s="768">
        <f t="shared" si="7"/>
        <v>128.10070000000002</v>
      </c>
      <c r="H88" s="19"/>
      <c r="I88" s="28">
        <v>0.06</v>
      </c>
      <c r="J88" s="238" t="s">
        <v>669</v>
      </c>
      <c r="K88" s="83" t="s">
        <v>231</v>
      </c>
      <c r="L88" s="100" t="s">
        <v>628</v>
      </c>
      <c r="M88" s="219" t="s">
        <v>2606</v>
      </c>
      <c r="N88" s="205" t="s">
        <v>2614</v>
      </c>
      <c r="O88" s="206">
        <v>1</v>
      </c>
      <c r="P88" s="227" t="s">
        <v>126</v>
      </c>
      <c r="Q88" s="288">
        <v>140.78</v>
      </c>
      <c r="R88" s="188">
        <v>0.09</v>
      </c>
      <c r="S88" s="62">
        <v>128.10980000000001</v>
      </c>
      <c r="T88" s="86"/>
      <c r="U88" s="186">
        <v>0.05</v>
      </c>
      <c r="V88" s="238" t="s">
        <v>669</v>
      </c>
      <c r="W88" s="83" t="s">
        <v>231</v>
      </c>
      <c r="X88" s="100" t="s">
        <v>628</v>
      </c>
    </row>
    <row r="89" spans="1:24" s="1" customFormat="1">
      <c r="A89" s="219" t="s">
        <v>2607</v>
      </c>
      <c r="B89" s="205" t="s">
        <v>2631</v>
      </c>
      <c r="C89" s="206">
        <v>1</v>
      </c>
      <c r="D89" s="227" t="s">
        <v>126</v>
      </c>
      <c r="E89" s="777">
        <v>140.77000000000001</v>
      </c>
      <c r="F89" s="18">
        <v>0.09</v>
      </c>
      <c r="G89" s="768">
        <f t="shared" si="7"/>
        <v>128.10070000000002</v>
      </c>
      <c r="H89" s="19"/>
      <c r="I89" s="28">
        <v>0.06</v>
      </c>
      <c r="J89" s="238" t="s">
        <v>669</v>
      </c>
      <c r="K89" s="83" t="s">
        <v>231</v>
      </c>
      <c r="L89" s="100" t="s">
        <v>628</v>
      </c>
      <c r="M89" s="219" t="s">
        <v>2607</v>
      </c>
      <c r="N89" s="205" t="s">
        <v>2631</v>
      </c>
      <c r="O89" s="206">
        <v>1</v>
      </c>
      <c r="P89" s="227" t="s">
        <v>126</v>
      </c>
      <c r="Q89" s="288">
        <v>140.78</v>
      </c>
      <c r="R89" s="188">
        <v>0.09</v>
      </c>
      <c r="S89" s="62">
        <v>128.10980000000001</v>
      </c>
      <c r="T89" s="86"/>
      <c r="U89" s="186">
        <v>0.05</v>
      </c>
      <c r="V89" s="238" t="s">
        <v>669</v>
      </c>
      <c r="W89" s="83" t="s">
        <v>231</v>
      </c>
      <c r="X89" s="100" t="s">
        <v>628</v>
      </c>
    </row>
    <row r="90" spans="1:24" s="1" customFormat="1">
      <c r="A90" s="219" t="s">
        <v>2608</v>
      </c>
      <c r="B90" s="205" t="s">
        <v>2615</v>
      </c>
      <c r="C90" s="206">
        <v>1</v>
      </c>
      <c r="D90" s="227" t="s">
        <v>126</v>
      </c>
      <c r="E90" s="777">
        <v>140.77000000000001</v>
      </c>
      <c r="F90" s="18">
        <v>0.09</v>
      </c>
      <c r="G90" s="768">
        <f t="shared" si="7"/>
        <v>128.10070000000002</v>
      </c>
      <c r="H90" s="19"/>
      <c r="I90" s="28">
        <v>0.06</v>
      </c>
      <c r="J90" s="238" t="s">
        <v>669</v>
      </c>
      <c r="K90" s="83" t="s">
        <v>231</v>
      </c>
      <c r="L90" s="100" t="s">
        <v>628</v>
      </c>
      <c r="M90" s="219" t="s">
        <v>2608</v>
      </c>
      <c r="N90" s="205" t="s">
        <v>2615</v>
      </c>
      <c r="O90" s="206">
        <v>1</v>
      </c>
      <c r="P90" s="227" t="s">
        <v>126</v>
      </c>
      <c r="Q90" s="288">
        <v>140.78</v>
      </c>
      <c r="R90" s="188">
        <v>0.09</v>
      </c>
      <c r="S90" s="62">
        <v>128.10980000000001</v>
      </c>
      <c r="T90" s="86"/>
      <c r="U90" s="186">
        <v>0.05</v>
      </c>
      <c r="V90" s="238" t="s">
        <v>669</v>
      </c>
      <c r="W90" s="83" t="s">
        <v>231</v>
      </c>
      <c r="X90" s="100" t="s">
        <v>628</v>
      </c>
    </row>
    <row r="91" spans="1:24" s="1" customFormat="1">
      <c r="A91" s="219" t="s">
        <v>2616</v>
      </c>
      <c r="B91" s="205" t="s">
        <v>2617</v>
      </c>
      <c r="C91" s="206">
        <v>1</v>
      </c>
      <c r="D91" s="227" t="s">
        <v>126</v>
      </c>
      <c r="E91" s="777">
        <v>165.77</v>
      </c>
      <c r="F91" s="18">
        <f>rv_apple_acc_mac</f>
        <v>0.09</v>
      </c>
      <c r="G91" s="768">
        <f t="shared" si="7"/>
        <v>150.85070000000002</v>
      </c>
      <c r="H91" s="19"/>
      <c r="I91" s="28">
        <v>0.06</v>
      </c>
      <c r="J91" s="238" t="s">
        <v>669</v>
      </c>
      <c r="K91" s="83" t="s">
        <v>231</v>
      </c>
      <c r="L91" s="100" t="s">
        <v>628</v>
      </c>
      <c r="M91" s="219" t="s">
        <v>2616</v>
      </c>
      <c r="N91" s="205" t="s">
        <v>2617</v>
      </c>
      <c r="O91" s="206">
        <v>1</v>
      </c>
      <c r="P91" s="227" t="s">
        <v>126</v>
      </c>
      <c r="Q91" s="288">
        <v>165.78</v>
      </c>
      <c r="R91" s="188">
        <v>0.09</v>
      </c>
      <c r="S91" s="62">
        <v>150.85980000000001</v>
      </c>
      <c r="T91" s="86"/>
      <c r="U91" s="186">
        <v>0.05</v>
      </c>
      <c r="V91" s="238" t="s">
        <v>669</v>
      </c>
      <c r="W91" s="83" t="s">
        <v>231</v>
      </c>
      <c r="X91" s="100" t="s">
        <v>628</v>
      </c>
    </row>
    <row r="92" spans="1:24" s="1" customFormat="1">
      <c r="A92" s="219" t="s">
        <v>2623</v>
      </c>
      <c r="B92" s="205" t="s">
        <v>2618</v>
      </c>
      <c r="C92" s="206">
        <v>1</v>
      </c>
      <c r="D92" s="227" t="s">
        <v>126</v>
      </c>
      <c r="E92" s="777">
        <v>165.77</v>
      </c>
      <c r="F92" s="18">
        <v>0.09</v>
      </c>
      <c r="G92" s="768">
        <f t="shared" si="7"/>
        <v>150.85070000000002</v>
      </c>
      <c r="H92" s="19"/>
      <c r="I92" s="28">
        <v>0.06</v>
      </c>
      <c r="J92" s="238" t="s">
        <v>669</v>
      </c>
      <c r="K92" s="83" t="s">
        <v>231</v>
      </c>
      <c r="L92" s="100" t="s">
        <v>628</v>
      </c>
      <c r="M92" s="219" t="s">
        <v>2623</v>
      </c>
      <c r="N92" s="205" t="s">
        <v>2618</v>
      </c>
      <c r="O92" s="206">
        <v>1</v>
      </c>
      <c r="P92" s="227" t="s">
        <v>126</v>
      </c>
      <c r="Q92" s="288">
        <v>165.78</v>
      </c>
      <c r="R92" s="188">
        <v>0.09</v>
      </c>
      <c r="S92" s="62">
        <v>150.85980000000001</v>
      </c>
      <c r="T92" s="86"/>
      <c r="U92" s="186">
        <v>0.05</v>
      </c>
      <c r="V92" s="238" t="s">
        <v>669</v>
      </c>
      <c r="W92" s="83" t="s">
        <v>231</v>
      </c>
      <c r="X92" s="100" t="s">
        <v>628</v>
      </c>
    </row>
    <row r="93" spans="1:24" s="1" customFormat="1">
      <c r="A93" s="219" t="s">
        <v>2625</v>
      </c>
      <c r="B93" s="205" t="s">
        <v>2632</v>
      </c>
      <c r="C93" s="206">
        <v>1</v>
      </c>
      <c r="D93" s="227" t="s">
        <v>126</v>
      </c>
      <c r="E93" s="777">
        <v>165.77</v>
      </c>
      <c r="F93" s="18">
        <v>0.09</v>
      </c>
      <c r="G93" s="768">
        <f t="shared" si="7"/>
        <v>150.85070000000002</v>
      </c>
      <c r="H93" s="19"/>
      <c r="I93" s="28">
        <v>0.06</v>
      </c>
      <c r="J93" s="238" t="s">
        <v>669</v>
      </c>
      <c r="K93" s="83" t="s">
        <v>231</v>
      </c>
      <c r="L93" s="100" t="s">
        <v>628</v>
      </c>
      <c r="M93" s="219" t="s">
        <v>2625</v>
      </c>
      <c r="N93" s="205" t="s">
        <v>2632</v>
      </c>
      <c r="O93" s="206">
        <v>1</v>
      </c>
      <c r="P93" s="227" t="s">
        <v>126</v>
      </c>
      <c r="Q93" s="288">
        <v>165.78</v>
      </c>
      <c r="R93" s="188">
        <v>0.09</v>
      </c>
      <c r="S93" s="62">
        <v>150.85980000000001</v>
      </c>
      <c r="T93" s="86"/>
      <c r="U93" s="186">
        <v>0.05</v>
      </c>
      <c r="V93" s="238" t="s">
        <v>669</v>
      </c>
      <c r="W93" s="83" t="s">
        <v>231</v>
      </c>
      <c r="X93" s="100" t="s">
        <v>628</v>
      </c>
    </row>
    <row r="94" spans="1:24" s="1" customFormat="1">
      <c r="A94" s="219" t="s">
        <v>2624</v>
      </c>
      <c r="B94" s="205" t="s">
        <v>2619</v>
      </c>
      <c r="C94" s="206">
        <v>1</v>
      </c>
      <c r="D94" s="227" t="s">
        <v>126</v>
      </c>
      <c r="E94" s="777">
        <v>165.77</v>
      </c>
      <c r="F94" s="18">
        <v>0.09</v>
      </c>
      <c r="G94" s="768">
        <f t="shared" si="7"/>
        <v>150.85070000000002</v>
      </c>
      <c r="H94" s="19"/>
      <c r="I94" s="28">
        <v>0.06</v>
      </c>
      <c r="J94" s="238" t="s">
        <v>669</v>
      </c>
      <c r="K94" s="83" t="s">
        <v>231</v>
      </c>
      <c r="L94" s="100" t="s">
        <v>628</v>
      </c>
      <c r="M94" s="219" t="s">
        <v>2624</v>
      </c>
      <c r="N94" s="205" t="s">
        <v>2619</v>
      </c>
      <c r="O94" s="206">
        <v>1</v>
      </c>
      <c r="P94" s="227" t="s">
        <v>126</v>
      </c>
      <c r="Q94" s="288">
        <v>165.78</v>
      </c>
      <c r="R94" s="188">
        <v>0.09</v>
      </c>
      <c r="S94" s="62">
        <v>150.85980000000001</v>
      </c>
      <c r="T94" s="86"/>
      <c r="U94" s="186">
        <v>0.05</v>
      </c>
      <c r="V94" s="238" t="s">
        <v>669</v>
      </c>
      <c r="W94" s="83" t="s">
        <v>231</v>
      </c>
      <c r="X94" s="100" t="s">
        <v>628</v>
      </c>
    </row>
    <row r="95" spans="1:24" s="1" customFormat="1">
      <c r="A95" s="219" t="s">
        <v>2626</v>
      </c>
      <c r="B95" s="205" t="s">
        <v>2620</v>
      </c>
      <c r="C95" s="206">
        <v>1</v>
      </c>
      <c r="D95" s="227" t="s">
        <v>126</v>
      </c>
      <c r="E95" s="777">
        <v>190.77</v>
      </c>
      <c r="F95" s="18">
        <f>rv_apple_acc_mac</f>
        <v>0.09</v>
      </c>
      <c r="G95" s="768">
        <f t="shared" si="7"/>
        <v>173.60070000000002</v>
      </c>
      <c r="H95" s="19"/>
      <c r="I95" s="28">
        <v>0.06</v>
      </c>
      <c r="J95" s="238" t="s">
        <v>669</v>
      </c>
      <c r="K95" s="83" t="s">
        <v>231</v>
      </c>
      <c r="L95" s="100" t="s">
        <v>628</v>
      </c>
      <c r="M95" s="219" t="s">
        <v>2626</v>
      </c>
      <c r="N95" s="205" t="s">
        <v>2620</v>
      </c>
      <c r="O95" s="206">
        <v>1</v>
      </c>
      <c r="P95" s="227" t="s">
        <v>126</v>
      </c>
      <c r="Q95" s="288">
        <v>190.78</v>
      </c>
      <c r="R95" s="188">
        <v>0.09</v>
      </c>
      <c r="S95" s="62">
        <v>173.60980000000001</v>
      </c>
      <c r="T95" s="86"/>
      <c r="U95" s="186">
        <v>0.05</v>
      </c>
      <c r="V95" s="238" t="s">
        <v>669</v>
      </c>
      <c r="W95" s="83" t="s">
        <v>231</v>
      </c>
      <c r="X95" s="100" t="s">
        <v>628</v>
      </c>
    </row>
    <row r="96" spans="1:24" s="1" customFormat="1">
      <c r="A96" s="219" t="s">
        <v>2628</v>
      </c>
      <c r="B96" s="205" t="s">
        <v>2621</v>
      </c>
      <c r="C96" s="206">
        <v>1</v>
      </c>
      <c r="D96" s="227" t="s">
        <v>126</v>
      </c>
      <c r="E96" s="777">
        <v>190.77</v>
      </c>
      <c r="F96" s="18">
        <f>rv_apple_acc_mac</f>
        <v>0.09</v>
      </c>
      <c r="G96" s="768">
        <f t="shared" si="7"/>
        <v>173.60070000000002</v>
      </c>
      <c r="H96" s="19"/>
      <c r="I96" s="28">
        <v>0.06</v>
      </c>
      <c r="J96" s="238" t="s">
        <v>669</v>
      </c>
      <c r="K96" s="83" t="s">
        <v>231</v>
      </c>
      <c r="L96" s="100" t="s">
        <v>628</v>
      </c>
      <c r="M96" s="219" t="s">
        <v>2628</v>
      </c>
      <c r="N96" s="205" t="s">
        <v>2621</v>
      </c>
      <c r="O96" s="206">
        <v>1</v>
      </c>
      <c r="P96" s="227" t="s">
        <v>126</v>
      </c>
      <c r="Q96" s="288">
        <v>190.78</v>
      </c>
      <c r="R96" s="188">
        <v>0.09</v>
      </c>
      <c r="S96" s="62">
        <v>173.60980000000001</v>
      </c>
      <c r="T96" s="86"/>
      <c r="U96" s="186">
        <v>0.05</v>
      </c>
      <c r="V96" s="238" t="s">
        <v>669</v>
      </c>
      <c r="W96" s="83" t="s">
        <v>231</v>
      </c>
      <c r="X96" s="100" t="s">
        <v>628</v>
      </c>
    </row>
    <row r="97" spans="1:24" s="1" customFormat="1">
      <c r="A97" s="219" t="s">
        <v>2629</v>
      </c>
      <c r="B97" s="205" t="s">
        <v>2633</v>
      </c>
      <c r="C97" s="206">
        <v>1</v>
      </c>
      <c r="D97" s="227" t="s">
        <v>126</v>
      </c>
      <c r="E97" s="777">
        <v>190.77</v>
      </c>
      <c r="F97" s="18">
        <v>0.09</v>
      </c>
      <c r="G97" s="768">
        <f t="shared" si="7"/>
        <v>173.60070000000002</v>
      </c>
      <c r="H97" s="19"/>
      <c r="I97" s="28">
        <v>0.06</v>
      </c>
      <c r="J97" s="238" t="s">
        <v>669</v>
      </c>
      <c r="K97" s="83" t="s">
        <v>231</v>
      </c>
      <c r="L97" s="100" t="s">
        <v>628</v>
      </c>
      <c r="M97" s="219" t="s">
        <v>2629</v>
      </c>
      <c r="N97" s="205" t="s">
        <v>2633</v>
      </c>
      <c r="O97" s="206">
        <v>1</v>
      </c>
      <c r="P97" s="227" t="s">
        <v>126</v>
      </c>
      <c r="Q97" s="288">
        <v>190.78</v>
      </c>
      <c r="R97" s="188">
        <v>0.09</v>
      </c>
      <c r="S97" s="62">
        <v>173.60980000000001</v>
      </c>
      <c r="T97" s="86"/>
      <c r="U97" s="186">
        <v>0.05</v>
      </c>
      <c r="V97" s="238" t="s">
        <v>669</v>
      </c>
      <c r="W97" s="83" t="s">
        <v>231</v>
      </c>
      <c r="X97" s="100" t="s">
        <v>628</v>
      </c>
    </row>
    <row r="98" spans="1:24" s="1" customFormat="1">
      <c r="A98" s="219" t="s">
        <v>2627</v>
      </c>
      <c r="B98" s="205" t="s">
        <v>2622</v>
      </c>
      <c r="C98" s="206">
        <v>1</v>
      </c>
      <c r="D98" s="227" t="s">
        <v>126</v>
      </c>
      <c r="E98" s="777">
        <v>190.77</v>
      </c>
      <c r="F98" s="18">
        <v>0.09</v>
      </c>
      <c r="G98" s="768">
        <f t="shared" si="7"/>
        <v>173.60070000000002</v>
      </c>
      <c r="H98" s="19"/>
      <c r="I98" s="28">
        <v>0.06</v>
      </c>
      <c r="J98" s="238" t="s">
        <v>669</v>
      </c>
      <c r="K98" s="83" t="s">
        <v>231</v>
      </c>
      <c r="L98" s="100" t="s">
        <v>628</v>
      </c>
      <c r="M98" s="219" t="s">
        <v>2627</v>
      </c>
      <c r="N98" s="205" t="s">
        <v>2622</v>
      </c>
      <c r="O98" s="206">
        <v>1</v>
      </c>
      <c r="P98" s="227" t="s">
        <v>126</v>
      </c>
      <c r="Q98" s="288">
        <v>190.78</v>
      </c>
      <c r="R98" s="188">
        <v>0.09</v>
      </c>
      <c r="S98" s="62">
        <v>173.60980000000001</v>
      </c>
      <c r="T98" s="86"/>
      <c r="U98" s="186">
        <v>0.05</v>
      </c>
      <c r="V98" s="238" t="s">
        <v>669</v>
      </c>
      <c r="W98" s="83" t="s">
        <v>231</v>
      </c>
      <c r="X98" s="100" t="s">
        <v>628</v>
      </c>
    </row>
    <row r="99" spans="1:24" s="1" customFormat="1">
      <c r="A99" s="219" t="s">
        <v>2634</v>
      </c>
      <c r="B99" s="205" t="s">
        <v>2638</v>
      </c>
      <c r="C99" s="206">
        <v>1</v>
      </c>
      <c r="D99" s="226" t="s">
        <v>126</v>
      </c>
      <c r="E99" s="777">
        <v>70.790000000000006</v>
      </c>
      <c r="F99" s="35">
        <f t="shared" ref="F99:F101" si="8">rv_apple_acc_mac</f>
        <v>0.09</v>
      </c>
      <c r="G99" s="768">
        <f t="shared" si="7"/>
        <v>64.418900000000008</v>
      </c>
      <c r="H99" s="19"/>
      <c r="I99" s="28">
        <v>0.04</v>
      </c>
      <c r="J99" s="238" t="s">
        <v>669</v>
      </c>
      <c r="K99" s="83" t="s">
        <v>231</v>
      </c>
      <c r="L99" s="100" t="s">
        <v>628</v>
      </c>
      <c r="M99" s="219" t="s">
        <v>2634</v>
      </c>
      <c r="N99" s="205" t="s">
        <v>2638</v>
      </c>
      <c r="O99" s="206">
        <v>1</v>
      </c>
      <c r="P99" s="226" t="s">
        <v>126</v>
      </c>
      <c r="Q99" s="288">
        <v>70.81</v>
      </c>
      <c r="R99" s="208">
        <v>0.09</v>
      </c>
      <c r="S99" s="62">
        <v>64.437100000000001</v>
      </c>
      <c r="T99" s="86"/>
      <c r="U99" s="186">
        <v>0.02</v>
      </c>
      <c r="V99" s="238" t="s">
        <v>669</v>
      </c>
      <c r="W99" s="83" t="s">
        <v>231</v>
      </c>
      <c r="X99" s="100" t="s">
        <v>628</v>
      </c>
    </row>
    <row r="100" spans="1:24" s="1" customFormat="1">
      <c r="A100" s="219" t="s">
        <v>2635</v>
      </c>
      <c r="B100" s="205" t="s">
        <v>2639</v>
      </c>
      <c r="C100" s="206">
        <v>1</v>
      </c>
      <c r="D100" s="227" t="s">
        <v>126</v>
      </c>
      <c r="E100" s="777">
        <v>99.13</v>
      </c>
      <c r="F100" s="18">
        <f>rv_apple_acc_mac</f>
        <v>0.09</v>
      </c>
      <c r="G100" s="768">
        <f t="shared" si="7"/>
        <v>90.208299999999994</v>
      </c>
      <c r="H100" s="19"/>
      <c r="I100" s="28">
        <v>0.04</v>
      </c>
      <c r="J100" s="238" t="s">
        <v>669</v>
      </c>
      <c r="K100" s="83" t="s">
        <v>231</v>
      </c>
      <c r="L100" s="100" t="s">
        <v>628</v>
      </c>
      <c r="M100" s="219" t="s">
        <v>2635</v>
      </c>
      <c r="N100" s="205" t="s">
        <v>2639</v>
      </c>
      <c r="O100" s="206">
        <v>1</v>
      </c>
      <c r="P100" s="227" t="s">
        <v>126</v>
      </c>
      <c r="Q100" s="288">
        <v>99.15</v>
      </c>
      <c r="R100" s="188">
        <v>0.09</v>
      </c>
      <c r="S100" s="62">
        <v>90.226500000000001</v>
      </c>
      <c r="T100" s="86"/>
      <c r="U100" s="186">
        <v>0.02</v>
      </c>
      <c r="V100" s="238" t="s">
        <v>669</v>
      </c>
      <c r="W100" s="83" t="s">
        <v>231</v>
      </c>
      <c r="X100" s="100" t="s">
        <v>628</v>
      </c>
    </row>
    <row r="101" spans="1:24" s="1" customFormat="1">
      <c r="A101" s="219" t="s">
        <v>2636</v>
      </c>
      <c r="B101" s="205" t="s">
        <v>2637</v>
      </c>
      <c r="C101" s="206">
        <v>1</v>
      </c>
      <c r="D101" s="226" t="s">
        <v>126</v>
      </c>
      <c r="E101" s="777">
        <v>115.77</v>
      </c>
      <c r="F101" s="35">
        <f t="shared" si="8"/>
        <v>0.09</v>
      </c>
      <c r="G101" s="768">
        <f t="shared" si="7"/>
        <v>105.35069999999999</v>
      </c>
      <c r="H101" s="19"/>
      <c r="I101" s="28">
        <v>0.06</v>
      </c>
      <c r="J101" s="238" t="s">
        <v>669</v>
      </c>
      <c r="K101" s="83" t="s">
        <v>231</v>
      </c>
      <c r="L101" s="100" t="s">
        <v>628</v>
      </c>
      <c r="M101" s="219" t="s">
        <v>2636</v>
      </c>
      <c r="N101" s="205" t="s">
        <v>2637</v>
      </c>
      <c r="O101" s="206">
        <v>1</v>
      </c>
      <c r="P101" s="226" t="s">
        <v>126</v>
      </c>
      <c r="Q101" s="288">
        <v>115.78</v>
      </c>
      <c r="R101" s="208">
        <v>0.09</v>
      </c>
      <c r="S101" s="62">
        <v>105.35980000000001</v>
      </c>
      <c r="T101" s="86"/>
      <c r="U101" s="186">
        <v>0.05</v>
      </c>
      <c r="V101" s="238" t="s">
        <v>669</v>
      </c>
      <c r="W101" s="83" t="s">
        <v>231</v>
      </c>
      <c r="X101" s="100" t="s">
        <v>628</v>
      </c>
    </row>
    <row r="102" spans="1:24" s="1" customFormat="1">
      <c r="A102" s="219" t="s">
        <v>3010</v>
      </c>
      <c r="B102" s="205" t="s">
        <v>2640</v>
      </c>
      <c r="C102" s="206">
        <v>1</v>
      </c>
      <c r="D102" s="227" t="s">
        <v>126</v>
      </c>
      <c r="E102" s="777">
        <v>140.77000000000001</v>
      </c>
      <c r="F102" s="18">
        <f>rv_apple_acc_mac</f>
        <v>0.09</v>
      </c>
      <c r="G102" s="768">
        <f t="shared" si="7"/>
        <v>128.10070000000002</v>
      </c>
      <c r="H102" s="19"/>
      <c r="I102" s="28">
        <v>0.06</v>
      </c>
      <c r="J102" s="238" t="s">
        <v>669</v>
      </c>
      <c r="K102" s="83" t="s">
        <v>231</v>
      </c>
      <c r="L102" s="100" t="s">
        <v>628</v>
      </c>
      <c r="M102" s="219" t="s">
        <v>3010</v>
      </c>
      <c r="N102" s="205" t="s">
        <v>2640</v>
      </c>
      <c r="O102" s="206">
        <v>1</v>
      </c>
      <c r="P102" s="227" t="s">
        <v>126</v>
      </c>
      <c r="Q102" s="288">
        <v>140.78</v>
      </c>
      <c r="R102" s="188">
        <v>0.09</v>
      </c>
      <c r="S102" s="62">
        <v>128.10980000000001</v>
      </c>
      <c r="T102" s="86"/>
      <c r="U102" s="186">
        <v>0.05</v>
      </c>
      <c r="V102" s="238" t="s">
        <v>669</v>
      </c>
      <c r="W102" s="83" t="s">
        <v>231</v>
      </c>
      <c r="X102" s="100" t="s">
        <v>628</v>
      </c>
    </row>
    <row r="103" spans="1:24" s="1" customFormat="1">
      <c r="A103" s="219"/>
      <c r="B103" s="205"/>
      <c r="C103" s="206"/>
      <c r="D103" s="227"/>
      <c r="E103" s="777"/>
      <c r="F103" s="18"/>
      <c r="G103" s="768"/>
      <c r="H103" s="19"/>
      <c r="I103" s="28"/>
      <c r="J103" s="238"/>
      <c r="K103" s="83"/>
      <c r="L103" s="100"/>
      <c r="M103" s="711" t="s">
        <v>783</v>
      </c>
      <c r="N103" s="712" t="s">
        <v>784</v>
      </c>
      <c r="O103" s="713">
        <v>1</v>
      </c>
      <c r="P103" s="714" t="s">
        <v>126</v>
      </c>
      <c r="Q103" s="715">
        <v>149.12</v>
      </c>
      <c r="R103" s="716">
        <v>0</v>
      </c>
      <c r="S103" s="717">
        <v>149.12</v>
      </c>
      <c r="T103" s="718"/>
      <c r="U103" s="719">
        <v>0.05</v>
      </c>
      <c r="V103" s="238" t="s">
        <v>669</v>
      </c>
      <c r="W103" s="83" t="s">
        <v>231</v>
      </c>
      <c r="X103" s="100" t="s">
        <v>628</v>
      </c>
    </row>
    <row r="104" spans="1:24" s="1" customFormat="1">
      <c r="A104" s="219"/>
      <c r="B104" s="520"/>
      <c r="C104" s="206"/>
      <c r="D104" s="227"/>
      <c r="E104" s="777"/>
      <c r="F104" s="18"/>
      <c r="G104" s="768"/>
      <c r="H104" s="19"/>
      <c r="I104" s="28"/>
      <c r="J104" s="238"/>
      <c r="K104" s="83"/>
      <c r="L104" s="521"/>
      <c r="M104" s="711" t="s">
        <v>785</v>
      </c>
      <c r="N104" s="752" t="s">
        <v>786</v>
      </c>
      <c r="O104" s="713">
        <v>1</v>
      </c>
      <c r="P104" s="714" t="s">
        <v>126</v>
      </c>
      <c r="Q104" s="715">
        <v>149.12</v>
      </c>
      <c r="R104" s="716">
        <v>0</v>
      </c>
      <c r="S104" s="717">
        <v>149.12</v>
      </c>
      <c r="T104" s="718"/>
      <c r="U104" s="719">
        <v>0.05</v>
      </c>
      <c r="V104" s="238" t="s">
        <v>669</v>
      </c>
      <c r="W104" s="83" t="s">
        <v>231</v>
      </c>
      <c r="X104" s="521" t="s">
        <v>628</v>
      </c>
    </row>
    <row r="105" spans="1:24" s="1" customFormat="1">
      <c r="A105" s="219"/>
      <c r="B105" s="205"/>
      <c r="C105" s="206"/>
      <c r="D105" s="227"/>
      <c r="E105" s="777"/>
      <c r="F105" s="18"/>
      <c r="G105" s="768"/>
      <c r="H105" s="19"/>
      <c r="I105" s="28"/>
      <c r="J105" s="238"/>
      <c r="K105" s="83"/>
      <c r="L105" s="100"/>
      <c r="M105" s="711" t="s">
        <v>787</v>
      </c>
      <c r="N105" s="712" t="s">
        <v>2391</v>
      </c>
      <c r="O105" s="713">
        <v>1</v>
      </c>
      <c r="P105" s="714" t="s">
        <v>126</v>
      </c>
      <c r="Q105" s="715">
        <v>165.78</v>
      </c>
      <c r="R105" s="716">
        <v>0</v>
      </c>
      <c r="S105" s="717">
        <v>165.78</v>
      </c>
      <c r="T105" s="718"/>
      <c r="U105" s="719">
        <v>0.05</v>
      </c>
      <c r="V105" s="238" t="s">
        <v>669</v>
      </c>
      <c r="W105" s="83" t="s">
        <v>231</v>
      </c>
      <c r="X105" s="100" t="s">
        <v>628</v>
      </c>
    </row>
    <row r="106" spans="1:24" s="1" customFormat="1">
      <c r="A106" s="219"/>
      <c r="B106" s="520"/>
      <c r="C106" s="206"/>
      <c r="D106" s="227"/>
      <c r="E106" s="777"/>
      <c r="F106" s="18"/>
      <c r="G106" s="768"/>
      <c r="H106" s="19"/>
      <c r="I106" s="28"/>
      <c r="J106" s="238"/>
      <c r="K106" s="83"/>
      <c r="L106" s="521"/>
      <c r="M106" s="711" t="s">
        <v>788</v>
      </c>
      <c r="N106" s="752" t="s">
        <v>2392</v>
      </c>
      <c r="O106" s="713">
        <v>1</v>
      </c>
      <c r="P106" s="714" t="s">
        <v>126</v>
      </c>
      <c r="Q106" s="715">
        <v>165.78</v>
      </c>
      <c r="R106" s="716">
        <v>0</v>
      </c>
      <c r="S106" s="717">
        <v>165.78</v>
      </c>
      <c r="T106" s="718"/>
      <c r="U106" s="719">
        <v>0.05</v>
      </c>
      <c r="V106" s="238" t="s">
        <v>669</v>
      </c>
      <c r="W106" s="83" t="s">
        <v>231</v>
      </c>
      <c r="X106" s="521" t="s">
        <v>628</v>
      </c>
    </row>
    <row r="107" spans="1:24" s="1" customFormat="1">
      <c r="A107" s="219"/>
      <c r="B107" s="205"/>
      <c r="C107" s="206"/>
      <c r="D107" s="227"/>
      <c r="E107" s="777"/>
      <c r="F107" s="18"/>
      <c r="G107" s="768"/>
      <c r="H107" s="19"/>
      <c r="I107" s="28"/>
      <c r="J107" s="238"/>
      <c r="K107" s="83"/>
      <c r="L107" s="100"/>
      <c r="M107" s="711" t="s">
        <v>789</v>
      </c>
      <c r="N107" s="712" t="s">
        <v>2390</v>
      </c>
      <c r="O107" s="713">
        <v>1</v>
      </c>
      <c r="P107" s="714" t="s">
        <v>126</v>
      </c>
      <c r="Q107" s="715">
        <v>190.78</v>
      </c>
      <c r="R107" s="716">
        <v>0</v>
      </c>
      <c r="S107" s="717">
        <v>190.78</v>
      </c>
      <c r="T107" s="718"/>
      <c r="U107" s="719">
        <v>0.05</v>
      </c>
      <c r="V107" s="238" t="s">
        <v>669</v>
      </c>
      <c r="W107" s="83" t="s">
        <v>231</v>
      </c>
      <c r="X107" s="100" t="s">
        <v>628</v>
      </c>
    </row>
    <row r="108" spans="1:24" s="1" customFormat="1">
      <c r="A108" s="219"/>
      <c r="B108" s="520"/>
      <c r="C108" s="206"/>
      <c r="D108" s="227"/>
      <c r="E108" s="777"/>
      <c r="F108" s="18"/>
      <c r="G108" s="768"/>
      <c r="H108" s="19"/>
      <c r="I108" s="28"/>
      <c r="J108" s="238"/>
      <c r="K108" s="83"/>
      <c r="L108" s="521"/>
      <c r="M108" s="711" t="s">
        <v>790</v>
      </c>
      <c r="N108" s="752" t="s">
        <v>2389</v>
      </c>
      <c r="O108" s="713">
        <v>1</v>
      </c>
      <c r="P108" s="714" t="s">
        <v>126</v>
      </c>
      <c r="Q108" s="715">
        <v>190.78</v>
      </c>
      <c r="R108" s="716">
        <v>0</v>
      </c>
      <c r="S108" s="717">
        <v>190.78</v>
      </c>
      <c r="T108" s="718"/>
      <c r="U108" s="719">
        <v>0.05</v>
      </c>
      <c r="V108" s="238" t="s">
        <v>669</v>
      </c>
      <c r="W108" s="83" t="s">
        <v>231</v>
      </c>
      <c r="X108" s="521" t="s">
        <v>628</v>
      </c>
    </row>
    <row r="109" spans="1:24" s="1" customFormat="1">
      <c r="A109" s="219" t="s">
        <v>791</v>
      </c>
      <c r="B109" s="205" t="s">
        <v>792</v>
      </c>
      <c r="C109" s="206">
        <v>1</v>
      </c>
      <c r="D109" s="227" t="s">
        <v>126</v>
      </c>
      <c r="E109" s="777">
        <v>249.06</v>
      </c>
      <c r="F109" s="18">
        <f t="shared" ref="F109:F116" si="9">rv_apple_acc_nodac</f>
        <v>0</v>
      </c>
      <c r="G109" s="768">
        <f t="shared" ref="G109:G126" si="10">E109-(E109*F109)</f>
        <v>249.06</v>
      </c>
      <c r="H109" s="19"/>
      <c r="I109" s="28">
        <v>0.11</v>
      </c>
      <c r="J109" s="238" t="s">
        <v>669</v>
      </c>
      <c r="K109" s="83" t="s">
        <v>231</v>
      </c>
      <c r="L109" s="100" t="s">
        <v>628</v>
      </c>
      <c r="M109" s="219" t="s">
        <v>791</v>
      </c>
      <c r="N109" s="205" t="s">
        <v>792</v>
      </c>
      <c r="O109" s="206">
        <v>1</v>
      </c>
      <c r="P109" s="227" t="s">
        <v>126</v>
      </c>
      <c r="Q109" s="288">
        <v>249.12</v>
      </c>
      <c r="R109" s="188">
        <v>0</v>
      </c>
      <c r="S109" s="62">
        <v>249.12</v>
      </c>
      <c r="T109" s="86"/>
      <c r="U109" s="186">
        <v>0.1</v>
      </c>
      <c r="V109" s="238" t="s">
        <v>669</v>
      </c>
      <c r="W109" s="83" t="s">
        <v>231</v>
      </c>
      <c r="X109" s="100" t="s">
        <v>628</v>
      </c>
    </row>
    <row r="110" spans="1:24" s="1" customFormat="1">
      <c r="A110" s="219" t="s">
        <v>793</v>
      </c>
      <c r="B110" s="520" t="s">
        <v>794</v>
      </c>
      <c r="C110" s="206">
        <v>1</v>
      </c>
      <c r="D110" s="227" t="s">
        <v>126</v>
      </c>
      <c r="E110" s="777">
        <v>249.06</v>
      </c>
      <c r="F110" s="18">
        <v>0</v>
      </c>
      <c r="G110" s="768">
        <f t="shared" si="10"/>
        <v>249.06</v>
      </c>
      <c r="H110" s="19"/>
      <c r="I110" s="28">
        <v>0.11</v>
      </c>
      <c r="J110" s="238" t="s">
        <v>669</v>
      </c>
      <c r="K110" s="83" t="s">
        <v>231</v>
      </c>
      <c r="L110" s="521" t="s">
        <v>628</v>
      </c>
      <c r="M110" s="219" t="s">
        <v>793</v>
      </c>
      <c r="N110" s="520" t="s">
        <v>794</v>
      </c>
      <c r="O110" s="206">
        <v>1</v>
      </c>
      <c r="P110" s="227" t="s">
        <v>126</v>
      </c>
      <c r="Q110" s="288">
        <v>249.12</v>
      </c>
      <c r="R110" s="188">
        <v>0</v>
      </c>
      <c r="S110" s="62">
        <v>249.12</v>
      </c>
      <c r="T110" s="86"/>
      <c r="U110" s="186">
        <v>0.1</v>
      </c>
      <c r="V110" s="238" t="s">
        <v>669</v>
      </c>
      <c r="W110" s="83" t="s">
        <v>231</v>
      </c>
      <c r="X110" s="521" t="s">
        <v>628</v>
      </c>
    </row>
    <row r="111" spans="1:24" s="1" customFormat="1">
      <c r="A111" s="219" t="s">
        <v>795</v>
      </c>
      <c r="B111" s="205" t="s">
        <v>796</v>
      </c>
      <c r="C111" s="206">
        <v>1</v>
      </c>
      <c r="D111" s="227" t="s">
        <v>126</v>
      </c>
      <c r="E111" s="777">
        <v>290.72000000000003</v>
      </c>
      <c r="F111" s="18">
        <f t="shared" si="9"/>
        <v>0</v>
      </c>
      <c r="G111" s="768">
        <f t="shared" si="10"/>
        <v>290.72000000000003</v>
      </c>
      <c r="H111" s="19"/>
      <c r="I111" s="28">
        <v>0.11</v>
      </c>
      <c r="J111" s="238" t="s">
        <v>669</v>
      </c>
      <c r="K111" s="83" t="s">
        <v>231</v>
      </c>
      <c r="L111" s="100" t="s">
        <v>628</v>
      </c>
      <c r="M111" s="219" t="s">
        <v>795</v>
      </c>
      <c r="N111" s="205" t="s">
        <v>796</v>
      </c>
      <c r="O111" s="206">
        <v>1</v>
      </c>
      <c r="P111" s="227" t="s">
        <v>126</v>
      </c>
      <c r="Q111" s="288">
        <v>290.73</v>
      </c>
      <c r="R111" s="188">
        <v>0</v>
      </c>
      <c r="S111" s="62">
        <v>290.73</v>
      </c>
      <c r="T111" s="86"/>
      <c r="U111" s="186">
        <v>0.1</v>
      </c>
      <c r="V111" s="238" t="s">
        <v>669</v>
      </c>
      <c r="W111" s="83" t="s">
        <v>231</v>
      </c>
      <c r="X111" s="100" t="s">
        <v>628</v>
      </c>
    </row>
    <row r="112" spans="1:24" s="1" customFormat="1">
      <c r="A112" s="219" t="s">
        <v>797</v>
      </c>
      <c r="B112" s="205" t="s">
        <v>798</v>
      </c>
      <c r="C112" s="206">
        <v>1</v>
      </c>
      <c r="D112" s="227" t="s">
        <v>126</v>
      </c>
      <c r="E112" s="777">
        <v>290.72000000000003</v>
      </c>
      <c r="F112" s="18">
        <f t="shared" si="9"/>
        <v>0</v>
      </c>
      <c r="G112" s="768">
        <f t="shared" si="10"/>
        <v>290.72000000000003</v>
      </c>
      <c r="H112" s="19"/>
      <c r="I112" s="28">
        <v>0.11</v>
      </c>
      <c r="J112" s="238" t="s">
        <v>669</v>
      </c>
      <c r="K112" s="83" t="s">
        <v>231</v>
      </c>
      <c r="L112" s="100" t="s">
        <v>628</v>
      </c>
      <c r="M112" s="219" t="s">
        <v>797</v>
      </c>
      <c r="N112" s="205" t="s">
        <v>798</v>
      </c>
      <c r="O112" s="206">
        <v>1</v>
      </c>
      <c r="P112" s="227" t="s">
        <v>126</v>
      </c>
      <c r="Q112" s="288">
        <v>290.73</v>
      </c>
      <c r="R112" s="188">
        <v>0</v>
      </c>
      <c r="S112" s="62">
        <v>290.73</v>
      </c>
      <c r="T112" s="86"/>
      <c r="U112" s="186">
        <v>0.1</v>
      </c>
      <c r="V112" s="238" t="s">
        <v>669</v>
      </c>
      <c r="W112" s="83" t="s">
        <v>231</v>
      </c>
      <c r="X112" s="100" t="s">
        <v>628</v>
      </c>
    </row>
    <row r="113" spans="1:24" s="1" customFormat="1">
      <c r="A113" s="219" t="s">
        <v>799</v>
      </c>
      <c r="B113" s="205" t="s">
        <v>2342</v>
      </c>
      <c r="C113" s="206">
        <v>1</v>
      </c>
      <c r="D113" s="227" t="s">
        <v>126</v>
      </c>
      <c r="E113" s="777">
        <v>290.72000000000003</v>
      </c>
      <c r="F113" s="18">
        <v>0</v>
      </c>
      <c r="G113" s="768">
        <f t="shared" si="10"/>
        <v>290.72000000000003</v>
      </c>
      <c r="H113" s="19"/>
      <c r="I113" s="28">
        <v>0.11</v>
      </c>
      <c r="J113" s="238" t="s">
        <v>669</v>
      </c>
      <c r="K113" s="83" t="s">
        <v>231</v>
      </c>
      <c r="L113" s="521" t="s">
        <v>628</v>
      </c>
      <c r="M113" s="219" t="s">
        <v>799</v>
      </c>
      <c r="N113" s="205" t="s">
        <v>2342</v>
      </c>
      <c r="O113" s="206">
        <v>1</v>
      </c>
      <c r="P113" s="227" t="s">
        <v>126</v>
      </c>
      <c r="Q113" s="288">
        <v>290.73</v>
      </c>
      <c r="R113" s="188">
        <v>0</v>
      </c>
      <c r="S113" s="62">
        <v>290.73</v>
      </c>
      <c r="T113" s="86"/>
      <c r="U113" s="186">
        <v>0.1</v>
      </c>
      <c r="V113" s="238" t="s">
        <v>669</v>
      </c>
      <c r="W113" s="83" t="s">
        <v>231</v>
      </c>
      <c r="X113" s="521" t="s">
        <v>628</v>
      </c>
    </row>
    <row r="114" spans="1:24" s="1" customFormat="1">
      <c r="A114" s="219" t="s">
        <v>800</v>
      </c>
      <c r="B114" s="205" t="s">
        <v>2343</v>
      </c>
      <c r="C114" s="206">
        <v>1</v>
      </c>
      <c r="D114" s="227" t="s">
        <v>126</v>
      </c>
      <c r="E114" s="777">
        <v>290.72000000000003</v>
      </c>
      <c r="F114" s="18">
        <v>0</v>
      </c>
      <c r="G114" s="768">
        <f t="shared" si="10"/>
        <v>290.72000000000003</v>
      </c>
      <c r="H114" s="19"/>
      <c r="I114" s="28">
        <v>0.11</v>
      </c>
      <c r="J114" s="238" t="s">
        <v>669</v>
      </c>
      <c r="K114" s="83" t="s">
        <v>231</v>
      </c>
      <c r="L114" s="521" t="s">
        <v>628</v>
      </c>
      <c r="M114" s="219" t="s">
        <v>800</v>
      </c>
      <c r="N114" s="205" t="s">
        <v>2343</v>
      </c>
      <c r="O114" s="206">
        <v>1</v>
      </c>
      <c r="P114" s="227" t="s">
        <v>126</v>
      </c>
      <c r="Q114" s="288">
        <v>290.73</v>
      </c>
      <c r="R114" s="188">
        <v>0</v>
      </c>
      <c r="S114" s="62">
        <v>290.73</v>
      </c>
      <c r="T114" s="86"/>
      <c r="U114" s="186">
        <v>0.1</v>
      </c>
      <c r="V114" s="238" t="s">
        <v>669</v>
      </c>
      <c r="W114" s="83" t="s">
        <v>231</v>
      </c>
      <c r="X114" s="521" t="s">
        <v>628</v>
      </c>
    </row>
    <row r="115" spans="1:24" s="1" customFormat="1">
      <c r="A115" s="219" t="s">
        <v>801</v>
      </c>
      <c r="B115" s="205" t="s">
        <v>802</v>
      </c>
      <c r="C115" s="206">
        <v>1</v>
      </c>
      <c r="D115" s="227" t="s">
        <v>126</v>
      </c>
      <c r="E115" s="777">
        <v>332.39</v>
      </c>
      <c r="F115" s="18">
        <f t="shared" si="9"/>
        <v>0</v>
      </c>
      <c r="G115" s="768">
        <f t="shared" si="10"/>
        <v>332.39</v>
      </c>
      <c r="H115" s="19"/>
      <c r="I115" s="28">
        <v>0.11</v>
      </c>
      <c r="J115" s="238" t="s">
        <v>669</v>
      </c>
      <c r="K115" s="83" t="s">
        <v>231</v>
      </c>
      <c r="L115" s="100" t="s">
        <v>628</v>
      </c>
      <c r="M115" s="219" t="s">
        <v>801</v>
      </c>
      <c r="N115" s="205" t="s">
        <v>802</v>
      </c>
      <c r="O115" s="206">
        <v>1</v>
      </c>
      <c r="P115" s="227" t="s">
        <v>126</v>
      </c>
      <c r="Q115" s="288">
        <v>332.4</v>
      </c>
      <c r="R115" s="188">
        <v>0</v>
      </c>
      <c r="S115" s="62">
        <v>332.4</v>
      </c>
      <c r="T115" s="86"/>
      <c r="U115" s="186">
        <v>0.1</v>
      </c>
      <c r="V115" s="238" t="s">
        <v>669</v>
      </c>
      <c r="W115" s="83" t="s">
        <v>231</v>
      </c>
      <c r="X115" s="100" t="s">
        <v>628</v>
      </c>
    </row>
    <row r="116" spans="1:24" s="1" customFormat="1">
      <c r="A116" s="219" t="s">
        <v>803</v>
      </c>
      <c r="B116" s="205" t="s">
        <v>804</v>
      </c>
      <c r="C116" s="206">
        <v>1</v>
      </c>
      <c r="D116" s="227" t="s">
        <v>126</v>
      </c>
      <c r="E116" s="777">
        <v>332.39</v>
      </c>
      <c r="F116" s="18">
        <f t="shared" si="9"/>
        <v>0</v>
      </c>
      <c r="G116" s="768">
        <f t="shared" si="10"/>
        <v>332.39</v>
      </c>
      <c r="H116" s="19"/>
      <c r="I116" s="28">
        <v>0.11</v>
      </c>
      <c r="J116" s="238" t="s">
        <v>669</v>
      </c>
      <c r="K116" s="83" t="s">
        <v>231</v>
      </c>
      <c r="L116" s="100" t="s">
        <v>628</v>
      </c>
      <c r="M116" s="219" t="s">
        <v>803</v>
      </c>
      <c r="N116" s="205" t="s">
        <v>804</v>
      </c>
      <c r="O116" s="206">
        <v>1</v>
      </c>
      <c r="P116" s="227" t="s">
        <v>126</v>
      </c>
      <c r="Q116" s="288">
        <v>332.4</v>
      </c>
      <c r="R116" s="188">
        <v>0</v>
      </c>
      <c r="S116" s="62">
        <v>332.4</v>
      </c>
      <c r="T116" s="86"/>
      <c r="U116" s="186">
        <v>0.1</v>
      </c>
      <c r="V116" s="238" t="s">
        <v>669</v>
      </c>
      <c r="W116" s="83" t="s">
        <v>231</v>
      </c>
      <c r="X116" s="100" t="s">
        <v>628</v>
      </c>
    </row>
    <row r="117" spans="1:24" s="1" customFormat="1">
      <c r="A117" s="219" t="s">
        <v>805</v>
      </c>
      <c r="B117" s="205" t="s">
        <v>2344</v>
      </c>
      <c r="C117" s="206">
        <v>1</v>
      </c>
      <c r="D117" s="227" t="s">
        <v>126</v>
      </c>
      <c r="E117" s="777">
        <v>332.39</v>
      </c>
      <c r="F117" s="18">
        <v>0</v>
      </c>
      <c r="G117" s="768">
        <f t="shared" si="10"/>
        <v>332.39</v>
      </c>
      <c r="H117" s="19"/>
      <c r="I117" s="28">
        <v>0.11</v>
      </c>
      <c r="J117" s="238" t="s">
        <v>669</v>
      </c>
      <c r="K117" s="83" t="s">
        <v>231</v>
      </c>
      <c r="L117" s="521" t="s">
        <v>628</v>
      </c>
      <c r="M117" s="219" t="s">
        <v>805</v>
      </c>
      <c r="N117" s="205" t="s">
        <v>2344</v>
      </c>
      <c r="O117" s="206">
        <v>1</v>
      </c>
      <c r="P117" s="227" t="s">
        <v>126</v>
      </c>
      <c r="Q117" s="288">
        <v>332.4</v>
      </c>
      <c r="R117" s="188">
        <v>0</v>
      </c>
      <c r="S117" s="62">
        <v>332.4</v>
      </c>
      <c r="T117" s="86"/>
      <c r="U117" s="186">
        <v>0.1</v>
      </c>
      <c r="V117" s="238" t="s">
        <v>669</v>
      </c>
      <c r="W117" s="83" t="s">
        <v>231</v>
      </c>
      <c r="X117" s="521" t="s">
        <v>628</v>
      </c>
    </row>
    <row r="118" spans="1:24" s="1" customFormat="1">
      <c r="A118" s="219" t="s">
        <v>806</v>
      </c>
      <c r="B118" s="205" t="s">
        <v>2345</v>
      </c>
      <c r="C118" s="206">
        <v>1</v>
      </c>
      <c r="D118" s="227" t="s">
        <v>126</v>
      </c>
      <c r="E118" s="777">
        <v>332.39</v>
      </c>
      <c r="F118" s="18">
        <v>0</v>
      </c>
      <c r="G118" s="768">
        <f t="shared" si="10"/>
        <v>332.39</v>
      </c>
      <c r="H118" s="19"/>
      <c r="I118" s="28">
        <v>0.11</v>
      </c>
      <c r="J118" s="238" t="s">
        <v>669</v>
      </c>
      <c r="K118" s="83" t="s">
        <v>231</v>
      </c>
      <c r="L118" s="521" t="s">
        <v>628</v>
      </c>
      <c r="M118" s="219" t="s">
        <v>806</v>
      </c>
      <c r="N118" s="205" t="s">
        <v>2345</v>
      </c>
      <c r="O118" s="206">
        <v>1</v>
      </c>
      <c r="P118" s="227" t="s">
        <v>126</v>
      </c>
      <c r="Q118" s="288">
        <v>332.4</v>
      </c>
      <c r="R118" s="188">
        <v>0</v>
      </c>
      <c r="S118" s="62">
        <v>332.4</v>
      </c>
      <c r="T118" s="86"/>
      <c r="U118" s="186">
        <v>0.1</v>
      </c>
      <c r="V118" s="238" t="s">
        <v>669</v>
      </c>
      <c r="W118" s="83" t="s">
        <v>231</v>
      </c>
      <c r="X118" s="521" t="s">
        <v>628</v>
      </c>
    </row>
    <row r="119" spans="1:24" s="1" customFormat="1">
      <c r="A119" s="219" t="s">
        <v>807</v>
      </c>
      <c r="B119" s="205" t="s">
        <v>808</v>
      </c>
      <c r="C119" s="206">
        <v>1</v>
      </c>
      <c r="D119" s="227" t="s">
        <v>126</v>
      </c>
      <c r="E119" s="777">
        <v>290.72000000000003</v>
      </c>
      <c r="F119" s="18">
        <f t="shared" ref="F119:F126" si="11">rv_apple_acc_nodac</f>
        <v>0</v>
      </c>
      <c r="G119" s="768">
        <f t="shared" si="10"/>
        <v>290.72000000000003</v>
      </c>
      <c r="H119" s="19"/>
      <c r="I119" s="28">
        <v>0.11</v>
      </c>
      <c r="J119" s="238" t="s">
        <v>669</v>
      </c>
      <c r="K119" s="83" t="s">
        <v>231</v>
      </c>
      <c r="L119" s="100" t="s">
        <v>628</v>
      </c>
      <c r="M119" s="219" t="s">
        <v>807</v>
      </c>
      <c r="N119" s="205" t="s">
        <v>808</v>
      </c>
      <c r="O119" s="206">
        <v>1</v>
      </c>
      <c r="P119" s="227" t="s">
        <v>126</v>
      </c>
      <c r="Q119" s="288">
        <v>290.73</v>
      </c>
      <c r="R119" s="188">
        <v>0</v>
      </c>
      <c r="S119" s="62">
        <v>290.73</v>
      </c>
      <c r="T119" s="86"/>
      <c r="U119" s="186">
        <v>0.1</v>
      </c>
      <c r="V119" s="238" t="s">
        <v>669</v>
      </c>
      <c r="W119" s="83" t="s">
        <v>231</v>
      </c>
      <c r="X119" s="100" t="s">
        <v>628</v>
      </c>
    </row>
    <row r="120" spans="1:24" s="1" customFormat="1">
      <c r="A120" s="219" t="s">
        <v>809</v>
      </c>
      <c r="B120" s="205" t="s">
        <v>810</v>
      </c>
      <c r="C120" s="206">
        <v>1</v>
      </c>
      <c r="D120" s="227" t="s">
        <v>126</v>
      </c>
      <c r="E120" s="777">
        <v>290.72000000000003</v>
      </c>
      <c r="F120" s="18">
        <f t="shared" si="11"/>
        <v>0</v>
      </c>
      <c r="G120" s="768">
        <f t="shared" si="10"/>
        <v>290.72000000000003</v>
      </c>
      <c r="H120" s="19"/>
      <c r="I120" s="28">
        <v>0.11</v>
      </c>
      <c r="J120" s="238" t="s">
        <v>669</v>
      </c>
      <c r="K120" s="83" t="s">
        <v>231</v>
      </c>
      <c r="L120" s="100" t="s">
        <v>628</v>
      </c>
      <c r="M120" s="219" t="s">
        <v>809</v>
      </c>
      <c r="N120" s="205" t="s">
        <v>810</v>
      </c>
      <c r="O120" s="206">
        <v>1</v>
      </c>
      <c r="P120" s="227" t="s">
        <v>126</v>
      </c>
      <c r="Q120" s="288">
        <v>290.73</v>
      </c>
      <c r="R120" s="188">
        <v>0</v>
      </c>
      <c r="S120" s="62">
        <v>290.73</v>
      </c>
      <c r="T120" s="86"/>
      <c r="U120" s="186">
        <v>0.1</v>
      </c>
      <c r="V120" s="238" t="s">
        <v>669</v>
      </c>
      <c r="W120" s="83" t="s">
        <v>231</v>
      </c>
      <c r="X120" s="100" t="s">
        <v>628</v>
      </c>
    </row>
    <row r="121" spans="1:24" s="1" customFormat="1">
      <c r="A121" s="219" t="s">
        <v>2416</v>
      </c>
      <c r="B121" s="205" t="s">
        <v>2338</v>
      </c>
      <c r="C121" s="206">
        <v>1</v>
      </c>
      <c r="D121" s="227" t="s">
        <v>126</v>
      </c>
      <c r="E121" s="777">
        <v>290.72000000000003</v>
      </c>
      <c r="F121" s="18">
        <f t="shared" si="11"/>
        <v>0</v>
      </c>
      <c r="G121" s="768">
        <f t="shared" si="10"/>
        <v>290.72000000000003</v>
      </c>
      <c r="H121" s="19"/>
      <c r="I121" s="28">
        <v>0.11</v>
      </c>
      <c r="J121" s="238" t="s">
        <v>669</v>
      </c>
      <c r="K121" s="83" t="s">
        <v>231</v>
      </c>
      <c r="L121" s="100" t="s">
        <v>628</v>
      </c>
      <c r="M121" s="219" t="s">
        <v>2416</v>
      </c>
      <c r="N121" s="205" t="s">
        <v>2338</v>
      </c>
      <c r="O121" s="206">
        <v>1</v>
      </c>
      <c r="P121" s="227" t="s">
        <v>126</v>
      </c>
      <c r="Q121" s="288">
        <v>290.73</v>
      </c>
      <c r="R121" s="188">
        <v>0</v>
      </c>
      <c r="S121" s="62">
        <v>290.73</v>
      </c>
      <c r="T121" s="86"/>
      <c r="U121" s="186">
        <v>0.1</v>
      </c>
      <c r="V121" s="238" t="s">
        <v>669</v>
      </c>
      <c r="W121" s="83" t="s">
        <v>231</v>
      </c>
      <c r="X121" s="100" t="s">
        <v>628</v>
      </c>
    </row>
    <row r="122" spans="1:24" s="1" customFormat="1">
      <c r="A122" s="219" t="s">
        <v>2417</v>
      </c>
      <c r="B122" s="205" t="s">
        <v>2339</v>
      </c>
      <c r="C122" s="206">
        <v>1</v>
      </c>
      <c r="D122" s="227" t="s">
        <v>126</v>
      </c>
      <c r="E122" s="777">
        <v>290.72000000000003</v>
      </c>
      <c r="F122" s="18">
        <f t="shared" si="11"/>
        <v>0</v>
      </c>
      <c r="G122" s="768">
        <f t="shared" si="10"/>
        <v>290.72000000000003</v>
      </c>
      <c r="H122" s="19"/>
      <c r="I122" s="28">
        <v>0.11</v>
      </c>
      <c r="J122" s="238" t="s">
        <v>669</v>
      </c>
      <c r="K122" s="83" t="s">
        <v>231</v>
      </c>
      <c r="L122" s="100" t="s">
        <v>628</v>
      </c>
      <c r="M122" s="219" t="s">
        <v>2417</v>
      </c>
      <c r="N122" s="205" t="s">
        <v>2339</v>
      </c>
      <c r="O122" s="206">
        <v>1</v>
      </c>
      <c r="P122" s="227" t="s">
        <v>126</v>
      </c>
      <c r="Q122" s="288">
        <v>290.73</v>
      </c>
      <c r="R122" s="188">
        <v>0</v>
      </c>
      <c r="S122" s="62">
        <v>290.73</v>
      </c>
      <c r="T122" s="86"/>
      <c r="U122" s="186">
        <v>0.1</v>
      </c>
      <c r="V122" s="238" t="s">
        <v>669</v>
      </c>
      <c r="W122" s="83" t="s">
        <v>231</v>
      </c>
      <c r="X122" s="100" t="s">
        <v>628</v>
      </c>
    </row>
    <row r="123" spans="1:24" s="1" customFormat="1">
      <c r="A123" s="219" t="s">
        <v>811</v>
      </c>
      <c r="B123" s="205" t="s">
        <v>812</v>
      </c>
      <c r="C123" s="206">
        <v>1</v>
      </c>
      <c r="D123" s="227" t="s">
        <v>126</v>
      </c>
      <c r="E123" s="777">
        <v>332.39</v>
      </c>
      <c r="F123" s="18">
        <f t="shared" si="11"/>
        <v>0</v>
      </c>
      <c r="G123" s="768">
        <f t="shared" si="10"/>
        <v>332.39</v>
      </c>
      <c r="H123" s="19"/>
      <c r="I123" s="28">
        <v>0.11</v>
      </c>
      <c r="J123" s="238" t="s">
        <v>669</v>
      </c>
      <c r="K123" s="83" t="s">
        <v>231</v>
      </c>
      <c r="L123" s="100" t="s">
        <v>628</v>
      </c>
      <c r="M123" s="219" t="s">
        <v>811</v>
      </c>
      <c r="N123" s="205" t="s">
        <v>812</v>
      </c>
      <c r="O123" s="206">
        <v>1</v>
      </c>
      <c r="P123" s="227" t="s">
        <v>126</v>
      </c>
      <c r="Q123" s="288">
        <v>332.4</v>
      </c>
      <c r="R123" s="188">
        <v>0</v>
      </c>
      <c r="S123" s="62">
        <v>332.4</v>
      </c>
      <c r="T123" s="86"/>
      <c r="U123" s="186">
        <v>0.1</v>
      </c>
      <c r="V123" s="238" t="s">
        <v>669</v>
      </c>
      <c r="W123" s="83" t="s">
        <v>231</v>
      </c>
      <c r="X123" s="100" t="s">
        <v>628</v>
      </c>
    </row>
    <row r="124" spans="1:24" s="1" customFormat="1">
      <c r="A124" s="219" t="s">
        <v>813</v>
      </c>
      <c r="B124" s="205" t="s">
        <v>814</v>
      </c>
      <c r="C124" s="206">
        <v>1</v>
      </c>
      <c r="D124" s="227" t="s">
        <v>126</v>
      </c>
      <c r="E124" s="777">
        <v>332.39</v>
      </c>
      <c r="F124" s="18">
        <f t="shared" si="11"/>
        <v>0</v>
      </c>
      <c r="G124" s="768">
        <f t="shared" si="10"/>
        <v>332.39</v>
      </c>
      <c r="H124" s="19"/>
      <c r="I124" s="28">
        <v>0.11</v>
      </c>
      <c r="J124" s="238" t="s">
        <v>669</v>
      </c>
      <c r="K124" s="83" t="s">
        <v>231</v>
      </c>
      <c r="L124" s="100" t="s">
        <v>628</v>
      </c>
      <c r="M124" s="219" t="s">
        <v>813</v>
      </c>
      <c r="N124" s="205" t="s">
        <v>814</v>
      </c>
      <c r="O124" s="206">
        <v>1</v>
      </c>
      <c r="P124" s="227" t="s">
        <v>126</v>
      </c>
      <c r="Q124" s="288">
        <v>332.4</v>
      </c>
      <c r="R124" s="188">
        <v>0</v>
      </c>
      <c r="S124" s="62">
        <v>332.4</v>
      </c>
      <c r="T124" s="86"/>
      <c r="U124" s="186">
        <v>0.1</v>
      </c>
      <c r="V124" s="238" t="s">
        <v>669</v>
      </c>
      <c r="W124" s="83" t="s">
        <v>231</v>
      </c>
      <c r="X124" s="100" t="s">
        <v>628</v>
      </c>
    </row>
    <row r="125" spans="1:24" s="1" customFormat="1">
      <c r="A125" s="219" t="s">
        <v>2418</v>
      </c>
      <c r="B125" s="205" t="s">
        <v>2340</v>
      </c>
      <c r="C125" s="206">
        <v>1</v>
      </c>
      <c r="D125" s="227" t="s">
        <v>126</v>
      </c>
      <c r="E125" s="777">
        <v>332.39</v>
      </c>
      <c r="F125" s="18">
        <f t="shared" si="11"/>
        <v>0</v>
      </c>
      <c r="G125" s="768">
        <f t="shared" si="10"/>
        <v>332.39</v>
      </c>
      <c r="H125" s="19"/>
      <c r="I125" s="28">
        <v>0.11</v>
      </c>
      <c r="J125" s="238" t="s">
        <v>669</v>
      </c>
      <c r="K125" s="83" t="s">
        <v>231</v>
      </c>
      <c r="L125" s="100" t="s">
        <v>628</v>
      </c>
      <c r="M125" s="219" t="s">
        <v>2418</v>
      </c>
      <c r="N125" s="205" t="s">
        <v>2340</v>
      </c>
      <c r="O125" s="206">
        <v>1</v>
      </c>
      <c r="P125" s="227" t="s">
        <v>126</v>
      </c>
      <c r="Q125" s="288">
        <v>332.4</v>
      </c>
      <c r="R125" s="188">
        <v>0</v>
      </c>
      <c r="S125" s="62">
        <v>332.4</v>
      </c>
      <c r="T125" s="86"/>
      <c r="U125" s="186">
        <v>0.1</v>
      </c>
      <c r="V125" s="238" t="s">
        <v>669</v>
      </c>
      <c r="W125" s="83" t="s">
        <v>231</v>
      </c>
      <c r="X125" s="100" t="s">
        <v>628</v>
      </c>
    </row>
    <row r="126" spans="1:24" s="1" customFormat="1">
      <c r="A126" s="219" t="s">
        <v>2419</v>
      </c>
      <c r="B126" s="205" t="s">
        <v>2341</v>
      </c>
      <c r="C126" s="206">
        <v>1</v>
      </c>
      <c r="D126" s="227" t="s">
        <v>126</v>
      </c>
      <c r="E126" s="777">
        <v>332.39</v>
      </c>
      <c r="F126" s="18">
        <f t="shared" si="11"/>
        <v>0</v>
      </c>
      <c r="G126" s="768">
        <f t="shared" si="10"/>
        <v>332.39</v>
      </c>
      <c r="H126" s="19"/>
      <c r="I126" s="28">
        <v>0.11</v>
      </c>
      <c r="J126" s="238" t="s">
        <v>669</v>
      </c>
      <c r="K126" s="83" t="s">
        <v>231</v>
      </c>
      <c r="L126" s="100" t="s">
        <v>628</v>
      </c>
      <c r="M126" s="219" t="s">
        <v>2419</v>
      </c>
      <c r="N126" s="205" t="s">
        <v>2341</v>
      </c>
      <c r="O126" s="206">
        <v>1</v>
      </c>
      <c r="P126" s="227" t="s">
        <v>126</v>
      </c>
      <c r="Q126" s="288">
        <v>332.4</v>
      </c>
      <c r="R126" s="188">
        <v>0</v>
      </c>
      <c r="S126" s="62">
        <v>332.4</v>
      </c>
      <c r="T126" s="86"/>
      <c r="U126" s="186">
        <v>0.1</v>
      </c>
      <c r="V126" s="238" t="s">
        <v>669</v>
      </c>
      <c r="W126" s="83" t="s">
        <v>231</v>
      </c>
      <c r="X126" s="100" t="s">
        <v>628</v>
      </c>
    </row>
    <row r="127" spans="1:24" s="1" customFormat="1">
      <c r="A127" s="219" t="s">
        <v>815</v>
      </c>
      <c r="B127" s="205" t="s">
        <v>816</v>
      </c>
      <c r="C127" s="206">
        <v>1</v>
      </c>
      <c r="D127" s="227" t="s">
        <v>817</v>
      </c>
      <c r="E127" s="777">
        <v>91.58</v>
      </c>
      <c r="F127" s="18">
        <f t="shared" ref="F127:F132" si="12">rv_10</f>
        <v>0.1</v>
      </c>
      <c r="G127" s="768">
        <f t="shared" ref="G127:G130" si="13">E127-(E127*F127)</f>
        <v>82.421999999999997</v>
      </c>
      <c r="H127" s="19"/>
      <c r="I127" s="28">
        <v>0.06</v>
      </c>
      <c r="J127" s="238" t="s">
        <v>669</v>
      </c>
      <c r="K127" s="83" t="s">
        <v>231</v>
      </c>
      <c r="L127" s="100" t="s">
        <v>628</v>
      </c>
      <c r="M127" s="219" t="s">
        <v>815</v>
      </c>
      <c r="N127" s="205" t="s">
        <v>816</v>
      </c>
      <c r="O127" s="206">
        <v>1</v>
      </c>
      <c r="P127" s="227" t="s">
        <v>817</v>
      </c>
      <c r="Q127" s="288">
        <v>88.33</v>
      </c>
      <c r="R127" s="188">
        <v>0.1</v>
      </c>
      <c r="S127" s="62">
        <v>79.497</v>
      </c>
      <c r="T127" s="86"/>
      <c r="U127" s="186">
        <v>0.02</v>
      </c>
      <c r="V127" s="238" t="s">
        <v>669</v>
      </c>
      <c r="W127" s="83" t="s">
        <v>231</v>
      </c>
      <c r="X127" s="100" t="s">
        <v>628</v>
      </c>
    </row>
    <row r="128" spans="1:24" s="1" customFormat="1">
      <c r="A128" s="774" t="s">
        <v>3034</v>
      </c>
      <c r="B128" s="775" t="s">
        <v>3035</v>
      </c>
      <c r="C128" s="770">
        <v>1</v>
      </c>
      <c r="D128" s="31" t="s">
        <v>817</v>
      </c>
      <c r="E128" s="777">
        <v>114.99</v>
      </c>
      <c r="F128" s="18">
        <f t="shared" si="12"/>
        <v>0.1</v>
      </c>
      <c r="G128" s="768">
        <f t="shared" ref="G128" si="14">E128-(E128*F128)</f>
        <v>103.491</v>
      </c>
      <c r="H128" s="19"/>
      <c r="I128" s="28">
        <v>0.06</v>
      </c>
      <c r="J128" s="238" t="s">
        <v>669</v>
      </c>
      <c r="K128" s="83" t="s">
        <v>231</v>
      </c>
      <c r="L128" s="100" t="s">
        <v>628</v>
      </c>
      <c r="M128" s="219"/>
      <c r="N128" s="205"/>
      <c r="O128" s="206"/>
      <c r="P128" s="227"/>
      <c r="Q128" s="288"/>
      <c r="R128" s="188"/>
      <c r="S128" s="62"/>
      <c r="T128" s="86"/>
      <c r="U128" s="186"/>
      <c r="V128" s="238"/>
      <c r="W128" s="83"/>
      <c r="X128" s="100"/>
    </row>
    <row r="129" spans="1:24" s="1" customFormat="1">
      <c r="A129" s="774" t="s">
        <v>818</v>
      </c>
      <c r="B129" s="775" t="s">
        <v>2536</v>
      </c>
      <c r="C129" s="206">
        <v>1</v>
      </c>
      <c r="D129" s="227" t="s">
        <v>817</v>
      </c>
      <c r="E129" s="777">
        <v>114.99</v>
      </c>
      <c r="F129" s="18">
        <f t="shared" si="12"/>
        <v>0.1</v>
      </c>
      <c r="G129" s="768">
        <f t="shared" si="13"/>
        <v>103.491</v>
      </c>
      <c r="H129" s="19"/>
      <c r="I129" s="28">
        <v>0.06</v>
      </c>
      <c r="J129" s="238" t="s">
        <v>669</v>
      </c>
      <c r="K129" s="83" t="s">
        <v>231</v>
      </c>
      <c r="L129" s="100" t="s">
        <v>628</v>
      </c>
      <c r="M129" s="219" t="s">
        <v>818</v>
      </c>
      <c r="N129" s="205" t="s">
        <v>2536</v>
      </c>
      <c r="O129" s="206">
        <v>1</v>
      </c>
      <c r="P129" s="227" t="s">
        <v>817</v>
      </c>
      <c r="Q129" s="288">
        <v>104.99</v>
      </c>
      <c r="R129" s="188">
        <v>0.1</v>
      </c>
      <c r="S129" s="62">
        <v>94.491</v>
      </c>
      <c r="T129" s="86"/>
      <c r="U129" s="186">
        <v>0.02</v>
      </c>
      <c r="V129" s="238" t="s">
        <v>669</v>
      </c>
      <c r="W129" s="83" t="s">
        <v>231</v>
      </c>
      <c r="X129" s="100" t="s">
        <v>628</v>
      </c>
    </row>
    <row r="130" spans="1:24" s="1" customFormat="1">
      <c r="A130" s="774" t="s">
        <v>819</v>
      </c>
      <c r="B130" s="775" t="s">
        <v>2535</v>
      </c>
      <c r="C130" s="206">
        <v>1</v>
      </c>
      <c r="D130" s="227" t="s">
        <v>817</v>
      </c>
      <c r="E130" s="777">
        <v>129.99</v>
      </c>
      <c r="F130" s="18">
        <f t="shared" si="12"/>
        <v>0.1</v>
      </c>
      <c r="G130" s="768">
        <f t="shared" si="13"/>
        <v>116.99100000000001</v>
      </c>
      <c r="H130" s="19"/>
      <c r="I130" s="28">
        <v>0.06</v>
      </c>
      <c r="J130" s="238" t="s">
        <v>669</v>
      </c>
      <c r="K130" s="83" t="s">
        <v>231</v>
      </c>
      <c r="L130" s="100" t="s">
        <v>628</v>
      </c>
      <c r="M130" s="219" t="s">
        <v>819</v>
      </c>
      <c r="N130" s="205" t="s">
        <v>2535</v>
      </c>
      <c r="O130" s="206">
        <v>1</v>
      </c>
      <c r="P130" s="227" t="s">
        <v>817</v>
      </c>
      <c r="Q130" s="288">
        <v>129.99</v>
      </c>
      <c r="R130" s="188">
        <v>0.1</v>
      </c>
      <c r="S130" s="62">
        <v>116.99100000000001</v>
      </c>
      <c r="T130" s="86"/>
      <c r="U130" s="186">
        <v>0.02</v>
      </c>
      <c r="V130" s="238" t="s">
        <v>669</v>
      </c>
      <c r="W130" s="83" t="s">
        <v>231</v>
      </c>
      <c r="X130" s="100" t="s">
        <v>628</v>
      </c>
    </row>
    <row r="131" spans="1:24" s="1" customFormat="1">
      <c r="A131" s="774" t="s">
        <v>2420</v>
      </c>
      <c r="B131" s="775" t="s">
        <v>2423</v>
      </c>
      <c r="C131" s="206">
        <v>1</v>
      </c>
      <c r="D131" s="227" t="s">
        <v>817</v>
      </c>
      <c r="E131" s="777">
        <v>114.99</v>
      </c>
      <c r="F131" s="18">
        <f t="shared" si="12"/>
        <v>0.1</v>
      </c>
      <c r="G131" s="768">
        <f t="shared" ref="G131:G132" si="15">E131-(E131*F131)</f>
        <v>103.491</v>
      </c>
      <c r="H131" s="19"/>
      <c r="I131" s="28">
        <v>0.11</v>
      </c>
      <c r="J131" s="238" t="s">
        <v>669</v>
      </c>
      <c r="K131" s="83" t="s">
        <v>231</v>
      </c>
      <c r="L131" s="100" t="s">
        <v>628</v>
      </c>
      <c r="M131" s="219" t="s">
        <v>2420</v>
      </c>
      <c r="N131" s="205" t="s">
        <v>2423</v>
      </c>
      <c r="O131" s="206">
        <v>1</v>
      </c>
      <c r="P131" s="227" t="s">
        <v>817</v>
      </c>
      <c r="Q131" s="288">
        <v>106.99</v>
      </c>
      <c r="R131" s="188">
        <v>0.1</v>
      </c>
      <c r="S131" s="62">
        <v>96.290999999999997</v>
      </c>
      <c r="T131" s="86"/>
      <c r="U131" s="186">
        <v>0.02</v>
      </c>
      <c r="V131" s="238" t="s">
        <v>669</v>
      </c>
      <c r="W131" s="83" t="s">
        <v>231</v>
      </c>
      <c r="X131" s="100" t="s">
        <v>628</v>
      </c>
    </row>
    <row r="132" spans="1:24" s="1" customFormat="1">
      <c r="A132" s="774" t="s">
        <v>2421</v>
      </c>
      <c r="B132" s="775" t="s">
        <v>2422</v>
      </c>
      <c r="C132" s="206">
        <v>1</v>
      </c>
      <c r="D132" s="227" t="s">
        <v>817</v>
      </c>
      <c r="E132" s="777">
        <v>129.99</v>
      </c>
      <c r="F132" s="18">
        <f t="shared" si="12"/>
        <v>0.1</v>
      </c>
      <c r="G132" s="768">
        <f t="shared" si="15"/>
        <v>116.99100000000001</v>
      </c>
      <c r="H132" s="19"/>
      <c r="I132" s="28">
        <v>0.11</v>
      </c>
      <c r="J132" s="238" t="s">
        <v>669</v>
      </c>
      <c r="K132" s="83" t="s">
        <v>231</v>
      </c>
      <c r="L132" s="100" t="s">
        <v>628</v>
      </c>
      <c r="M132" s="219" t="s">
        <v>2421</v>
      </c>
      <c r="N132" s="205" t="s">
        <v>2422</v>
      </c>
      <c r="O132" s="206">
        <v>1</v>
      </c>
      <c r="P132" s="227" t="s">
        <v>817</v>
      </c>
      <c r="Q132" s="288">
        <v>129.99</v>
      </c>
      <c r="R132" s="188">
        <v>0.1</v>
      </c>
      <c r="S132" s="62">
        <v>116.99100000000001</v>
      </c>
      <c r="T132" s="86"/>
      <c r="U132" s="186">
        <v>0.02</v>
      </c>
      <c r="V132" s="238" t="s">
        <v>669</v>
      </c>
      <c r="W132" s="83" t="s">
        <v>231</v>
      </c>
      <c r="X132" s="100" t="s">
        <v>628</v>
      </c>
    </row>
    <row r="133" spans="1:24" s="1" customFormat="1">
      <c r="A133" s="774" t="s">
        <v>820</v>
      </c>
      <c r="B133" s="775" t="s">
        <v>821</v>
      </c>
      <c r="C133" s="206">
        <v>1</v>
      </c>
      <c r="D133" s="227" t="s">
        <v>822</v>
      </c>
      <c r="E133" s="777">
        <v>139.99</v>
      </c>
      <c r="F133" s="18">
        <f t="shared" ref="F133:F145" si="16">rv_10</f>
        <v>0.1</v>
      </c>
      <c r="G133" s="768">
        <f t="shared" ref="G133:G159" si="17">E133-(E133*F133)</f>
        <v>125.99100000000001</v>
      </c>
      <c r="H133" s="19"/>
      <c r="I133" s="28">
        <v>0.11</v>
      </c>
      <c r="J133" s="238" t="s">
        <v>669</v>
      </c>
      <c r="K133" s="83" t="s">
        <v>231</v>
      </c>
      <c r="L133" s="100" t="s">
        <v>628</v>
      </c>
      <c r="M133" s="219" t="s">
        <v>820</v>
      </c>
      <c r="N133" s="205" t="s">
        <v>821</v>
      </c>
      <c r="O133" s="206">
        <v>1</v>
      </c>
      <c r="P133" s="227" t="s">
        <v>822</v>
      </c>
      <c r="Q133" s="288">
        <v>139.99</v>
      </c>
      <c r="R133" s="188">
        <v>0.1</v>
      </c>
      <c r="S133" s="62">
        <v>125.99100000000001</v>
      </c>
      <c r="T133" s="86"/>
      <c r="U133" s="186">
        <v>0.1</v>
      </c>
      <c r="V133" s="238" t="s">
        <v>669</v>
      </c>
      <c r="W133" s="83" t="s">
        <v>231</v>
      </c>
      <c r="X133" s="100" t="s">
        <v>628</v>
      </c>
    </row>
    <row r="134" spans="1:24" s="1" customFormat="1">
      <c r="A134" s="774" t="s">
        <v>823</v>
      </c>
      <c r="B134" s="775" t="s">
        <v>824</v>
      </c>
      <c r="C134" s="206">
        <v>1</v>
      </c>
      <c r="D134" s="227" t="s">
        <v>822</v>
      </c>
      <c r="E134" s="777">
        <v>166.23</v>
      </c>
      <c r="F134" s="18">
        <f t="shared" si="16"/>
        <v>0.1</v>
      </c>
      <c r="G134" s="768">
        <f t="shared" si="17"/>
        <v>149.607</v>
      </c>
      <c r="H134" s="19"/>
      <c r="I134" s="28">
        <v>0.11</v>
      </c>
      <c r="J134" s="238" t="s">
        <v>669</v>
      </c>
      <c r="K134" s="83" t="s">
        <v>231</v>
      </c>
      <c r="L134" s="100" t="s">
        <v>628</v>
      </c>
      <c r="M134" s="219" t="s">
        <v>823</v>
      </c>
      <c r="N134" s="205" t="s">
        <v>824</v>
      </c>
      <c r="O134" s="206">
        <v>1</v>
      </c>
      <c r="P134" s="227" t="s">
        <v>822</v>
      </c>
      <c r="Q134" s="288">
        <v>166.23</v>
      </c>
      <c r="R134" s="188">
        <v>0.1</v>
      </c>
      <c r="S134" s="62">
        <v>149.607</v>
      </c>
      <c r="T134" s="86"/>
      <c r="U134" s="186">
        <v>0.1</v>
      </c>
      <c r="V134" s="238" t="s">
        <v>669</v>
      </c>
      <c r="W134" s="83" t="s">
        <v>231</v>
      </c>
      <c r="X134" s="100" t="s">
        <v>628</v>
      </c>
    </row>
    <row r="135" spans="1:24" s="1" customFormat="1">
      <c r="A135" s="774" t="s">
        <v>825</v>
      </c>
      <c r="B135" s="775" t="s">
        <v>826</v>
      </c>
      <c r="C135" s="206">
        <v>1</v>
      </c>
      <c r="D135" s="227" t="s">
        <v>822</v>
      </c>
      <c r="E135" s="777">
        <v>149.16999999999999</v>
      </c>
      <c r="F135" s="18">
        <f t="shared" si="16"/>
        <v>0.1</v>
      </c>
      <c r="G135" s="768">
        <f t="shared" si="17"/>
        <v>134.25299999999999</v>
      </c>
      <c r="H135" s="19"/>
      <c r="I135" s="28">
        <v>0.11</v>
      </c>
      <c r="J135" s="238" t="s">
        <v>669</v>
      </c>
      <c r="K135" s="83" t="s">
        <v>231</v>
      </c>
      <c r="L135" s="100" t="s">
        <v>628</v>
      </c>
      <c r="M135" s="219" t="s">
        <v>825</v>
      </c>
      <c r="N135" s="205" t="s">
        <v>826</v>
      </c>
      <c r="O135" s="206">
        <v>1</v>
      </c>
      <c r="P135" s="227" t="s">
        <v>822</v>
      </c>
      <c r="Q135" s="288">
        <v>149.16999999999999</v>
      </c>
      <c r="R135" s="188">
        <v>0.1</v>
      </c>
      <c r="S135" s="62">
        <v>134.25299999999999</v>
      </c>
      <c r="T135" s="86"/>
      <c r="U135" s="186">
        <v>0.1</v>
      </c>
      <c r="V135" s="238" t="s">
        <v>669</v>
      </c>
      <c r="W135" s="83" t="s">
        <v>231</v>
      </c>
      <c r="X135" s="100" t="s">
        <v>628</v>
      </c>
    </row>
    <row r="136" spans="1:24" s="1" customFormat="1">
      <c r="A136" s="774" t="s">
        <v>827</v>
      </c>
      <c r="B136" s="775" t="s">
        <v>2476</v>
      </c>
      <c r="C136" s="206">
        <v>1</v>
      </c>
      <c r="D136" s="227" t="s">
        <v>822</v>
      </c>
      <c r="E136" s="777">
        <v>149.99</v>
      </c>
      <c r="F136" s="18">
        <f t="shared" si="16"/>
        <v>0.1</v>
      </c>
      <c r="G136" s="768">
        <f t="shared" si="17"/>
        <v>134.99100000000001</v>
      </c>
      <c r="H136" s="19"/>
      <c r="I136" s="28">
        <v>0.11</v>
      </c>
      <c r="J136" s="238" t="s">
        <v>669</v>
      </c>
      <c r="K136" s="83" t="s">
        <v>231</v>
      </c>
      <c r="L136" s="100" t="s">
        <v>628</v>
      </c>
      <c r="M136" s="219" t="s">
        <v>827</v>
      </c>
      <c r="N136" s="205" t="s">
        <v>2476</v>
      </c>
      <c r="O136" s="206">
        <v>1</v>
      </c>
      <c r="P136" s="227" t="s">
        <v>822</v>
      </c>
      <c r="Q136" s="288">
        <v>149.99</v>
      </c>
      <c r="R136" s="188">
        <v>0.1</v>
      </c>
      <c r="S136" s="62">
        <v>134.99100000000001</v>
      </c>
      <c r="T136" s="86"/>
      <c r="U136" s="186">
        <v>0.1</v>
      </c>
      <c r="V136" s="238" t="s">
        <v>669</v>
      </c>
      <c r="W136" s="83" t="s">
        <v>231</v>
      </c>
      <c r="X136" s="100" t="s">
        <v>628</v>
      </c>
    </row>
    <row r="137" spans="1:24" s="1" customFormat="1">
      <c r="A137" s="774" t="s">
        <v>828</v>
      </c>
      <c r="B137" s="775" t="s">
        <v>2475</v>
      </c>
      <c r="C137" s="206">
        <v>1</v>
      </c>
      <c r="D137" s="227" t="s">
        <v>822</v>
      </c>
      <c r="E137" s="777">
        <v>190.83</v>
      </c>
      <c r="F137" s="18">
        <f t="shared" si="16"/>
        <v>0.1</v>
      </c>
      <c r="G137" s="768">
        <f t="shared" si="17"/>
        <v>171.74700000000001</v>
      </c>
      <c r="H137" s="19"/>
      <c r="I137" s="28">
        <v>0.11</v>
      </c>
      <c r="J137" s="238" t="s">
        <v>669</v>
      </c>
      <c r="K137" s="83" t="s">
        <v>231</v>
      </c>
      <c r="L137" s="100" t="s">
        <v>628</v>
      </c>
      <c r="M137" s="219" t="s">
        <v>828</v>
      </c>
      <c r="N137" s="205" t="s">
        <v>2475</v>
      </c>
      <c r="O137" s="206">
        <v>1</v>
      </c>
      <c r="P137" s="227" t="s">
        <v>822</v>
      </c>
      <c r="Q137" s="288">
        <v>190.83</v>
      </c>
      <c r="R137" s="188">
        <v>0.1</v>
      </c>
      <c r="S137" s="62">
        <v>171.74700000000001</v>
      </c>
      <c r="T137" s="86"/>
      <c r="U137" s="186">
        <v>0.1</v>
      </c>
      <c r="V137" s="238" t="s">
        <v>669</v>
      </c>
      <c r="W137" s="83" t="s">
        <v>231</v>
      </c>
      <c r="X137" s="100" t="s">
        <v>628</v>
      </c>
    </row>
    <row r="138" spans="1:24" s="1" customFormat="1">
      <c r="A138" s="774" t="s">
        <v>829</v>
      </c>
      <c r="B138" s="775" t="s">
        <v>830</v>
      </c>
      <c r="C138" s="206">
        <v>1</v>
      </c>
      <c r="D138" s="227" t="s">
        <v>822</v>
      </c>
      <c r="E138" s="777">
        <v>190.83</v>
      </c>
      <c r="F138" s="18">
        <f t="shared" si="16"/>
        <v>0.1</v>
      </c>
      <c r="G138" s="768">
        <f t="shared" si="17"/>
        <v>171.74700000000001</v>
      </c>
      <c r="H138" s="19"/>
      <c r="I138" s="28">
        <v>0.11</v>
      </c>
      <c r="J138" s="238" t="s">
        <v>669</v>
      </c>
      <c r="K138" s="83" t="s">
        <v>231</v>
      </c>
      <c r="L138" s="100" t="s">
        <v>628</v>
      </c>
      <c r="M138" s="219" t="s">
        <v>829</v>
      </c>
      <c r="N138" s="205" t="s">
        <v>830</v>
      </c>
      <c r="O138" s="206">
        <v>1</v>
      </c>
      <c r="P138" s="227" t="s">
        <v>822</v>
      </c>
      <c r="Q138" s="288">
        <v>190.83</v>
      </c>
      <c r="R138" s="188">
        <v>0.1</v>
      </c>
      <c r="S138" s="62">
        <v>171.74700000000001</v>
      </c>
      <c r="T138" s="86"/>
      <c r="U138" s="186">
        <v>0.1</v>
      </c>
      <c r="V138" s="238" t="s">
        <v>669</v>
      </c>
      <c r="W138" s="83" t="s">
        <v>231</v>
      </c>
      <c r="X138" s="100" t="s">
        <v>628</v>
      </c>
    </row>
    <row r="139" spans="1:24" s="1" customFormat="1" ht="15" customHeight="1">
      <c r="A139" s="774" t="s">
        <v>831</v>
      </c>
      <c r="B139" s="775" t="s">
        <v>2474</v>
      </c>
      <c r="C139" s="206">
        <v>1</v>
      </c>
      <c r="D139" s="227" t="s">
        <v>822</v>
      </c>
      <c r="E139" s="777">
        <v>190.83</v>
      </c>
      <c r="F139" s="18">
        <f t="shared" si="16"/>
        <v>0.1</v>
      </c>
      <c r="G139" s="768">
        <f t="shared" si="17"/>
        <v>171.74700000000001</v>
      </c>
      <c r="H139" s="19"/>
      <c r="I139" s="28">
        <v>0.11</v>
      </c>
      <c r="J139" s="238" t="s">
        <v>669</v>
      </c>
      <c r="K139" s="83" t="s">
        <v>231</v>
      </c>
      <c r="L139" s="100" t="s">
        <v>628</v>
      </c>
      <c r="M139" s="219" t="s">
        <v>831</v>
      </c>
      <c r="N139" s="205" t="s">
        <v>2474</v>
      </c>
      <c r="O139" s="206">
        <v>1</v>
      </c>
      <c r="P139" s="227" t="s">
        <v>822</v>
      </c>
      <c r="Q139" s="288">
        <v>190.83</v>
      </c>
      <c r="R139" s="188">
        <v>0.1</v>
      </c>
      <c r="S139" s="62">
        <v>171.74700000000001</v>
      </c>
      <c r="T139" s="86"/>
      <c r="U139" s="186">
        <v>0.1</v>
      </c>
      <c r="V139" s="238" t="s">
        <v>669</v>
      </c>
      <c r="W139" s="83" t="s">
        <v>231</v>
      </c>
      <c r="X139" s="100" t="s">
        <v>628</v>
      </c>
    </row>
    <row r="140" spans="1:24" s="1" customFormat="1" ht="15" customHeight="1">
      <c r="A140" s="774" t="s">
        <v>832</v>
      </c>
      <c r="B140" s="775" t="s">
        <v>833</v>
      </c>
      <c r="C140" s="206">
        <v>1</v>
      </c>
      <c r="D140" s="227" t="s">
        <v>822</v>
      </c>
      <c r="E140" s="777">
        <v>215.83</v>
      </c>
      <c r="F140" s="18">
        <f t="shared" si="16"/>
        <v>0.1</v>
      </c>
      <c r="G140" s="768">
        <f t="shared" si="17"/>
        <v>194.24700000000001</v>
      </c>
      <c r="H140" s="19"/>
      <c r="I140" s="28">
        <v>0.11</v>
      </c>
      <c r="J140" s="238" t="s">
        <v>669</v>
      </c>
      <c r="K140" s="83" t="s">
        <v>231</v>
      </c>
      <c r="L140" s="100" t="s">
        <v>628</v>
      </c>
      <c r="M140" s="219" t="s">
        <v>832</v>
      </c>
      <c r="N140" s="205" t="s">
        <v>833</v>
      </c>
      <c r="O140" s="206">
        <v>1</v>
      </c>
      <c r="P140" s="227" t="s">
        <v>822</v>
      </c>
      <c r="Q140" s="288">
        <v>215.83</v>
      </c>
      <c r="R140" s="188">
        <v>0.1</v>
      </c>
      <c r="S140" s="62">
        <v>194.24700000000001</v>
      </c>
      <c r="T140" s="86"/>
      <c r="U140" s="186">
        <v>0.1</v>
      </c>
      <c r="V140" s="238" t="s">
        <v>669</v>
      </c>
      <c r="W140" s="83" t="s">
        <v>231</v>
      </c>
      <c r="X140" s="100" t="s">
        <v>628</v>
      </c>
    </row>
    <row r="141" spans="1:24" s="1" customFormat="1" ht="15" customHeight="1">
      <c r="A141" s="774" t="s">
        <v>834</v>
      </c>
      <c r="B141" s="775" t="s">
        <v>2473</v>
      </c>
      <c r="C141" s="206">
        <v>1</v>
      </c>
      <c r="D141" s="227" t="s">
        <v>822</v>
      </c>
      <c r="E141" s="777">
        <v>215.83</v>
      </c>
      <c r="F141" s="18">
        <f t="shared" si="16"/>
        <v>0.1</v>
      </c>
      <c r="G141" s="768">
        <f t="shared" si="17"/>
        <v>194.24700000000001</v>
      </c>
      <c r="H141" s="19"/>
      <c r="I141" s="28">
        <v>0.11</v>
      </c>
      <c r="J141" s="238" t="s">
        <v>669</v>
      </c>
      <c r="K141" s="83" t="s">
        <v>231</v>
      </c>
      <c r="L141" s="100" t="s">
        <v>628</v>
      </c>
      <c r="M141" s="219" t="s">
        <v>834</v>
      </c>
      <c r="N141" s="205" t="s">
        <v>2473</v>
      </c>
      <c r="O141" s="206">
        <v>1</v>
      </c>
      <c r="P141" s="227" t="s">
        <v>822</v>
      </c>
      <c r="Q141" s="288">
        <v>215.83</v>
      </c>
      <c r="R141" s="188">
        <v>0.1</v>
      </c>
      <c r="S141" s="62">
        <v>194.24700000000001</v>
      </c>
      <c r="T141" s="86"/>
      <c r="U141" s="186">
        <v>0.1</v>
      </c>
      <c r="V141" s="238" t="s">
        <v>669</v>
      </c>
      <c r="W141" s="83" t="s">
        <v>231</v>
      </c>
      <c r="X141" s="100" t="s">
        <v>628</v>
      </c>
    </row>
    <row r="142" spans="1:24" s="1" customFormat="1" ht="15" customHeight="1">
      <c r="A142" s="774" t="s">
        <v>2471</v>
      </c>
      <c r="B142" s="775" t="s">
        <v>2477</v>
      </c>
      <c r="C142" s="206">
        <v>1</v>
      </c>
      <c r="D142" s="227" t="s">
        <v>822</v>
      </c>
      <c r="E142" s="777">
        <v>190.83</v>
      </c>
      <c r="F142" s="18">
        <f t="shared" si="16"/>
        <v>0.1</v>
      </c>
      <c r="G142" s="768">
        <f t="shared" si="17"/>
        <v>171.74700000000001</v>
      </c>
      <c r="H142" s="19"/>
      <c r="I142" s="28">
        <v>0.11</v>
      </c>
      <c r="J142" s="238" t="s">
        <v>669</v>
      </c>
      <c r="K142" s="83" t="s">
        <v>231</v>
      </c>
      <c r="L142" s="100" t="s">
        <v>628</v>
      </c>
      <c r="M142" s="219" t="s">
        <v>2471</v>
      </c>
      <c r="N142" s="205" t="s">
        <v>2477</v>
      </c>
      <c r="O142" s="206">
        <v>1</v>
      </c>
      <c r="P142" s="227" t="s">
        <v>822</v>
      </c>
      <c r="Q142" s="288">
        <v>190.83</v>
      </c>
      <c r="R142" s="188">
        <v>0.1</v>
      </c>
      <c r="S142" s="62">
        <v>171.74700000000001</v>
      </c>
      <c r="T142" s="86"/>
      <c r="U142" s="186">
        <v>0.1</v>
      </c>
      <c r="V142" s="238" t="s">
        <v>669</v>
      </c>
      <c r="W142" s="83" t="s">
        <v>231</v>
      </c>
      <c r="X142" s="100" t="s">
        <v>628</v>
      </c>
    </row>
    <row r="143" spans="1:24" s="1" customFormat="1" ht="15" customHeight="1">
      <c r="A143" s="774" t="s">
        <v>2472</v>
      </c>
      <c r="B143" s="775" t="s">
        <v>2478</v>
      </c>
      <c r="C143" s="206">
        <v>1</v>
      </c>
      <c r="D143" s="227" t="s">
        <v>822</v>
      </c>
      <c r="E143" s="777">
        <v>215.83</v>
      </c>
      <c r="F143" s="18">
        <f t="shared" si="16"/>
        <v>0.1</v>
      </c>
      <c r="G143" s="768">
        <f t="shared" si="17"/>
        <v>194.24700000000001</v>
      </c>
      <c r="H143" s="19"/>
      <c r="I143" s="28">
        <v>0.11</v>
      </c>
      <c r="J143" s="238" t="s">
        <v>669</v>
      </c>
      <c r="K143" s="83" t="s">
        <v>231</v>
      </c>
      <c r="L143" s="100" t="s">
        <v>628</v>
      </c>
      <c r="M143" s="219" t="s">
        <v>2472</v>
      </c>
      <c r="N143" s="205" t="s">
        <v>2478</v>
      </c>
      <c r="O143" s="206">
        <v>1</v>
      </c>
      <c r="P143" s="227" t="s">
        <v>822</v>
      </c>
      <c r="Q143" s="288">
        <v>215.83</v>
      </c>
      <c r="R143" s="188">
        <v>0.1</v>
      </c>
      <c r="S143" s="62">
        <v>194.24700000000001</v>
      </c>
      <c r="T143" s="86"/>
      <c r="U143" s="186">
        <v>0.1</v>
      </c>
      <c r="V143" s="238" t="s">
        <v>669</v>
      </c>
      <c r="W143" s="83" t="s">
        <v>231</v>
      </c>
      <c r="X143" s="100" t="s">
        <v>628</v>
      </c>
    </row>
    <row r="144" spans="1:24" s="1" customFormat="1" ht="15" customHeight="1">
      <c r="A144" s="774" t="s">
        <v>2444</v>
      </c>
      <c r="B144" s="775" t="s">
        <v>2479</v>
      </c>
      <c r="C144" s="206">
        <v>1</v>
      </c>
      <c r="D144" s="227" t="s">
        <v>822</v>
      </c>
      <c r="E144" s="777">
        <v>215.83</v>
      </c>
      <c r="F144" s="18">
        <f t="shared" si="16"/>
        <v>0.1</v>
      </c>
      <c r="G144" s="768">
        <f t="shared" ref="G144" si="18">E144-(E144*F144)</f>
        <v>194.24700000000001</v>
      </c>
      <c r="H144" s="19"/>
      <c r="I144" s="28">
        <v>0.11</v>
      </c>
      <c r="J144" s="238" t="s">
        <v>669</v>
      </c>
      <c r="K144" s="83" t="s">
        <v>231</v>
      </c>
      <c r="L144" s="100" t="s">
        <v>628</v>
      </c>
      <c r="M144" s="219" t="s">
        <v>2444</v>
      </c>
      <c r="N144" s="205" t="s">
        <v>2479</v>
      </c>
      <c r="O144" s="206">
        <v>1</v>
      </c>
      <c r="P144" s="227" t="s">
        <v>822</v>
      </c>
      <c r="Q144" s="288">
        <v>215.83</v>
      </c>
      <c r="R144" s="188">
        <v>0.1</v>
      </c>
      <c r="S144" s="62">
        <v>194.24700000000001</v>
      </c>
      <c r="T144" s="86"/>
      <c r="U144" s="186">
        <v>0.1</v>
      </c>
      <c r="V144" s="238" t="s">
        <v>669</v>
      </c>
      <c r="W144" s="83" t="s">
        <v>231</v>
      </c>
      <c r="X144" s="100" t="s">
        <v>628</v>
      </c>
    </row>
    <row r="145" spans="1:24" s="1" customFormat="1" ht="15" customHeight="1">
      <c r="A145" s="774" t="s">
        <v>2443</v>
      </c>
      <c r="B145" s="775" t="s">
        <v>2480</v>
      </c>
      <c r="C145" s="206">
        <v>1</v>
      </c>
      <c r="D145" s="227" t="s">
        <v>822</v>
      </c>
      <c r="E145" s="777">
        <v>249.17</v>
      </c>
      <c r="F145" s="18">
        <f t="shared" si="16"/>
        <v>0.1</v>
      </c>
      <c r="G145" s="768">
        <f>E145-(E145*F145)</f>
        <v>224.25299999999999</v>
      </c>
      <c r="H145" s="19"/>
      <c r="I145" s="28">
        <v>0.11</v>
      </c>
      <c r="J145" s="238" t="s">
        <v>669</v>
      </c>
      <c r="K145" s="83" t="s">
        <v>231</v>
      </c>
      <c r="L145" s="100" t="s">
        <v>628</v>
      </c>
      <c r="M145" s="219" t="s">
        <v>2443</v>
      </c>
      <c r="N145" s="205" t="s">
        <v>2480</v>
      </c>
      <c r="O145" s="206">
        <v>1</v>
      </c>
      <c r="P145" s="227" t="s">
        <v>822</v>
      </c>
      <c r="Q145" s="288">
        <v>249.17</v>
      </c>
      <c r="R145" s="188">
        <v>0.1</v>
      </c>
      <c r="S145" s="62">
        <v>224.25299999999999</v>
      </c>
      <c r="T145" s="86"/>
      <c r="U145" s="186">
        <v>0.1</v>
      </c>
      <c r="V145" s="238" t="s">
        <v>669</v>
      </c>
      <c r="W145" s="83" t="s">
        <v>231</v>
      </c>
      <c r="X145" s="100" t="s">
        <v>628</v>
      </c>
    </row>
    <row r="146" spans="1:24" s="1" customFormat="1">
      <c r="A146" s="774" t="s">
        <v>835</v>
      </c>
      <c r="B146" s="775" t="s">
        <v>2541</v>
      </c>
      <c r="C146" s="206">
        <v>1</v>
      </c>
      <c r="D146" s="226" t="s">
        <v>126</v>
      </c>
      <c r="E146" s="777">
        <v>99.14</v>
      </c>
      <c r="F146" s="35">
        <f>rv_pencil</f>
        <v>0.02</v>
      </c>
      <c r="G146" s="30">
        <f t="shared" si="17"/>
        <v>97.157200000000003</v>
      </c>
      <c r="H146" s="19"/>
      <c r="I146" s="28">
        <v>0.03</v>
      </c>
      <c r="J146" s="238" t="s">
        <v>669</v>
      </c>
      <c r="K146" s="83" t="s">
        <v>231</v>
      </c>
      <c r="L146" s="100" t="s">
        <v>628</v>
      </c>
      <c r="M146" s="219" t="s">
        <v>835</v>
      </c>
      <c r="N146" s="205" t="s">
        <v>2541</v>
      </c>
      <c r="O146" s="206">
        <v>1</v>
      </c>
      <c r="P146" s="226" t="s">
        <v>126</v>
      </c>
      <c r="Q146" s="288">
        <v>99.15</v>
      </c>
      <c r="R146" s="208">
        <v>0.02</v>
      </c>
      <c r="S146" s="91">
        <v>97.167000000000002</v>
      </c>
      <c r="T146" s="86"/>
      <c r="U146" s="186">
        <v>0.01</v>
      </c>
      <c r="V146" s="238" t="s">
        <v>669</v>
      </c>
      <c r="W146" s="83" t="s">
        <v>231</v>
      </c>
      <c r="X146" s="100" t="s">
        <v>628</v>
      </c>
    </row>
    <row r="147" spans="1:24" s="1" customFormat="1">
      <c r="A147" s="774" t="s">
        <v>836</v>
      </c>
      <c r="B147" s="775" t="s">
        <v>2954</v>
      </c>
      <c r="C147" s="206">
        <v>1</v>
      </c>
      <c r="D147" s="226" t="s">
        <v>126</v>
      </c>
      <c r="E147" s="777">
        <v>74.14</v>
      </c>
      <c r="F147" s="35">
        <f>rv_pencil_2</f>
        <v>0.02</v>
      </c>
      <c r="G147" s="30">
        <f t="shared" si="17"/>
        <v>72.657200000000003</v>
      </c>
      <c r="H147" s="19"/>
      <c r="I147" s="28">
        <v>0.03</v>
      </c>
      <c r="J147" s="238" t="s">
        <v>669</v>
      </c>
      <c r="K147" s="83" t="s">
        <v>231</v>
      </c>
      <c r="L147" s="100" t="s">
        <v>628</v>
      </c>
      <c r="M147" s="219" t="s">
        <v>836</v>
      </c>
      <c r="N147" s="205" t="s">
        <v>837</v>
      </c>
      <c r="O147" s="206">
        <v>1</v>
      </c>
      <c r="P147" s="226" t="s">
        <v>126</v>
      </c>
      <c r="Q147" s="288">
        <v>79.16</v>
      </c>
      <c r="R147" s="208">
        <v>0.02</v>
      </c>
      <c r="S147" s="91">
        <v>77.576799999999992</v>
      </c>
      <c r="T147" s="86"/>
      <c r="U147" s="186">
        <v>0.01</v>
      </c>
      <c r="V147" s="238" t="s">
        <v>669</v>
      </c>
      <c r="W147" s="83" t="s">
        <v>231</v>
      </c>
      <c r="X147" s="100" t="s">
        <v>628</v>
      </c>
    </row>
    <row r="148" spans="1:24" s="1" customFormat="1">
      <c r="A148" s="774" t="s">
        <v>838</v>
      </c>
      <c r="B148" s="775" t="s">
        <v>839</v>
      </c>
      <c r="C148" s="206">
        <v>1</v>
      </c>
      <c r="D148" s="226" t="s">
        <v>126</v>
      </c>
      <c r="E148" s="777">
        <v>124.14</v>
      </c>
      <c r="F148" s="35">
        <f>rv_pencil_2</f>
        <v>0.02</v>
      </c>
      <c r="G148" s="30">
        <f t="shared" si="17"/>
        <v>121.6572</v>
      </c>
      <c r="H148" s="19"/>
      <c r="I148" s="28">
        <v>0.03</v>
      </c>
      <c r="J148" s="238" t="s">
        <v>669</v>
      </c>
      <c r="K148" s="83" t="s">
        <v>231</v>
      </c>
      <c r="L148" s="100" t="s">
        <v>628</v>
      </c>
      <c r="M148" s="219" t="s">
        <v>838</v>
      </c>
      <c r="N148" s="205" t="s">
        <v>839</v>
      </c>
      <c r="O148" s="206">
        <v>1</v>
      </c>
      <c r="P148" s="226" t="s">
        <v>126</v>
      </c>
      <c r="Q148" s="288">
        <v>124.15</v>
      </c>
      <c r="R148" s="208">
        <v>0.02</v>
      </c>
      <c r="S148" s="91">
        <v>121.667</v>
      </c>
      <c r="T148" s="86"/>
      <c r="U148" s="186">
        <v>0.01</v>
      </c>
      <c r="V148" s="238" t="s">
        <v>669</v>
      </c>
      <c r="W148" s="83" t="s">
        <v>231</v>
      </c>
      <c r="X148" s="100" t="s">
        <v>628</v>
      </c>
    </row>
    <row r="149" spans="1:24" s="1" customFormat="1">
      <c r="A149" s="774" t="s">
        <v>840</v>
      </c>
      <c r="B149" s="775" t="s">
        <v>2953</v>
      </c>
      <c r="C149" s="206">
        <v>1</v>
      </c>
      <c r="D149" s="226" t="s">
        <v>126</v>
      </c>
      <c r="E149" s="777">
        <v>124.14</v>
      </c>
      <c r="F149" s="35">
        <f>rv_pencil_2</f>
        <v>0.02</v>
      </c>
      <c r="G149" s="30">
        <f t="shared" ref="G149" si="19">E149-(E149*F149)</f>
        <v>121.6572</v>
      </c>
      <c r="H149" s="19"/>
      <c r="I149" s="28">
        <v>0.03</v>
      </c>
      <c r="J149" s="238" t="s">
        <v>669</v>
      </c>
      <c r="K149" s="83" t="s">
        <v>231</v>
      </c>
      <c r="L149" s="100" t="s">
        <v>628</v>
      </c>
      <c r="M149" s="219" t="s">
        <v>840</v>
      </c>
      <c r="N149" s="205" t="s">
        <v>841</v>
      </c>
      <c r="O149" s="206">
        <v>1</v>
      </c>
      <c r="P149" s="226" t="s">
        <v>126</v>
      </c>
      <c r="Q149" s="288">
        <v>124.15</v>
      </c>
      <c r="R149" s="208">
        <v>0.02</v>
      </c>
      <c r="S149" s="91">
        <v>121.667</v>
      </c>
      <c r="T149" s="86"/>
      <c r="U149" s="186">
        <v>0.01</v>
      </c>
      <c r="V149" s="238" t="s">
        <v>669</v>
      </c>
      <c r="W149" s="83" t="s">
        <v>231</v>
      </c>
      <c r="X149" s="100" t="s">
        <v>628</v>
      </c>
    </row>
    <row r="150" spans="1:24" s="1" customFormat="1">
      <c r="A150" s="774" t="s">
        <v>3038</v>
      </c>
      <c r="B150" s="775" t="s">
        <v>843</v>
      </c>
      <c r="C150" s="732">
        <v>1</v>
      </c>
      <c r="D150" s="733" t="s">
        <v>126</v>
      </c>
      <c r="E150" s="777">
        <v>20.83</v>
      </c>
      <c r="F150" s="35">
        <f>rv_pencil</f>
        <v>0.02</v>
      </c>
      <c r="G150" s="30">
        <f t="shared" si="17"/>
        <v>20.413399999999999</v>
      </c>
      <c r="H150" s="19"/>
      <c r="I150" s="28">
        <v>0</v>
      </c>
      <c r="J150" s="238" t="s">
        <v>669</v>
      </c>
      <c r="K150" s="83" t="s">
        <v>231</v>
      </c>
      <c r="L150" s="100" t="s">
        <v>628</v>
      </c>
      <c r="M150" s="711" t="s">
        <v>842</v>
      </c>
      <c r="N150" s="712" t="s">
        <v>843</v>
      </c>
      <c r="O150" s="713">
        <v>1</v>
      </c>
      <c r="P150" s="736" t="s">
        <v>126</v>
      </c>
      <c r="Q150" s="715">
        <v>20.83</v>
      </c>
      <c r="R150" s="750">
        <v>0.02</v>
      </c>
      <c r="S150" s="749">
        <v>20.413399999999999</v>
      </c>
      <c r="T150" s="718"/>
      <c r="U150" s="719">
        <v>0</v>
      </c>
      <c r="V150" s="238" t="s">
        <v>669</v>
      </c>
      <c r="W150" s="83" t="s">
        <v>231</v>
      </c>
      <c r="X150" s="100" t="s">
        <v>628</v>
      </c>
    </row>
    <row r="151" spans="1:24" s="1" customFormat="1">
      <c r="A151" s="774" t="s">
        <v>845</v>
      </c>
      <c r="B151" s="775" t="s">
        <v>846</v>
      </c>
      <c r="C151" s="206">
        <v>1</v>
      </c>
      <c r="D151" s="227" t="s">
        <v>822</v>
      </c>
      <c r="E151" s="777">
        <v>119</v>
      </c>
      <c r="F151" s="18">
        <f t="shared" ref="F151:F172" si="20">rv_10</f>
        <v>0.1</v>
      </c>
      <c r="G151" s="768">
        <f t="shared" si="17"/>
        <v>107.1</v>
      </c>
      <c r="H151" s="19"/>
      <c r="I151" s="28">
        <v>0.11</v>
      </c>
      <c r="J151" s="238" t="s">
        <v>669</v>
      </c>
      <c r="K151" s="83" t="s">
        <v>231</v>
      </c>
      <c r="L151" s="100" t="s">
        <v>628</v>
      </c>
      <c r="M151" s="219" t="s">
        <v>845</v>
      </c>
      <c r="N151" s="205" t="s">
        <v>846</v>
      </c>
      <c r="O151" s="206">
        <v>1</v>
      </c>
      <c r="P151" s="227" t="s">
        <v>822</v>
      </c>
      <c r="Q151" s="288">
        <v>119</v>
      </c>
      <c r="R151" s="188">
        <v>0.1</v>
      </c>
      <c r="S151" s="62">
        <v>107.1</v>
      </c>
      <c r="T151" s="86"/>
      <c r="U151" s="186">
        <v>0.1</v>
      </c>
      <c r="V151" s="238" t="s">
        <v>669</v>
      </c>
      <c r="W151" s="83" t="s">
        <v>231</v>
      </c>
      <c r="X151" s="100" t="s">
        <v>628</v>
      </c>
    </row>
    <row r="152" spans="1:24" s="1" customFormat="1">
      <c r="A152" s="774" t="s">
        <v>847</v>
      </c>
      <c r="B152" s="775" t="s">
        <v>848</v>
      </c>
      <c r="C152" s="206">
        <v>1</v>
      </c>
      <c r="D152" s="227" t="s">
        <v>822</v>
      </c>
      <c r="E152" s="777">
        <v>119</v>
      </c>
      <c r="F152" s="18">
        <f t="shared" si="20"/>
        <v>0.1</v>
      </c>
      <c r="G152" s="768">
        <f t="shared" si="17"/>
        <v>107.1</v>
      </c>
      <c r="H152" s="19"/>
      <c r="I152" s="28">
        <v>0.11</v>
      </c>
      <c r="J152" s="238" t="s">
        <v>669</v>
      </c>
      <c r="K152" s="83" t="s">
        <v>231</v>
      </c>
      <c r="L152" s="100" t="s">
        <v>628</v>
      </c>
      <c r="M152" s="219" t="s">
        <v>847</v>
      </c>
      <c r="N152" s="205" t="s">
        <v>848</v>
      </c>
      <c r="O152" s="206">
        <v>1</v>
      </c>
      <c r="P152" s="227" t="s">
        <v>822</v>
      </c>
      <c r="Q152" s="288">
        <v>119</v>
      </c>
      <c r="R152" s="188">
        <v>0.1</v>
      </c>
      <c r="S152" s="62">
        <v>107.1</v>
      </c>
      <c r="T152" s="86"/>
      <c r="U152" s="186">
        <v>0.1</v>
      </c>
      <c r="V152" s="238" t="s">
        <v>669</v>
      </c>
      <c r="W152" s="83" t="s">
        <v>231</v>
      </c>
      <c r="X152" s="100" t="s">
        <v>628</v>
      </c>
    </row>
    <row r="153" spans="1:24" s="1" customFormat="1">
      <c r="A153" s="774" t="s">
        <v>849</v>
      </c>
      <c r="B153" s="775" t="s">
        <v>850</v>
      </c>
      <c r="C153" s="206">
        <v>1</v>
      </c>
      <c r="D153" s="227" t="s">
        <v>822</v>
      </c>
      <c r="E153" s="777">
        <v>179.99</v>
      </c>
      <c r="F153" s="18">
        <f t="shared" si="20"/>
        <v>0.1</v>
      </c>
      <c r="G153" s="768">
        <f t="shared" si="17"/>
        <v>161.99100000000001</v>
      </c>
      <c r="H153" s="19"/>
      <c r="I153" s="28">
        <v>0.11</v>
      </c>
      <c r="J153" s="238" t="s">
        <v>669</v>
      </c>
      <c r="K153" s="83" t="s">
        <v>231</v>
      </c>
      <c r="L153" s="100" t="s">
        <v>628</v>
      </c>
      <c r="M153" s="219" t="s">
        <v>849</v>
      </c>
      <c r="N153" s="205" t="s">
        <v>850</v>
      </c>
      <c r="O153" s="206">
        <v>1</v>
      </c>
      <c r="P153" s="227" t="s">
        <v>822</v>
      </c>
      <c r="Q153" s="288">
        <v>179.99</v>
      </c>
      <c r="R153" s="188">
        <v>0.1</v>
      </c>
      <c r="S153" s="62">
        <v>161.99100000000001</v>
      </c>
      <c r="T153" s="86"/>
      <c r="U153" s="186">
        <v>0.1</v>
      </c>
      <c r="V153" s="238" t="s">
        <v>669</v>
      </c>
      <c r="W153" s="83" t="s">
        <v>231</v>
      </c>
      <c r="X153" s="100" t="s">
        <v>628</v>
      </c>
    </row>
    <row r="154" spans="1:24" s="1" customFormat="1">
      <c r="A154" s="774" t="s">
        <v>851</v>
      </c>
      <c r="B154" s="775" t="s">
        <v>852</v>
      </c>
      <c r="C154" s="206">
        <v>1</v>
      </c>
      <c r="D154" s="227" t="s">
        <v>822</v>
      </c>
      <c r="E154" s="777">
        <v>153.33000000000001</v>
      </c>
      <c r="F154" s="18">
        <f t="shared" si="20"/>
        <v>0.1</v>
      </c>
      <c r="G154" s="768">
        <f t="shared" si="17"/>
        <v>137.99700000000001</v>
      </c>
      <c r="H154" s="19"/>
      <c r="I154" s="28">
        <v>0.11</v>
      </c>
      <c r="J154" s="238" t="s">
        <v>669</v>
      </c>
      <c r="K154" s="83" t="s">
        <v>231</v>
      </c>
      <c r="L154" s="100" t="s">
        <v>628</v>
      </c>
      <c r="M154" s="219" t="s">
        <v>851</v>
      </c>
      <c r="N154" s="205" t="s">
        <v>852</v>
      </c>
      <c r="O154" s="206">
        <v>1</v>
      </c>
      <c r="P154" s="227" t="s">
        <v>822</v>
      </c>
      <c r="Q154" s="288">
        <v>153.33000000000001</v>
      </c>
      <c r="R154" s="188">
        <v>0.1</v>
      </c>
      <c r="S154" s="62">
        <v>137.99700000000001</v>
      </c>
      <c r="T154" s="86"/>
      <c r="U154" s="186">
        <v>0.1</v>
      </c>
      <c r="V154" s="238" t="s">
        <v>669</v>
      </c>
      <c r="W154" s="83" t="s">
        <v>231</v>
      </c>
      <c r="X154" s="100" t="s">
        <v>628</v>
      </c>
    </row>
    <row r="155" spans="1:24" s="1" customFormat="1">
      <c r="A155" s="774" t="s">
        <v>2537</v>
      </c>
      <c r="B155" s="775" t="s">
        <v>2539</v>
      </c>
      <c r="C155" s="206">
        <v>1</v>
      </c>
      <c r="D155" s="227" t="s">
        <v>822</v>
      </c>
      <c r="E155" s="777">
        <v>89.99</v>
      </c>
      <c r="F155" s="18">
        <f t="shared" si="20"/>
        <v>0.1</v>
      </c>
      <c r="G155" s="768">
        <f t="shared" si="17"/>
        <v>80.991</v>
      </c>
      <c r="H155" s="19"/>
      <c r="I155" s="28">
        <v>0.06</v>
      </c>
      <c r="J155" s="238" t="s">
        <v>669</v>
      </c>
      <c r="K155" s="83" t="s">
        <v>231</v>
      </c>
      <c r="L155" s="100" t="s">
        <v>628</v>
      </c>
      <c r="M155" s="219" t="s">
        <v>2537</v>
      </c>
      <c r="N155" s="205" t="s">
        <v>2539</v>
      </c>
      <c r="O155" s="206">
        <v>1</v>
      </c>
      <c r="P155" s="227" t="s">
        <v>822</v>
      </c>
      <c r="Q155" s="288">
        <v>89.99</v>
      </c>
      <c r="R155" s="188">
        <v>0.1</v>
      </c>
      <c r="S155" s="62">
        <v>80.991</v>
      </c>
      <c r="T155" s="86"/>
      <c r="U155" s="186">
        <v>0.05</v>
      </c>
      <c r="V155" s="238" t="s">
        <v>669</v>
      </c>
      <c r="W155" s="83" t="s">
        <v>231</v>
      </c>
      <c r="X155" s="100" t="s">
        <v>628</v>
      </c>
    </row>
    <row r="156" spans="1:24" s="1" customFormat="1">
      <c r="A156" s="774" t="s">
        <v>2538</v>
      </c>
      <c r="B156" s="775" t="s">
        <v>2540</v>
      </c>
      <c r="C156" s="206">
        <v>1</v>
      </c>
      <c r="D156" s="227" t="s">
        <v>822</v>
      </c>
      <c r="E156" s="777">
        <v>89.99</v>
      </c>
      <c r="F156" s="18">
        <f t="shared" si="20"/>
        <v>0.1</v>
      </c>
      <c r="G156" s="768">
        <f t="shared" si="17"/>
        <v>80.991</v>
      </c>
      <c r="H156" s="19"/>
      <c r="I156" s="28">
        <v>0.06</v>
      </c>
      <c r="J156" s="238" t="s">
        <v>669</v>
      </c>
      <c r="K156" s="83" t="s">
        <v>231</v>
      </c>
      <c r="L156" s="100" t="s">
        <v>628</v>
      </c>
      <c r="M156" s="219" t="s">
        <v>2538</v>
      </c>
      <c r="N156" s="205" t="s">
        <v>2540</v>
      </c>
      <c r="O156" s="206">
        <v>1</v>
      </c>
      <c r="P156" s="227" t="s">
        <v>822</v>
      </c>
      <c r="Q156" s="288">
        <v>89.99</v>
      </c>
      <c r="R156" s="188">
        <v>0.1</v>
      </c>
      <c r="S156" s="62">
        <v>80.991</v>
      </c>
      <c r="T156" s="86"/>
      <c r="U156" s="186">
        <v>0.05</v>
      </c>
      <c r="V156" s="238" t="s">
        <v>669</v>
      </c>
      <c r="W156" s="83" t="s">
        <v>231</v>
      </c>
      <c r="X156" s="100" t="s">
        <v>628</v>
      </c>
    </row>
    <row r="157" spans="1:24" s="1" customFormat="1">
      <c r="A157" s="774" t="s">
        <v>853</v>
      </c>
      <c r="B157" s="775" t="s">
        <v>854</v>
      </c>
      <c r="C157" s="206">
        <v>1</v>
      </c>
      <c r="D157" s="227" t="s">
        <v>822</v>
      </c>
      <c r="E157" s="777">
        <v>129.99</v>
      </c>
      <c r="F157" s="18">
        <f t="shared" si="20"/>
        <v>0.1</v>
      </c>
      <c r="G157" s="768">
        <f t="shared" si="17"/>
        <v>116.99100000000001</v>
      </c>
      <c r="H157" s="19"/>
      <c r="I157" s="28">
        <v>0.11</v>
      </c>
      <c r="J157" s="238" t="s">
        <v>669</v>
      </c>
      <c r="K157" s="83" t="s">
        <v>231</v>
      </c>
      <c r="L157" s="100" t="s">
        <v>628</v>
      </c>
      <c r="M157" s="219" t="s">
        <v>853</v>
      </c>
      <c r="N157" s="205" t="s">
        <v>854</v>
      </c>
      <c r="O157" s="206">
        <v>1</v>
      </c>
      <c r="P157" s="227" t="s">
        <v>822</v>
      </c>
      <c r="Q157" s="288">
        <v>129.99</v>
      </c>
      <c r="R157" s="188">
        <v>0.1</v>
      </c>
      <c r="S157" s="62">
        <v>116.99100000000001</v>
      </c>
      <c r="T157" s="86"/>
      <c r="U157" s="186">
        <v>0.05</v>
      </c>
      <c r="V157" s="238" t="s">
        <v>669</v>
      </c>
      <c r="W157" s="83" t="s">
        <v>231</v>
      </c>
      <c r="X157" s="100" t="s">
        <v>628</v>
      </c>
    </row>
    <row r="158" spans="1:24" s="1" customFormat="1">
      <c r="A158" s="774" t="s">
        <v>855</v>
      </c>
      <c r="B158" s="775" t="s">
        <v>856</v>
      </c>
      <c r="C158" s="206">
        <v>1</v>
      </c>
      <c r="D158" s="227" t="s">
        <v>822</v>
      </c>
      <c r="E158" s="777">
        <v>129.99</v>
      </c>
      <c r="F158" s="18">
        <f t="shared" si="20"/>
        <v>0.1</v>
      </c>
      <c r="G158" s="768">
        <f t="shared" si="17"/>
        <v>116.99100000000001</v>
      </c>
      <c r="H158" s="19"/>
      <c r="I158" s="28">
        <v>0.11</v>
      </c>
      <c r="J158" s="238" t="s">
        <v>669</v>
      </c>
      <c r="K158" s="83" t="s">
        <v>231</v>
      </c>
      <c r="L158" s="100" t="s">
        <v>628</v>
      </c>
      <c r="M158" s="219" t="s">
        <v>855</v>
      </c>
      <c r="N158" s="205" t="s">
        <v>856</v>
      </c>
      <c r="O158" s="206">
        <v>1</v>
      </c>
      <c r="P158" s="227" t="s">
        <v>822</v>
      </c>
      <c r="Q158" s="288">
        <v>129.99</v>
      </c>
      <c r="R158" s="188">
        <v>0.1</v>
      </c>
      <c r="S158" s="62">
        <v>116.99100000000001</v>
      </c>
      <c r="T158" s="86"/>
      <c r="U158" s="186">
        <v>0.02</v>
      </c>
      <c r="V158" s="238" t="s">
        <v>669</v>
      </c>
      <c r="W158" s="83" t="s">
        <v>231</v>
      </c>
      <c r="X158" s="100" t="s">
        <v>628</v>
      </c>
    </row>
    <row r="159" spans="1:24" s="1" customFormat="1">
      <c r="A159" s="774" t="s">
        <v>857</v>
      </c>
      <c r="B159" s="775" t="s">
        <v>858</v>
      </c>
      <c r="C159" s="206">
        <v>1</v>
      </c>
      <c r="D159" s="226" t="s">
        <v>822</v>
      </c>
      <c r="E159" s="767">
        <v>119.99</v>
      </c>
      <c r="F159" s="18">
        <f t="shared" si="20"/>
        <v>0.1</v>
      </c>
      <c r="G159" s="768">
        <f t="shared" si="17"/>
        <v>107.991</v>
      </c>
      <c r="H159" s="19"/>
      <c r="I159" s="28">
        <v>0.04</v>
      </c>
      <c r="J159" s="238" t="s">
        <v>669</v>
      </c>
      <c r="K159" s="83" t="s">
        <v>231</v>
      </c>
      <c r="L159" s="100" t="s">
        <v>628</v>
      </c>
      <c r="M159" s="219" t="s">
        <v>857</v>
      </c>
      <c r="N159" s="205" t="s">
        <v>858</v>
      </c>
      <c r="O159" s="206">
        <v>1</v>
      </c>
      <c r="P159" s="226" t="s">
        <v>822</v>
      </c>
      <c r="Q159" s="287">
        <v>119.99</v>
      </c>
      <c r="R159" s="188">
        <v>0.1</v>
      </c>
      <c r="S159" s="62">
        <v>107.991</v>
      </c>
      <c r="T159" s="86"/>
      <c r="U159" s="186">
        <v>0.02</v>
      </c>
      <c r="V159" s="238" t="s">
        <v>669</v>
      </c>
      <c r="W159" s="83" t="s">
        <v>231</v>
      </c>
      <c r="X159" s="100" t="s">
        <v>628</v>
      </c>
    </row>
    <row r="160" spans="1:24" s="1" customFormat="1">
      <c r="A160" s="774" t="s">
        <v>859</v>
      </c>
      <c r="B160" s="775" t="s">
        <v>860</v>
      </c>
      <c r="C160" s="206">
        <v>1</v>
      </c>
      <c r="D160" s="227" t="s">
        <v>822</v>
      </c>
      <c r="E160" s="777">
        <v>13</v>
      </c>
      <c r="F160" s="18">
        <f t="shared" si="20"/>
        <v>0.1</v>
      </c>
      <c r="G160" s="768">
        <f t="shared" ref="G160:G183" si="21">E160-(E160*F160)</f>
        <v>11.7</v>
      </c>
      <c r="H160" s="19"/>
      <c r="I160" s="28">
        <v>0.04</v>
      </c>
      <c r="J160" s="238" t="s">
        <v>669</v>
      </c>
      <c r="K160" s="83" t="s">
        <v>231</v>
      </c>
      <c r="L160" s="100" t="s">
        <v>628</v>
      </c>
      <c r="M160" s="219" t="s">
        <v>859</v>
      </c>
      <c r="N160" s="205" t="s">
        <v>860</v>
      </c>
      <c r="O160" s="206">
        <v>1</v>
      </c>
      <c r="P160" s="227" t="s">
        <v>822</v>
      </c>
      <c r="Q160" s="288">
        <v>13</v>
      </c>
      <c r="R160" s="188">
        <v>0.1</v>
      </c>
      <c r="S160" s="62">
        <v>11.7</v>
      </c>
      <c r="T160" s="86"/>
      <c r="U160" s="186">
        <v>0.02</v>
      </c>
      <c r="V160" s="238" t="s">
        <v>669</v>
      </c>
      <c r="W160" s="83" t="s">
        <v>231</v>
      </c>
      <c r="X160" s="100" t="s">
        <v>628</v>
      </c>
    </row>
    <row r="161" spans="1:24" s="1" customFormat="1">
      <c r="A161" s="774" t="s">
        <v>861</v>
      </c>
      <c r="B161" s="775" t="s">
        <v>862</v>
      </c>
      <c r="C161" s="206">
        <v>1</v>
      </c>
      <c r="D161" s="226" t="s">
        <v>863</v>
      </c>
      <c r="E161" s="767">
        <v>62.49</v>
      </c>
      <c r="F161" s="18">
        <f t="shared" ref="F161:F166" si="22">rv_20</f>
        <v>0.2</v>
      </c>
      <c r="G161" s="768">
        <f t="shared" ref="G161" si="23">E161-(E161*F161)</f>
        <v>49.992000000000004</v>
      </c>
      <c r="H161" s="19"/>
      <c r="I161" s="28">
        <v>0.06</v>
      </c>
      <c r="J161" s="238" t="s">
        <v>669</v>
      </c>
      <c r="K161" s="83" t="s">
        <v>231</v>
      </c>
      <c r="L161" s="100" t="s">
        <v>628</v>
      </c>
      <c r="M161" s="219" t="s">
        <v>861</v>
      </c>
      <c r="N161" s="205" t="s">
        <v>862</v>
      </c>
      <c r="O161" s="206">
        <v>1</v>
      </c>
      <c r="P161" s="226" t="s">
        <v>863</v>
      </c>
      <c r="Q161" s="287">
        <v>62.49</v>
      </c>
      <c r="R161" s="188">
        <v>0.2</v>
      </c>
      <c r="S161" s="62">
        <v>49.992000000000004</v>
      </c>
      <c r="T161" s="86"/>
      <c r="U161" s="186">
        <v>0.02</v>
      </c>
      <c r="V161" s="238" t="s">
        <v>669</v>
      </c>
      <c r="W161" s="83" t="s">
        <v>231</v>
      </c>
      <c r="X161" s="100" t="s">
        <v>628</v>
      </c>
    </row>
    <row r="162" spans="1:24" s="1" customFormat="1">
      <c r="A162" s="774" t="s">
        <v>864</v>
      </c>
      <c r="B162" s="775" t="s">
        <v>865</v>
      </c>
      <c r="C162" s="206">
        <v>1</v>
      </c>
      <c r="D162" s="226" t="s">
        <v>863</v>
      </c>
      <c r="E162" s="767">
        <v>32.89</v>
      </c>
      <c r="F162" s="18">
        <f t="shared" si="22"/>
        <v>0.2</v>
      </c>
      <c r="G162" s="768">
        <f t="shared" ref="G162" si="24">E162-(E162*F162)</f>
        <v>26.312000000000001</v>
      </c>
      <c r="H162" s="19"/>
      <c r="I162" s="28">
        <v>0.06</v>
      </c>
      <c r="J162" s="238" t="s">
        <v>669</v>
      </c>
      <c r="K162" s="83" t="s">
        <v>231</v>
      </c>
      <c r="L162" s="100" t="s">
        <v>628</v>
      </c>
      <c r="M162" s="219" t="s">
        <v>864</v>
      </c>
      <c r="N162" s="205" t="s">
        <v>865</v>
      </c>
      <c r="O162" s="206">
        <v>1</v>
      </c>
      <c r="P162" s="226" t="s">
        <v>863</v>
      </c>
      <c r="Q162" s="287">
        <v>32.89</v>
      </c>
      <c r="R162" s="188">
        <v>0.2</v>
      </c>
      <c r="S162" s="62">
        <v>26.312000000000001</v>
      </c>
      <c r="T162" s="86"/>
      <c r="U162" s="186">
        <v>0.02</v>
      </c>
      <c r="V162" s="238" t="s">
        <v>669</v>
      </c>
      <c r="W162" s="83" t="s">
        <v>231</v>
      </c>
      <c r="X162" s="100" t="s">
        <v>628</v>
      </c>
    </row>
    <row r="163" spans="1:24" s="1" customFormat="1">
      <c r="A163" s="774" t="s">
        <v>866</v>
      </c>
      <c r="B163" s="775" t="s">
        <v>867</v>
      </c>
      <c r="C163" s="206">
        <v>1</v>
      </c>
      <c r="D163" s="226" t="s">
        <v>863</v>
      </c>
      <c r="E163" s="767">
        <v>59.24</v>
      </c>
      <c r="F163" s="18">
        <f t="shared" si="22"/>
        <v>0.2</v>
      </c>
      <c r="G163" s="768">
        <f t="shared" ref="G163" si="25">E163-(E163*F163)</f>
        <v>47.392000000000003</v>
      </c>
      <c r="H163" s="19"/>
      <c r="I163" s="28">
        <v>0.04</v>
      </c>
      <c r="J163" s="238" t="s">
        <v>669</v>
      </c>
      <c r="K163" s="83" t="s">
        <v>231</v>
      </c>
      <c r="L163" s="100" t="s">
        <v>628</v>
      </c>
      <c r="M163" s="219" t="s">
        <v>866</v>
      </c>
      <c r="N163" s="205" t="s">
        <v>867</v>
      </c>
      <c r="O163" s="206">
        <v>1</v>
      </c>
      <c r="P163" s="226" t="s">
        <v>863</v>
      </c>
      <c r="Q163" s="287">
        <v>59.24</v>
      </c>
      <c r="R163" s="188">
        <v>0.2</v>
      </c>
      <c r="S163" s="62">
        <v>47.392000000000003</v>
      </c>
      <c r="T163" s="86"/>
      <c r="U163" s="186">
        <v>0.06</v>
      </c>
      <c r="V163" s="238" t="s">
        <v>669</v>
      </c>
      <c r="W163" s="83" t="s">
        <v>231</v>
      </c>
      <c r="X163" s="100" t="s">
        <v>628</v>
      </c>
    </row>
    <row r="164" spans="1:24" s="1" customFormat="1">
      <c r="A164" s="774" t="s">
        <v>2346</v>
      </c>
      <c r="B164" s="775" t="s">
        <v>869</v>
      </c>
      <c r="C164" s="206">
        <v>1</v>
      </c>
      <c r="D164" s="226" t="s">
        <v>863</v>
      </c>
      <c r="E164" s="767">
        <v>59.24</v>
      </c>
      <c r="F164" s="18">
        <f t="shared" si="22"/>
        <v>0.2</v>
      </c>
      <c r="G164" s="768">
        <f t="shared" ref="G164" si="26">E164-(E164*F164)</f>
        <v>47.392000000000003</v>
      </c>
      <c r="H164" s="19"/>
      <c r="I164" s="28">
        <v>0.04</v>
      </c>
      <c r="J164" s="238" t="s">
        <v>669</v>
      </c>
      <c r="K164" s="83" t="s">
        <v>231</v>
      </c>
      <c r="L164" s="100" t="s">
        <v>628</v>
      </c>
      <c r="M164" s="219" t="s">
        <v>2346</v>
      </c>
      <c r="N164" s="205" t="s">
        <v>869</v>
      </c>
      <c r="O164" s="206">
        <v>1</v>
      </c>
      <c r="P164" s="226" t="s">
        <v>863</v>
      </c>
      <c r="Q164" s="287">
        <v>59.24</v>
      </c>
      <c r="R164" s="188">
        <v>0.2</v>
      </c>
      <c r="S164" s="62">
        <v>47.392000000000003</v>
      </c>
      <c r="T164" s="86"/>
      <c r="U164" s="186">
        <v>0.06</v>
      </c>
      <c r="V164" s="238" t="s">
        <v>669</v>
      </c>
      <c r="W164" s="83" t="s">
        <v>231</v>
      </c>
      <c r="X164" s="100" t="s">
        <v>628</v>
      </c>
    </row>
    <row r="165" spans="1:24" s="1" customFormat="1">
      <c r="A165" s="769" t="s">
        <v>2913</v>
      </c>
      <c r="B165" s="776" t="s">
        <v>2914</v>
      </c>
      <c r="C165" s="206">
        <v>1</v>
      </c>
      <c r="D165" s="226" t="s">
        <v>2888</v>
      </c>
      <c r="E165" s="767">
        <v>41.66</v>
      </c>
      <c r="F165" s="18">
        <f t="shared" si="22"/>
        <v>0.2</v>
      </c>
      <c r="G165" s="768">
        <f t="shared" ref="G165" si="27">E165-(E165*F165)</f>
        <v>33.327999999999996</v>
      </c>
      <c r="H165" s="19"/>
      <c r="I165" s="28">
        <v>0.04</v>
      </c>
      <c r="J165" s="238" t="s">
        <v>669</v>
      </c>
      <c r="K165" s="83" t="s">
        <v>231</v>
      </c>
      <c r="L165" s="100" t="s">
        <v>628</v>
      </c>
      <c r="M165" s="517" t="s">
        <v>2913</v>
      </c>
      <c r="N165" s="688" t="s">
        <v>2914</v>
      </c>
      <c r="O165" s="206">
        <v>1</v>
      </c>
      <c r="P165" s="226" t="s">
        <v>2888</v>
      </c>
      <c r="Q165" s="287">
        <v>41.66</v>
      </c>
      <c r="R165" s="188">
        <v>0.2</v>
      </c>
      <c r="S165" s="62">
        <v>33.327999999999996</v>
      </c>
      <c r="T165" s="86"/>
      <c r="U165" s="186">
        <v>0.06</v>
      </c>
      <c r="V165" s="238" t="s">
        <v>669</v>
      </c>
      <c r="W165" s="83" t="s">
        <v>231</v>
      </c>
      <c r="X165" s="100" t="s">
        <v>628</v>
      </c>
    </row>
    <row r="166" spans="1:24" s="1" customFormat="1">
      <c r="A166" s="219" t="s">
        <v>870</v>
      </c>
      <c r="B166" s="205" t="s">
        <v>871</v>
      </c>
      <c r="C166" s="206">
        <v>1</v>
      </c>
      <c r="D166" s="227" t="s">
        <v>872</v>
      </c>
      <c r="E166" s="777">
        <v>99.99</v>
      </c>
      <c r="F166" s="18">
        <f t="shared" si="22"/>
        <v>0.2</v>
      </c>
      <c r="G166" s="768">
        <f t="shared" ref="G166" si="28">E166-(E166*F166)</f>
        <v>79.99199999999999</v>
      </c>
      <c r="H166" s="19"/>
      <c r="I166" s="28">
        <v>0.11</v>
      </c>
      <c r="J166" s="238" t="s">
        <v>669</v>
      </c>
      <c r="K166" s="83" t="s">
        <v>231</v>
      </c>
      <c r="L166" s="100" t="s">
        <v>628</v>
      </c>
      <c r="M166" s="219" t="s">
        <v>870</v>
      </c>
      <c r="N166" s="205" t="s">
        <v>871</v>
      </c>
      <c r="O166" s="206">
        <v>1</v>
      </c>
      <c r="P166" s="227" t="s">
        <v>872</v>
      </c>
      <c r="Q166" s="288">
        <v>99.99</v>
      </c>
      <c r="R166" s="188">
        <v>0.2</v>
      </c>
      <c r="S166" s="62">
        <v>79.99199999999999</v>
      </c>
      <c r="T166" s="86"/>
      <c r="U166" s="186">
        <v>0.02</v>
      </c>
      <c r="V166" s="238" t="s">
        <v>669</v>
      </c>
      <c r="W166" s="83" t="s">
        <v>231</v>
      </c>
      <c r="X166" s="100" t="s">
        <v>628</v>
      </c>
    </row>
    <row r="167" spans="1:24" s="1" customFormat="1">
      <c r="A167" s="219" t="s">
        <v>873</v>
      </c>
      <c r="B167" s="205" t="s">
        <v>874</v>
      </c>
      <c r="C167" s="206">
        <v>1</v>
      </c>
      <c r="D167" s="226" t="s">
        <v>875</v>
      </c>
      <c r="E167" s="767">
        <v>29.16</v>
      </c>
      <c r="F167" s="18">
        <f t="shared" si="20"/>
        <v>0.1</v>
      </c>
      <c r="G167" s="30">
        <f t="shared" si="21"/>
        <v>26.244</v>
      </c>
      <c r="H167" s="19"/>
      <c r="I167" s="28">
        <v>0.06</v>
      </c>
      <c r="J167" s="238" t="s">
        <v>669</v>
      </c>
      <c r="K167" s="83" t="s">
        <v>231</v>
      </c>
      <c r="L167" s="100" t="s">
        <v>628</v>
      </c>
      <c r="M167" s="219" t="s">
        <v>873</v>
      </c>
      <c r="N167" s="205" t="s">
        <v>874</v>
      </c>
      <c r="O167" s="206">
        <v>1</v>
      </c>
      <c r="P167" s="226" t="s">
        <v>875</v>
      </c>
      <c r="Q167" s="287">
        <v>29.16</v>
      </c>
      <c r="R167" s="188">
        <v>0.1</v>
      </c>
      <c r="S167" s="91">
        <v>26.244</v>
      </c>
      <c r="T167" s="86"/>
      <c r="U167" s="186">
        <v>0.02</v>
      </c>
      <c r="V167" s="238" t="s">
        <v>669</v>
      </c>
      <c r="W167" s="83" t="s">
        <v>231</v>
      </c>
      <c r="X167" s="100" t="s">
        <v>628</v>
      </c>
    </row>
    <row r="168" spans="1:24" s="1" customFormat="1">
      <c r="A168" s="219" t="s">
        <v>876</v>
      </c>
      <c r="B168" s="205" t="s">
        <v>877</v>
      </c>
      <c r="C168" s="206">
        <v>1</v>
      </c>
      <c r="D168" s="226" t="s">
        <v>875</v>
      </c>
      <c r="E168" s="767">
        <v>62.49</v>
      </c>
      <c r="F168" s="18">
        <f t="shared" si="20"/>
        <v>0.1</v>
      </c>
      <c r="G168" s="30">
        <f t="shared" si="21"/>
        <v>56.241</v>
      </c>
      <c r="H168" s="19"/>
      <c r="I168" s="28">
        <v>0.02</v>
      </c>
      <c r="J168" s="238" t="s">
        <v>669</v>
      </c>
      <c r="K168" s="83" t="s">
        <v>231</v>
      </c>
      <c r="L168" s="100" t="s">
        <v>628</v>
      </c>
      <c r="M168" s="219" t="s">
        <v>876</v>
      </c>
      <c r="N168" s="205" t="s">
        <v>877</v>
      </c>
      <c r="O168" s="206">
        <v>1</v>
      </c>
      <c r="P168" s="226" t="s">
        <v>875</v>
      </c>
      <c r="Q168" s="287">
        <v>62.49</v>
      </c>
      <c r="R168" s="188">
        <v>0.1</v>
      </c>
      <c r="S168" s="91">
        <v>56.241</v>
      </c>
      <c r="T168" s="86"/>
      <c r="U168" s="186">
        <v>0.02</v>
      </c>
      <c r="V168" s="238" t="s">
        <v>669</v>
      </c>
      <c r="W168" s="83" t="s">
        <v>231</v>
      </c>
      <c r="X168" s="100" t="s">
        <v>628</v>
      </c>
    </row>
    <row r="169" spans="1:24" s="1" customFormat="1">
      <c r="A169" s="219" t="s">
        <v>878</v>
      </c>
      <c r="B169" s="205" t="s">
        <v>879</v>
      </c>
      <c r="C169" s="206">
        <v>1</v>
      </c>
      <c r="D169" s="226" t="s">
        <v>875</v>
      </c>
      <c r="E169" s="767">
        <v>50</v>
      </c>
      <c r="F169" s="18">
        <f t="shared" si="20"/>
        <v>0.1</v>
      </c>
      <c r="G169" s="30">
        <f t="shared" si="21"/>
        <v>45</v>
      </c>
      <c r="H169" s="19"/>
      <c r="I169" s="28">
        <v>0.03</v>
      </c>
      <c r="J169" s="238" t="s">
        <v>669</v>
      </c>
      <c r="K169" s="83" t="s">
        <v>231</v>
      </c>
      <c r="L169" s="100" t="s">
        <v>628</v>
      </c>
      <c r="M169" s="219" t="s">
        <v>878</v>
      </c>
      <c r="N169" s="205" t="s">
        <v>879</v>
      </c>
      <c r="O169" s="206">
        <v>1</v>
      </c>
      <c r="P169" s="226" t="s">
        <v>875</v>
      </c>
      <c r="Q169" s="287">
        <v>50</v>
      </c>
      <c r="R169" s="188">
        <v>0.1</v>
      </c>
      <c r="S169" s="91">
        <v>45</v>
      </c>
      <c r="T169" s="86"/>
      <c r="U169" s="186">
        <v>0.01</v>
      </c>
      <c r="V169" s="238" t="s">
        <v>669</v>
      </c>
      <c r="W169" s="83" t="s">
        <v>231</v>
      </c>
      <c r="X169" s="100" t="s">
        <v>628</v>
      </c>
    </row>
    <row r="170" spans="1:24" s="1" customFormat="1">
      <c r="A170" s="219" t="s">
        <v>880</v>
      </c>
      <c r="B170" s="205" t="s">
        <v>881</v>
      </c>
      <c r="C170" s="206">
        <v>1</v>
      </c>
      <c r="D170" s="226" t="s">
        <v>875</v>
      </c>
      <c r="E170" s="767">
        <v>50</v>
      </c>
      <c r="F170" s="18">
        <f t="shared" si="20"/>
        <v>0.1</v>
      </c>
      <c r="G170" s="30">
        <f t="shared" si="21"/>
        <v>45</v>
      </c>
      <c r="H170" s="19"/>
      <c r="I170" s="28">
        <v>0.03</v>
      </c>
      <c r="J170" s="238" t="s">
        <v>669</v>
      </c>
      <c r="K170" s="83" t="s">
        <v>231</v>
      </c>
      <c r="L170" s="100" t="s">
        <v>628</v>
      </c>
      <c r="M170" s="219" t="s">
        <v>880</v>
      </c>
      <c r="N170" s="205" t="s">
        <v>881</v>
      </c>
      <c r="O170" s="206">
        <v>1</v>
      </c>
      <c r="P170" s="226" t="s">
        <v>875</v>
      </c>
      <c r="Q170" s="287">
        <v>50</v>
      </c>
      <c r="R170" s="188">
        <v>0.1</v>
      </c>
      <c r="S170" s="91">
        <v>45</v>
      </c>
      <c r="T170" s="86"/>
      <c r="U170" s="186">
        <v>0.01</v>
      </c>
      <c r="V170" s="238" t="s">
        <v>669</v>
      </c>
      <c r="W170" s="83" t="s">
        <v>231</v>
      </c>
      <c r="X170" s="100" t="s">
        <v>628</v>
      </c>
    </row>
    <row r="171" spans="1:24" s="1" customFormat="1">
      <c r="A171" s="219" t="s">
        <v>2955</v>
      </c>
      <c r="B171" s="205" t="s">
        <v>2885</v>
      </c>
      <c r="C171" s="206">
        <v>1</v>
      </c>
      <c r="D171" s="226" t="s">
        <v>875</v>
      </c>
      <c r="E171" s="767">
        <v>25</v>
      </c>
      <c r="F171" s="18">
        <f t="shared" si="20"/>
        <v>0.1</v>
      </c>
      <c r="G171" s="30">
        <f t="shared" ref="G171:G172" si="29">E171-(E171*F171)</f>
        <v>22.5</v>
      </c>
      <c r="H171" s="19"/>
      <c r="I171" s="28">
        <v>0.03</v>
      </c>
      <c r="J171" s="238" t="s">
        <v>669</v>
      </c>
      <c r="K171" s="83" t="s">
        <v>231</v>
      </c>
      <c r="L171" s="100" t="s">
        <v>628</v>
      </c>
      <c r="M171" s="219" t="s">
        <v>2955</v>
      </c>
      <c r="N171" s="205" t="s">
        <v>2885</v>
      </c>
      <c r="O171" s="206">
        <v>1</v>
      </c>
      <c r="P171" s="226" t="s">
        <v>875</v>
      </c>
      <c r="Q171" s="287">
        <v>25</v>
      </c>
      <c r="R171" s="188">
        <v>0.1</v>
      </c>
      <c r="S171" s="91">
        <v>22.5</v>
      </c>
      <c r="T171" s="86"/>
      <c r="U171" s="186">
        <v>0.01</v>
      </c>
      <c r="V171" s="238" t="s">
        <v>669</v>
      </c>
      <c r="W171" s="83" t="s">
        <v>231</v>
      </c>
      <c r="X171" s="100" t="s">
        <v>628</v>
      </c>
    </row>
    <row r="172" spans="1:24" s="1" customFormat="1">
      <c r="A172" s="219" t="s">
        <v>2956</v>
      </c>
      <c r="B172" s="205" t="s">
        <v>2886</v>
      </c>
      <c r="C172" s="206">
        <v>1</v>
      </c>
      <c r="D172" s="226" t="s">
        <v>875</v>
      </c>
      <c r="E172" s="767">
        <v>25</v>
      </c>
      <c r="F172" s="18">
        <f t="shared" si="20"/>
        <v>0.1</v>
      </c>
      <c r="G172" s="30">
        <f t="shared" si="29"/>
        <v>22.5</v>
      </c>
      <c r="H172" s="19"/>
      <c r="I172" s="28">
        <v>0.03</v>
      </c>
      <c r="J172" s="238" t="s">
        <v>669</v>
      </c>
      <c r="K172" s="83" t="s">
        <v>231</v>
      </c>
      <c r="L172" s="100" t="s">
        <v>628</v>
      </c>
      <c r="M172" s="219" t="s">
        <v>2956</v>
      </c>
      <c r="N172" s="205" t="s">
        <v>2886</v>
      </c>
      <c r="O172" s="206">
        <v>1</v>
      </c>
      <c r="P172" s="226" t="s">
        <v>875</v>
      </c>
      <c r="Q172" s="287">
        <v>25</v>
      </c>
      <c r="R172" s="188">
        <v>0.1</v>
      </c>
      <c r="S172" s="91">
        <v>22.5</v>
      </c>
      <c r="T172" s="86"/>
      <c r="U172" s="186">
        <v>0.01</v>
      </c>
      <c r="V172" s="238" t="s">
        <v>669</v>
      </c>
      <c r="W172" s="83" t="s">
        <v>231</v>
      </c>
      <c r="X172" s="100" t="s">
        <v>628</v>
      </c>
    </row>
    <row r="173" spans="1:24" s="1" customFormat="1">
      <c r="A173" s="219" t="s">
        <v>882</v>
      </c>
      <c r="B173" s="205" t="s">
        <v>883</v>
      </c>
      <c r="C173" s="206">
        <v>1</v>
      </c>
      <c r="D173" s="226" t="s">
        <v>884</v>
      </c>
      <c r="E173" s="767">
        <v>48.99</v>
      </c>
      <c r="F173" s="18">
        <f>rv_10</f>
        <v>0.1</v>
      </c>
      <c r="G173" s="768">
        <f t="shared" si="21"/>
        <v>44.091000000000001</v>
      </c>
      <c r="H173" s="19"/>
      <c r="I173" s="28">
        <v>0.11</v>
      </c>
      <c r="J173" s="238" t="s">
        <v>669</v>
      </c>
      <c r="K173" s="83" t="s">
        <v>231</v>
      </c>
      <c r="L173" s="100" t="s">
        <v>628</v>
      </c>
      <c r="M173" s="219" t="s">
        <v>882</v>
      </c>
      <c r="N173" s="205" t="s">
        <v>883</v>
      </c>
      <c r="O173" s="206">
        <v>1</v>
      </c>
      <c r="P173" s="226" t="s">
        <v>884</v>
      </c>
      <c r="Q173" s="287">
        <v>48.99</v>
      </c>
      <c r="R173" s="188">
        <v>0.1</v>
      </c>
      <c r="S173" s="62">
        <v>44.091000000000001</v>
      </c>
      <c r="T173" s="86"/>
      <c r="U173" s="186">
        <v>0.1</v>
      </c>
      <c r="V173" s="238" t="s">
        <v>669</v>
      </c>
      <c r="W173" s="83" t="s">
        <v>231</v>
      </c>
      <c r="X173" s="100" t="s">
        <v>628</v>
      </c>
    </row>
    <row r="174" spans="1:24" s="1" customFormat="1">
      <c r="A174" s="219" t="s">
        <v>885</v>
      </c>
      <c r="B174" s="205" t="s">
        <v>886</v>
      </c>
      <c r="C174" s="206">
        <v>1</v>
      </c>
      <c r="D174" s="226" t="s">
        <v>884</v>
      </c>
      <c r="E174" s="767">
        <v>8.93</v>
      </c>
      <c r="F174" s="18">
        <f t="shared" ref="F174:F181" si="30">rv_20</f>
        <v>0.2</v>
      </c>
      <c r="G174" s="768">
        <f t="shared" si="21"/>
        <v>7.1440000000000001</v>
      </c>
      <c r="H174" s="19"/>
      <c r="I174" s="28">
        <v>0.04</v>
      </c>
      <c r="J174" s="238" t="s">
        <v>669</v>
      </c>
      <c r="K174" s="83" t="s">
        <v>231</v>
      </c>
      <c r="L174" s="100" t="s">
        <v>628</v>
      </c>
      <c r="M174" s="219" t="s">
        <v>885</v>
      </c>
      <c r="N174" s="205" t="s">
        <v>886</v>
      </c>
      <c r="O174" s="206">
        <v>1</v>
      </c>
      <c r="P174" s="226" t="s">
        <v>884</v>
      </c>
      <c r="Q174" s="287">
        <v>8.93</v>
      </c>
      <c r="R174" s="188">
        <v>0.2</v>
      </c>
      <c r="S174" s="62">
        <v>7.1440000000000001</v>
      </c>
      <c r="T174" s="86"/>
      <c r="U174" s="186">
        <v>0.02</v>
      </c>
      <c r="V174" s="238" t="s">
        <v>669</v>
      </c>
      <c r="W174" s="83" t="s">
        <v>231</v>
      </c>
      <c r="X174" s="100" t="s">
        <v>628</v>
      </c>
    </row>
    <row r="175" spans="1:24" s="1" customFormat="1">
      <c r="A175" s="219" t="s">
        <v>887</v>
      </c>
      <c r="B175" s="205" t="s">
        <v>888</v>
      </c>
      <c r="C175" s="206">
        <v>1</v>
      </c>
      <c r="D175" s="226" t="s">
        <v>889</v>
      </c>
      <c r="E175" s="767">
        <v>70</v>
      </c>
      <c r="F175" s="18">
        <f t="shared" si="30"/>
        <v>0.2</v>
      </c>
      <c r="G175" s="768">
        <f t="shared" si="21"/>
        <v>56</v>
      </c>
      <c r="H175" s="19"/>
      <c r="I175" s="28">
        <v>0.06</v>
      </c>
      <c r="J175" s="238" t="s">
        <v>669</v>
      </c>
      <c r="K175" s="83" t="s">
        <v>231</v>
      </c>
      <c r="L175" s="100" t="s">
        <v>628</v>
      </c>
      <c r="M175" s="219" t="s">
        <v>887</v>
      </c>
      <c r="N175" s="205" t="s">
        <v>888</v>
      </c>
      <c r="O175" s="206">
        <v>1</v>
      </c>
      <c r="P175" s="226" t="s">
        <v>889</v>
      </c>
      <c r="Q175" s="287">
        <v>70</v>
      </c>
      <c r="R175" s="188">
        <v>0.2</v>
      </c>
      <c r="S175" s="62">
        <v>56</v>
      </c>
      <c r="T175" s="86"/>
      <c r="U175" s="186">
        <v>0.02</v>
      </c>
      <c r="V175" s="238" t="s">
        <v>669</v>
      </c>
      <c r="W175" s="83" t="s">
        <v>231</v>
      </c>
      <c r="X175" s="100" t="s">
        <v>628</v>
      </c>
    </row>
    <row r="176" spans="1:24" s="1" customFormat="1">
      <c r="A176" s="219" t="s">
        <v>890</v>
      </c>
      <c r="B176" s="205" t="s">
        <v>891</v>
      </c>
      <c r="C176" s="206">
        <v>1</v>
      </c>
      <c r="D176" s="226" t="s">
        <v>889</v>
      </c>
      <c r="E176" s="767">
        <v>20.84</v>
      </c>
      <c r="F176" s="18">
        <f t="shared" si="30"/>
        <v>0.2</v>
      </c>
      <c r="G176" s="768">
        <f t="shared" si="21"/>
        <v>16.672000000000001</v>
      </c>
      <c r="H176" s="19"/>
      <c r="I176" s="28">
        <v>0.04</v>
      </c>
      <c r="J176" s="238" t="s">
        <v>669</v>
      </c>
      <c r="K176" s="83" t="s">
        <v>231</v>
      </c>
      <c r="L176" s="100" t="s">
        <v>628</v>
      </c>
      <c r="M176" s="219" t="s">
        <v>890</v>
      </c>
      <c r="N176" s="205" t="s">
        <v>891</v>
      </c>
      <c r="O176" s="206">
        <v>1</v>
      </c>
      <c r="P176" s="226" t="s">
        <v>889</v>
      </c>
      <c r="Q176" s="287">
        <v>20.84</v>
      </c>
      <c r="R176" s="188">
        <v>0.2</v>
      </c>
      <c r="S176" s="62">
        <v>16.672000000000001</v>
      </c>
      <c r="T176" s="86"/>
      <c r="U176" s="186">
        <v>0.02</v>
      </c>
      <c r="V176" s="238" t="s">
        <v>669</v>
      </c>
      <c r="W176" s="83" t="s">
        <v>231</v>
      </c>
      <c r="X176" s="100" t="s">
        <v>628</v>
      </c>
    </row>
    <row r="177" spans="1:24" s="1" customFormat="1">
      <c r="A177" s="219" t="s">
        <v>892</v>
      </c>
      <c r="B177" s="205" t="s">
        <v>893</v>
      </c>
      <c r="C177" s="206">
        <v>1</v>
      </c>
      <c r="D177" s="226" t="s">
        <v>889</v>
      </c>
      <c r="E177" s="767">
        <v>30.83</v>
      </c>
      <c r="F177" s="18">
        <f t="shared" si="30"/>
        <v>0.2</v>
      </c>
      <c r="G177" s="768">
        <f t="shared" si="21"/>
        <v>24.663999999999998</v>
      </c>
      <c r="H177" s="19"/>
      <c r="I177" s="28">
        <v>0.04</v>
      </c>
      <c r="J177" s="238" t="s">
        <v>669</v>
      </c>
      <c r="K177" s="83" t="s">
        <v>231</v>
      </c>
      <c r="L177" s="100" t="s">
        <v>628</v>
      </c>
      <c r="M177" s="219" t="s">
        <v>892</v>
      </c>
      <c r="N177" s="205" t="s">
        <v>893</v>
      </c>
      <c r="O177" s="206">
        <v>1</v>
      </c>
      <c r="P177" s="226" t="s">
        <v>889</v>
      </c>
      <c r="Q177" s="287">
        <v>30.83</v>
      </c>
      <c r="R177" s="188">
        <v>0.2</v>
      </c>
      <c r="S177" s="62">
        <v>24.663999999999998</v>
      </c>
      <c r="T177" s="86"/>
      <c r="U177" s="186">
        <v>0.02</v>
      </c>
      <c r="V177" s="238" t="s">
        <v>669</v>
      </c>
      <c r="W177" s="83" t="s">
        <v>231</v>
      </c>
      <c r="X177" s="100" t="s">
        <v>628</v>
      </c>
    </row>
    <row r="178" spans="1:24" s="1" customFormat="1">
      <c r="A178" s="219" t="s">
        <v>894</v>
      </c>
      <c r="B178" s="205" t="s">
        <v>895</v>
      </c>
      <c r="C178" s="206">
        <v>1</v>
      </c>
      <c r="D178" s="226" t="s">
        <v>889</v>
      </c>
      <c r="E178" s="767">
        <v>30.83</v>
      </c>
      <c r="F178" s="18">
        <f t="shared" si="30"/>
        <v>0.2</v>
      </c>
      <c r="G178" s="768">
        <f t="shared" si="21"/>
        <v>24.663999999999998</v>
      </c>
      <c r="H178" s="19"/>
      <c r="I178" s="28">
        <v>0.04</v>
      </c>
      <c r="J178" s="238" t="s">
        <v>669</v>
      </c>
      <c r="K178" s="83" t="s">
        <v>231</v>
      </c>
      <c r="L178" s="100" t="s">
        <v>628</v>
      </c>
      <c r="M178" s="219" t="s">
        <v>894</v>
      </c>
      <c r="N178" s="205" t="s">
        <v>895</v>
      </c>
      <c r="O178" s="206">
        <v>1</v>
      </c>
      <c r="P178" s="226" t="s">
        <v>889</v>
      </c>
      <c r="Q178" s="287">
        <v>30.83</v>
      </c>
      <c r="R178" s="188">
        <v>0.2</v>
      </c>
      <c r="S178" s="62">
        <v>24.663999999999998</v>
      </c>
      <c r="T178" s="86"/>
      <c r="U178" s="186">
        <v>0.02</v>
      </c>
      <c r="V178" s="238" t="s">
        <v>669</v>
      </c>
      <c r="W178" s="83" t="s">
        <v>231</v>
      </c>
      <c r="X178" s="100" t="s">
        <v>628</v>
      </c>
    </row>
    <row r="179" spans="1:24" s="1" customFormat="1">
      <c r="A179" s="219" t="s">
        <v>2363</v>
      </c>
      <c r="B179" s="205" t="s">
        <v>897</v>
      </c>
      <c r="C179" s="206">
        <v>1</v>
      </c>
      <c r="D179" s="226" t="s">
        <v>889</v>
      </c>
      <c r="E179" s="767">
        <v>89.99</v>
      </c>
      <c r="F179" s="18">
        <f t="shared" si="30"/>
        <v>0.2</v>
      </c>
      <c r="G179" s="768">
        <f t="shared" ref="G179" si="31">E179-(E179*F179)</f>
        <v>71.99199999999999</v>
      </c>
      <c r="H179" s="19"/>
      <c r="I179" s="28">
        <v>0.06</v>
      </c>
      <c r="J179" s="238" t="s">
        <v>669</v>
      </c>
      <c r="K179" s="83" t="s">
        <v>231</v>
      </c>
      <c r="L179" s="100" t="s">
        <v>628</v>
      </c>
      <c r="M179" s="219" t="s">
        <v>2363</v>
      </c>
      <c r="N179" s="205" t="s">
        <v>897</v>
      </c>
      <c r="O179" s="206">
        <v>1</v>
      </c>
      <c r="P179" s="226" t="s">
        <v>889</v>
      </c>
      <c r="Q179" s="287">
        <v>89.99</v>
      </c>
      <c r="R179" s="188">
        <v>0.2</v>
      </c>
      <c r="S179" s="62">
        <v>71.99199999999999</v>
      </c>
      <c r="T179" s="86"/>
      <c r="U179" s="186">
        <v>0.05</v>
      </c>
      <c r="V179" s="238" t="s">
        <v>669</v>
      </c>
      <c r="W179" s="83" t="s">
        <v>231</v>
      </c>
      <c r="X179" s="100" t="s">
        <v>628</v>
      </c>
    </row>
    <row r="180" spans="1:24" s="1" customFormat="1">
      <c r="A180" s="219" t="s">
        <v>898</v>
      </c>
      <c r="B180" s="205" t="s">
        <v>899</v>
      </c>
      <c r="C180" s="206">
        <v>1</v>
      </c>
      <c r="D180" s="226" t="s">
        <v>889</v>
      </c>
      <c r="E180" s="767">
        <v>49.99</v>
      </c>
      <c r="F180" s="18">
        <f t="shared" si="30"/>
        <v>0.2</v>
      </c>
      <c r="G180" s="768">
        <f t="shared" si="21"/>
        <v>39.992000000000004</v>
      </c>
      <c r="H180" s="19"/>
      <c r="I180" s="28">
        <v>0.04</v>
      </c>
      <c r="J180" s="238" t="s">
        <v>669</v>
      </c>
      <c r="K180" s="83" t="s">
        <v>231</v>
      </c>
      <c r="L180" s="100" t="s">
        <v>628</v>
      </c>
      <c r="M180" s="219" t="s">
        <v>898</v>
      </c>
      <c r="N180" s="205" t="s">
        <v>899</v>
      </c>
      <c r="O180" s="206">
        <v>1</v>
      </c>
      <c r="P180" s="226" t="s">
        <v>889</v>
      </c>
      <c r="Q180" s="287">
        <v>49.99</v>
      </c>
      <c r="R180" s="188">
        <v>0.2</v>
      </c>
      <c r="S180" s="62">
        <v>39.992000000000004</v>
      </c>
      <c r="T180" s="86"/>
      <c r="U180" s="186">
        <v>0.02</v>
      </c>
      <c r="V180" s="238" t="s">
        <v>669</v>
      </c>
      <c r="W180" s="83" t="s">
        <v>231</v>
      </c>
      <c r="X180" s="100" t="s">
        <v>628</v>
      </c>
    </row>
    <row r="181" spans="1:24" s="1" customFormat="1">
      <c r="A181" s="219" t="s">
        <v>900</v>
      </c>
      <c r="B181" s="205" t="s">
        <v>901</v>
      </c>
      <c r="C181" s="206">
        <v>1</v>
      </c>
      <c r="D181" s="226" t="s">
        <v>889</v>
      </c>
      <c r="E181" s="767">
        <v>49.99</v>
      </c>
      <c r="F181" s="18">
        <f t="shared" si="30"/>
        <v>0.2</v>
      </c>
      <c r="G181" s="768">
        <f t="shared" si="21"/>
        <v>39.992000000000004</v>
      </c>
      <c r="H181" s="19"/>
      <c r="I181" s="28">
        <v>0.02</v>
      </c>
      <c r="J181" s="238" t="s">
        <v>669</v>
      </c>
      <c r="K181" s="83" t="s">
        <v>231</v>
      </c>
      <c r="L181" s="100" t="s">
        <v>628</v>
      </c>
      <c r="M181" s="219" t="s">
        <v>900</v>
      </c>
      <c r="N181" s="205" t="s">
        <v>901</v>
      </c>
      <c r="O181" s="206">
        <v>1</v>
      </c>
      <c r="P181" s="226" t="s">
        <v>889</v>
      </c>
      <c r="Q181" s="287">
        <v>49.99</v>
      </c>
      <c r="R181" s="188">
        <v>0.2</v>
      </c>
      <c r="S181" s="62">
        <v>39.992000000000004</v>
      </c>
      <c r="T181" s="86"/>
      <c r="U181" s="186">
        <v>0.02</v>
      </c>
      <c r="V181" s="238" t="s">
        <v>669</v>
      </c>
      <c r="W181" s="83" t="s">
        <v>231</v>
      </c>
      <c r="X181" s="100" t="s">
        <v>628</v>
      </c>
    </row>
    <row r="182" spans="1:24" s="1" customFormat="1">
      <c r="A182" s="219" t="s">
        <v>902</v>
      </c>
      <c r="B182" s="205" t="s">
        <v>903</v>
      </c>
      <c r="C182" s="206">
        <v>1</v>
      </c>
      <c r="D182" s="226" t="s">
        <v>889</v>
      </c>
      <c r="E182" s="767">
        <v>35.83</v>
      </c>
      <c r="F182" s="18">
        <f>rv_10</f>
        <v>0.1</v>
      </c>
      <c r="G182" s="768">
        <f t="shared" si="21"/>
        <v>32.247</v>
      </c>
      <c r="H182" s="19"/>
      <c r="I182" s="28">
        <v>0.04</v>
      </c>
      <c r="J182" s="238" t="s">
        <v>669</v>
      </c>
      <c r="K182" s="83" t="s">
        <v>231</v>
      </c>
      <c r="L182" s="100" t="s">
        <v>628</v>
      </c>
      <c r="M182" s="219" t="s">
        <v>902</v>
      </c>
      <c r="N182" s="205" t="s">
        <v>903</v>
      </c>
      <c r="O182" s="206">
        <v>1</v>
      </c>
      <c r="P182" s="226" t="s">
        <v>889</v>
      </c>
      <c r="Q182" s="287">
        <v>35.83</v>
      </c>
      <c r="R182" s="188">
        <v>0.1</v>
      </c>
      <c r="S182" s="62">
        <v>32.247</v>
      </c>
      <c r="T182" s="86"/>
      <c r="U182" s="186">
        <v>0.02</v>
      </c>
      <c r="V182" s="238" t="s">
        <v>669</v>
      </c>
      <c r="W182" s="83" t="s">
        <v>231</v>
      </c>
      <c r="X182" s="100" t="s">
        <v>628</v>
      </c>
    </row>
    <row r="183" spans="1:24" s="1" customFormat="1">
      <c r="A183" s="219" t="s">
        <v>904</v>
      </c>
      <c r="B183" s="205" t="s">
        <v>905</v>
      </c>
      <c r="C183" s="206">
        <v>1</v>
      </c>
      <c r="D183" s="226" t="s">
        <v>889</v>
      </c>
      <c r="E183" s="767">
        <v>35.83</v>
      </c>
      <c r="F183" s="18">
        <f>rv_10</f>
        <v>0.1</v>
      </c>
      <c r="G183" s="768">
        <f t="shared" si="21"/>
        <v>32.247</v>
      </c>
      <c r="H183" s="19"/>
      <c r="I183" s="28">
        <v>0.04</v>
      </c>
      <c r="J183" s="238" t="s">
        <v>669</v>
      </c>
      <c r="K183" s="83" t="s">
        <v>231</v>
      </c>
      <c r="L183" s="100" t="s">
        <v>628</v>
      </c>
      <c r="M183" s="219" t="s">
        <v>904</v>
      </c>
      <c r="N183" s="205" t="s">
        <v>905</v>
      </c>
      <c r="O183" s="206">
        <v>1</v>
      </c>
      <c r="P183" s="226" t="s">
        <v>889</v>
      </c>
      <c r="Q183" s="287">
        <v>35.83</v>
      </c>
      <c r="R183" s="188">
        <v>0.1</v>
      </c>
      <c r="S183" s="62">
        <v>32.247</v>
      </c>
      <c r="T183" s="86"/>
      <c r="U183" s="186">
        <v>0.02</v>
      </c>
      <c r="V183" s="238" t="s">
        <v>669</v>
      </c>
      <c r="W183" s="83" t="s">
        <v>231</v>
      </c>
      <c r="X183" s="100" t="s">
        <v>628</v>
      </c>
    </row>
    <row r="184" spans="1:24" s="1" customFormat="1">
      <c r="A184" s="219" t="s">
        <v>906</v>
      </c>
      <c r="B184" s="205" t="s">
        <v>907</v>
      </c>
      <c r="C184" s="206">
        <v>1</v>
      </c>
      <c r="D184" s="226" t="s">
        <v>908</v>
      </c>
      <c r="E184" s="767">
        <v>49.99</v>
      </c>
      <c r="F184" s="18">
        <f>rv_20</f>
        <v>0.2</v>
      </c>
      <c r="G184" s="768">
        <f t="shared" ref="G184:G201" si="32">E184-(E184*F184)</f>
        <v>39.992000000000004</v>
      </c>
      <c r="H184" s="19"/>
      <c r="I184" s="28">
        <v>0.06</v>
      </c>
      <c r="J184" s="238" t="s">
        <v>669</v>
      </c>
      <c r="K184" s="83" t="s">
        <v>231</v>
      </c>
      <c r="L184" s="100" t="s">
        <v>628</v>
      </c>
      <c r="M184" s="219" t="s">
        <v>906</v>
      </c>
      <c r="N184" s="205" t="s">
        <v>907</v>
      </c>
      <c r="O184" s="206">
        <v>1</v>
      </c>
      <c r="P184" s="226" t="s">
        <v>908</v>
      </c>
      <c r="Q184" s="287">
        <v>49.99</v>
      </c>
      <c r="R184" s="188">
        <v>0.2</v>
      </c>
      <c r="S184" s="62">
        <v>39.992000000000004</v>
      </c>
      <c r="T184" s="86"/>
      <c r="U184" s="186">
        <v>0.05</v>
      </c>
      <c r="V184" s="238" t="s">
        <v>669</v>
      </c>
      <c r="W184" s="83" t="s">
        <v>231</v>
      </c>
      <c r="X184" s="100" t="s">
        <v>628</v>
      </c>
    </row>
    <row r="185" spans="1:24" s="1" customFormat="1">
      <c r="A185" s="219" t="s">
        <v>909</v>
      </c>
      <c r="B185" s="205" t="s">
        <v>910</v>
      </c>
      <c r="C185" s="206">
        <v>1</v>
      </c>
      <c r="D185" s="226" t="s">
        <v>911</v>
      </c>
      <c r="E185" s="767">
        <v>49.99</v>
      </c>
      <c r="F185" s="18">
        <f>rv_10</f>
        <v>0.1</v>
      </c>
      <c r="G185" s="768">
        <f t="shared" si="32"/>
        <v>44.991</v>
      </c>
      <c r="H185" s="19"/>
      <c r="I185" s="28">
        <v>0.06</v>
      </c>
      <c r="J185" s="238" t="s">
        <v>669</v>
      </c>
      <c r="K185" s="83" t="s">
        <v>231</v>
      </c>
      <c r="L185" s="100" t="s">
        <v>628</v>
      </c>
      <c r="M185" s="219" t="s">
        <v>909</v>
      </c>
      <c r="N185" s="205" t="s">
        <v>910</v>
      </c>
      <c r="O185" s="206">
        <v>1</v>
      </c>
      <c r="P185" s="226" t="s">
        <v>911</v>
      </c>
      <c r="Q185" s="287">
        <v>49.99</v>
      </c>
      <c r="R185" s="188">
        <v>0.1</v>
      </c>
      <c r="S185" s="62">
        <v>44.991</v>
      </c>
      <c r="T185" s="86"/>
      <c r="U185" s="186">
        <v>0.05</v>
      </c>
      <c r="V185" s="238" t="s">
        <v>669</v>
      </c>
      <c r="W185" s="83" t="s">
        <v>231</v>
      </c>
      <c r="X185" s="100" t="s">
        <v>628</v>
      </c>
    </row>
    <row r="186" spans="1:24" s="1" customFormat="1">
      <c r="A186" s="219" t="s">
        <v>912</v>
      </c>
      <c r="B186" s="205" t="s">
        <v>913</v>
      </c>
      <c r="C186" s="206">
        <v>1</v>
      </c>
      <c r="D186" s="226" t="s">
        <v>822</v>
      </c>
      <c r="E186" s="767">
        <v>42.34</v>
      </c>
      <c r="F186" s="18">
        <f>rv_20</f>
        <v>0.2</v>
      </c>
      <c r="G186" s="768">
        <f t="shared" si="32"/>
        <v>33.872</v>
      </c>
      <c r="H186" s="19"/>
      <c r="I186" s="28">
        <v>0.04</v>
      </c>
      <c r="J186" s="238" t="s">
        <v>669</v>
      </c>
      <c r="K186" s="83" t="s">
        <v>231</v>
      </c>
      <c r="L186" s="100" t="s">
        <v>628</v>
      </c>
      <c r="M186" s="219" t="s">
        <v>912</v>
      </c>
      <c r="N186" s="205" t="s">
        <v>913</v>
      </c>
      <c r="O186" s="206">
        <v>1</v>
      </c>
      <c r="P186" s="226" t="s">
        <v>822</v>
      </c>
      <c r="Q186" s="287">
        <v>42.34</v>
      </c>
      <c r="R186" s="188">
        <v>0.2</v>
      </c>
      <c r="S186" s="62">
        <v>33.872</v>
      </c>
      <c r="T186" s="86"/>
      <c r="U186" s="186">
        <v>0.02</v>
      </c>
      <c r="V186" s="238" t="s">
        <v>669</v>
      </c>
      <c r="W186" s="83" t="s">
        <v>231</v>
      </c>
      <c r="X186" s="100" t="s">
        <v>628</v>
      </c>
    </row>
    <row r="187" spans="1:24" s="1" customFormat="1">
      <c r="A187" s="219" t="s">
        <v>914</v>
      </c>
      <c r="B187" s="205" t="s">
        <v>915</v>
      </c>
      <c r="C187" s="206">
        <v>1</v>
      </c>
      <c r="D187" s="226" t="s">
        <v>822</v>
      </c>
      <c r="E187" s="767">
        <v>144.02000000000001</v>
      </c>
      <c r="F187" s="18">
        <f>rv_10</f>
        <v>0.1</v>
      </c>
      <c r="G187" s="768">
        <f t="shared" si="32"/>
        <v>129.61799999999999</v>
      </c>
      <c r="H187" s="19"/>
      <c r="I187" s="28">
        <v>0.04</v>
      </c>
      <c r="J187" s="238" t="s">
        <v>669</v>
      </c>
      <c r="K187" s="83" t="s">
        <v>231</v>
      </c>
      <c r="L187" s="100" t="s">
        <v>628</v>
      </c>
      <c r="M187" s="219" t="s">
        <v>914</v>
      </c>
      <c r="N187" s="205" t="s">
        <v>915</v>
      </c>
      <c r="O187" s="206">
        <v>1</v>
      </c>
      <c r="P187" s="226" t="s">
        <v>822</v>
      </c>
      <c r="Q187" s="287">
        <v>144.02000000000001</v>
      </c>
      <c r="R187" s="188">
        <v>0.1</v>
      </c>
      <c r="S187" s="62">
        <v>129.61799999999999</v>
      </c>
      <c r="T187" s="86"/>
      <c r="U187" s="186">
        <v>0.2</v>
      </c>
      <c r="V187" s="238" t="s">
        <v>669</v>
      </c>
      <c r="W187" s="83" t="s">
        <v>231</v>
      </c>
      <c r="X187" s="100" t="s">
        <v>628</v>
      </c>
    </row>
    <row r="188" spans="1:24" s="1" customFormat="1">
      <c r="A188" s="219" t="s">
        <v>916</v>
      </c>
      <c r="B188" s="205" t="s">
        <v>917</v>
      </c>
      <c r="C188" s="206">
        <v>1</v>
      </c>
      <c r="D188" s="226" t="s">
        <v>863</v>
      </c>
      <c r="E188" s="767">
        <v>76.290000000000006</v>
      </c>
      <c r="F188" s="18">
        <f>rv_20</f>
        <v>0.2</v>
      </c>
      <c r="G188" s="768">
        <f t="shared" si="32"/>
        <v>61.032000000000004</v>
      </c>
      <c r="H188" s="19"/>
      <c r="I188" s="28">
        <v>0.04</v>
      </c>
      <c r="J188" s="238" t="s">
        <v>669</v>
      </c>
      <c r="K188" s="83" t="s">
        <v>231</v>
      </c>
      <c r="L188" s="100" t="s">
        <v>628</v>
      </c>
      <c r="M188" s="219" t="s">
        <v>916</v>
      </c>
      <c r="N188" s="205" t="s">
        <v>917</v>
      </c>
      <c r="O188" s="206">
        <v>1</v>
      </c>
      <c r="P188" s="226" t="s">
        <v>863</v>
      </c>
      <c r="Q188" s="287">
        <v>76.290000000000006</v>
      </c>
      <c r="R188" s="188">
        <v>0.2</v>
      </c>
      <c r="S188" s="62">
        <v>61.032000000000004</v>
      </c>
      <c r="T188" s="86"/>
      <c r="U188" s="186">
        <v>0.05</v>
      </c>
      <c r="V188" s="238" t="s">
        <v>669</v>
      </c>
      <c r="W188" s="83" t="s">
        <v>231</v>
      </c>
      <c r="X188" s="100" t="s">
        <v>628</v>
      </c>
    </row>
    <row r="189" spans="1:24" s="1" customFormat="1">
      <c r="A189" s="199">
        <v>900078</v>
      </c>
      <c r="B189" s="205" t="s">
        <v>919</v>
      </c>
      <c r="C189" s="198">
        <v>1</v>
      </c>
      <c r="D189" s="227" t="s">
        <v>920</v>
      </c>
      <c r="E189" s="767">
        <v>36.33</v>
      </c>
      <c r="F189" s="18">
        <f>rv_20</f>
        <v>0.2</v>
      </c>
      <c r="G189" s="768">
        <f t="shared" si="32"/>
        <v>29.064</v>
      </c>
      <c r="H189" s="19"/>
      <c r="I189" s="28">
        <v>0.04</v>
      </c>
      <c r="J189" s="238" t="s">
        <v>669</v>
      </c>
      <c r="K189" s="83" t="s">
        <v>231</v>
      </c>
      <c r="L189" s="100" t="s">
        <v>628</v>
      </c>
      <c r="M189" s="219" t="s">
        <v>918</v>
      </c>
      <c r="N189" s="205" t="s">
        <v>919</v>
      </c>
      <c r="O189" s="198">
        <v>1</v>
      </c>
      <c r="P189" s="227" t="s">
        <v>920</v>
      </c>
      <c r="Q189" s="287">
        <v>36.33</v>
      </c>
      <c r="R189" s="188">
        <v>0.2</v>
      </c>
      <c r="S189" s="62">
        <v>29.064</v>
      </c>
      <c r="T189" s="86"/>
      <c r="U189" s="186">
        <v>0.02</v>
      </c>
      <c r="V189" s="238" t="s">
        <v>669</v>
      </c>
      <c r="W189" s="83" t="s">
        <v>231</v>
      </c>
      <c r="X189" s="100" t="s">
        <v>628</v>
      </c>
    </row>
    <row r="190" spans="1:24" s="1" customFormat="1">
      <c r="A190" s="219" t="s">
        <v>921</v>
      </c>
      <c r="B190" s="205" t="s">
        <v>922</v>
      </c>
      <c r="C190" s="198">
        <v>1</v>
      </c>
      <c r="D190" s="227" t="s">
        <v>822</v>
      </c>
      <c r="E190" s="767">
        <v>59.99</v>
      </c>
      <c r="F190" s="18">
        <f>rv_10</f>
        <v>0.1</v>
      </c>
      <c r="G190" s="768">
        <f t="shared" si="32"/>
        <v>53.991</v>
      </c>
      <c r="H190" s="19"/>
      <c r="I190" s="28">
        <v>0.04</v>
      </c>
      <c r="J190" s="238" t="s">
        <v>669</v>
      </c>
      <c r="K190" s="83" t="s">
        <v>231</v>
      </c>
      <c r="L190" s="100" t="s">
        <v>628</v>
      </c>
      <c r="M190" s="219" t="s">
        <v>921</v>
      </c>
      <c r="N190" s="205" t="s">
        <v>922</v>
      </c>
      <c r="O190" s="198">
        <v>1</v>
      </c>
      <c r="P190" s="227" t="s">
        <v>822</v>
      </c>
      <c r="Q190" s="287">
        <v>59.99</v>
      </c>
      <c r="R190" s="188">
        <v>0.1</v>
      </c>
      <c r="S190" s="62">
        <v>53.991</v>
      </c>
      <c r="T190" s="86"/>
      <c r="U190" s="186">
        <v>0.02</v>
      </c>
      <c r="V190" s="238" t="s">
        <v>669</v>
      </c>
      <c r="W190" s="83" t="s">
        <v>231</v>
      </c>
      <c r="X190" s="100" t="s">
        <v>628</v>
      </c>
    </row>
    <row r="191" spans="1:24" s="1" customFormat="1">
      <c r="A191" s="219" t="s">
        <v>923</v>
      </c>
      <c r="B191" s="205" t="s">
        <v>924</v>
      </c>
      <c r="C191" s="206">
        <v>1</v>
      </c>
      <c r="D191" s="227" t="s">
        <v>822</v>
      </c>
      <c r="E191" s="777">
        <v>149.66</v>
      </c>
      <c r="F191" s="18">
        <f>rv_10</f>
        <v>0.1</v>
      </c>
      <c r="G191" s="768">
        <f t="shared" si="32"/>
        <v>134.69399999999999</v>
      </c>
      <c r="H191" s="19"/>
      <c r="I191" s="28">
        <v>0.04</v>
      </c>
      <c r="J191" s="238" t="s">
        <v>669</v>
      </c>
      <c r="K191" s="83" t="s">
        <v>231</v>
      </c>
      <c r="L191" s="100" t="s">
        <v>628</v>
      </c>
      <c r="M191" s="219" t="s">
        <v>923</v>
      </c>
      <c r="N191" s="205" t="s">
        <v>924</v>
      </c>
      <c r="O191" s="206">
        <v>1</v>
      </c>
      <c r="P191" s="227" t="s">
        <v>822</v>
      </c>
      <c r="Q191" s="288">
        <v>149.66</v>
      </c>
      <c r="R191" s="188">
        <v>0.1</v>
      </c>
      <c r="S191" s="62">
        <v>134.69399999999999</v>
      </c>
      <c r="T191" s="86"/>
      <c r="U191" s="186">
        <v>0.1</v>
      </c>
      <c r="V191" s="238" t="s">
        <v>669</v>
      </c>
      <c r="W191" s="83" t="s">
        <v>231</v>
      </c>
      <c r="X191" s="100" t="s">
        <v>628</v>
      </c>
    </row>
    <row r="192" spans="1:24" s="1" customFormat="1">
      <c r="A192" s="219" t="s">
        <v>925</v>
      </c>
      <c r="B192" s="205" t="s">
        <v>926</v>
      </c>
      <c r="C192" s="206">
        <v>1</v>
      </c>
      <c r="D192" s="227" t="s">
        <v>822</v>
      </c>
      <c r="E192" s="777">
        <v>279</v>
      </c>
      <c r="F192" s="18">
        <f>rv_10</f>
        <v>0.1</v>
      </c>
      <c r="G192" s="768">
        <f t="shared" si="32"/>
        <v>251.1</v>
      </c>
      <c r="H192" s="19"/>
      <c r="I192" s="28">
        <v>0.05</v>
      </c>
      <c r="J192" s="238" t="s">
        <v>669</v>
      </c>
      <c r="K192" s="83" t="s">
        <v>231</v>
      </c>
      <c r="L192" s="100" t="s">
        <v>628</v>
      </c>
      <c r="M192" s="219" t="s">
        <v>925</v>
      </c>
      <c r="N192" s="205" t="s">
        <v>926</v>
      </c>
      <c r="O192" s="206">
        <v>1</v>
      </c>
      <c r="P192" s="227" t="s">
        <v>822</v>
      </c>
      <c r="Q192" s="288">
        <v>279</v>
      </c>
      <c r="R192" s="188">
        <v>0.1</v>
      </c>
      <c r="S192" s="62">
        <v>251.1</v>
      </c>
      <c r="T192" s="86"/>
      <c r="U192" s="186">
        <v>0.1</v>
      </c>
      <c r="V192" s="238" t="s">
        <v>669</v>
      </c>
      <c r="W192" s="83" t="s">
        <v>231</v>
      </c>
      <c r="X192" s="100" t="s">
        <v>628</v>
      </c>
    </row>
    <row r="193" spans="1:24" s="1" customFormat="1">
      <c r="A193" s="219" t="s">
        <v>927</v>
      </c>
      <c r="B193" s="205" t="s">
        <v>928</v>
      </c>
      <c r="C193" s="206">
        <v>1</v>
      </c>
      <c r="D193" s="226" t="s">
        <v>863</v>
      </c>
      <c r="E193" s="767">
        <v>39.81</v>
      </c>
      <c r="F193" s="18">
        <f>rv_20</f>
        <v>0.2</v>
      </c>
      <c r="G193" s="768">
        <f t="shared" ref="G193" si="33">E193-(E193*F193)</f>
        <v>31.848000000000003</v>
      </c>
      <c r="H193" s="19"/>
      <c r="I193" s="28">
        <v>0.06</v>
      </c>
      <c r="J193" s="238" t="s">
        <v>669</v>
      </c>
      <c r="K193" s="83" t="s">
        <v>231</v>
      </c>
      <c r="L193" s="100" t="s">
        <v>628</v>
      </c>
      <c r="M193" s="219" t="s">
        <v>927</v>
      </c>
      <c r="N193" s="205" t="s">
        <v>928</v>
      </c>
      <c r="O193" s="206">
        <v>1</v>
      </c>
      <c r="P193" s="226" t="s">
        <v>863</v>
      </c>
      <c r="Q193" s="287">
        <v>39.81</v>
      </c>
      <c r="R193" s="188">
        <v>0.2</v>
      </c>
      <c r="S193" s="62">
        <v>31.848000000000003</v>
      </c>
      <c r="T193" s="86"/>
      <c r="U193" s="186">
        <v>0.02</v>
      </c>
      <c r="V193" s="238" t="s">
        <v>669</v>
      </c>
      <c r="W193" s="83" t="s">
        <v>231</v>
      </c>
      <c r="X193" s="100" t="s">
        <v>628</v>
      </c>
    </row>
    <row r="194" spans="1:24" s="1" customFormat="1">
      <c r="A194" s="219" t="s">
        <v>929</v>
      </c>
      <c r="B194" s="205" t="s">
        <v>930</v>
      </c>
      <c r="C194" s="206">
        <v>1</v>
      </c>
      <c r="D194" s="226" t="s">
        <v>863</v>
      </c>
      <c r="E194" s="767">
        <v>71.37</v>
      </c>
      <c r="F194" s="18">
        <f>rv_20</f>
        <v>0.2</v>
      </c>
      <c r="G194" s="768">
        <f t="shared" ref="G194" si="34">E194-(E194*F194)</f>
        <v>57.096000000000004</v>
      </c>
      <c r="H194" s="19"/>
      <c r="I194" s="28">
        <v>0.06</v>
      </c>
      <c r="J194" s="238" t="s">
        <v>669</v>
      </c>
      <c r="K194" s="83" t="s">
        <v>231</v>
      </c>
      <c r="L194" s="100" t="s">
        <v>628</v>
      </c>
      <c r="M194" s="219" t="s">
        <v>929</v>
      </c>
      <c r="N194" s="205" t="s">
        <v>930</v>
      </c>
      <c r="O194" s="206">
        <v>1</v>
      </c>
      <c r="P194" s="226" t="s">
        <v>863</v>
      </c>
      <c r="Q194" s="287">
        <v>71.37</v>
      </c>
      <c r="R194" s="188">
        <v>0.2</v>
      </c>
      <c r="S194" s="62">
        <v>57.096000000000004</v>
      </c>
      <c r="T194" s="86"/>
      <c r="U194" s="186">
        <v>0.02</v>
      </c>
      <c r="V194" s="238" t="s">
        <v>669</v>
      </c>
      <c r="W194" s="83" t="s">
        <v>231</v>
      </c>
      <c r="X194" s="100" t="s">
        <v>628</v>
      </c>
    </row>
    <row r="195" spans="1:24" s="1" customFormat="1">
      <c r="A195" s="219" t="s">
        <v>931</v>
      </c>
      <c r="B195" s="205" t="s">
        <v>932</v>
      </c>
      <c r="C195" s="206">
        <v>1</v>
      </c>
      <c r="D195" s="226" t="s">
        <v>889</v>
      </c>
      <c r="E195" s="767">
        <v>16.66</v>
      </c>
      <c r="F195" s="18">
        <f>rv_20</f>
        <v>0.2</v>
      </c>
      <c r="G195" s="768">
        <f t="shared" si="32"/>
        <v>13.327999999999999</v>
      </c>
      <c r="H195" s="19"/>
      <c r="I195" s="28"/>
      <c r="J195" s="238" t="s">
        <v>669</v>
      </c>
      <c r="K195" s="83" t="s">
        <v>231</v>
      </c>
      <c r="L195" s="100" t="s">
        <v>628</v>
      </c>
      <c r="M195" s="219" t="s">
        <v>931</v>
      </c>
      <c r="N195" s="205" t="s">
        <v>932</v>
      </c>
      <c r="O195" s="206">
        <v>1</v>
      </c>
      <c r="P195" s="226" t="s">
        <v>889</v>
      </c>
      <c r="Q195" s="287">
        <v>16.66</v>
      </c>
      <c r="R195" s="188">
        <v>0.2</v>
      </c>
      <c r="S195" s="62">
        <v>13.327999999999999</v>
      </c>
      <c r="T195" s="86"/>
      <c r="U195" s="186"/>
      <c r="V195" s="238" t="s">
        <v>669</v>
      </c>
      <c r="W195" s="83" t="s">
        <v>231</v>
      </c>
      <c r="X195" s="100" t="s">
        <v>628</v>
      </c>
    </row>
    <row r="196" spans="1:24" s="1" customFormat="1">
      <c r="A196" s="219" t="s">
        <v>933</v>
      </c>
      <c r="B196" s="205" t="s">
        <v>934</v>
      </c>
      <c r="C196" s="206">
        <v>1</v>
      </c>
      <c r="D196" s="226" t="s">
        <v>889</v>
      </c>
      <c r="E196" s="767">
        <v>16.66</v>
      </c>
      <c r="F196" s="18">
        <f>rv_20</f>
        <v>0.2</v>
      </c>
      <c r="G196" s="768">
        <f t="shared" si="32"/>
        <v>13.327999999999999</v>
      </c>
      <c r="H196" s="19"/>
      <c r="I196" s="28"/>
      <c r="J196" s="238" t="s">
        <v>669</v>
      </c>
      <c r="K196" s="83" t="s">
        <v>231</v>
      </c>
      <c r="L196" s="100" t="s">
        <v>628</v>
      </c>
      <c r="M196" s="219" t="s">
        <v>933</v>
      </c>
      <c r="N196" s="205" t="s">
        <v>934</v>
      </c>
      <c r="O196" s="206">
        <v>1</v>
      </c>
      <c r="P196" s="226" t="s">
        <v>889</v>
      </c>
      <c r="Q196" s="287">
        <v>16.66</v>
      </c>
      <c r="R196" s="188">
        <v>0.2</v>
      </c>
      <c r="S196" s="62">
        <v>13.327999999999999</v>
      </c>
      <c r="T196" s="86"/>
      <c r="U196" s="186"/>
      <c r="V196" s="238" t="s">
        <v>669</v>
      </c>
      <c r="W196" s="83" t="s">
        <v>231</v>
      </c>
      <c r="X196" s="100" t="s">
        <v>628</v>
      </c>
    </row>
    <row r="197" spans="1:24" s="1" customFormat="1">
      <c r="A197" s="219" t="s">
        <v>935</v>
      </c>
      <c r="B197" s="205" t="s">
        <v>936</v>
      </c>
      <c r="C197" s="206">
        <v>1</v>
      </c>
      <c r="D197" s="227" t="s">
        <v>822</v>
      </c>
      <c r="E197" s="777">
        <v>18.329999999999998</v>
      </c>
      <c r="F197" s="18">
        <f>rv_10</f>
        <v>0.1</v>
      </c>
      <c r="G197" s="768">
        <f t="shared" si="32"/>
        <v>16.497</v>
      </c>
      <c r="H197" s="19"/>
      <c r="I197" s="28"/>
      <c r="J197" s="238" t="s">
        <v>669</v>
      </c>
      <c r="K197" s="83" t="s">
        <v>231</v>
      </c>
      <c r="L197" s="100" t="s">
        <v>628</v>
      </c>
      <c r="M197" s="219" t="s">
        <v>935</v>
      </c>
      <c r="N197" s="205" t="s">
        <v>936</v>
      </c>
      <c r="O197" s="206">
        <v>1</v>
      </c>
      <c r="P197" s="227" t="s">
        <v>822</v>
      </c>
      <c r="Q197" s="288">
        <v>18.329999999999998</v>
      </c>
      <c r="R197" s="188">
        <v>0.1</v>
      </c>
      <c r="S197" s="62">
        <v>16.497</v>
      </c>
      <c r="T197" s="86"/>
      <c r="U197" s="186"/>
      <c r="V197" s="238" t="s">
        <v>669</v>
      </c>
      <c r="W197" s="83" t="s">
        <v>231</v>
      </c>
      <c r="X197" s="100" t="s">
        <v>628</v>
      </c>
    </row>
    <row r="198" spans="1:24" s="1" customFormat="1">
      <c r="A198" s="219" t="s">
        <v>937</v>
      </c>
      <c r="B198" s="205" t="s">
        <v>938</v>
      </c>
      <c r="C198" s="206">
        <v>1</v>
      </c>
      <c r="D198" s="227" t="s">
        <v>822</v>
      </c>
      <c r="E198" s="777">
        <v>18.329999999999998</v>
      </c>
      <c r="F198" s="18">
        <f>rv_10</f>
        <v>0.1</v>
      </c>
      <c r="G198" s="768">
        <f t="shared" si="32"/>
        <v>16.497</v>
      </c>
      <c r="H198" s="19"/>
      <c r="I198" s="28"/>
      <c r="J198" s="238" t="s">
        <v>669</v>
      </c>
      <c r="K198" s="83" t="s">
        <v>231</v>
      </c>
      <c r="L198" s="100" t="s">
        <v>628</v>
      </c>
      <c r="M198" s="219" t="s">
        <v>937</v>
      </c>
      <c r="N198" s="205" t="s">
        <v>938</v>
      </c>
      <c r="O198" s="206">
        <v>1</v>
      </c>
      <c r="P198" s="227" t="s">
        <v>822</v>
      </c>
      <c r="Q198" s="288">
        <v>18.329999999999998</v>
      </c>
      <c r="R198" s="188">
        <v>0.1</v>
      </c>
      <c r="S198" s="62">
        <v>16.497</v>
      </c>
      <c r="T198" s="86"/>
      <c r="U198" s="186"/>
      <c r="V198" s="238" t="s">
        <v>669</v>
      </c>
      <c r="W198" s="83" t="s">
        <v>231</v>
      </c>
      <c r="X198" s="100" t="s">
        <v>628</v>
      </c>
    </row>
    <row r="199" spans="1:24" s="1" customFormat="1">
      <c r="A199" s="219" t="s">
        <v>939</v>
      </c>
      <c r="B199" s="205" t="s">
        <v>940</v>
      </c>
      <c r="C199" s="206">
        <v>1</v>
      </c>
      <c r="D199" s="227" t="s">
        <v>822</v>
      </c>
      <c r="E199" s="777">
        <v>39.159999999999997</v>
      </c>
      <c r="F199" s="18">
        <f>rv_10</f>
        <v>0.1</v>
      </c>
      <c r="G199" s="768">
        <f t="shared" si="32"/>
        <v>35.244</v>
      </c>
      <c r="H199" s="19"/>
      <c r="I199" s="28"/>
      <c r="J199" s="238" t="s">
        <v>669</v>
      </c>
      <c r="K199" s="83" t="s">
        <v>231</v>
      </c>
      <c r="L199" s="100" t="s">
        <v>628</v>
      </c>
      <c r="M199" s="219" t="s">
        <v>939</v>
      </c>
      <c r="N199" s="205" t="s">
        <v>940</v>
      </c>
      <c r="O199" s="206">
        <v>1</v>
      </c>
      <c r="P199" s="227" t="s">
        <v>822</v>
      </c>
      <c r="Q199" s="288">
        <v>39.159999999999997</v>
      </c>
      <c r="R199" s="188">
        <v>0.1</v>
      </c>
      <c r="S199" s="62">
        <v>35.244</v>
      </c>
      <c r="T199" s="86"/>
      <c r="U199" s="186"/>
      <c r="V199" s="238" t="s">
        <v>669</v>
      </c>
      <c r="W199" s="83" t="s">
        <v>231</v>
      </c>
      <c r="X199" s="100" t="s">
        <v>628</v>
      </c>
    </row>
    <row r="200" spans="1:24" s="1" customFormat="1">
      <c r="A200" s="219" t="s">
        <v>941</v>
      </c>
      <c r="B200" s="205" t="s">
        <v>942</v>
      </c>
      <c r="C200" s="206">
        <v>1</v>
      </c>
      <c r="D200" s="227" t="s">
        <v>822</v>
      </c>
      <c r="E200" s="777">
        <v>47.49</v>
      </c>
      <c r="F200" s="18">
        <f>rv_10</f>
        <v>0.1</v>
      </c>
      <c r="G200" s="768">
        <f t="shared" si="32"/>
        <v>42.741</v>
      </c>
      <c r="H200" s="19"/>
      <c r="I200" s="28"/>
      <c r="J200" s="238" t="s">
        <v>669</v>
      </c>
      <c r="K200" s="83" t="s">
        <v>231</v>
      </c>
      <c r="L200" s="100" t="s">
        <v>628</v>
      </c>
      <c r="M200" s="219" t="s">
        <v>941</v>
      </c>
      <c r="N200" s="205" t="s">
        <v>942</v>
      </c>
      <c r="O200" s="206">
        <v>1</v>
      </c>
      <c r="P200" s="227" t="s">
        <v>822</v>
      </c>
      <c r="Q200" s="288">
        <v>47.49</v>
      </c>
      <c r="R200" s="188">
        <v>0.1</v>
      </c>
      <c r="S200" s="62">
        <v>42.741</v>
      </c>
      <c r="T200" s="86"/>
      <c r="U200" s="186"/>
      <c r="V200" s="238" t="s">
        <v>669</v>
      </c>
      <c r="W200" s="83" t="s">
        <v>231</v>
      </c>
      <c r="X200" s="100" t="s">
        <v>628</v>
      </c>
    </row>
    <row r="201" spans="1:24" s="1" customFormat="1">
      <c r="A201" s="219" t="s">
        <v>943</v>
      </c>
      <c r="B201" s="205" t="s">
        <v>944</v>
      </c>
      <c r="C201" s="206">
        <v>1</v>
      </c>
      <c r="D201" s="226" t="s">
        <v>872</v>
      </c>
      <c r="E201" s="767">
        <v>20.83</v>
      </c>
      <c r="F201" s="18">
        <f>rv_20</f>
        <v>0.2</v>
      </c>
      <c r="G201" s="768">
        <f t="shared" si="32"/>
        <v>16.663999999999998</v>
      </c>
      <c r="H201" s="19"/>
      <c r="I201" s="28"/>
      <c r="J201" s="238" t="s">
        <v>669</v>
      </c>
      <c r="K201" s="83" t="s">
        <v>231</v>
      </c>
      <c r="L201" s="100" t="s">
        <v>628</v>
      </c>
      <c r="M201" s="219" t="s">
        <v>943</v>
      </c>
      <c r="N201" s="205" t="s">
        <v>944</v>
      </c>
      <c r="O201" s="206">
        <v>1</v>
      </c>
      <c r="P201" s="226" t="s">
        <v>872</v>
      </c>
      <c r="Q201" s="287">
        <v>20.83</v>
      </c>
      <c r="R201" s="188">
        <v>0.2</v>
      </c>
      <c r="S201" s="62">
        <v>16.663999999999998</v>
      </c>
      <c r="T201" s="86"/>
      <c r="U201" s="186"/>
      <c r="V201" s="238" t="s">
        <v>669</v>
      </c>
      <c r="W201" s="83" t="s">
        <v>231</v>
      </c>
      <c r="X201" s="100" t="s">
        <v>628</v>
      </c>
    </row>
    <row r="202" spans="1:24" s="70" customFormat="1">
      <c r="A202" s="466" t="s">
        <v>945</v>
      </c>
      <c r="B202" s="348" t="s">
        <v>946</v>
      </c>
      <c r="C202" s="210">
        <v>1</v>
      </c>
      <c r="D202" s="227" t="s">
        <v>863</v>
      </c>
      <c r="E202" s="777">
        <v>25.56</v>
      </c>
      <c r="F202" s="35">
        <f>rv_20</f>
        <v>0.2</v>
      </c>
      <c r="G202" s="30">
        <f t="shared" ref="G202" si="35">E202-(E202*F202)</f>
        <v>20.448</v>
      </c>
      <c r="H202" s="782"/>
      <c r="I202" s="32"/>
      <c r="J202" s="238" t="s">
        <v>669</v>
      </c>
      <c r="K202" s="574" t="s">
        <v>231</v>
      </c>
      <c r="L202" s="575" t="s">
        <v>628</v>
      </c>
      <c r="M202" s="466" t="s">
        <v>945</v>
      </c>
      <c r="N202" s="348" t="s">
        <v>946</v>
      </c>
      <c r="O202" s="210">
        <v>1</v>
      </c>
      <c r="P202" s="227" t="s">
        <v>863</v>
      </c>
      <c r="Q202" s="288">
        <v>25.56</v>
      </c>
      <c r="R202" s="208">
        <v>0.2</v>
      </c>
      <c r="S202" s="91">
        <v>20.448</v>
      </c>
      <c r="T202" s="211"/>
      <c r="U202" s="204"/>
      <c r="V202" s="238" t="s">
        <v>669</v>
      </c>
      <c r="W202" s="574" t="s">
        <v>231</v>
      </c>
      <c r="X202" s="575" t="s">
        <v>628</v>
      </c>
    </row>
    <row r="203" spans="1:24" s="1" customFormat="1">
      <c r="A203" s="466" t="s">
        <v>947</v>
      </c>
      <c r="B203" s="348" t="s">
        <v>948</v>
      </c>
      <c r="C203" s="210">
        <v>1</v>
      </c>
      <c r="D203" s="227" t="s">
        <v>863</v>
      </c>
      <c r="E203" s="777">
        <v>32.76</v>
      </c>
      <c r="F203" s="35">
        <f>rv_20</f>
        <v>0.2</v>
      </c>
      <c r="G203" s="30">
        <f>E203-(E203*F203)</f>
        <v>26.207999999999998</v>
      </c>
      <c r="H203" s="782"/>
      <c r="I203" s="32"/>
      <c r="J203" s="238" t="s">
        <v>669</v>
      </c>
      <c r="K203" s="574" t="s">
        <v>231</v>
      </c>
      <c r="L203" s="575" t="s">
        <v>628</v>
      </c>
      <c r="M203" s="466" t="s">
        <v>947</v>
      </c>
      <c r="N203" s="348" t="s">
        <v>948</v>
      </c>
      <c r="O203" s="210">
        <v>1</v>
      </c>
      <c r="P203" s="227" t="s">
        <v>863</v>
      </c>
      <c r="Q203" s="288">
        <v>32.76</v>
      </c>
      <c r="R203" s="208">
        <v>0.2</v>
      </c>
      <c r="S203" s="91">
        <v>26.207999999999998</v>
      </c>
      <c r="T203" s="211"/>
      <c r="U203" s="204"/>
      <c r="V203" s="238" t="s">
        <v>669</v>
      </c>
      <c r="W203" s="574" t="s">
        <v>231</v>
      </c>
      <c r="X203" s="575" t="s">
        <v>628</v>
      </c>
    </row>
    <row r="204" spans="1:24" s="1" customFormat="1" ht="13.5" thickBot="1">
      <c r="A204" s="466" t="s">
        <v>2898</v>
      </c>
      <c r="B204" s="348" t="s">
        <v>2899</v>
      </c>
      <c r="C204" s="210">
        <v>1</v>
      </c>
      <c r="D204" s="227" t="s">
        <v>2888</v>
      </c>
      <c r="E204" s="777">
        <v>24.99</v>
      </c>
      <c r="F204" s="35">
        <f>rv_20</f>
        <v>0.2</v>
      </c>
      <c r="G204" s="30">
        <f>E204-(E204*F204)</f>
        <v>19.991999999999997</v>
      </c>
      <c r="H204" s="782"/>
      <c r="I204" s="32"/>
      <c r="J204" s="238" t="s">
        <v>669</v>
      </c>
      <c r="K204" s="574" t="s">
        <v>231</v>
      </c>
      <c r="L204" s="575" t="s">
        <v>628</v>
      </c>
      <c r="M204" s="466" t="s">
        <v>2898</v>
      </c>
      <c r="N204" s="348" t="s">
        <v>2899</v>
      </c>
      <c r="O204" s="210">
        <v>1</v>
      </c>
      <c r="P204" s="227" t="s">
        <v>2888</v>
      </c>
      <c r="Q204" s="288">
        <v>24.99</v>
      </c>
      <c r="R204" s="208">
        <v>0.2</v>
      </c>
      <c r="S204" s="91">
        <v>19.991999999999997</v>
      </c>
      <c r="T204" s="211"/>
      <c r="U204" s="204"/>
      <c r="V204" s="238" t="s">
        <v>669</v>
      </c>
      <c r="W204" s="574" t="s">
        <v>231</v>
      </c>
      <c r="X204" s="575" t="s">
        <v>628</v>
      </c>
    </row>
    <row r="205" spans="1:24" s="1" customFormat="1" ht="25" customHeight="1" thickBot="1">
      <c r="A205" s="468" t="s">
        <v>949</v>
      </c>
      <c r="B205" s="340" t="s">
        <v>950</v>
      </c>
      <c r="C205" s="629"/>
      <c r="D205" s="629"/>
      <c r="E205" s="630"/>
      <c r="F205" s="631"/>
      <c r="G205" s="630"/>
      <c r="H205" s="630"/>
      <c r="I205" s="630"/>
      <c r="J205" s="459"/>
      <c r="K205" s="341"/>
      <c r="L205" s="341"/>
      <c r="M205" s="468" t="s">
        <v>949</v>
      </c>
      <c r="N205" s="340" t="s">
        <v>950</v>
      </c>
      <c r="O205" s="629"/>
      <c r="P205" s="629"/>
      <c r="Q205" s="630"/>
      <c r="R205" s="631"/>
      <c r="S205" s="630"/>
      <c r="T205" s="630"/>
      <c r="U205" s="630"/>
      <c r="V205" s="459"/>
      <c r="W205" s="341"/>
      <c r="X205" s="341"/>
    </row>
    <row r="206" spans="1:24" s="1" customFormat="1">
      <c r="A206" s="219"/>
      <c r="B206" s="205"/>
      <c r="C206" s="206"/>
      <c r="D206" s="226"/>
      <c r="E206" s="288"/>
      <c r="F206" s="188"/>
      <c r="G206" s="91"/>
      <c r="H206" s="86"/>
      <c r="I206" s="186"/>
      <c r="J206" s="238"/>
      <c r="K206" s="83"/>
      <c r="L206" s="100"/>
      <c r="M206" s="711" t="s">
        <v>951</v>
      </c>
      <c r="N206" s="712" t="s">
        <v>952</v>
      </c>
      <c r="O206" s="713">
        <v>1</v>
      </c>
      <c r="P206" s="736" t="s">
        <v>126</v>
      </c>
      <c r="Q206" s="715">
        <v>20.81</v>
      </c>
      <c r="R206" s="716">
        <v>0.15</v>
      </c>
      <c r="S206" s="749">
        <v>17.688499999999998</v>
      </c>
      <c r="T206" s="718"/>
      <c r="U206" s="719">
        <v>0.02</v>
      </c>
      <c r="V206" s="238" t="s">
        <v>669</v>
      </c>
      <c r="W206" s="83" t="s">
        <v>231</v>
      </c>
      <c r="X206" s="100" t="s">
        <v>628</v>
      </c>
    </row>
    <row r="207" spans="1:24" s="1" customFormat="1">
      <c r="A207" s="219" t="s">
        <v>953</v>
      </c>
      <c r="B207" s="205" t="s">
        <v>954</v>
      </c>
      <c r="C207" s="206">
        <v>1</v>
      </c>
      <c r="D207" s="226" t="s">
        <v>126</v>
      </c>
      <c r="E207" s="777">
        <v>20.79</v>
      </c>
      <c r="F207" s="18">
        <f>rv_apple_acc_ipad</f>
        <v>0.15</v>
      </c>
      <c r="G207" s="30">
        <f t="shared" ref="G207:G212" si="36">E207-(E207*F207)</f>
        <v>17.671499999999998</v>
      </c>
      <c r="H207" s="19"/>
      <c r="I207" s="28">
        <v>0.04</v>
      </c>
      <c r="J207" s="238" t="s">
        <v>669</v>
      </c>
      <c r="K207" s="83" t="s">
        <v>231</v>
      </c>
      <c r="L207" s="100" t="s">
        <v>628</v>
      </c>
      <c r="M207" s="219" t="s">
        <v>953</v>
      </c>
      <c r="N207" s="205" t="s">
        <v>954</v>
      </c>
      <c r="O207" s="206">
        <v>1</v>
      </c>
      <c r="P207" s="226" t="s">
        <v>126</v>
      </c>
      <c r="Q207" s="288">
        <v>20.81</v>
      </c>
      <c r="R207" s="188">
        <v>0.15</v>
      </c>
      <c r="S207" s="91">
        <v>17.688499999999998</v>
      </c>
      <c r="T207" s="86"/>
      <c r="U207" s="186">
        <v>0.02</v>
      </c>
      <c r="V207" s="238" t="s">
        <v>669</v>
      </c>
      <c r="W207" s="83" t="s">
        <v>231</v>
      </c>
      <c r="X207" s="100" t="s">
        <v>628</v>
      </c>
    </row>
    <row r="208" spans="1:24" s="1" customFormat="1">
      <c r="A208" s="219" t="s">
        <v>955</v>
      </c>
      <c r="B208" s="205" t="s">
        <v>956</v>
      </c>
      <c r="C208" s="206">
        <v>1</v>
      </c>
      <c r="D208" s="226" t="s">
        <v>126</v>
      </c>
      <c r="E208" s="777">
        <v>37.46</v>
      </c>
      <c r="F208" s="18">
        <f t="shared" ref="F208:F209" si="37">rv_apple_acc_mac</f>
        <v>0.09</v>
      </c>
      <c r="G208" s="30">
        <f t="shared" si="36"/>
        <v>34.0886</v>
      </c>
      <c r="H208" s="19"/>
      <c r="I208" s="28">
        <v>0.04</v>
      </c>
      <c r="J208" s="238" t="s">
        <v>669</v>
      </c>
      <c r="K208" s="83" t="s">
        <v>231</v>
      </c>
      <c r="L208" s="100" t="s">
        <v>628</v>
      </c>
      <c r="M208" s="219" t="s">
        <v>955</v>
      </c>
      <c r="N208" s="205" t="s">
        <v>956</v>
      </c>
      <c r="O208" s="206">
        <v>1</v>
      </c>
      <c r="P208" s="226" t="s">
        <v>126</v>
      </c>
      <c r="Q208" s="288">
        <v>37.479999999999997</v>
      </c>
      <c r="R208" s="188">
        <v>0.09</v>
      </c>
      <c r="S208" s="91">
        <v>34.1068</v>
      </c>
      <c r="T208" s="86"/>
      <c r="U208" s="186">
        <v>0.02</v>
      </c>
      <c r="V208" s="238" t="s">
        <v>669</v>
      </c>
      <c r="W208" s="83" t="s">
        <v>231</v>
      </c>
      <c r="X208" s="100" t="s">
        <v>628</v>
      </c>
    </row>
    <row r="209" spans="1:24" s="1" customFormat="1">
      <c r="A209" s="219" t="s">
        <v>957</v>
      </c>
      <c r="B209" s="205" t="s">
        <v>958</v>
      </c>
      <c r="C209" s="206">
        <v>1</v>
      </c>
      <c r="D209" s="226" t="s">
        <v>126</v>
      </c>
      <c r="E209" s="777">
        <v>54.13</v>
      </c>
      <c r="F209" s="18">
        <f t="shared" si="37"/>
        <v>0.09</v>
      </c>
      <c r="G209" s="30">
        <f t="shared" si="36"/>
        <v>49.258300000000006</v>
      </c>
      <c r="H209" s="19"/>
      <c r="I209" s="28">
        <v>0.04</v>
      </c>
      <c r="J209" s="238" t="s">
        <v>669</v>
      </c>
      <c r="K209" s="83" t="s">
        <v>231</v>
      </c>
      <c r="L209" s="100" t="s">
        <v>628</v>
      </c>
      <c r="M209" s="219" t="s">
        <v>957</v>
      </c>
      <c r="N209" s="205" t="s">
        <v>958</v>
      </c>
      <c r="O209" s="206">
        <v>1</v>
      </c>
      <c r="P209" s="226" t="s">
        <v>126</v>
      </c>
      <c r="Q209" s="288">
        <v>54.15</v>
      </c>
      <c r="R209" s="188">
        <v>0.09</v>
      </c>
      <c r="S209" s="91">
        <v>49.276499999999999</v>
      </c>
      <c r="T209" s="86"/>
      <c r="U209" s="186">
        <v>0.02</v>
      </c>
      <c r="V209" s="238" t="s">
        <v>669</v>
      </c>
      <c r="W209" s="83" t="s">
        <v>231</v>
      </c>
      <c r="X209" s="100" t="s">
        <v>628</v>
      </c>
    </row>
    <row r="210" spans="1:24" s="1" customFormat="1">
      <c r="A210" s="219" t="s">
        <v>2411</v>
      </c>
      <c r="B210" s="205" t="s">
        <v>959</v>
      </c>
      <c r="C210" s="206">
        <v>1</v>
      </c>
      <c r="D210" s="226" t="s">
        <v>126</v>
      </c>
      <c r="E210" s="777">
        <v>54.13</v>
      </c>
      <c r="F210" s="18">
        <f t="shared" ref="F210:F266" si="38">rv_apple_acc_mac</f>
        <v>0.09</v>
      </c>
      <c r="G210" s="30">
        <f t="shared" si="36"/>
        <v>49.258300000000006</v>
      </c>
      <c r="H210" s="19"/>
      <c r="I210" s="28">
        <v>0.04</v>
      </c>
      <c r="J210" s="238" t="s">
        <v>669</v>
      </c>
      <c r="K210" s="83" t="s">
        <v>231</v>
      </c>
      <c r="L210" s="100" t="s">
        <v>628</v>
      </c>
      <c r="M210" s="219" t="s">
        <v>2411</v>
      </c>
      <c r="N210" s="205" t="s">
        <v>959</v>
      </c>
      <c r="O210" s="206">
        <v>1</v>
      </c>
      <c r="P210" s="226" t="s">
        <v>126</v>
      </c>
      <c r="Q210" s="288">
        <v>54.15</v>
      </c>
      <c r="R210" s="188">
        <v>0.09</v>
      </c>
      <c r="S210" s="91">
        <v>49.276499999999999</v>
      </c>
      <c r="T210" s="86"/>
      <c r="U210" s="186">
        <v>0.05</v>
      </c>
      <c r="V210" s="238" t="s">
        <v>669</v>
      </c>
      <c r="W210" s="83" t="s">
        <v>231</v>
      </c>
      <c r="X210" s="100" t="s">
        <v>628</v>
      </c>
    </row>
    <row r="211" spans="1:24" s="1" customFormat="1">
      <c r="A211" s="219" t="s">
        <v>960</v>
      </c>
      <c r="B211" s="205" t="s">
        <v>961</v>
      </c>
      <c r="C211" s="206">
        <v>1</v>
      </c>
      <c r="D211" s="226" t="s">
        <v>126</v>
      </c>
      <c r="E211" s="777">
        <v>70.77</v>
      </c>
      <c r="F211" s="18">
        <f t="shared" si="38"/>
        <v>0.09</v>
      </c>
      <c r="G211" s="30">
        <f t="shared" si="36"/>
        <v>64.400700000000001</v>
      </c>
      <c r="H211" s="19"/>
      <c r="I211" s="28">
        <v>0.06</v>
      </c>
      <c r="J211" s="238" t="s">
        <v>669</v>
      </c>
      <c r="K211" s="83" t="s">
        <v>231</v>
      </c>
      <c r="L211" s="100" t="s">
        <v>628</v>
      </c>
      <c r="M211" s="219" t="s">
        <v>960</v>
      </c>
      <c r="N211" s="205" t="s">
        <v>961</v>
      </c>
      <c r="O211" s="206">
        <v>1</v>
      </c>
      <c r="P211" s="226" t="s">
        <v>126</v>
      </c>
      <c r="Q211" s="288">
        <v>70.78</v>
      </c>
      <c r="R211" s="188">
        <v>0.09</v>
      </c>
      <c r="S211" s="91">
        <v>64.409800000000004</v>
      </c>
      <c r="T211" s="86"/>
      <c r="U211" s="186">
        <v>0.05</v>
      </c>
      <c r="V211" s="238" t="s">
        <v>669</v>
      </c>
      <c r="W211" s="83" t="s">
        <v>231</v>
      </c>
      <c r="X211" s="100" t="s">
        <v>628</v>
      </c>
    </row>
    <row r="212" spans="1:24" s="1" customFormat="1">
      <c r="A212" s="219" t="s">
        <v>962</v>
      </c>
      <c r="B212" s="205" t="s">
        <v>963</v>
      </c>
      <c r="C212" s="206">
        <v>1</v>
      </c>
      <c r="D212" s="226" t="s">
        <v>126</v>
      </c>
      <c r="E212" s="777">
        <v>99.11</v>
      </c>
      <c r="F212" s="18">
        <f t="shared" ref="F212:F265" si="39">rv_apple_acc_mac</f>
        <v>0.09</v>
      </c>
      <c r="G212" s="30">
        <f t="shared" si="36"/>
        <v>90.190100000000001</v>
      </c>
      <c r="H212" s="19"/>
      <c r="I212" s="28">
        <v>0.06</v>
      </c>
      <c r="J212" s="238" t="s">
        <v>669</v>
      </c>
      <c r="K212" s="83" t="s">
        <v>231</v>
      </c>
      <c r="L212" s="100" t="s">
        <v>628</v>
      </c>
      <c r="M212" s="219" t="s">
        <v>962</v>
      </c>
      <c r="N212" s="205" t="s">
        <v>963</v>
      </c>
      <c r="O212" s="206">
        <v>1</v>
      </c>
      <c r="P212" s="226" t="s">
        <v>126</v>
      </c>
      <c r="Q212" s="288">
        <v>99.13</v>
      </c>
      <c r="R212" s="188">
        <v>0.09</v>
      </c>
      <c r="S212" s="91">
        <v>90.208299999999994</v>
      </c>
      <c r="T212" s="86"/>
      <c r="U212" s="186">
        <v>0.05</v>
      </c>
      <c r="V212" s="238" t="s">
        <v>669</v>
      </c>
      <c r="W212" s="83" t="s">
        <v>231</v>
      </c>
      <c r="X212" s="100" t="s">
        <v>628</v>
      </c>
    </row>
    <row r="213" spans="1:24" s="1" customFormat="1">
      <c r="A213" s="774"/>
      <c r="B213" s="775"/>
      <c r="C213" s="770"/>
      <c r="D213" s="27"/>
      <c r="E213" s="777"/>
      <c r="F213" s="18"/>
      <c r="G213" s="30"/>
      <c r="H213" s="19"/>
      <c r="I213" s="28"/>
      <c r="J213" s="238"/>
      <c r="K213" s="83"/>
      <c r="L213" s="100"/>
      <c r="M213" s="711" t="s">
        <v>964</v>
      </c>
      <c r="N213" s="712" t="s">
        <v>965</v>
      </c>
      <c r="O213" s="713">
        <v>1</v>
      </c>
      <c r="P213" s="736" t="s">
        <v>126</v>
      </c>
      <c r="Q213" s="715">
        <v>70.73</v>
      </c>
      <c r="R213" s="716">
        <v>0.09</v>
      </c>
      <c r="S213" s="749">
        <v>64.3643</v>
      </c>
      <c r="T213" s="718"/>
      <c r="U213" s="719">
        <v>0.1</v>
      </c>
      <c r="V213" s="238" t="s">
        <v>669</v>
      </c>
      <c r="W213" s="83" t="s">
        <v>231</v>
      </c>
      <c r="X213" s="100" t="s">
        <v>628</v>
      </c>
    </row>
    <row r="214" spans="1:24" s="1" customFormat="1">
      <c r="A214" s="774"/>
      <c r="B214" s="775"/>
      <c r="C214" s="770"/>
      <c r="D214" s="27"/>
      <c r="E214" s="777"/>
      <c r="F214" s="18"/>
      <c r="G214" s="30"/>
      <c r="H214" s="19"/>
      <c r="I214" s="28"/>
      <c r="J214" s="238"/>
      <c r="K214" s="83"/>
      <c r="L214" s="100"/>
      <c r="M214" s="711" t="s">
        <v>966</v>
      </c>
      <c r="N214" s="712" t="s">
        <v>967</v>
      </c>
      <c r="O214" s="713">
        <v>1</v>
      </c>
      <c r="P214" s="736" t="s">
        <v>126</v>
      </c>
      <c r="Q214" s="715">
        <v>70.81</v>
      </c>
      <c r="R214" s="716">
        <v>0.09</v>
      </c>
      <c r="S214" s="749">
        <v>64.437100000000001</v>
      </c>
      <c r="T214" s="718"/>
      <c r="U214" s="719">
        <v>0.05</v>
      </c>
      <c r="V214" s="238" t="s">
        <v>669</v>
      </c>
      <c r="W214" s="83" t="s">
        <v>231</v>
      </c>
      <c r="X214" s="100" t="s">
        <v>628</v>
      </c>
    </row>
    <row r="215" spans="1:24" s="1" customFormat="1">
      <c r="A215" s="774"/>
      <c r="B215" s="775"/>
      <c r="C215" s="770"/>
      <c r="D215" s="27"/>
      <c r="E215" s="777"/>
      <c r="F215" s="18"/>
      <c r="G215" s="30"/>
      <c r="H215" s="19"/>
      <c r="I215" s="28"/>
      <c r="J215" s="238"/>
      <c r="K215" s="83"/>
      <c r="L215" s="100"/>
      <c r="M215" s="711" t="s">
        <v>968</v>
      </c>
      <c r="N215" s="712" t="s">
        <v>969</v>
      </c>
      <c r="O215" s="713">
        <v>1</v>
      </c>
      <c r="P215" s="736" t="s">
        <v>126</v>
      </c>
      <c r="Q215" s="715">
        <v>70.78</v>
      </c>
      <c r="R215" s="716">
        <v>0.09</v>
      </c>
      <c r="S215" s="749">
        <v>64.409800000000004</v>
      </c>
      <c r="T215" s="718"/>
      <c r="U215" s="719">
        <v>0.05</v>
      </c>
      <c r="V215" s="238" t="s">
        <v>669</v>
      </c>
      <c r="W215" s="83" t="s">
        <v>231</v>
      </c>
      <c r="X215" s="100" t="s">
        <v>628</v>
      </c>
    </row>
    <row r="216" spans="1:24" s="1" customFormat="1">
      <c r="A216" s="774" t="s">
        <v>3036</v>
      </c>
      <c r="B216" s="775" t="s">
        <v>971</v>
      </c>
      <c r="C216" s="770">
        <v>1</v>
      </c>
      <c r="D216" s="27" t="s">
        <v>126</v>
      </c>
      <c r="E216" s="777">
        <v>70.77</v>
      </c>
      <c r="F216" s="18">
        <f t="shared" si="39"/>
        <v>0.09</v>
      </c>
      <c r="G216" s="30">
        <f t="shared" ref="G216:G234" si="40">E216-(E216*F216)</f>
        <v>64.400700000000001</v>
      </c>
      <c r="H216" s="19"/>
      <c r="I216" s="28">
        <v>0.06</v>
      </c>
      <c r="J216" s="238" t="s">
        <v>669</v>
      </c>
      <c r="K216" s="83" t="s">
        <v>231</v>
      </c>
      <c r="L216" s="100" t="s">
        <v>628</v>
      </c>
      <c r="M216" s="711" t="s">
        <v>970</v>
      </c>
      <c r="N216" s="712" t="s">
        <v>971</v>
      </c>
      <c r="O216" s="713">
        <v>1</v>
      </c>
      <c r="P216" s="736" t="s">
        <v>126</v>
      </c>
      <c r="Q216" s="715">
        <v>70.78</v>
      </c>
      <c r="R216" s="716">
        <v>0.09</v>
      </c>
      <c r="S216" s="749">
        <v>64.409800000000004</v>
      </c>
      <c r="T216" s="718"/>
      <c r="U216" s="719">
        <v>0.05</v>
      </c>
      <c r="V216" s="238" t="s">
        <v>669</v>
      </c>
      <c r="W216" s="83" t="s">
        <v>231</v>
      </c>
      <c r="X216" s="100" t="s">
        <v>628</v>
      </c>
    </row>
    <row r="217" spans="1:24" s="1" customFormat="1">
      <c r="A217" s="774" t="s">
        <v>2426</v>
      </c>
      <c r="B217" s="775" t="s">
        <v>2427</v>
      </c>
      <c r="C217" s="770">
        <v>1</v>
      </c>
      <c r="D217" s="27" t="s">
        <v>817</v>
      </c>
      <c r="E217" s="777">
        <v>33.33</v>
      </c>
      <c r="F217" s="18">
        <f t="shared" ref="F217:F238" si="41">rv_20</f>
        <v>0.2</v>
      </c>
      <c r="G217" s="30">
        <f t="shared" ref="G217" si="42">E217-(E217*F217)</f>
        <v>26.663999999999998</v>
      </c>
      <c r="H217" s="19"/>
      <c r="I217" s="28">
        <v>0.03</v>
      </c>
      <c r="J217" s="238" t="s">
        <v>669</v>
      </c>
      <c r="K217" s="83" t="s">
        <v>231</v>
      </c>
      <c r="L217" s="100" t="s">
        <v>628</v>
      </c>
      <c r="M217" s="219" t="s">
        <v>2426</v>
      </c>
      <c r="N217" s="205" t="s">
        <v>2427</v>
      </c>
      <c r="O217" s="206">
        <v>1</v>
      </c>
      <c r="P217" s="226" t="s">
        <v>817</v>
      </c>
      <c r="Q217" s="288">
        <v>33.33</v>
      </c>
      <c r="R217" s="188">
        <v>0.2</v>
      </c>
      <c r="S217" s="91">
        <v>26.663999999999998</v>
      </c>
      <c r="T217" s="86"/>
      <c r="U217" s="186">
        <v>0.02</v>
      </c>
      <c r="V217" s="238" t="s">
        <v>669</v>
      </c>
      <c r="W217" s="83" t="s">
        <v>231</v>
      </c>
      <c r="X217" s="100" t="s">
        <v>628</v>
      </c>
    </row>
    <row r="218" spans="1:24" s="1" customFormat="1">
      <c r="A218" s="774" t="s">
        <v>972</v>
      </c>
      <c r="B218" s="775" t="s">
        <v>973</v>
      </c>
      <c r="C218" s="770">
        <v>1</v>
      </c>
      <c r="D218" s="27" t="s">
        <v>817</v>
      </c>
      <c r="E218" s="777">
        <v>39.99</v>
      </c>
      <c r="F218" s="18">
        <f t="shared" si="41"/>
        <v>0.2</v>
      </c>
      <c r="G218" s="30">
        <f t="shared" si="40"/>
        <v>31.992000000000001</v>
      </c>
      <c r="H218" s="19"/>
      <c r="I218" s="28">
        <v>0.03</v>
      </c>
      <c r="J218" s="238" t="s">
        <v>669</v>
      </c>
      <c r="K218" s="83" t="s">
        <v>231</v>
      </c>
      <c r="L218" s="100" t="s">
        <v>628</v>
      </c>
      <c r="M218" s="219" t="s">
        <v>972</v>
      </c>
      <c r="N218" s="205" t="s">
        <v>973</v>
      </c>
      <c r="O218" s="206">
        <v>1</v>
      </c>
      <c r="P218" s="226" t="s">
        <v>817</v>
      </c>
      <c r="Q218" s="288">
        <v>39.99</v>
      </c>
      <c r="R218" s="188">
        <v>0.2</v>
      </c>
      <c r="S218" s="91">
        <v>31.992000000000001</v>
      </c>
      <c r="T218" s="86"/>
      <c r="U218" s="186">
        <v>0.02</v>
      </c>
      <c r="V218" s="238" t="s">
        <v>669</v>
      </c>
      <c r="W218" s="83" t="s">
        <v>231</v>
      </c>
      <c r="X218" s="100" t="s">
        <v>628</v>
      </c>
    </row>
    <row r="219" spans="1:24" s="1" customFormat="1">
      <c r="A219" s="774" t="s">
        <v>974</v>
      </c>
      <c r="B219" s="775" t="s">
        <v>975</v>
      </c>
      <c r="C219" s="770">
        <v>1</v>
      </c>
      <c r="D219" s="27" t="s">
        <v>817</v>
      </c>
      <c r="E219" s="777">
        <v>39.99</v>
      </c>
      <c r="F219" s="18">
        <f t="shared" si="41"/>
        <v>0.2</v>
      </c>
      <c r="G219" s="30">
        <f t="shared" si="40"/>
        <v>31.992000000000001</v>
      </c>
      <c r="H219" s="19"/>
      <c r="I219" s="28">
        <v>0.03</v>
      </c>
      <c r="J219" s="238" t="s">
        <v>669</v>
      </c>
      <c r="K219" s="83" t="s">
        <v>231</v>
      </c>
      <c r="L219" s="100" t="s">
        <v>628</v>
      </c>
      <c r="M219" s="219" t="s">
        <v>974</v>
      </c>
      <c r="N219" s="205" t="s">
        <v>975</v>
      </c>
      <c r="O219" s="206">
        <v>1</v>
      </c>
      <c r="P219" s="226" t="s">
        <v>817</v>
      </c>
      <c r="Q219" s="288">
        <v>39.99</v>
      </c>
      <c r="R219" s="188">
        <v>0.2</v>
      </c>
      <c r="S219" s="91">
        <v>31.992000000000001</v>
      </c>
      <c r="T219" s="86"/>
      <c r="U219" s="186">
        <v>0.02</v>
      </c>
      <c r="V219" s="238" t="s">
        <v>669</v>
      </c>
      <c r="W219" s="83" t="s">
        <v>231</v>
      </c>
      <c r="X219" s="100" t="s">
        <v>628</v>
      </c>
    </row>
    <row r="220" spans="1:24" s="1" customFormat="1">
      <c r="A220" s="219" t="s">
        <v>976</v>
      </c>
      <c r="B220" s="205" t="s">
        <v>977</v>
      </c>
      <c r="C220" s="206">
        <v>1</v>
      </c>
      <c r="D220" s="226" t="s">
        <v>817</v>
      </c>
      <c r="E220" s="777">
        <v>41.66</v>
      </c>
      <c r="F220" s="18">
        <f t="shared" si="41"/>
        <v>0.2</v>
      </c>
      <c r="G220" s="30">
        <f t="shared" si="40"/>
        <v>33.327999999999996</v>
      </c>
      <c r="H220" s="19"/>
      <c r="I220" s="28">
        <v>0.03</v>
      </c>
      <c r="J220" s="238" t="s">
        <v>669</v>
      </c>
      <c r="K220" s="83" t="s">
        <v>231</v>
      </c>
      <c r="L220" s="100" t="s">
        <v>628</v>
      </c>
      <c r="M220" s="219" t="s">
        <v>976</v>
      </c>
      <c r="N220" s="205" t="s">
        <v>977</v>
      </c>
      <c r="O220" s="206">
        <v>1</v>
      </c>
      <c r="P220" s="226" t="s">
        <v>817</v>
      </c>
      <c r="Q220" s="288">
        <v>41.66</v>
      </c>
      <c r="R220" s="188">
        <v>0.2</v>
      </c>
      <c r="S220" s="91">
        <v>33.327999999999996</v>
      </c>
      <c r="T220" s="86"/>
      <c r="U220" s="186">
        <v>0.02</v>
      </c>
      <c r="V220" s="238" t="s">
        <v>669</v>
      </c>
      <c r="W220" s="83" t="s">
        <v>231</v>
      </c>
      <c r="X220" s="100" t="s">
        <v>628</v>
      </c>
    </row>
    <row r="221" spans="1:24" s="1" customFormat="1">
      <c r="A221" s="219" t="s">
        <v>978</v>
      </c>
      <c r="B221" s="205" t="s">
        <v>979</v>
      </c>
      <c r="C221" s="206">
        <v>1</v>
      </c>
      <c r="D221" s="226" t="s">
        <v>817</v>
      </c>
      <c r="E221" s="777">
        <v>41.66</v>
      </c>
      <c r="F221" s="18">
        <f t="shared" si="41"/>
        <v>0.2</v>
      </c>
      <c r="G221" s="30">
        <f t="shared" si="40"/>
        <v>33.327999999999996</v>
      </c>
      <c r="H221" s="19"/>
      <c r="I221" s="28">
        <v>0.03</v>
      </c>
      <c r="J221" s="238" t="s">
        <v>669</v>
      </c>
      <c r="K221" s="83" t="s">
        <v>231</v>
      </c>
      <c r="L221" s="100" t="s">
        <v>628</v>
      </c>
      <c r="M221" s="219" t="s">
        <v>978</v>
      </c>
      <c r="N221" s="205" t="s">
        <v>979</v>
      </c>
      <c r="O221" s="206">
        <v>1</v>
      </c>
      <c r="P221" s="226" t="s">
        <v>817</v>
      </c>
      <c r="Q221" s="288">
        <v>41.66</v>
      </c>
      <c r="R221" s="188">
        <v>0.2</v>
      </c>
      <c r="S221" s="91">
        <v>33.327999999999996</v>
      </c>
      <c r="T221" s="86"/>
      <c r="U221" s="186">
        <v>0.02</v>
      </c>
      <c r="V221" s="238" t="s">
        <v>669</v>
      </c>
      <c r="W221" s="83" t="s">
        <v>231</v>
      </c>
      <c r="X221" s="100" t="s">
        <v>628</v>
      </c>
    </row>
    <row r="222" spans="1:24" s="1" customFormat="1">
      <c r="A222" s="219" t="s">
        <v>980</v>
      </c>
      <c r="B222" s="205" t="s">
        <v>981</v>
      </c>
      <c r="C222" s="206">
        <v>1</v>
      </c>
      <c r="D222" s="226" t="s">
        <v>817</v>
      </c>
      <c r="E222" s="777">
        <v>74.989999999999995</v>
      </c>
      <c r="F222" s="18">
        <f t="shared" si="41"/>
        <v>0.2</v>
      </c>
      <c r="G222" s="30">
        <f t="shared" si="40"/>
        <v>59.991999999999997</v>
      </c>
      <c r="H222" s="19"/>
      <c r="I222" s="28">
        <v>0.06</v>
      </c>
      <c r="J222" s="238" t="s">
        <v>669</v>
      </c>
      <c r="K222" s="83" t="s">
        <v>231</v>
      </c>
      <c r="L222" s="100" t="s">
        <v>628</v>
      </c>
      <c r="M222" s="219" t="s">
        <v>980</v>
      </c>
      <c r="N222" s="205" t="s">
        <v>981</v>
      </c>
      <c r="O222" s="206">
        <v>1</v>
      </c>
      <c r="P222" s="226" t="s">
        <v>817</v>
      </c>
      <c r="Q222" s="288">
        <v>74.989999999999995</v>
      </c>
      <c r="R222" s="188">
        <v>0.2</v>
      </c>
      <c r="S222" s="91">
        <v>59.991999999999997</v>
      </c>
      <c r="T222" s="86"/>
      <c r="U222" s="186">
        <v>0.02</v>
      </c>
      <c r="V222" s="238" t="s">
        <v>669</v>
      </c>
      <c r="W222" s="83" t="s">
        <v>231</v>
      </c>
      <c r="X222" s="100" t="s">
        <v>628</v>
      </c>
    </row>
    <row r="223" spans="1:24" s="1" customFormat="1">
      <c r="A223" s="219" t="s">
        <v>982</v>
      </c>
      <c r="B223" s="205" t="s">
        <v>983</v>
      </c>
      <c r="C223" s="206">
        <v>1</v>
      </c>
      <c r="D223" s="226" t="s">
        <v>817</v>
      </c>
      <c r="E223" s="777">
        <v>74.989999999999995</v>
      </c>
      <c r="F223" s="18">
        <f t="shared" si="41"/>
        <v>0.2</v>
      </c>
      <c r="G223" s="30">
        <f t="shared" si="40"/>
        <v>59.991999999999997</v>
      </c>
      <c r="H223" s="19"/>
      <c r="I223" s="28">
        <v>0.03</v>
      </c>
      <c r="J223" s="238" t="s">
        <v>669</v>
      </c>
      <c r="K223" s="83" t="s">
        <v>231</v>
      </c>
      <c r="L223" s="100" t="s">
        <v>628</v>
      </c>
      <c r="M223" s="219" t="s">
        <v>982</v>
      </c>
      <c r="N223" s="205" t="s">
        <v>983</v>
      </c>
      <c r="O223" s="206">
        <v>1</v>
      </c>
      <c r="P223" s="226" t="s">
        <v>817</v>
      </c>
      <c r="Q223" s="288">
        <v>74.989999999999995</v>
      </c>
      <c r="R223" s="188">
        <v>0.2</v>
      </c>
      <c r="S223" s="91">
        <v>59.991999999999997</v>
      </c>
      <c r="T223" s="86"/>
      <c r="U223" s="186">
        <v>0.02</v>
      </c>
      <c r="V223" s="238" t="s">
        <v>669</v>
      </c>
      <c r="W223" s="83" t="s">
        <v>231</v>
      </c>
      <c r="X223" s="100" t="s">
        <v>628</v>
      </c>
    </row>
    <row r="224" spans="1:24" s="1" customFormat="1">
      <c r="A224" s="219" t="s">
        <v>984</v>
      </c>
      <c r="B224" s="205" t="s">
        <v>985</v>
      </c>
      <c r="C224" s="206">
        <v>1</v>
      </c>
      <c r="D224" s="226" t="s">
        <v>817</v>
      </c>
      <c r="E224" s="777">
        <v>124.99</v>
      </c>
      <c r="F224" s="18">
        <f t="shared" si="41"/>
        <v>0.2</v>
      </c>
      <c r="G224" s="30">
        <f t="shared" si="40"/>
        <v>99.99199999999999</v>
      </c>
      <c r="H224" s="19"/>
      <c r="I224" s="28">
        <v>0.03</v>
      </c>
      <c r="J224" s="238" t="s">
        <v>669</v>
      </c>
      <c r="K224" s="83" t="s">
        <v>231</v>
      </c>
      <c r="L224" s="100" t="s">
        <v>628</v>
      </c>
      <c r="M224" s="219" t="s">
        <v>984</v>
      </c>
      <c r="N224" s="205" t="s">
        <v>985</v>
      </c>
      <c r="O224" s="206">
        <v>1</v>
      </c>
      <c r="P224" s="226" t="s">
        <v>817</v>
      </c>
      <c r="Q224" s="288">
        <v>124.99</v>
      </c>
      <c r="R224" s="188">
        <v>0.2</v>
      </c>
      <c r="S224" s="91">
        <v>99.99199999999999</v>
      </c>
      <c r="T224" s="86"/>
      <c r="U224" s="186">
        <v>0.02</v>
      </c>
      <c r="V224" s="238" t="s">
        <v>669</v>
      </c>
      <c r="W224" s="83" t="s">
        <v>231</v>
      </c>
      <c r="X224" s="100" t="s">
        <v>628</v>
      </c>
    </row>
    <row r="225" spans="1:24" s="1" customFormat="1">
      <c r="A225" s="219" t="s">
        <v>2424</v>
      </c>
      <c r="B225" s="205" t="s">
        <v>2425</v>
      </c>
      <c r="C225" s="206">
        <v>1</v>
      </c>
      <c r="D225" s="226" t="s">
        <v>817</v>
      </c>
      <c r="E225" s="777">
        <v>124.99</v>
      </c>
      <c r="F225" s="18">
        <f t="shared" si="41"/>
        <v>0.2</v>
      </c>
      <c r="G225" s="30">
        <f t="shared" ref="G225" si="43">E225-(E225*F225)</f>
        <v>99.99199999999999</v>
      </c>
      <c r="H225" s="19"/>
      <c r="I225" s="28">
        <v>0.03</v>
      </c>
      <c r="J225" s="238" t="s">
        <v>669</v>
      </c>
      <c r="K225" s="83" t="s">
        <v>231</v>
      </c>
      <c r="L225" s="100" t="s">
        <v>628</v>
      </c>
      <c r="M225" s="219" t="s">
        <v>2424</v>
      </c>
      <c r="N225" s="205" t="s">
        <v>2425</v>
      </c>
      <c r="O225" s="206">
        <v>1</v>
      </c>
      <c r="P225" s="226" t="s">
        <v>817</v>
      </c>
      <c r="Q225" s="288">
        <v>124.99</v>
      </c>
      <c r="R225" s="188">
        <v>0.2</v>
      </c>
      <c r="S225" s="91">
        <v>99.99199999999999</v>
      </c>
      <c r="T225" s="86"/>
      <c r="U225" s="186">
        <v>0.02</v>
      </c>
      <c r="V225" s="238" t="s">
        <v>669</v>
      </c>
      <c r="W225" s="83" t="s">
        <v>231</v>
      </c>
      <c r="X225" s="100" t="s">
        <v>628</v>
      </c>
    </row>
    <row r="226" spans="1:24" s="1" customFormat="1">
      <c r="A226" s="219" t="s">
        <v>986</v>
      </c>
      <c r="B226" s="205" t="s">
        <v>987</v>
      </c>
      <c r="C226" s="206">
        <v>1</v>
      </c>
      <c r="D226" s="226" t="s">
        <v>889</v>
      </c>
      <c r="E226" s="777">
        <v>66.66</v>
      </c>
      <c r="F226" s="18">
        <f t="shared" si="41"/>
        <v>0.2</v>
      </c>
      <c r="G226" s="30">
        <f t="shared" si="40"/>
        <v>53.327999999999996</v>
      </c>
      <c r="H226" s="19"/>
      <c r="I226" s="28">
        <v>0.03</v>
      </c>
      <c r="J226" s="238" t="s">
        <v>669</v>
      </c>
      <c r="K226" s="83" t="s">
        <v>231</v>
      </c>
      <c r="L226" s="100" t="s">
        <v>628</v>
      </c>
      <c r="M226" s="219" t="s">
        <v>986</v>
      </c>
      <c r="N226" s="205" t="s">
        <v>987</v>
      </c>
      <c r="O226" s="206">
        <v>1</v>
      </c>
      <c r="P226" s="226" t="s">
        <v>889</v>
      </c>
      <c r="Q226" s="288">
        <v>66.66</v>
      </c>
      <c r="R226" s="188">
        <v>0.2</v>
      </c>
      <c r="S226" s="91">
        <v>53.327999999999996</v>
      </c>
      <c r="T226" s="86"/>
      <c r="U226" s="186">
        <v>0.02</v>
      </c>
      <c r="V226" s="238" t="s">
        <v>669</v>
      </c>
      <c r="W226" s="83" t="s">
        <v>231</v>
      </c>
      <c r="X226" s="100" t="s">
        <v>628</v>
      </c>
    </row>
    <row r="227" spans="1:24" s="1" customFormat="1">
      <c r="A227" s="219" t="s">
        <v>988</v>
      </c>
      <c r="B227" s="205" t="s">
        <v>989</v>
      </c>
      <c r="C227" s="206">
        <v>1</v>
      </c>
      <c r="D227" s="226" t="s">
        <v>889</v>
      </c>
      <c r="E227" s="777">
        <v>108.33</v>
      </c>
      <c r="F227" s="18">
        <f t="shared" si="41"/>
        <v>0.2</v>
      </c>
      <c r="G227" s="30">
        <f t="shared" si="40"/>
        <v>86.664000000000001</v>
      </c>
      <c r="H227" s="19"/>
      <c r="I227" s="28">
        <v>0.06</v>
      </c>
      <c r="J227" s="238" t="s">
        <v>669</v>
      </c>
      <c r="K227" s="83" t="s">
        <v>231</v>
      </c>
      <c r="L227" s="100" t="s">
        <v>628</v>
      </c>
      <c r="M227" s="219" t="s">
        <v>988</v>
      </c>
      <c r="N227" s="205" t="s">
        <v>989</v>
      </c>
      <c r="O227" s="206">
        <v>1</v>
      </c>
      <c r="P227" s="226" t="s">
        <v>889</v>
      </c>
      <c r="Q227" s="288">
        <v>108.33</v>
      </c>
      <c r="R227" s="188">
        <v>0.2</v>
      </c>
      <c r="S227" s="91">
        <v>86.664000000000001</v>
      </c>
      <c r="T227" s="86"/>
      <c r="U227" s="186">
        <v>0.02</v>
      </c>
      <c r="V227" s="238" t="s">
        <v>669</v>
      </c>
      <c r="W227" s="83" t="s">
        <v>231</v>
      </c>
      <c r="X227" s="100" t="s">
        <v>628</v>
      </c>
    </row>
    <row r="228" spans="1:24" s="1" customFormat="1">
      <c r="A228" s="219" t="s">
        <v>990</v>
      </c>
      <c r="B228" s="205" t="s">
        <v>991</v>
      </c>
      <c r="C228" s="206">
        <v>1</v>
      </c>
      <c r="D228" s="226" t="s">
        <v>992</v>
      </c>
      <c r="E228" s="767">
        <v>22.32</v>
      </c>
      <c r="F228" s="18">
        <f t="shared" si="41"/>
        <v>0.2</v>
      </c>
      <c r="G228" s="768">
        <f t="shared" si="40"/>
        <v>17.856000000000002</v>
      </c>
      <c r="H228" s="19"/>
      <c r="I228" s="28">
        <v>0.03</v>
      </c>
      <c r="J228" s="238" t="s">
        <v>669</v>
      </c>
      <c r="K228" s="83" t="s">
        <v>231</v>
      </c>
      <c r="L228" s="100" t="s">
        <v>628</v>
      </c>
      <c r="M228" s="219" t="s">
        <v>990</v>
      </c>
      <c r="N228" s="205" t="s">
        <v>991</v>
      </c>
      <c r="O228" s="206">
        <v>1</v>
      </c>
      <c r="P228" s="226" t="s">
        <v>992</v>
      </c>
      <c r="Q228" s="287">
        <v>22.32</v>
      </c>
      <c r="R228" s="188">
        <v>0.2</v>
      </c>
      <c r="S228" s="62">
        <v>17.856000000000002</v>
      </c>
      <c r="T228" s="86"/>
      <c r="U228" s="186">
        <v>0.02</v>
      </c>
      <c r="V228" s="238" t="s">
        <v>669</v>
      </c>
      <c r="W228" s="83" t="s">
        <v>231</v>
      </c>
      <c r="X228" s="100" t="s">
        <v>628</v>
      </c>
    </row>
    <row r="229" spans="1:24" s="1" customFormat="1">
      <c r="A229" s="219" t="s">
        <v>993</v>
      </c>
      <c r="B229" s="205" t="s">
        <v>994</v>
      </c>
      <c r="C229" s="206">
        <v>1</v>
      </c>
      <c r="D229" s="226" t="s">
        <v>992</v>
      </c>
      <c r="E229" s="767">
        <v>29.16</v>
      </c>
      <c r="F229" s="18">
        <f t="shared" si="41"/>
        <v>0.2</v>
      </c>
      <c r="G229" s="768">
        <f t="shared" si="40"/>
        <v>23.327999999999999</v>
      </c>
      <c r="H229" s="19"/>
      <c r="I229" s="28">
        <v>0.03</v>
      </c>
      <c r="J229" s="238" t="s">
        <v>669</v>
      </c>
      <c r="K229" s="83" t="s">
        <v>231</v>
      </c>
      <c r="L229" s="100" t="s">
        <v>628</v>
      </c>
      <c r="M229" s="219" t="s">
        <v>993</v>
      </c>
      <c r="N229" s="205" t="s">
        <v>994</v>
      </c>
      <c r="O229" s="206">
        <v>1</v>
      </c>
      <c r="P229" s="226" t="s">
        <v>992</v>
      </c>
      <c r="Q229" s="287">
        <v>29.16</v>
      </c>
      <c r="R229" s="188">
        <v>0.2</v>
      </c>
      <c r="S229" s="62">
        <v>23.327999999999999</v>
      </c>
      <c r="T229" s="86"/>
      <c r="U229" s="186">
        <v>0.02</v>
      </c>
      <c r="V229" s="238" t="s">
        <v>669</v>
      </c>
      <c r="W229" s="83" t="s">
        <v>231</v>
      </c>
      <c r="X229" s="100" t="s">
        <v>628</v>
      </c>
    </row>
    <row r="230" spans="1:24" s="1" customFormat="1">
      <c r="A230" s="219" t="s">
        <v>995</v>
      </c>
      <c r="B230" s="205" t="s">
        <v>996</v>
      </c>
      <c r="C230" s="206">
        <v>1</v>
      </c>
      <c r="D230" s="226" t="s">
        <v>992</v>
      </c>
      <c r="E230" s="767">
        <v>29.75</v>
      </c>
      <c r="F230" s="18">
        <f t="shared" si="41"/>
        <v>0.2</v>
      </c>
      <c r="G230" s="768">
        <f t="shared" si="40"/>
        <v>23.8</v>
      </c>
      <c r="H230" s="19"/>
      <c r="I230" s="28">
        <v>0.03</v>
      </c>
      <c r="J230" s="238" t="s">
        <v>669</v>
      </c>
      <c r="K230" s="83" t="s">
        <v>231</v>
      </c>
      <c r="L230" s="100" t="s">
        <v>628</v>
      </c>
      <c r="M230" s="219" t="s">
        <v>995</v>
      </c>
      <c r="N230" s="205" t="s">
        <v>996</v>
      </c>
      <c r="O230" s="206">
        <v>1</v>
      </c>
      <c r="P230" s="226" t="s">
        <v>992</v>
      </c>
      <c r="Q230" s="287">
        <v>29.75</v>
      </c>
      <c r="R230" s="188">
        <v>0.2</v>
      </c>
      <c r="S230" s="62">
        <v>23.8</v>
      </c>
      <c r="T230" s="86"/>
      <c r="U230" s="186">
        <v>0.02</v>
      </c>
      <c r="V230" s="238" t="s">
        <v>669</v>
      </c>
      <c r="W230" s="83" t="s">
        <v>231</v>
      </c>
      <c r="X230" s="100" t="s">
        <v>628</v>
      </c>
    </row>
    <row r="231" spans="1:24" s="1" customFormat="1">
      <c r="A231" s="219" t="s">
        <v>997</v>
      </c>
      <c r="B231" s="205" t="s">
        <v>998</v>
      </c>
      <c r="C231" s="206">
        <v>1</v>
      </c>
      <c r="D231" s="226" t="s">
        <v>999</v>
      </c>
      <c r="E231" s="767">
        <v>41.66</v>
      </c>
      <c r="F231" s="18">
        <f t="shared" si="41"/>
        <v>0.2</v>
      </c>
      <c r="G231" s="768">
        <f t="shared" si="40"/>
        <v>33.327999999999996</v>
      </c>
      <c r="H231" s="19"/>
      <c r="I231" s="28">
        <v>0.03</v>
      </c>
      <c r="J231" s="238" t="s">
        <v>669</v>
      </c>
      <c r="K231" s="83" t="s">
        <v>231</v>
      </c>
      <c r="L231" s="100" t="s">
        <v>628</v>
      </c>
      <c r="M231" s="219" t="s">
        <v>997</v>
      </c>
      <c r="N231" s="205" t="s">
        <v>998</v>
      </c>
      <c r="O231" s="206">
        <v>1</v>
      </c>
      <c r="P231" s="226" t="s">
        <v>999</v>
      </c>
      <c r="Q231" s="287">
        <v>41.66</v>
      </c>
      <c r="R231" s="188">
        <v>0.2</v>
      </c>
      <c r="S231" s="62">
        <v>33.327999999999996</v>
      </c>
      <c r="T231" s="86"/>
      <c r="U231" s="186">
        <v>0.02</v>
      </c>
      <c r="V231" s="238" t="s">
        <v>669</v>
      </c>
      <c r="W231" s="83" t="s">
        <v>231</v>
      </c>
      <c r="X231" s="100" t="s">
        <v>628</v>
      </c>
    </row>
    <row r="232" spans="1:24" s="1" customFormat="1">
      <c r="A232" s="219" t="s">
        <v>1000</v>
      </c>
      <c r="B232" s="205" t="s">
        <v>1001</v>
      </c>
      <c r="C232" s="206">
        <v>1</v>
      </c>
      <c r="D232" s="226" t="s">
        <v>999</v>
      </c>
      <c r="E232" s="767">
        <v>91.66</v>
      </c>
      <c r="F232" s="18">
        <f t="shared" si="41"/>
        <v>0.2</v>
      </c>
      <c r="G232" s="768">
        <f t="shared" si="40"/>
        <v>73.328000000000003</v>
      </c>
      <c r="H232" s="19"/>
      <c r="I232" s="28">
        <v>0.06</v>
      </c>
      <c r="J232" s="238" t="s">
        <v>669</v>
      </c>
      <c r="K232" s="83" t="s">
        <v>231</v>
      </c>
      <c r="L232" s="100" t="s">
        <v>628</v>
      </c>
      <c r="M232" s="219" t="s">
        <v>1000</v>
      </c>
      <c r="N232" s="205" t="s">
        <v>1001</v>
      </c>
      <c r="O232" s="206">
        <v>1</v>
      </c>
      <c r="P232" s="226" t="s">
        <v>999</v>
      </c>
      <c r="Q232" s="287">
        <v>91.66</v>
      </c>
      <c r="R232" s="188">
        <v>0.2</v>
      </c>
      <c r="S232" s="62">
        <v>73.328000000000003</v>
      </c>
      <c r="T232" s="86"/>
      <c r="U232" s="186">
        <v>0.02</v>
      </c>
      <c r="V232" s="238" t="s">
        <v>669</v>
      </c>
      <c r="W232" s="83" t="s">
        <v>231</v>
      </c>
      <c r="X232" s="100" t="s">
        <v>628</v>
      </c>
    </row>
    <row r="233" spans="1:24" s="1" customFormat="1">
      <c r="A233" s="219" t="s">
        <v>1002</v>
      </c>
      <c r="B233" s="205" t="s">
        <v>1003</v>
      </c>
      <c r="C233" s="206">
        <v>1</v>
      </c>
      <c r="D233" s="226" t="s">
        <v>999</v>
      </c>
      <c r="E233" s="767">
        <v>116.66</v>
      </c>
      <c r="F233" s="18">
        <f t="shared" si="41"/>
        <v>0.2</v>
      </c>
      <c r="G233" s="768">
        <f t="shared" si="40"/>
        <v>93.328000000000003</v>
      </c>
      <c r="H233" s="19"/>
      <c r="I233" s="28">
        <v>0.06</v>
      </c>
      <c r="J233" s="238" t="s">
        <v>669</v>
      </c>
      <c r="K233" s="83" t="s">
        <v>231</v>
      </c>
      <c r="L233" s="100" t="s">
        <v>628</v>
      </c>
      <c r="M233" s="219" t="s">
        <v>1002</v>
      </c>
      <c r="N233" s="205" t="s">
        <v>1003</v>
      </c>
      <c r="O233" s="206">
        <v>1</v>
      </c>
      <c r="P233" s="226" t="s">
        <v>999</v>
      </c>
      <c r="Q233" s="287">
        <v>116.66</v>
      </c>
      <c r="R233" s="188">
        <v>0.2</v>
      </c>
      <c r="S233" s="62">
        <v>93.328000000000003</v>
      </c>
      <c r="T233" s="86"/>
      <c r="U233" s="186">
        <v>0.02</v>
      </c>
      <c r="V233" s="238" t="s">
        <v>669</v>
      </c>
      <c r="W233" s="83" t="s">
        <v>231</v>
      </c>
      <c r="X233" s="100" t="s">
        <v>628</v>
      </c>
    </row>
    <row r="234" spans="1:24" s="1" customFormat="1">
      <c r="A234" s="219" t="s">
        <v>1004</v>
      </c>
      <c r="B234" s="205" t="s">
        <v>1005</v>
      </c>
      <c r="C234" s="206">
        <v>1</v>
      </c>
      <c r="D234" s="226" t="s">
        <v>999</v>
      </c>
      <c r="E234" s="767">
        <v>151.66</v>
      </c>
      <c r="F234" s="18">
        <f t="shared" si="41"/>
        <v>0.2</v>
      </c>
      <c r="G234" s="768">
        <f t="shared" si="40"/>
        <v>121.328</v>
      </c>
      <c r="H234" s="19"/>
      <c r="I234" s="28">
        <v>0.11</v>
      </c>
      <c r="J234" s="238" t="s">
        <v>669</v>
      </c>
      <c r="K234" s="83" t="s">
        <v>231</v>
      </c>
      <c r="L234" s="100" t="s">
        <v>628</v>
      </c>
      <c r="M234" s="219" t="s">
        <v>1004</v>
      </c>
      <c r="N234" s="205" t="s">
        <v>1005</v>
      </c>
      <c r="O234" s="206">
        <v>1</v>
      </c>
      <c r="P234" s="226" t="s">
        <v>999</v>
      </c>
      <c r="Q234" s="287">
        <v>151.66</v>
      </c>
      <c r="R234" s="188">
        <v>0.2</v>
      </c>
      <c r="S234" s="62">
        <v>121.328</v>
      </c>
      <c r="T234" s="86"/>
      <c r="U234" s="186">
        <v>0.02</v>
      </c>
      <c r="V234" s="238" t="s">
        <v>669</v>
      </c>
      <c r="W234" s="83" t="s">
        <v>231</v>
      </c>
      <c r="X234" s="100" t="s">
        <v>628</v>
      </c>
    </row>
    <row r="235" spans="1:24" s="1" customFormat="1">
      <c r="A235" s="219" t="s">
        <v>2897</v>
      </c>
      <c r="B235" s="205" t="s">
        <v>2902</v>
      </c>
      <c r="C235" s="206">
        <v>1</v>
      </c>
      <c r="D235" s="226" t="s">
        <v>2888</v>
      </c>
      <c r="E235" s="767">
        <v>20.83</v>
      </c>
      <c r="F235" s="18">
        <f t="shared" si="41"/>
        <v>0.2</v>
      </c>
      <c r="G235" s="768">
        <f t="shared" ref="G235" si="44">E235-(E235*F235)</f>
        <v>16.663999999999998</v>
      </c>
      <c r="H235" s="19"/>
      <c r="I235" s="28">
        <v>0.04</v>
      </c>
      <c r="J235" s="238" t="s">
        <v>669</v>
      </c>
      <c r="K235" s="83" t="s">
        <v>231</v>
      </c>
      <c r="L235" s="100" t="s">
        <v>628</v>
      </c>
      <c r="M235" s="219" t="s">
        <v>2897</v>
      </c>
      <c r="N235" s="205" t="s">
        <v>2902</v>
      </c>
      <c r="O235" s="206">
        <v>1</v>
      </c>
      <c r="P235" s="226" t="s">
        <v>2888</v>
      </c>
      <c r="Q235" s="287">
        <v>20.83</v>
      </c>
      <c r="R235" s="188">
        <v>0.2</v>
      </c>
      <c r="S235" s="62">
        <v>16.663999999999998</v>
      </c>
      <c r="T235" s="86"/>
      <c r="U235" s="186">
        <v>0.02</v>
      </c>
      <c r="V235" s="238" t="s">
        <v>669</v>
      </c>
      <c r="W235" s="83" t="s">
        <v>231</v>
      </c>
      <c r="X235" s="100" t="s">
        <v>628</v>
      </c>
    </row>
    <row r="236" spans="1:24" s="1" customFormat="1">
      <c r="A236" s="219" t="s">
        <v>2900</v>
      </c>
      <c r="B236" s="205" t="s">
        <v>2901</v>
      </c>
      <c r="C236" s="206">
        <v>1</v>
      </c>
      <c r="D236" s="226" t="s">
        <v>2888</v>
      </c>
      <c r="E236" s="287">
        <v>24.99</v>
      </c>
      <c r="F236" s="188">
        <f t="shared" si="41"/>
        <v>0.2</v>
      </c>
      <c r="G236" s="62">
        <f t="shared" ref="G236" si="45">E236-(E236*F236)</f>
        <v>19.991999999999997</v>
      </c>
      <c r="H236" s="86"/>
      <c r="I236" s="28">
        <v>0.04</v>
      </c>
      <c r="J236" s="238" t="s">
        <v>669</v>
      </c>
      <c r="K236" s="83" t="s">
        <v>231</v>
      </c>
      <c r="L236" s="100" t="s">
        <v>628</v>
      </c>
      <c r="M236" s="219" t="s">
        <v>2900</v>
      </c>
      <c r="N236" s="205" t="s">
        <v>2901</v>
      </c>
      <c r="O236" s="206">
        <v>1</v>
      </c>
      <c r="P236" s="226" t="s">
        <v>2888</v>
      </c>
      <c r="Q236" s="287">
        <v>24.99</v>
      </c>
      <c r="R236" s="188">
        <v>0.2</v>
      </c>
      <c r="S236" s="62">
        <v>19.991999999999997</v>
      </c>
      <c r="T236" s="86"/>
      <c r="U236" s="186">
        <v>0.02</v>
      </c>
      <c r="V236" s="238" t="s">
        <v>669</v>
      </c>
      <c r="W236" s="83" t="s">
        <v>231</v>
      </c>
      <c r="X236" s="100" t="s">
        <v>628</v>
      </c>
    </row>
    <row r="237" spans="1:24" s="1" customFormat="1">
      <c r="A237" s="219" t="s">
        <v>2903</v>
      </c>
      <c r="B237" s="205" t="s">
        <v>2904</v>
      </c>
      <c r="C237" s="206">
        <v>1</v>
      </c>
      <c r="D237" s="226" t="s">
        <v>2888</v>
      </c>
      <c r="E237" s="287">
        <v>34.99</v>
      </c>
      <c r="F237" s="188">
        <f t="shared" si="41"/>
        <v>0.2</v>
      </c>
      <c r="G237" s="62">
        <f t="shared" ref="G237" si="46">E237-(E237*F237)</f>
        <v>27.992000000000001</v>
      </c>
      <c r="H237" s="86"/>
      <c r="I237" s="28">
        <v>0.04</v>
      </c>
      <c r="J237" s="238" t="s">
        <v>669</v>
      </c>
      <c r="K237" s="83" t="s">
        <v>231</v>
      </c>
      <c r="L237" s="100" t="s">
        <v>628</v>
      </c>
      <c r="M237" s="219" t="s">
        <v>2903</v>
      </c>
      <c r="N237" s="205" t="s">
        <v>2904</v>
      </c>
      <c r="O237" s="206">
        <v>1</v>
      </c>
      <c r="P237" s="226" t="s">
        <v>2888</v>
      </c>
      <c r="Q237" s="287">
        <v>34.99</v>
      </c>
      <c r="R237" s="188">
        <v>0.2</v>
      </c>
      <c r="S237" s="62">
        <v>27.992000000000001</v>
      </c>
      <c r="T237" s="86"/>
      <c r="U237" s="186">
        <v>0.02</v>
      </c>
      <c r="V237" s="238" t="s">
        <v>669</v>
      </c>
      <c r="W237" s="83" t="s">
        <v>231</v>
      </c>
      <c r="X237" s="100" t="s">
        <v>628</v>
      </c>
    </row>
    <row r="238" spans="1:24" s="1" customFormat="1" ht="13.5" thickBot="1">
      <c r="A238" s="219" t="s">
        <v>2911</v>
      </c>
      <c r="B238" s="205" t="s">
        <v>2912</v>
      </c>
      <c r="C238" s="206">
        <v>1</v>
      </c>
      <c r="D238" s="226" t="s">
        <v>2888</v>
      </c>
      <c r="E238" s="287">
        <v>39.99</v>
      </c>
      <c r="F238" s="188">
        <f t="shared" si="41"/>
        <v>0.2</v>
      </c>
      <c r="G238" s="62">
        <f t="shared" ref="G238" si="47">E238-(E238*F238)</f>
        <v>31.992000000000001</v>
      </c>
      <c r="H238" s="86"/>
      <c r="I238" s="28">
        <v>0.04</v>
      </c>
      <c r="J238" s="238" t="s">
        <v>669</v>
      </c>
      <c r="K238" s="83" t="s">
        <v>231</v>
      </c>
      <c r="L238" s="100" t="s">
        <v>628</v>
      </c>
      <c r="M238" s="219" t="s">
        <v>2911</v>
      </c>
      <c r="N238" s="205" t="s">
        <v>2912</v>
      </c>
      <c r="O238" s="206">
        <v>1</v>
      </c>
      <c r="P238" s="226" t="s">
        <v>2888</v>
      </c>
      <c r="Q238" s="287">
        <v>39.99</v>
      </c>
      <c r="R238" s="188">
        <v>0.2</v>
      </c>
      <c r="S238" s="62">
        <v>31.992000000000001</v>
      </c>
      <c r="T238" s="86"/>
      <c r="U238" s="186">
        <v>0.02</v>
      </c>
      <c r="V238" s="238" t="s">
        <v>669</v>
      </c>
      <c r="W238" s="83" t="s">
        <v>231</v>
      </c>
      <c r="X238" s="100" t="s">
        <v>628</v>
      </c>
    </row>
    <row r="239" spans="1:24" s="1" customFormat="1" ht="25" customHeight="1" thickBot="1">
      <c r="A239" s="468" t="s">
        <v>1006</v>
      </c>
      <c r="B239" s="340" t="s">
        <v>1007</v>
      </c>
      <c r="C239" s="629"/>
      <c r="D239" s="629"/>
      <c r="E239" s="630"/>
      <c r="F239" s="631"/>
      <c r="G239" s="630"/>
      <c r="H239" s="630"/>
      <c r="I239" s="630"/>
      <c r="J239" s="459"/>
      <c r="K239" s="341"/>
      <c r="L239" s="341"/>
      <c r="M239" s="468" t="s">
        <v>1006</v>
      </c>
      <c r="N239" s="340" t="s">
        <v>1007</v>
      </c>
      <c r="O239" s="629"/>
      <c r="P239" s="629"/>
      <c r="Q239" s="630"/>
      <c r="R239" s="631"/>
      <c r="S239" s="630"/>
      <c r="T239" s="630"/>
      <c r="U239" s="630"/>
      <c r="V239" s="459"/>
      <c r="W239" s="341"/>
      <c r="X239" s="341"/>
    </row>
    <row r="240" spans="1:24" s="1" customFormat="1">
      <c r="A240" s="219" t="s">
        <v>2440</v>
      </c>
      <c r="B240" s="205" t="s">
        <v>1008</v>
      </c>
      <c r="C240" s="206">
        <v>1</v>
      </c>
      <c r="D240" s="226" t="s">
        <v>126</v>
      </c>
      <c r="E240" s="777">
        <v>20.79</v>
      </c>
      <c r="F240" s="18">
        <f t="shared" si="38"/>
        <v>0.09</v>
      </c>
      <c r="G240" s="30">
        <f t="shared" ref="G240:G258" si="48">E240-(E240*F240)</f>
        <v>18.918900000000001</v>
      </c>
      <c r="H240" s="19"/>
      <c r="I240" s="28">
        <v>0.04</v>
      </c>
      <c r="J240" s="238" t="s">
        <v>669</v>
      </c>
      <c r="K240" s="83" t="s">
        <v>231</v>
      </c>
      <c r="L240" s="100" t="s">
        <v>628</v>
      </c>
      <c r="M240" s="219" t="s">
        <v>2440</v>
      </c>
      <c r="N240" s="205" t="s">
        <v>1008</v>
      </c>
      <c r="O240" s="206">
        <v>1</v>
      </c>
      <c r="P240" s="226" t="s">
        <v>126</v>
      </c>
      <c r="Q240" s="288">
        <v>20.81</v>
      </c>
      <c r="R240" s="209">
        <v>0.09</v>
      </c>
      <c r="S240" s="91">
        <v>18.937099999999997</v>
      </c>
      <c r="T240" s="86"/>
      <c r="U240" s="186">
        <v>0.02</v>
      </c>
      <c r="V240" s="238" t="s">
        <v>669</v>
      </c>
      <c r="W240" s="83" t="s">
        <v>231</v>
      </c>
      <c r="X240" s="100" t="s">
        <v>628</v>
      </c>
    </row>
    <row r="241" spans="1:24" s="1" customFormat="1">
      <c r="A241" s="219" t="s">
        <v>2437</v>
      </c>
      <c r="B241" s="205" t="s">
        <v>1009</v>
      </c>
      <c r="C241" s="206">
        <v>1</v>
      </c>
      <c r="D241" s="226" t="s">
        <v>126</v>
      </c>
      <c r="E241" s="777">
        <v>29.13</v>
      </c>
      <c r="F241" s="18">
        <f t="shared" si="38"/>
        <v>0.09</v>
      </c>
      <c r="G241" s="30">
        <f t="shared" si="48"/>
        <v>26.508299999999998</v>
      </c>
      <c r="H241" s="19"/>
      <c r="I241" s="28">
        <v>0.04</v>
      </c>
      <c r="J241" s="238" t="s">
        <v>669</v>
      </c>
      <c r="K241" s="83" t="s">
        <v>231</v>
      </c>
      <c r="L241" s="100" t="s">
        <v>628</v>
      </c>
      <c r="M241" s="219" t="s">
        <v>2437</v>
      </c>
      <c r="N241" s="205" t="s">
        <v>1009</v>
      </c>
      <c r="O241" s="206">
        <v>1</v>
      </c>
      <c r="P241" s="226" t="s">
        <v>126</v>
      </c>
      <c r="Q241" s="288">
        <v>29.15</v>
      </c>
      <c r="R241" s="209">
        <v>0.09</v>
      </c>
      <c r="S241" s="91">
        <v>26.526499999999999</v>
      </c>
      <c r="T241" s="86"/>
      <c r="U241" s="186">
        <v>0.02</v>
      </c>
      <c r="V241" s="238" t="s">
        <v>669</v>
      </c>
      <c r="W241" s="83" t="s">
        <v>231</v>
      </c>
      <c r="X241" s="100" t="s">
        <v>628</v>
      </c>
    </row>
    <row r="242" spans="1:24" s="1" customFormat="1">
      <c r="A242" s="219" t="s">
        <v>2870</v>
      </c>
      <c r="B242" s="205" t="s">
        <v>2871</v>
      </c>
      <c r="C242" s="206">
        <v>1</v>
      </c>
      <c r="D242" s="226" t="s">
        <v>126</v>
      </c>
      <c r="E242" s="777">
        <v>65.790000000000006</v>
      </c>
      <c r="F242" s="18">
        <f t="shared" si="38"/>
        <v>0.09</v>
      </c>
      <c r="G242" s="30">
        <f t="shared" si="48"/>
        <v>59.868900000000004</v>
      </c>
      <c r="H242" s="19"/>
      <c r="I242" s="28">
        <v>0.04</v>
      </c>
      <c r="J242" s="238" t="s">
        <v>669</v>
      </c>
      <c r="K242" s="83" t="s">
        <v>231</v>
      </c>
      <c r="L242" s="100" t="s">
        <v>628</v>
      </c>
      <c r="M242" s="219" t="s">
        <v>2870</v>
      </c>
      <c r="N242" s="205" t="s">
        <v>2871</v>
      </c>
      <c r="O242" s="206">
        <v>1</v>
      </c>
      <c r="P242" s="226" t="s">
        <v>126</v>
      </c>
      <c r="Q242" s="288">
        <v>65.81</v>
      </c>
      <c r="R242" s="209">
        <v>0.09</v>
      </c>
      <c r="S242" s="91">
        <v>59.887100000000004</v>
      </c>
      <c r="T242" s="86"/>
      <c r="U242" s="186">
        <v>0.02</v>
      </c>
      <c r="V242" s="238" t="s">
        <v>669</v>
      </c>
      <c r="W242" s="83" t="s">
        <v>231</v>
      </c>
      <c r="X242" s="100" t="s">
        <v>628</v>
      </c>
    </row>
    <row r="243" spans="1:24" s="1" customFormat="1">
      <c r="A243" s="219" t="s">
        <v>1010</v>
      </c>
      <c r="B243" s="205" t="s">
        <v>1011</v>
      </c>
      <c r="C243" s="206">
        <v>1</v>
      </c>
      <c r="D243" s="227" t="s">
        <v>126</v>
      </c>
      <c r="E243" s="777">
        <v>124.13</v>
      </c>
      <c r="F243" s="18">
        <f>rv_apple_acc_mac</f>
        <v>0.09</v>
      </c>
      <c r="G243" s="768">
        <f t="shared" si="48"/>
        <v>112.95829999999999</v>
      </c>
      <c r="H243" s="19"/>
      <c r="I243" s="28">
        <v>0.04</v>
      </c>
      <c r="J243" s="238" t="s">
        <v>669</v>
      </c>
      <c r="K243" s="83" t="s">
        <v>231</v>
      </c>
      <c r="L243" s="100" t="s">
        <v>628</v>
      </c>
      <c r="M243" s="219" t="s">
        <v>1010</v>
      </c>
      <c r="N243" s="205" t="s">
        <v>1011</v>
      </c>
      <c r="O243" s="206">
        <v>1</v>
      </c>
      <c r="P243" s="227" t="s">
        <v>126</v>
      </c>
      <c r="Q243" s="288">
        <v>124.15</v>
      </c>
      <c r="R243" s="188">
        <v>0.09</v>
      </c>
      <c r="S243" s="62">
        <v>112.9765</v>
      </c>
      <c r="T243" s="86"/>
      <c r="U243" s="186">
        <v>0.02</v>
      </c>
      <c r="V243" s="238" t="s">
        <v>669</v>
      </c>
      <c r="W243" s="83" t="s">
        <v>231</v>
      </c>
      <c r="X243" s="100" t="s">
        <v>628</v>
      </c>
    </row>
    <row r="244" spans="1:24" s="1" customFormat="1">
      <c r="A244" s="219" t="s">
        <v>2394</v>
      </c>
      <c r="B244" s="205" t="s">
        <v>1012</v>
      </c>
      <c r="C244" s="206">
        <v>1</v>
      </c>
      <c r="D244" s="227" t="s">
        <v>126</v>
      </c>
      <c r="E244" s="777">
        <v>149.13</v>
      </c>
      <c r="F244" s="18">
        <f>rv_apple_acc_mac</f>
        <v>0.09</v>
      </c>
      <c r="G244" s="768">
        <f t="shared" si="48"/>
        <v>135.70830000000001</v>
      </c>
      <c r="H244" s="19"/>
      <c r="I244" s="28">
        <v>0.04</v>
      </c>
      <c r="J244" s="238" t="s">
        <v>669</v>
      </c>
      <c r="K244" s="83" t="s">
        <v>231</v>
      </c>
      <c r="L244" s="100" t="s">
        <v>628</v>
      </c>
      <c r="M244" s="219" t="s">
        <v>2394</v>
      </c>
      <c r="N244" s="205" t="s">
        <v>1012</v>
      </c>
      <c r="O244" s="206">
        <v>1</v>
      </c>
      <c r="P244" s="227" t="s">
        <v>126</v>
      </c>
      <c r="Q244" s="288">
        <v>149.15</v>
      </c>
      <c r="R244" s="188">
        <v>0.09</v>
      </c>
      <c r="S244" s="62">
        <v>135.72650000000002</v>
      </c>
      <c r="T244" s="86"/>
      <c r="U244" s="186">
        <v>0.02</v>
      </c>
      <c r="V244" s="238" t="s">
        <v>669</v>
      </c>
      <c r="W244" s="83" t="s">
        <v>231</v>
      </c>
      <c r="X244" s="100" t="s">
        <v>628</v>
      </c>
    </row>
    <row r="245" spans="1:24" s="1" customFormat="1">
      <c r="A245" s="219" t="s">
        <v>1014</v>
      </c>
      <c r="B245" s="205" t="s">
        <v>1015</v>
      </c>
      <c r="C245" s="206">
        <v>1</v>
      </c>
      <c r="D245" s="226" t="s">
        <v>817</v>
      </c>
      <c r="E245" s="777">
        <v>20.83</v>
      </c>
      <c r="F245" s="18">
        <f t="shared" ref="F245:F248" si="49">rv_20</f>
        <v>0.2</v>
      </c>
      <c r="G245" s="30">
        <f t="shared" si="48"/>
        <v>16.663999999999998</v>
      </c>
      <c r="H245" s="19"/>
      <c r="I245" s="28">
        <v>0.03</v>
      </c>
      <c r="J245" s="238" t="s">
        <v>669</v>
      </c>
      <c r="K245" s="83" t="s">
        <v>231</v>
      </c>
      <c r="L245" s="100" t="s">
        <v>628</v>
      </c>
      <c r="M245" s="219" t="s">
        <v>1014</v>
      </c>
      <c r="N245" s="205" t="s">
        <v>1015</v>
      </c>
      <c r="O245" s="206">
        <v>1</v>
      </c>
      <c r="P245" s="226" t="s">
        <v>817</v>
      </c>
      <c r="Q245" s="288">
        <v>20.83</v>
      </c>
      <c r="R245" s="188">
        <v>0.2</v>
      </c>
      <c r="S245" s="91">
        <v>16.663999999999998</v>
      </c>
      <c r="T245" s="86"/>
      <c r="U245" s="186">
        <v>0.01</v>
      </c>
      <c r="V245" s="238" t="s">
        <v>669</v>
      </c>
      <c r="W245" s="83" t="s">
        <v>231</v>
      </c>
      <c r="X245" s="100" t="s">
        <v>628</v>
      </c>
    </row>
    <row r="246" spans="1:24" s="1" customFormat="1">
      <c r="A246" s="219" t="s">
        <v>1016</v>
      </c>
      <c r="B246" s="205" t="s">
        <v>1017</v>
      </c>
      <c r="C246" s="206">
        <v>1</v>
      </c>
      <c r="D246" s="226" t="s">
        <v>817</v>
      </c>
      <c r="E246" s="288">
        <v>20.83</v>
      </c>
      <c r="F246" s="188">
        <f t="shared" si="49"/>
        <v>0.2</v>
      </c>
      <c r="G246" s="91">
        <f t="shared" si="48"/>
        <v>16.663999999999998</v>
      </c>
      <c r="H246" s="19"/>
      <c r="I246" s="28">
        <v>0.03</v>
      </c>
      <c r="J246" s="238" t="s">
        <v>669</v>
      </c>
      <c r="K246" s="83" t="s">
        <v>231</v>
      </c>
      <c r="L246" s="100" t="s">
        <v>628</v>
      </c>
      <c r="M246" s="219" t="s">
        <v>1016</v>
      </c>
      <c r="N246" s="205" t="s">
        <v>1017</v>
      </c>
      <c r="O246" s="206">
        <v>1</v>
      </c>
      <c r="P246" s="226" t="s">
        <v>817</v>
      </c>
      <c r="Q246" s="288">
        <v>20.83</v>
      </c>
      <c r="R246" s="188">
        <v>0.2</v>
      </c>
      <c r="S246" s="91">
        <v>16.663999999999998</v>
      </c>
      <c r="T246" s="86"/>
      <c r="U246" s="186">
        <v>0.01</v>
      </c>
      <c r="V246" s="238" t="s">
        <v>669</v>
      </c>
      <c r="W246" s="83" t="s">
        <v>231</v>
      </c>
      <c r="X246" s="100" t="s">
        <v>628</v>
      </c>
    </row>
    <row r="247" spans="1:24" s="1" customFormat="1">
      <c r="A247" s="219" t="s">
        <v>1018</v>
      </c>
      <c r="B247" s="205" t="s">
        <v>1019</v>
      </c>
      <c r="C247" s="206">
        <v>1</v>
      </c>
      <c r="D247" s="226" t="s">
        <v>817</v>
      </c>
      <c r="E247" s="288">
        <v>16.579999999999998</v>
      </c>
      <c r="F247" s="188">
        <f t="shared" si="49"/>
        <v>0.2</v>
      </c>
      <c r="G247" s="91">
        <f t="shared" si="48"/>
        <v>13.263999999999999</v>
      </c>
      <c r="H247" s="19"/>
      <c r="I247" s="28">
        <v>0.03</v>
      </c>
      <c r="J247" s="238" t="s">
        <v>669</v>
      </c>
      <c r="K247" s="83" t="s">
        <v>231</v>
      </c>
      <c r="L247" s="100" t="s">
        <v>628</v>
      </c>
      <c r="M247" s="219" t="s">
        <v>1018</v>
      </c>
      <c r="N247" s="205" t="s">
        <v>1019</v>
      </c>
      <c r="O247" s="206">
        <v>1</v>
      </c>
      <c r="P247" s="226" t="s">
        <v>817</v>
      </c>
      <c r="Q247" s="288">
        <v>16.579999999999998</v>
      </c>
      <c r="R247" s="188">
        <v>0.2</v>
      </c>
      <c r="S247" s="91">
        <v>13.263999999999999</v>
      </c>
      <c r="T247" s="86"/>
      <c r="U247" s="186">
        <v>0.01</v>
      </c>
      <c r="V247" s="238" t="s">
        <v>669</v>
      </c>
      <c r="W247" s="83" t="s">
        <v>231</v>
      </c>
      <c r="X247" s="100" t="s">
        <v>628</v>
      </c>
    </row>
    <row r="248" spans="1:24" s="1" customFormat="1">
      <c r="A248" s="219" t="s">
        <v>1020</v>
      </c>
      <c r="B248" s="205" t="s">
        <v>1021</v>
      </c>
      <c r="C248" s="206">
        <v>1</v>
      </c>
      <c r="D248" s="226" t="s">
        <v>817</v>
      </c>
      <c r="E248" s="288">
        <v>16.579999999999998</v>
      </c>
      <c r="F248" s="188">
        <f t="shared" si="49"/>
        <v>0.2</v>
      </c>
      <c r="G248" s="91">
        <f t="shared" si="48"/>
        <v>13.263999999999999</v>
      </c>
      <c r="H248" s="19"/>
      <c r="I248" s="28">
        <v>0.03</v>
      </c>
      <c r="J248" s="238" t="s">
        <v>669</v>
      </c>
      <c r="K248" s="83" t="s">
        <v>231</v>
      </c>
      <c r="L248" s="100" t="s">
        <v>628</v>
      </c>
      <c r="M248" s="219" t="s">
        <v>1020</v>
      </c>
      <c r="N248" s="205" t="s">
        <v>1021</v>
      </c>
      <c r="O248" s="206">
        <v>1</v>
      </c>
      <c r="P248" s="226" t="s">
        <v>817</v>
      </c>
      <c r="Q248" s="288">
        <v>16.579999999999998</v>
      </c>
      <c r="R248" s="188">
        <v>0.2</v>
      </c>
      <c r="S248" s="91">
        <v>13.263999999999999</v>
      </c>
      <c r="T248" s="86"/>
      <c r="U248" s="186">
        <v>0.01</v>
      </c>
      <c r="V248" s="238" t="s">
        <v>669</v>
      </c>
      <c r="W248" s="83" t="s">
        <v>231</v>
      </c>
      <c r="X248" s="100" t="s">
        <v>628</v>
      </c>
    </row>
    <row r="249" spans="1:24" s="1" customFormat="1">
      <c r="A249" s="219" t="s">
        <v>1022</v>
      </c>
      <c r="B249" s="205" t="s">
        <v>1023</v>
      </c>
      <c r="C249" s="206">
        <v>1</v>
      </c>
      <c r="D249" s="226" t="s">
        <v>817</v>
      </c>
      <c r="E249" s="288">
        <v>32.99</v>
      </c>
      <c r="F249" s="188">
        <f>rv_20</f>
        <v>0.2</v>
      </c>
      <c r="G249" s="91">
        <f t="shared" si="48"/>
        <v>26.392000000000003</v>
      </c>
      <c r="H249" s="19"/>
      <c r="I249" s="28">
        <v>0.03</v>
      </c>
      <c r="J249" s="238" t="s">
        <v>669</v>
      </c>
      <c r="K249" s="83" t="s">
        <v>231</v>
      </c>
      <c r="L249" s="100" t="s">
        <v>628</v>
      </c>
      <c r="M249" s="219" t="s">
        <v>1022</v>
      </c>
      <c r="N249" s="205" t="s">
        <v>1023</v>
      </c>
      <c r="O249" s="206">
        <v>1</v>
      </c>
      <c r="P249" s="226" t="s">
        <v>817</v>
      </c>
      <c r="Q249" s="288">
        <v>32.99</v>
      </c>
      <c r="R249" s="188">
        <v>0.2</v>
      </c>
      <c r="S249" s="91">
        <v>26.392000000000003</v>
      </c>
      <c r="T249" s="86"/>
      <c r="U249" s="186">
        <v>0.06</v>
      </c>
      <c r="V249" s="238" t="s">
        <v>669</v>
      </c>
      <c r="W249" s="83" t="s">
        <v>231</v>
      </c>
      <c r="X249" s="100" t="s">
        <v>628</v>
      </c>
    </row>
    <row r="250" spans="1:24" s="1" customFormat="1">
      <c r="A250" s="219" t="s">
        <v>1024</v>
      </c>
      <c r="B250" s="205" t="s">
        <v>1025</v>
      </c>
      <c r="C250" s="206">
        <v>1</v>
      </c>
      <c r="D250" s="226" t="s">
        <v>817</v>
      </c>
      <c r="E250" s="288">
        <v>24.99</v>
      </c>
      <c r="F250" s="188">
        <f>rv_20</f>
        <v>0.2</v>
      </c>
      <c r="G250" s="91">
        <f t="shared" si="48"/>
        <v>19.991999999999997</v>
      </c>
      <c r="H250" s="19"/>
      <c r="I250" s="28">
        <v>0.03</v>
      </c>
      <c r="J250" s="238" t="s">
        <v>669</v>
      </c>
      <c r="K250" s="83" t="s">
        <v>231</v>
      </c>
      <c r="L250" s="100" t="s">
        <v>628</v>
      </c>
      <c r="M250" s="219" t="s">
        <v>1024</v>
      </c>
      <c r="N250" s="205" t="s">
        <v>1025</v>
      </c>
      <c r="O250" s="206">
        <v>1</v>
      </c>
      <c r="P250" s="226" t="s">
        <v>817</v>
      </c>
      <c r="Q250" s="288">
        <v>24.99</v>
      </c>
      <c r="R250" s="188">
        <v>0.2</v>
      </c>
      <c r="S250" s="91">
        <v>19.991999999999997</v>
      </c>
      <c r="T250" s="86"/>
      <c r="U250" s="186">
        <v>0.02</v>
      </c>
      <c r="V250" s="238" t="s">
        <v>669</v>
      </c>
      <c r="W250" s="83" t="s">
        <v>231</v>
      </c>
      <c r="X250" s="100" t="s">
        <v>628</v>
      </c>
    </row>
    <row r="251" spans="1:24" s="1" customFormat="1">
      <c r="A251" s="219" t="s">
        <v>1026</v>
      </c>
      <c r="B251" s="205" t="s">
        <v>1027</v>
      </c>
      <c r="C251" s="206">
        <v>1</v>
      </c>
      <c r="D251" s="226" t="s">
        <v>817</v>
      </c>
      <c r="E251" s="288">
        <v>74.989999999999995</v>
      </c>
      <c r="F251" s="188">
        <f>rv_20</f>
        <v>0.2</v>
      </c>
      <c r="G251" s="91">
        <f t="shared" si="48"/>
        <v>59.991999999999997</v>
      </c>
      <c r="H251" s="19"/>
      <c r="I251" s="28">
        <v>0.03</v>
      </c>
      <c r="J251" s="238" t="s">
        <v>669</v>
      </c>
      <c r="K251" s="83" t="s">
        <v>231</v>
      </c>
      <c r="L251" s="100" t="s">
        <v>628</v>
      </c>
      <c r="M251" s="219" t="s">
        <v>1026</v>
      </c>
      <c r="N251" s="205" t="s">
        <v>1027</v>
      </c>
      <c r="O251" s="206">
        <v>1</v>
      </c>
      <c r="P251" s="226" t="s">
        <v>817</v>
      </c>
      <c r="Q251" s="288">
        <v>74.989999999999995</v>
      </c>
      <c r="R251" s="188">
        <v>0.2</v>
      </c>
      <c r="S251" s="91">
        <v>59.991999999999997</v>
      </c>
      <c r="T251" s="86"/>
      <c r="U251" s="186">
        <v>0.02</v>
      </c>
      <c r="V251" s="238" t="s">
        <v>669</v>
      </c>
      <c r="W251" s="83" t="s">
        <v>231</v>
      </c>
      <c r="X251" s="100" t="s">
        <v>628</v>
      </c>
    </row>
    <row r="252" spans="1:24" s="1" customFormat="1">
      <c r="A252" s="219" t="s">
        <v>1028</v>
      </c>
      <c r="B252" s="205" t="s">
        <v>1029</v>
      </c>
      <c r="C252" s="206">
        <v>1</v>
      </c>
      <c r="D252" s="226" t="s">
        <v>817</v>
      </c>
      <c r="E252" s="287">
        <v>34.99</v>
      </c>
      <c r="F252" s="188">
        <f>rv_20</f>
        <v>0.2</v>
      </c>
      <c r="G252" s="62">
        <f t="shared" si="48"/>
        <v>27.992000000000001</v>
      </c>
      <c r="H252" s="19"/>
      <c r="I252" s="28">
        <v>0.03</v>
      </c>
      <c r="J252" s="238" t="s">
        <v>669</v>
      </c>
      <c r="K252" s="83" t="s">
        <v>231</v>
      </c>
      <c r="L252" s="100" t="s">
        <v>628</v>
      </c>
      <c r="M252" s="219" t="s">
        <v>1028</v>
      </c>
      <c r="N252" s="205" t="s">
        <v>1029</v>
      </c>
      <c r="O252" s="206">
        <v>1</v>
      </c>
      <c r="P252" s="226" t="s">
        <v>817</v>
      </c>
      <c r="Q252" s="287">
        <v>34.99</v>
      </c>
      <c r="R252" s="188">
        <v>0.2</v>
      </c>
      <c r="S252" s="62">
        <v>27.992000000000001</v>
      </c>
      <c r="T252" s="86"/>
      <c r="U252" s="186">
        <v>0.02</v>
      </c>
      <c r="V252" s="238" t="s">
        <v>669</v>
      </c>
      <c r="W252" s="83" t="s">
        <v>231</v>
      </c>
      <c r="X252" s="100" t="s">
        <v>628</v>
      </c>
    </row>
    <row r="253" spans="1:24" s="1" customFormat="1">
      <c r="A253" s="219" t="s">
        <v>1030</v>
      </c>
      <c r="B253" s="205" t="s">
        <v>1031</v>
      </c>
      <c r="C253" s="206">
        <v>1</v>
      </c>
      <c r="D253" s="226" t="s">
        <v>817</v>
      </c>
      <c r="E253" s="287">
        <v>24.99</v>
      </c>
      <c r="F253" s="188">
        <f t="shared" ref="F253:F268" si="50">rv_20</f>
        <v>0.2</v>
      </c>
      <c r="G253" s="62">
        <f t="shared" si="48"/>
        <v>19.991999999999997</v>
      </c>
      <c r="H253" s="19"/>
      <c r="I253" s="28">
        <v>0.03</v>
      </c>
      <c r="J253" s="238" t="s">
        <v>669</v>
      </c>
      <c r="K253" s="83" t="s">
        <v>231</v>
      </c>
      <c r="L253" s="100" t="s">
        <v>628</v>
      </c>
      <c r="M253" s="219" t="s">
        <v>1030</v>
      </c>
      <c r="N253" s="205" t="s">
        <v>1031</v>
      </c>
      <c r="O253" s="206">
        <v>1</v>
      </c>
      <c r="P253" s="226" t="s">
        <v>817</v>
      </c>
      <c r="Q253" s="287">
        <v>24.99</v>
      </c>
      <c r="R253" s="188">
        <v>0.2</v>
      </c>
      <c r="S253" s="62">
        <v>19.991999999999997</v>
      </c>
      <c r="T253" s="86"/>
      <c r="U253" s="186">
        <v>0.02</v>
      </c>
      <c r="V253" s="238" t="s">
        <v>669</v>
      </c>
      <c r="W253" s="83" t="s">
        <v>231</v>
      </c>
      <c r="X253" s="100" t="s">
        <v>628</v>
      </c>
    </row>
    <row r="254" spans="1:24" s="1" customFormat="1">
      <c r="A254" s="219" t="s">
        <v>3047</v>
      </c>
      <c r="B254" s="520" t="s">
        <v>1033</v>
      </c>
      <c r="C254" s="206">
        <v>1</v>
      </c>
      <c r="D254" s="226" t="s">
        <v>817</v>
      </c>
      <c r="E254" s="287">
        <v>19.95</v>
      </c>
      <c r="F254" s="188">
        <v>0.2</v>
      </c>
      <c r="G254" s="62">
        <v>11.959999999999999</v>
      </c>
      <c r="H254" s="19"/>
      <c r="I254" s="28">
        <v>0.03</v>
      </c>
      <c r="J254" s="238" t="s">
        <v>669</v>
      </c>
      <c r="K254" s="83" t="s">
        <v>231</v>
      </c>
      <c r="L254" s="100" t="s">
        <v>628</v>
      </c>
      <c r="M254" s="219" t="s">
        <v>1032</v>
      </c>
      <c r="N254" s="520" t="s">
        <v>1033</v>
      </c>
      <c r="O254" s="206">
        <v>1</v>
      </c>
      <c r="P254" s="226" t="s">
        <v>817</v>
      </c>
      <c r="Q254" s="287">
        <v>19.95</v>
      </c>
      <c r="R254" s="188">
        <v>0.2</v>
      </c>
      <c r="S254" s="62">
        <v>11.959999999999999</v>
      </c>
      <c r="T254" s="86"/>
      <c r="U254" s="186">
        <v>0.02</v>
      </c>
      <c r="V254" s="238" t="s">
        <v>669</v>
      </c>
      <c r="W254" s="83" t="s">
        <v>231</v>
      </c>
      <c r="X254" s="100" t="s">
        <v>628</v>
      </c>
    </row>
    <row r="255" spans="1:24" s="1" customFormat="1">
      <c r="A255" s="219" t="s">
        <v>1034</v>
      </c>
      <c r="B255" s="205" t="s">
        <v>1035</v>
      </c>
      <c r="C255" s="206">
        <v>1</v>
      </c>
      <c r="D255" s="226" t="s">
        <v>1036</v>
      </c>
      <c r="E255" s="287">
        <v>33.29</v>
      </c>
      <c r="F255" s="188">
        <f t="shared" si="50"/>
        <v>0.2</v>
      </c>
      <c r="G255" s="62">
        <f t="shared" si="48"/>
        <v>26.631999999999998</v>
      </c>
      <c r="H255" s="19"/>
      <c r="I255" s="28">
        <v>0.03</v>
      </c>
      <c r="J255" s="238" t="s">
        <v>669</v>
      </c>
      <c r="K255" s="83" t="s">
        <v>231</v>
      </c>
      <c r="L255" s="100" t="s">
        <v>628</v>
      </c>
      <c r="M255" s="219" t="s">
        <v>1034</v>
      </c>
      <c r="N255" s="205" t="s">
        <v>1035</v>
      </c>
      <c r="O255" s="206">
        <v>1</v>
      </c>
      <c r="P255" s="226" t="s">
        <v>1036</v>
      </c>
      <c r="Q255" s="287">
        <v>33.29</v>
      </c>
      <c r="R255" s="188">
        <v>0.2</v>
      </c>
      <c r="S255" s="62">
        <v>26.631999999999998</v>
      </c>
      <c r="T255" s="86"/>
      <c r="U255" s="186">
        <v>0.02</v>
      </c>
      <c r="V255" s="238" t="s">
        <v>669</v>
      </c>
      <c r="W255" s="83" t="s">
        <v>231</v>
      </c>
      <c r="X255" s="100" t="s">
        <v>628</v>
      </c>
    </row>
    <row r="256" spans="1:24" s="1" customFormat="1">
      <c r="A256" s="219" t="s">
        <v>1037</v>
      </c>
      <c r="B256" s="205" t="s">
        <v>1038</v>
      </c>
      <c r="C256" s="206">
        <v>1</v>
      </c>
      <c r="D256" s="226" t="s">
        <v>1036</v>
      </c>
      <c r="E256" s="287">
        <v>37.46</v>
      </c>
      <c r="F256" s="188">
        <f t="shared" si="50"/>
        <v>0.2</v>
      </c>
      <c r="G256" s="62">
        <f t="shared" si="48"/>
        <v>29.968</v>
      </c>
      <c r="H256" s="19"/>
      <c r="I256" s="28">
        <v>0.03</v>
      </c>
      <c r="J256" s="238" t="s">
        <v>669</v>
      </c>
      <c r="K256" s="83" t="s">
        <v>231</v>
      </c>
      <c r="L256" s="100" t="s">
        <v>628</v>
      </c>
      <c r="M256" s="219" t="s">
        <v>1037</v>
      </c>
      <c r="N256" s="205" t="s">
        <v>1038</v>
      </c>
      <c r="O256" s="206">
        <v>1</v>
      </c>
      <c r="P256" s="226" t="s">
        <v>1036</v>
      </c>
      <c r="Q256" s="287">
        <v>37.46</v>
      </c>
      <c r="R256" s="188">
        <v>0.2</v>
      </c>
      <c r="S256" s="62">
        <v>29.968</v>
      </c>
      <c r="T256" s="86"/>
      <c r="U256" s="186">
        <v>0.02</v>
      </c>
      <c r="V256" s="238" t="s">
        <v>669</v>
      </c>
      <c r="W256" s="83" t="s">
        <v>231</v>
      </c>
      <c r="X256" s="100" t="s">
        <v>628</v>
      </c>
    </row>
    <row r="257" spans="1:24" s="1" customFormat="1">
      <c r="A257" s="219" t="s">
        <v>1039</v>
      </c>
      <c r="B257" s="205" t="s">
        <v>1040</v>
      </c>
      <c r="C257" s="206">
        <v>1</v>
      </c>
      <c r="D257" s="226" t="s">
        <v>1036</v>
      </c>
      <c r="E257" s="287">
        <v>76.62</v>
      </c>
      <c r="F257" s="188">
        <f t="shared" si="50"/>
        <v>0.2</v>
      </c>
      <c r="G257" s="62">
        <f t="shared" si="48"/>
        <v>61.296000000000006</v>
      </c>
      <c r="H257" s="19"/>
      <c r="I257" s="28">
        <v>0.03</v>
      </c>
      <c r="J257" s="238" t="s">
        <v>669</v>
      </c>
      <c r="K257" s="83" t="s">
        <v>231</v>
      </c>
      <c r="L257" s="100" t="s">
        <v>628</v>
      </c>
      <c r="M257" s="219" t="s">
        <v>1039</v>
      </c>
      <c r="N257" s="205" t="s">
        <v>1040</v>
      </c>
      <c r="O257" s="206">
        <v>1</v>
      </c>
      <c r="P257" s="226" t="s">
        <v>1036</v>
      </c>
      <c r="Q257" s="287">
        <v>76.62</v>
      </c>
      <c r="R257" s="188">
        <v>0.2</v>
      </c>
      <c r="S257" s="62">
        <v>61.296000000000006</v>
      </c>
      <c r="T257" s="86"/>
      <c r="U257" s="186">
        <v>0.02</v>
      </c>
      <c r="V257" s="238" t="s">
        <v>669</v>
      </c>
      <c r="W257" s="83" t="s">
        <v>231</v>
      </c>
      <c r="X257" s="100" t="s">
        <v>628</v>
      </c>
    </row>
    <row r="258" spans="1:24" s="1" customFormat="1" ht="13.5" thickBot="1">
      <c r="A258" s="219" t="s">
        <v>1041</v>
      </c>
      <c r="B258" s="205" t="s">
        <v>1042</v>
      </c>
      <c r="C258" s="206">
        <v>1</v>
      </c>
      <c r="D258" s="226" t="s">
        <v>992</v>
      </c>
      <c r="E258" s="287">
        <v>24.9</v>
      </c>
      <c r="F258" s="188">
        <f>rv_20</f>
        <v>0.2</v>
      </c>
      <c r="G258" s="62">
        <f t="shared" si="48"/>
        <v>19.919999999999998</v>
      </c>
      <c r="H258" s="19"/>
      <c r="I258" s="28">
        <v>0.03</v>
      </c>
      <c r="J258" s="238" t="s">
        <v>669</v>
      </c>
      <c r="K258" s="83" t="s">
        <v>231</v>
      </c>
      <c r="L258" s="100" t="s">
        <v>628</v>
      </c>
      <c r="M258" s="219" t="s">
        <v>1041</v>
      </c>
      <c r="N258" s="205" t="s">
        <v>1042</v>
      </c>
      <c r="O258" s="206">
        <v>1</v>
      </c>
      <c r="P258" s="226" t="s">
        <v>992</v>
      </c>
      <c r="Q258" s="287">
        <v>24.9</v>
      </c>
      <c r="R258" s="188">
        <v>0.2</v>
      </c>
      <c r="S258" s="62">
        <v>19.919999999999998</v>
      </c>
      <c r="T258" s="86"/>
      <c r="U258" s="186">
        <v>0.05</v>
      </c>
      <c r="V258" s="238" t="s">
        <v>669</v>
      </c>
      <c r="W258" s="83" t="s">
        <v>231</v>
      </c>
      <c r="X258" s="100" t="s">
        <v>628</v>
      </c>
    </row>
    <row r="259" spans="1:24" s="1" customFormat="1" ht="25" customHeight="1" thickBot="1">
      <c r="A259" s="468" t="s">
        <v>1043</v>
      </c>
      <c r="B259" s="340" t="s">
        <v>1044</v>
      </c>
      <c r="C259" s="629"/>
      <c r="D259" s="629"/>
      <c r="E259" s="630"/>
      <c r="F259" s="631"/>
      <c r="G259" s="630"/>
      <c r="H259" s="630"/>
      <c r="I259" s="630"/>
      <c r="J259" s="459"/>
      <c r="K259" s="341"/>
      <c r="L259" s="341"/>
      <c r="M259" s="468" t="s">
        <v>1043</v>
      </c>
      <c r="N259" s="340" t="s">
        <v>1044</v>
      </c>
      <c r="O259" s="629"/>
      <c r="P259" s="629"/>
      <c r="Q259" s="630"/>
      <c r="R259" s="631"/>
      <c r="S259" s="630"/>
      <c r="T259" s="630"/>
      <c r="U259" s="630"/>
      <c r="V259" s="459"/>
      <c r="W259" s="341"/>
      <c r="X259" s="341"/>
    </row>
    <row r="260" spans="1:24" s="1" customFormat="1">
      <c r="A260" s="774"/>
      <c r="B260" s="775"/>
      <c r="C260" s="770"/>
      <c r="D260" s="27"/>
      <c r="E260" s="777"/>
      <c r="F260" s="18"/>
      <c r="G260" s="30"/>
      <c r="H260" s="86"/>
      <c r="I260" s="186"/>
      <c r="J260" s="238"/>
      <c r="K260" s="83"/>
      <c r="L260" s="100"/>
      <c r="M260" s="711" t="s">
        <v>1013</v>
      </c>
      <c r="N260" s="712" t="s">
        <v>3037</v>
      </c>
      <c r="O260" s="713">
        <v>1</v>
      </c>
      <c r="P260" s="736" t="s">
        <v>126</v>
      </c>
      <c r="Q260" s="715">
        <v>20.82</v>
      </c>
      <c r="R260" s="716">
        <v>0.15</v>
      </c>
      <c r="S260" s="749">
        <v>17.696999999999999</v>
      </c>
      <c r="T260" s="718"/>
      <c r="U260" s="719">
        <v>0.01</v>
      </c>
      <c r="V260" s="238" t="s">
        <v>669</v>
      </c>
      <c r="W260" s="83" t="s">
        <v>231</v>
      </c>
      <c r="X260" s="100" t="s">
        <v>628</v>
      </c>
    </row>
    <row r="261" spans="1:24" s="1" customFormat="1">
      <c r="A261" s="774" t="s">
        <v>1045</v>
      </c>
      <c r="B261" s="775" t="s">
        <v>1046</v>
      </c>
      <c r="C261" s="770">
        <v>1</v>
      </c>
      <c r="D261" s="27" t="s">
        <v>126</v>
      </c>
      <c r="E261" s="777">
        <v>20.79</v>
      </c>
      <c r="F261" s="18">
        <f t="shared" ref="F261" si="51">rv_apple_acc_ipad</f>
        <v>0.15</v>
      </c>
      <c r="G261" s="30">
        <f t="shared" ref="G261:G263" si="52">E261-(E261*F261)</f>
        <v>17.671499999999998</v>
      </c>
      <c r="H261" s="86"/>
      <c r="I261" s="28">
        <v>0.04</v>
      </c>
      <c r="J261" s="238" t="s">
        <v>669</v>
      </c>
      <c r="K261" s="83" t="s">
        <v>231</v>
      </c>
      <c r="L261" s="100" t="s">
        <v>628</v>
      </c>
      <c r="M261" s="219" t="s">
        <v>1045</v>
      </c>
      <c r="N261" s="205" t="s">
        <v>1046</v>
      </c>
      <c r="O261" s="206">
        <v>1</v>
      </c>
      <c r="P261" s="226" t="s">
        <v>126</v>
      </c>
      <c r="Q261" s="288">
        <v>20.81</v>
      </c>
      <c r="R261" s="188">
        <v>0.15</v>
      </c>
      <c r="S261" s="91">
        <v>17.688499999999998</v>
      </c>
      <c r="T261" s="86"/>
      <c r="U261" s="186">
        <v>0.02</v>
      </c>
      <c r="V261" s="238" t="s">
        <v>669</v>
      </c>
      <c r="W261" s="83" t="s">
        <v>231</v>
      </c>
      <c r="X261" s="100" t="s">
        <v>628</v>
      </c>
    </row>
    <row r="262" spans="1:24" s="1" customFormat="1">
      <c r="A262" s="774"/>
      <c r="B262" s="775"/>
      <c r="C262" s="770"/>
      <c r="D262" s="27"/>
      <c r="E262" s="777"/>
      <c r="F262" s="18"/>
      <c r="G262" s="30"/>
      <c r="H262" s="86"/>
      <c r="I262" s="28"/>
      <c r="J262" s="238"/>
      <c r="K262" s="83"/>
      <c r="L262" s="100"/>
      <c r="M262" s="711" t="s">
        <v>1047</v>
      </c>
      <c r="N262" s="712" t="s">
        <v>1048</v>
      </c>
      <c r="O262" s="713">
        <v>1</v>
      </c>
      <c r="P262" s="736" t="s">
        <v>126</v>
      </c>
      <c r="Q262" s="715">
        <v>32.479999999999997</v>
      </c>
      <c r="R262" s="716">
        <v>0.15</v>
      </c>
      <c r="S262" s="749">
        <v>27.607999999999997</v>
      </c>
      <c r="T262" s="718"/>
      <c r="U262" s="719">
        <v>0.02</v>
      </c>
      <c r="V262" s="238" t="s">
        <v>669</v>
      </c>
      <c r="W262" s="83" t="s">
        <v>231</v>
      </c>
      <c r="X262" s="100" t="s">
        <v>628</v>
      </c>
    </row>
    <row r="263" spans="1:24" s="1" customFormat="1">
      <c r="A263" s="774" t="s">
        <v>1049</v>
      </c>
      <c r="B263" s="775" t="s">
        <v>1050</v>
      </c>
      <c r="C263" s="770">
        <v>1</v>
      </c>
      <c r="D263" s="27" t="s">
        <v>126</v>
      </c>
      <c r="E263" s="777">
        <v>20.79</v>
      </c>
      <c r="F263" s="18">
        <f>rv_apple_acc_ipad</f>
        <v>0.15</v>
      </c>
      <c r="G263" s="30">
        <f t="shared" si="52"/>
        <v>17.671499999999998</v>
      </c>
      <c r="H263" s="757"/>
      <c r="I263" s="28">
        <v>0.04</v>
      </c>
      <c r="J263" s="238" t="s">
        <v>669</v>
      </c>
      <c r="K263" s="83" t="s">
        <v>231</v>
      </c>
      <c r="L263" s="100" t="s">
        <v>628</v>
      </c>
      <c r="M263" s="219" t="s">
        <v>1049</v>
      </c>
      <c r="N263" s="205" t="s">
        <v>1050</v>
      </c>
      <c r="O263" s="206">
        <v>1</v>
      </c>
      <c r="P263" s="226" t="s">
        <v>126</v>
      </c>
      <c r="Q263" s="288">
        <v>20.81</v>
      </c>
      <c r="R263" s="188">
        <v>0.15</v>
      </c>
      <c r="S263" s="91">
        <v>17.688499999999998</v>
      </c>
      <c r="T263" s="86"/>
      <c r="U263" s="186">
        <v>0.02</v>
      </c>
      <c r="V263" s="238" t="s">
        <v>669</v>
      </c>
      <c r="W263" s="83" t="s">
        <v>231</v>
      </c>
      <c r="X263" s="100" t="s">
        <v>628</v>
      </c>
    </row>
    <row r="264" spans="1:24" s="1" customFormat="1">
      <c r="A264" s="774" t="s">
        <v>2400</v>
      </c>
      <c r="B264" s="775" t="s">
        <v>1051</v>
      </c>
      <c r="C264" s="770">
        <v>1</v>
      </c>
      <c r="D264" s="27" t="s">
        <v>126</v>
      </c>
      <c r="E264" s="777">
        <v>29.13</v>
      </c>
      <c r="F264" s="18">
        <f>rv_apple_acc_ipad</f>
        <v>0.15</v>
      </c>
      <c r="G264" s="30">
        <f>E264-(E264*F264)</f>
        <v>24.7605</v>
      </c>
      <c r="H264" s="86"/>
      <c r="I264" s="28">
        <v>0.04</v>
      </c>
      <c r="J264" s="238" t="s">
        <v>669</v>
      </c>
      <c r="K264" s="83" t="s">
        <v>231</v>
      </c>
      <c r="L264" s="100" t="s">
        <v>628</v>
      </c>
      <c r="M264" s="219" t="s">
        <v>2400</v>
      </c>
      <c r="N264" s="205" t="s">
        <v>1051</v>
      </c>
      <c r="O264" s="206">
        <v>1</v>
      </c>
      <c r="P264" s="226" t="s">
        <v>126</v>
      </c>
      <c r="Q264" s="288">
        <v>29.16</v>
      </c>
      <c r="R264" s="188">
        <v>0.15</v>
      </c>
      <c r="S264" s="91">
        <v>24.786000000000001</v>
      </c>
      <c r="T264" s="86"/>
      <c r="U264" s="186">
        <v>0.02</v>
      </c>
      <c r="V264" s="238" t="s">
        <v>669</v>
      </c>
      <c r="W264" s="83" t="s">
        <v>231</v>
      </c>
      <c r="X264" s="100" t="s">
        <v>628</v>
      </c>
    </row>
    <row r="265" spans="1:24" s="1" customFormat="1">
      <c r="A265" s="774" t="s">
        <v>3040</v>
      </c>
      <c r="B265" s="775" t="s">
        <v>1053</v>
      </c>
      <c r="C265" s="770">
        <v>1</v>
      </c>
      <c r="D265" s="27" t="s">
        <v>126</v>
      </c>
      <c r="E265" s="777">
        <v>45.79</v>
      </c>
      <c r="F265" s="778">
        <f t="shared" si="39"/>
        <v>0.09</v>
      </c>
      <c r="G265" s="30">
        <f t="shared" ref="G265:G272" si="53">E265-(E265*F265)</f>
        <v>41.668900000000001</v>
      </c>
      <c r="H265" s="734"/>
      <c r="I265" s="28">
        <v>0.04</v>
      </c>
      <c r="J265" s="238" t="s">
        <v>669</v>
      </c>
      <c r="K265" s="83" t="s">
        <v>231</v>
      </c>
      <c r="L265" s="100" t="s">
        <v>628</v>
      </c>
      <c r="M265" s="711" t="s">
        <v>1052</v>
      </c>
      <c r="N265" s="712" t="s">
        <v>1053</v>
      </c>
      <c r="O265" s="713">
        <v>1</v>
      </c>
      <c r="P265" s="736" t="s">
        <v>126</v>
      </c>
      <c r="Q265" s="715">
        <v>45.83</v>
      </c>
      <c r="R265" s="751">
        <v>0.09</v>
      </c>
      <c r="S265" s="749">
        <v>41.705300000000001</v>
      </c>
      <c r="T265" s="718"/>
      <c r="U265" s="719">
        <v>0.01</v>
      </c>
      <c r="V265" s="238" t="s">
        <v>669</v>
      </c>
      <c r="W265" s="83" t="s">
        <v>231</v>
      </c>
      <c r="X265" s="100" t="s">
        <v>628</v>
      </c>
    </row>
    <row r="266" spans="1:24" s="1" customFormat="1">
      <c r="A266" s="774" t="s">
        <v>3039</v>
      </c>
      <c r="B266" s="775" t="s">
        <v>1055</v>
      </c>
      <c r="C266" s="770">
        <v>1</v>
      </c>
      <c r="D266" s="27" t="s">
        <v>126</v>
      </c>
      <c r="E266" s="777">
        <v>20.79</v>
      </c>
      <c r="F266" s="778">
        <f t="shared" si="38"/>
        <v>0.09</v>
      </c>
      <c r="G266" s="30">
        <f t="shared" si="53"/>
        <v>18.918900000000001</v>
      </c>
      <c r="H266" s="734"/>
      <c r="I266" s="28">
        <v>0.04</v>
      </c>
      <c r="J266" s="238" t="s">
        <v>669</v>
      </c>
      <c r="K266" s="83" t="s">
        <v>231</v>
      </c>
      <c r="L266" s="100" t="s">
        <v>628</v>
      </c>
      <c r="M266" s="711" t="s">
        <v>1054</v>
      </c>
      <c r="N266" s="712" t="s">
        <v>1055</v>
      </c>
      <c r="O266" s="713">
        <v>1</v>
      </c>
      <c r="P266" s="736" t="s">
        <v>126</v>
      </c>
      <c r="Q266" s="715">
        <v>20.81</v>
      </c>
      <c r="R266" s="751">
        <v>0.09</v>
      </c>
      <c r="S266" s="749">
        <v>18.937099999999997</v>
      </c>
      <c r="T266" s="718"/>
      <c r="U266" s="719">
        <v>0.02</v>
      </c>
      <c r="V266" s="238" t="s">
        <v>669</v>
      </c>
      <c r="W266" s="83" t="s">
        <v>231</v>
      </c>
      <c r="X266" s="100" t="s">
        <v>628</v>
      </c>
    </row>
    <row r="267" spans="1:24" s="1" customFormat="1">
      <c r="A267" s="774" t="s">
        <v>1056</v>
      </c>
      <c r="B267" s="775" t="s">
        <v>1057</v>
      </c>
      <c r="C267" s="770">
        <v>1</v>
      </c>
      <c r="D267" s="27" t="s">
        <v>1036</v>
      </c>
      <c r="E267" s="767">
        <v>51.59</v>
      </c>
      <c r="F267" s="18">
        <f t="shared" si="50"/>
        <v>0.2</v>
      </c>
      <c r="G267" s="768">
        <f t="shared" si="53"/>
        <v>41.272000000000006</v>
      </c>
      <c r="H267" s="86"/>
      <c r="I267" s="28">
        <v>0.03</v>
      </c>
      <c r="J267" s="238" t="s">
        <v>669</v>
      </c>
      <c r="K267" s="83" t="s">
        <v>231</v>
      </c>
      <c r="L267" s="100" t="s">
        <v>628</v>
      </c>
      <c r="M267" s="219" t="s">
        <v>1056</v>
      </c>
      <c r="N267" s="205" t="s">
        <v>1057</v>
      </c>
      <c r="O267" s="206">
        <v>1</v>
      </c>
      <c r="P267" s="226" t="s">
        <v>1036</v>
      </c>
      <c r="Q267" s="287">
        <v>51.59</v>
      </c>
      <c r="R267" s="188">
        <v>0.2</v>
      </c>
      <c r="S267" s="62">
        <v>41.272000000000006</v>
      </c>
      <c r="T267" s="86"/>
      <c r="U267" s="186">
        <v>0.02</v>
      </c>
      <c r="V267" s="238" t="s">
        <v>669</v>
      </c>
      <c r="W267" s="83" t="s">
        <v>231</v>
      </c>
      <c r="X267" s="100" t="s">
        <v>628</v>
      </c>
    </row>
    <row r="268" spans="1:24" s="1" customFormat="1">
      <c r="A268" s="774" t="s">
        <v>1058</v>
      </c>
      <c r="B268" s="775" t="s">
        <v>1059</v>
      </c>
      <c r="C268" s="770">
        <v>1</v>
      </c>
      <c r="D268" s="27" t="s">
        <v>1036</v>
      </c>
      <c r="E268" s="767">
        <v>55.99</v>
      </c>
      <c r="F268" s="18">
        <f t="shared" si="50"/>
        <v>0.2</v>
      </c>
      <c r="G268" s="768">
        <f t="shared" si="53"/>
        <v>44.792000000000002</v>
      </c>
      <c r="H268" s="86"/>
      <c r="I268" s="28">
        <v>0.03</v>
      </c>
      <c r="J268" s="238" t="s">
        <v>669</v>
      </c>
      <c r="K268" s="83" t="s">
        <v>231</v>
      </c>
      <c r="L268" s="100" t="s">
        <v>628</v>
      </c>
      <c r="M268" s="219" t="s">
        <v>1058</v>
      </c>
      <c r="N268" s="205" t="s">
        <v>1059</v>
      </c>
      <c r="O268" s="206">
        <v>1</v>
      </c>
      <c r="P268" s="226" t="s">
        <v>1036</v>
      </c>
      <c r="Q268" s="287">
        <v>55.99</v>
      </c>
      <c r="R268" s="188">
        <v>0.2</v>
      </c>
      <c r="S268" s="62">
        <v>44.792000000000002</v>
      </c>
      <c r="T268" s="86"/>
      <c r="U268" s="186">
        <v>0.05</v>
      </c>
      <c r="V268" s="238" t="s">
        <v>669</v>
      </c>
      <c r="W268" s="83" t="s">
        <v>231</v>
      </c>
      <c r="X268" s="100" t="s">
        <v>628</v>
      </c>
    </row>
    <row r="269" spans="1:24" s="1" customFormat="1">
      <c r="A269" s="219" t="s">
        <v>1060</v>
      </c>
      <c r="B269" s="205" t="s">
        <v>1061</v>
      </c>
      <c r="C269" s="206">
        <v>1</v>
      </c>
      <c r="D269" s="226" t="s">
        <v>817</v>
      </c>
      <c r="E269" s="288">
        <v>24.99</v>
      </c>
      <c r="F269" s="188">
        <f>rv_20</f>
        <v>0.2</v>
      </c>
      <c r="G269" s="91">
        <f t="shared" si="53"/>
        <v>19.991999999999997</v>
      </c>
      <c r="H269" s="86"/>
      <c r="I269" s="28">
        <v>0.03</v>
      </c>
      <c r="J269" s="238" t="s">
        <v>669</v>
      </c>
      <c r="K269" s="83" t="s">
        <v>231</v>
      </c>
      <c r="L269" s="100" t="s">
        <v>628</v>
      </c>
      <c r="M269" s="219" t="s">
        <v>1060</v>
      </c>
      <c r="N269" s="205" t="s">
        <v>1061</v>
      </c>
      <c r="O269" s="206">
        <v>1</v>
      </c>
      <c r="P269" s="226" t="s">
        <v>817</v>
      </c>
      <c r="Q269" s="288">
        <v>24.99</v>
      </c>
      <c r="R269" s="188">
        <v>0.2</v>
      </c>
      <c r="S269" s="91">
        <v>19.991999999999997</v>
      </c>
      <c r="T269" s="86"/>
      <c r="U269" s="186">
        <v>0.01</v>
      </c>
      <c r="V269" s="238" t="s">
        <v>669</v>
      </c>
      <c r="W269" s="83" t="s">
        <v>231</v>
      </c>
      <c r="X269" s="100" t="s">
        <v>628</v>
      </c>
    </row>
    <row r="270" spans="1:24" s="1" customFormat="1">
      <c r="A270" s="219" t="s">
        <v>1062</v>
      </c>
      <c r="B270" s="205" t="s">
        <v>1063</v>
      </c>
      <c r="C270" s="206">
        <v>1</v>
      </c>
      <c r="D270" s="226" t="s">
        <v>1036</v>
      </c>
      <c r="E270" s="288">
        <v>13.99</v>
      </c>
      <c r="F270" s="188">
        <f>rv_20</f>
        <v>0.2</v>
      </c>
      <c r="G270" s="91">
        <f t="shared" si="53"/>
        <v>11.192</v>
      </c>
      <c r="H270" s="86"/>
      <c r="I270" s="28">
        <v>0.03</v>
      </c>
      <c r="J270" s="238" t="s">
        <v>669</v>
      </c>
      <c r="K270" s="83" t="s">
        <v>231</v>
      </c>
      <c r="L270" s="100" t="s">
        <v>628</v>
      </c>
      <c r="M270" s="219" t="s">
        <v>1062</v>
      </c>
      <c r="N270" s="205" t="s">
        <v>1063</v>
      </c>
      <c r="O270" s="206">
        <v>1</v>
      </c>
      <c r="P270" s="226" t="s">
        <v>1036</v>
      </c>
      <c r="Q270" s="288">
        <v>13.99</v>
      </c>
      <c r="R270" s="188">
        <v>0.2</v>
      </c>
      <c r="S270" s="91">
        <v>11.192</v>
      </c>
      <c r="T270" s="86"/>
      <c r="U270" s="186">
        <v>0.02</v>
      </c>
      <c r="V270" s="238" t="s">
        <v>669</v>
      </c>
      <c r="W270" s="83" t="s">
        <v>231</v>
      </c>
      <c r="X270" s="100" t="s">
        <v>628</v>
      </c>
    </row>
    <row r="271" spans="1:24" s="1" customFormat="1">
      <c r="A271" s="219" t="s">
        <v>1064</v>
      </c>
      <c r="B271" s="205" t="s">
        <v>1065</v>
      </c>
      <c r="C271" s="206">
        <v>1</v>
      </c>
      <c r="D271" s="226" t="s">
        <v>889</v>
      </c>
      <c r="E271" s="288">
        <v>50.01</v>
      </c>
      <c r="F271" s="188">
        <f>rv_20</f>
        <v>0.2</v>
      </c>
      <c r="G271" s="91">
        <f t="shared" si="53"/>
        <v>40.007999999999996</v>
      </c>
      <c r="H271" s="86"/>
      <c r="I271" s="28">
        <v>0.03</v>
      </c>
      <c r="J271" s="238" t="s">
        <v>669</v>
      </c>
      <c r="K271" s="83" t="s">
        <v>231</v>
      </c>
      <c r="L271" s="100" t="s">
        <v>628</v>
      </c>
      <c r="M271" s="219" t="s">
        <v>1064</v>
      </c>
      <c r="N271" s="205" t="s">
        <v>1065</v>
      </c>
      <c r="O271" s="206">
        <v>1</v>
      </c>
      <c r="P271" s="226" t="s">
        <v>889</v>
      </c>
      <c r="Q271" s="288">
        <v>50.01</v>
      </c>
      <c r="R271" s="188">
        <v>0.2</v>
      </c>
      <c r="S271" s="91">
        <v>40.007999999999996</v>
      </c>
      <c r="T271" s="86"/>
      <c r="U271" s="186">
        <v>0.02</v>
      </c>
      <c r="V271" s="238" t="s">
        <v>669</v>
      </c>
      <c r="W271" s="83" t="s">
        <v>231</v>
      </c>
      <c r="X271" s="100" t="s">
        <v>628</v>
      </c>
    </row>
    <row r="272" spans="1:24" s="1" customFormat="1" ht="13.5" thickBot="1">
      <c r="A272" s="219" t="s">
        <v>1066</v>
      </c>
      <c r="B272" s="205" t="s">
        <v>1067</v>
      </c>
      <c r="C272" s="206">
        <v>1</v>
      </c>
      <c r="D272" s="226" t="s">
        <v>817</v>
      </c>
      <c r="E272" s="288">
        <v>57.82</v>
      </c>
      <c r="F272" s="188">
        <f>rv_20</f>
        <v>0.2</v>
      </c>
      <c r="G272" s="91">
        <f t="shared" si="53"/>
        <v>46.256</v>
      </c>
      <c r="H272" s="86"/>
      <c r="I272" s="28">
        <v>0.03</v>
      </c>
      <c r="J272" s="238" t="s">
        <v>669</v>
      </c>
      <c r="K272" s="83" t="s">
        <v>231</v>
      </c>
      <c r="L272" s="100" t="s">
        <v>628</v>
      </c>
      <c r="M272" s="219" t="s">
        <v>1066</v>
      </c>
      <c r="N272" s="205" t="s">
        <v>1067</v>
      </c>
      <c r="O272" s="206">
        <v>1</v>
      </c>
      <c r="P272" s="226" t="s">
        <v>817</v>
      </c>
      <c r="Q272" s="288">
        <v>57.82</v>
      </c>
      <c r="R272" s="188">
        <v>0.2</v>
      </c>
      <c r="S272" s="91">
        <v>46.256</v>
      </c>
      <c r="T272" s="86"/>
      <c r="U272" s="186">
        <v>0.01</v>
      </c>
      <c r="V272" s="238" t="s">
        <v>669</v>
      </c>
      <c r="W272" s="83" t="s">
        <v>231</v>
      </c>
      <c r="X272" s="100" t="s">
        <v>628</v>
      </c>
    </row>
    <row r="273" spans="1:24" s="1" customFormat="1" ht="25" customHeight="1" thickBot="1">
      <c r="A273" s="468" t="s">
        <v>1068</v>
      </c>
      <c r="B273" s="340" t="s">
        <v>1069</v>
      </c>
      <c r="C273" s="629"/>
      <c r="D273" s="629"/>
      <c r="E273" s="630"/>
      <c r="F273" s="631"/>
      <c r="G273" s="630"/>
      <c r="H273" s="630"/>
      <c r="I273" s="630"/>
      <c r="J273" s="459"/>
      <c r="K273" s="341"/>
      <c r="L273" s="341"/>
      <c r="M273" s="468" t="s">
        <v>1068</v>
      </c>
      <c r="N273" s="340" t="s">
        <v>1069</v>
      </c>
      <c r="O273" s="629"/>
      <c r="P273" s="629"/>
      <c r="Q273" s="630"/>
      <c r="R273" s="631"/>
      <c r="S273" s="630"/>
      <c r="T273" s="630"/>
      <c r="U273" s="630"/>
      <c r="V273" s="459"/>
      <c r="W273" s="341"/>
      <c r="X273" s="341"/>
    </row>
    <row r="274" spans="1:24" s="1" customFormat="1">
      <c r="A274" s="219" t="s">
        <v>2438</v>
      </c>
      <c r="B274" s="775" t="s">
        <v>1070</v>
      </c>
      <c r="C274" s="770">
        <v>1</v>
      </c>
      <c r="D274" s="27" t="s">
        <v>126</v>
      </c>
      <c r="E274" s="777">
        <v>45.8</v>
      </c>
      <c r="F274" s="18">
        <f t="shared" ref="F274:F277" si="54">rv_apple_acc_mac</f>
        <v>0.09</v>
      </c>
      <c r="G274" s="30">
        <f t="shared" ref="G274:G279" si="55">E274-(E274*F274)</f>
        <v>41.677999999999997</v>
      </c>
      <c r="H274" s="86"/>
      <c r="I274" s="28">
        <v>0.03</v>
      </c>
      <c r="J274" s="238" t="s">
        <v>669</v>
      </c>
      <c r="K274" s="83" t="s">
        <v>231</v>
      </c>
      <c r="L274" s="100" t="s">
        <v>628</v>
      </c>
      <c r="M274" s="219" t="s">
        <v>2438</v>
      </c>
      <c r="N274" s="205" t="s">
        <v>1070</v>
      </c>
      <c r="O274" s="206">
        <v>1</v>
      </c>
      <c r="P274" s="226" t="s">
        <v>126</v>
      </c>
      <c r="Q274" s="288">
        <v>45.81</v>
      </c>
      <c r="R274" s="188">
        <v>0.09</v>
      </c>
      <c r="S274" s="91">
        <v>41.687100000000001</v>
      </c>
      <c r="T274" s="86"/>
      <c r="U274" s="186">
        <v>0.02</v>
      </c>
      <c r="V274" s="238" t="s">
        <v>669</v>
      </c>
      <c r="W274" s="83" t="s">
        <v>231</v>
      </c>
      <c r="X274" s="100" t="s">
        <v>628</v>
      </c>
    </row>
    <row r="275" spans="1:24" s="1" customFormat="1">
      <c r="A275" s="219" t="s">
        <v>2395</v>
      </c>
      <c r="B275" s="775" t="s">
        <v>1071</v>
      </c>
      <c r="C275" s="770">
        <v>1</v>
      </c>
      <c r="D275" s="27" t="s">
        <v>126</v>
      </c>
      <c r="E275" s="777">
        <v>65.790000000000006</v>
      </c>
      <c r="F275" s="18">
        <f>rv_apple_acc_mac</f>
        <v>0.09</v>
      </c>
      <c r="G275" s="30">
        <f t="shared" si="55"/>
        <v>59.868900000000004</v>
      </c>
      <c r="H275" s="86"/>
      <c r="I275" s="28">
        <v>0.04</v>
      </c>
      <c r="J275" s="238" t="s">
        <v>669</v>
      </c>
      <c r="K275" s="83" t="s">
        <v>231</v>
      </c>
      <c r="L275" s="100" t="s">
        <v>628</v>
      </c>
      <c r="M275" s="219" t="s">
        <v>2395</v>
      </c>
      <c r="N275" s="205" t="s">
        <v>1071</v>
      </c>
      <c r="O275" s="206">
        <v>1</v>
      </c>
      <c r="P275" s="226" t="s">
        <v>126</v>
      </c>
      <c r="Q275" s="288">
        <v>65.81</v>
      </c>
      <c r="R275" s="188">
        <v>0.09</v>
      </c>
      <c r="S275" s="91">
        <v>59.887100000000004</v>
      </c>
      <c r="T275" s="86"/>
      <c r="U275" s="186">
        <v>0.02</v>
      </c>
      <c r="V275" s="238" t="s">
        <v>669</v>
      </c>
      <c r="W275" s="83" t="s">
        <v>231</v>
      </c>
      <c r="X275" s="100" t="s">
        <v>628</v>
      </c>
    </row>
    <row r="276" spans="1:24" s="1" customFormat="1">
      <c r="A276" s="219"/>
      <c r="B276" s="775"/>
      <c r="C276" s="770"/>
      <c r="D276" s="27"/>
      <c r="E276" s="777"/>
      <c r="F276" s="18"/>
      <c r="G276" s="30"/>
      <c r="H276" s="86"/>
      <c r="I276" s="28"/>
      <c r="J276" s="238"/>
      <c r="K276" s="83"/>
      <c r="L276" s="100"/>
      <c r="M276" s="711" t="s">
        <v>1072</v>
      </c>
      <c r="N276" s="712" t="s">
        <v>1073</v>
      </c>
      <c r="O276" s="713">
        <v>1</v>
      </c>
      <c r="P276" s="736" t="s">
        <v>126</v>
      </c>
      <c r="Q276" s="715">
        <v>65.81</v>
      </c>
      <c r="R276" s="716">
        <v>0.09</v>
      </c>
      <c r="S276" s="749">
        <v>59.887100000000004</v>
      </c>
      <c r="T276" s="718"/>
      <c r="U276" s="719">
        <v>0.02</v>
      </c>
      <c r="V276" s="238" t="s">
        <v>669</v>
      </c>
      <c r="W276" s="83" t="s">
        <v>231</v>
      </c>
      <c r="X276" s="100" t="s">
        <v>628</v>
      </c>
    </row>
    <row r="277" spans="1:24" s="1" customFormat="1">
      <c r="A277" s="219" t="s">
        <v>2396</v>
      </c>
      <c r="B277" s="775" t="s">
        <v>1074</v>
      </c>
      <c r="C277" s="770">
        <v>1</v>
      </c>
      <c r="D277" s="27" t="s">
        <v>126</v>
      </c>
      <c r="E277" s="777">
        <v>37.47</v>
      </c>
      <c r="F277" s="18">
        <f t="shared" si="54"/>
        <v>0.09</v>
      </c>
      <c r="G277" s="30">
        <f t="shared" si="55"/>
        <v>34.097699999999996</v>
      </c>
      <c r="H277" s="86"/>
      <c r="I277" s="28">
        <v>0.03</v>
      </c>
      <c r="J277" s="238" t="s">
        <v>669</v>
      </c>
      <c r="K277" s="83" t="s">
        <v>231</v>
      </c>
      <c r="L277" s="100" t="s">
        <v>628</v>
      </c>
      <c r="M277" s="219" t="s">
        <v>2396</v>
      </c>
      <c r="N277" s="205" t="s">
        <v>1074</v>
      </c>
      <c r="O277" s="206">
        <v>1</v>
      </c>
      <c r="P277" s="226" t="s">
        <v>126</v>
      </c>
      <c r="Q277" s="288">
        <v>37.49</v>
      </c>
      <c r="R277" s="188">
        <v>0.09</v>
      </c>
      <c r="S277" s="91">
        <v>34.115900000000003</v>
      </c>
      <c r="T277" s="86"/>
      <c r="U277" s="186">
        <v>0.01</v>
      </c>
      <c r="V277" s="238" t="s">
        <v>669</v>
      </c>
      <c r="W277" s="83" t="s">
        <v>231</v>
      </c>
      <c r="X277" s="100" t="s">
        <v>628</v>
      </c>
    </row>
    <row r="278" spans="1:24" s="1" customFormat="1">
      <c r="A278" s="219" t="s">
        <v>2439</v>
      </c>
      <c r="B278" s="775" t="s">
        <v>1075</v>
      </c>
      <c r="C278" s="770">
        <v>1</v>
      </c>
      <c r="D278" s="27" t="s">
        <v>126</v>
      </c>
      <c r="E278" s="777">
        <v>20.8</v>
      </c>
      <c r="F278" s="18">
        <f>rv_apple_acc_mac</f>
        <v>0.09</v>
      </c>
      <c r="G278" s="30">
        <f t="shared" si="55"/>
        <v>18.928000000000001</v>
      </c>
      <c r="H278" s="86"/>
      <c r="I278" s="28">
        <v>0.03</v>
      </c>
      <c r="J278" s="238" t="s">
        <v>669</v>
      </c>
      <c r="K278" s="83" t="s">
        <v>231</v>
      </c>
      <c r="L278" s="100" t="s">
        <v>628</v>
      </c>
      <c r="M278" s="219" t="s">
        <v>2439</v>
      </c>
      <c r="N278" s="205" t="s">
        <v>1075</v>
      </c>
      <c r="O278" s="206">
        <v>1</v>
      </c>
      <c r="P278" s="226" t="s">
        <v>126</v>
      </c>
      <c r="Q278" s="288">
        <v>20.82</v>
      </c>
      <c r="R278" s="188">
        <v>0.09</v>
      </c>
      <c r="S278" s="91">
        <v>18.946200000000001</v>
      </c>
      <c r="T278" s="86"/>
      <c r="U278" s="186">
        <v>0.01</v>
      </c>
      <c r="V278" s="238" t="s">
        <v>669</v>
      </c>
      <c r="W278" s="83" t="s">
        <v>231</v>
      </c>
      <c r="X278" s="100" t="s">
        <v>628</v>
      </c>
    </row>
    <row r="279" spans="1:24" s="1" customFormat="1">
      <c r="A279" s="219" t="s">
        <v>2397</v>
      </c>
      <c r="B279" s="775" t="s">
        <v>1076</v>
      </c>
      <c r="C279" s="770">
        <v>1</v>
      </c>
      <c r="D279" s="27" t="s">
        <v>126</v>
      </c>
      <c r="E279" s="767">
        <v>8.3000000000000007</v>
      </c>
      <c r="F279" s="18">
        <f>rv_apple_acc_ipad</f>
        <v>0.15</v>
      </c>
      <c r="G279" s="30">
        <f t="shared" si="55"/>
        <v>7.0550000000000006</v>
      </c>
      <c r="H279" s="86"/>
      <c r="I279" s="28">
        <v>0.03</v>
      </c>
      <c r="J279" s="238" t="s">
        <v>669</v>
      </c>
      <c r="K279" s="83" t="s">
        <v>231</v>
      </c>
      <c r="L279" s="100" t="s">
        <v>628</v>
      </c>
      <c r="M279" s="219" t="s">
        <v>2397</v>
      </c>
      <c r="N279" s="205" t="s">
        <v>1076</v>
      </c>
      <c r="O279" s="206">
        <v>1</v>
      </c>
      <c r="P279" s="226" t="s">
        <v>126</v>
      </c>
      <c r="Q279" s="287">
        <v>8.32</v>
      </c>
      <c r="R279" s="188">
        <v>0.15</v>
      </c>
      <c r="S279" s="91">
        <v>7.0720000000000001</v>
      </c>
      <c r="T279" s="86"/>
      <c r="U279" s="186">
        <v>0.01</v>
      </c>
      <c r="V279" s="238" t="s">
        <v>669</v>
      </c>
      <c r="W279" s="83" t="s">
        <v>231</v>
      </c>
      <c r="X279" s="100" t="s">
        <v>628</v>
      </c>
    </row>
    <row r="280" spans="1:24" s="1" customFormat="1">
      <c r="A280" s="219" t="s">
        <v>1084</v>
      </c>
      <c r="B280" s="775" t="s">
        <v>1085</v>
      </c>
      <c r="C280" s="770">
        <v>1</v>
      </c>
      <c r="D280" s="27" t="s">
        <v>126</v>
      </c>
      <c r="E280" s="777">
        <v>29.14</v>
      </c>
      <c r="F280" s="18">
        <f t="shared" ref="F280:F286" si="56">rv_apple_acc_ipad</f>
        <v>0.15</v>
      </c>
      <c r="G280" s="30">
        <f>E280-(E280*F280)</f>
        <v>24.769000000000002</v>
      </c>
      <c r="H280" s="86"/>
      <c r="I280" s="28">
        <v>0.03</v>
      </c>
      <c r="J280" s="238" t="s">
        <v>669</v>
      </c>
      <c r="K280" s="83" t="s">
        <v>231</v>
      </c>
      <c r="L280" s="100" t="s">
        <v>628</v>
      </c>
      <c r="M280" s="219" t="s">
        <v>1084</v>
      </c>
      <c r="N280" s="205" t="s">
        <v>1085</v>
      </c>
      <c r="O280" s="206">
        <v>1</v>
      </c>
      <c r="P280" s="226" t="s">
        <v>126</v>
      </c>
      <c r="Q280" s="288">
        <v>29.17</v>
      </c>
      <c r="R280" s="188">
        <v>0.15</v>
      </c>
      <c r="S280" s="91">
        <v>24.794500000000003</v>
      </c>
      <c r="T280" s="86"/>
      <c r="U280" s="186">
        <v>0.01</v>
      </c>
      <c r="V280" s="238" t="s">
        <v>669</v>
      </c>
      <c r="W280" s="83" t="s">
        <v>231</v>
      </c>
      <c r="X280" s="100" t="s">
        <v>628</v>
      </c>
    </row>
    <row r="281" spans="1:24" s="1" customFormat="1">
      <c r="A281" s="470" t="s">
        <v>2401</v>
      </c>
      <c r="B281" s="779" t="s">
        <v>844</v>
      </c>
      <c r="C281" s="770">
        <v>1</v>
      </c>
      <c r="D281" s="27" t="s">
        <v>126</v>
      </c>
      <c r="E281" s="777">
        <v>8.3000000000000007</v>
      </c>
      <c r="F281" s="35">
        <v>0.02</v>
      </c>
      <c r="G281" s="30">
        <f>E281-(E281*F281)</f>
        <v>8.1340000000000003</v>
      </c>
      <c r="H281" s="86"/>
      <c r="I281" s="28">
        <v>0.03</v>
      </c>
      <c r="J281" s="238" t="s">
        <v>669</v>
      </c>
      <c r="K281" s="83" t="s">
        <v>231</v>
      </c>
      <c r="L281" s="100" t="s">
        <v>628</v>
      </c>
      <c r="M281" s="219" t="s">
        <v>2401</v>
      </c>
      <c r="N281" s="569" t="s">
        <v>844</v>
      </c>
      <c r="O281" s="206">
        <v>1</v>
      </c>
      <c r="P281" s="226" t="s">
        <v>126</v>
      </c>
      <c r="Q281" s="288">
        <v>8.33</v>
      </c>
      <c r="R281" s="208">
        <v>0.02</v>
      </c>
      <c r="S281" s="91">
        <v>8.1633999999999993</v>
      </c>
      <c r="T281" s="86"/>
      <c r="U281" s="186">
        <v>0</v>
      </c>
      <c r="V281" s="238" t="s">
        <v>669</v>
      </c>
      <c r="W281" s="83" t="s">
        <v>231</v>
      </c>
      <c r="X281" s="100" t="s">
        <v>628</v>
      </c>
    </row>
    <row r="282" spans="1:24" s="1" customFormat="1">
      <c r="A282" s="219"/>
      <c r="B282" s="775"/>
      <c r="C282" s="770"/>
      <c r="D282" s="27"/>
      <c r="E282" s="777"/>
      <c r="F282" s="18"/>
      <c r="G282" s="30"/>
      <c r="H282" s="86"/>
      <c r="I282" s="28"/>
      <c r="J282" s="238"/>
      <c r="K282" s="83"/>
      <c r="L282" s="100"/>
      <c r="M282" s="711" t="s">
        <v>1077</v>
      </c>
      <c r="N282" s="712" t="s">
        <v>1078</v>
      </c>
      <c r="O282" s="713">
        <v>1</v>
      </c>
      <c r="P282" s="736" t="s">
        <v>126</v>
      </c>
      <c r="Q282" s="715">
        <v>32.49</v>
      </c>
      <c r="R282" s="716">
        <v>0.15</v>
      </c>
      <c r="S282" s="749">
        <v>27.616500000000002</v>
      </c>
      <c r="T282" s="718"/>
      <c r="U282" s="719">
        <v>0.01</v>
      </c>
      <c r="V282" s="238" t="s">
        <v>669</v>
      </c>
      <c r="W282" s="83" t="s">
        <v>231</v>
      </c>
      <c r="X282" s="100" t="s">
        <v>628</v>
      </c>
    </row>
    <row r="283" spans="1:24" s="1" customFormat="1">
      <c r="A283" s="219"/>
      <c r="B283" s="775"/>
      <c r="C283" s="770"/>
      <c r="D283" s="27"/>
      <c r="E283" s="777"/>
      <c r="F283" s="18"/>
      <c r="G283" s="30"/>
      <c r="H283" s="86"/>
      <c r="I283" s="28"/>
      <c r="J283" s="238"/>
      <c r="K283" s="83"/>
      <c r="L283" s="100"/>
      <c r="M283" s="711" t="s">
        <v>1079</v>
      </c>
      <c r="N283" s="712" t="s">
        <v>1080</v>
      </c>
      <c r="O283" s="713">
        <v>1</v>
      </c>
      <c r="P283" s="736" t="s">
        <v>126</v>
      </c>
      <c r="Q283" s="715">
        <v>49.16</v>
      </c>
      <c r="R283" s="716">
        <v>0.15</v>
      </c>
      <c r="S283" s="749">
        <v>41.786000000000001</v>
      </c>
      <c r="T283" s="718"/>
      <c r="U283" s="719">
        <v>0.01</v>
      </c>
      <c r="V283" s="238" t="s">
        <v>669</v>
      </c>
      <c r="W283" s="83" t="s">
        <v>231</v>
      </c>
      <c r="X283" s="100" t="s">
        <v>628</v>
      </c>
    </row>
    <row r="284" spans="1:24" s="1" customFormat="1">
      <c r="A284" s="219"/>
      <c r="B284" s="775"/>
      <c r="C284" s="770"/>
      <c r="D284" s="27"/>
      <c r="E284" s="777"/>
      <c r="F284" s="18"/>
      <c r="G284" s="30"/>
      <c r="H284" s="86"/>
      <c r="I284" s="28"/>
      <c r="J284" s="238"/>
      <c r="K284" s="83"/>
      <c r="L284" s="100"/>
      <c r="M284" s="711" t="s">
        <v>1081</v>
      </c>
      <c r="N284" s="712" t="s">
        <v>1082</v>
      </c>
      <c r="O284" s="713">
        <v>1</v>
      </c>
      <c r="P284" s="736" t="s">
        <v>126</v>
      </c>
      <c r="Q284" s="715">
        <v>32.49</v>
      </c>
      <c r="R284" s="716">
        <v>0.15</v>
      </c>
      <c r="S284" s="749">
        <v>27.616500000000002</v>
      </c>
      <c r="T284" s="718"/>
      <c r="U284" s="719">
        <v>0.01</v>
      </c>
      <c r="V284" s="238" t="s">
        <v>669</v>
      </c>
      <c r="W284" s="83" t="s">
        <v>231</v>
      </c>
      <c r="X284" s="100" t="s">
        <v>628</v>
      </c>
    </row>
    <row r="285" spans="1:24" s="1" customFormat="1">
      <c r="A285" s="219" t="s">
        <v>2399</v>
      </c>
      <c r="B285" s="775" t="s">
        <v>1083</v>
      </c>
      <c r="C285" s="770">
        <v>1</v>
      </c>
      <c r="D285" s="27" t="s">
        <v>126</v>
      </c>
      <c r="E285" s="777">
        <v>40.799999999999997</v>
      </c>
      <c r="F285" s="18">
        <f>rv_apple_acc_ipad</f>
        <v>0.15</v>
      </c>
      <c r="G285" s="30">
        <f t="shared" ref="G285:G297" si="57">E285-(E285*F285)</f>
        <v>34.68</v>
      </c>
      <c r="H285" s="86"/>
      <c r="I285" s="28">
        <v>0.03</v>
      </c>
      <c r="J285" s="238" t="s">
        <v>669</v>
      </c>
      <c r="K285" s="83" t="s">
        <v>231</v>
      </c>
      <c r="L285" s="100" t="s">
        <v>628</v>
      </c>
      <c r="M285" s="219" t="s">
        <v>2399</v>
      </c>
      <c r="N285" s="205" t="s">
        <v>1083</v>
      </c>
      <c r="O285" s="206">
        <v>1</v>
      </c>
      <c r="P285" s="226" t="s">
        <v>126</v>
      </c>
      <c r="Q285" s="288">
        <v>40.82</v>
      </c>
      <c r="R285" s="188">
        <v>0.15</v>
      </c>
      <c r="S285" s="91">
        <v>34.697000000000003</v>
      </c>
      <c r="T285" s="86"/>
      <c r="U285" s="186">
        <v>0.02</v>
      </c>
      <c r="V285" s="238" t="s">
        <v>669</v>
      </c>
      <c r="W285" s="83" t="s">
        <v>231</v>
      </c>
      <c r="X285" s="100" t="s">
        <v>628</v>
      </c>
    </row>
    <row r="286" spans="1:24" s="1" customFormat="1">
      <c r="A286" s="219" t="s">
        <v>2398</v>
      </c>
      <c r="B286" s="775" t="s">
        <v>2402</v>
      </c>
      <c r="C286" s="770">
        <v>1</v>
      </c>
      <c r="D286" s="27" t="s">
        <v>126</v>
      </c>
      <c r="E286" s="777">
        <v>49.14</v>
      </c>
      <c r="F286" s="18">
        <f t="shared" si="56"/>
        <v>0.15</v>
      </c>
      <c r="G286" s="30">
        <f t="shared" si="57"/>
        <v>41.768999999999998</v>
      </c>
      <c r="H286" s="86"/>
      <c r="I286" s="28">
        <v>0.03</v>
      </c>
      <c r="J286" s="238" t="s">
        <v>669</v>
      </c>
      <c r="K286" s="83" t="s">
        <v>231</v>
      </c>
      <c r="L286" s="100" t="s">
        <v>628</v>
      </c>
      <c r="M286" s="219" t="s">
        <v>2398</v>
      </c>
      <c r="N286" s="205" t="s">
        <v>2402</v>
      </c>
      <c r="O286" s="206">
        <v>1</v>
      </c>
      <c r="P286" s="226" t="s">
        <v>126</v>
      </c>
      <c r="Q286" s="288">
        <v>49.16</v>
      </c>
      <c r="R286" s="188">
        <v>0.15</v>
      </c>
      <c r="S286" s="91">
        <v>41.786000000000001</v>
      </c>
      <c r="T286" s="86"/>
      <c r="U286" s="186">
        <v>0.01</v>
      </c>
      <c r="V286" s="238" t="s">
        <v>669</v>
      </c>
      <c r="W286" s="83" t="s">
        <v>231</v>
      </c>
      <c r="X286" s="100" t="s">
        <v>628</v>
      </c>
    </row>
    <row r="287" spans="1:24" s="1" customFormat="1">
      <c r="A287" s="219"/>
      <c r="B287" s="775"/>
      <c r="C287" s="770"/>
      <c r="D287" s="27"/>
      <c r="E287" s="777"/>
      <c r="F287" s="18"/>
      <c r="G287" s="30"/>
      <c r="H287" s="86"/>
      <c r="I287" s="28"/>
      <c r="J287" s="238"/>
      <c r="K287" s="83"/>
      <c r="L287" s="100"/>
      <c r="M287" s="711" t="s">
        <v>1086</v>
      </c>
      <c r="N287" s="712" t="s">
        <v>1087</v>
      </c>
      <c r="O287" s="713">
        <v>1</v>
      </c>
      <c r="P287" s="736" t="s">
        <v>126</v>
      </c>
      <c r="Q287" s="715">
        <v>74.17</v>
      </c>
      <c r="R287" s="716">
        <v>0.09</v>
      </c>
      <c r="S287" s="749">
        <v>67.494699999999995</v>
      </c>
      <c r="T287" s="718"/>
      <c r="U287" s="719">
        <v>0.02</v>
      </c>
      <c r="V287" s="238" t="s">
        <v>669</v>
      </c>
      <c r="W287" s="83" t="s">
        <v>231</v>
      </c>
      <c r="X287" s="100" t="s">
        <v>628</v>
      </c>
    </row>
    <row r="288" spans="1:24" s="1" customFormat="1">
      <c r="A288" s="219" t="s">
        <v>1088</v>
      </c>
      <c r="B288" s="775" t="s">
        <v>1089</v>
      </c>
      <c r="C288" s="770">
        <v>1</v>
      </c>
      <c r="D288" s="27" t="s">
        <v>126</v>
      </c>
      <c r="E288" s="777">
        <v>8.3000000000000007</v>
      </c>
      <c r="F288" s="18">
        <f>rv_apple_acc_mac</f>
        <v>0.09</v>
      </c>
      <c r="G288" s="30">
        <f t="shared" si="57"/>
        <v>7.5530000000000008</v>
      </c>
      <c r="H288" s="86"/>
      <c r="I288" s="28">
        <v>0.03</v>
      </c>
      <c r="J288" s="238" t="s">
        <v>669</v>
      </c>
      <c r="K288" s="83" t="s">
        <v>231</v>
      </c>
      <c r="L288" s="100" t="s">
        <v>628</v>
      </c>
      <c r="M288" s="219" t="s">
        <v>1088</v>
      </c>
      <c r="N288" s="205" t="s">
        <v>1089</v>
      </c>
      <c r="O288" s="206">
        <v>1</v>
      </c>
      <c r="P288" s="226" t="s">
        <v>126</v>
      </c>
      <c r="Q288" s="288">
        <v>9.32</v>
      </c>
      <c r="R288" s="188">
        <v>0.09</v>
      </c>
      <c r="S288" s="91">
        <v>8.4812000000000012</v>
      </c>
      <c r="T288" s="86"/>
      <c r="U288" s="186">
        <v>0.01</v>
      </c>
      <c r="V288" s="238" t="s">
        <v>669</v>
      </c>
      <c r="W288" s="83" t="s">
        <v>231</v>
      </c>
      <c r="X288" s="100" t="s">
        <v>628</v>
      </c>
    </row>
    <row r="289" spans="1:24" s="1" customFormat="1">
      <c r="A289" s="219" t="s">
        <v>1090</v>
      </c>
      <c r="B289" s="775" t="s">
        <v>1091</v>
      </c>
      <c r="C289" s="770">
        <v>1</v>
      </c>
      <c r="D289" s="27" t="s">
        <v>126</v>
      </c>
      <c r="E289" s="777">
        <v>29.11</v>
      </c>
      <c r="F289" s="18">
        <f>rv_apple_acc_ipad</f>
        <v>0.15</v>
      </c>
      <c r="G289" s="30">
        <f t="shared" si="57"/>
        <v>24.743500000000001</v>
      </c>
      <c r="H289" s="86"/>
      <c r="I289" s="28">
        <v>0.06</v>
      </c>
      <c r="J289" s="238" t="s">
        <v>669</v>
      </c>
      <c r="K289" s="83" t="s">
        <v>231</v>
      </c>
      <c r="L289" s="100" t="s">
        <v>628</v>
      </c>
      <c r="M289" s="219" t="s">
        <v>1090</v>
      </c>
      <c r="N289" s="205" t="s">
        <v>1091</v>
      </c>
      <c r="O289" s="206">
        <v>1</v>
      </c>
      <c r="P289" s="226" t="s">
        <v>126</v>
      </c>
      <c r="Q289" s="288">
        <v>32.450000000000003</v>
      </c>
      <c r="R289" s="188">
        <v>0.15</v>
      </c>
      <c r="S289" s="91">
        <v>27.582500000000003</v>
      </c>
      <c r="T289" s="86"/>
      <c r="U289" s="186">
        <v>0.05</v>
      </c>
      <c r="V289" s="238" t="s">
        <v>669</v>
      </c>
      <c r="W289" s="83" t="s">
        <v>231</v>
      </c>
      <c r="X289" s="100" t="s">
        <v>628</v>
      </c>
    </row>
    <row r="290" spans="1:24" s="1" customFormat="1">
      <c r="A290" s="219">
        <v>84315</v>
      </c>
      <c r="B290" s="775" t="s">
        <v>1092</v>
      </c>
      <c r="C290" s="770">
        <v>1</v>
      </c>
      <c r="D290" s="27" t="s">
        <v>1093</v>
      </c>
      <c r="E290" s="777">
        <v>39.15</v>
      </c>
      <c r="F290" s="18">
        <f>rv_20</f>
        <v>0.2</v>
      </c>
      <c r="G290" s="30">
        <f t="shared" si="57"/>
        <v>31.32</v>
      </c>
      <c r="H290" s="86"/>
      <c r="I290" s="28">
        <v>0.03</v>
      </c>
      <c r="J290" s="238" t="s">
        <v>669</v>
      </c>
      <c r="K290" s="83" t="s">
        <v>231</v>
      </c>
      <c r="L290" s="100" t="s">
        <v>628</v>
      </c>
      <c r="M290" s="219">
        <v>84315</v>
      </c>
      <c r="N290" s="205" t="s">
        <v>1092</v>
      </c>
      <c r="O290" s="206">
        <v>1</v>
      </c>
      <c r="P290" s="226" t="s">
        <v>1093</v>
      </c>
      <c r="Q290" s="288">
        <v>39.15</v>
      </c>
      <c r="R290" s="188">
        <v>0.2</v>
      </c>
      <c r="S290" s="91">
        <v>31.32</v>
      </c>
      <c r="T290" s="86"/>
      <c r="U290" s="186">
        <v>0</v>
      </c>
      <c r="V290" s="238" t="s">
        <v>669</v>
      </c>
      <c r="W290" s="83" t="s">
        <v>231</v>
      </c>
      <c r="X290" s="100" t="s">
        <v>628</v>
      </c>
    </row>
    <row r="291" spans="1:24" s="1" customFormat="1">
      <c r="A291" s="219" t="s">
        <v>1094</v>
      </c>
      <c r="B291" s="775" t="s">
        <v>1095</v>
      </c>
      <c r="C291" s="770">
        <v>1</v>
      </c>
      <c r="D291" s="27" t="s">
        <v>1036</v>
      </c>
      <c r="E291" s="777">
        <v>43.99</v>
      </c>
      <c r="F291" s="18">
        <f>rv_10</f>
        <v>0.1</v>
      </c>
      <c r="G291" s="30">
        <f t="shared" si="57"/>
        <v>39.591000000000001</v>
      </c>
      <c r="H291" s="86"/>
      <c r="I291" s="28">
        <v>0.03</v>
      </c>
      <c r="J291" s="238" t="s">
        <v>669</v>
      </c>
      <c r="K291" s="83" t="s">
        <v>231</v>
      </c>
      <c r="L291" s="100" t="s">
        <v>628</v>
      </c>
      <c r="M291" s="219" t="s">
        <v>1094</v>
      </c>
      <c r="N291" s="205" t="s">
        <v>1095</v>
      </c>
      <c r="O291" s="206">
        <v>1</v>
      </c>
      <c r="P291" s="226" t="s">
        <v>1036</v>
      </c>
      <c r="Q291" s="288">
        <v>43.99</v>
      </c>
      <c r="R291" s="188">
        <v>0.1</v>
      </c>
      <c r="S291" s="91">
        <v>39.591000000000001</v>
      </c>
      <c r="T291" s="86"/>
      <c r="U291" s="186">
        <v>0.01</v>
      </c>
      <c r="V291" s="238" t="s">
        <v>669</v>
      </c>
      <c r="W291" s="83" t="s">
        <v>231</v>
      </c>
      <c r="X291" s="100" t="s">
        <v>628</v>
      </c>
    </row>
    <row r="292" spans="1:24" s="1" customFormat="1">
      <c r="A292" s="469" t="s">
        <v>1096</v>
      </c>
      <c r="B292" s="205" t="s">
        <v>1097</v>
      </c>
      <c r="C292" s="206">
        <v>1</v>
      </c>
      <c r="D292" s="226" t="s">
        <v>1036</v>
      </c>
      <c r="E292" s="288">
        <v>41.99</v>
      </c>
      <c r="F292" s="188">
        <f>rv_10</f>
        <v>0.1</v>
      </c>
      <c r="G292" s="91">
        <f t="shared" si="57"/>
        <v>37.791000000000004</v>
      </c>
      <c r="H292" s="86"/>
      <c r="I292" s="28">
        <v>0.03</v>
      </c>
      <c r="J292" s="238" t="s">
        <v>669</v>
      </c>
      <c r="K292" s="83" t="s">
        <v>231</v>
      </c>
      <c r="L292" s="100" t="s">
        <v>628</v>
      </c>
      <c r="M292" s="469" t="s">
        <v>1096</v>
      </c>
      <c r="N292" s="205" t="s">
        <v>1097</v>
      </c>
      <c r="O292" s="206">
        <v>1</v>
      </c>
      <c r="P292" s="226" t="s">
        <v>1036</v>
      </c>
      <c r="Q292" s="288">
        <v>41.99</v>
      </c>
      <c r="R292" s="188">
        <v>0.1</v>
      </c>
      <c r="S292" s="91">
        <v>37.791000000000004</v>
      </c>
      <c r="T292" s="86"/>
      <c r="U292" s="186">
        <v>0.01</v>
      </c>
      <c r="V292" s="238" t="s">
        <v>669</v>
      </c>
      <c r="W292" s="83" t="s">
        <v>231</v>
      </c>
      <c r="X292" s="100" t="s">
        <v>628</v>
      </c>
    </row>
    <row r="293" spans="1:24" s="1" customFormat="1">
      <c r="A293" s="219" t="s">
        <v>1098</v>
      </c>
      <c r="B293" s="205" t="s">
        <v>1099</v>
      </c>
      <c r="C293" s="206">
        <v>1</v>
      </c>
      <c r="D293" s="226" t="s">
        <v>817</v>
      </c>
      <c r="E293" s="288">
        <v>83.33</v>
      </c>
      <c r="F293" s="188">
        <f>rv_10</f>
        <v>0.1</v>
      </c>
      <c r="G293" s="91">
        <f t="shared" si="57"/>
        <v>74.997</v>
      </c>
      <c r="H293" s="86"/>
      <c r="I293" s="28">
        <v>0.03</v>
      </c>
      <c r="J293" s="238" t="s">
        <v>669</v>
      </c>
      <c r="K293" s="83" t="s">
        <v>231</v>
      </c>
      <c r="L293" s="100" t="s">
        <v>628</v>
      </c>
      <c r="M293" s="219" t="s">
        <v>1098</v>
      </c>
      <c r="N293" s="205" t="s">
        <v>1099</v>
      </c>
      <c r="O293" s="206">
        <v>1</v>
      </c>
      <c r="P293" s="226" t="s">
        <v>817</v>
      </c>
      <c r="Q293" s="288">
        <v>83.33</v>
      </c>
      <c r="R293" s="188">
        <v>0.1</v>
      </c>
      <c r="S293" s="91">
        <v>74.997</v>
      </c>
      <c r="T293" s="86"/>
      <c r="U293" s="186">
        <v>0.01</v>
      </c>
      <c r="V293" s="238" t="s">
        <v>669</v>
      </c>
      <c r="W293" s="83" t="s">
        <v>231</v>
      </c>
      <c r="X293" s="100" t="s">
        <v>628</v>
      </c>
    </row>
    <row r="294" spans="1:24" s="1" customFormat="1">
      <c r="A294" s="219" t="s">
        <v>1100</v>
      </c>
      <c r="B294" s="205" t="s">
        <v>1101</v>
      </c>
      <c r="C294" s="206">
        <v>1</v>
      </c>
      <c r="D294" s="226" t="s">
        <v>817</v>
      </c>
      <c r="E294" s="288">
        <v>29.16</v>
      </c>
      <c r="F294" s="188">
        <f t="shared" ref="F294:F296" si="58">rv_20</f>
        <v>0.2</v>
      </c>
      <c r="G294" s="91">
        <f t="shared" si="57"/>
        <v>23.327999999999999</v>
      </c>
      <c r="H294" s="86"/>
      <c r="I294" s="28">
        <v>0.03</v>
      </c>
      <c r="J294" s="238" t="s">
        <v>669</v>
      </c>
      <c r="K294" s="83" t="s">
        <v>231</v>
      </c>
      <c r="L294" s="100" t="s">
        <v>628</v>
      </c>
      <c r="M294" s="219" t="s">
        <v>1100</v>
      </c>
      <c r="N294" s="205" t="s">
        <v>1101</v>
      </c>
      <c r="O294" s="206">
        <v>1</v>
      </c>
      <c r="P294" s="226" t="s">
        <v>817</v>
      </c>
      <c r="Q294" s="288">
        <v>29.16</v>
      </c>
      <c r="R294" s="188">
        <v>0.2</v>
      </c>
      <c r="S294" s="91">
        <v>23.327999999999999</v>
      </c>
      <c r="T294" s="86"/>
      <c r="U294" s="186">
        <v>0.01</v>
      </c>
      <c r="V294" s="238" t="s">
        <v>669</v>
      </c>
      <c r="W294" s="83" t="s">
        <v>231</v>
      </c>
      <c r="X294" s="100" t="s">
        <v>628</v>
      </c>
    </row>
    <row r="295" spans="1:24" s="1" customFormat="1">
      <c r="A295" s="219" t="s">
        <v>1102</v>
      </c>
      <c r="B295" s="205" t="s">
        <v>1103</v>
      </c>
      <c r="C295" s="206">
        <v>1</v>
      </c>
      <c r="D295" s="226" t="s">
        <v>817</v>
      </c>
      <c r="E295" s="288">
        <v>24.99</v>
      </c>
      <c r="F295" s="188">
        <f t="shared" si="58"/>
        <v>0.2</v>
      </c>
      <c r="G295" s="91">
        <f t="shared" si="57"/>
        <v>19.991999999999997</v>
      </c>
      <c r="H295" s="86"/>
      <c r="I295" s="28">
        <v>0.03</v>
      </c>
      <c r="J295" s="238" t="s">
        <v>669</v>
      </c>
      <c r="K295" s="83" t="s">
        <v>231</v>
      </c>
      <c r="L295" s="100" t="s">
        <v>628</v>
      </c>
      <c r="M295" s="219" t="s">
        <v>1102</v>
      </c>
      <c r="N295" s="205" t="s">
        <v>1103</v>
      </c>
      <c r="O295" s="206">
        <v>1</v>
      </c>
      <c r="P295" s="226" t="s">
        <v>817</v>
      </c>
      <c r="Q295" s="288">
        <v>24.99</v>
      </c>
      <c r="R295" s="188">
        <v>0.2</v>
      </c>
      <c r="S295" s="91">
        <v>19.991999999999997</v>
      </c>
      <c r="T295" s="86"/>
      <c r="U295" s="186">
        <v>0.01</v>
      </c>
      <c r="V295" s="238" t="s">
        <v>669</v>
      </c>
      <c r="W295" s="83" t="s">
        <v>231</v>
      </c>
      <c r="X295" s="100" t="s">
        <v>628</v>
      </c>
    </row>
    <row r="296" spans="1:24" s="1" customFormat="1">
      <c r="A296" s="219" t="s">
        <v>1104</v>
      </c>
      <c r="B296" s="205" t="s">
        <v>1105</v>
      </c>
      <c r="C296" s="206">
        <v>1</v>
      </c>
      <c r="D296" s="226" t="s">
        <v>817</v>
      </c>
      <c r="E296" s="288">
        <v>24.99</v>
      </c>
      <c r="F296" s="188">
        <f t="shared" si="58"/>
        <v>0.2</v>
      </c>
      <c r="G296" s="91">
        <f t="shared" si="57"/>
        <v>19.991999999999997</v>
      </c>
      <c r="H296" s="86"/>
      <c r="I296" s="28">
        <v>0.03</v>
      </c>
      <c r="J296" s="238" t="s">
        <v>669</v>
      </c>
      <c r="K296" s="83" t="s">
        <v>231</v>
      </c>
      <c r="L296" s="100" t="s">
        <v>628</v>
      </c>
      <c r="M296" s="219" t="s">
        <v>1104</v>
      </c>
      <c r="N296" s="205" t="s">
        <v>1105</v>
      </c>
      <c r="O296" s="206">
        <v>1</v>
      </c>
      <c r="P296" s="226" t="s">
        <v>817</v>
      </c>
      <c r="Q296" s="288">
        <v>24.99</v>
      </c>
      <c r="R296" s="188">
        <v>0.2</v>
      </c>
      <c r="S296" s="91">
        <v>19.991999999999997</v>
      </c>
      <c r="T296" s="86"/>
      <c r="U296" s="186">
        <v>0.01</v>
      </c>
      <c r="V296" s="238" t="s">
        <v>669</v>
      </c>
      <c r="W296" s="83" t="s">
        <v>231</v>
      </c>
      <c r="X296" s="100" t="s">
        <v>628</v>
      </c>
    </row>
    <row r="297" spans="1:24" s="1" customFormat="1">
      <c r="A297" s="219" t="s">
        <v>2412</v>
      </c>
      <c r="B297" s="205" t="s">
        <v>2413</v>
      </c>
      <c r="C297" s="206">
        <v>1</v>
      </c>
      <c r="D297" s="226" t="s">
        <v>817</v>
      </c>
      <c r="E297" s="287">
        <v>33.33</v>
      </c>
      <c r="F297" s="188">
        <f t="shared" ref="F297:F304" si="59">rv_20</f>
        <v>0.2</v>
      </c>
      <c r="G297" s="62">
        <f t="shared" si="57"/>
        <v>26.663999999999998</v>
      </c>
      <c r="H297" s="86"/>
      <c r="I297" s="28">
        <v>0.03</v>
      </c>
      <c r="J297" s="238" t="s">
        <v>669</v>
      </c>
      <c r="K297" s="83" t="s">
        <v>231</v>
      </c>
      <c r="L297" s="100" t="s">
        <v>628</v>
      </c>
      <c r="M297" s="219" t="s">
        <v>2412</v>
      </c>
      <c r="N297" s="205" t="s">
        <v>2413</v>
      </c>
      <c r="O297" s="206">
        <v>1</v>
      </c>
      <c r="P297" s="226" t="s">
        <v>817</v>
      </c>
      <c r="Q297" s="287">
        <v>33.33</v>
      </c>
      <c r="R297" s="188">
        <v>0.2</v>
      </c>
      <c r="S297" s="62">
        <v>26.663999999999998</v>
      </c>
      <c r="T297" s="86"/>
      <c r="U297" s="186">
        <v>0.05</v>
      </c>
      <c r="V297" s="238" t="s">
        <v>669</v>
      </c>
      <c r="W297" s="83" t="s">
        <v>231</v>
      </c>
      <c r="X297" s="100" t="s">
        <v>628</v>
      </c>
    </row>
    <row r="298" spans="1:24" s="1" customFormat="1">
      <c r="A298" s="219" t="s">
        <v>1106</v>
      </c>
      <c r="B298" s="205" t="s">
        <v>1107</v>
      </c>
      <c r="C298" s="206">
        <v>1</v>
      </c>
      <c r="D298" s="226" t="s">
        <v>817</v>
      </c>
      <c r="E298" s="287">
        <v>36.659999999999997</v>
      </c>
      <c r="F298" s="188">
        <f t="shared" si="59"/>
        <v>0.2</v>
      </c>
      <c r="G298" s="62">
        <f t="shared" ref="G298:G315" si="60">E298-(E298*F298)</f>
        <v>29.327999999999996</v>
      </c>
      <c r="H298" s="86"/>
      <c r="I298" s="28">
        <v>0.04</v>
      </c>
      <c r="J298" s="238" t="s">
        <v>669</v>
      </c>
      <c r="K298" s="83" t="s">
        <v>231</v>
      </c>
      <c r="L298" s="100" t="s">
        <v>628</v>
      </c>
      <c r="M298" s="219" t="s">
        <v>1106</v>
      </c>
      <c r="N298" s="205" t="s">
        <v>1107</v>
      </c>
      <c r="O298" s="206">
        <v>1</v>
      </c>
      <c r="P298" s="226" t="s">
        <v>817</v>
      </c>
      <c r="Q298" s="287">
        <v>36.659999999999997</v>
      </c>
      <c r="R298" s="188">
        <v>0.2</v>
      </c>
      <c r="S298" s="62">
        <v>29.327999999999996</v>
      </c>
      <c r="T298" s="86"/>
      <c r="U298" s="186">
        <v>0.02</v>
      </c>
      <c r="V298" s="238" t="s">
        <v>669</v>
      </c>
      <c r="W298" s="83" t="s">
        <v>231</v>
      </c>
      <c r="X298" s="100" t="s">
        <v>628</v>
      </c>
    </row>
    <row r="299" spans="1:24" s="1" customFormat="1">
      <c r="A299" s="219" t="s">
        <v>1108</v>
      </c>
      <c r="B299" s="205" t="s">
        <v>1109</v>
      </c>
      <c r="C299" s="206">
        <v>1</v>
      </c>
      <c r="D299" s="226" t="s">
        <v>817</v>
      </c>
      <c r="E299" s="287">
        <v>33.33</v>
      </c>
      <c r="F299" s="188">
        <f t="shared" si="59"/>
        <v>0.2</v>
      </c>
      <c r="G299" s="62">
        <f t="shared" si="60"/>
        <v>26.663999999999998</v>
      </c>
      <c r="H299" s="86"/>
      <c r="I299" s="28">
        <v>0.03</v>
      </c>
      <c r="J299" s="238" t="s">
        <v>669</v>
      </c>
      <c r="K299" s="83" t="s">
        <v>231</v>
      </c>
      <c r="L299" s="100" t="s">
        <v>628</v>
      </c>
      <c r="M299" s="219" t="s">
        <v>1108</v>
      </c>
      <c r="N299" s="205" t="s">
        <v>1109</v>
      </c>
      <c r="O299" s="206">
        <v>1</v>
      </c>
      <c r="P299" s="226" t="s">
        <v>817</v>
      </c>
      <c r="Q299" s="287">
        <v>33.33</v>
      </c>
      <c r="R299" s="188">
        <v>0.2</v>
      </c>
      <c r="S299" s="62">
        <v>26.663999999999998</v>
      </c>
      <c r="T299" s="86"/>
      <c r="U299" s="186">
        <v>0.01</v>
      </c>
      <c r="V299" s="238" t="s">
        <v>669</v>
      </c>
      <c r="W299" s="83" t="s">
        <v>231</v>
      </c>
      <c r="X299" s="100" t="s">
        <v>628</v>
      </c>
    </row>
    <row r="300" spans="1:24" s="1" customFormat="1">
      <c r="A300" s="219" t="s">
        <v>1110</v>
      </c>
      <c r="B300" s="205" t="s">
        <v>1111</v>
      </c>
      <c r="C300" s="206">
        <v>1</v>
      </c>
      <c r="D300" s="226" t="s">
        <v>817</v>
      </c>
      <c r="E300" s="287">
        <v>41.66</v>
      </c>
      <c r="F300" s="188">
        <f t="shared" si="59"/>
        <v>0.2</v>
      </c>
      <c r="G300" s="62">
        <f t="shared" si="60"/>
        <v>33.327999999999996</v>
      </c>
      <c r="H300" s="86"/>
      <c r="I300" s="28">
        <v>0.03</v>
      </c>
      <c r="J300" s="238" t="s">
        <v>669</v>
      </c>
      <c r="K300" s="83" t="s">
        <v>231</v>
      </c>
      <c r="L300" s="100" t="s">
        <v>628</v>
      </c>
      <c r="M300" s="219" t="s">
        <v>1110</v>
      </c>
      <c r="N300" s="205" t="s">
        <v>1111</v>
      </c>
      <c r="O300" s="206">
        <v>1</v>
      </c>
      <c r="P300" s="226" t="s">
        <v>817</v>
      </c>
      <c r="Q300" s="287">
        <v>41.66</v>
      </c>
      <c r="R300" s="188">
        <v>0.2</v>
      </c>
      <c r="S300" s="62">
        <v>33.327999999999996</v>
      </c>
      <c r="T300" s="86"/>
      <c r="U300" s="186">
        <v>0.01</v>
      </c>
      <c r="V300" s="238" t="s">
        <v>669</v>
      </c>
      <c r="W300" s="83" t="s">
        <v>231</v>
      </c>
      <c r="X300" s="100" t="s">
        <v>628</v>
      </c>
    </row>
    <row r="301" spans="1:24" s="1" customFormat="1">
      <c r="A301" s="219" t="s">
        <v>1112</v>
      </c>
      <c r="B301" s="205" t="s">
        <v>1113</v>
      </c>
      <c r="C301" s="206">
        <v>1</v>
      </c>
      <c r="D301" s="226" t="s">
        <v>817</v>
      </c>
      <c r="E301" s="287">
        <v>49.99</v>
      </c>
      <c r="F301" s="188">
        <f t="shared" si="59"/>
        <v>0.2</v>
      </c>
      <c r="G301" s="62">
        <f t="shared" si="60"/>
        <v>39.992000000000004</v>
      </c>
      <c r="H301" s="86"/>
      <c r="I301" s="28">
        <v>0.04</v>
      </c>
      <c r="J301" s="238" t="s">
        <v>669</v>
      </c>
      <c r="K301" s="83" t="s">
        <v>231</v>
      </c>
      <c r="L301" s="100" t="s">
        <v>628</v>
      </c>
      <c r="M301" s="219" t="s">
        <v>1112</v>
      </c>
      <c r="N301" s="205" t="s">
        <v>1113</v>
      </c>
      <c r="O301" s="206">
        <v>1</v>
      </c>
      <c r="P301" s="226" t="s">
        <v>817</v>
      </c>
      <c r="Q301" s="287">
        <v>49.99</v>
      </c>
      <c r="R301" s="188">
        <v>0.2</v>
      </c>
      <c r="S301" s="62">
        <v>39.992000000000004</v>
      </c>
      <c r="T301" s="86"/>
      <c r="U301" s="186">
        <v>0.01</v>
      </c>
      <c r="V301" s="238" t="s">
        <v>669</v>
      </c>
      <c r="W301" s="83" t="s">
        <v>231</v>
      </c>
      <c r="X301" s="100" t="s">
        <v>628</v>
      </c>
    </row>
    <row r="302" spans="1:24" s="1" customFormat="1">
      <c r="A302" s="219" t="s">
        <v>1114</v>
      </c>
      <c r="B302" s="205" t="s">
        <v>1115</v>
      </c>
      <c r="C302" s="206">
        <v>1</v>
      </c>
      <c r="D302" s="226" t="s">
        <v>817</v>
      </c>
      <c r="E302" s="287">
        <v>37.49</v>
      </c>
      <c r="F302" s="188">
        <f t="shared" si="59"/>
        <v>0.2</v>
      </c>
      <c r="G302" s="62">
        <f t="shared" si="60"/>
        <v>29.992000000000001</v>
      </c>
      <c r="H302" s="86"/>
      <c r="I302" s="28">
        <v>0.04</v>
      </c>
      <c r="J302" s="238" t="s">
        <v>669</v>
      </c>
      <c r="K302" s="83" t="s">
        <v>231</v>
      </c>
      <c r="L302" s="100" t="s">
        <v>628</v>
      </c>
      <c r="M302" s="219" t="s">
        <v>1114</v>
      </c>
      <c r="N302" s="205" t="s">
        <v>1115</v>
      </c>
      <c r="O302" s="206">
        <v>1</v>
      </c>
      <c r="P302" s="226" t="s">
        <v>817</v>
      </c>
      <c r="Q302" s="287">
        <v>37.49</v>
      </c>
      <c r="R302" s="188">
        <v>0.2</v>
      </c>
      <c r="S302" s="62">
        <v>29.992000000000001</v>
      </c>
      <c r="T302" s="86"/>
      <c r="U302" s="186">
        <v>0.02</v>
      </c>
      <c r="V302" s="238" t="s">
        <v>669</v>
      </c>
      <c r="W302" s="83" t="s">
        <v>231</v>
      </c>
      <c r="X302" s="100" t="s">
        <v>628</v>
      </c>
    </row>
    <row r="303" spans="1:24" s="1" customFormat="1">
      <c r="A303" s="219" t="s">
        <v>1116</v>
      </c>
      <c r="B303" s="205" t="s">
        <v>1117</v>
      </c>
      <c r="C303" s="206">
        <v>1</v>
      </c>
      <c r="D303" s="226" t="s">
        <v>817</v>
      </c>
      <c r="E303" s="287">
        <v>24.99</v>
      </c>
      <c r="F303" s="188">
        <f t="shared" si="59"/>
        <v>0.2</v>
      </c>
      <c r="G303" s="62">
        <f t="shared" si="60"/>
        <v>19.991999999999997</v>
      </c>
      <c r="H303" s="86"/>
      <c r="I303" s="28">
        <v>0.03</v>
      </c>
      <c r="J303" s="238" t="s">
        <v>669</v>
      </c>
      <c r="K303" s="83" t="s">
        <v>231</v>
      </c>
      <c r="L303" s="100" t="s">
        <v>628</v>
      </c>
      <c r="M303" s="219" t="s">
        <v>1116</v>
      </c>
      <c r="N303" s="205" t="s">
        <v>1117</v>
      </c>
      <c r="O303" s="206">
        <v>1</v>
      </c>
      <c r="P303" s="226" t="s">
        <v>817</v>
      </c>
      <c r="Q303" s="287">
        <v>24.99</v>
      </c>
      <c r="R303" s="188">
        <v>0.2</v>
      </c>
      <c r="S303" s="62">
        <v>19.991999999999997</v>
      </c>
      <c r="T303" s="86"/>
      <c r="U303" s="186">
        <v>0.05</v>
      </c>
      <c r="V303" s="238" t="s">
        <v>669</v>
      </c>
      <c r="W303" s="83" t="s">
        <v>231</v>
      </c>
      <c r="X303" s="100" t="s">
        <v>628</v>
      </c>
    </row>
    <row r="304" spans="1:24" s="1" customFormat="1">
      <c r="A304" s="219" t="s">
        <v>1118</v>
      </c>
      <c r="B304" s="205" t="s">
        <v>1119</v>
      </c>
      <c r="C304" s="206">
        <v>1</v>
      </c>
      <c r="D304" s="226" t="s">
        <v>817</v>
      </c>
      <c r="E304" s="287">
        <v>24.99</v>
      </c>
      <c r="F304" s="188">
        <f t="shared" si="59"/>
        <v>0.2</v>
      </c>
      <c r="G304" s="62">
        <f t="shared" si="60"/>
        <v>19.991999999999997</v>
      </c>
      <c r="H304" s="86"/>
      <c r="I304" s="28">
        <v>0.03</v>
      </c>
      <c r="J304" s="238" t="s">
        <v>669</v>
      </c>
      <c r="K304" s="83" t="s">
        <v>231</v>
      </c>
      <c r="L304" s="100" t="s">
        <v>628</v>
      </c>
      <c r="M304" s="219" t="s">
        <v>1118</v>
      </c>
      <c r="N304" s="205" t="s">
        <v>1119</v>
      </c>
      <c r="O304" s="206">
        <v>1</v>
      </c>
      <c r="P304" s="226" t="s">
        <v>817</v>
      </c>
      <c r="Q304" s="287">
        <v>24.99</v>
      </c>
      <c r="R304" s="188">
        <v>0.2</v>
      </c>
      <c r="S304" s="62">
        <v>19.991999999999997</v>
      </c>
      <c r="T304" s="86"/>
      <c r="U304" s="186">
        <v>0.01</v>
      </c>
      <c r="V304" s="238" t="s">
        <v>669</v>
      </c>
      <c r="W304" s="83" t="s">
        <v>231</v>
      </c>
      <c r="X304" s="100" t="s">
        <v>628</v>
      </c>
    </row>
    <row r="305" spans="1:24" s="1" customFormat="1">
      <c r="A305" s="470" t="s">
        <v>1120</v>
      </c>
      <c r="B305" s="269" t="s">
        <v>1121</v>
      </c>
      <c r="C305" s="206">
        <v>1</v>
      </c>
      <c r="D305" s="226" t="s">
        <v>889</v>
      </c>
      <c r="E305" s="287">
        <v>15.99</v>
      </c>
      <c r="F305" s="188">
        <f t="shared" ref="F305" si="61">rv_20</f>
        <v>0.2</v>
      </c>
      <c r="G305" s="62">
        <f t="shared" si="60"/>
        <v>12.792</v>
      </c>
      <c r="H305" s="86"/>
      <c r="I305" s="28">
        <v>0.03</v>
      </c>
      <c r="J305" s="238" t="s">
        <v>669</v>
      </c>
      <c r="K305" s="83" t="s">
        <v>231</v>
      </c>
      <c r="L305" s="100" t="s">
        <v>628</v>
      </c>
      <c r="M305" s="470" t="s">
        <v>1120</v>
      </c>
      <c r="N305" s="269" t="s">
        <v>1121</v>
      </c>
      <c r="O305" s="206">
        <v>1</v>
      </c>
      <c r="P305" s="226" t="s">
        <v>889</v>
      </c>
      <c r="Q305" s="287">
        <v>15.99</v>
      </c>
      <c r="R305" s="188">
        <v>0.2</v>
      </c>
      <c r="S305" s="62">
        <v>12.792</v>
      </c>
      <c r="T305" s="86"/>
      <c r="U305" s="186">
        <v>0.01</v>
      </c>
      <c r="V305" s="238" t="s">
        <v>669</v>
      </c>
      <c r="W305" s="83" t="s">
        <v>231</v>
      </c>
      <c r="X305" s="100" t="s">
        <v>628</v>
      </c>
    </row>
    <row r="306" spans="1:24" s="1" customFormat="1">
      <c r="A306" s="219" t="s">
        <v>1122</v>
      </c>
      <c r="B306" s="205" t="s">
        <v>1123</v>
      </c>
      <c r="C306" s="206">
        <v>1</v>
      </c>
      <c r="D306" s="226" t="s">
        <v>889</v>
      </c>
      <c r="E306" s="287">
        <v>8.5</v>
      </c>
      <c r="F306" s="188">
        <f>rv_20</f>
        <v>0.2</v>
      </c>
      <c r="G306" s="62">
        <f t="shared" si="60"/>
        <v>6.8</v>
      </c>
      <c r="H306" s="86"/>
      <c r="I306" s="28">
        <v>0.03</v>
      </c>
      <c r="J306" s="238" t="s">
        <v>669</v>
      </c>
      <c r="K306" s="83" t="s">
        <v>231</v>
      </c>
      <c r="L306" s="100" t="s">
        <v>628</v>
      </c>
      <c r="M306" s="219" t="s">
        <v>1122</v>
      </c>
      <c r="N306" s="205" t="s">
        <v>1123</v>
      </c>
      <c r="O306" s="206">
        <v>1</v>
      </c>
      <c r="P306" s="226" t="s">
        <v>889</v>
      </c>
      <c r="Q306" s="287">
        <v>8.5</v>
      </c>
      <c r="R306" s="188">
        <v>0.2</v>
      </c>
      <c r="S306" s="62">
        <v>6.8</v>
      </c>
      <c r="T306" s="86"/>
      <c r="U306" s="186">
        <v>0.01</v>
      </c>
      <c r="V306" s="238" t="s">
        <v>669</v>
      </c>
      <c r="W306" s="83" t="s">
        <v>231</v>
      </c>
      <c r="X306" s="100" t="s">
        <v>628</v>
      </c>
    </row>
    <row r="307" spans="1:24" s="1" customFormat="1">
      <c r="A307" s="219" t="s">
        <v>1124</v>
      </c>
      <c r="B307" s="205" t="s">
        <v>1125</v>
      </c>
      <c r="C307" s="206">
        <v>1</v>
      </c>
      <c r="D307" s="226" t="s">
        <v>1036</v>
      </c>
      <c r="E307" s="287">
        <v>46.99</v>
      </c>
      <c r="F307" s="188">
        <f>rv_20</f>
        <v>0.2</v>
      </c>
      <c r="G307" s="62">
        <f t="shared" si="60"/>
        <v>37.591999999999999</v>
      </c>
      <c r="H307" s="86"/>
      <c r="I307" s="28">
        <v>0.03</v>
      </c>
      <c r="J307" s="238" t="s">
        <v>669</v>
      </c>
      <c r="K307" s="83" t="s">
        <v>231</v>
      </c>
      <c r="L307" s="100" t="s">
        <v>628</v>
      </c>
      <c r="M307" s="219" t="s">
        <v>1124</v>
      </c>
      <c r="N307" s="205" t="s">
        <v>1125</v>
      </c>
      <c r="O307" s="206">
        <v>1</v>
      </c>
      <c r="P307" s="226" t="s">
        <v>1036</v>
      </c>
      <c r="Q307" s="287">
        <v>46.99</v>
      </c>
      <c r="R307" s="188">
        <v>0.2</v>
      </c>
      <c r="S307" s="62">
        <v>37.591999999999999</v>
      </c>
      <c r="T307" s="86"/>
      <c r="U307" s="186">
        <v>0.01</v>
      </c>
      <c r="V307" s="238" t="s">
        <v>669</v>
      </c>
      <c r="W307" s="83" t="s">
        <v>231</v>
      </c>
      <c r="X307" s="100" t="s">
        <v>628</v>
      </c>
    </row>
    <row r="308" spans="1:24" s="1" customFormat="1">
      <c r="A308" s="219" t="s">
        <v>1126</v>
      </c>
      <c r="B308" s="205" t="s">
        <v>1127</v>
      </c>
      <c r="C308" s="206">
        <v>1</v>
      </c>
      <c r="D308" s="226" t="s">
        <v>1036</v>
      </c>
      <c r="E308" s="287">
        <v>46.99</v>
      </c>
      <c r="F308" s="188">
        <f>rv_20</f>
        <v>0.2</v>
      </c>
      <c r="G308" s="62">
        <f t="shared" si="60"/>
        <v>37.591999999999999</v>
      </c>
      <c r="H308" s="86"/>
      <c r="I308" s="28">
        <v>0.03</v>
      </c>
      <c r="J308" s="238" t="s">
        <v>669</v>
      </c>
      <c r="K308" s="83" t="s">
        <v>231</v>
      </c>
      <c r="L308" s="100" t="s">
        <v>628</v>
      </c>
      <c r="M308" s="219" t="s">
        <v>1126</v>
      </c>
      <c r="N308" s="205" t="s">
        <v>1127</v>
      </c>
      <c r="O308" s="206">
        <v>1</v>
      </c>
      <c r="P308" s="226" t="s">
        <v>1036</v>
      </c>
      <c r="Q308" s="287">
        <v>46.99</v>
      </c>
      <c r="R308" s="188">
        <v>0.2</v>
      </c>
      <c r="S308" s="62">
        <v>37.591999999999999</v>
      </c>
      <c r="T308" s="86"/>
      <c r="U308" s="186">
        <v>0.01</v>
      </c>
      <c r="V308" s="238" t="s">
        <v>669</v>
      </c>
      <c r="W308" s="83" t="s">
        <v>231</v>
      </c>
      <c r="X308" s="100" t="s">
        <v>628</v>
      </c>
    </row>
    <row r="309" spans="1:24" s="1" customFormat="1">
      <c r="A309" s="219" t="s">
        <v>1128</v>
      </c>
      <c r="B309" s="205" t="s">
        <v>1129</v>
      </c>
      <c r="C309" s="206">
        <v>1</v>
      </c>
      <c r="D309" s="226" t="s">
        <v>889</v>
      </c>
      <c r="E309" s="287">
        <v>33.33</v>
      </c>
      <c r="F309" s="188">
        <f>rv_20</f>
        <v>0.2</v>
      </c>
      <c r="G309" s="62">
        <f t="shared" si="60"/>
        <v>26.663999999999998</v>
      </c>
      <c r="H309" s="86"/>
      <c r="I309" s="28">
        <v>0.03</v>
      </c>
      <c r="J309" s="238" t="s">
        <v>669</v>
      </c>
      <c r="K309" s="83" t="s">
        <v>231</v>
      </c>
      <c r="L309" s="100" t="s">
        <v>628</v>
      </c>
      <c r="M309" s="219" t="s">
        <v>1128</v>
      </c>
      <c r="N309" s="205" t="s">
        <v>1129</v>
      </c>
      <c r="O309" s="206">
        <v>1</v>
      </c>
      <c r="P309" s="226" t="s">
        <v>889</v>
      </c>
      <c r="Q309" s="287">
        <v>33.33</v>
      </c>
      <c r="R309" s="188">
        <v>0.2</v>
      </c>
      <c r="S309" s="62">
        <v>26.663999999999998</v>
      </c>
      <c r="T309" s="86"/>
      <c r="U309" s="186">
        <v>0.01</v>
      </c>
      <c r="V309" s="238" t="s">
        <v>669</v>
      </c>
      <c r="W309" s="83" t="s">
        <v>231</v>
      </c>
      <c r="X309" s="100" t="s">
        <v>628</v>
      </c>
    </row>
    <row r="310" spans="1:24" s="1" customFormat="1">
      <c r="A310" s="219" t="s">
        <v>1130</v>
      </c>
      <c r="B310" s="205" t="s">
        <v>1131</v>
      </c>
      <c r="C310" s="206">
        <v>1</v>
      </c>
      <c r="D310" s="226" t="s">
        <v>889</v>
      </c>
      <c r="E310" s="287">
        <v>29.16</v>
      </c>
      <c r="F310" s="188">
        <f t="shared" ref="F310:F316" si="62">rv_20</f>
        <v>0.2</v>
      </c>
      <c r="G310" s="62">
        <f t="shared" si="60"/>
        <v>23.327999999999999</v>
      </c>
      <c r="H310" s="86"/>
      <c r="I310" s="28">
        <v>0.03</v>
      </c>
      <c r="J310" s="238" t="s">
        <v>669</v>
      </c>
      <c r="K310" s="83" t="s">
        <v>231</v>
      </c>
      <c r="L310" s="100" t="s">
        <v>628</v>
      </c>
      <c r="M310" s="219" t="s">
        <v>1130</v>
      </c>
      <c r="N310" s="205" t="s">
        <v>1131</v>
      </c>
      <c r="O310" s="206">
        <v>1</v>
      </c>
      <c r="P310" s="226" t="s">
        <v>889</v>
      </c>
      <c r="Q310" s="287">
        <v>29.16</v>
      </c>
      <c r="R310" s="188">
        <v>0.2</v>
      </c>
      <c r="S310" s="62">
        <v>23.327999999999999</v>
      </c>
      <c r="T310" s="86"/>
      <c r="U310" s="186">
        <v>0.01</v>
      </c>
      <c r="V310" s="238" t="s">
        <v>669</v>
      </c>
      <c r="W310" s="83" t="s">
        <v>231</v>
      </c>
      <c r="X310" s="100" t="s">
        <v>628</v>
      </c>
    </row>
    <row r="311" spans="1:24" s="1" customFormat="1">
      <c r="A311" s="219" t="s">
        <v>1132</v>
      </c>
      <c r="B311" s="205" t="s">
        <v>1133</v>
      </c>
      <c r="C311" s="206">
        <v>1</v>
      </c>
      <c r="D311" s="226" t="s">
        <v>889</v>
      </c>
      <c r="E311" s="287">
        <v>37.49</v>
      </c>
      <c r="F311" s="188">
        <f t="shared" si="62"/>
        <v>0.2</v>
      </c>
      <c r="G311" s="62">
        <f t="shared" si="60"/>
        <v>29.992000000000001</v>
      </c>
      <c r="H311" s="86"/>
      <c r="I311" s="28">
        <v>0.04</v>
      </c>
      <c r="J311" s="238" t="s">
        <v>669</v>
      </c>
      <c r="K311" s="83" t="s">
        <v>231</v>
      </c>
      <c r="L311" s="100" t="s">
        <v>628</v>
      </c>
      <c r="M311" s="219" t="s">
        <v>1132</v>
      </c>
      <c r="N311" s="205" t="s">
        <v>1133</v>
      </c>
      <c r="O311" s="206">
        <v>1</v>
      </c>
      <c r="P311" s="226" t="s">
        <v>889</v>
      </c>
      <c r="Q311" s="287">
        <v>37.49</v>
      </c>
      <c r="R311" s="188">
        <v>0.2</v>
      </c>
      <c r="S311" s="62">
        <v>29.992000000000001</v>
      </c>
      <c r="T311" s="86"/>
      <c r="U311" s="186">
        <v>0.02</v>
      </c>
      <c r="V311" s="238" t="s">
        <v>669</v>
      </c>
      <c r="W311" s="83" t="s">
        <v>231</v>
      </c>
      <c r="X311" s="100" t="s">
        <v>628</v>
      </c>
    </row>
    <row r="312" spans="1:24" s="1" customFormat="1">
      <c r="A312" s="219" t="s">
        <v>1134</v>
      </c>
      <c r="B312" s="205" t="s">
        <v>1135</v>
      </c>
      <c r="C312" s="206">
        <v>1</v>
      </c>
      <c r="D312" s="226" t="s">
        <v>999</v>
      </c>
      <c r="E312" s="287">
        <v>108.33</v>
      </c>
      <c r="F312" s="188">
        <f t="shared" si="62"/>
        <v>0.2</v>
      </c>
      <c r="G312" s="62">
        <f t="shared" si="60"/>
        <v>86.664000000000001</v>
      </c>
      <c r="H312" s="86"/>
      <c r="I312" s="28">
        <v>0.04</v>
      </c>
      <c r="J312" s="238" t="s">
        <v>669</v>
      </c>
      <c r="K312" s="83" t="s">
        <v>231</v>
      </c>
      <c r="L312" s="100" t="s">
        <v>628</v>
      </c>
      <c r="M312" s="219" t="s">
        <v>1134</v>
      </c>
      <c r="N312" s="205" t="s">
        <v>1135</v>
      </c>
      <c r="O312" s="206">
        <v>1</v>
      </c>
      <c r="P312" s="226" t="s">
        <v>999</v>
      </c>
      <c r="Q312" s="287">
        <v>108.33</v>
      </c>
      <c r="R312" s="188">
        <v>0.2</v>
      </c>
      <c r="S312" s="62">
        <v>86.664000000000001</v>
      </c>
      <c r="T312" s="86"/>
      <c r="U312" s="186">
        <v>0.01</v>
      </c>
      <c r="V312" s="238" t="s">
        <v>669</v>
      </c>
      <c r="W312" s="83" t="s">
        <v>231</v>
      </c>
      <c r="X312" s="100" t="s">
        <v>628</v>
      </c>
    </row>
    <row r="313" spans="1:24" s="1" customFormat="1">
      <c r="A313" s="219" t="s">
        <v>1136</v>
      </c>
      <c r="B313" s="205" t="s">
        <v>1137</v>
      </c>
      <c r="C313" s="206">
        <v>1</v>
      </c>
      <c r="D313" s="226" t="s">
        <v>999</v>
      </c>
      <c r="E313" s="287">
        <v>58.33</v>
      </c>
      <c r="F313" s="188">
        <f t="shared" si="62"/>
        <v>0.2</v>
      </c>
      <c r="G313" s="62">
        <f t="shared" si="60"/>
        <v>46.664000000000001</v>
      </c>
      <c r="H313" s="86"/>
      <c r="I313" s="28">
        <v>0.03</v>
      </c>
      <c r="J313" s="238" t="s">
        <v>669</v>
      </c>
      <c r="K313" s="83" t="s">
        <v>231</v>
      </c>
      <c r="L313" s="100" t="s">
        <v>628</v>
      </c>
      <c r="M313" s="219" t="s">
        <v>1136</v>
      </c>
      <c r="N313" s="205" t="s">
        <v>1137</v>
      </c>
      <c r="O313" s="206">
        <v>1</v>
      </c>
      <c r="P313" s="226" t="s">
        <v>999</v>
      </c>
      <c r="Q313" s="287">
        <v>58.33</v>
      </c>
      <c r="R313" s="188">
        <v>0.2</v>
      </c>
      <c r="S313" s="62">
        <v>46.664000000000001</v>
      </c>
      <c r="T313" s="86"/>
      <c r="U313" s="186">
        <v>0.01</v>
      </c>
      <c r="V313" s="238" t="s">
        <v>669</v>
      </c>
      <c r="W313" s="83" t="s">
        <v>231</v>
      </c>
      <c r="X313" s="100" t="s">
        <v>628</v>
      </c>
    </row>
    <row r="314" spans="1:24" s="1" customFormat="1">
      <c r="A314" s="219" t="s">
        <v>1138</v>
      </c>
      <c r="B314" s="205" t="s">
        <v>1139</v>
      </c>
      <c r="C314" s="206">
        <v>1</v>
      </c>
      <c r="D314" s="226" t="s">
        <v>999</v>
      </c>
      <c r="E314" s="287">
        <v>41.66</v>
      </c>
      <c r="F314" s="188">
        <f t="shared" si="62"/>
        <v>0.2</v>
      </c>
      <c r="G314" s="62">
        <f t="shared" si="60"/>
        <v>33.327999999999996</v>
      </c>
      <c r="H314" s="86"/>
      <c r="I314" s="28">
        <v>0.03</v>
      </c>
      <c r="J314" s="238" t="s">
        <v>669</v>
      </c>
      <c r="K314" s="83" t="s">
        <v>231</v>
      </c>
      <c r="L314" s="100" t="s">
        <v>628</v>
      </c>
      <c r="M314" s="219" t="s">
        <v>1138</v>
      </c>
      <c r="N314" s="205" t="s">
        <v>1139</v>
      </c>
      <c r="O314" s="206">
        <v>1</v>
      </c>
      <c r="P314" s="226" t="s">
        <v>999</v>
      </c>
      <c r="Q314" s="287">
        <v>41.66</v>
      </c>
      <c r="R314" s="188">
        <v>0.2</v>
      </c>
      <c r="S314" s="62">
        <v>33.327999999999996</v>
      </c>
      <c r="T314" s="86"/>
      <c r="U314" s="186">
        <v>0.01</v>
      </c>
      <c r="V314" s="238" t="s">
        <v>669</v>
      </c>
      <c r="W314" s="83" t="s">
        <v>231</v>
      </c>
      <c r="X314" s="100" t="s">
        <v>628</v>
      </c>
    </row>
    <row r="315" spans="1:24" s="1" customFormat="1">
      <c r="A315" s="219" t="s">
        <v>1140</v>
      </c>
      <c r="B315" s="205" t="s">
        <v>1141</v>
      </c>
      <c r="C315" s="206">
        <v>1</v>
      </c>
      <c r="D315" s="226" t="s">
        <v>872</v>
      </c>
      <c r="E315" s="287">
        <v>19.989999999999998</v>
      </c>
      <c r="F315" s="188">
        <f t="shared" si="62"/>
        <v>0.2</v>
      </c>
      <c r="G315" s="62">
        <f t="shared" si="60"/>
        <v>15.991999999999999</v>
      </c>
      <c r="H315" s="86"/>
      <c r="I315" s="28">
        <v>0.03</v>
      </c>
      <c r="J315" s="238" t="s">
        <v>669</v>
      </c>
      <c r="K315" s="83" t="s">
        <v>231</v>
      </c>
      <c r="L315" s="100" t="s">
        <v>628</v>
      </c>
      <c r="M315" s="219" t="s">
        <v>1140</v>
      </c>
      <c r="N315" s="205" t="s">
        <v>1141</v>
      </c>
      <c r="O315" s="206">
        <v>1</v>
      </c>
      <c r="P315" s="226" t="s">
        <v>872</v>
      </c>
      <c r="Q315" s="287">
        <v>19.989999999999998</v>
      </c>
      <c r="R315" s="188">
        <v>0.2</v>
      </c>
      <c r="S315" s="62">
        <v>15.991999999999999</v>
      </c>
      <c r="T315" s="86"/>
      <c r="U315" s="186">
        <v>0.01</v>
      </c>
      <c r="V315" s="238" t="s">
        <v>669</v>
      </c>
      <c r="W315" s="83" t="s">
        <v>231</v>
      </c>
      <c r="X315" s="100" t="s">
        <v>628</v>
      </c>
    </row>
    <row r="316" spans="1:24" s="1" customFormat="1" ht="13.5" thickBot="1">
      <c r="A316" s="219" t="s">
        <v>2907</v>
      </c>
      <c r="B316" s="205" t="s">
        <v>2908</v>
      </c>
      <c r="C316" s="206">
        <v>1</v>
      </c>
      <c r="D316" s="226" t="s">
        <v>2888</v>
      </c>
      <c r="E316" s="287">
        <v>23.33</v>
      </c>
      <c r="F316" s="188">
        <f t="shared" si="62"/>
        <v>0.2</v>
      </c>
      <c r="G316" s="62">
        <f t="shared" ref="G316" si="63">E316-(E316*F316)</f>
        <v>18.663999999999998</v>
      </c>
      <c r="H316" s="86"/>
      <c r="I316" s="28">
        <v>0.02</v>
      </c>
      <c r="J316" s="238" t="s">
        <v>669</v>
      </c>
      <c r="K316" s="83" t="s">
        <v>231</v>
      </c>
      <c r="L316" s="100" t="s">
        <v>628</v>
      </c>
      <c r="M316" s="219" t="s">
        <v>2907</v>
      </c>
      <c r="N316" s="205" t="s">
        <v>2908</v>
      </c>
      <c r="O316" s="206">
        <v>1</v>
      </c>
      <c r="P316" s="226" t="s">
        <v>2888</v>
      </c>
      <c r="Q316" s="287">
        <v>23.33</v>
      </c>
      <c r="R316" s="188">
        <v>0.2</v>
      </c>
      <c r="S316" s="62">
        <v>18.663999999999998</v>
      </c>
      <c r="T316" s="86"/>
      <c r="U316" s="186">
        <v>0.01</v>
      </c>
      <c r="V316" s="238" t="s">
        <v>669</v>
      </c>
      <c r="W316" s="83" t="s">
        <v>231</v>
      </c>
      <c r="X316" s="100" t="s">
        <v>628</v>
      </c>
    </row>
    <row r="317" spans="1:24" s="1" customFormat="1" ht="25" customHeight="1" thickBot="1">
      <c r="A317" s="468" t="s">
        <v>1142</v>
      </c>
      <c r="B317" s="340" t="s">
        <v>1143</v>
      </c>
      <c r="C317" s="629"/>
      <c r="D317" s="629"/>
      <c r="E317" s="630"/>
      <c r="F317" s="631"/>
      <c r="G317" s="630"/>
      <c r="H317" s="630"/>
      <c r="I317" s="630"/>
      <c r="J317" s="459"/>
      <c r="K317" s="341"/>
      <c r="L317" s="341"/>
      <c r="M317" s="468" t="s">
        <v>1142</v>
      </c>
      <c r="N317" s="340" t="s">
        <v>1143</v>
      </c>
      <c r="O317" s="629"/>
      <c r="P317" s="629"/>
      <c r="Q317" s="630"/>
      <c r="R317" s="631"/>
      <c r="S317" s="630"/>
      <c r="T317" s="630"/>
      <c r="U317" s="630"/>
      <c r="V317" s="459"/>
      <c r="W317" s="341"/>
      <c r="X317" s="341"/>
    </row>
    <row r="318" spans="1:24" s="1" customFormat="1">
      <c r="A318" s="219" t="s">
        <v>1144</v>
      </c>
      <c r="B318" s="205" t="s">
        <v>1145</v>
      </c>
      <c r="C318" s="206">
        <v>1</v>
      </c>
      <c r="D318" s="226" t="s">
        <v>817</v>
      </c>
      <c r="E318" s="287">
        <v>66.66</v>
      </c>
      <c r="F318" s="188">
        <f t="shared" ref="F318:F325" si="64">rv_20</f>
        <v>0.2</v>
      </c>
      <c r="G318" s="62">
        <f>E318-(E318*F318)</f>
        <v>53.327999999999996</v>
      </c>
      <c r="H318" s="86"/>
      <c r="I318" s="28">
        <v>0.04</v>
      </c>
      <c r="J318" s="238" t="s">
        <v>669</v>
      </c>
      <c r="K318" s="83" t="s">
        <v>231</v>
      </c>
      <c r="L318" s="100" t="s">
        <v>628</v>
      </c>
      <c r="M318" s="219" t="s">
        <v>1144</v>
      </c>
      <c r="N318" s="205" t="s">
        <v>1145</v>
      </c>
      <c r="O318" s="206">
        <v>1</v>
      </c>
      <c r="P318" s="226" t="s">
        <v>817</v>
      </c>
      <c r="Q318" s="287">
        <v>66.66</v>
      </c>
      <c r="R318" s="188">
        <v>0.2</v>
      </c>
      <c r="S318" s="62">
        <v>53.327999999999996</v>
      </c>
      <c r="T318" s="86"/>
      <c r="U318" s="186">
        <v>0.01</v>
      </c>
      <c r="V318" s="238" t="s">
        <v>669</v>
      </c>
      <c r="W318" s="83" t="s">
        <v>231</v>
      </c>
      <c r="X318" s="100" t="s">
        <v>628</v>
      </c>
    </row>
    <row r="319" spans="1:24" s="1" customFormat="1">
      <c r="A319" s="219" t="s">
        <v>1146</v>
      </c>
      <c r="B319" s="205" t="s">
        <v>1147</v>
      </c>
      <c r="C319" s="206">
        <v>1</v>
      </c>
      <c r="D319" s="226" t="s">
        <v>817</v>
      </c>
      <c r="E319" s="287">
        <v>41.66</v>
      </c>
      <c r="F319" s="188">
        <f t="shared" si="64"/>
        <v>0.2</v>
      </c>
      <c r="G319" s="62">
        <f>E319-(E319*F319)</f>
        <v>33.327999999999996</v>
      </c>
      <c r="H319" s="86"/>
      <c r="I319" s="28">
        <v>0.04</v>
      </c>
      <c r="J319" s="238" t="s">
        <v>669</v>
      </c>
      <c r="K319" s="83" t="s">
        <v>231</v>
      </c>
      <c r="L319" s="100" t="s">
        <v>628</v>
      </c>
      <c r="M319" s="219" t="s">
        <v>1146</v>
      </c>
      <c r="N319" s="205" t="s">
        <v>1147</v>
      </c>
      <c r="O319" s="206">
        <v>1</v>
      </c>
      <c r="P319" s="226" t="s">
        <v>817</v>
      </c>
      <c r="Q319" s="287">
        <v>41.66</v>
      </c>
      <c r="R319" s="188">
        <v>0.2</v>
      </c>
      <c r="S319" s="62">
        <v>33.327999999999996</v>
      </c>
      <c r="T319" s="86"/>
      <c r="U319" s="186">
        <v>0.01</v>
      </c>
      <c r="V319" s="238" t="s">
        <v>669</v>
      </c>
      <c r="W319" s="83" t="s">
        <v>231</v>
      </c>
      <c r="X319" s="100" t="s">
        <v>628</v>
      </c>
    </row>
    <row r="320" spans="1:24" s="1" customFormat="1">
      <c r="A320" s="219" t="s">
        <v>1149</v>
      </c>
      <c r="B320" s="205" t="s">
        <v>1150</v>
      </c>
      <c r="C320" s="206">
        <v>1</v>
      </c>
      <c r="D320" s="226" t="s">
        <v>817</v>
      </c>
      <c r="E320" s="287">
        <v>41.49</v>
      </c>
      <c r="F320" s="188">
        <f t="shared" si="64"/>
        <v>0.2</v>
      </c>
      <c r="G320" s="62">
        <f t="shared" ref="G320:G342" si="65">E320-(E320*F320)</f>
        <v>33.192</v>
      </c>
      <c r="H320" s="86"/>
      <c r="I320" s="28">
        <v>0.04</v>
      </c>
      <c r="J320" s="238" t="s">
        <v>669</v>
      </c>
      <c r="K320" s="83" t="s">
        <v>231</v>
      </c>
      <c r="L320" s="100" t="s">
        <v>628</v>
      </c>
      <c r="M320" s="219" t="s">
        <v>1149</v>
      </c>
      <c r="N320" s="205" t="s">
        <v>1150</v>
      </c>
      <c r="O320" s="206">
        <v>1</v>
      </c>
      <c r="P320" s="226" t="s">
        <v>817</v>
      </c>
      <c r="Q320" s="287">
        <v>41.49</v>
      </c>
      <c r="R320" s="188">
        <v>0.2</v>
      </c>
      <c r="S320" s="62">
        <v>33.192</v>
      </c>
      <c r="T320" s="86"/>
      <c r="U320" s="186">
        <v>0.01</v>
      </c>
      <c r="V320" s="238" t="s">
        <v>669</v>
      </c>
      <c r="W320" s="83" t="s">
        <v>231</v>
      </c>
      <c r="X320" s="100" t="s">
        <v>628</v>
      </c>
    </row>
    <row r="321" spans="1:24" s="1" customFormat="1">
      <c r="A321" s="219" t="s">
        <v>2428</v>
      </c>
      <c r="B321" s="205" t="s">
        <v>2429</v>
      </c>
      <c r="C321" s="206">
        <v>1</v>
      </c>
      <c r="D321" s="226" t="s">
        <v>817</v>
      </c>
      <c r="E321" s="287">
        <v>108.33</v>
      </c>
      <c r="F321" s="188">
        <f t="shared" si="64"/>
        <v>0.2</v>
      </c>
      <c r="G321" s="62">
        <f t="shared" si="65"/>
        <v>86.664000000000001</v>
      </c>
      <c r="H321" s="86"/>
      <c r="I321" s="28">
        <v>0.06</v>
      </c>
      <c r="J321" s="238" t="s">
        <v>669</v>
      </c>
      <c r="K321" s="83" t="s">
        <v>231</v>
      </c>
      <c r="L321" s="100" t="s">
        <v>628</v>
      </c>
      <c r="M321" s="219" t="s">
        <v>2428</v>
      </c>
      <c r="N321" s="205" t="s">
        <v>2429</v>
      </c>
      <c r="O321" s="206">
        <v>1</v>
      </c>
      <c r="P321" s="226" t="s">
        <v>817</v>
      </c>
      <c r="Q321" s="287">
        <v>108.33</v>
      </c>
      <c r="R321" s="188">
        <v>0.2</v>
      </c>
      <c r="S321" s="62">
        <v>86.664000000000001</v>
      </c>
      <c r="T321" s="86"/>
      <c r="U321" s="186">
        <v>0.01</v>
      </c>
      <c r="V321" s="238" t="s">
        <v>669</v>
      </c>
      <c r="W321" s="83" t="s">
        <v>231</v>
      </c>
      <c r="X321" s="100" t="s">
        <v>628</v>
      </c>
    </row>
    <row r="322" spans="1:24" s="1" customFormat="1">
      <c r="A322" s="219" t="s">
        <v>1151</v>
      </c>
      <c r="B322" s="205" t="s">
        <v>1152</v>
      </c>
      <c r="C322" s="206">
        <v>1</v>
      </c>
      <c r="D322" s="226" t="s">
        <v>863</v>
      </c>
      <c r="E322" s="287">
        <v>95</v>
      </c>
      <c r="F322" s="188">
        <f t="shared" si="64"/>
        <v>0.2</v>
      </c>
      <c r="G322" s="62">
        <f t="shared" si="65"/>
        <v>76</v>
      </c>
      <c r="H322" s="86"/>
      <c r="I322" s="28">
        <v>0.04</v>
      </c>
      <c r="J322" s="238" t="s">
        <v>669</v>
      </c>
      <c r="K322" s="83" t="s">
        <v>231</v>
      </c>
      <c r="L322" s="100" t="s">
        <v>628</v>
      </c>
      <c r="M322" s="219" t="s">
        <v>1151</v>
      </c>
      <c r="N322" s="205" t="s">
        <v>1152</v>
      </c>
      <c r="O322" s="206">
        <v>1</v>
      </c>
      <c r="P322" s="226" t="s">
        <v>863</v>
      </c>
      <c r="Q322" s="287">
        <v>95</v>
      </c>
      <c r="R322" s="188">
        <v>0.2</v>
      </c>
      <c r="S322" s="62">
        <v>76</v>
      </c>
      <c r="T322" s="86"/>
      <c r="U322" s="186">
        <v>0</v>
      </c>
      <c r="V322" s="238" t="s">
        <v>669</v>
      </c>
      <c r="W322" s="83" t="s">
        <v>231</v>
      </c>
      <c r="X322" s="100" t="s">
        <v>628</v>
      </c>
    </row>
    <row r="323" spans="1:24" s="1" customFormat="1">
      <c r="A323" s="219" t="s">
        <v>2872</v>
      </c>
      <c r="B323" s="205" t="s">
        <v>2875</v>
      </c>
      <c r="C323" s="206">
        <v>1</v>
      </c>
      <c r="D323" s="226" t="s">
        <v>889</v>
      </c>
      <c r="E323" s="287">
        <v>70.83</v>
      </c>
      <c r="F323" s="188">
        <f t="shared" si="64"/>
        <v>0.2</v>
      </c>
      <c r="G323" s="62">
        <f t="shared" si="65"/>
        <v>56.664000000000001</v>
      </c>
      <c r="H323" s="86"/>
      <c r="I323" s="28">
        <v>0.04</v>
      </c>
      <c r="J323" s="238" t="s">
        <v>669</v>
      </c>
      <c r="K323" s="83" t="s">
        <v>231</v>
      </c>
      <c r="L323" s="100" t="s">
        <v>628</v>
      </c>
      <c r="M323" s="219" t="s">
        <v>2872</v>
      </c>
      <c r="N323" s="205" t="s">
        <v>2875</v>
      </c>
      <c r="O323" s="206">
        <v>1</v>
      </c>
      <c r="P323" s="226" t="s">
        <v>889</v>
      </c>
      <c r="Q323" s="287">
        <v>70.83</v>
      </c>
      <c r="R323" s="188">
        <v>0.2</v>
      </c>
      <c r="S323" s="62">
        <v>56.664000000000001</v>
      </c>
      <c r="T323" s="86"/>
      <c r="U323" s="186">
        <v>0.02</v>
      </c>
      <c r="V323" s="238" t="s">
        <v>669</v>
      </c>
      <c r="W323" s="83" t="s">
        <v>231</v>
      </c>
      <c r="X323" s="100" t="s">
        <v>628</v>
      </c>
    </row>
    <row r="324" spans="1:24" s="1" customFormat="1">
      <c r="A324" s="219" t="s">
        <v>2873</v>
      </c>
      <c r="B324" s="205" t="s">
        <v>2874</v>
      </c>
      <c r="C324" s="206">
        <v>1</v>
      </c>
      <c r="D324" s="226" t="s">
        <v>889</v>
      </c>
      <c r="E324" s="287">
        <v>70.83</v>
      </c>
      <c r="F324" s="188">
        <f t="shared" si="64"/>
        <v>0.2</v>
      </c>
      <c r="G324" s="62">
        <f t="shared" si="65"/>
        <v>56.664000000000001</v>
      </c>
      <c r="H324" s="86"/>
      <c r="I324" s="28">
        <v>0.04</v>
      </c>
      <c r="J324" s="238" t="s">
        <v>669</v>
      </c>
      <c r="K324" s="83" t="s">
        <v>231</v>
      </c>
      <c r="L324" s="100" t="s">
        <v>628</v>
      </c>
      <c r="M324" s="219" t="s">
        <v>2873</v>
      </c>
      <c r="N324" s="205" t="s">
        <v>2874</v>
      </c>
      <c r="O324" s="206">
        <v>1</v>
      </c>
      <c r="P324" s="226" t="s">
        <v>889</v>
      </c>
      <c r="Q324" s="287">
        <v>70.83</v>
      </c>
      <c r="R324" s="188">
        <v>0.2</v>
      </c>
      <c r="S324" s="62">
        <v>56.664000000000001</v>
      </c>
      <c r="T324" s="86"/>
      <c r="U324" s="186">
        <v>0.02</v>
      </c>
      <c r="V324" s="238" t="s">
        <v>669</v>
      </c>
      <c r="W324" s="83" t="s">
        <v>231</v>
      </c>
      <c r="X324" s="100" t="s">
        <v>628</v>
      </c>
    </row>
    <row r="325" spans="1:24" s="1" customFormat="1">
      <c r="A325" s="219" t="s">
        <v>1153</v>
      </c>
      <c r="B325" s="205" t="s">
        <v>1154</v>
      </c>
      <c r="C325" s="206">
        <v>1</v>
      </c>
      <c r="D325" s="226" t="s">
        <v>889</v>
      </c>
      <c r="E325" s="287">
        <v>83.33</v>
      </c>
      <c r="F325" s="188">
        <f t="shared" si="64"/>
        <v>0.2</v>
      </c>
      <c r="G325" s="62">
        <f t="shared" si="65"/>
        <v>66.664000000000001</v>
      </c>
      <c r="H325" s="86"/>
      <c r="I325" s="28">
        <v>0.04</v>
      </c>
      <c r="J325" s="238" t="s">
        <v>669</v>
      </c>
      <c r="K325" s="83" t="s">
        <v>231</v>
      </c>
      <c r="L325" s="100" t="s">
        <v>628</v>
      </c>
      <c r="M325" s="219" t="s">
        <v>1153</v>
      </c>
      <c r="N325" s="205" t="s">
        <v>1154</v>
      </c>
      <c r="O325" s="206">
        <v>1</v>
      </c>
      <c r="P325" s="226" t="s">
        <v>889</v>
      </c>
      <c r="Q325" s="287">
        <v>83.33</v>
      </c>
      <c r="R325" s="188">
        <v>0.2</v>
      </c>
      <c r="S325" s="62">
        <v>66.664000000000001</v>
      </c>
      <c r="T325" s="86"/>
      <c r="U325" s="186">
        <v>0.02</v>
      </c>
      <c r="V325" s="238" t="s">
        <v>669</v>
      </c>
      <c r="W325" s="83" t="s">
        <v>231</v>
      </c>
      <c r="X325" s="100" t="s">
        <v>628</v>
      </c>
    </row>
    <row r="326" spans="1:24" s="1" customFormat="1">
      <c r="A326" s="219" t="s">
        <v>1155</v>
      </c>
      <c r="B326" s="205" t="s">
        <v>1156</v>
      </c>
      <c r="C326" s="206">
        <v>1</v>
      </c>
      <c r="D326" s="226" t="s">
        <v>889</v>
      </c>
      <c r="E326" s="287">
        <v>124.99</v>
      </c>
      <c r="F326" s="188">
        <f>rv_10</f>
        <v>0.1</v>
      </c>
      <c r="G326" s="62">
        <f t="shared" si="65"/>
        <v>112.491</v>
      </c>
      <c r="H326" s="86"/>
      <c r="I326" s="28">
        <v>0.04</v>
      </c>
      <c r="J326" s="238" t="s">
        <v>669</v>
      </c>
      <c r="K326" s="83" t="s">
        <v>231</v>
      </c>
      <c r="L326" s="100" t="s">
        <v>628</v>
      </c>
      <c r="M326" s="219" t="s">
        <v>1155</v>
      </c>
      <c r="N326" s="205" t="s">
        <v>1156</v>
      </c>
      <c r="O326" s="206">
        <v>1</v>
      </c>
      <c r="P326" s="226" t="s">
        <v>889</v>
      </c>
      <c r="Q326" s="287">
        <v>124.99</v>
      </c>
      <c r="R326" s="188">
        <v>0.1</v>
      </c>
      <c r="S326" s="62">
        <v>112.491</v>
      </c>
      <c r="T326" s="86"/>
      <c r="U326" s="186">
        <v>0.02</v>
      </c>
      <c r="V326" s="238" t="s">
        <v>669</v>
      </c>
      <c r="W326" s="83" t="s">
        <v>231</v>
      </c>
      <c r="X326" s="100" t="s">
        <v>628</v>
      </c>
    </row>
    <row r="327" spans="1:24" s="1" customFormat="1">
      <c r="A327" s="219" t="s">
        <v>1157</v>
      </c>
      <c r="B327" s="205" t="s">
        <v>1158</v>
      </c>
      <c r="C327" s="206">
        <v>1</v>
      </c>
      <c r="D327" s="226" t="s">
        <v>889</v>
      </c>
      <c r="E327" s="287">
        <v>69.989999999999995</v>
      </c>
      <c r="F327" s="188">
        <f t="shared" ref="F327:F331" si="66">rv_20</f>
        <v>0.2</v>
      </c>
      <c r="G327" s="62">
        <f t="shared" si="65"/>
        <v>55.991999999999997</v>
      </c>
      <c r="H327" s="86"/>
      <c r="I327" s="28">
        <v>0.04</v>
      </c>
      <c r="J327" s="238" t="s">
        <v>669</v>
      </c>
      <c r="K327" s="83" t="s">
        <v>231</v>
      </c>
      <c r="L327" s="100" t="s">
        <v>628</v>
      </c>
      <c r="M327" s="219" t="s">
        <v>1157</v>
      </c>
      <c r="N327" s="205" t="s">
        <v>1158</v>
      </c>
      <c r="O327" s="206">
        <v>1</v>
      </c>
      <c r="P327" s="226" t="s">
        <v>889</v>
      </c>
      <c r="Q327" s="287">
        <v>69.989999999999995</v>
      </c>
      <c r="R327" s="188">
        <v>0.2</v>
      </c>
      <c r="S327" s="62">
        <v>55.991999999999997</v>
      </c>
      <c r="T327" s="86"/>
      <c r="U327" s="186">
        <v>0.02</v>
      </c>
      <c r="V327" s="238" t="s">
        <v>669</v>
      </c>
      <c r="W327" s="83" t="s">
        <v>231</v>
      </c>
      <c r="X327" s="100" t="s">
        <v>628</v>
      </c>
    </row>
    <row r="328" spans="1:24" s="1" customFormat="1">
      <c r="A328" s="219" t="s">
        <v>1159</v>
      </c>
      <c r="B328" s="205" t="s">
        <v>1160</v>
      </c>
      <c r="C328" s="206">
        <v>1</v>
      </c>
      <c r="D328" s="226" t="s">
        <v>889</v>
      </c>
      <c r="E328" s="287">
        <v>99.99</v>
      </c>
      <c r="F328" s="188">
        <f t="shared" si="66"/>
        <v>0.2</v>
      </c>
      <c r="G328" s="62">
        <f t="shared" si="65"/>
        <v>79.99199999999999</v>
      </c>
      <c r="H328" s="86"/>
      <c r="I328" s="28">
        <v>0.04</v>
      </c>
      <c r="J328" s="238" t="s">
        <v>669</v>
      </c>
      <c r="K328" s="83" t="s">
        <v>231</v>
      </c>
      <c r="L328" s="100" t="s">
        <v>628</v>
      </c>
      <c r="M328" s="219" t="s">
        <v>1159</v>
      </c>
      <c r="N328" s="205" t="s">
        <v>1160</v>
      </c>
      <c r="O328" s="206">
        <v>1</v>
      </c>
      <c r="P328" s="226" t="s">
        <v>889</v>
      </c>
      <c r="Q328" s="287">
        <v>99.99</v>
      </c>
      <c r="R328" s="188">
        <v>0.2</v>
      </c>
      <c r="S328" s="62">
        <v>79.99199999999999</v>
      </c>
      <c r="T328" s="86"/>
      <c r="U328" s="186">
        <v>0.02</v>
      </c>
      <c r="V328" s="238" t="s">
        <v>669</v>
      </c>
      <c r="W328" s="83" t="s">
        <v>231</v>
      </c>
      <c r="X328" s="100" t="s">
        <v>628</v>
      </c>
    </row>
    <row r="329" spans="1:24" s="1" customFormat="1">
      <c r="A329" s="219" t="s">
        <v>1161</v>
      </c>
      <c r="B329" s="205" t="s">
        <v>1162</v>
      </c>
      <c r="C329" s="206">
        <v>1</v>
      </c>
      <c r="D329" s="226" t="s">
        <v>889</v>
      </c>
      <c r="E329" s="287">
        <v>89.99</v>
      </c>
      <c r="F329" s="188">
        <f t="shared" si="66"/>
        <v>0.2</v>
      </c>
      <c r="G329" s="62">
        <f t="shared" si="65"/>
        <v>71.99199999999999</v>
      </c>
      <c r="H329" s="86"/>
      <c r="I329" s="28">
        <v>0.04</v>
      </c>
      <c r="J329" s="238" t="s">
        <v>669</v>
      </c>
      <c r="K329" s="83" t="s">
        <v>231</v>
      </c>
      <c r="L329" s="100" t="s">
        <v>628</v>
      </c>
      <c r="M329" s="219" t="s">
        <v>1161</v>
      </c>
      <c r="N329" s="205" t="s">
        <v>1162</v>
      </c>
      <c r="O329" s="206">
        <v>1</v>
      </c>
      <c r="P329" s="226" t="s">
        <v>889</v>
      </c>
      <c r="Q329" s="287">
        <v>89.99</v>
      </c>
      <c r="R329" s="188">
        <v>0.2</v>
      </c>
      <c r="S329" s="62">
        <v>71.99199999999999</v>
      </c>
      <c r="T329" s="86"/>
      <c r="U329" s="186">
        <v>0.02</v>
      </c>
      <c r="V329" s="238" t="s">
        <v>669</v>
      </c>
      <c r="W329" s="83" t="s">
        <v>231</v>
      </c>
      <c r="X329" s="100" t="s">
        <v>628</v>
      </c>
    </row>
    <row r="330" spans="1:24" s="1" customFormat="1">
      <c r="A330" s="219" t="s">
        <v>1163</v>
      </c>
      <c r="B330" s="205" t="s">
        <v>1164</v>
      </c>
      <c r="C330" s="206">
        <v>1</v>
      </c>
      <c r="D330" s="226" t="s">
        <v>889</v>
      </c>
      <c r="E330" s="287">
        <v>89.99</v>
      </c>
      <c r="F330" s="188">
        <f t="shared" si="66"/>
        <v>0.2</v>
      </c>
      <c r="G330" s="62">
        <f t="shared" si="65"/>
        <v>71.99199999999999</v>
      </c>
      <c r="H330" s="86"/>
      <c r="I330" s="28">
        <v>0.04</v>
      </c>
      <c r="J330" s="238" t="s">
        <v>669</v>
      </c>
      <c r="K330" s="83" t="s">
        <v>231</v>
      </c>
      <c r="L330" s="100" t="s">
        <v>628</v>
      </c>
      <c r="M330" s="219" t="s">
        <v>1163</v>
      </c>
      <c r="N330" s="205" t="s">
        <v>1164</v>
      </c>
      <c r="O330" s="206">
        <v>1</v>
      </c>
      <c r="P330" s="226" t="s">
        <v>889</v>
      </c>
      <c r="Q330" s="287">
        <v>89.99</v>
      </c>
      <c r="R330" s="188">
        <v>0.2</v>
      </c>
      <c r="S330" s="62">
        <v>71.99199999999999</v>
      </c>
      <c r="T330" s="86"/>
      <c r="U330" s="186">
        <v>0.02</v>
      </c>
      <c r="V330" s="238" t="s">
        <v>669</v>
      </c>
      <c r="W330" s="83" t="s">
        <v>231</v>
      </c>
      <c r="X330" s="100" t="s">
        <v>628</v>
      </c>
    </row>
    <row r="331" spans="1:24" s="1" customFormat="1">
      <c r="A331" s="219" t="s">
        <v>1165</v>
      </c>
      <c r="B331" s="205" t="s">
        <v>1166</v>
      </c>
      <c r="C331" s="206">
        <v>1</v>
      </c>
      <c r="D331" s="226" t="s">
        <v>889</v>
      </c>
      <c r="E331" s="287">
        <v>89.99</v>
      </c>
      <c r="F331" s="188">
        <f t="shared" si="66"/>
        <v>0.2</v>
      </c>
      <c r="G331" s="62">
        <f t="shared" si="65"/>
        <v>71.99199999999999</v>
      </c>
      <c r="H331" s="86"/>
      <c r="I331" s="28">
        <v>0.04</v>
      </c>
      <c r="J331" s="238" t="s">
        <v>669</v>
      </c>
      <c r="K331" s="83" t="s">
        <v>231</v>
      </c>
      <c r="L331" s="100" t="s">
        <v>628</v>
      </c>
      <c r="M331" s="219" t="s">
        <v>1165</v>
      </c>
      <c r="N331" s="205" t="s">
        <v>1166</v>
      </c>
      <c r="O331" s="206">
        <v>1</v>
      </c>
      <c r="P331" s="226" t="s">
        <v>889</v>
      </c>
      <c r="Q331" s="287">
        <v>89.99</v>
      </c>
      <c r="R331" s="188">
        <v>0.2</v>
      </c>
      <c r="S331" s="62">
        <v>71.99199999999999</v>
      </c>
      <c r="T331" s="86"/>
      <c r="U331" s="186">
        <v>0.02</v>
      </c>
      <c r="V331" s="238" t="s">
        <v>669</v>
      </c>
      <c r="W331" s="83" t="s">
        <v>231</v>
      </c>
      <c r="X331" s="100" t="s">
        <v>628</v>
      </c>
    </row>
    <row r="332" spans="1:24" s="1" customFormat="1">
      <c r="A332" s="219" t="s">
        <v>1167</v>
      </c>
      <c r="B332" s="205" t="s">
        <v>1168</v>
      </c>
      <c r="C332" s="206">
        <v>1</v>
      </c>
      <c r="D332" s="226" t="s">
        <v>889</v>
      </c>
      <c r="E332" s="287">
        <v>91.66</v>
      </c>
      <c r="F332" s="188">
        <f t="shared" ref="F332:F336" si="67">rv_20</f>
        <v>0.2</v>
      </c>
      <c r="G332" s="62">
        <f t="shared" si="65"/>
        <v>73.328000000000003</v>
      </c>
      <c r="H332" s="86"/>
      <c r="I332" s="28">
        <v>0.06</v>
      </c>
      <c r="J332" s="238" t="s">
        <v>669</v>
      </c>
      <c r="K332" s="83" t="s">
        <v>231</v>
      </c>
      <c r="L332" s="100" t="s">
        <v>628</v>
      </c>
      <c r="M332" s="219" t="s">
        <v>1167</v>
      </c>
      <c r="N332" s="205" t="s">
        <v>1168</v>
      </c>
      <c r="O332" s="206">
        <v>1</v>
      </c>
      <c r="P332" s="226" t="s">
        <v>889</v>
      </c>
      <c r="Q332" s="287">
        <v>91.66</v>
      </c>
      <c r="R332" s="188">
        <v>0.2</v>
      </c>
      <c r="S332" s="62">
        <v>73.328000000000003</v>
      </c>
      <c r="T332" s="86"/>
      <c r="U332" s="186">
        <v>0.05</v>
      </c>
      <c r="V332" s="238" t="s">
        <v>669</v>
      </c>
      <c r="W332" s="83" t="s">
        <v>231</v>
      </c>
      <c r="X332" s="100" t="s">
        <v>628</v>
      </c>
    </row>
    <row r="333" spans="1:24" s="1" customFormat="1">
      <c r="A333" s="219" t="s">
        <v>1169</v>
      </c>
      <c r="B333" s="205" t="s">
        <v>2878</v>
      </c>
      <c r="C333" s="206">
        <v>1</v>
      </c>
      <c r="D333" s="226" t="s">
        <v>889</v>
      </c>
      <c r="E333" s="287">
        <v>74.989999999999995</v>
      </c>
      <c r="F333" s="188">
        <f t="shared" si="67"/>
        <v>0.2</v>
      </c>
      <c r="G333" s="62">
        <f t="shared" si="65"/>
        <v>59.991999999999997</v>
      </c>
      <c r="H333" s="86"/>
      <c r="I333" s="28">
        <v>0.06</v>
      </c>
      <c r="J333" s="238" t="s">
        <v>669</v>
      </c>
      <c r="K333" s="83" t="s">
        <v>231</v>
      </c>
      <c r="L333" s="100" t="s">
        <v>628</v>
      </c>
      <c r="M333" s="219" t="s">
        <v>1169</v>
      </c>
      <c r="N333" s="205" t="s">
        <v>2878</v>
      </c>
      <c r="O333" s="206">
        <v>1</v>
      </c>
      <c r="P333" s="226" t="s">
        <v>889</v>
      </c>
      <c r="Q333" s="287">
        <v>74.989999999999995</v>
      </c>
      <c r="R333" s="188">
        <v>0.2</v>
      </c>
      <c r="S333" s="62">
        <v>59.991999999999997</v>
      </c>
      <c r="T333" s="86"/>
      <c r="U333" s="186">
        <v>0.05</v>
      </c>
      <c r="V333" s="238" t="s">
        <v>669</v>
      </c>
      <c r="W333" s="83" t="s">
        <v>231</v>
      </c>
      <c r="X333" s="100" t="s">
        <v>628</v>
      </c>
    </row>
    <row r="334" spans="1:24" s="1" customFormat="1">
      <c r="A334" s="219" t="s">
        <v>1170</v>
      </c>
      <c r="B334" s="205" t="s">
        <v>2879</v>
      </c>
      <c r="C334" s="206">
        <v>1</v>
      </c>
      <c r="D334" s="226" t="s">
        <v>889</v>
      </c>
      <c r="E334" s="287">
        <v>74.989999999999995</v>
      </c>
      <c r="F334" s="188">
        <f t="shared" si="67"/>
        <v>0.2</v>
      </c>
      <c r="G334" s="62">
        <f t="shared" si="65"/>
        <v>59.991999999999997</v>
      </c>
      <c r="H334" s="86"/>
      <c r="I334" s="28">
        <v>0.06</v>
      </c>
      <c r="J334" s="238" t="s">
        <v>669</v>
      </c>
      <c r="K334" s="83" t="s">
        <v>231</v>
      </c>
      <c r="L334" s="100" t="s">
        <v>628</v>
      </c>
      <c r="M334" s="219" t="s">
        <v>1170</v>
      </c>
      <c r="N334" s="205" t="s">
        <v>2879</v>
      </c>
      <c r="O334" s="206">
        <v>1</v>
      </c>
      <c r="P334" s="226" t="s">
        <v>889</v>
      </c>
      <c r="Q334" s="287">
        <v>74.989999999999995</v>
      </c>
      <c r="R334" s="188">
        <v>0.2</v>
      </c>
      <c r="S334" s="62">
        <v>59.991999999999997</v>
      </c>
      <c r="T334" s="86"/>
      <c r="U334" s="186">
        <v>0.05</v>
      </c>
      <c r="V334" s="238" t="s">
        <v>669</v>
      </c>
      <c r="W334" s="83" t="s">
        <v>231</v>
      </c>
      <c r="X334" s="100" t="s">
        <v>628</v>
      </c>
    </row>
    <row r="335" spans="1:24" s="1" customFormat="1">
      <c r="A335" s="219" t="s">
        <v>1171</v>
      </c>
      <c r="B335" s="205" t="s">
        <v>2880</v>
      </c>
      <c r="C335" s="206">
        <v>1</v>
      </c>
      <c r="D335" s="226" t="s">
        <v>889</v>
      </c>
      <c r="E335" s="287">
        <v>59.99</v>
      </c>
      <c r="F335" s="188">
        <f t="shared" si="67"/>
        <v>0.2</v>
      </c>
      <c r="G335" s="62">
        <f t="shared" si="65"/>
        <v>47.992000000000004</v>
      </c>
      <c r="H335" s="86"/>
      <c r="I335" s="28">
        <v>0.04</v>
      </c>
      <c r="J335" s="238" t="s">
        <v>669</v>
      </c>
      <c r="K335" s="83" t="s">
        <v>231</v>
      </c>
      <c r="L335" s="100" t="s">
        <v>628</v>
      </c>
      <c r="M335" s="219" t="s">
        <v>1171</v>
      </c>
      <c r="N335" s="205" t="s">
        <v>2880</v>
      </c>
      <c r="O335" s="206">
        <v>1</v>
      </c>
      <c r="P335" s="226" t="s">
        <v>889</v>
      </c>
      <c r="Q335" s="287">
        <v>59.99</v>
      </c>
      <c r="R335" s="188">
        <v>0.2</v>
      </c>
      <c r="S335" s="62">
        <v>47.992000000000004</v>
      </c>
      <c r="T335" s="86"/>
      <c r="U335" s="186">
        <v>0.02</v>
      </c>
      <c r="V335" s="238" t="s">
        <v>669</v>
      </c>
      <c r="W335" s="83" t="s">
        <v>231</v>
      </c>
      <c r="X335" s="100" t="s">
        <v>628</v>
      </c>
    </row>
    <row r="336" spans="1:24" s="1" customFormat="1">
      <c r="A336" s="219" t="s">
        <v>1172</v>
      </c>
      <c r="B336" s="205" t="s">
        <v>1173</v>
      </c>
      <c r="C336" s="198">
        <v>1</v>
      </c>
      <c r="D336" s="226" t="s">
        <v>908</v>
      </c>
      <c r="E336" s="287">
        <v>108.28</v>
      </c>
      <c r="F336" s="188">
        <f t="shared" si="67"/>
        <v>0.2</v>
      </c>
      <c r="G336" s="62">
        <f t="shared" si="65"/>
        <v>86.623999999999995</v>
      </c>
      <c r="H336" s="86"/>
      <c r="I336" s="28">
        <v>0.04</v>
      </c>
      <c r="J336" s="238" t="s">
        <v>669</v>
      </c>
      <c r="K336" s="83" t="s">
        <v>231</v>
      </c>
      <c r="L336" s="100" t="s">
        <v>628</v>
      </c>
      <c r="M336" s="219" t="s">
        <v>1172</v>
      </c>
      <c r="N336" s="205" t="s">
        <v>1173</v>
      </c>
      <c r="O336" s="198">
        <v>1</v>
      </c>
      <c r="P336" s="226" t="s">
        <v>908</v>
      </c>
      <c r="Q336" s="287">
        <v>108.28</v>
      </c>
      <c r="R336" s="188">
        <v>0.2</v>
      </c>
      <c r="S336" s="62">
        <v>86.623999999999995</v>
      </c>
      <c r="T336" s="86"/>
      <c r="U336" s="186">
        <v>0.02</v>
      </c>
      <c r="V336" s="238" t="s">
        <v>669</v>
      </c>
      <c r="W336" s="83" t="s">
        <v>231</v>
      </c>
      <c r="X336" s="100" t="s">
        <v>628</v>
      </c>
    </row>
    <row r="337" spans="1:24" s="1" customFormat="1">
      <c r="A337" s="219" t="s">
        <v>1174</v>
      </c>
      <c r="B337" s="205" t="s">
        <v>1175</v>
      </c>
      <c r="C337" s="198">
        <v>1</v>
      </c>
      <c r="D337" s="226" t="s">
        <v>999</v>
      </c>
      <c r="E337" s="287">
        <v>49.99</v>
      </c>
      <c r="F337" s="188">
        <f>rv_20</f>
        <v>0.2</v>
      </c>
      <c r="G337" s="62">
        <f t="shared" si="65"/>
        <v>39.992000000000004</v>
      </c>
      <c r="H337" s="86"/>
      <c r="I337" s="28">
        <v>0.04</v>
      </c>
      <c r="J337" s="238" t="s">
        <v>669</v>
      </c>
      <c r="K337" s="83" t="s">
        <v>231</v>
      </c>
      <c r="L337" s="100" t="s">
        <v>628</v>
      </c>
      <c r="M337" s="219" t="s">
        <v>1174</v>
      </c>
      <c r="N337" s="205" t="s">
        <v>1175</v>
      </c>
      <c r="O337" s="198">
        <v>1</v>
      </c>
      <c r="P337" s="226" t="s">
        <v>999</v>
      </c>
      <c r="Q337" s="287">
        <v>49.99</v>
      </c>
      <c r="R337" s="188">
        <v>0.2</v>
      </c>
      <c r="S337" s="62">
        <v>39.992000000000004</v>
      </c>
      <c r="T337" s="86"/>
      <c r="U337" s="186">
        <v>0.02</v>
      </c>
      <c r="V337" s="238" t="s">
        <v>669</v>
      </c>
      <c r="W337" s="83" t="s">
        <v>231</v>
      </c>
      <c r="X337" s="100" t="s">
        <v>628</v>
      </c>
    </row>
    <row r="338" spans="1:24" s="1" customFormat="1">
      <c r="A338" s="219" t="s">
        <v>1176</v>
      </c>
      <c r="B338" s="205" t="s">
        <v>1177</v>
      </c>
      <c r="C338" s="198">
        <v>1</v>
      </c>
      <c r="D338" s="226" t="s">
        <v>999</v>
      </c>
      <c r="E338" s="287">
        <v>70.83</v>
      </c>
      <c r="F338" s="188">
        <f>rv_20</f>
        <v>0.2</v>
      </c>
      <c r="G338" s="62">
        <f t="shared" si="65"/>
        <v>56.664000000000001</v>
      </c>
      <c r="H338" s="86"/>
      <c r="I338" s="28">
        <v>0.04</v>
      </c>
      <c r="J338" s="238" t="s">
        <v>669</v>
      </c>
      <c r="K338" s="83" t="s">
        <v>231</v>
      </c>
      <c r="L338" s="100" t="s">
        <v>628</v>
      </c>
      <c r="M338" s="219" t="s">
        <v>1176</v>
      </c>
      <c r="N338" s="205" t="s">
        <v>1177</v>
      </c>
      <c r="O338" s="198">
        <v>1</v>
      </c>
      <c r="P338" s="226" t="s">
        <v>999</v>
      </c>
      <c r="Q338" s="287">
        <v>70.83</v>
      </c>
      <c r="R338" s="188">
        <v>0.2</v>
      </c>
      <c r="S338" s="62">
        <v>56.664000000000001</v>
      </c>
      <c r="T338" s="86"/>
      <c r="U338" s="186">
        <v>0.02</v>
      </c>
      <c r="V338" s="238" t="s">
        <v>669</v>
      </c>
      <c r="W338" s="83" t="s">
        <v>231</v>
      </c>
      <c r="X338" s="100" t="s">
        <v>628</v>
      </c>
    </row>
    <row r="339" spans="1:24" s="1" customFormat="1">
      <c r="A339" s="219" t="s">
        <v>1178</v>
      </c>
      <c r="B339" s="205" t="s">
        <v>1179</v>
      </c>
      <c r="C339" s="198">
        <v>1</v>
      </c>
      <c r="D339" s="226" t="s">
        <v>999</v>
      </c>
      <c r="E339" s="287">
        <v>124.99</v>
      </c>
      <c r="F339" s="188">
        <f>rv_10</f>
        <v>0.1</v>
      </c>
      <c r="G339" s="62">
        <f t="shared" si="65"/>
        <v>112.491</v>
      </c>
      <c r="H339" s="86"/>
      <c r="I339" s="28">
        <v>0.06</v>
      </c>
      <c r="J339" s="238" t="s">
        <v>669</v>
      </c>
      <c r="K339" s="83" t="s">
        <v>231</v>
      </c>
      <c r="L339" s="100" t="s">
        <v>628</v>
      </c>
      <c r="M339" s="219" t="s">
        <v>1178</v>
      </c>
      <c r="N339" s="205" t="s">
        <v>1179</v>
      </c>
      <c r="O339" s="198">
        <v>1</v>
      </c>
      <c r="P339" s="226" t="s">
        <v>999</v>
      </c>
      <c r="Q339" s="287">
        <v>124.99</v>
      </c>
      <c r="R339" s="188">
        <v>0.1</v>
      </c>
      <c r="S339" s="62">
        <v>112.491</v>
      </c>
      <c r="T339" s="86"/>
      <c r="U339" s="186">
        <v>0.02</v>
      </c>
      <c r="V339" s="238" t="s">
        <v>669</v>
      </c>
      <c r="W339" s="83" t="s">
        <v>231</v>
      </c>
      <c r="X339" s="100" t="s">
        <v>628</v>
      </c>
    </row>
    <row r="340" spans="1:24" s="1" customFormat="1">
      <c r="A340" s="219" t="s">
        <v>1180</v>
      </c>
      <c r="B340" s="205" t="s">
        <v>1181</v>
      </c>
      <c r="C340" s="198">
        <v>1</v>
      </c>
      <c r="D340" s="226" t="s">
        <v>999</v>
      </c>
      <c r="E340" s="287">
        <v>166.66</v>
      </c>
      <c r="F340" s="188">
        <f>rv_10</f>
        <v>0.1</v>
      </c>
      <c r="G340" s="62">
        <f t="shared" si="65"/>
        <v>149.994</v>
      </c>
      <c r="H340" s="86"/>
      <c r="I340" s="28">
        <v>0.06</v>
      </c>
      <c r="J340" s="238" t="s">
        <v>669</v>
      </c>
      <c r="K340" s="83" t="s">
        <v>231</v>
      </c>
      <c r="L340" s="100" t="s">
        <v>628</v>
      </c>
      <c r="M340" s="219" t="s">
        <v>1180</v>
      </c>
      <c r="N340" s="205" t="s">
        <v>1181</v>
      </c>
      <c r="O340" s="198">
        <v>1</v>
      </c>
      <c r="P340" s="226" t="s">
        <v>999</v>
      </c>
      <c r="Q340" s="287">
        <v>166.66</v>
      </c>
      <c r="R340" s="188">
        <v>0.1</v>
      </c>
      <c r="S340" s="62">
        <v>149.994</v>
      </c>
      <c r="T340" s="86"/>
      <c r="U340" s="186">
        <v>0.02</v>
      </c>
      <c r="V340" s="238" t="s">
        <v>669</v>
      </c>
      <c r="W340" s="83" t="s">
        <v>231</v>
      </c>
      <c r="X340" s="100" t="s">
        <v>628</v>
      </c>
    </row>
    <row r="341" spans="1:24" s="1" customFormat="1">
      <c r="A341" s="219" t="s">
        <v>1182</v>
      </c>
      <c r="B341" s="205" t="s">
        <v>1183</v>
      </c>
      <c r="C341" s="198">
        <v>1</v>
      </c>
      <c r="D341" s="226" t="s">
        <v>999</v>
      </c>
      <c r="E341" s="287">
        <v>166.66</v>
      </c>
      <c r="F341" s="188">
        <f>rv_10</f>
        <v>0.1</v>
      </c>
      <c r="G341" s="62">
        <f t="shared" si="65"/>
        <v>149.994</v>
      </c>
      <c r="H341" s="86"/>
      <c r="I341" s="28">
        <v>0.06</v>
      </c>
      <c r="J341" s="238" t="s">
        <v>669</v>
      </c>
      <c r="K341" s="83" t="s">
        <v>231</v>
      </c>
      <c r="L341" s="100" t="s">
        <v>628</v>
      </c>
      <c r="M341" s="219" t="s">
        <v>1182</v>
      </c>
      <c r="N341" s="205" t="s">
        <v>1183</v>
      </c>
      <c r="O341" s="198">
        <v>1</v>
      </c>
      <c r="P341" s="226" t="s">
        <v>999</v>
      </c>
      <c r="Q341" s="287">
        <v>166.66</v>
      </c>
      <c r="R341" s="188">
        <v>0.1</v>
      </c>
      <c r="S341" s="62">
        <v>149.994</v>
      </c>
      <c r="T341" s="86"/>
      <c r="U341" s="186">
        <v>0.02</v>
      </c>
      <c r="V341" s="238" t="s">
        <v>669</v>
      </c>
      <c r="W341" s="83" t="s">
        <v>231</v>
      </c>
      <c r="X341" s="100" t="s">
        <v>628</v>
      </c>
    </row>
    <row r="342" spans="1:24" s="1" customFormat="1">
      <c r="A342" s="219" t="s">
        <v>1184</v>
      </c>
      <c r="B342" s="689" t="s">
        <v>1185</v>
      </c>
      <c r="C342" s="207">
        <v>1</v>
      </c>
      <c r="D342" s="207" t="s">
        <v>999</v>
      </c>
      <c r="E342" s="287">
        <v>141.66</v>
      </c>
      <c r="F342" s="188">
        <f>rv_20</f>
        <v>0.2</v>
      </c>
      <c r="G342" s="62">
        <f t="shared" si="65"/>
        <v>113.328</v>
      </c>
      <c r="H342" s="86"/>
      <c r="I342" s="28">
        <v>0.04</v>
      </c>
      <c r="J342" s="238" t="s">
        <v>669</v>
      </c>
      <c r="K342" s="83" t="s">
        <v>231</v>
      </c>
      <c r="L342" s="100" t="s">
        <v>628</v>
      </c>
      <c r="M342" s="219" t="s">
        <v>1184</v>
      </c>
      <c r="N342" s="689" t="s">
        <v>1185</v>
      </c>
      <c r="O342" s="207">
        <v>1</v>
      </c>
      <c r="P342" s="207" t="s">
        <v>999</v>
      </c>
      <c r="Q342" s="287">
        <v>141.66</v>
      </c>
      <c r="R342" s="188">
        <v>0.2</v>
      </c>
      <c r="S342" s="62">
        <v>113.328</v>
      </c>
      <c r="T342" s="86"/>
      <c r="U342" s="186">
        <v>0</v>
      </c>
      <c r="V342" s="238" t="s">
        <v>669</v>
      </c>
      <c r="W342" s="83" t="s">
        <v>231</v>
      </c>
      <c r="X342" s="100" t="s">
        <v>628</v>
      </c>
    </row>
    <row r="343" spans="1:24" s="1" customFormat="1" ht="13.5" thickBot="1">
      <c r="A343" s="219" t="s">
        <v>2909</v>
      </c>
      <c r="B343" s="205" t="s">
        <v>2910</v>
      </c>
      <c r="C343" s="198">
        <v>1</v>
      </c>
      <c r="D343" s="226" t="s">
        <v>2888</v>
      </c>
      <c r="E343" s="287">
        <v>58.33</v>
      </c>
      <c r="F343" s="188">
        <f>rv_20</f>
        <v>0.2</v>
      </c>
      <c r="G343" s="62">
        <f t="shared" ref="G343" si="68">E343-(E343*F343)</f>
        <v>46.664000000000001</v>
      </c>
      <c r="H343" s="86"/>
      <c r="I343" s="28">
        <v>0.04</v>
      </c>
      <c r="J343" s="238" t="s">
        <v>669</v>
      </c>
      <c r="K343" s="83" t="s">
        <v>231</v>
      </c>
      <c r="L343" s="100" t="s">
        <v>628</v>
      </c>
      <c r="M343" s="219" t="s">
        <v>2909</v>
      </c>
      <c r="N343" s="205" t="s">
        <v>2910</v>
      </c>
      <c r="O343" s="198">
        <v>1</v>
      </c>
      <c r="P343" s="226" t="s">
        <v>2888</v>
      </c>
      <c r="Q343" s="287">
        <v>58.33</v>
      </c>
      <c r="R343" s="188">
        <v>0.2</v>
      </c>
      <c r="S343" s="62">
        <v>46.664000000000001</v>
      </c>
      <c r="T343" s="86"/>
      <c r="U343" s="186">
        <v>0.02</v>
      </c>
      <c r="V343" s="238" t="s">
        <v>669</v>
      </c>
      <c r="W343" s="83" t="s">
        <v>231</v>
      </c>
      <c r="X343" s="100" t="s">
        <v>628</v>
      </c>
    </row>
    <row r="344" spans="1:24" s="1" customFormat="1" ht="25" customHeight="1" thickBot="1">
      <c r="A344" s="468" t="s">
        <v>1186</v>
      </c>
      <c r="B344" s="340" t="s">
        <v>1187</v>
      </c>
      <c r="C344" s="629"/>
      <c r="D344" s="629"/>
      <c r="E344" s="630"/>
      <c r="F344" s="631"/>
      <c r="G344" s="630"/>
      <c r="H344" s="630"/>
      <c r="I344" s="630"/>
      <c r="J344" s="459"/>
      <c r="K344" s="341"/>
      <c r="L344" s="341"/>
      <c r="M344" s="468" t="s">
        <v>1186</v>
      </c>
      <c r="N344" s="340" t="s">
        <v>1187</v>
      </c>
      <c r="O344" s="629"/>
      <c r="P344" s="629"/>
      <c r="Q344" s="630"/>
      <c r="R344" s="631"/>
      <c r="S344" s="630"/>
      <c r="T344" s="630"/>
      <c r="U344" s="630"/>
      <c r="V344" s="459"/>
      <c r="W344" s="341"/>
      <c r="X344" s="341"/>
    </row>
    <row r="345" spans="1:24" s="1" customFormat="1">
      <c r="A345" s="219" t="s">
        <v>1188</v>
      </c>
      <c r="B345" s="205" t="s">
        <v>1189</v>
      </c>
      <c r="C345" s="206">
        <v>1</v>
      </c>
      <c r="D345" s="226" t="s">
        <v>817</v>
      </c>
      <c r="E345" s="287">
        <v>332.5</v>
      </c>
      <c r="F345" s="188">
        <f>rv_10</f>
        <v>0.1</v>
      </c>
      <c r="G345" s="62">
        <f t="shared" ref="G345:G356" si="69">E345-(E345*F345)</f>
        <v>299.25</v>
      </c>
      <c r="H345" s="86"/>
      <c r="I345" s="28">
        <v>0.22</v>
      </c>
      <c r="J345" s="238" t="s">
        <v>669</v>
      </c>
      <c r="K345" s="83" t="s">
        <v>231</v>
      </c>
      <c r="L345" s="100" t="s">
        <v>628</v>
      </c>
      <c r="M345" s="219" t="s">
        <v>1188</v>
      </c>
      <c r="N345" s="205" t="s">
        <v>1189</v>
      </c>
      <c r="O345" s="206">
        <v>1</v>
      </c>
      <c r="P345" s="226" t="s">
        <v>817</v>
      </c>
      <c r="Q345" s="287">
        <v>332.5</v>
      </c>
      <c r="R345" s="188">
        <v>0.1</v>
      </c>
      <c r="S345" s="62">
        <v>299.25</v>
      </c>
      <c r="T345" s="86"/>
      <c r="U345" s="186">
        <v>0.02</v>
      </c>
      <c r="V345" s="238" t="s">
        <v>669</v>
      </c>
      <c r="W345" s="83" t="s">
        <v>231</v>
      </c>
      <c r="X345" s="100" t="s">
        <v>628</v>
      </c>
    </row>
    <row r="346" spans="1:24" s="1" customFormat="1">
      <c r="A346" s="219" t="s">
        <v>1190</v>
      </c>
      <c r="B346" s="205" t="s">
        <v>1191</v>
      </c>
      <c r="C346" s="206">
        <v>1</v>
      </c>
      <c r="D346" s="226" t="s">
        <v>817</v>
      </c>
      <c r="E346" s="287">
        <v>266.66000000000003</v>
      </c>
      <c r="F346" s="188">
        <f>rv_10</f>
        <v>0.1</v>
      </c>
      <c r="G346" s="62">
        <f t="shared" si="69"/>
        <v>239.99400000000003</v>
      </c>
      <c r="H346" s="86"/>
      <c r="I346" s="28">
        <v>0.22</v>
      </c>
      <c r="J346" s="238" t="s">
        <v>669</v>
      </c>
      <c r="K346" s="83" t="s">
        <v>231</v>
      </c>
      <c r="L346" s="100" t="s">
        <v>628</v>
      </c>
      <c r="M346" s="219" t="s">
        <v>1190</v>
      </c>
      <c r="N346" s="205" t="s">
        <v>1191</v>
      </c>
      <c r="O346" s="206">
        <v>1</v>
      </c>
      <c r="P346" s="226" t="s">
        <v>817</v>
      </c>
      <c r="Q346" s="287">
        <v>266.66000000000003</v>
      </c>
      <c r="R346" s="188">
        <v>0.1</v>
      </c>
      <c r="S346" s="62">
        <v>239.99400000000003</v>
      </c>
      <c r="T346" s="86"/>
      <c r="U346" s="186">
        <v>0</v>
      </c>
      <c r="V346" s="238" t="s">
        <v>669</v>
      </c>
      <c r="W346" s="83" t="s">
        <v>231</v>
      </c>
      <c r="X346" s="100" t="s">
        <v>628</v>
      </c>
    </row>
    <row r="347" spans="1:24" s="1" customFormat="1">
      <c r="A347" s="219" t="s">
        <v>1192</v>
      </c>
      <c r="B347" s="205" t="s">
        <v>1193</v>
      </c>
      <c r="C347" s="206">
        <v>1</v>
      </c>
      <c r="D347" s="226" t="s">
        <v>817</v>
      </c>
      <c r="E347" s="287">
        <v>141.66</v>
      </c>
      <c r="F347" s="188">
        <f>rv_10</f>
        <v>0.1</v>
      </c>
      <c r="G347" s="62">
        <f t="shared" si="69"/>
        <v>127.494</v>
      </c>
      <c r="H347" s="86"/>
      <c r="I347" s="28">
        <v>0.22</v>
      </c>
      <c r="J347" s="238" t="s">
        <v>669</v>
      </c>
      <c r="K347" s="83" t="s">
        <v>231</v>
      </c>
      <c r="L347" s="100" t="s">
        <v>628</v>
      </c>
      <c r="M347" s="219" t="s">
        <v>1192</v>
      </c>
      <c r="N347" s="205" t="s">
        <v>1193</v>
      </c>
      <c r="O347" s="206">
        <v>1</v>
      </c>
      <c r="P347" s="226" t="s">
        <v>817</v>
      </c>
      <c r="Q347" s="287">
        <v>141.66</v>
      </c>
      <c r="R347" s="188">
        <v>0.1</v>
      </c>
      <c r="S347" s="62">
        <v>127.494</v>
      </c>
      <c r="T347" s="86"/>
      <c r="U347" s="186">
        <v>0.01</v>
      </c>
      <c r="V347" s="238" t="s">
        <v>669</v>
      </c>
      <c r="W347" s="83" t="s">
        <v>231</v>
      </c>
      <c r="X347" s="100" t="s">
        <v>628</v>
      </c>
    </row>
    <row r="348" spans="1:24" s="1" customFormat="1">
      <c r="A348" s="219" t="s">
        <v>1148</v>
      </c>
      <c r="B348" s="205" t="s">
        <v>2393</v>
      </c>
      <c r="C348" s="206">
        <v>1</v>
      </c>
      <c r="D348" s="226" t="s">
        <v>817</v>
      </c>
      <c r="E348" s="287">
        <v>134.99</v>
      </c>
      <c r="F348" s="188">
        <f>rv_10</f>
        <v>0.1</v>
      </c>
      <c r="G348" s="62">
        <f t="shared" si="69"/>
        <v>121.49100000000001</v>
      </c>
      <c r="H348" s="86"/>
      <c r="I348" s="28">
        <v>0.11</v>
      </c>
      <c r="J348" s="238" t="s">
        <v>669</v>
      </c>
      <c r="K348" s="83" t="s">
        <v>231</v>
      </c>
      <c r="L348" s="100" t="s">
        <v>628</v>
      </c>
      <c r="M348" s="219" t="s">
        <v>1148</v>
      </c>
      <c r="N348" s="205" t="s">
        <v>2393</v>
      </c>
      <c r="O348" s="206">
        <v>1</v>
      </c>
      <c r="P348" s="226" t="s">
        <v>817</v>
      </c>
      <c r="Q348" s="287">
        <v>134.99</v>
      </c>
      <c r="R348" s="188">
        <v>0.1</v>
      </c>
      <c r="S348" s="62">
        <v>121.49100000000001</v>
      </c>
      <c r="T348" s="86"/>
      <c r="U348" s="186">
        <v>0.02</v>
      </c>
      <c r="V348" s="238" t="s">
        <v>669</v>
      </c>
      <c r="W348" s="83" t="s">
        <v>231</v>
      </c>
      <c r="X348" s="100" t="s">
        <v>628</v>
      </c>
    </row>
    <row r="349" spans="1:24" s="1" customFormat="1">
      <c r="A349" s="219" t="s">
        <v>1194</v>
      </c>
      <c r="B349" s="205" t="s">
        <v>1195</v>
      </c>
      <c r="C349" s="206">
        <v>1</v>
      </c>
      <c r="D349" s="226" t="s">
        <v>817</v>
      </c>
      <c r="E349" s="287">
        <v>183.33</v>
      </c>
      <c r="F349" s="188">
        <f>rv_10</f>
        <v>0.1</v>
      </c>
      <c r="G349" s="62">
        <f t="shared" si="69"/>
        <v>164.99700000000001</v>
      </c>
      <c r="H349" s="86"/>
      <c r="I349" s="28">
        <v>0.22</v>
      </c>
      <c r="J349" s="238" t="s">
        <v>669</v>
      </c>
      <c r="K349" s="83" t="s">
        <v>231</v>
      </c>
      <c r="L349" s="100" t="s">
        <v>628</v>
      </c>
      <c r="M349" s="219" t="s">
        <v>1194</v>
      </c>
      <c r="N349" s="205" t="s">
        <v>1195</v>
      </c>
      <c r="O349" s="206">
        <v>1</v>
      </c>
      <c r="P349" s="226" t="s">
        <v>817</v>
      </c>
      <c r="Q349" s="287">
        <v>183.33</v>
      </c>
      <c r="R349" s="188">
        <v>0.1</v>
      </c>
      <c r="S349" s="62">
        <v>164.99700000000001</v>
      </c>
      <c r="T349" s="86"/>
      <c r="U349" s="186">
        <v>0.02</v>
      </c>
      <c r="V349" s="238" t="s">
        <v>669</v>
      </c>
      <c r="W349" s="83" t="s">
        <v>231</v>
      </c>
      <c r="X349" s="100" t="s">
        <v>628</v>
      </c>
    </row>
    <row r="350" spans="1:24" s="1" customFormat="1">
      <c r="A350" s="219" t="s">
        <v>2915</v>
      </c>
      <c r="B350" s="205" t="s">
        <v>2916</v>
      </c>
      <c r="C350" s="207">
        <v>1</v>
      </c>
      <c r="D350" s="207" t="s">
        <v>863</v>
      </c>
      <c r="E350" s="287">
        <v>423</v>
      </c>
      <c r="F350" s="188">
        <v>0.2</v>
      </c>
      <c r="G350" s="62">
        <f t="shared" si="69"/>
        <v>338.4</v>
      </c>
      <c r="H350" s="86"/>
      <c r="I350" s="28">
        <v>0.22</v>
      </c>
      <c r="J350" s="238" t="s">
        <v>669</v>
      </c>
      <c r="K350" s="83" t="s">
        <v>231</v>
      </c>
      <c r="L350" s="100" t="s">
        <v>628</v>
      </c>
      <c r="M350" s="219" t="s">
        <v>2915</v>
      </c>
      <c r="N350" s="205" t="s">
        <v>2916</v>
      </c>
      <c r="O350" s="207">
        <v>1</v>
      </c>
      <c r="P350" s="207" t="s">
        <v>863</v>
      </c>
      <c r="Q350" s="287">
        <v>423</v>
      </c>
      <c r="R350" s="188">
        <v>0.2</v>
      </c>
      <c r="S350" s="62">
        <v>338.4</v>
      </c>
      <c r="T350" s="86"/>
      <c r="U350" s="186">
        <v>0.2</v>
      </c>
      <c r="V350" s="238" t="s">
        <v>669</v>
      </c>
      <c r="W350" s="83" t="s">
        <v>231</v>
      </c>
      <c r="X350" s="100" t="s">
        <v>628</v>
      </c>
    </row>
    <row r="351" spans="1:24" s="1" customFormat="1">
      <c r="A351" s="219" t="s">
        <v>1196</v>
      </c>
      <c r="B351" s="416" t="s">
        <v>1197</v>
      </c>
      <c r="C351" s="207">
        <v>1</v>
      </c>
      <c r="D351" s="207" t="s">
        <v>999</v>
      </c>
      <c r="E351" s="287">
        <v>274.99</v>
      </c>
      <c r="F351" s="188">
        <f>rv_20</f>
        <v>0.2</v>
      </c>
      <c r="G351" s="62">
        <f t="shared" si="69"/>
        <v>219.99200000000002</v>
      </c>
      <c r="H351" s="86"/>
      <c r="I351" s="28">
        <v>0.22</v>
      </c>
      <c r="J351" s="238" t="s">
        <v>669</v>
      </c>
      <c r="K351" s="83" t="s">
        <v>231</v>
      </c>
      <c r="L351" s="100" t="s">
        <v>628</v>
      </c>
      <c r="M351" s="219" t="s">
        <v>1196</v>
      </c>
      <c r="N351" s="416" t="s">
        <v>1197</v>
      </c>
      <c r="O351" s="207">
        <v>1</v>
      </c>
      <c r="P351" s="207" t="s">
        <v>999</v>
      </c>
      <c r="Q351" s="287">
        <v>274.99</v>
      </c>
      <c r="R351" s="188">
        <v>0.2</v>
      </c>
      <c r="S351" s="62">
        <v>219.99200000000002</v>
      </c>
      <c r="T351" s="86"/>
      <c r="U351" s="186">
        <v>0</v>
      </c>
      <c r="V351" s="238" t="s">
        <v>669</v>
      </c>
      <c r="W351" s="83" t="s">
        <v>231</v>
      </c>
      <c r="X351" s="100" t="s">
        <v>628</v>
      </c>
    </row>
    <row r="352" spans="1:24" s="1" customFormat="1">
      <c r="A352" s="219" t="s">
        <v>1198</v>
      </c>
      <c r="B352" s="689" t="s">
        <v>1199</v>
      </c>
      <c r="C352" s="207">
        <v>1</v>
      </c>
      <c r="D352" s="207" t="s">
        <v>999</v>
      </c>
      <c r="E352" s="287">
        <v>416.66</v>
      </c>
      <c r="F352" s="188">
        <f>rv_10</f>
        <v>0.1</v>
      </c>
      <c r="G352" s="62">
        <f t="shared" si="69"/>
        <v>374.99400000000003</v>
      </c>
      <c r="H352" s="86"/>
      <c r="I352" s="28">
        <v>0.22</v>
      </c>
      <c r="J352" s="238" t="s">
        <v>669</v>
      </c>
      <c r="K352" s="83" t="s">
        <v>231</v>
      </c>
      <c r="L352" s="100" t="s">
        <v>628</v>
      </c>
      <c r="M352" s="219" t="s">
        <v>1198</v>
      </c>
      <c r="N352" s="689" t="s">
        <v>1199</v>
      </c>
      <c r="O352" s="207">
        <v>1</v>
      </c>
      <c r="P352" s="207" t="s">
        <v>999</v>
      </c>
      <c r="Q352" s="287">
        <v>416.66</v>
      </c>
      <c r="R352" s="188">
        <v>0.1</v>
      </c>
      <c r="S352" s="62">
        <v>374.99400000000003</v>
      </c>
      <c r="T352" s="86"/>
      <c r="U352" s="186">
        <v>0</v>
      </c>
      <c r="V352" s="238" t="s">
        <v>669</v>
      </c>
      <c r="W352" s="83" t="s">
        <v>231</v>
      </c>
      <c r="X352" s="100" t="s">
        <v>628</v>
      </c>
    </row>
    <row r="353" spans="1:24" s="1" customFormat="1">
      <c r="A353" s="219" t="s">
        <v>1200</v>
      </c>
      <c r="B353" s="205" t="s">
        <v>1201</v>
      </c>
      <c r="C353" s="207">
        <v>1</v>
      </c>
      <c r="D353" s="207" t="s">
        <v>872</v>
      </c>
      <c r="E353" s="287">
        <v>421.45</v>
      </c>
      <c r="F353" s="188">
        <f>rv_10</f>
        <v>0.1</v>
      </c>
      <c r="G353" s="62">
        <f t="shared" si="69"/>
        <v>379.30500000000001</v>
      </c>
      <c r="H353" s="86"/>
      <c r="I353" s="28">
        <v>0.22</v>
      </c>
      <c r="J353" s="238" t="s">
        <v>669</v>
      </c>
      <c r="K353" s="83" t="s">
        <v>231</v>
      </c>
      <c r="L353" s="100" t="s">
        <v>628</v>
      </c>
      <c r="M353" s="219" t="s">
        <v>1200</v>
      </c>
      <c r="N353" s="205" t="s">
        <v>1201</v>
      </c>
      <c r="O353" s="207">
        <v>1</v>
      </c>
      <c r="P353" s="207" t="s">
        <v>872</v>
      </c>
      <c r="Q353" s="287">
        <v>421.45</v>
      </c>
      <c r="R353" s="188">
        <v>0.1</v>
      </c>
      <c r="S353" s="62">
        <v>379.30500000000001</v>
      </c>
      <c r="T353" s="86"/>
      <c r="U353" s="186">
        <v>0</v>
      </c>
      <c r="V353" s="238" t="s">
        <v>669</v>
      </c>
      <c r="W353" s="83" t="s">
        <v>231</v>
      </c>
      <c r="X353" s="100" t="s">
        <v>628</v>
      </c>
    </row>
    <row r="354" spans="1:24" s="1" customFormat="1">
      <c r="A354" s="219" t="s">
        <v>1202</v>
      </c>
      <c r="B354" s="205" t="s">
        <v>1203</v>
      </c>
      <c r="C354" s="206">
        <v>1</v>
      </c>
      <c r="D354" s="226" t="s">
        <v>889</v>
      </c>
      <c r="E354" s="287">
        <v>301.75</v>
      </c>
      <c r="F354" s="188">
        <f>rv_10</f>
        <v>0.1</v>
      </c>
      <c r="G354" s="62">
        <f t="shared" si="69"/>
        <v>271.57499999999999</v>
      </c>
      <c r="H354" s="86"/>
      <c r="I354" s="28">
        <v>0.06</v>
      </c>
      <c r="J354" s="238" t="s">
        <v>669</v>
      </c>
      <c r="K354" s="83" t="s">
        <v>231</v>
      </c>
      <c r="L354" s="100" t="s">
        <v>1204</v>
      </c>
      <c r="M354" s="219" t="s">
        <v>1202</v>
      </c>
      <c r="N354" s="205" t="s">
        <v>1203</v>
      </c>
      <c r="O354" s="206">
        <v>1</v>
      </c>
      <c r="P354" s="226" t="s">
        <v>889</v>
      </c>
      <c r="Q354" s="287">
        <v>301.75</v>
      </c>
      <c r="R354" s="188">
        <v>0.1</v>
      </c>
      <c r="S354" s="62">
        <v>271.57499999999999</v>
      </c>
      <c r="T354" s="86"/>
      <c r="U354" s="186">
        <v>0.02</v>
      </c>
      <c r="V354" s="238" t="s">
        <v>669</v>
      </c>
      <c r="W354" s="83" t="s">
        <v>231</v>
      </c>
      <c r="X354" s="100" t="s">
        <v>1204</v>
      </c>
    </row>
    <row r="355" spans="1:24" s="1" customFormat="1">
      <c r="A355" s="219" t="s">
        <v>1205</v>
      </c>
      <c r="B355" s="205" t="s">
        <v>1206</v>
      </c>
      <c r="C355" s="206">
        <v>1</v>
      </c>
      <c r="D355" s="226" t="s">
        <v>889</v>
      </c>
      <c r="E355" s="287">
        <v>299.83</v>
      </c>
      <c r="F355" s="188">
        <f>rv_10</f>
        <v>0.1</v>
      </c>
      <c r="G355" s="62">
        <f t="shared" si="69"/>
        <v>269.84699999999998</v>
      </c>
      <c r="H355" s="86"/>
      <c r="I355" s="28">
        <v>0.22</v>
      </c>
      <c r="J355" s="238" t="s">
        <v>669</v>
      </c>
      <c r="K355" s="83" t="s">
        <v>231</v>
      </c>
      <c r="L355" s="100" t="s">
        <v>1204</v>
      </c>
      <c r="M355" s="219" t="s">
        <v>1205</v>
      </c>
      <c r="N355" s="205" t="s">
        <v>1206</v>
      </c>
      <c r="O355" s="206">
        <v>1</v>
      </c>
      <c r="P355" s="226" t="s">
        <v>889</v>
      </c>
      <c r="Q355" s="287">
        <v>299.83</v>
      </c>
      <c r="R355" s="188">
        <v>0.1</v>
      </c>
      <c r="S355" s="62">
        <v>269.84699999999998</v>
      </c>
      <c r="T355" s="86"/>
      <c r="U355" s="186">
        <v>0.2</v>
      </c>
      <c r="V355" s="238" t="s">
        <v>669</v>
      </c>
      <c r="W355" s="83" t="s">
        <v>231</v>
      </c>
      <c r="X355" s="100" t="s">
        <v>1204</v>
      </c>
    </row>
    <row r="356" spans="1:24" s="1" customFormat="1" ht="13.5" thickBot="1">
      <c r="A356" s="219" t="s">
        <v>1207</v>
      </c>
      <c r="B356" s="416" t="s">
        <v>1208</v>
      </c>
      <c r="C356" s="206">
        <v>1</v>
      </c>
      <c r="D356" s="226" t="s">
        <v>889</v>
      </c>
      <c r="E356" s="287">
        <v>195.08</v>
      </c>
      <c r="F356" s="188">
        <f>rv_10</f>
        <v>0.1</v>
      </c>
      <c r="G356" s="62">
        <f t="shared" si="69"/>
        <v>175.572</v>
      </c>
      <c r="H356" s="86"/>
      <c r="I356" s="28">
        <v>0.11</v>
      </c>
      <c r="J356" s="238" t="s">
        <v>669</v>
      </c>
      <c r="K356" s="83" t="s">
        <v>231</v>
      </c>
      <c r="L356" s="100" t="s">
        <v>1204</v>
      </c>
      <c r="M356" s="219" t="s">
        <v>1207</v>
      </c>
      <c r="N356" s="416" t="s">
        <v>1208</v>
      </c>
      <c r="O356" s="206">
        <v>1</v>
      </c>
      <c r="P356" s="226" t="s">
        <v>889</v>
      </c>
      <c r="Q356" s="287">
        <v>195.08</v>
      </c>
      <c r="R356" s="188">
        <v>0.1</v>
      </c>
      <c r="S356" s="62">
        <v>175.572</v>
      </c>
      <c r="T356" s="86"/>
      <c r="U356" s="186">
        <v>0.1</v>
      </c>
      <c r="V356" s="238" t="s">
        <v>669</v>
      </c>
      <c r="W356" s="83" t="s">
        <v>231</v>
      </c>
      <c r="X356" s="100" t="s">
        <v>1204</v>
      </c>
    </row>
    <row r="357" spans="1:24" s="70" customFormat="1" ht="25" customHeight="1" thickBot="1">
      <c r="A357" s="468" t="s">
        <v>1209</v>
      </c>
      <c r="B357" s="340" t="s">
        <v>1210</v>
      </c>
      <c r="C357" s="629"/>
      <c r="D357" s="629"/>
      <c r="E357" s="630"/>
      <c r="F357" s="631"/>
      <c r="G357" s="630"/>
      <c r="H357" s="630"/>
      <c r="I357" s="630"/>
      <c r="J357" s="459"/>
      <c r="K357" s="341"/>
      <c r="L357" s="341"/>
      <c r="M357" s="468" t="s">
        <v>1209</v>
      </c>
      <c r="N357" s="340" t="s">
        <v>1210</v>
      </c>
      <c r="O357" s="629"/>
      <c r="P357" s="629"/>
      <c r="Q357" s="630"/>
      <c r="R357" s="631"/>
      <c r="S357" s="630"/>
      <c r="T357" s="630"/>
      <c r="U357" s="630"/>
      <c r="V357" s="459"/>
      <c r="W357" s="341"/>
      <c r="X357" s="341"/>
    </row>
    <row r="358" spans="1:24" s="1" customFormat="1">
      <c r="A358" s="219" t="s">
        <v>2502</v>
      </c>
      <c r="B358" s="205" t="s">
        <v>2506</v>
      </c>
      <c r="C358" s="206">
        <v>1</v>
      </c>
      <c r="D358" s="226" t="s">
        <v>126</v>
      </c>
      <c r="E358" s="288">
        <v>57.5</v>
      </c>
      <c r="F358" s="188">
        <f t="shared" ref="F358:F368" si="70">rv_apple_acc_ipad</f>
        <v>0.15</v>
      </c>
      <c r="G358" s="91">
        <f t="shared" ref="G358:G361" si="71">E358-(E358*F358)</f>
        <v>48.875</v>
      </c>
      <c r="H358" s="86"/>
      <c r="I358" s="186"/>
      <c r="J358" s="238" t="s">
        <v>669</v>
      </c>
      <c r="K358" s="83" t="s">
        <v>231</v>
      </c>
      <c r="L358" s="100" t="s">
        <v>628</v>
      </c>
      <c r="M358" s="219" t="s">
        <v>2502</v>
      </c>
      <c r="N358" s="205" t="s">
        <v>2506</v>
      </c>
      <c r="O358" s="206">
        <v>1</v>
      </c>
      <c r="P358" s="226" t="s">
        <v>126</v>
      </c>
      <c r="Q358" s="288">
        <v>57.5</v>
      </c>
      <c r="R358" s="188">
        <v>0.15</v>
      </c>
      <c r="S358" s="91">
        <v>48.875</v>
      </c>
      <c r="T358" s="86"/>
      <c r="U358" s="186"/>
      <c r="V358" s="238" t="s">
        <v>669</v>
      </c>
      <c r="W358" s="83" t="s">
        <v>231</v>
      </c>
      <c r="X358" s="100" t="s">
        <v>628</v>
      </c>
    </row>
    <row r="359" spans="1:24" s="1" customFormat="1">
      <c r="A359" s="219" t="s">
        <v>2503</v>
      </c>
      <c r="B359" s="205" t="s">
        <v>2507</v>
      </c>
      <c r="C359" s="206">
        <v>1</v>
      </c>
      <c r="D359" s="226" t="s">
        <v>126</v>
      </c>
      <c r="E359" s="288">
        <v>57.5</v>
      </c>
      <c r="F359" s="188">
        <f t="shared" si="70"/>
        <v>0.15</v>
      </c>
      <c r="G359" s="91">
        <f t="shared" si="71"/>
        <v>48.875</v>
      </c>
      <c r="H359" s="86"/>
      <c r="I359" s="186"/>
      <c r="J359" s="238" t="s">
        <v>669</v>
      </c>
      <c r="K359" s="83" t="s">
        <v>231</v>
      </c>
      <c r="L359" s="100" t="s">
        <v>628</v>
      </c>
      <c r="M359" s="219" t="s">
        <v>2503</v>
      </c>
      <c r="N359" s="205" t="s">
        <v>2507</v>
      </c>
      <c r="O359" s="206">
        <v>1</v>
      </c>
      <c r="P359" s="226" t="s">
        <v>126</v>
      </c>
      <c r="Q359" s="288">
        <v>57.5</v>
      </c>
      <c r="R359" s="188">
        <v>0.15</v>
      </c>
      <c r="S359" s="91">
        <v>48.875</v>
      </c>
      <c r="T359" s="86"/>
      <c r="U359" s="186"/>
      <c r="V359" s="238" t="s">
        <v>669</v>
      </c>
      <c r="W359" s="83" t="s">
        <v>231</v>
      </c>
      <c r="X359" s="100" t="s">
        <v>628</v>
      </c>
    </row>
    <row r="360" spans="1:24" s="1" customFormat="1">
      <c r="A360" s="219" t="s">
        <v>2504</v>
      </c>
      <c r="B360" s="205" t="s">
        <v>2508</v>
      </c>
      <c r="C360" s="206">
        <v>1</v>
      </c>
      <c r="D360" s="226" t="s">
        <v>126</v>
      </c>
      <c r="E360" s="288">
        <v>57.5</v>
      </c>
      <c r="F360" s="188">
        <f t="shared" si="70"/>
        <v>0.15</v>
      </c>
      <c r="G360" s="91">
        <f t="shared" si="71"/>
        <v>48.875</v>
      </c>
      <c r="H360" s="86"/>
      <c r="I360" s="186"/>
      <c r="J360" s="238" t="s">
        <v>669</v>
      </c>
      <c r="K360" s="83" t="s">
        <v>231</v>
      </c>
      <c r="L360" s="100" t="s">
        <v>628</v>
      </c>
      <c r="M360" s="219" t="s">
        <v>2504</v>
      </c>
      <c r="N360" s="205" t="s">
        <v>2508</v>
      </c>
      <c r="O360" s="206">
        <v>1</v>
      </c>
      <c r="P360" s="226" t="s">
        <v>126</v>
      </c>
      <c r="Q360" s="288">
        <v>57.5</v>
      </c>
      <c r="R360" s="188">
        <v>0.15</v>
      </c>
      <c r="S360" s="91">
        <v>48.875</v>
      </c>
      <c r="T360" s="86"/>
      <c r="U360" s="186"/>
      <c r="V360" s="238" t="s">
        <v>669</v>
      </c>
      <c r="W360" s="83" t="s">
        <v>231</v>
      </c>
      <c r="X360" s="100" t="s">
        <v>628</v>
      </c>
    </row>
    <row r="361" spans="1:24" s="1" customFormat="1">
      <c r="A361" s="219" t="s">
        <v>2505</v>
      </c>
      <c r="B361" s="205" t="s">
        <v>2509</v>
      </c>
      <c r="C361" s="206">
        <v>1</v>
      </c>
      <c r="D361" s="226" t="s">
        <v>126</v>
      </c>
      <c r="E361" s="288">
        <v>57.5</v>
      </c>
      <c r="F361" s="188">
        <f t="shared" si="70"/>
        <v>0.15</v>
      </c>
      <c r="G361" s="91">
        <f t="shared" si="71"/>
        <v>48.875</v>
      </c>
      <c r="H361" s="86"/>
      <c r="I361" s="186"/>
      <c r="J361" s="238" t="s">
        <v>669</v>
      </c>
      <c r="K361" s="83" t="s">
        <v>231</v>
      </c>
      <c r="L361" s="100" t="s">
        <v>628</v>
      </c>
      <c r="M361" s="219" t="s">
        <v>2505</v>
      </c>
      <c r="N361" s="205" t="s">
        <v>2509</v>
      </c>
      <c r="O361" s="206">
        <v>1</v>
      </c>
      <c r="P361" s="226" t="s">
        <v>126</v>
      </c>
      <c r="Q361" s="288">
        <v>57.5</v>
      </c>
      <c r="R361" s="188">
        <v>0.15</v>
      </c>
      <c r="S361" s="91">
        <v>48.875</v>
      </c>
      <c r="T361" s="86"/>
      <c r="U361" s="186"/>
      <c r="V361" s="238" t="s">
        <v>669</v>
      </c>
      <c r="W361" s="83" t="s">
        <v>231</v>
      </c>
      <c r="X361" s="100" t="s">
        <v>628</v>
      </c>
    </row>
    <row r="362" spans="1:24" s="1" customFormat="1">
      <c r="A362" s="219" t="s">
        <v>1211</v>
      </c>
      <c r="B362" s="205" t="s">
        <v>1212</v>
      </c>
      <c r="C362" s="206">
        <v>1</v>
      </c>
      <c r="D362" s="226" t="s">
        <v>126</v>
      </c>
      <c r="E362" s="288">
        <v>49.17</v>
      </c>
      <c r="F362" s="188">
        <f t="shared" si="70"/>
        <v>0.15</v>
      </c>
      <c r="G362" s="91">
        <f t="shared" ref="G362:G392" si="72">E362-(E362*F362)</f>
        <v>41.794499999999999</v>
      </c>
      <c r="H362" s="86"/>
      <c r="I362" s="186"/>
      <c r="J362" s="238" t="s">
        <v>669</v>
      </c>
      <c r="K362" s="83" t="s">
        <v>231</v>
      </c>
      <c r="L362" s="100" t="s">
        <v>896</v>
      </c>
      <c r="M362" s="219" t="s">
        <v>1211</v>
      </c>
      <c r="N362" s="205" t="s">
        <v>1212</v>
      </c>
      <c r="O362" s="206">
        <v>1</v>
      </c>
      <c r="P362" s="226" t="s">
        <v>126</v>
      </c>
      <c r="Q362" s="288">
        <v>49.17</v>
      </c>
      <c r="R362" s="188">
        <v>0.15</v>
      </c>
      <c r="S362" s="91">
        <v>41.794499999999999</v>
      </c>
      <c r="T362" s="86"/>
      <c r="U362" s="186"/>
      <c r="V362" s="238" t="s">
        <v>669</v>
      </c>
      <c r="W362" s="83" t="s">
        <v>231</v>
      </c>
      <c r="X362" s="100" t="s">
        <v>896</v>
      </c>
    </row>
    <row r="363" spans="1:24" s="1" customFormat="1">
      <c r="A363" s="219" t="s">
        <v>1213</v>
      </c>
      <c r="B363" s="205" t="s">
        <v>1214</v>
      </c>
      <c r="C363" s="206">
        <v>1</v>
      </c>
      <c r="D363" s="226" t="s">
        <v>126</v>
      </c>
      <c r="E363" s="288">
        <v>74.17</v>
      </c>
      <c r="F363" s="188">
        <f t="shared" si="70"/>
        <v>0.15</v>
      </c>
      <c r="G363" s="91">
        <f t="shared" si="72"/>
        <v>63.044499999999999</v>
      </c>
      <c r="H363" s="86"/>
      <c r="I363" s="186"/>
      <c r="J363" s="238" t="s">
        <v>669</v>
      </c>
      <c r="K363" s="83" t="s">
        <v>231</v>
      </c>
      <c r="L363" s="100" t="s">
        <v>628</v>
      </c>
      <c r="M363" s="219" t="s">
        <v>1213</v>
      </c>
      <c r="N363" s="205" t="s">
        <v>1214</v>
      </c>
      <c r="O363" s="206">
        <v>1</v>
      </c>
      <c r="P363" s="226" t="s">
        <v>126</v>
      </c>
      <c r="Q363" s="288">
        <v>74.17</v>
      </c>
      <c r="R363" s="188">
        <v>0.15</v>
      </c>
      <c r="S363" s="91">
        <v>63.044499999999999</v>
      </c>
      <c r="T363" s="86"/>
      <c r="U363" s="186"/>
      <c r="V363" s="238" t="s">
        <v>669</v>
      </c>
      <c r="W363" s="83" t="s">
        <v>231</v>
      </c>
      <c r="X363" s="100" t="s">
        <v>628</v>
      </c>
    </row>
    <row r="364" spans="1:24" s="1" customFormat="1">
      <c r="A364" s="219" t="s">
        <v>1215</v>
      </c>
      <c r="B364" s="205" t="s">
        <v>1216</v>
      </c>
      <c r="C364" s="206">
        <v>1</v>
      </c>
      <c r="D364" s="226" t="s">
        <v>126</v>
      </c>
      <c r="E364" s="288">
        <v>74.17</v>
      </c>
      <c r="F364" s="188">
        <f t="shared" si="70"/>
        <v>0.15</v>
      </c>
      <c r="G364" s="91">
        <f t="shared" si="72"/>
        <v>63.044499999999999</v>
      </c>
      <c r="H364" s="86"/>
      <c r="I364" s="186"/>
      <c r="J364" s="238" t="s">
        <v>669</v>
      </c>
      <c r="K364" s="83" t="s">
        <v>231</v>
      </c>
      <c r="L364" s="100" t="s">
        <v>628</v>
      </c>
      <c r="M364" s="219" t="s">
        <v>1215</v>
      </c>
      <c r="N364" s="205" t="s">
        <v>1216</v>
      </c>
      <c r="O364" s="206">
        <v>1</v>
      </c>
      <c r="P364" s="226" t="s">
        <v>126</v>
      </c>
      <c r="Q364" s="288">
        <v>74.17</v>
      </c>
      <c r="R364" s="188">
        <v>0.15</v>
      </c>
      <c r="S364" s="91">
        <v>63.044499999999999</v>
      </c>
      <c r="T364" s="86"/>
      <c r="U364" s="186"/>
      <c r="V364" s="238" t="s">
        <v>669</v>
      </c>
      <c r="W364" s="83" t="s">
        <v>231</v>
      </c>
      <c r="X364" s="100" t="s">
        <v>628</v>
      </c>
    </row>
    <row r="365" spans="1:24" s="1" customFormat="1">
      <c r="A365" s="219" t="s">
        <v>2348</v>
      </c>
      <c r="B365" s="205" t="s">
        <v>1217</v>
      </c>
      <c r="C365" s="206">
        <v>1</v>
      </c>
      <c r="D365" s="226" t="s">
        <v>126</v>
      </c>
      <c r="E365" s="288">
        <v>74.17</v>
      </c>
      <c r="F365" s="188">
        <f t="shared" si="70"/>
        <v>0.15</v>
      </c>
      <c r="G365" s="91">
        <f t="shared" si="72"/>
        <v>63.044499999999999</v>
      </c>
      <c r="H365" s="86"/>
      <c r="I365" s="186"/>
      <c r="J365" s="238" t="s">
        <v>669</v>
      </c>
      <c r="K365" s="83" t="s">
        <v>231</v>
      </c>
      <c r="L365" s="100" t="s">
        <v>628</v>
      </c>
      <c r="M365" s="219" t="s">
        <v>2348</v>
      </c>
      <c r="N365" s="205" t="s">
        <v>1217</v>
      </c>
      <c r="O365" s="206">
        <v>1</v>
      </c>
      <c r="P365" s="226" t="s">
        <v>126</v>
      </c>
      <c r="Q365" s="288">
        <v>74.17</v>
      </c>
      <c r="R365" s="188">
        <v>0.15</v>
      </c>
      <c r="S365" s="91">
        <v>63.044499999999999</v>
      </c>
      <c r="T365" s="86"/>
      <c r="U365" s="186"/>
      <c r="V365" s="238" t="s">
        <v>669</v>
      </c>
      <c r="W365" s="83" t="s">
        <v>231</v>
      </c>
      <c r="X365" s="100" t="s">
        <v>628</v>
      </c>
    </row>
    <row r="366" spans="1:24" s="1" customFormat="1">
      <c r="A366" s="219" t="s">
        <v>1218</v>
      </c>
      <c r="B366" s="205" t="s">
        <v>1219</v>
      </c>
      <c r="C366" s="206">
        <v>1</v>
      </c>
      <c r="D366" s="226" t="s">
        <v>126</v>
      </c>
      <c r="E366" s="288">
        <v>74.17</v>
      </c>
      <c r="F366" s="188">
        <f t="shared" si="70"/>
        <v>0.15</v>
      </c>
      <c r="G366" s="91">
        <f t="shared" si="72"/>
        <v>63.044499999999999</v>
      </c>
      <c r="H366" s="86"/>
      <c r="I366" s="186"/>
      <c r="J366" s="238" t="s">
        <v>669</v>
      </c>
      <c r="K366" s="83" t="s">
        <v>231</v>
      </c>
      <c r="L366" s="100" t="s">
        <v>628</v>
      </c>
      <c r="M366" s="219" t="s">
        <v>1218</v>
      </c>
      <c r="N366" s="205" t="s">
        <v>1219</v>
      </c>
      <c r="O366" s="206">
        <v>1</v>
      </c>
      <c r="P366" s="226" t="s">
        <v>126</v>
      </c>
      <c r="Q366" s="288">
        <v>74.17</v>
      </c>
      <c r="R366" s="188">
        <v>0.15</v>
      </c>
      <c r="S366" s="91">
        <v>63.044499999999999</v>
      </c>
      <c r="T366" s="86"/>
      <c r="U366" s="186"/>
      <c r="V366" s="238" t="s">
        <v>669</v>
      </c>
      <c r="W366" s="83" t="s">
        <v>231</v>
      </c>
      <c r="X366" s="100" t="s">
        <v>628</v>
      </c>
    </row>
    <row r="367" spans="1:24" s="1" customFormat="1">
      <c r="A367" s="219" t="s">
        <v>1220</v>
      </c>
      <c r="B367" s="205" t="s">
        <v>1221</v>
      </c>
      <c r="C367" s="206">
        <v>1</v>
      </c>
      <c r="D367" s="226" t="s">
        <v>126</v>
      </c>
      <c r="E367" s="288">
        <v>74.17</v>
      </c>
      <c r="F367" s="188">
        <f t="shared" si="70"/>
        <v>0.15</v>
      </c>
      <c r="G367" s="91">
        <f t="shared" si="72"/>
        <v>63.044499999999999</v>
      </c>
      <c r="H367" s="86"/>
      <c r="I367" s="186"/>
      <c r="J367" s="238" t="s">
        <v>669</v>
      </c>
      <c r="K367" s="83" t="s">
        <v>231</v>
      </c>
      <c r="L367" s="100" t="s">
        <v>628</v>
      </c>
      <c r="M367" s="219" t="s">
        <v>1220</v>
      </c>
      <c r="N367" s="205" t="s">
        <v>1221</v>
      </c>
      <c r="O367" s="206">
        <v>1</v>
      </c>
      <c r="P367" s="226" t="s">
        <v>126</v>
      </c>
      <c r="Q367" s="288">
        <v>74.17</v>
      </c>
      <c r="R367" s="188">
        <v>0.15</v>
      </c>
      <c r="S367" s="91">
        <v>63.044499999999999</v>
      </c>
      <c r="T367" s="86"/>
      <c r="U367" s="186"/>
      <c r="V367" s="238" t="s">
        <v>669</v>
      </c>
      <c r="W367" s="83" t="s">
        <v>231</v>
      </c>
      <c r="X367" s="100" t="s">
        <v>628</v>
      </c>
    </row>
    <row r="368" spans="1:24" s="1" customFormat="1">
      <c r="A368" s="219" t="s">
        <v>1222</v>
      </c>
      <c r="B368" s="205" t="s">
        <v>1223</v>
      </c>
      <c r="C368" s="206">
        <v>1</v>
      </c>
      <c r="D368" s="226" t="s">
        <v>126</v>
      </c>
      <c r="E368" s="288">
        <v>74.17</v>
      </c>
      <c r="F368" s="188">
        <f t="shared" si="70"/>
        <v>0.15</v>
      </c>
      <c r="G368" s="91">
        <f t="shared" si="72"/>
        <v>63.044499999999999</v>
      </c>
      <c r="H368" s="86"/>
      <c r="I368" s="186"/>
      <c r="J368" s="238" t="s">
        <v>669</v>
      </c>
      <c r="K368" s="83" t="s">
        <v>231</v>
      </c>
      <c r="L368" s="100" t="s">
        <v>628</v>
      </c>
      <c r="M368" s="219" t="s">
        <v>1222</v>
      </c>
      <c r="N368" s="205" t="s">
        <v>1223</v>
      </c>
      <c r="O368" s="206">
        <v>1</v>
      </c>
      <c r="P368" s="226" t="s">
        <v>126</v>
      </c>
      <c r="Q368" s="288">
        <v>74.17</v>
      </c>
      <c r="R368" s="188">
        <v>0.15</v>
      </c>
      <c r="S368" s="91">
        <v>63.044499999999999</v>
      </c>
      <c r="T368" s="86"/>
      <c r="U368" s="186"/>
      <c r="V368" s="238" t="s">
        <v>669</v>
      </c>
      <c r="W368" s="83" t="s">
        <v>231</v>
      </c>
      <c r="X368" s="100" t="s">
        <v>628</v>
      </c>
    </row>
    <row r="369" spans="1:24" s="1" customFormat="1">
      <c r="A369" s="502" t="s">
        <v>1224</v>
      </c>
      <c r="B369" s="212" t="s">
        <v>1225</v>
      </c>
      <c r="C369" s="206">
        <v>1</v>
      </c>
      <c r="D369" s="226" t="s">
        <v>126</v>
      </c>
      <c r="E369" s="288">
        <v>74.17</v>
      </c>
      <c r="F369" s="188">
        <f t="shared" ref="F369:F382" si="73">rv_apple_acc_ipad</f>
        <v>0.15</v>
      </c>
      <c r="G369" s="91">
        <f t="shared" si="72"/>
        <v>63.044499999999999</v>
      </c>
      <c r="H369" s="86"/>
      <c r="I369" s="186"/>
      <c r="J369" s="238" t="s">
        <v>669</v>
      </c>
      <c r="K369" s="83" t="s">
        <v>231</v>
      </c>
      <c r="L369" s="100" t="s">
        <v>628</v>
      </c>
      <c r="M369" s="502" t="s">
        <v>1224</v>
      </c>
      <c r="N369" s="212" t="s">
        <v>1225</v>
      </c>
      <c r="O369" s="206">
        <v>1</v>
      </c>
      <c r="P369" s="226" t="s">
        <v>126</v>
      </c>
      <c r="Q369" s="288">
        <v>74.17</v>
      </c>
      <c r="R369" s="188">
        <v>0.15</v>
      </c>
      <c r="S369" s="91">
        <v>63.044499999999999</v>
      </c>
      <c r="T369" s="86"/>
      <c r="U369" s="186"/>
      <c r="V369" s="238" t="s">
        <v>669</v>
      </c>
      <c r="W369" s="83" t="s">
        <v>231</v>
      </c>
      <c r="X369" s="100" t="s">
        <v>628</v>
      </c>
    </row>
    <row r="370" spans="1:24" s="1" customFormat="1">
      <c r="A370" s="502" t="s">
        <v>1226</v>
      </c>
      <c r="B370" s="212" t="s">
        <v>1227</v>
      </c>
      <c r="C370" s="206">
        <v>1</v>
      </c>
      <c r="D370" s="226" t="s">
        <v>126</v>
      </c>
      <c r="E370" s="288">
        <v>74.17</v>
      </c>
      <c r="F370" s="188">
        <f t="shared" si="73"/>
        <v>0.15</v>
      </c>
      <c r="G370" s="91">
        <f t="shared" si="72"/>
        <v>63.044499999999999</v>
      </c>
      <c r="H370" s="86"/>
      <c r="I370" s="186"/>
      <c r="J370" s="238" t="s">
        <v>669</v>
      </c>
      <c r="K370" s="83" t="s">
        <v>231</v>
      </c>
      <c r="L370" s="100" t="s">
        <v>628</v>
      </c>
      <c r="M370" s="502" t="s">
        <v>1226</v>
      </c>
      <c r="N370" s="212" t="s">
        <v>1227</v>
      </c>
      <c r="O370" s="206">
        <v>1</v>
      </c>
      <c r="P370" s="226" t="s">
        <v>126</v>
      </c>
      <c r="Q370" s="288">
        <v>74.17</v>
      </c>
      <c r="R370" s="188">
        <v>0.15</v>
      </c>
      <c r="S370" s="91">
        <v>63.044499999999999</v>
      </c>
      <c r="T370" s="86"/>
      <c r="U370" s="186"/>
      <c r="V370" s="238" t="s">
        <v>669</v>
      </c>
      <c r="W370" s="83" t="s">
        <v>231</v>
      </c>
      <c r="X370" s="100" t="s">
        <v>628</v>
      </c>
    </row>
    <row r="371" spans="1:24" s="1" customFormat="1">
      <c r="A371" s="502" t="s">
        <v>1228</v>
      </c>
      <c r="B371" s="212" t="s">
        <v>1229</v>
      </c>
      <c r="C371" s="206">
        <v>1</v>
      </c>
      <c r="D371" s="226" t="s">
        <v>126</v>
      </c>
      <c r="E371" s="288">
        <v>74.17</v>
      </c>
      <c r="F371" s="188">
        <f t="shared" si="73"/>
        <v>0.15</v>
      </c>
      <c r="G371" s="91">
        <f t="shared" si="72"/>
        <v>63.044499999999999</v>
      </c>
      <c r="H371" s="86"/>
      <c r="I371" s="186"/>
      <c r="J371" s="238" t="s">
        <v>669</v>
      </c>
      <c r="K371" s="83" t="s">
        <v>231</v>
      </c>
      <c r="L371" s="100" t="s">
        <v>628</v>
      </c>
      <c r="M371" s="502" t="s">
        <v>1228</v>
      </c>
      <c r="N371" s="212" t="s">
        <v>1229</v>
      </c>
      <c r="O371" s="206">
        <v>1</v>
      </c>
      <c r="P371" s="226" t="s">
        <v>126</v>
      </c>
      <c r="Q371" s="288">
        <v>74.17</v>
      </c>
      <c r="R371" s="188">
        <v>0.15</v>
      </c>
      <c r="S371" s="91">
        <v>63.044499999999999</v>
      </c>
      <c r="T371" s="86"/>
      <c r="U371" s="186"/>
      <c r="V371" s="238" t="s">
        <v>669</v>
      </c>
      <c r="W371" s="83" t="s">
        <v>231</v>
      </c>
      <c r="X371" s="100" t="s">
        <v>628</v>
      </c>
    </row>
    <row r="372" spans="1:24" s="1" customFormat="1">
      <c r="A372" s="502" t="s">
        <v>1230</v>
      </c>
      <c r="B372" s="212" t="s">
        <v>1231</v>
      </c>
      <c r="C372" s="206">
        <v>1</v>
      </c>
      <c r="D372" s="226" t="s">
        <v>126</v>
      </c>
      <c r="E372" s="288">
        <v>74.17</v>
      </c>
      <c r="F372" s="188">
        <f t="shared" si="73"/>
        <v>0.15</v>
      </c>
      <c r="G372" s="91">
        <f t="shared" si="72"/>
        <v>63.044499999999999</v>
      </c>
      <c r="H372" s="86"/>
      <c r="I372" s="186"/>
      <c r="J372" s="238" t="s">
        <v>669</v>
      </c>
      <c r="K372" s="83" t="s">
        <v>231</v>
      </c>
      <c r="L372" s="100" t="s">
        <v>628</v>
      </c>
      <c r="M372" s="502" t="s">
        <v>1230</v>
      </c>
      <c r="N372" s="212" t="s">
        <v>1231</v>
      </c>
      <c r="O372" s="206">
        <v>1</v>
      </c>
      <c r="P372" s="226" t="s">
        <v>126</v>
      </c>
      <c r="Q372" s="288">
        <v>74.17</v>
      </c>
      <c r="R372" s="188">
        <v>0.15</v>
      </c>
      <c r="S372" s="91">
        <v>63.044499999999999</v>
      </c>
      <c r="T372" s="86"/>
      <c r="U372" s="186"/>
      <c r="V372" s="238" t="s">
        <v>669</v>
      </c>
      <c r="W372" s="83" t="s">
        <v>231</v>
      </c>
      <c r="X372" s="100" t="s">
        <v>628</v>
      </c>
    </row>
    <row r="373" spans="1:24" s="1" customFormat="1">
      <c r="A373" s="502" t="s">
        <v>1232</v>
      </c>
      <c r="B373" s="212" t="s">
        <v>1233</v>
      </c>
      <c r="C373" s="206">
        <v>1</v>
      </c>
      <c r="D373" s="226" t="s">
        <v>126</v>
      </c>
      <c r="E373" s="288">
        <v>99.17</v>
      </c>
      <c r="F373" s="188">
        <f t="shared" si="73"/>
        <v>0.15</v>
      </c>
      <c r="G373" s="91">
        <f t="shared" si="72"/>
        <v>84.294499999999999</v>
      </c>
      <c r="H373" s="86"/>
      <c r="I373" s="186"/>
      <c r="J373" s="238" t="s">
        <v>669</v>
      </c>
      <c r="K373" s="83" t="s">
        <v>231</v>
      </c>
      <c r="L373" s="100" t="s">
        <v>628</v>
      </c>
      <c r="M373" s="502" t="s">
        <v>1232</v>
      </c>
      <c r="N373" s="212" t="s">
        <v>1233</v>
      </c>
      <c r="O373" s="206">
        <v>1</v>
      </c>
      <c r="P373" s="226" t="s">
        <v>126</v>
      </c>
      <c r="Q373" s="288">
        <v>99.17</v>
      </c>
      <c r="R373" s="188">
        <v>0.15</v>
      </c>
      <c r="S373" s="91">
        <v>84.294499999999999</v>
      </c>
      <c r="T373" s="86"/>
      <c r="U373" s="186"/>
      <c r="V373" s="238" t="s">
        <v>669</v>
      </c>
      <c r="W373" s="83" t="s">
        <v>231</v>
      </c>
      <c r="X373" s="100" t="s">
        <v>628</v>
      </c>
    </row>
    <row r="374" spans="1:24" s="1" customFormat="1">
      <c r="A374" s="502" t="s">
        <v>1234</v>
      </c>
      <c r="B374" s="212" t="s">
        <v>1235</v>
      </c>
      <c r="C374" s="206">
        <v>1</v>
      </c>
      <c r="D374" s="226" t="s">
        <v>126</v>
      </c>
      <c r="E374" s="288">
        <v>99.17</v>
      </c>
      <c r="F374" s="188">
        <f t="shared" si="73"/>
        <v>0.15</v>
      </c>
      <c r="G374" s="91">
        <f t="shared" si="72"/>
        <v>84.294499999999999</v>
      </c>
      <c r="H374" s="86"/>
      <c r="I374" s="186"/>
      <c r="J374" s="238" t="s">
        <v>669</v>
      </c>
      <c r="K374" s="83" t="s">
        <v>231</v>
      </c>
      <c r="L374" s="100" t="s">
        <v>628</v>
      </c>
      <c r="M374" s="502" t="s">
        <v>1234</v>
      </c>
      <c r="N374" s="212" t="s">
        <v>1235</v>
      </c>
      <c r="O374" s="206">
        <v>1</v>
      </c>
      <c r="P374" s="226" t="s">
        <v>126</v>
      </c>
      <c r="Q374" s="288">
        <v>99.17</v>
      </c>
      <c r="R374" s="188">
        <v>0.15</v>
      </c>
      <c r="S374" s="91">
        <v>84.294499999999999</v>
      </c>
      <c r="T374" s="86"/>
      <c r="U374" s="186"/>
      <c r="V374" s="238" t="s">
        <v>669</v>
      </c>
      <c r="W374" s="83" t="s">
        <v>231</v>
      </c>
      <c r="X374" s="100" t="s">
        <v>628</v>
      </c>
    </row>
    <row r="375" spans="1:24" s="1" customFormat="1">
      <c r="A375" s="502" t="s">
        <v>1236</v>
      </c>
      <c r="B375" s="212" t="s">
        <v>1237</v>
      </c>
      <c r="C375" s="206">
        <v>1</v>
      </c>
      <c r="D375" s="226" t="s">
        <v>126</v>
      </c>
      <c r="E375" s="288">
        <v>99.17</v>
      </c>
      <c r="F375" s="188">
        <f t="shared" si="73"/>
        <v>0.15</v>
      </c>
      <c r="G375" s="91">
        <f t="shared" si="72"/>
        <v>84.294499999999999</v>
      </c>
      <c r="H375" s="86"/>
      <c r="I375" s="186"/>
      <c r="J375" s="238" t="s">
        <v>669</v>
      </c>
      <c r="K375" s="83" t="s">
        <v>231</v>
      </c>
      <c r="L375" s="100" t="s">
        <v>628</v>
      </c>
      <c r="M375" s="502" t="s">
        <v>1236</v>
      </c>
      <c r="N375" s="212" t="s">
        <v>1237</v>
      </c>
      <c r="O375" s="206">
        <v>1</v>
      </c>
      <c r="P375" s="226" t="s">
        <v>126</v>
      </c>
      <c r="Q375" s="288">
        <v>99.17</v>
      </c>
      <c r="R375" s="188">
        <v>0.15</v>
      </c>
      <c r="S375" s="91">
        <v>84.294499999999999</v>
      </c>
      <c r="T375" s="86"/>
      <c r="U375" s="186"/>
      <c r="V375" s="238" t="s">
        <v>669</v>
      </c>
      <c r="W375" s="83" t="s">
        <v>231</v>
      </c>
      <c r="X375" s="100" t="s">
        <v>628</v>
      </c>
    </row>
    <row r="376" spans="1:24" s="1" customFormat="1">
      <c r="A376" s="502" t="s">
        <v>1238</v>
      </c>
      <c r="B376" s="212" t="s">
        <v>1239</v>
      </c>
      <c r="C376" s="206">
        <v>1</v>
      </c>
      <c r="D376" s="226" t="s">
        <v>126</v>
      </c>
      <c r="E376" s="288">
        <v>99.17</v>
      </c>
      <c r="F376" s="188">
        <f t="shared" si="73"/>
        <v>0.15</v>
      </c>
      <c r="G376" s="91">
        <f t="shared" si="72"/>
        <v>84.294499999999999</v>
      </c>
      <c r="H376" s="86"/>
      <c r="I376" s="186"/>
      <c r="J376" s="238" t="s">
        <v>669</v>
      </c>
      <c r="K376" s="83" t="s">
        <v>231</v>
      </c>
      <c r="L376" s="100" t="s">
        <v>628</v>
      </c>
      <c r="M376" s="502" t="s">
        <v>1238</v>
      </c>
      <c r="N376" s="212" t="s">
        <v>1239</v>
      </c>
      <c r="O376" s="206">
        <v>1</v>
      </c>
      <c r="P376" s="226" t="s">
        <v>126</v>
      </c>
      <c r="Q376" s="288">
        <v>99.17</v>
      </c>
      <c r="R376" s="188">
        <v>0.15</v>
      </c>
      <c r="S376" s="91">
        <v>84.294499999999999</v>
      </c>
      <c r="T376" s="86"/>
      <c r="U376" s="186"/>
      <c r="V376" s="238" t="s">
        <v>669</v>
      </c>
      <c r="W376" s="83" t="s">
        <v>231</v>
      </c>
      <c r="X376" s="100" t="s">
        <v>628</v>
      </c>
    </row>
    <row r="377" spans="1:24" s="1" customFormat="1">
      <c r="A377" s="502" t="s">
        <v>1240</v>
      </c>
      <c r="B377" s="212" t="s">
        <v>1241</v>
      </c>
      <c r="C377" s="206">
        <v>1</v>
      </c>
      <c r="D377" s="226" t="s">
        <v>126</v>
      </c>
      <c r="E377" s="288">
        <v>74.17</v>
      </c>
      <c r="F377" s="188">
        <f t="shared" si="73"/>
        <v>0.15</v>
      </c>
      <c r="G377" s="91">
        <f t="shared" si="72"/>
        <v>63.044499999999999</v>
      </c>
      <c r="H377" s="86"/>
      <c r="I377" s="186"/>
      <c r="J377" s="238" t="s">
        <v>669</v>
      </c>
      <c r="K377" s="83" t="s">
        <v>231</v>
      </c>
      <c r="L377" s="100" t="s">
        <v>628</v>
      </c>
      <c r="M377" s="502" t="s">
        <v>1240</v>
      </c>
      <c r="N377" s="212" t="s">
        <v>1241</v>
      </c>
      <c r="O377" s="206">
        <v>1</v>
      </c>
      <c r="P377" s="226" t="s">
        <v>126</v>
      </c>
      <c r="Q377" s="288">
        <v>74.17</v>
      </c>
      <c r="R377" s="188">
        <v>0.15</v>
      </c>
      <c r="S377" s="91">
        <v>63.044499999999999</v>
      </c>
      <c r="T377" s="86"/>
      <c r="U377" s="186"/>
      <c r="V377" s="238" t="s">
        <v>669</v>
      </c>
      <c r="W377" s="83" t="s">
        <v>231</v>
      </c>
      <c r="X377" s="100" t="s">
        <v>628</v>
      </c>
    </row>
    <row r="378" spans="1:24" s="1" customFormat="1">
      <c r="A378" s="502" t="s">
        <v>1242</v>
      </c>
      <c r="B378" s="212" t="s">
        <v>1243</v>
      </c>
      <c r="C378" s="206">
        <v>1</v>
      </c>
      <c r="D378" s="226" t="s">
        <v>126</v>
      </c>
      <c r="E378" s="288">
        <v>74.17</v>
      </c>
      <c r="F378" s="188">
        <f t="shared" si="73"/>
        <v>0.15</v>
      </c>
      <c r="G378" s="91">
        <f t="shared" si="72"/>
        <v>63.044499999999999</v>
      </c>
      <c r="H378" s="86"/>
      <c r="I378" s="186"/>
      <c r="J378" s="238" t="s">
        <v>669</v>
      </c>
      <c r="K378" s="83" t="s">
        <v>231</v>
      </c>
      <c r="L378" s="100" t="s">
        <v>628</v>
      </c>
      <c r="M378" s="502" t="s">
        <v>1242</v>
      </c>
      <c r="N378" s="212" t="s">
        <v>1243</v>
      </c>
      <c r="O378" s="206">
        <v>1</v>
      </c>
      <c r="P378" s="226" t="s">
        <v>126</v>
      </c>
      <c r="Q378" s="288">
        <v>74.17</v>
      </c>
      <c r="R378" s="188">
        <v>0.15</v>
      </c>
      <c r="S378" s="91">
        <v>63.044499999999999</v>
      </c>
      <c r="T378" s="86"/>
      <c r="U378" s="186"/>
      <c r="V378" s="238" t="s">
        <v>669</v>
      </c>
      <c r="W378" s="83" t="s">
        <v>231</v>
      </c>
      <c r="X378" s="100" t="s">
        <v>628</v>
      </c>
    </row>
    <row r="379" spans="1:24" s="1" customFormat="1">
      <c r="A379" s="502" t="s">
        <v>1244</v>
      </c>
      <c r="B379" s="212" t="s">
        <v>1245</v>
      </c>
      <c r="C379" s="206">
        <v>1</v>
      </c>
      <c r="D379" s="226" t="s">
        <v>126</v>
      </c>
      <c r="E379" s="288">
        <v>74.17</v>
      </c>
      <c r="F379" s="188">
        <f t="shared" si="73"/>
        <v>0.15</v>
      </c>
      <c r="G379" s="91">
        <f t="shared" si="72"/>
        <v>63.044499999999999</v>
      </c>
      <c r="H379" s="86"/>
      <c r="I379" s="186"/>
      <c r="J379" s="238" t="s">
        <v>669</v>
      </c>
      <c r="K379" s="83" t="s">
        <v>231</v>
      </c>
      <c r="L379" s="100" t="s">
        <v>628</v>
      </c>
      <c r="M379" s="502" t="s">
        <v>1244</v>
      </c>
      <c r="N379" s="212" t="s">
        <v>1245</v>
      </c>
      <c r="O379" s="206">
        <v>1</v>
      </c>
      <c r="P379" s="226" t="s">
        <v>126</v>
      </c>
      <c r="Q379" s="288">
        <v>74.17</v>
      </c>
      <c r="R379" s="188">
        <v>0.15</v>
      </c>
      <c r="S379" s="91">
        <v>63.044499999999999</v>
      </c>
      <c r="T379" s="86"/>
      <c r="U379" s="186"/>
      <c r="V379" s="238" t="s">
        <v>669</v>
      </c>
      <c r="W379" s="83" t="s">
        <v>231</v>
      </c>
      <c r="X379" s="100" t="s">
        <v>628</v>
      </c>
    </row>
    <row r="380" spans="1:24" s="1" customFormat="1">
      <c r="A380" s="502" t="s">
        <v>1246</v>
      </c>
      <c r="B380" s="212" t="s">
        <v>2351</v>
      </c>
      <c r="C380" s="206">
        <v>1</v>
      </c>
      <c r="D380" s="226" t="s">
        <v>126</v>
      </c>
      <c r="E380" s="288">
        <v>99.17</v>
      </c>
      <c r="F380" s="188">
        <f t="shared" si="73"/>
        <v>0.15</v>
      </c>
      <c r="G380" s="91">
        <f t="shared" si="72"/>
        <v>84.294499999999999</v>
      </c>
      <c r="H380" s="86"/>
      <c r="I380" s="186"/>
      <c r="J380" s="238" t="s">
        <v>669</v>
      </c>
      <c r="K380" s="83" t="s">
        <v>231</v>
      </c>
      <c r="L380" s="100" t="s">
        <v>628</v>
      </c>
      <c r="M380" s="502" t="s">
        <v>1246</v>
      </c>
      <c r="N380" s="212" t="s">
        <v>2351</v>
      </c>
      <c r="O380" s="206">
        <v>1</v>
      </c>
      <c r="P380" s="226" t="s">
        <v>126</v>
      </c>
      <c r="Q380" s="288">
        <v>99.17</v>
      </c>
      <c r="R380" s="188">
        <v>0.15</v>
      </c>
      <c r="S380" s="91">
        <v>84.294499999999999</v>
      </c>
      <c r="T380" s="86"/>
      <c r="U380" s="186"/>
      <c r="V380" s="238" t="s">
        <v>669</v>
      </c>
      <c r="W380" s="83" t="s">
        <v>231</v>
      </c>
      <c r="X380" s="100" t="s">
        <v>628</v>
      </c>
    </row>
    <row r="381" spans="1:24" s="1" customFormat="1">
      <c r="A381" s="502" t="s">
        <v>1247</v>
      </c>
      <c r="B381" s="212" t="s">
        <v>2352</v>
      </c>
      <c r="C381" s="206">
        <v>1</v>
      </c>
      <c r="D381" s="226" t="s">
        <v>126</v>
      </c>
      <c r="E381" s="288">
        <v>99.17</v>
      </c>
      <c r="F381" s="188">
        <f t="shared" si="73"/>
        <v>0.15</v>
      </c>
      <c r="G381" s="91">
        <f t="shared" si="72"/>
        <v>84.294499999999999</v>
      </c>
      <c r="H381" s="86"/>
      <c r="I381" s="186"/>
      <c r="J381" s="238" t="s">
        <v>669</v>
      </c>
      <c r="K381" s="83" t="s">
        <v>231</v>
      </c>
      <c r="L381" s="100" t="s">
        <v>628</v>
      </c>
      <c r="M381" s="502" t="s">
        <v>1247</v>
      </c>
      <c r="N381" s="212" t="s">
        <v>2352</v>
      </c>
      <c r="O381" s="206">
        <v>1</v>
      </c>
      <c r="P381" s="226" t="s">
        <v>126</v>
      </c>
      <c r="Q381" s="288">
        <v>99.17</v>
      </c>
      <c r="R381" s="188">
        <v>0.15</v>
      </c>
      <c r="S381" s="91">
        <v>84.294499999999999</v>
      </c>
      <c r="T381" s="86"/>
      <c r="U381" s="186"/>
      <c r="V381" s="238" t="s">
        <v>669</v>
      </c>
      <c r="W381" s="83" t="s">
        <v>231</v>
      </c>
      <c r="X381" s="100" t="s">
        <v>628</v>
      </c>
    </row>
    <row r="382" spans="1:24" s="1" customFormat="1">
      <c r="A382" s="502" t="s">
        <v>1248</v>
      </c>
      <c r="B382" s="212" t="s">
        <v>2353</v>
      </c>
      <c r="C382" s="206">
        <v>1</v>
      </c>
      <c r="D382" s="226" t="s">
        <v>126</v>
      </c>
      <c r="E382" s="288">
        <v>99.17</v>
      </c>
      <c r="F382" s="188">
        <f t="shared" si="73"/>
        <v>0.15</v>
      </c>
      <c r="G382" s="91">
        <f t="shared" si="72"/>
        <v>84.294499999999999</v>
      </c>
      <c r="H382" s="86"/>
      <c r="I382" s="186"/>
      <c r="J382" s="238" t="s">
        <v>669</v>
      </c>
      <c r="K382" s="83" t="s">
        <v>231</v>
      </c>
      <c r="L382" s="100" t="s">
        <v>628</v>
      </c>
      <c r="M382" s="502" t="s">
        <v>1248</v>
      </c>
      <c r="N382" s="212" t="s">
        <v>2353</v>
      </c>
      <c r="O382" s="206">
        <v>1</v>
      </c>
      <c r="P382" s="226" t="s">
        <v>126</v>
      </c>
      <c r="Q382" s="288">
        <v>99.17</v>
      </c>
      <c r="R382" s="188">
        <v>0.15</v>
      </c>
      <c r="S382" s="91">
        <v>84.294499999999999</v>
      </c>
      <c r="T382" s="86"/>
      <c r="U382" s="186"/>
      <c r="V382" s="238" t="s">
        <v>669</v>
      </c>
      <c r="W382" s="83" t="s">
        <v>231</v>
      </c>
      <c r="X382" s="100" t="s">
        <v>628</v>
      </c>
    </row>
    <row r="383" spans="1:24" s="93" customFormat="1">
      <c r="A383" s="219" t="s">
        <v>1249</v>
      </c>
      <c r="B383" s="212" t="s">
        <v>1250</v>
      </c>
      <c r="C383" s="213">
        <v>1</v>
      </c>
      <c r="D383" s="570" t="s">
        <v>1251</v>
      </c>
      <c r="E383" s="289">
        <v>30</v>
      </c>
      <c r="F383" s="215">
        <f t="shared" ref="F383:F386" si="74">rv_apple_acc_ipad</f>
        <v>0.15</v>
      </c>
      <c r="G383" s="216">
        <f t="shared" si="72"/>
        <v>25.5</v>
      </c>
      <c r="H383" s="86"/>
      <c r="I383" s="186"/>
      <c r="J383" s="238" t="s">
        <v>669</v>
      </c>
      <c r="K383" s="83" t="s">
        <v>231</v>
      </c>
      <c r="L383" s="100" t="s">
        <v>628</v>
      </c>
      <c r="M383" s="219" t="s">
        <v>1249</v>
      </c>
      <c r="N383" s="212" t="s">
        <v>1250</v>
      </c>
      <c r="O383" s="213">
        <v>1</v>
      </c>
      <c r="P383" s="570" t="s">
        <v>1251</v>
      </c>
      <c r="Q383" s="289">
        <v>30</v>
      </c>
      <c r="R383" s="215">
        <v>0.15</v>
      </c>
      <c r="S383" s="216">
        <v>25.5</v>
      </c>
      <c r="T383" s="86"/>
      <c r="U383" s="186"/>
      <c r="V383" s="238" t="s">
        <v>669</v>
      </c>
      <c r="W383" s="83" t="s">
        <v>231</v>
      </c>
      <c r="X383" s="100" t="s">
        <v>628</v>
      </c>
    </row>
    <row r="384" spans="1:24" s="93" customFormat="1">
      <c r="A384" s="219" t="s">
        <v>1252</v>
      </c>
      <c r="B384" s="212" t="s">
        <v>1253</v>
      </c>
      <c r="C384" s="217">
        <v>1</v>
      </c>
      <c r="D384" s="218" t="s">
        <v>1251</v>
      </c>
      <c r="E384" s="289">
        <v>35</v>
      </c>
      <c r="F384" s="215">
        <f t="shared" si="74"/>
        <v>0.15</v>
      </c>
      <c r="G384" s="216">
        <f t="shared" si="72"/>
        <v>29.75</v>
      </c>
      <c r="H384" s="86"/>
      <c r="I384" s="186"/>
      <c r="J384" s="238" t="s">
        <v>669</v>
      </c>
      <c r="K384" s="83" t="s">
        <v>231</v>
      </c>
      <c r="L384" s="100" t="s">
        <v>628</v>
      </c>
      <c r="M384" s="219" t="s">
        <v>1252</v>
      </c>
      <c r="N384" s="212" t="s">
        <v>1253</v>
      </c>
      <c r="O384" s="217">
        <v>1</v>
      </c>
      <c r="P384" s="218" t="s">
        <v>1251</v>
      </c>
      <c r="Q384" s="289">
        <v>35</v>
      </c>
      <c r="R384" s="215">
        <v>0.15</v>
      </c>
      <c r="S384" s="216">
        <v>29.75</v>
      </c>
      <c r="T384" s="86"/>
      <c r="U384" s="186"/>
      <c r="V384" s="238" t="s">
        <v>669</v>
      </c>
      <c r="W384" s="83" t="s">
        <v>231</v>
      </c>
      <c r="X384" s="100" t="s">
        <v>628</v>
      </c>
    </row>
    <row r="385" spans="1:24" s="93" customFormat="1">
      <c r="A385" s="219" t="s">
        <v>1254</v>
      </c>
      <c r="B385" s="212" t="s">
        <v>1255</v>
      </c>
      <c r="C385" s="217">
        <v>1</v>
      </c>
      <c r="D385" s="218" t="s">
        <v>1251</v>
      </c>
      <c r="E385" s="289">
        <v>32</v>
      </c>
      <c r="F385" s="215">
        <f t="shared" si="74"/>
        <v>0.15</v>
      </c>
      <c r="G385" s="216">
        <f t="shared" si="72"/>
        <v>27.2</v>
      </c>
      <c r="H385" s="86"/>
      <c r="I385" s="186"/>
      <c r="J385" s="238" t="s">
        <v>669</v>
      </c>
      <c r="K385" s="83" t="s">
        <v>231</v>
      </c>
      <c r="L385" s="100" t="s">
        <v>628</v>
      </c>
      <c r="M385" s="219" t="s">
        <v>1254</v>
      </c>
      <c r="N385" s="212" t="s">
        <v>1255</v>
      </c>
      <c r="O385" s="217">
        <v>1</v>
      </c>
      <c r="P385" s="218" t="s">
        <v>1251</v>
      </c>
      <c r="Q385" s="289">
        <v>32</v>
      </c>
      <c r="R385" s="215">
        <v>0.15</v>
      </c>
      <c r="S385" s="216">
        <v>27.2</v>
      </c>
      <c r="T385" s="86"/>
      <c r="U385" s="186"/>
      <c r="V385" s="238" t="s">
        <v>669</v>
      </c>
      <c r="W385" s="83" t="s">
        <v>231</v>
      </c>
      <c r="X385" s="100" t="s">
        <v>628</v>
      </c>
    </row>
    <row r="386" spans="1:24" s="93" customFormat="1">
      <c r="A386" s="219" t="s">
        <v>1256</v>
      </c>
      <c r="B386" s="212" t="s">
        <v>1257</v>
      </c>
      <c r="C386" s="214">
        <v>1</v>
      </c>
      <c r="D386" s="218" t="s">
        <v>1251</v>
      </c>
      <c r="E386" s="289">
        <v>35</v>
      </c>
      <c r="F386" s="215">
        <f t="shared" si="74"/>
        <v>0.15</v>
      </c>
      <c r="G386" s="216">
        <f t="shared" si="72"/>
        <v>29.75</v>
      </c>
      <c r="H386" s="86"/>
      <c r="I386" s="186"/>
      <c r="J386" s="238" t="s">
        <v>669</v>
      </c>
      <c r="K386" s="83" t="s">
        <v>231</v>
      </c>
      <c r="L386" s="100" t="s">
        <v>628</v>
      </c>
      <c r="M386" s="219" t="s">
        <v>1256</v>
      </c>
      <c r="N386" s="212" t="s">
        <v>1257</v>
      </c>
      <c r="O386" s="214">
        <v>1</v>
      </c>
      <c r="P386" s="218" t="s">
        <v>1251</v>
      </c>
      <c r="Q386" s="289">
        <v>35</v>
      </c>
      <c r="R386" s="215">
        <v>0.15</v>
      </c>
      <c r="S386" s="216">
        <v>29.75</v>
      </c>
      <c r="T386" s="86"/>
      <c r="U386" s="186"/>
      <c r="V386" s="238" t="s">
        <v>669</v>
      </c>
      <c r="W386" s="83" t="s">
        <v>231</v>
      </c>
      <c r="X386" s="100" t="s">
        <v>628</v>
      </c>
    </row>
    <row r="387" spans="1:24">
      <c r="A387" s="219" t="s">
        <v>1258</v>
      </c>
      <c r="B387" s="202" t="s">
        <v>1259</v>
      </c>
      <c r="C387" s="198">
        <v>1</v>
      </c>
      <c r="D387" s="571" t="s">
        <v>1260</v>
      </c>
      <c r="E387" s="287">
        <v>24.99</v>
      </c>
      <c r="F387" s="188">
        <f t="shared" ref="F387:F627" si="75">rv_20</f>
        <v>0.2</v>
      </c>
      <c r="G387" s="79">
        <f t="shared" si="72"/>
        <v>19.991999999999997</v>
      </c>
      <c r="H387" s="203"/>
      <c r="I387" s="203"/>
      <c r="J387" s="238" t="s">
        <v>669</v>
      </c>
      <c r="K387" s="83" t="s">
        <v>231</v>
      </c>
      <c r="L387" s="100" t="s">
        <v>628</v>
      </c>
      <c r="M387" s="219" t="s">
        <v>1258</v>
      </c>
      <c r="N387" s="202" t="s">
        <v>1259</v>
      </c>
      <c r="O387" s="198">
        <v>1</v>
      </c>
      <c r="P387" s="571" t="s">
        <v>1260</v>
      </c>
      <c r="Q387" s="287">
        <v>24.99</v>
      </c>
      <c r="R387" s="188">
        <v>0.2</v>
      </c>
      <c r="S387" s="79">
        <v>19.991999999999997</v>
      </c>
      <c r="T387" s="203"/>
      <c r="U387" s="203"/>
      <c r="V387" s="238" t="s">
        <v>669</v>
      </c>
      <c r="W387" s="83" t="s">
        <v>231</v>
      </c>
      <c r="X387" s="100" t="s">
        <v>628</v>
      </c>
    </row>
    <row r="388" spans="1:24">
      <c r="A388" s="219" t="s">
        <v>1261</v>
      </c>
      <c r="B388" s="202" t="s">
        <v>1262</v>
      </c>
      <c r="C388" s="198">
        <v>1</v>
      </c>
      <c r="D388" s="571" t="s">
        <v>1260</v>
      </c>
      <c r="E388" s="287">
        <v>29.16</v>
      </c>
      <c r="F388" s="188">
        <f t="shared" si="75"/>
        <v>0.2</v>
      </c>
      <c r="G388" s="79">
        <f t="shared" si="72"/>
        <v>23.327999999999999</v>
      </c>
      <c r="H388" s="203"/>
      <c r="I388" s="203"/>
      <c r="J388" s="238" t="s">
        <v>669</v>
      </c>
      <c r="K388" s="83" t="s">
        <v>231</v>
      </c>
      <c r="L388" s="100" t="s">
        <v>628</v>
      </c>
      <c r="M388" s="219" t="s">
        <v>1261</v>
      </c>
      <c r="N388" s="202" t="s">
        <v>1262</v>
      </c>
      <c r="O388" s="198">
        <v>1</v>
      </c>
      <c r="P388" s="571" t="s">
        <v>1260</v>
      </c>
      <c r="Q388" s="287">
        <v>29.16</v>
      </c>
      <c r="R388" s="188">
        <v>0.2</v>
      </c>
      <c r="S388" s="79">
        <v>23.327999999999999</v>
      </c>
      <c r="T388" s="203"/>
      <c r="U388" s="203"/>
      <c r="V388" s="238" t="s">
        <v>669</v>
      </c>
      <c r="W388" s="83" t="s">
        <v>231</v>
      </c>
      <c r="X388" s="100" t="s">
        <v>628</v>
      </c>
    </row>
    <row r="389" spans="1:24">
      <c r="A389" s="219" t="s">
        <v>1263</v>
      </c>
      <c r="B389" s="202" t="s">
        <v>1264</v>
      </c>
      <c r="C389" s="198">
        <v>1</v>
      </c>
      <c r="D389" s="286" t="s">
        <v>1260</v>
      </c>
      <c r="E389" s="287">
        <v>29.16</v>
      </c>
      <c r="F389" s="188">
        <f t="shared" si="75"/>
        <v>0.2</v>
      </c>
      <c r="G389" s="79">
        <f t="shared" si="72"/>
        <v>23.327999999999999</v>
      </c>
      <c r="H389" s="203"/>
      <c r="I389" s="203"/>
      <c r="J389" s="238" t="s">
        <v>669</v>
      </c>
      <c r="K389" s="83" t="s">
        <v>231</v>
      </c>
      <c r="L389" s="100" t="s">
        <v>628</v>
      </c>
      <c r="M389" s="219" t="s">
        <v>1263</v>
      </c>
      <c r="N389" s="202" t="s">
        <v>1264</v>
      </c>
      <c r="O389" s="198">
        <v>1</v>
      </c>
      <c r="P389" s="286" t="s">
        <v>1260</v>
      </c>
      <c r="Q389" s="287">
        <v>29.16</v>
      </c>
      <c r="R389" s="188">
        <v>0.2</v>
      </c>
      <c r="S389" s="79">
        <v>23.327999999999999</v>
      </c>
      <c r="T389" s="203"/>
      <c r="U389" s="203"/>
      <c r="V389" s="238" t="s">
        <v>669</v>
      </c>
      <c r="W389" s="83" t="s">
        <v>231</v>
      </c>
      <c r="X389" s="100" t="s">
        <v>628</v>
      </c>
    </row>
    <row r="390" spans="1:24">
      <c r="A390" s="219" t="s">
        <v>1265</v>
      </c>
      <c r="B390" s="202" t="s">
        <v>1266</v>
      </c>
      <c r="C390" s="198">
        <v>1</v>
      </c>
      <c r="D390" s="571" t="s">
        <v>1260</v>
      </c>
      <c r="E390" s="287">
        <v>29.16</v>
      </c>
      <c r="F390" s="188">
        <f t="shared" si="75"/>
        <v>0.2</v>
      </c>
      <c r="G390" s="79">
        <f t="shared" si="72"/>
        <v>23.327999999999999</v>
      </c>
      <c r="H390" s="203"/>
      <c r="I390" s="203"/>
      <c r="J390" s="238" t="s">
        <v>669</v>
      </c>
      <c r="K390" s="83" t="s">
        <v>231</v>
      </c>
      <c r="L390" s="100" t="s">
        <v>628</v>
      </c>
      <c r="M390" s="219" t="s">
        <v>1265</v>
      </c>
      <c r="N390" s="202" t="s">
        <v>1266</v>
      </c>
      <c r="O390" s="198">
        <v>1</v>
      </c>
      <c r="P390" s="571" t="s">
        <v>1260</v>
      </c>
      <c r="Q390" s="287">
        <v>29.16</v>
      </c>
      <c r="R390" s="188">
        <v>0.2</v>
      </c>
      <c r="S390" s="79">
        <v>23.327999999999999</v>
      </c>
      <c r="T390" s="203"/>
      <c r="U390" s="203"/>
      <c r="V390" s="238" t="s">
        <v>669</v>
      </c>
      <c r="W390" s="83" t="s">
        <v>231</v>
      </c>
      <c r="X390" s="100" t="s">
        <v>628</v>
      </c>
    </row>
    <row r="391" spans="1:24">
      <c r="A391" s="219" t="s">
        <v>1267</v>
      </c>
      <c r="B391" s="202" t="s">
        <v>1268</v>
      </c>
      <c r="C391" s="198">
        <v>1</v>
      </c>
      <c r="D391" s="571" t="s">
        <v>1260</v>
      </c>
      <c r="E391" s="287">
        <v>39.159999999999997</v>
      </c>
      <c r="F391" s="188">
        <f t="shared" si="75"/>
        <v>0.2</v>
      </c>
      <c r="G391" s="79">
        <f t="shared" si="72"/>
        <v>31.327999999999996</v>
      </c>
      <c r="H391" s="203"/>
      <c r="I391" s="203"/>
      <c r="J391" s="238" t="s">
        <v>669</v>
      </c>
      <c r="K391" s="83" t="s">
        <v>231</v>
      </c>
      <c r="L391" s="100" t="s">
        <v>628</v>
      </c>
      <c r="M391" s="219" t="s">
        <v>1267</v>
      </c>
      <c r="N391" s="202" t="s">
        <v>1268</v>
      </c>
      <c r="O391" s="198">
        <v>1</v>
      </c>
      <c r="P391" s="571" t="s">
        <v>1260</v>
      </c>
      <c r="Q391" s="287">
        <v>39.159999999999997</v>
      </c>
      <c r="R391" s="188">
        <v>0.2</v>
      </c>
      <c r="S391" s="79">
        <v>31.327999999999996</v>
      </c>
      <c r="T391" s="203"/>
      <c r="U391" s="203"/>
      <c r="V391" s="238" t="s">
        <v>669</v>
      </c>
      <c r="W391" s="83" t="s">
        <v>231</v>
      </c>
      <c r="X391" s="100" t="s">
        <v>628</v>
      </c>
    </row>
    <row r="392" spans="1:24">
      <c r="A392" s="219" t="s">
        <v>1269</v>
      </c>
      <c r="B392" s="202" t="s">
        <v>1270</v>
      </c>
      <c r="C392" s="198">
        <v>1</v>
      </c>
      <c r="D392" s="571" t="s">
        <v>1260</v>
      </c>
      <c r="E392" s="287">
        <v>39.159999999999997</v>
      </c>
      <c r="F392" s="188">
        <f t="shared" si="75"/>
        <v>0.2</v>
      </c>
      <c r="G392" s="79">
        <f t="shared" si="72"/>
        <v>31.327999999999996</v>
      </c>
      <c r="H392" s="203"/>
      <c r="I392" s="203"/>
      <c r="J392" s="238" t="s">
        <v>669</v>
      </c>
      <c r="K392" s="83" t="s">
        <v>231</v>
      </c>
      <c r="L392" s="100" t="s">
        <v>628</v>
      </c>
      <c r="M392" s="219" t="s">
        <v>1269</v>
      </c>
      <c r="N392" s="202" t="s">
        <v>1270</v>
      </c>
      <c r="O392" s="198">
        <v>1</v>
      </c>
      <c r="P392" s="571" t="s">
        <v>1260</v>
      </c>
      <c r="Q392" s="287">
        <v>39.159999999999997</v>
      </c>
      <c r="R392" s="188">
        <v>0.2</v>
      </c>
      <c r="S392" s="79">
        <v>31.327999999999996</v>
      </c>
      <c r="T392" s="203"/>
      <c r="U392" s="203"/>
      <c r="V392" s="238" t="s">
        <v>669</v>
      </c>
      <c r="W392" s="83" t="s">
        <v>231</v>
      </c>
      <c r="X392" s="100" t="s">
        <v>628</v>
      </c>
    </row>
    <row r="393" spans="1:24">
      <c r="A393" s="219" t="s">
        <v>1271</v>
      </c>
      <c r="B393" s="202" t="s">
        <v>1272</v>
      </c>
      <c r="C393" s="198">
        <v>1</v>
      </c>
      <c r="D393" s="571" t="s">
        <v>1260</v>
      </c>
      <c r="E393" s="287">
        <v>43.32</v>
      </c>
      <c r="F393" s="188">
        <v>0.2</v>
      </c>
      <c r="G393" s="79">
        <v>34.655999999999999</v>
      </c>
      <c r="H393" s="203"/>
      <c r="I393" s="203"/>
      <c r="J393" s="238" t="s">
        <v>669</v>
      </c>
      <c r="K393" s="83" t="s">
        <v>231</v>
      </c>
      <c r="L393" s="100" t="s">
        <v>628</v>
      </c>
      <c r="M393" s="219" t="s">
        <v>1271</v>
      </c>
      <c r="N393" s="202" t="s">
        <v>1272</v>
      </c>
      <c r="O393" s="198">
        <v>1</v>
      </c>
      <c r="P393" s="571" t="s">
        <v>1260</v>
      </c>
      <c r="Q393" s="287">
        <v>43.32</v>
      </c>
      <c r="R393" s="188">
        <v>0.2</v>
      </c>
      <c r="S393" s="79">
        <v>34.655999999999999</v>
      </c>
      <c r="T393" s="203"/>
      <c r="U393" s="203"/>
      <c r="V393" s="238" t="s">
        <v>669</v>
      </c>
      <c r="W393" s="83" t="s">
        <v>231</v>
      </c>
      <c r="X393" s="100" t="s">
        <v>628</v>
      </c>
    </row>
    <row r="394" spans="1:24">
      <c r="A394" s="219" t="s">
        <v>1273</v>
      </c>
      <c r="B394" s="202" t="s">
        <v>1274</v>
      </c>
      <c r="C394" s="198">
        <v>1</v>
      </c>
      <c r="D394" s="571" t="s">
        <v>1260</v>
      </c>
      <c r="E394" s="287">
        <v>45.83</v>
      </c>
      <c r="F394" s="188">
        <f t="shared" si="75"/>
        <v>0.2</v>
      </c>
      <c r="G394" s="79">
        <f t="shared" ref="G394:G413" si="76">E394-(E394*F394)</f>
        <v>36.664000000000001</v>
      </c>
      <c r="H394" s="203"/>
      <c r="I394" s="203"/>
      <c r="J394" s="238" t="s">
        <v>669</v>
      </c>
      <c r="K394" s="83" t="s">
        <v>231</v>
      </c>
      <c r="L394" s="100" t="s">
        <v>628</v>
      </c>
      <c r="M394" s="219" t="s">
        <v>1273</v>
      </c>
      <c r="N394" s="202" t="s">
        <v>1274</v>
      </c>
      <c r="O394" s="198">
        <v>1</v>
      </c>
      <c r="P394" s="571" t="s">
        <v>1260</v>
      </c>
      <c r="Q394" s="287">
        <v>45.83</v>
      </c>
      <c r="R394" s="188">
        <v>0.2</v>
      </c>
      <c r="S394" s="79">
        <v>36.664000000000001</v>
      </c>
      <c r="T394" s="203"/>
      <c r="U394" s="203"/>
      <c r="V394" s="238" t="s">
        <v>669</v>
      </c>
      <c r="W394" s="83" t="s">
        <v>231</v>
      </c>
      <c r="X394" s="100" t="s">
        <v>628</v>
      </c>
    </row>
    <row r="395" spans="1:24">
      <c r="A395" s="219" t="s">
        <v>1275</v>
      </c>
      <c r="B395" s="202" t="s">
        <v>1276</v>
      </c>
      <c r="C395" s="198">
        <v>1</v>
      </c>
      <c r="D395" s="571" t="s">
        <v>1260</v>
      </c>
      <c r="E395" s="287">
        <v>83.32</v>
      </c>
      <c r="F395" s="188">
        <f t="shared" si="75"/>
        <v>0.2</v>
      </c>
      <c r="G395" s="79">
        <f t="shared" si="76"/>
        <v>66.655999999999992</v>
      </c>
      <c r="H395" s="203"/>
      <c r="I395" s="203"/>
      <c r="J395" s="238" t="s">
        <v>669</v>
      </c>
      <c r="K395" s="83" t="s">
        <v>231</v>
      </c>
      <c r="L395" s="100" t="s">
        <v>628</v>
      </c>
      <c r="M395" s="219" t="s">
        <v>1275</v>
      </c>
      <c r="N395" s="202" t="s">
        <v>1276</v>
      </c>
      <c r="O395" s="198">
        <v>1</v>
      </c>
      <c r="P395" s="571" t="s">
        <v>1260</v>
      </c>
      <c r="Q395" s="287">
        <v>83.32</v>
      </c>
      <c r="R395" s="188">
        <v>0.2</v>
      </c>
      <c r="S395" s="79">
        <v>66.655999999999992</v>
      </c>
      <c r="T395" s="203"/>
      <c r="U395" s="203"/>
      <c r="V395" s="238" t="s">
        <v>669</v>
      </c>
      <c r="W395" s="83" t="s">
        <v>231</v>
      </c>
      <c r="X395" s="100" t="s">
        <v>628</v>
      </c>
    </row>
    <row r="396" spans="1:24">
      <c r="A396" s="219" t="s">
        <v>1277</v>
      </c>
      <c r="B396" s="202" t="s">
        <v>1278</v>
      </c>
      <c r="C396" s="198">
        <v>1</v>
      </c>
      <c r="D396" s="571" t="s">
        <v>1260</v>
      </c>
      <c r="E396" s="287">
        <v>45.825000000000003</v>
      </c>
      <c r="F396" s="188">
        <f t="shared" si="75"/>
        <v>0.2</v>
      </c>
      <c r="G396" s="79">
        <f t="shared" si="76"/>
        <v>36.660000000000004</v>
      </c>
      <c r="H396" s="203"/>
      <c r="I396" s="203"/>
      <c r="J396" s="238" t="s">
        <v>669</v>
      </c>
      <c r="K396" s="83" t="s">
        <v>231</v>
      </c>
      <c r="L396" s="100" t="s">
        <v>628</v>
      </c>
      <c r="M396" s="219" t="s">
        <v>1277</v>
      </c>
      <c r="N396" s="202" t="s">
        <v>1278</v>
      </c>
      <c r="O396" s="198">
        <v>1</v>
      </c>
      <c r="P396" s="571" t="s">
        <v>1260</v>
      </c>
      <c r="Q396" s="287">
        <v>45.825000000000003</v>
      </c>
      <c r="R396" s="188">
        <v>0.2</v>
      </c>
      <c r="S396" s="79">
        <v>36.660000000000004</v>
      </c>
      <c r="T396" s="203"/>
      <c r="U396" s="203"/>
      <c r="V396" s="238" t="s">
        <v>669</v>
      </c>
      <c r="W396" s="83" t="s">
        <v>231</v>
      </c>
      <c r="X396" s="100" t="s">
        <v>628</v>
      </c>
    </row>
    <row r="397" spans="1:24">
      <c r="A397" s="219" t="s">
        <v>1279</v>
      </c>
      <c r="B397" s="202" t="s">
        <v>1280</v>
      </c>
      <c r="C397" s="198">
        <v>1</v>
      </c>
      <c r="D397" s="571" t="s">
        <v>1260</v>
      </c>
      <c r="E397" s="287">
        <v>15</v>
      </c>
      <c r="F397" s="188">
        <f t="shared" si="75"/>
        <v>0.2</v>
      </c>
      <c r="G397" s="79">
        <f t="shared" si="76"/>
        <v>12</v>
      </c>
      <c r="H397" s="203"/>
      <c r="I397" s="203"/>
      <c r="J397" s="238" t="s">
        <v>669</v>
      </c>
      <c r="K397" s="83" t="s">
        <v>231</v>
      </c>
      <c r="L397" s="100" t="s">
        <v>628</v>
      </c>
      <c r="M397" s="219" t="s">
        <v>1279</v>
      </c>
      <c r="N397" s="202" t="s">
        <v>1280</v>
      </c>
      <c r="O397" s="198">
        <v>1</v>
      </c>
      <c r="P397" s="571" t="s">
        <v>1260</v>
      </c>
      <c r="Q397" s="287">
        <v>15</v>
      </c>
      <c r="R397" s="188">
        <v>0.2</v>
      </c>
      <c r="S397" s="79">
        <v>12</v>
      </c>
      <c r="T397" s="203"/>
      <c r="U397" s="203"/>
      <c r="V397" s="238" t="s">
        <v>669</v>
      </c>
      <c r="W397" s="83" t="s">
        <v>231</v>
      </c>
      <c r="X397" s="100" t="s">
        <v>628</v>
      </c>
    </row>
    <row r="398" spans="1:24">
      <c r="A398" s="219" t="s">
        <v>1283</v>
      </c>
      <c r="B398" s="212" t="s">
        <v>1284</v>
      </c>
      <c r="C398" s="217">
        <v>1</v>
      </c>
      <c r="D398" s="220" t="s">
        <v>908</v>
      </c>
      <c r="E398" s="287">
        <v>30</v>
      </c>
      <c r="F398" s="188">
        <f t="shared" si="75"/>
        <v>0.2</v>
      </c>
      <c r="G398" s="79">
        <f t="shared" si="76"/>
        <v>24</v>
      </c>
      <c r="H398" s="203"/>
      <c r="I398" s="203"/>
      <c r="J398" s="238" t="s">
        <v>669</v>
      </c>
      <c r="K398" s="83" t="s">
        <v>231</v>
      </c>
      <c r="L398" s="100" t="s">
        <v>628</v>
      </c>
      <c r="M398" s="219" t="s">
        <v>1283</v>
      </c>
      <c r="N398" s="212" t="s">
        <v>1284</v>
      </c>
      <c r="O398" s="217">
        <v>1</v>
      </c>
      <c r="P398" s="220" t="s">
        <v>908</v>
      </c>
      <c r="Q398" s="287">
        <v>30</v>
      </c>
      <c r="R398" s="188">
        <v>0.2</v>
      </c>
      <c r="S398" s="79">
        <v>24</v>
      </c>
      <c r="T398" s="203"/>
      <c r="U398" s="203"/>
      <c r="V398" s="238" t="s">
        <v>669</v>
      </c>
      <c r="W398" s="83" t="s">
        <v>231</v>
      </c>
      <c r="X398" s="100" t="s">
        <v>628</v>
      </c>
    </row>
    <row r="399" spans="1:24" ht="15" customHeight="1">
      <c r="A399" s="219" t="s">
        <v>1285</v>
      </c>
      <c r="B399" s="212" t="s">
        <v>1286</v>
      </c>
      <c r="C399" s="217">
        <v>1</v>
      </c>
      <c r="D399" s="220" t="s">
        <v>908</v>
      </c>
      <c r="E399" s="287">
        <v>35</v>
      </c>
      <c r="F399" s="188">
        <f t="shared" si="75"/>
        <v>0.2</v>
      </c>
      <c r="G399" s="79">
        <f t="shared" si="76"/>
        <v>28</v>
      </c>
      <c r="H399" s="203"/>
      <c r="I399" s="203"/>
      <c r="J399" s="238" t="s">
        <v>669</v>
      </c>
      <c r="K399" s="83" t="s">
        <v>231</v>
      </c>
      <c r="L399" s="100" t="s">
        <v>628</v>
      </c>
      <c r="M399" s="219" t="s">
        <v>1285</v>
      </c>
      <c r="N399" s="212" t="s">
        <v>1286</v>
      </c>
      <c r="O399" s="217">
        <v>1</v>
      </c>
      <c r="P399" s="220" t="s">
        <v>908</v>
      </c>
      <c r="Q399" s="287">
        <v>35</v>
      </c>
      <c r="R399" s="188">
        <v>0.2</v>
      </c>
      <c r="S399" s="79">
        <v>28</v>
      </c>
      <c r="T399" s="203"/>
      <c r="U399" s="203"/>
      <c r="V399" s="238" t="s">
        <v>669</v>
      </c>
      <c r="W399" s="83" t="s">
        <v>231</v>
      </c>
      <c r="X399" s="100" t="s">
        <v>628</v>
      </c>
    </row>
    <row r="400" spans="1:24">
      <c r="A400" s="219" t="s">
        <v>1287</v>
      </c>
      <c r="B400" s="212" t="s">
        <v>1288</v>
      </c>
      <c r="C400" s="217">
        <v>1</v>
      </c>
      <c r="D400" s="220" t="s">
        <v>908</v>
      </c>
      <c r="E400" s="287">
        <v>38</v>
      </c>
      <c r="F400" s="188">
        <f t="shared" si="75"/>
        <v>0.2</v>
      </c>
      <c r="G400" s="79">
        <f t="shared" si="76"/>
        <v>30.4</v>
      </c>
      <c r="H400" s="203"/>
      <c r="I400" s="203"/>
      <c r="J400" s="238" t="s">
        <v>669</v>
      </c>
      <c r="K400" s="83" t="s">
        <v>231</v>
      </c>
      <c r="L400" s="100" t="s">
        <v>628</v>
      </c>
      <c r="M400" s="219" t="s">
        <v>1287</v>
      </c>
      <c r="N400" s="212" t="s">
        <v>1288</v>
      </c>
      <c r="O400" s="217">
        <v>1</v>
      </c>
      <c r="P400" s="220" t="s">
        <v>908</v>
      </c>
      <c r="Q400" s="287">
        <v>38</v>
      </c>
      <c r="R400" s="188">
        <v>0.2</v>
      </c>
      <c r="S400" s="79">
        <v>30.4</v>
      </c>
      <c r="T400" s="203"/>
      <c r="U400" s="203"/>
      <c r="V400" s="238" t="s">
        <v>669</v>
      </c>
      <c r="W400" s="83" t="s">
        <v>231</v>
      </c>
      <c r="X400" s="100" t="s">
        <v>628</v>
      </c>
    </row>
    <row r="401" spans="1:24" s="1" customFormat="1">
      <c r="A401" s="219" t="s">
        <v>1289</v>
      </c>
      <c r="B401" s="205" t="s">
        <v>1290</v>
      </c>
      <c r="C401" s="206">
        <v>1</v>
      </c>
      <c r="D401" s="226" t="s">
        <v>1291</v>
      </c>
      <c r="E401" s="287">
        <v>29.99</v>
      </c>
      <c r="F401" s="188">
        <f t="shared" ref="F401:F406" si="77">rv_20</f>
        <v>0.2</v>
      </c>
      <c r="G401" s="62">
        <f t="shared" si="76"/>
        <v>23.991999999999997</v>
      </c>
      <c r="H401" s="86"/>
      <c r="I401" s="186"/>
      <c r="J401" s="238" t="s">
        <v>669</v>
      </c>
      <c r="K401" s="83" t="s">
        <v>231</v>
      </c>
      <c r="L401" s="100" t="s">
        <v>628</v>
      </c>
      <c r="M401" s="219" t="s">
        <v>1289</v>
      </c>
      <c r="N401" s="205" t="s">
        <v>1290</v>
      </c>
      <c r="O401" s="206">
        <v>1</v>
      </c>
      <c r="P401" s="226" t="s">
        <v>1291</v>
      </c>
      <c r="Q401" s="287">
        <v>29.99</v>
      </c>
      <c r="R401" s="188">
        <v>0.2</v>
      </c>
      <c r="S401" s="62">
        <v>23.991999999999997</v>
      </c>
      <c r="T401" s="86"/>
      <c r="U401" s="186"/>
      <c r="V401" s="238" t="s">
        <v>669</v>
      </c>
      <c r="W401" s="83" t="s">
        <v>231</v>
      </c>
      <c r="X401" s="100" t="s">
        <v>628</v>
      </c>
    </row>
    <row r="402" spans="1:24" s="1" customFormat="1">
      <c r="A402" s="219" t="s">
        <v>1292</v>
      </c>
      <c r="B402" s="205" t="s">
        <v>1293</v>
      </c>
      <c r="C402" s="206">
        <v>1</v>
      </c>
      <c r="D402" s="226" t="s">
        <v>1291</v>
      </c>
      <c r="E402" s="287">
        <v>29.99</v>
      </c>
      <c r="F402" s="188">
        <f t="shared" si="77"/>
        <v>0.2</v>
      </c>
      <c r="G402" s="62">
        <f t="shared" si="76"/>
        <v>23.991999999999997</v>
      </c>
      <c r="H402" s="86"/>
      <c r="I402" s="186"/>
      <c r="J402" s="238" t="s">
        <v>669</v>
      </c>
      <c r="K402" s="83" t="s">
        <v>231</v>
      </c>
      <c r="L402" s="100" t="s">
        <v>628</v>
      </c>
      <c r="M402" s="219" t="s">
        <v>1292</v>
      </c>
      <c r="N402" s="205" t="s">
        <v>1293</v>
      </c>
      <c r="O402" s="206">
        <v>1</v>
      </c>
      <c r="P402" s="226" t="s">
        <v>1291</v>
      </c>
      <c r="Q402" s="287">
        <v>29.99</v>
      </c>
      <c r="R402" s="188">
        <v>0.2</v>
      </c>
      <c r="S402" s="62">
        <v>23.991999999999997</v>
      </c>
      <c r="T402" s="86"/>
      <c r="U402" s="186"/>
      <c r="V402" s="238" t="s">
        <v>669</v>
      </c>
      <c r="W402" s="83" t="s">
        <v>231</v>
      </c>
      <c r="X402" s="100" t="s">
        <v>628</v>
      </c>
    </row>
    <row r="403" spans="1:24" s="1" customFormat="1">
      <c r="A403" s="219" t="s">
        <v>1294</v>
      </c>
      <c r="B403" s="205" t="s">
        <v>1295</v>
      </c>
      <c r="C403" s="206">
        <v>1</v>
      </c>
      <c r="D403" s="226" t="s">
        <v>1291</v>
      </c>
      <c r="E403" s="287">
        <v>34.99</v>
      </c>
      <c r="F403" s="188">
        <f t="shared" si="77"/>
        <v>0.2</v>
      </c>
      <c r="G403" s="62">
        <f t="shared" si="76"/>
        <v>27.992000000000001</v>
      </c>
      <c r="H403" s="86"/>
      <c r="I403" s="186"/>
      <c r="J403" s="238" t="s">
        <v>669</v>
      </c>
      <c r="K403" s="83" t="s">
        <v>231</v>
      </c>
      <c r="L403" s="100" t="s">
        <v>628</v>
      </c>
      <c r="M403" s="219" t="s">
        <v>1294</v>
      </c>
      <c r="N403" s="205" t="s">
        <v>1295</v>
      </c>
      <c r="O403" s="206">
        <v>1</v>
      </c>
      <c r="P403" s="226" t="s">
        <v>1291</v>
      </c>
      <c r="Q403" s="287">
        <v>34.99</v>
      </c>
      <c r="R403" s="188">
        <v>0.2</v>
      </c>
      <c r="S403" s="62">
        <v>27.992000000000001</v>
      </c>
      <c r="T403" s="86"/>
      <c r="U403" s="186"/>
      <c r="V403" s="238" t="s">
        <v>669</v>
      </c>
      <c r="W403" s="83" t="s">
        <v>231</v>
      </c>
      <c r="X403" s="100" t="s">
        <v>628</v>
      </c>
    </row>
    <row r="404" spans="1:24" s="1" customFormat="1">
      <c r="A404" s="219" t="s">
        <v>1296</v>
      </c>
      <c r="B404" s="205" t="s">
        <v>1297</v>
      </c>
      <c r="C404" s="206">
        <v>1</v>
      </c>
      <c r="D404" s="226" t="s">
        <v>1291</v>
      </c>
      <c r="E404" s="287">
        <v>29.99</v>
      </c>
      <c r="F404" s="188">
        <f t="shared" si="77"/>
        <v>0.2</v>
      </c>
      <c r="G404" s="62">
        <f t="shared" si="76"/>
        <v>23.991999999999997</v>
      </c>
      <c r="H404" s="86"/>
      <c r="I404" s="186"/>
      <c r="J404" s="238" t="s">
        <v>669</v>
      </c>
      <c r="K404" s="83" t="s">
        <v>231</v>
      </c>
      <c r="L404" s="100" t="s">
        <v>628</v>
      </c>
      <c r="M404" s="219" t="s">
        <v>1296</v>
      </c>
      <c r="N404" s="205" t="s">
        <v>1297</v>
      </c>
      <c r="O404" s="206">
        <v>1</v>
      </c>
      <c r="P404" s="226" t="s">
        <v>1291</v>
      </c>
      <c r="Q404" s="287">
        <v>29.99</v>
      </c>
      <c r="R404" s="188">
        <v>0.2</v>
      </c>
      <c r="S404" s="62">
        <v>23.991999999999997</v>
      </c>
      <c r="T404" s="86"/>
      <c r="U404" s="186"/>
      <c r="V404" s="238" t="s">
        <v>669</v>
      </c>
      <c r="W404" s="83" t="s">
        <v>231</v>
      </c>
      <c r="X404" s="100" t="s">
        <v>628</v>
      </c>
    </row>
    <row r="405" spans="1:24" s="1" customFormat="1">
      <c r="A405" s="219" t="s">
        <v>1298</v>
      </c>
      <c r="B405" s="205" t="s">
        <v>2876</v>
      </c>
      <c r="C405" s="206">
        <v>1</v>
      </c>
      <c r="D405" s="226" t="s">
        <v>1291</v>
      </c>
      <c r="E405" s="287">
        <v>29.99</v>
      </c>
      <c r="F405" s="188">
        <f t="shared" si="77"/>
        <v>0.2</v>
      </c>
      <c r="G405" s="62">
        <f t="shared" si="76"/>
        <v>23.991999999999997</v>
      </c>
      <c r="H405" s="86"/>
      <c r="I405" s="186"/>
      <c r="J405" s="238" t="s">
        <v>669</v>
      </c>
      <c r="K405" s="83" t="s">
        <v>231</v>
      </c>
      <c r="L405" s="100" t="s">
        <v>628</v>
      </c>
      <c r="M405" s="219" t="s">
        <v>1298</v>
      </c>
      <c r="N405" s="205" t="s">
        <v>2876</v>
      </c>
      <c r="O405" s="206">
        <v>1</v>
      </c>
      <c r="P405" s="226" t="s">
        <v>1291</v>
      </c>
      <c r="Q405" s="287">
        <v>29.99</v>
      </c>
      <c r="R405" s="188">
        <v>0.2</v>
      </c>
      <c r="S405" s="62">
        <v>23.991999999999997</v>
      </c>
      <c r="T405" s="86"/>
      <c r="U405" s="186"/>
      <c r="V405" s="238" t="s">
        <v>669</v>
      </c>
      <c r="W405" s="83" t="s">
        <v>231</v>
      </c>
      <c r="X405" s="100" t="s">
        <v>628</v>
      </c>
    </row>
    <row r="406" spans="1:24" s="93" customFormat="1">
      <c r="A406" s="219" t="s">
        <v>1299</v>
      </c>
      <c r="B406" s="205" t="s">
        <v>2877</v>
      </c>
      <c r="C406" s="206">
        <v>1</v>
      </c>
      <c r="D406" s="226" t="s">
        <v>1291</v>
      </c>
      <c r="E406" s="287">
        <v>34.99</v>
      </c>
      <c r="F406" s="188">
        <f t="shared" si="77"/>
        <v>0.2</v>
      </c>
      <c r="G406" s="62">
        <f t="shared" si="76"/>
        <v>27.992000000000001</v>
      </c>
      <c r="H406" s="86"/>
      <c r="I406" s="186"/>
      <c r="J406" s="238" t="s">
        <v>669</v>
      </c>
      <c r="K406" s="83" t="s">
        <v>231</v>
      </c>
      <c r="L406" s="100" t="s">
        <v>628</v>
      </c>
      <c r="M406" s="219" t="s">
        <v>1299</v>
      </c>
      <c r="N406" s="205" t="s">
        <v>2877</v>
      </c>
      <c r="O406" s="206">
        <v>1</v>
      </c>
      <c r="P406" s="226" t="s">
        <v>1291</v>
      </c>
      <c r="Q406" s="287">
        <v>34.99</v>
      </c>
      <c r="R406" s="188">
        <v>0.2</v>
      </c>
      <c r="S406" s="62">
        <v>27.992000000000001</v>
      </c>
      <c r="T406" s="86"/>
      <c r="U406" s="186"/>
      <c r="V406" s="238" t="s">
        <v>669</v>
      </c>
      <c r="W406" s="83" t="s">
        <v>231</v>
      </c>
      <c r="X406" s="100" t="s">
        <v>628</v>
      </c>
    </row>
    <row r="407" spans="1:24" s="1" customFormat="1">
      <c r="A407" s="219" t="s">
        <v>1300</v>
      </c>
      <c r="B407" s="205" t="s">
        <v>1301</v>
      </c>
      <c r="C407" s="206">
        <v>1</v>
      </c>
      <c r="D407" s="226" t="s">
        <v>1302</v>
      </c>
      <c r="E407" s="287">
        <v>127.93</v>
      </c>
      <c r="F407" s="188">
        <f t="shared" ref="F407:F412" si="78">rv_20</f>
        <v>0.2</v>
      </c>
      <c r="G407" s="62">
        <f t="shared" si="76"/>
        <v>102.34400000000001</v>
      </c>
      <c r="H407" s="86"/>
      <c r="I407" s="186"/>
      <c r="J407" s="238" t="s">
        <v>669</v>
      </c>
      <c r="K407" s="83" t="s">
        <v>231</v>
      </c>
      <c r="L407" s="100" t="s">
        <v>628</v>
      </c>
      <c r="M407" s="219" t="s">
        <v>1300</v>
      </c>
      <c r="N407" s="205" t="s">
        <v>1301</v>
      </c>
      <c r="O407" s="206">
        <v>1</v>
      </c>
      <c r="P407" s="226" t="s">
        <v>1302</v>
      </c>
      <c r="Q407" s="287">
        <v>127.93</v>
      </c>
      <c r="R407" s="188">
        <v>0.2</v>
      </c>
      <c r="S407" s="62">
        <v>102.34400000000001</v>
      </c>
      <c r="T407" s="86"/>
      <c r="U407" s="186"/>
      <c r="V407" s="238" t="s">
        <v>669</v>
      </c>
      <c r="W407" s="83" t="s">
        <v>231</v>
      </c>
      <c r="X407" s="100" t="s">
        <v>628</v>
      </c>
    </row>
    <row r="408" spans="1:24" s="1" customFormat="1">
      <c r="A408" s="219" t="s">
        <v>1303</v>
      </c>
      <c r="B408" s="205" t="s">
        <v>1304</v>
      </c>
      <c r="C408" s="206">
        <v>1</v>
      </c>
      <c r="D408" s="226" t="s">
        <v>1302</v>
      </c>
      <c r="E408" s="287">
        <v>149.29</v>
      </c>
      <c r="F408" s="188">
        <f t="shared" si="78"/>
        <v>0.2</v>
      </c>
      <c r="G408" s="62">
        <f t="shared" si="76"/>
        <v>119.43199999999999</v>
      </c>
      <c r="H408" s="86"/>
      <c r="I408" s="186"/>
      <c r="J408" s="238" t="s">
        <v>669</v>
      </c>
      <c r="K408" s="83" t="s">
        <v>231</v>
      </c>
      <c r="L408" s="100" t="s">
        <v>628</v>
      </c>
      <c r="M408" s="219" t="s">
        <v>1303</v>
      </c>
      <c r="N408" s="205" t="s">
        <v>1304</v>
      </c>
      <c r="O408" s="206">
        <v>1</v>
      </c>
      <c r="P408" s="226" t="s">
        <v>1302</v>
      </c>
      <c r="Q408" s="287">
        <v>149.29</v>
      </c>
      <c r="R408" s="188">
        <v>0.2</v>
      </c>
      <c r="S408" s="62">
        <v>119.43199999999999</v>
      </c>
      <c r="T408" s="86"/>
      <c r="U408" s="186"/>
      <c r="V408" s="238" t="s">
        <v>669</v>
      </c>
      <c r="W408" s="83" t="s">
        <v>231</v>
      </c>
      <c r="X408" s="100" t="s">
        <v>628</v>
      </c>
    </row>
    <row r="409" spans="1:24" s="1" customFormat="1">
      <c r="A409" s="219" t="s">
        <v>1305</v>
      </c>
      <c r="B409" s="205" t="s">
        <v>1306</v>
      </c>
      <c r="C409" s="206">
        <v>1</v>
      </c>
      <c r="D409" s="226" t="s">
        <v>1302</v>
      </c>
      <c r="E409" s="287">
        <v>65.13</v>
      </c>
      <c r="F409" s="188">
        <f t="shared" si="78"/>
        <v>0.2</v>
      </c>
      <c r="G409" s="62">
        <f t="shared" si="76"/>
        <v>52.103999999999999</v>
      </c>
      <c r="H409" s="86"/>
      <c r="I409" s="186"/>
      <c r="J409" s="238" t="s">
        <v>669</v>
      </c>
      <c r="K409" s="83" t="s">
        <v>231</v>
      </c>
      <c r="L409" s="100" t="s">
        <v>628</v>
      </c>
      <c r="M409" s="219" t="s">
        <v>1305</v>
      </c>
      <c r="N409" s="205" t="s">
        <v>1306</v>
      </c>
      <c r="O409" s="206">
        <v>1</v>
      </c>
      <c r="P409" s="226" t="s">
        <v>1302</v>
      </c>
      <c r="Q409" s="287">
        <v>65.13</v>
      </c>
      <c r="R409" s="188">
        <v>0.2</v>
      </c>
      <c r="S409" s="62">
        <v>52.103999999999999</v>
      </c>
      <c r="T409" s="86"/>
      <c r="U409" s="186"/>
      <c r="V409" s="238" t="s">
        <v>669</v>
      </c>
      <c r="W409" s="83" t="s">
        <v>231</v>
      </c>
      <c r="X409" s="100" t="s">
        <v>628</v>
      </c>
    </row>
    <row r="410" spans="1:24" s="1" customFormat="1">
      <c r="A410" s="219" t="s">
        <v>1307</v>
      </c>
      <c r="B410" s="205" t="s">
        <v>1308</v>
      </c>
      <c r="C410" s="206">
        <v>1</v>
      </c>
      <c r="D410" s="226" t="s">
        <v>1302</v>
      </c>
      <c r="E410" s="287">
        <v>67.23</v>
      </c>
      <c r="F410" s="188">
        <f t="shared" si="78"/>
        <v>0.2</v>
      </c>
      <c r="G410" s="62">
        <f t="shared" si="76"/>
        <v>53.784000000000006</v>
      </c>
      <c r="H410" s="86"/>
      <c r="I410" s="186"/>
      <c r="J410" s="238" t="s">
        <v>669</v>
      </c>
      <c r="K410" s="83" t="s">
        <v>231</v>
      </c>
      <c r="L410" s="100" t="s">
        <v>628</v>
      </c>
      <c r="M410" s="219" t="s">
        <v>1307</v>
      </c>
      <c r="N410" s="205" t="s">
        <v>1308</v>
      </c>
      <c r="O410" s="206">
        <v>1</v>
      </c>
      <c r="P410" s="226" t="s">
        <v>1302</v>
      </c>
      <c r="Q410" s="287">
        <v>67.23</v>
      </c>
      <c r="R410" s="188">
        <v>0.2</v>
      </c>
      <c r="S410" s="62">
        <v>53.784000000000006</v>
      </c>
      <c r="T410" s="86"/>
      <c r="U410" s="186"/>
      <c r="V410" s="238" t="s">
        <v>669</v>
      </c>
      <c r="W410" s="83" t="s">
        <v>231</v>
      </c>
      <c r="X410" s="100" t="s">
        <v>628</v>
      </c>
    </row>
    <row r="411" spans="1:24" s="1" customFormat="1">
      <c r="A411" s="219" t="s">
        <v>1309</v>
      </c>
      <c r="B411" s="205" t="s">
        <v>1310</v>
      </c>
      <c r="C411" s="206">
        <v>1</v>
      </c>
      <c r="D411" s="226" t="s">
        <v>1302</v>
      </c>
      <c r="E411" s="287">
        <v>88.23</v>
      </c>
      <c r="F411" s="188">
        <f t="shared" si="78"/>
        <v>0.2</v>
      </c>
      <c r="G411" s="62">
        <f t="shared" si="76"/>
        <v>70.584000000000003</v>
      </c>
      <c r="H411" s="86"/>
      <c r="I411" s="186"/>
      <c r="J411" s="238" t="s">
        <v>669</v>
      </c>
      <c r="K411" s="83" t="s">
        <v>231</v>
      </c>
      <c r="L411" s="100" t="s">
        <v>628</v>
      </c>
      <c r="M411" s="219" t="s">
        <v>1309</v>
      </c>
      <c r="N411" s="205" t="s">
        <v>1310</v>
      </c>
      <c r="O411" s="206">
        <v>1</v>
      </c>
      <c r="P411" s="226" t="s">
        <v>1302</v>
      </c>
      <c r="Q411" s="287">
        <v>88.23</v>
      </c>
      <c r="R411" s="188">
        <v>0.2</v>
      </c>
      <c r="S411" s="62">
        <v>70.584000000000003</v>
      </c>
      <c r="T411" s="86"/>
      <c r="U411" s="186"/>
      <c r="V411" s="238" t="s">
        <v>669</v>
      </c>
      <c r="W411" s="83" t="s">
        <v>231</v>
      </c>
      <c r="X411" s="100" t="s">
        <v>628</v>
      </c>
    </row>
    <row r="412" spans="1:24" s="1" customFormat="1">
      <c r="A412" s="219" t="s">
        <v>1311</v>
      </c>
      <c r="B412" s="205" t="s">
        <v>1312</v>
      </c>
      <c r="C412" s="206">
        <v>1</v>
      </c>
      <c r="D412" s="226" t="s">
        <v>1302</v>
      </c>
      <c r="E412" s="287">
        <v>100.84</v>
      </c>
      <c r="F412" s="188">
        <f t="shared" si="78"/>
        <v>0.2</v>
      </c>
      <c r="G412" s="62">
        <f t="shared" si="76"/>
        <v>80.671999999999997</v>
      </c>
      <c r="H412" s="86"/>
      <c r="I412" s="186"/>
      <c r="J412" s="238" t="s">
        <v>669</v>
      </c>
      <c r="K412" s="83" t="s">
        <v>231</v>
      </c>
      <c r="L412" s="100" t="s">
        <v>628</v>
      </c>
      <c r="M412" s="219" t="s">
        <v>1311</v>
      </c>
      <c r="N412" s="205" t="s">
        <v>1312</v>
      </c>
      <c r="O412" s="206">
        <v>1</v>
      </c>
      <c r="P412" s="226" t="s">
        <v>1302</v>
      </c>
      <c r="Q412" s="287">
        <v>100.84</v>
      </c>
      <c r="R412" s="188">
        <v>0.2</v>
      </c>
      <c r="S412" s="62">
        <v>80.671999999999997</v>
      </c>
      <c r="T412" s="86"/>
      <c r="U412" s="186"/>
      <c r="V412" s="238" t="s">
        <v>669</v>
      </c>
      <c r="W412" s="83" t="s">
        <v>231</v>
      </c>
      <c r="X412" s="100" t="s">
        <v>628</v>
      </c>
    </row>
    <row r="413" spans="1:24" s="1" customFormat="1">
      <c r="A413" s="219" t="s">
        <v>1313</v>
      </c>
      <c r="B413" s="205" t="s">
        <v>1314</v>
      </c>
      <c r="C413" s="206">
        <v>1</v>
      </c>
      <c r="D413" s="226" t="s">
        <v>1291</v>
      </c>
      <c r="E413" s="287">
        <v>29.16</v>
      </c>
      <c r="F413" s="188">
        <f t="shared" ref="F413" si="79">rv_20</f>
        <v>0.2</v>
      </c>
      <c r="G413" s="62">
        <f t="shared" si="76"/>
        <v>23.327999999999999</v>
      </c>
      <c r="H413" s="86"/>
      <c r="I413" s="186"/>
      <c r="J413" s="238" t="s">
        <v>669</v>
      </c>
      <c r="K413" s="83" t="s">
        <v>231</v>
      </c>
      <c r="L413" s="100" t="s">
        <v>628</v>
      </c>
      <c r="M413" s="219" t="s">
        <v>1313</v>
      </c>
      <c r="N413" s="205" t="s">
        <v>1314</v>
      </c>
      <c r="O413" s="206">
        <v>1</v>
      </c>
      <c r="P413" s="226" t="s">
        <v>1291</v>
      </c>
      <c r="Q413" s="287">
        <v>29.16</v>
      </c>
      <c r="R413" s="188">
        <v>0.2</v>
      </c>
      <c r="S413" s="62">
        <v>23.327999999999999</v>
      </c>
      <c r="T413" s="86"/>
      <c r="U413" s="186"/>
      <c r="V413" s="238" t="s">
        <v>669</v>
      </c>
      <c r="W413" s="83" t="s">
        <v>231</v>
      </c>
      <c r="X413" s="100" t="s">
        <v>628</v>
      </c>
    </row>
    <row r="414" spans="1:24" s="93" customFormat="1">
      <c r="A414" s="219" t="s">
        <v>1315</v>
      </c>
      <c r="B414" s="205" t="s">
        <v>1316</v>
      </c>
      <c r="C414" s="206">
        <v>1</v>
      </c>
      <c r="D414" s="226" t="s">
        <v>1291</v>
      </c>
      <c r="E414" s="287">
        <v>29.16</v>
      </c>
      <c r="F414" s="188">
        <f t="shared" ref="F414:F424" si="80">rv_10</f>
        <v>0.1</v>
      </c>
      <c r="G414" s="62">
        <f t="shared" ref="G414:G437" si="81">E414-(E414*F414)</f>
        <v>26.244</v>
      </c>
      <c r="H414" s="86"/>
      <c r="I414" s="186"/>
      <c r="J414" s="238" t="s">
        <v>669</v>
      </c>
      <c r="K414" s="83" t="s">
        <v>231</v>
      </c>
      <c r="L414" s="100" t="s">
        <v>628</v>
      </c>
      <c r="M414" s="219" t="s">
        <v>1315</v>
      </c>
      <c r="N414" s="205" t="s">
        <v>1316</v>
      </c>
      <c r="O414" s="206">
        <v>1</v>
      </c>
      <c r="P414" s="226" t="s">
        <v>1291</v>
      </c>
      <c r="Q414" s="287">
        <v>29.16</v>
      </c>
      <c r="R414" s="188">
        <v>0.1</v>
      </c>
      <c r="S414" s="62">
        <v>26.244</v>
      </c>
      <c r="T414" s="86"/>
      <c r="U414" s="186"/>
      <c r="V414" s="238" t="s">
        <v>669</v>
      </c>
      <c r="W414" s="83" t="s">
        <v>231</v>
      </c>
      <c r="X414" s="100" t="s">
        <v>628</v>
      </c>
    </row>
    <row r="415" spans="1:24" s="93" customFormat="1">
      <c r="A415" s="219" t="s">
        <v>1317</v>
      </c>
      <c r="B415" s="205" t="s">
        <v>1318</v>
      </c>
      <c r="C415" s="206">
        <v>1</v>
      </c>
      <c r="D415" s="226" t="s">
        <v>1291</v>
      </c>
      <c r="E415" s="287">
        <v>29.16</v>
      </c>
      <c r="F415" s="188">
        <f t="shared" si="80"/>
        <v>0.1</v>
      </c>
      <c r="G415" s="62">
        <f t="shared" si="81"/>
        <v>26.244</v>
      </c>
      <c r="H415" s="86"/>
      <c r="I415" s="186"/>
      <c r="J415" s="238" t="s">
        <v>669</v>
      </c>
      <c r="K415" s="83" t="s">
        <v>231</v>
      </c>
      <c r="L415" s="100" t="s">
        <v>628</v>
      </c>
      <c r="M415" s="219" t="s">
        <v>1317</v>
      </c>
      <c r="N415" s="205" t="s">
        <v>1318</v>
      </c>
      <c r="O415" s="206">
        <v>1</v>
      </c>
      <c r="P415" s="226" t="s">
        <v>1291</v>
      </c>
      <c r="Q415" s="287">
        <v>29.16</v>
      </c>
      <c r="R415" s="188">
        <v>0.1</v>
      </c>
      <c r="S415" s="62">
        <v>26.244</v>
      </c>
      <c r="T415" s="86"/>
      <c r="U415" s="186"/>
      <c r="V415" s="238" t="s">
        <v>669</v>
      </c>
      <c r="W415" s="83" t="s">
        <v>231</v>
      </c>
      <c r="X415" s="100" t="s">
        <v>628</v>
      </c>
    </row>
    <row r="416" spans="1:24" s="93" customFormat="1">
      <c r="A416" s="219" t="s">
        <v>1319</v>
      </c>
      <c r="B416" s="205" t="s">
        <v>1320</v>
      </c>
      <c r="C416" s="206">
        <v>1</v>
      </c>
      <c r="D416" s="226" t="s">
        <v>1291</v>
      </c>
      <c r="E416" s="287">
        <v>29.16</v>
      </c>
      <c r="F416" s="188">
        <f t="shared" si="80"/>
        <v>0.1</v>
      </c>
      <c r="G416" s="62">
        <f t="shared" si="81"/>
        <v>26.244</v>
      </c>
      <c r="H416" s="86"/>
      <c r="I416" s="186"/>
      <c r="J416" s="238" t="s">
        <v>669</v>
      </c>
      <c r="K416" s="83" t="s">
        <v>231</v>
      </c>
      <c r="L416" s="100" t="s">
        <v>628</v>
      </c>
      <c r="M416" s="219" t="s">
        <v>1319</v>
      </c>
      <c r="N416" s="205" t="s">
        <v>1320</v>
      </c>
      <c r="O416" s="206">
        <v>1</v>
      </c>
      <c r="P416" s="226" t="s">
        <v>1291</v>
      </c>
      <c r="Q416" s="287">
        <v>29.16</v>
      </c>
      <c r="R416" s="188">
        <v>0.1</v>
      </c>
      <c r="S416" s="62">
        <v>26.244</v>
      </c>
      <c r="T416" s="86"/>
      <c r="U416" s="186"/>
      <c r="V416" s="238" t="s">
        <v>669</v>
      </c>
      <c r="W416" s="83" t="s">
        <v>231</v>
      </c>
      <c r="X416" s="100" t="s">
        <v>628</v>
      </c>
    </row>
    <row r="417" spans="1:24" s="1" customFormat="1">
      <c r="A417" s="219" t="s">
        <v>1321</v>
      </c>
      <c r="B417" s="205" t="s">
        <v>1322</v>
      </c>
      <c r="C417" s="206">
        <v>1</v>
      </c>
      <c r="D417" s="226" t="s">
        <v>1291</v>
      </c>
      <c r="E417" s="287">
        <v>29.16</v>
      </c>
      <c r="F417" s="188">
        <f t="shared" si="80"/>
        <v>0.1</v>
      </c>
      <c r="G417" s="62">
        <f t="shared" si="81"/>
        <v>26.244</v>
      </c>
      <c r="H417" s="86"/>
      <c r="I417" s="186"/>
      <c r="J417" s="238" t="s">
        <v>669</v>
      </c>
      <c r="K417" s="83" t="s">
        <v>231</v>
      </c>
      <c r="L417" s="100" t="s">
        <v>628</v>
      </c>
      <c r="M417" s="219" t="s">
        <v>1321</v>
      </c>
      <c r="N417" s="205" t="s">
        <v>1322</v>
      </c>
      <c r="O417" s="206">
        <v>1</v>
      </c>
      <c r="P417" s="226" t="s">
        <v>1291</v>
      </c>
      <c r="Q417" s="287">
        <v>29.16</v>
      </c>
      <c r="R417" s="188">
        <v>0.1</v>
      </c>
      <c r="S417" s="62">
        <v>26.244</v>
      </c>
      <c r="T417" s="86"/>
      <c r="U417" s="186"/>
      <c r="V417" s="238" t="s">
        <v>669</v>
      </c>
      <c r="W417" s="83" t="s">
        <v>231</v>
      </c>
      <c r="X417" s="100" t="s">
        <v>628</v>
      </c>
    </row>
    <row r="418" spans="1:24" s="1" customFormat="1">
      <c r="A418" s="219" t="s">
        <v>1323</v>
      </c>
      <c r="B418" s="205" t="s">
        <v>1324</v>
      </c>
      <c r="C418" s="206">
        <v>1</v>
      </c>
      <c r="D418" s="226" t="s">
        <v>1291</v>
      </c>
      <c r="E418" s="287">
        <v>29.16</v>
      </c>
      <c r="F418" s="188">
        <f t="shared" si="80"/>
        <v>0.1</v>
      </c>
      <c r="G418" s="62">
        <f t="shared" si="81"/>
        <v>26.244</v>
      </c>
      <c r="H418" s="86"/>
      <c r="I418" s="186"/>
      <c r="J418" s="238" t="s">
        <v>669</v>
      </c>
      <c r="K418" s="83" t="s">
        <v>231</v>
      </c>
      <c r="L418" s="100" t="s">
        <v>628</v>
      </c>
      <c r="M418" s="219" t="s">
        <v>1323</v>
      </c>
      <c r="N418" s="205" t="s">
        <v>1324</v>
      </c>
      <c r="O418" s="206">
        <v>1</v>
      </c>
      <c r="P418" s="226" t="s">
        <v>1291</v>
      </c>
      <c r="Q418" s="287">
        <v>29.16</v>
      </c>
      <c r="R418" s="188">
        <v>0.1</v>
      </c>
      <c r="S418" s="62">
        <v>26.244</v>
      </c>
      <c r="T418" s="86"/>
      <c r="U418" s="186"/>
      <c r="V418" s="238" t="s">
        <v>669</v>
      </c>
      <c r="W418" s="83" t="s">
        <v>231</v>
      </c>
      <c r="X418" s="100" t="s">
        <v>628</v>
      </c>
    </row>
    <row r="419" spans="1:24" s="93" customFormat="1">
      <c r="A419" s="219" t="s">
        <v>1325</v>
      </c>
      <c r="B419" s="205" t="s">
        <v>1326</v>
      </c>
      <c r="C419" s="206">
        <v>1</v>
      </c>
      <c r="D419" s="226" t="s">
        <v>1291</v>
      </c>
      <c r="E419" s="287">
        <v>29.16</v>
      </c>
      <c r="F419" s="188">
        <f t="shared" si="80"/>
        <v>0.1</v>
      </c>
      <c r="G419" s="62">
        <f t="shared" si="81"/>
        <v>26.244</v>
      </c>
      <c r="H419" s="86"/>
      <c r="I419" s="186"/>
      <c r="J419" s="238" t="s">
        <v>669</v>
      </c>
      <c r="K419" s="83" t="s">
        <v>231</v>
      </c>
      <c r="L419" s="100" t="s">
        <v>628</v>
      </c>
      <c r="M419" s="219" t="s">
        <v>1325</v>
      </c>
      <c r="N419" s="205" t="s">
        <v>1326</v>
      </c>
      <c r="O419" s="206">
        <v>1</v>
      </c>
      <c r="P419" s="226" t="s">
        <v>1291</v>
      </c>
      <c r="Q419" s="287">
        <v>29.16</v>
      </c>
      <c r="R419" s="188">
        <v>0.1</v>
      </c>
      <c r="S419" s="62">
        <v>26.244</v>
      </c>
      <c r="T419" s="86"/>
      <c r="U419" s="186"/>
      <c r="V419" s="238" t="s">
        <v>669</v>
      </c>
      <c r="W419" s="83" t="s">
        <v>231</v>
      </c>
      <c r="X419" s="100" t="s">
        <v>628</v>
      </c>
    </row>
    <row r="420" spans="1:24" s="93" customFormat="1">
      <c r="A420" s="219" t="s">
        <v>1327</v>
      </c>
      <c r="B420" s="205" t="s">
        <v>1328</v>
      </c>
      <c r="C420" s="206">
        <v>1</v>
      </c>
      <c r="D420" s="226" t="s">
        <v>1291</v>
      </c>
      <c r="E420" s="287">
        <v>29.16</v>
      </c>
      <c r="F420" s="188">
        <f t="shared" si="80"/>
        <v>0.1</v>
      </c>
      <c r="G420" s="62">
        <f t="shared" si="81"/>
        <v>26.244</v>
      </c>
      <c r="H420" s="86"/>
      <c r="I420" s="186"/>
      <c r="J420" s="238" t="s">
        <v>669</v>
      </c>
      <c r="K420" s="83" t="s">
        <v>231</v>
      </c>
      <c r="L420" s="100" t="s">
        <v>628</v>
      </c>
      <c r="M420" s="219" t="s">
        <v>1327</v>
      </c>
      <c r="N420" s="205" t="s">
        <v>1328</v>
      </c>
      <c r="O420" s="206">
        <v>1</v>
      </c>
      <c r="P420" s="226" t="s">
        <v>1291</v>
      </c>
      <c r="Q420" s="287">
        <v>29.16</v>
      </c>
      <c r="R420" s="188">
        <v>0.1</v>
      </c>
      <c r="S420" s="62">
        <v>26.244</v>
      </c>
      <c r="T420" s="86"/>
      <c r="U420" s="186"/>
      <c r="V420" s="238" t="s">
        <v>669</v>
      </c>
      <c r="W420" s="83" t="s">
        <v>231</v>
      </c>
      <c r="X420" s="100" t="s">
        <v>628</v>
      </c>
    </row>
    <row r="421" spans="1:24" s="93" customFormat="1">
      <c r="A421" s="219" t="s">
        <v>1329</v>
      </c>
      <c r="B421" s="205" t="s">
        <v>2354</v>
      </c>
      <c r="C421" s="206">
        <v>1</v>
      </c>
      <c r="D421" s="226" t="s">
        <v>1291</v>
      </c>
      <c r="E421" s="287">
        <v>29.16</v>
      </c>
      <c r="F421" s="188">
        <f t="shared" si="80"/>
        <v>0.1</v>
      </c>
      <c r="G421" s="62">
        <f t="shared" si="81"/>
        <v>26.244</v>
      </c>
      <c r="H421" s="86"/>
      <c r="I421" s="186"/>
      <c r="J421" s="238" t="s">
        <v>669</v>
      </c>
      <c r="K421" s="83" t="s">
        <v>231</v>
      </c>
      <c r="L421" s="100" t="s">
        <v>628</v>
      </c>
      <c r="M421" s="219" t="s">
        <v>1329</v>
      </c>
      <c r="N421" s="205" t="s">
        <v>2354</v>
      </c>
      <c r="O421" s="206">
        <v>1</v>
      </c>
      <c r="P421" s="226" t="s">
        <v>1291</v>
      </c>
      <c r="Q421" s="287">
        <v>29.16</v>
      </c>
      <c r="R421" s="188">
        <v>0.1</v>
      </c>
      <c r="S421" s="62">
        <v>26.244</v>
      </c>
      <c r="T421" s="86"/>
      <c r="U421" s="186"/>
      <c r="V421" s="238" t="s">
        <v>669</v>
      </c>
      <c r="W421" s="83" t="s">
        <v>231</v>
      </c>
      <c r="X421" s="100" t="s">
        <v>628</v>
      </c>
    </row>
    <row r="422" spans="1:24" s="1" customFormat="1">
      <c r="A422" s="219">
        <v>400704</v>
      </c>
      <c r="B422" s="520" t="s">
        <v>1412</v>
      </c>
      <c r="C422" s="206">
        <v>1</v>
      </c>
      <c r="D422" s="226" t="s">
        <v>920</v>
      </c>
      <c r="E422" s="287">
        <v>20.83</v>
      </c>
      <c r="F422" s="188">
        <f>rv_20</f>
        <v>0.2</v>
      </c>
      <c r="G422" s="62">
        <f>E422-(E422*F422)</f>
        <v>16.663999999999998</v>
      </c>
      <c r="H422" s="86"/>
      <c r="I422" s="186"/>
      <c r="J422" s="238" t="s">
        <v>669</v>
      </c>
      <c r="K422" s="83" t="s">
        <v>231</v>
      </c>
      <c r="L422" s="100" t="s">
        <v>628</v>
      </c>
      <c r="M422" s="219">
        <v>400704</v>
      </c>
      <c r="N422" s="520" t="s">
        <v>1412</v>
      </c>
      <c r="O422" s="206">
        <v>1</v>
      </c>
      <c r="P422" s="226" t="s">
        <v>920</v>
      </c>
      <c r="Q422" s="287">
        <v>20.83</v>
      </c>
      <c r="R422" s="188">
        <v>0.2</v>
      </c>
      <c r="S422" s="62">
        <v>16.663999999999998</v>
      </c>
      <c r="T422" s="86"/>
      <c r="U422" s="186"/>
      <c r="V422" s="238" t="s">
        <v>669</v>
      </c>
      <c r="W422" s="83" t="s">
        <v>231</v>
      </c>
      <c r="X422" s="100" t="s">
        <v>628</v>
      </c>
    </row>
    <row r="423" spans="1:24" s="1" customFormat="1">
      <c r="A423" s="472">
        <v>400705</v>
      </c>
      <c r="B423" s="569" t="s">
        <v>1413</v>
      </c>
      <c r="C423" s="206">
        <v>1</v>
      </c>
      <c r="D423" s="226" t="s">
        <v>920</v>
      </c>
      <c r="E423" s="287">
        <v>22.49</v>
      </c>
      <c r="F423" s="188">
        <f>rv_20</f>
        <v>0.2</v>
      </c>
      <c r="G423" s="62">
        <f>E423-(E423*F423)</f>
        <v>17.991999999999997</v>
      </c>
      <c r="H423" s="86"/>
      <c r="I423" s="186"/>
      <c r="J423" s="238" t="s">
        <v>669</v>
      </c>
      <c r="K423" s="83" t="s">
        <v>231</v>
      </c>
      <c r="L423" s="100" t="s">
        <v>628</v>
      </c>
      <c r="M423" s="472">
        <v>400705</v>
      </c>
      <c r="N423" s="569" t="s">
        <v>1413</v>
      </c>
      <c r="O423" s="206">
        <v>1</v>
      </c>
      <c r="P423" s="226" t="s">
        <v>920</v>
      </c>
      <c r="Q423" s="287">
        <v>22.49</v>
      </c>
      <c r="R423" s="188">
        <v>0.2</v>
      </c>
      <c r="S423" s="62">
        <v>17.991999999999997</v>
      </c>
      <c r="T423" s="86"/>
      <c r="U423" s="186"/>
      <c r="V423" s="238" t="s">
        <v>669</v>
      </c>
      <c r="W423" s="83" t="s">
        <v>231</v>
      </c>
      <c r="X423" s="100" t="s">
        <v>628</v>
      </c>
    </row>
    <row r="424" spans="1:24" s="93" customFormat="1">
      <c r="A424" s="219" t="s">
        <v>1330</v>
      </c>
      <c r="B424" s="205" t="s">
        <v>1331</v>
      </c>
      <c r="C424" s="206">
        <v>1</v>
      </c>
      <c r="D424" s="226" t="s">
        <v>1332</v>
      </c>
      <c r="E424" s="287">
        <v>16.579999999999998</v>
      </c>
      <c r="F424" s="188">
        <f t="shared" si="80"/>
        <v>0.1</v>
      </c>
      <c r="G424" s="62">
        <f t="shared" si="81"/>
        <v>14.921999999999999</v>
      </c>
      <c r="H424" s="86"/>
      <c r="I424" s="186"/>
      <c r="J424" s="238" t="s">
        <v>669</v>
      </c>
      <c r="K424" s="83" t="s">
        <v>231</v>
      </c>
      <c r="L424" s="100" t="s">
        <v>628</v>
      </c>
      <c r="M424" s="219" t="s">
        <v>1330</v>
      </c>
      <c r="N424" s="205" t="s">
        <v>1331</v>
      </c>
      <c r="O424" s="206">
        <v>1</v>
      </c>
      <c r="P424" s="226" t="s">
        <v>1332</v>
      </c>
      <c r="Q424" s="287">
        <v>16.579999999999998</v>
      </c>
      <c r="R424" s="188">
        <v>0.1</v>
      </c>
      <c r="S424" s="62">
        <v>14.921999999999999</v>
      </c>
      <c r="T424" s="86"/>
      <c r="U424" s="186"/>
      <c r="V424" s="238" t="s">
        <v>669</v>
      </c>
      <c r="W424" s="83" t="s">
        <v>231</v>
      </c>
      <c r="X424" s="100" t="s">
        <v>628</v>
      </c>
    </row>
    <row r="425" spans="1:24" s="1" customFormat="1">
      <c r="A425" s="219" t="s">
        <v>1333</v>
      </c>
      <c r="B425" s="205" t="s">
        <v>2470</v>
      </c>
      <c r="C425" s="206">
        <v>1</v>
      </c>
      <c r="D425" s="226" t="s">
        <v>1291</v>
      </c>
      <c r="E425" s="287">
        <v>24.99</v>
      </c>
      <c r="F425" s="188">
        <f t="shared" ref="F425:F445" si="82">rv_20</f>
        <v>0.2</v>
      </c>
      <c r="G425" s="62">
        <f t="shared" si="81"/>
        <v>19.991999999999997</v>
      </c>
      <c r="H425" s="86"/>
      <c r="I425" s="186"/>
      <c r="J425" s="238" t="s">
        <v>669</v>
      </c>
      <c r="K425" s="83" t="s">
        <v>231</v>
      </c>
      <c r="L425" s="100" t="s">
        <v>628</v>
      </c>
      <c r="M425" s="219" t="s">
        <v>1333</v>
      </c>
      <c r="N425" s="205" t="s">
        <v>2470</v>
      </c>
      <c r="O425" s="206">
        <v>1</v>
      </c>
      <c r="P425" s="226" t="s">
        <v>1291</v>
      </c>
      <c r="Q425" s="287">
        <v>24.99</v>
      </c>
      <c r="R425" s="188">
        <v>0.2</v>
      </c>
      <c r="S425" s="62">
        <v>19.991999999999997</v>
      </c>
      <c r="T425" s="86"/>
      <c r="U425" s="186"/>
      <c r="V425" s="238" t="s">
        <v>669</v>
      </c>
      <c r="W425" s="83" t="s">
        <v>231</v>
      </c>
      <c r="X425" s="100" t="s">
        <v>628</v>
      </c>
    </row>
    <row r="426" spans="1:24" s="1" customFormat="1">
      <c r="A426" s="219" t="s">
        <v>1335</v>
      </c>
      <c r="B426" s="205" t="s">
        <v>2467</v>
      </c>
      <c r="C426" s="206">
        <v>1</v>
      </c>
      <c r="D426" s="226" t="s">
        <v>1291</v>
      </c>
      <c r="E426" s="287">
        <v>24.99</v>
      </c>
      <c r="F426" s="188">
        <f t="shared" si="82"/>
        <v>0.2</v>
      </c>
      <c r="G426" s="62">
        <f t="shared" si="81"/>
        <v>19.991999999999997</v>
      </c>
      <c r="H426" s="86"/>
      <c r="I426" s="186"/>
      <c r="J426" s="238" t="s">
        <v>669</v>
      </c>
      <c r="K426" s="83" t="s">
        <v>231</v>
      </c>
      <c r="L426" s="100" t="s">
        <v>628</v>
      </c>
      <c r="M426" s="219" t="s">
        <v>1335</v>
      </c>
      <c r="N426" s="205" t="s">
        <v>2467</v>
      </c>
      <c r="O426" s="206">
        <v>1</v>
      </c>
      <c r="P426" s="226" t="s">
        <v>1291</v>
      </c>
      <c r="Q426" s="287">
        <v>24.99</v>
      </c>
      <c r="R426" s="188">
        <v>0.2</v>
      </c>
      <c r="S426" s="62">
        <v>19.991999999999997</v>
      </c>
      <c r="T426" s="86"/>
      <c r="U426" s="186"/>
      <c r="V426" s="238" t="s">
        <v>669</v>
      </c>
      <c r="W426" s="83" t="s">
        <v>231</v>
      </c>
      <c r="X426" s="100" t="s">
        <v>628</v>
      </c>
    </row>
    <row r="427" spans="1:24" s="1" customFormat="1">
      <c r="A427" s="219" t="s">
        <v>2469</v>
      </c>
      <c r="B427" s="205" t="s">
        <v>2468</v>
      </c>
      <c r="C427" s="206">
        <v>1</v>
      </c>
      <c r="D427" s="226" t="s">
        <v>1291</v>
      </c>
      <c r="E427" s="287">
        <v>24.99</v>
      </c>
      <c r="F427" s="188">
        <f t="shared" si="82"/>
        <v>0.2</v>
      </c>
      <c r="G427" s="62">
        <f t="shared" ref="G427" si="83">E427-(E427*F427)</f>
        <v>19.991999999999997</v>
      </c>
      <c r="H427" s="86"/>
      <c r="I427" s="186"/>
      <c r="J427" s="238" t="s">
        <v>669</v>
      </c>
      <c r="K427" s="83" t="s">
        <v>231</v>
      </c>
      <c r="L427" s="100" t="s">
        <v>628</v>
      </c>
      <c r="M427" s="219" t="s">
        <v>2469</v>
      </c>
      <c r="N427" s="205" t="s">
        <v>2468</v>
      </c>
      <c r="O427" s="206">
        <v>1</v>
      </c>
      <c r="P427" s="226" t="s">
        <v>1291</v>
      </c>
      <c r="Q427" s="287">
        <v>24.99</v>
      </c>
      <c r="R427" s="188">
        <v>0.2</v>
      </c>
      <c r="S427" s="62">
        <v>19.991999999999997</v>
      </c>
      <c r="T427" s="86"/>
      <c r="U427" s="186"/>
      <c r="V427" s="238" t="s">
        <v>669</v>
      </c>
      <c r="W427" s="83" t="s">
        <v>231</v>
      </c>
      <c r="X427" s="100" t="s">
        <v>628</v>
      </c>
    </row>
    <row r="428" spans="1:24" s="1" customFormat="1">
      <c r="A428" s="219" t="s">
        <v>1334</v>
      </c>
      <c r="B428" s="205" t="s">
        <v>2364</v>
      </c>
      <c r="C428" s="206">
        <v>1</v>
      </c>
      <c r="D428" s="226" t="s">
        <v>1291</v>
      </c>
      <c r="E428" s="287">
        <v>24.99</v>
      </c>
      <c r="F428" s="188">
        <f t="shared" si="82"/>
        <v>0.2</v>
      </c>
      <c r="G428" s="62">
        <f t="shared" si="81"/>
        <v>19.991999999999997</v>
      </c>
      <c r="H428" s="86"/>
      <c r="I428" s="186"/>
      <c r="J428" s="238" t="s">
        <v>669</v>
      </c>
      <c r="K428" s="83" t="s">
        <v>231</v>
      </c>
      <c r="L428" s="100" t="s">
        <v>628</v>
      </c>
      <c r="M428" s="219" t="s">
        <v>1334</v>
      </c>
      <c r="N428" s="205" t="s">
        <v>2364</v>
      </c>
      <c r="O428" s="206">
        <v>1</v>
      </c>
      <c r="P428" s="226" t="s">
        <v>1291</v>
      </c>
      <c r="Q428" s="287">
        <v>24.99</v>
      </c>
      <c r="R428" s="188">
        <v>0.2</v>
      </c>
      <c r="S428" s="62">
        <v>19.991999999999997</v>
      </c>
      <c r="T428" s="86"/>
      <c r="U428" s="186"/>
      <c r="V428" s="238" t="s">
        <v>669</v>
      </c>
      <c r="W428" s="83" t="s">
        <v>231</v>
      </c>
      <c r="X428" s="100" t="s">
        <v>628</v>
      </c>
    </row>
    <row r="429" spans="1:24" s="1" customFormat="1">
      <c r="A429" s="219" t="s">
        <v>1336</v>
      </c>
      <c r="B429" s="205" t="s">
        <v>2532</v>
      </c>
      <c r="C429" s="206">
        <v>1</v>
      </c>
      <c r="D429" s="226" t="s">
        <v>1291</v>
      </c>
      <c r="E429" s="287">
        <v>20.83</v>
      </c>
      <c r="F429" s="188">
        <f t="shared" si="82"/>
        <v>0.2</v>
      </c>
      <c r="G429" s="62">
        <f t="shared" si="81"/>
        <v>16.663999999999998</v>
      </c>
      <c r="H429" s="86"/>
      <c r="I429" s="186"/>
      <c r="J429" s="238" t="s">
        <v>669</v>
      </c>
      <c r="K429" s="83" t="s">
        <v>231</v>
      </c>
      <c r="L429" s="100" t="s">
        <v>628</v>
      </c>
      <c r="M429" s="219" t="s">
        <v>1336</v>
      </c>
      <c r="N429" s="205" t="s">
        <v>2532</v>
      </c>
      <c r="O429" s="206">
        <v>1</v>
      </c>
      <c r="P429" s="226" t="s">
        <v>1291</v>
      </c>
      <c r="Q429" s="287">
        <v>20.83</v>
      </c>
      <c r="R429" s="188">
        <v>0.2</v>
      </c>
      <c r="S429" s="62">
        <v>16.663999999999998</v>
      </c>
      <c r="T429" s="86"/>
      <c r="U429" s="186"/>
      <c r="V429" s="238" t="s">
        <v>669</v>
      </c>
      <c r="W429" s="83" t="s">
        <v>231</v>
      </c>
      <c r="X429" s="100" t="s">
        <v>628</v>
      </c>
    </row>
    <row r="430" spans="1:24" s="1" customFormat="1">
      <c r="A430" s="219" t="s">
        <v>1337</v>
      </c>
      <c r="B430" s="205" t="s">
        <v>1338</v>
      </c>
      <c r="C430" s="206">
        <v>1</v>
      </c>
      <c r="D430" s="226" t="s">
        <v>1291</v>
      </c>
      <c r="E430" s="287">
        <v>20.83</v>
      </c>
      <c r="F430" s="188">
        <f t="shared" si="82"/>
        <v>0.2</v>
      </c>
      <c r="G430" s="62">
        <f t="shared" si="81"/>
        <v>16.663999999999998</v>
      </c>
      <c r="H430" s="86"/>
      <c r="I430" s="186"/>
      <c r="J430" s="238" t="s">
        <v>669</v>
      </c>
      <c r="K430" s="83" t="s">
        <v>231</v>
      </c>
      <c r="L430" s="100" t="s">
        <v>628</v>
      </c>
      <c r="M430" s="219" t="s">
        <v>1337</v>
      </c>
      <c r="N430" s="205" t="s">
        <v>1338</v>
      </c>
      <c r="O430" s="206">
        <v>1</v>
      </c>
      <c r="P430" s="226" t="s">
        <v>1291</v>
      </c>
      <c r="Q430" s="287">
        <v>20.83</v>
      </c>
      <c r="R430" s="188">
        <v>0.2</v>
      </c>
      <c r="S430" s="62">
        <v>16.663999999999998</v>
      </c>
      <c r="T430" s="86"/>
      <c r="U430" s="186"/>
      <c r="V430" s="238" t="s">
        <v>669</v>
      </c>
      <c r="W430" s="83" t="s">
        <v>231</v>
      </c>
      <c r="X430" s="100" t="s">
        <v>628</v>
      </c>
    </row>
    <row r="431" spans="1:24" s="1" customFormat="1">
      <c r="A431" s="219" t="s">
        <v>1339</v>
      </c>
      <c r="B431" s="205" t="s">
        <v>1340</v>
      </c>
      <c r="C431" s="206">
        <v>1</v>
      </c>
      <c r="D431" s="226" t="s">
        <v>1291</v>
      </c>
      <c r="E431" s="287">
        <v>20.83</v>
      </c>
      <c r="F431" s="188">
        <f t="shared" si="82"/>
        <v>0.2</v>
      </c>
      <c r="G431" s="62">
        <f t="shared" si="81"/>
        <v>16.663999999999998</v>
      </c>
      <c r="H431" s="86"/>
      <c r="I431" s="186"/>
      <c r="J431" s="238" t="s">
        <v>669</v>
      </c>
      <c r="K431" s="83" t="s">
        <v>231</v>
      </c>
      <c r="L431" s="100" t="s">
        <v>628</v>
      </c>
      <c r="M431" s="219" t="s">
        <v>1339</v>
      </c>
      <c r="N431" s="205" t="s">
        <v>1340</v>
      </c>
      <c r="O431" s="206">
        <v>1</v>
      </c>
      <c r="P431" s="226" t="s">
        <v>1291</v>
      </c>
      <c r="Q431" s="287">
        <v>20.83</v>
      </c>
      <c r="R431" s="188">
        <v>0.2</v>
      </c>
      <c r="S431" s="62">
        <v>16.663999999999998</v>
      </c>
      <c r="T431" s="86"/>
      <c r="U431" s="186"/>
      <c r="V431" s="238" t="s">
        <v>669</v>
      </c>
      <c r="W431" s="83" t="s">
        <v>231</v>
      </c>
      <c r="X431" s="100" t="s">
        <v>628</v>
      </c>
    </row>
    <row r="432" spans="1:24" s="1" customFormat="1">
      <c r="A432" s="219" t="s">
        <v>2365</v>
      </c>
      <c r="B432" s="205" t="s">
        <v>2369</v>
      </c>
      <c r="C432" s="206">
        <v>1</v>
      </c>
      <c r="D432" s="226" t="s">
        <v>1291</v>
      </c>
      <c r="E432" s="287">
        <v>20.83</v>
      </c>
      <c r="F432" s="188">
        <f t="shared" si="82"/>
        <v>0.2</v>
      </c>
      <c r="G432" s="62">
        <f t="shared" si="81"/>
        <v>16.663999999999998</v>
      </c>
      <c r="H432" s="86"/>
      <c r="I432" s="186"/>
      <c r="J432" s="238" t="s">
        <v>669</v>
      </c>
      <c r="K432" s="83" t="s">
        <v>231</v>
      </c>
      <c r="L432" s="100" t="s">
        <v>628</v>
      </c>
      <c r="M432" s="219" t="s">
        <v>2365</v>
      </c>
      <c r="N432" s="205" t="s">
        <v>2369</v>
      </c>
      <c r="O432" s="206">
        <v>1</v>
      </c>
      <c r="P432" s="226" t="s">
        <v>1291</v>
      </c>
      <c r="Q432" s="287">
        <v>20.83</v>
      </c>
      <c r="R432" s="188">
        <v>0.2</v>
      </c>
      <c r="S432" s="62">
        <v>16.663999999999998</v>
      </c>
      <c r="T432" s="86"/>
      <c r="U432" s="186"/>
      <c r="V432" s="238" t="s">
        <v>669</v>
      </c>
      <c r="W432" s="83" t="s">
        <v>231</v>
      </c>
      <c r="X432" s="100" t="s">
        <v>628</v>
      </c>
    </row>
    <row r="433" spans="1:24" s="1" customFormat="1">
      <c r="A433" s="219" t="s">
        <v>2367</v>
      </c>
      <c r="B433" s="205" t="s">
        <v>2368</v>
      </c>
      <c r="C433" s="206">
        <v>1</v>
      </c>
      <c r="D433" s="226" t="s">
        <v>1291</v>
      </c>
      <c r="E433" s="287">
        <v>20.83</v>
      </c>
      <c r="F433" s="188">
        <f t="shared" si="82"/>
        <v>0.2</v>
      </c>
      <c r="G433" s="62">
        <f t="shared" si="81"/>
        <v>16.663999999999998</v>
      </c>
      <c r="H433" s="86"/>
      <c r="I433" s="186"/>
      <c r="J433" s="238" t="s">
        <v>669</v>
      </c>
      <c r="K433" s="83" t="s">
        <v>231</v>
      </c>
      <c r="L433" s="100" t="s">
        <v>628</v>
      </c>
      <c r="M433" s="219" t="s">
        <v>2367</v>
      </c>
      <c r="N433" s="205" t="s">
        <v>2368</v>
      </c>
      <c r="O433" s="206">
        <v>1</v>
      </c>
      <c r="P433" s="226" t="s">
        <v>1291</v>
      </c>
      <c r="Q433" s="287">
        <v>20.83</v>
      </c>
      <c r="R433" s="188">
        <v>0.2</v>
      </c>
      <c r="S433" s="62">
        <v>16.663999999999998</v>
      </c>
      <c r="T433" s="86"/>
      <c r="U433" s="186"/>
      <c r="V433" s="238" t="s">
        <v>669</v>
      </c>
      <c r="W433" s="83" t="s">
        <v>231</v>
      </c>
      <c r="X433" s="100" t="s">
        <v>628</v>
      </c>
    </row>
    <row r="434" spans="1:24" s="1" customFormat="1">
      <c r="A434" s="219" t="s">
        <v>2371</v>
      </c>
      <c r="B434" s="205" t="s">
        <v>2372</v>
      </c>
      <c r="C434" s="206">
        <v>1</v>
      </c>
      <c r="D434" s="226" t="s">
        <v>1291</v>
      </c>
      <c r="E434" s="287">
        <v>20.83</v>
      </c>
      <c r="F434" s="188">
        <f t="shared" si="82"/>
        <v>0.2</v>
      </c>
      <c r="G434" s="62">
        <f t="shared" si="81"/>
        <v>16.663999999999998</v>
      </c>
      <c r="H434" s="86"/>
      <c r="I434" s="186"/>
      <c r="J434" s="238" t="s">
        <v>669</v>
      </c>
      <c r="K434" s="83" t="s">
        <v>231</v>
      </c>
      <c r="L434" s="100" t="s">
        <v>628</v>
      </c>
      <c r="M434" s="219" t="s">
        <v>2371</v>
      </c>
      <c r="N434" s="205" t="s">
        <v>2372</v>
      </c>
      <c r="O434" s="206">
        <v>1</v>
      </c>
      <c r="P434" s="226" t="s">
        <v>1291</v>
      </c>
      <c r="Q434" s="287">
        <v>20.83</v>
      </c>
      <c r="R434" s="188">
        <v>0.2</v>
      </c>
      <c r="S434" s="62">
        <v>16.663999999999998</v>
      </c>
      <c r="T434" s="86"/>
      <c r="U434" s="186"/>
      <c r="V434" s="238" t="s">
        <v>669</v>
      </c>
      <c r="W434" s="83" t="s">
        <v>231</v>
      </c>
      <c r="X434" s="100" t="s">
        <v>628</v>
      </c>
    </row>
    <row r="435" spans="1:24" s="1" customFormat="1">
      <c r="A435" s="219" t="s">
        <v>2366</v>
      </c>
      <c r="B435" s="205" t="s">
        <v>2370</v>
      </c>
      <c r="C435" s="206">
        <v>1</v>
      </c>
      <c r="D435" s="226" t="s">
        <v>1291</v>
      </c>
      <c r="E435" s="287">
        <v>20.83</v>
      </c>
      <c r="F435" s="188">
        <f t="shared" si="82"/>
        <v>0.2</v>
      </c>
      <c r="G435" s="62">
        <f t="shared" si="81"/>
        <v>16.663999999999998</v>
      </c>
      <c r="H435" s="86"/>
      <c r="I435" s="186"/>
      <c r="J435" s="238" t="s">
        <v>669</v>
      </c>
      <c r="K435" s="83" t="s">
        <v>231</v>
      </c>
      <c r="L435" s="100" t="s">
        <v>628</v>
      </c>
      <c r="M435" s="219" t="s">
        <v>2366</v>
      </c>
      <c r="N435" s="205" t="s">
        <v>2370</v>
      </c>
      <c r="O435" s="206">
        <v>1</v>
      </c>
      <c r="P435" s="226" t="s">
        <v>1291</v>
      </c>
      <c r="Q435" s="287">
        <v>20.83</v>
      </c>
      <c r="R435" s="188">
        <v>0.2</v>
      </c>
      <c r="S435" s="62">
        <v>16.663999999999998</v>
      </c>
      <c r="T435" s="86"/>
      <c r="U435" s="186"/>
      <c r="V435" s="238" t="s">
        <v>669</v>
      </c>
      <c r="W435" s="83" t="s">
        <v>231</v>
      </c>
      <c r="X435" s="100" t="s">
        <v>628</v>
      </c>
    </row>
    <row r="436" spans="1:24" s="1" customFormat="1">
      <c r="A436" s="219" t="s">
        <v>1341</v>
      </c>
      <c r="B436" s="205" t="s">
        <v>1342</v>
      </c>
      <c r="C436" s="206">
        <v>1</v>
      </c>
      <c r="D436" s="226" t="s">
        <v>1260</v>
      </c>
      <c r="E436" s="287">
        <v>26.66</v>
      </c>
      <c r="F436" s="188">
        <f t="shared" si="82"/>
        <v>0.2</v>
      </c>
      <c r="G436" s="62">
        <f t="shared" si="81"/>
        <v>21.327999999999999</v>
      </c>
      <c r="H436" s="86"/>
      <c r="I436" s="186"/>
      <c r="J436" s="238" t="s">
        <v>669</v>
      </c>
      <c r="K436" s="83" t="s">
        <v>231</v>
      </c>
      <c r="L436" s="100" t="s">
        <v>628</v>
      </c>
      <c r="M436" s="219" t="s">
        <v>1341</v>
      </c>
      <c r="N436" s="205" t="s">
        <v>1342</v>
      </c>
      <c r="O436" s="206">
        <v>1</v>
      </c>
      <c r="P436" s="226" t="s">
        <v>1260</v>
      </c>
      <c r="Q436" s="287">
        <v>26.66</v>
      </c>
      <c r="R436" s="188">
        <v>0.2</v>
      </c>
      <c r="S436" s="62">
        <v>21.327999999999999</v>
      </c>
      <c r="T436" s="86"/>
      <c r="U436" s="186"/>
      <c r="V436" s="238" t="s">
        <v>669</v>
      </c>
      <c r="W436" s="83" t="s">
        <v>231</v>
      </c>
      <c r="X436" s="100" t="s">
        <v>628</v>
      </c>
    </row>
    <row r="437" spans="1:24" s="1" customFormat="1">
      <c r="A437" s="219" t="s">
        <v>1343</v>
      </c>
      <c r="B437" s="205" t="s">
        <v>1344</v>
      </c>
      <c r="C437" s="206">
        <v>1</v>
      </c>
      <c r="D437" s="226" t="s">
        <v>1260</v>
      </c>
      <c r="E437" s="287">
        <v>29.16</v>
      </c>
      <c r="F437" s="188">
        <f t="shared" si="82"/>
        <v>0.2</v>
      </c>
      <c r="G437" s="62">
        <f t="shared" si="81"/>
        <v>23.327999999999999</v>
      </c>
      <c r="H437" s="86"/>
      <c r="I437" s="186"/>
      <c r="J437" s="238" t="s">
        <v>669</v>
      </c>
      <c r="K437" s="83" t="s">
        <v>231</v>
      </c>
      <c r="L437" s="100" t="s">
        <v>628</v>
      </c>
      <c r="M437" s="219" t="s">
        <v>1343</v>
      </c>
      <c r="N437" s="205" t="s">
        <v>1344</v>
      </c>
      <c r="O437" s="206">
        <v>1</v>
      </c>
      <c r="P437" s="226" t="s">
        <v>1260</v>
      </c>
      <c r="Q437" s="287">
        <v>29.16</v>
      </c>
      <c r="R437" s="188">
        <v>0.2</v>
      </c>
      <c r="S437" s="62">
        <v>23.327999999999999</v>
      </c>
      <c r="T437" s="86"/>
      <c r="U437" s="186"/>
      <c r="V437" s="238" t="s">
        <v>669</v>
      </c>
      <c r="W437" s="83" t="s">
        <v>231</v>
      </c>
      <c r="X437" s="100" t="s">
        <v>628</v>
      </c>
    </row>
    <row r="438" spans="1:24" s="1" customFormat="1">
      <c r="A438" s="219" t="s">
        <v>1346</v>
      </c>
      <c r="B438" s="205" t="s">
        <v>1347</v>
      </c>
      <c r="C438" s="206">
        <v>1</v>
      </c>
      <c r="D438" s="226" t="s">
        <v>1345</v>
      </c>
      <c r="E438" s="287">
        <v>32.5</v>
      </c>
      <c r="F438" s="188">
        <f t="shared" si="82"/>
        <v>0.2</v>
      </c>
      <c r="G438" s="62">
        <f t="shared" ref="G438:G469" si="84">E438-(E438*F438)</f>
        <v>26</v>
      </c>
      <c r="H438" s="86"/>
      <c r="I438" s="186"/>
      <c r="J438" s="238" t="s">
        <v>669</v>
      </c>
      <c r="K438" s="83" t="s">
        <v>231</v>
      </c>
      <c r="L438" s="100" t="s">
        <v>628</v>
      </c>
      <c r="M438" s="219" t="s">
        <v>1346</v>
      </c>
      <c r="N438" s="205" t="s">
        <v>1347</v>
      </c>
      <c r="O438" s="206">
        <v>1</v>
      </c>
      <c r="P438" s="226" t="s">
        <v>1345</v>
      </c>
      <c r="Q438" s="287">
        <v>32.5</v>
      </c>
      <c r="R438" s="188">
        <v>0.2</v>
      </c>
      <c r="S438" s="62">
        <v>26</v>
      </c>
      <c r="T438" s="86"/>
      <c r="U438" s="186"/>
      <c r="V438" s="238" t="s">
        <v>669</v>
      </c>
      <c r="W438" s="83" t="s">
        <v>231</v>
      </c>
      <c r="X438" s="100" t="s">
        <v>628</v>
      </c>
    </row>
    <row r="439" spans="1:24" s="1" customFormat="1">
      <c r="A439" s="219" t="s">
        <v>1348</v>
      </c>
      <c r="B439" s="205" t="s">
        <v>1349</v>
      </c>
      <c r="C439" s="206">
        <v>1</v>
      </c>
      <c r="D439" s="226" t="s">
        <v>1345</v>
      </c>
      <c r="E439" s="287">
        <v>32.5</v>
      </c>
      <c r="F439" s="188">
        <f t="shared" si="82"/>
        <v>0.2</v>
      </c>
      <c r="G439" s="62">
        <f t="shared" si="84"/>
        <v>26</v>
      </c>
      <c r="H439" s="86"/>
      <c r="I439" s="186"/>
      <c r="J439" s="238" t="s">
        <v>669</v>
      </c>
      <c r="K439" s="83" t="s">
        <v>231</v>
      </c>
      <c r="L439" s="100" t="s">
        <v>628</v>
      </c>
      <c r="M439" s="219" t="s">
        <v>1348</v>
      </c>
      <c r="N439" s="205" t="s">
        <v>1349</v>
      </c>
      <c r="O439" s="206">
        <v>1</v>
      </c>
      <c r="P439" s="226" t="s">
        <v>1345</v>
      </c>
      <c r="Q439" s="287">
        <v>32.5</v>
      </c>
      <c r="R439" s="188">
        <v>0.2</v>
      </c>
      <c r="S439" s="62">
        <v>26</v>
      </c>
      <c r="T439" s="86"/>
      <c r="U439" s="186"/>
      <c r="V439" s="238" t="s">
        <v>669</v>
      </c>
      <c r="W439" s="83" t="s">
        <v>231</v>
      </c>
      <c r="X439" s="100" t="s">
        <v>628</v>
      </c>
    </row>
    <row r="440" spans="1:24" s="1" customFormat="1">
      <c r="A440" s="219" t="s">
        <v>1350</v>
      </c>
      <c r="B440" s="205" t="s">
        <v>1351</v>
      </c>
      <c r="C440" s="206">
        <v>1</v>
      </c>
      <c r="D440" s="226" t="s">
        <v>1345</v>
      </c>
      <c r="E440" s="287">
        <v>32.5</v>
      </c>
      <c r="F440" s="188">
        <f t="shared" si="82"/>
        <v>0.2</v>
      </c>
      <c r="G440" s="62">
        <f t="shared" si="84"/>
        <v>26</v>
      </c>
      <c r="H440" s="86"/>
      <c r="I440" s="186"/>
      <c r="J440" s="238" t="s">
        <v>669</v>
      </c>
      <c r="K440" s="83" t="s">
        <v>231</v>
      </c>
      <c r="L440" s="100" t="s">
        <v>628</v>
      </c>
      <c r="M440" s="219" t="s">
        <v>1350</v>
      </c>
      <c r="N440" s="205" t="s">
        <v>1351</v>
      </c>
      <c r="O440" s="206">
        <v>1</v>
      </c>
      <c r="P440" s="226" t="s">
        <v>1345</v>
      </c>
      <c r="Q440" s="287">
        <v>32.5</v>
      </c>
      <c r="R440" s="188">
        <v>0.2</v>
      </c>
      <c r="S440" s="62">
        <v>26</v>
      </c>
      <c r="T440" s="86"/>
      <c r="U440" s="186"/>
      <c r="V440" s="238" t="s">
        <v>669</v>
      </c>
      <c r="W440" s="83" t="s">
        <v>231</v>
      </c>
      <c r="X440" s="100" t="s">
        <v>628</v>
      </c>
    </row>
    <row r="441" spans="1:24" s="1" customFormat="1">
      <c r="A441" s="219" t="s">
        <v>1352</v>
      </c>
      <c r="B441" s="205" t="s">
        <v>1353</v>
      </c>
      <c r="C441" s="206">
        <v>1</v>
      </c>
      <c r="D441" s="226" t="s">
        <v>1345</v>
      </c>
      <c r="E441" s="287">
        <v>32.5</v>
      </c>
      <c r="F441" s="188">
        <f t="shared" si="82"/>
        <v>0.2</v>
      </c>
      <c r="G441" s="62">
        <f t="shared" si="84"/>
        <v>26</v>
      </c>
      <c r="H441" s="86"/>
      <c r="I441" s="186"/>
      <c r="J441" s="238" t="s">
        <v>669</v>
      </c>
      <c r="K441" s="83" t="s">
        <v>231</v>
      </c>
      <c r="L441" s="100" t="s">
        <v>628</v>
      </c>
      <c r="M441" s="219" t="s">
        <v>1352</v>
      </c>
      <c r="N441" s="205" t="s">
        <v>1353</v>
      </c>
      <c r="O441" s="206">
        <v>1</v>
      </c>
      <c r="P441" s="226" t="s">
        <v>1345</v>
      </c>
      <c r="Q441" s="287">
        <v>32.5</v>
      </c>
      <c r="R441" s="188">
        <v>0.2</v>
      </c>
      <c r="S441" s="62">
        <v>26</v>
      </c>
      <c r="T441" s="86"/>
      <c r="U441" s="186"/>
      <c r="V441" s="238" t="s">
        <v>669</v>
      </c>
      <c r="W441" s="83" t="s">
        <v>231</v>
      </c>
      <c r="X441" s="100" t="s">
        <v>628</v>
      </c>
    </row>
    <row r="442" spans="1:24" s="1" customFormat="1">
      <c r="A442" s="219" t="s">
        <v>2403</v>
      </c>
      <c r="B442" s="205" t="s">
        <v>2404</v>
      </c>
      <c r="C442" s="206">
        <v>1</v>
      </c>
      <c r="D442" s="226" t="s">
        <v>1345</v>
      </c>
      <c r="E442" s="287">
        <v>32.5</v>
      </c>
      <c r="F442" s="188">
        <f t="shared" si="82"/>
        <v>0.2</v>
      </c>
      <c r="G442" s="62">
        <f t="shared" si="84"/>
        <v>26</v>
      </c>
      <c r="H442" s="86"/>
      <c r="I442" s="186"/>
      <c r="J442" s="238" t="s">
        <v>669</v>
      </c>
      <c r="K442" s="83" t="s">
        <v>231</v>
      </c>
      <c r="L442" s="100" t="s">
        <v>628</v>
      </c>
      <c r="M442" s="219" t="s">
        <v>2403</v>
      </c>
      <c r="N442" s="205" t="s">
        <v>2404</v>
      </c>
      <c r="O442" s="206">
        <v>1</v>
      </c>
      <c r="P442" s="226" t="s">
        <v>1345</v>
      </c>
      <c r="Q442" s="287">
        <v>32.5</v>
      </c>
      <c r="R442" s="188">
        <v>0.2</v>
      </c>
      <c r="S442" s="62">
        <v>26</v>
      </c>
      <c r="T442" s="86"/>
      <c r="U442" s="186"/>
      <c r="V442" s="238" t="s">
        <v>669</v>
      </c>
      <c r="W442" s="83" t="s">
        <v>231</v>
      </c>
      <c r="X442" s="100" t="s">
        <v>628</v>
      </c>
    </row>
    <row r="443" spans="1:24" s="1" customFormat="1">
      <c r="A443" s="219" t="s">
        <v>2406</v>
      </c>
      <c r="B443" s="205" t="s">
        <v>2405</v>
      </c>
      <c r="C443" s="206">
        <v>1</v>
      </c>
      <c r="D443" s="226" t="s">
        <v>1345</v>
      </c>
      <c r="E443" s="287">
        <v>32.5</v>
      </c>
      <c r="F443" s="188">
        <f t="shared" si="82"/>
        <v>0.2</v>
      </c>
      <c r="G443" s="62">
        <f t="shared" si="84"/>
        <v>26</v>
      </c>
      <c r="H443" s="86"/>
      <c r="I443" s="186"/>
      <c r="J443" s="238" t="s">
        <v>669</v>
      </c>
      <c r="K443" s="83" t="s">
        <v>231</v>
      </c>
      <c r="L443" s="100" t="s">
        <v>628</v>
      </c>
      <c r="M443" s="219" t="s">
        <v>2406</v>
      </c>
      <c r="N443" s="205" t="s">
        <v>2405</v>
      </c>
      <c r="O443" s="206">
        <v>1</v>
      </c>
      <c r="P443" s="226" t="s">
        <v>1345</v>
      </c>
      <c r="Q443" s="287">
        <v>32.5</v>
      </c>
      <c r="R443" s="188">
        <v>0.2</v>
      </c>
      <c r="S443" s="62">
        <v>26</v>
      </c>
      <c r="T443" s="86"/>
      <c r="U443" s="186"/>
      <c r="V443" s="238" t="s">
        <v>669</v>
      </c>
      <c r="W443" s="83" t="s">
        <v>231</v>
      </c>
      <c r="X443" s="100" t="s">
        <v>628</v>
      </c>
    </row>
    <row r="444" spans="1:24" s="1" customFormat="1">
      <c r="A444" s="219" t="s">
        <v>2407</v>
      </c>
      <c r="B444" s="205" t="s">
        <v>2409</v>
      </c>
      <c r="C444" s="206">
        <v>1</v>
      </c>
      <c r="D444" s="226" t="s">
        <v>1345</v>
      </c>
      <c r="E444" s="287">
        <v>32.5</v>
      </c>
      <c r="F444" s="188">
        <f t="shared" si="82"/>
        <v>0.2</v>
      </c>
      <c r="G444" s="62">
        <f t="shared" si="84"/>
        <v>26</v>
      </c>
      <c r="H444" s="86"/>
      <c r="I444" s="186"/>
      <c r="J444" s="238" t="s">
        <v>669</v>
      </c>
      <c r="K444" s="83" t="s">
        <v>231</v>
      </c>
      <c r="L444" s="100" t="s">
        <v>628</v>
      </c>
      <c r="M444" s="219" t="s">
        <v>2407</v>
      </c>
      <c r="N444" s="205" t="s">
        <v>2409</v>
      </c>
      <c r="O444" s="206">
        <v>1</v>
      </c>
      <c r="P444" s="226" t="s">
        <v>1345</v>
      </c>
      <c r="Q444" s="287">
        <v>32.5</v>
      </c>
      <c r="R444" s="188">
        <v>0.2</v>
      </c>
      <c r="S444" s="62">
        <v>26</v>
      </c>
      <c r="T444" s="86"/>
      <c r="U444" s="186"/>
      <c r="V444" s="238" t="s">
        <v>669</v>
      </c>
      <c r="W444" s="83" t="s">
        <v>231</v>
      </c>
      <c r="X444" s="100" t="s">
        <v>628</v>
      </c>
    </row>
    <row r="445" spans="1:24" s="1" customFormat="1">
      <c r="A445" s="219" t="s">
        <v>2408</v>
      </c>
      <c r="B445" s="205" t="s">
        <v>2410</v>
      </c>
      <c r="C445" s="206">
        <v>1</v>
      </c>
      <c r="D445" s="226" t="s">
        <v>1345</v>
      </c>
      <c r="E445" s="287">
        <v>32.5</v>
      </c>
      <c r="F445" s="188">
        <f t="shared" si="82"/>
        <v>0.2</v>
      </c>
      <c r="G445" s="62">
        <f t="shared" si="84"/>
        <v>26</v>
      </c>
      <c r="H445" s="86"/>
      <c r="I445" s="186"/>
      <c r="J445" s="238" t="s">
        <v>669</v>
      </c>
      <c r="K445" s="83" t="s">
        <v>231</v>
      </c>
      <c r="L445" s="100" t="s">
        <v>628</v>
      </c>
      <c r="M445" s="219" t="s">
        <v>2408</v>
      </c>
      <c r="N445" s="205" t="s">
        <v>2410</v>
      </c>
      <c r="O445" s="206">
        <v>1</v>
      </c>
      <c r="P445" s="226" t="s">
        <v>1345</v>
      </c>
      <c r="Q445" s="287">
        <v>32.5</v>
      </c>
      <c r="R445" s="188">
        <v>0.2</v>
      </c>
      <c r="S445" s="62">
        <v>26</v>
      </c>
      <c r="T445" s="86"/>
      <c r="U445" s="186"/>
      <c r="V445" s="238" t="s">
        <v>669</v>
      </c>
      <c r="W445" s="83" t="s">
        <v>231</v>
      </c>
      <c r="X445" s="100" t="s">
        <v>628</v>
      </c>
    </row>
    <row r="446" spans="1:24" s="1" customFormat="1">
      <c r="A446" s="219" t="s">
        <v>1354</v>
      </c>
      <c r="B446" s="205" t="s">
        <v>1355</v>
      </c>
      <c r="C446" s="206">
        <v>1</v>
      </c>
      <c r="D446" s="226" t="s">
        <v>992</v>
      </c>
      <c r="E446" s="287">
        <v>28.14</v>
      </c>
      <c r="F446" s="188">
        <f t="shared" ref="F446:F455" si="85">rv_20</f>
        <v>0.2</v>
      </c>
      <c r="G446" s="62">
        <f t="shared" si="84"/>
        <v>22.512</v>
      </c>
      <c r="H446" s="86"/>
      <c r="I446" s="186"/>
      <c r="J446" s="238" t="s">
        <v>669</v>
      </c>
      <c r="K446" s="83" t="s">
        <v>231</v>
      </c>
      <c r="L446" s="100" t="s">
        <v>628</v>
      </c>
      <c r="M446" s="219" t="s">
        <v>1354</v>
      </c>
      <c r="N446" s="205" t="s">
        <v>1355</v>
      </c>
      <c r="O446" s="206">
        <v>1</v>
      </c>
      <c r="P446" s="226" t="s">
        <v>992</v>
      </c>
      <c r="Q446" s="287">
        <v>28.14</v>
      </c>
      <c r="R446" s="188">
        <v>0.2</v>
      </c>
      <c r="S446" s="62">
        <v>22.512</v>
      </c>
      <c r="T446" s="86"/>
      <c r="U446" s="186"/>
      <c r="V446" s="238" t="s">
        <v>669</v>
      </c>
      <c r="W446" s="83" t="s">
        <v>231</v>
      </c>
      <c r="X446" s="100" t="s">
        <v>628</v>
      </c>
    </row>
    <row r="447" spans="1:24" s="1" customFormat="1">
      <c r="A447" s="219" t="s">
        <v>1356</v>
      </c>
      <c r="B447" s="205" t="s">
        <v>1357</v>
      </c>
      <c r="C447" s="206">
        <v>1</v>
      </c>
      <c r="D447" s="226" t="s">
        <v>992</v>
      </c>
      <c r="E447" s="287">
        <v>28.14</v>
      </c>
      <c r="F447" s="188">
        <f t="shared" si="85"/>
        <v>0.2</v>
      </c>
      <c r="G447" s="62">
        <f t="shared" si="84"/>
        <v>22.512</v>
      </c>
      <c r="H447" s="86"/>
      <c r="I447" s="186"/>
      <c r="J447" s="238" t="s">
        <v>669</v>
      </c>
      <c r="K447" s="83" t="s">
        <v>231</v>
      </c>
      <c r="L447" s="100" t="s">
        <v>628</v>
      </c>
      <c r="M447" s="219" t="s">
        <v>1356</v>
      </c>
      <c r="N447" s="205" t="s">
        <v>1357</v>
      </c>
      <c r="O447" s="206">
        <v>1</v>
      </c>
      <c r="P447" s="226" t="s">
        <v>992</v>
      </c>
      <c r="Q447" s="287">
        <v>28.14</v>
      </c>
      <c r="R447" s="188">
        <v>0.2</v>
      </c>
      <c r="S447" s="62">
        <v>22.512</v>
      </c>
      <c r="T447" s="86"/>
      <c r="U447" s="186"/>
      <c r="V447" s="238" t="s">
        <v>669</v>
      </c>
      <c r="W447" s="83" t="s">
        <v>231</v>
      </c>
      <c r="X447" s="100" t="s">
        <v>628</v>
      </c>
    </row>
    <row r="448" spans="1:24" s="1" customFormat="1">
      <c r="A448" s="219" t="s">
        <v>1358</v>
      </c>
      <c r="B448" s="205" t="s">
        <v>1359</v>
      </c>
      <c r="C448" s="206">
        <v>1</v>
      </c>
      <c r="D448" s="226" t="s">
        <v>992</v>
      </c>
      <c r="E448" s="287">
        <v>28.88</v>
      </c>
      <c r="F448" s="188">
        <f t="shared" si="85"/>
        <v>0.2</v>
      </c>
      <c r="G448" s="62">
        <f t="shared" si="84"/>
        <v>23.103999999999999</v>
      </c>
      <c r="H448" s="86"/>
      <c r="I448" s="186"/>
      <c r="J448" s="238" t="s">
        <v>669</v>
      </c>
      <c r="K448" s="83" t="s">
        <v>231</v>
      </c>
      <c r="L448" s="100" t="s">
        <v>628</v>
      </c>
      <c r="M448" s="219" t="s">
        <v>1358</v>
      </c>
      <c r="N448" s="205" t="s">
        <v>1359</v>
      </c>
      <c r="O448" s="206">
        <v>1</v>
      </c>
      <c r="P448" s="226" t="s">
        <v>992</v>
      </c>
      <c r="Q448" s="287">
        <v>28.88</v>
      </c>
      <c r="R448" s="188">
        <v>0.2</v>
      </c>
      <c r="S448" s="62">
        <v>23.103999999999999</v>
      </c>
      <c r="T448" s="86"/>
      <c r="U448" s="186"/>
      <c r="V448" s="238" t="s">
        <v>669</v>
      </c>
      <c r="W448" s="83" t="s">
        <v>231</v>
      </c>
      <c r="X448" s="100" t="s">
        <v>628</v>
      </c>
    </row>
    <row r="449" spans="1:24" s="1" customFormat="1">
      <c r="A449" s="219" t="s">
        <v>1360</v>
      </c>
      <c r="B449" s="205" t="s">
        <v>1361</v>
      </c>
      <c r="C449" s="206">
        <v>1</v>
      </c>
      <c r="D449" s="226" t="s">
        <v>992</v>
      </c>
      <c r="E449" s="287">
        <v>34.700000000000003</v>
      </c>
      <c r="F449" s="188">
        <f t="shared" si="85"/>
        <v>0.2</v>
      </c>
      <c r="G449" s="62">
        <f t="shared" si="84"/>
        <v>27.76</v>
      </c>
      <c r="H449" s="86"/>
      <c r="I449" s="186"/>
      <c r="J449" s="238" t="s">
        <v>669</v>
      </c>
      <c r="K449" s="83" t="s">
        <v>231</v>
      </c>
      <c r="L449" s="100" t="s">
        <v>628</v>
      </c>
      <c r="M449" s="219" t="s">
        <v>1360</v>
      </c>
      <c r="N449" s="205" t="s">
        <v>1361</v>
      </c>
      <c r="O449" s="206">
        <v>1</v>
      </c>
      <c r="P449" s="226" t="s">
        <v>992</v>
      </c>
      <c r="Q449" s="287">
        <v>34.700000000000003</v>
      </c>
      <c r="R449" s="188">
        <v>0.2</v>
      </c>
      <c r="S449" s="62">
        <v>27.76</v>
      </c>
      <c r="T449" s="86"/>
      <c r="U449" s="186"/>
      <c r="V449" s="238" t="s">
        <v>669</v>
      </c>
      <c r="W449" s="83" t="s">
        <v>231</v>
      </c>
      <c r="X449" s="100" t="s">
        <v>628</v>
      </c>
    </row>
    <row r="450" spans="1:24" s="1" customFormat="1">
      <c r="A450" s="219" t="s">
        <v>1362</v>
      </c>
      <c r="B450" s="205" t="s">
        <v>1363</v>
      </c>
      <c r="C450" s="206">
        <v>1</v>
      </c>
      <c r="D450" s="226" t="s">
        <v>992</v>
      </c>
      <c r="E450" s="287">
        <v>42.16</v>
      </c>
      <c r="F450" s="188">
        <f t="shared" si="85"/>
        <v>0.2</v>
      </c>
      <c r="G450" s="62">
        <f t="shared" si="84"/>
        <v>33.727999999999994</v>
      </c>
      <c r="H450" s="86"/>
      <c r="I450" s="186"/>
      <c r="J450" s="238" t="s">
        <v>669</v>
      </c>
      <c r="K450" s="83" t="s">
        <v>231</v>
      </c>
      <c r="L450" s="100" t="s">
        <v>628</v>
      </c>
      <c r="M450" s="219" t="s">
        <v>1362</v>
      </c>
      <c r="N450" s="205" t="s">
        <v>1363</v>
      </c>
      <c r="O450" s="206">
        <v>1</v>
      </c>
      <c r="P450" s="226" t="s">
        <v>992</v>
      </c>
      <c r="Q450" s="287">
        <v>42.16</v>
      </c>
      <c r="R450" s="188">
        <v>0.2</v>
      </c>
      <c r="S450" s="62">
        <v>33.727999999999994</v>
      </c>
      <c r="T450" s="86"/>
      <c r="U450" s="186"/>
      <c r="V450" s="238" t="s">
        <v>669</v>
      </c>
      <c r="W450" s="83" t="s">
        <v>231</v>
      </c>
      <c r="X450" s="100" t="s">
        <v>628</v>
      </c>
    </row>
    <row r="451" spans="1:24" s="1" customFormat="1">
      <c r="A451" s="219" t="s">
        <v>1364</v>
      </c>
      <c r="B451" s="205" t="s">
        <v>1365</v>
      </c>
      <c r="C451" s="206">
        <v>1</v>
      </c>
      <c r="D451" s="226" t="s">
        <v>992</v>
      </c>
      <c r="E451" s="287">
        <v>24.91</v>
      </c>
      <c r="F451" s="188">
        <f t="shared" si="85"/>
        <v>0.2</v>
      </c>
      <c r="G451" s="62">
        <f t="shared" si="84"/>
        <v>19.928000000000001</v>
      </c>
      <c r="H451" s="86"/>
      <c r="I451" s="186"/>
      <c r="J451" s="238" t="s">
        <v>669</v>
      </c>
      <c r="K451" s="83" t="s">
        <v>231</v>
      </c>
      <c r="L451" s="100" t="s">
        <v>628</v>
      </c>
      <c r="M451" s="219" t="s">
        <v>1364</v>
      </c>
      <c r="N451" s="205" t="s">
        <v>1365</v>
      </c>
      <c r="O451" s="206">
        <v>1</v>
      </c>
      <c r="P451" s="226" t="s">
        <v>992</v>
      </c>
      <c r="Q451" s="287">
        <v>24.91</v>
      </c>
      <c r="R451" s="188">
        <v>0.2</v>
      </c>
      <c r="S451" s="62">
        <v>19.928000000000001</v>
      </c>
      <c r="T451" s="86"/>
      <c r="U451" s="186"/>
      <c r="V451" s="238" t="s">
        <v>669</v>
      </c>
      <c r="W451" s="83" t="s">
        <v>231</v>
      </c>
      <c r="X451" s="100" t="s">
        <v>628</v>
      </c>
    </row>
    <row r="452" spans="1:24" s="1" customFormat="1">
      <c r="A452" s="219" t="s">
        <v>1366</v>
      </c>
      <c r="B452" s="205" t="s">
        <v>1367</v>
      </c>
      <c r="C452" s="206">
        <v>1</v>
      </c>
      <c r="D452" s="226" t="s">
        <v>992</v>
      </c>
      <c r="E452" s="287">
        <v>56.57</v>
      </c>
      <c r="F452" s="188">
        <f t="shared" si="85"/>
        <v>0.2</v>
      </c>
      <c r="G452" s="62">
        <f t="shared" si="84"/>
        <v>45.256</v>
      </c>
      <c r="H452" s="86"/>
      <c r="I452" s="186"/>
      <c r="J452" s="238" t="s">
        <v>669</v>
      </c>
      <c r="K452" s="83" t="s">
        <v>231</v>
      </c>
      <c r="L452" s="100" t="s">
        <v>628</v>
      </c>
      <c r="M452" s="219" t="s">
        <v>1366</v>
      </c>
      <c r="N452" s="205" t="s">
        <v>1367</v>
      </c>
      <c r="O452" s="206">
        <v>1</v>
      </c>
      <c r="P452" s="226" t="s">
        <v>992</v>
      </c>
      <c r="Q452" s="287">
        <v>56.57</v>
      </c>
      <c r="R452" s="188">
        <v>0.2</v>
      </c>
      <c r="S452" s="62">
        <v>45.256</v>
      </c>
      <c r="T452" s="86"/>
      <c r="U452" s="186"/>
      <c r="V452" s="238" t="s">
        <v>669</v>
      </c>
      <c r="W452" s="83" t="s">
        <v>231</v>
      </c>
      <c r="X452" s="100" t="s">
        <v>628</v>
      </c>
    </row>
    <row r="453" spans="1:24" s="1" customFormat="1">
      <c r="A453" s="219" t="s">
        <v>1368</v>
      </c>
      <c r="B453" s="205" t="s">
        <v>1369</v>
      </c>
      <c r="C453" s="206">
        <v>1</v>
      </c>
      <c r="D453" s="226" t="s">
        <v>992</v>
      </c>
      <c r="E453" s="287">
        <v>33.33</v>
      </c>
      <c r="F453" s="188">
        <f t="shared" si="85"/>
        <v>0.2</v>
      </c>
      <c r="G453" s="62">
        <f t="shared" si="84"/>
        <v>26.663999999999998</v>
      </c>
      <c r="H453" s="86"/>
      <c r="I453" s="186"/>
      <c r="J453" s="238" t="s">
        <v>669</v>
      </c>
      <c r="K453" s="83" t="s">
        <v>231</v>
      </c>
      <c r="L453" s="100" t="s">
        <v>628</v>
      </c>
      <c r="M453" s="219" t="s">
        <v>1368</v>
      </c>
      <c r="N453" s="205" t="s">
        <v>1369</v>
      </c>
      <c r="O453" s="206">
        <v>1</v>
      </c>
      <c r="P453" s="226" t="s">
        <v>992</v>
      </c>
      <c r="Q453" s="287">
        <v>33.33</v>
      </c>
      <c r="R453" s="188">
        <v>0.2</v>
      </c>
      <c r="S453" s="62">
        <v>26.663999999999998</v>
      </c>
      <c r="T453" s="86"/>
      <c r="U453" s="186"/>
      <c r="V453" s="238" t="s">
        <v>669</v>
      </c>
      <c r="W453" s="83" t="s">
        <v>231</v>
      </c>
      <c r="X453" s="100" t="s">
        <v>628</v>
      </c>
    </row>
    <row r="454" spans="1:24" s="1" customFormat="1">
      <c r="A454" s="219" t="s">
        <v>1370</v>
      </c>
      <c r="B454" s="205" t="s">
        <v>1371</v>
      </c>
      <c r="C454" s="206">
        <v>1</v>
      </c>
      <c r="D454" s="226" t="s">
        <v>992</v>
      </c>
      <c r="E454" s="287">
        <v>33.33</v>
      </c>
      <c r="F454" s="188">
        <f t="shared" si="85"/>
        <v>0.2</v>
      </c>
      <c r="G454" s="62">
        <f t="shared" si="84"/>
        <v>26.663999999999998</v>
      </c>
      <c r="H454" s="86"/>
      <c r="I454" s="186"/>
      <c r="J454" s="238" t="s">
        <v>669</v>
      </c>
      <c r="K454" s="83" t="s">
        <v>231</v>
      </c>
      <c r="L454" s="100" t="s">
        <v>628</v>
      </c>
      <c r="M454" s="219" t="s">
        <v>1370</v>
      </c>
      <c r="N454" s="205" t="s">
        <v>1371</v>
      </c>
      <c r="O454" s="206">
        <v>1</v>
      </c>
      <c r="P454" s="226" t="s">
        <v>992</v>
      </c>
      <c r="Q454" s="287">
        <v>33.33</v>
      </c>
      <c r="R454" s="188">
        <v>0.2</v>
      </c>
      <c r="S454" s="62">
        <v>26.663999999999998</v>
      </c>
      <c r="T454" s="86"/>
      <c r="U454" s="186"/>
      <c r="V454" s="238" t="s">
        <v>669</v>
      </c>
      <c r="W454" s="83" t="s">
        <v>231</v>
      </c>
      <c r="X454" s="100" t="s">
        <v>628</v>
      </c>
    </row>
    <row r="455" spans="1:24" s="1" customFormat="1">
      <c r="A455" s="219" t="s">
        <v>1372</v>
      </c>
      <c r="B455" s="205" t="s">
        <v>1373</v>
      </c>
      <c r="C455" s="206">
        <v>1</v>
      </c>
      <c r="D455" s="226" t="s">
        <v>992</v>
      </c>
      <c r="E455" s="287">
        <v>33.33</v>
      </c>
      <c r="F455" s="188">
        <f t="shared" si="85"/>
        <v>0.2</v>
      </c>
      <c r="G455" s="62">
        <f t="shared" si="84"/>
        <v>26.663999999999998</v>
      </c>
      <c r="H455" s="86"/>
      <c r="I455" s="186"/>
      <c r="J455" s="238" t="s">
        <v>669</v>
      </c>
      <c r="K455" s="83" t="s">
        <v>231</v>
      </c>
      <c r="L455" s="100" t="s">
        <v>628</v>
      </c>
      <c r="M455" s="219" t="s">
        <v>1372</v>
      </c>
      <c r="N455" s="205" t="s">
        <v>1373</v>
      </c>
      <c r="O455" s="206">
        <v>1</v>
      </c>
      <c r="P455" s="226" t="s">
        <v>992</v>
      </c>
      <c r="Q455" s="287">
        <v>33.33</v>
      </c>
      <c r="R455" s="188">
        <v>0.2</v>
      </c>
      <c r="S455" s="62">
        <v>26.663999999999998</v>
      </c>
      <c r="T455" s="86"/>
      <c r="U455" s="186"/>
      <c r="V455" s="238" t="s">
        <v>669</v>
      </c>
      <c r="W455" s="83" t="s">
        <v>231</v>
      </c>
      <c r="X455" s="100" t="s">
        <v>628</v>
      </c>
    </row>
    <row r="456" spans="1:24" s="1" customFormat="1">
      <c r="A456" s="219" t="s">
        <v>1374</v>
      </c>
      <c r="B456" s="205" t="s">
        <v>2881</v>
      </c>
      <c r="C456" s="206">
        <v>1</v>
      </c>
      <c r="D456" s="226" t="s">
        <v>1375</v>
      </c>
      <c r="E456" s="287">
        <v>54.95</v>
      </c>
      <c r="F456" s="188">
        <f t="shared" ref="F456:F468" si="86">rv_20</f>
        <v>0.2</v>
      </c>
      <c r="G456" s="62">
        <f t="shared" si="84"/>
        <v>43.96</v>
      </c>
      <c r="H456" s="86"/>
      <c r="I456" s="186"/>
      <c r="J456" s="238" t="s">
        <v>669</v>
      </c>
      <c r="K456" s="83" t="s">
        <v>231</v>
      </c>
      <c r="L456" s="100" t="s">
        <v>628</v>
      </c>
      <c r="M456" s="219" t="s">
        <v>1374</v>
      </c>
      <c r="N456" s="205" t="s">
        <v>2881</v>
      </c>
      <c r="O456" s="206">
        <v>1</v>
      </c>
      <c r="P456" s="226" t="s">
        <v>1375</v>
      </c>
      <c r="Q456" s="287">
        <v>54.95</v>
      </c>
      <c r="R456" s="188">
        <v>0.2</v>
      </c>
      <c r="S456" s="62">
        <v>43.96</v>
      </c>
      <c r="T456" s="86"/>
      <c r="U456" s="186"/>
      <c r="V456" s="238" t="s">
        <v>669</v>
      </c>
      <c r="W456" s="83" t="s">
        <v>231</v>
      </c>
      <c r="X456" s="100" t="s">
        <v>628</v>
      </c>
    </row>
    <row r="457" spans="1:24" s="1" customFormat="1">
      <c r="A457" s="219" t="s">
        <v>1376</v>
      </c>
      <c r="B457" s="205" t="s">
        <v>2882</v>
      </c>
      <c r="C457" s="206">
        <v>1</v>
      </c>
      <c r="D457" s="226" t="s">
        <v>1375</v>
      </c>
      <c r="E457" s="287">
        <v>54.95</v>
      </c>
      <c r="F457" s="188">
        <f t="shared" si="86"/>
        <v>0.2</v>
      </c>
      <c r="G457" s="62">
        <f t="shared" si="84"/>
        <v>43.96</v>
      </c>
      <c r="H457" s="86"/>
      <c r="I457" s="186"/>
      <c r="J457" s="238" t="s">
        <v>669</v>
      </c>
      <c r="K457" s="83" t="s">
        <v>231</v>
      </c>
      <c r="L457" s="100" t="s">
        <v>628</v>
      </c>
      <c r="M457" s="219" t="s">
        <v>1376</v>
      </c>
      <c r="N457" s="205" t="s">
        <v>2882</v>
      </c>
      <c r="O457" s="206">
        <v>1</v>
      </c>
      <c r="P457" s="226" t="s">
        <v>1375</v>
      </c>
      <c r="Q457" s="287">
        <v>54.95</v>
      </c>
      <c r="R457" s="188">
        <v>0.2</v>
      </c>
      <c r="S457" s="62">
        <v>43.96</v>
      </c>
      <c r="T457" s="86"/>
      <c r="U457" s="186"/>
      <c r="V457" s="238" t="s">
        <v>669</v>
      </c>
      <c r="W457" s="83" t="s">
        <v>231</v>
      </c>
      <c r="X457" s="100" t="s">
        <v>628</v>
      </c>
    </row>
    <row r="458" spans="1:24" s="1" customFormat="1">
      <c r="A458" s="219" t="s">
        <v>1377</v>
      </c>
      <c r="B458" s="205" t="s">
        <v>2883</v>
      </c>
      <c r="C458" s="206">
        <v>1</v>
      </c>
      <c r="D458" s="226" t="s">
        <v>1375</v>
      </c>
      <c r="E458" s="287">
        <v>59.95</v>
      </c>
      <c r="F458" s="188">
        <f t="shared" si="86"/>
        <v>0.2</v>
      </c>
      <c r="G458" s="62">
        <f t="shared" si="84"/>
        <v>47.96</v>
      </c>
      <c r="H458" s="86"/>
      <c r="I458" s="186"/>
      <c r="J458" s="238" t="s">
        <v>669</v>
      </c>
      <c r="K458" s="83" t="s">
        <v>231</v>
      </c>
      <c r="L458" s="100" t="s">
        <v>628</v>
      </c>
      <c r="M458" s="219" t="s">
        <v>1377</v>
      </c>
      <c r="N458" s="205" t="s">
        <v>2883</v>
      </c>
      <c r="O458" s="206">
        <v>1</v>
      </c>
      <c r="P458" s="226" t="s">
        <v>1375</v>
      </c>
      <c r="Q458" s="287">
        <v>59.95</v>
      </c>
      <c r="R458" s="188">
        <v>0.2</v>
      </c>
      <c r="S458" s="62">
        <v>47.96</v>
      </c>
      <c r="T458" s="86"/>
      <c r="U458" s="186"/>
      <c r="V458" s="238" t="s">
        <v>669</v>
      </c>
      <c r="W458" s="83" t="s">
        <v>231</v>
      </c>
      <c r="X458" s="100" t="s">
        <v>628</v>
      </c>
    </row>
    <row r="459" spans="1:24" s="1" customFormat="1">
      <c r="A459" s="219" t="s">
        <v>1378</v>
      </c>
      <c r="B459" s="205" t="s">
        <v>2884</v>
      </c>
      <c r="C459" s="206">
        <v>1</v>
      </c>
      <c r="D459" s="226" t="s">
        <v>1375</v>
      </c>
      <c r="E459" s="287">
        <v>59.95</v>
      </c>
      <c r="F459" s="188">
        <f t="shared" si="86"/>
        <v>0.2</v>
      </c>
      <c r="G459" s="62">
        <f t="shared" si="84"/>
        <v>47.96</v>
      </c>
      <c r="H459" s="86"/>
      <c r="I459" s="186"/>
      <c r="J459" s="238" t="s">
        <v>669</v>
      </c>
      <c r="K459" s="83" t="s">
        <v>231</v>
      </c>
      <c r="L459" s="100" t="s">
        <v>628</v>
      </c>
      <c r="M459" s="219" t="s">
        <v>1378</v>
      </c>
      <c r="N459" s="205" t="s">
        <v>2884</v>
      </c>
      <c r="O459" s="206">
        <v>1</v>
      </c>
      <c r="P459" s="226" t="s">
        <v>1375</v>
      </c>
      <c r="Q459" s="287">
        <v>59.95</v>
      </c>
      <c r="R459" s="188">
        <v>0.2</v>
      </c>
      <c r="S459" s="62">
        <v>47.96</v>
      </c>
      <c r="T459" s="86"/>
      <c r="U459" s="186"/>
      <c r="V459" s="238" t="s">
        <v>669</v>
      </c>
      <c r="W459" s="83" t="s">
        <v>231</v>
      </c>
      <c r="X459" s="100" t="s">
        <v>628</v>
      </c>
    </row>
    <row r="460" spans="1:24" s="1" customFormat="1">
      <c r="A460" s="219" t="s">
        <v>1379</v>
      </c>
      <c r="B460" s="205" t="s">
        <v>1380</v>
      </c>
      <c r="C460" s="206">
        <v>1</v>
      </c>
      <c r="D460" s="226" t="s">
        <v>1375</v>
      </c>
      <c r="E460" s="287">
        <v>59.95</v>
      </c>
      <c r="F460" s="188">
        <f t="shared" si="86"/>
        <v>0.2</v>
      </c>
      <c r="G460" s="62">
        <f t="shared" si="84"/>
        <v>47.96</v>
      </c>
      <c r="H460" s="86"/>
      <c r="I460" s="186"/>
      <c r="J460" s="238" t="s">
        <v>669</v>
      </c>
      <c r="K460" s="83" t="s">
        <v>231</v>
      </c>
      <c r="L460" s="100" t="s">
        <v>628</v>
      </c>
      <c r="M460" s="219" t="s">
        <v>1379</v>
      </c>
      <c r="N460" s="205" t="s">
        <v>1380</v>
      </c>
      <c r="O460" s="206">
        <v>1</v>
      </c>
      <c r="P460" s="226" t="s">
        <v>1375</v>
      </c>
      <c r="Q460" s="287">
        <v>59.95</v>
      </c>
      <c r="R460" s="188">
        <v>0.2</v>
      </c>
      <c r="S460" s="62">
        <v>47.96</v>
      </c>
      <c r="T460" s="86"/>
      <c r="U460" s="186"/>
      <c r="V460" s="238" t="s">
        <v>669</v>
      </c>
      <c r="W460" s="83" t="s">
        <v>231</v>
      </c>
      <c r="X460" s="100" t="s">
        <v>628</v>
      </c>
    </row>
    <row r="461" spans="1:24" s="1" customFormat="1">
      <c r="A461" s="219" t="s">
        <v>1381</v>
      </c>
      <c r="B461" s="205" t="s">
        <v>1382</v>
      </c>
      <c r="C461" s="206">
        <v>1</v>
      </c>
      <c r="D461" s="226" t="s">
        <v>1375</v>
      </c>
      <c r="E461" s="287">
        <v>59.95</v>
      </c>
      <c r="F461" s="188">
        <f t="shared" si="86"/>
        <v>0.2</v>
      </c>
      <c r="G461" s="62">
        <f t="shared" si="84"/>
        <v>47.96</v>
      </c>
      <c r="H461" s="86"/>
      <c r="I461" s="186"/>
      <c r="J461" s="238" t="s">
        <v>669</v>
      </c>
      <c r="K461" s="83" t="s">
        <v>231</v>
      </c>
      <c r="L461" s="100" t="s">
        <v>628</v>
      </c>
      <c r="M461" s="219" t="s">
        <v>1381</v>
      </c>
      <c r="N461" s="205" t="s">
        <v>1382</v>
      </c>
      <c r="O461" s="206">
        <v>1</v>
      </c>
      <c r="P461" s="226" t="s">
        <v>1375</v>
      </c>
      <c r="Q461" s="287">
        <v>59.95</v>
      </c>
      <c r="R461" s="188">
        <v>0.2</v>
      </c>
      <c r="S461" s="62">
        <v>47.96</v>
      </c>
      <c r="T461" s="86"/>
      <c r="U461" s="186"/>
      <c r="V461" s="238" t="s">
        <v>669</v>
      </c>
      <c r="W461" s="83" t="s">
        <v>231</v>
      </c>
      <c r="X461" s="100" t="s">
        <v>628</v>
      </c>
    </row>
    <row r="462" spans="1:24" s="1" customFormat="1">
      <c r="A462" s="219" t="s">
        <v>2383</v>
      </c>
      <c r="B462" s="205" t="s">
        <v>2379</v>
      </c>
      <c r="C462" s="206">
        <v>1</v>
      </c>
      <c r="D462" s="226" t="s">
        <v>1375</v>
      </c>
      <c r="E462" s="287">
        <v>74.95</v>
      </c>
      <c r="F462" s="188">
        <f t="shared" si="86"/>
        <v>0.2</v>
      </c>
      <c r="G462" s="62">
        <f t="shared" si="84"/>
        <v>59.96</v>
      </c>
      <c r="H462" s="86"/>
      <c r="I462" s="186"/>
      <c r="J462" s="238" t="s">
        <v>669</v>
      </c>
      <c r="K462" s="83" t="s">
        <v>231</v>
      </c>
      <c r="L462" s="100" t="s">
        <v>628</v>
      </c>
      <c r="M462" s="219" t="s">
        <v>2383</v>
      </c>
      <c r="N462" s="205" t="s">
        <v>2379</v>
      </c>
      <c r="O462" s="206">
        <v>1</v>
      </c>
      <c r="P462" s="226" t="s">
        <v>1375</v>
      </c>
      <c r="Q462" s="287">
        <v>74.95</v>
      </c>
      <c r="R462" s="188">
        <v>0.2</v>
      </c>
      <c r="S462" s="62">
        <v>59.96</v>
      </c>
      <c r="T462" s="86"/>
      <c r="U462" s="186"/>
      <c r="V462" s="238" t="s">
        <v>669</v>
      </c>
      <c r="W462" s="83" t="s">
        <v>231</v>
      </c>
      <c r="X462" s="100" t="s">
        <v>628</v>
      </c>
    </row>
    <row r="463" spans="1:24" s="1" customFormat="1">
      <c r="A463" s="219" t="s">
        <v>1385</v>
      </c>
      <c r="B463" s="205" t="s">
        <v>2380</v>
      </c>
      <c r="C463" s="206">
        <v>1</v>
      </c>
      <c r="D463" s="226" t="s">
        <v>1375</v>
      </c>
      <c r="E463" s="287">
        <v>74.95</v>
      </c>
      <c r="F463" s="188">
        <f t="shared" si="86"/>
        <v>0.2</v>
      </c>
      <c r="G463" s="62">
        <f t="shared" si="84"/>
        <v>59.96</v>
      </c>
      <c r="H463" s="86"/>
      <c r="I463" s="186"/>
      <c r="J463" s="238" t="s">
        <v>669</v>
      </c>
      <c r="K463" s="83" t="s">
        <v>231</v>
      </c>
      <c r="L463" s="100" t="s">
        <v>628</v>
      </c>
      <c r="M463" s="219" t="s">
        <v>1385</v>
      </c>
      <c r="N463" s="205" t="s">
        <v>2380</v>
      </c>
      <c r="O463" s="206">
        <v>1</v>
      </c>
      <c r="P463" s="226" t="s">
        <v>1375</v>
      </c>
      <c r="Q463" s="287">
        <v>74.95</v>
      </c>
      <c r="R463" s="188">
        <v>0.2</v>
      </c>
      <c r="S463" s="62">
        <v>59.96</v>
      </c>
      <c r="T463" s="86"/>
      <c r="U463" s="186"/>
      <c r="V463" s="238" t="s">
        <v>669</v>
      </c>
      <c r="W463" s="83" t="s">
        <v>231</v>
      </c>
      <c r="X463" s="100" t="s">
        <v>628</v>
      </c>
    </row>
    <row r="464" spans="1:24" s="1" customFormat="1">
      <c r="A464" s="219" t="s">
        <v>1383</v>
      </c>
      <c r="B464" s="205" t="s">
        <v>2381</v>
      </c>
      <c r="C464" s="206">
        <v>1</v>
      </c>
      <c r="D464" s="226" t="s">
        <v>1375</v>
      </c>
      <c r="E464" s="287">
        <v>59.95</v>
      </c>
      <c r="F464" s="188">
        <f t="shared" si="86"/>
        <v>0.2</v>
      </c>
      <c r="G464" s="62">
        <f t="shared" si="84"/>
        <v>47.96</v>
      </c>
      <c r="H464" s="86"/>
      <c r="I464" s="186"/>
      <c r="J464" s="238" t="s">
        <v>669</v>
      </c>
      <c r="K464" s="83" t="s">
        <v>231</v>
      </c>
      <c r="L464" s="100" t="s">
        <v>628</v>
      </c>
      <c r="M464" s="219" t="s">
        <v>1383</v>
      </c>
      <c r="N464" s="205" t="s">
        <v>2381</v>
      </c>
      <c r="O464" s="206">
        <v>1</v>
      </c>
      <c r="P464" s="226" t="s">
        <v>1375</v>
      </c>
      <c r="Q464" s="287">
        <v>59.95</v>
      </c>
      <c r="R464" s="188">
        <v>0.2</v>
      </c>
      <c r="S464" s="62">
        <v>47.96</v>
      </c>
      <c r="T464" s="86"/>
      <c r="U464" s="186"/>
      <c r="V464" s="238" t="s">
        <v>669</v>
      </c>
      <c r="W464" s="83" t="s">
        <v>231</v>
      </c>
      <c r="X464" s="100" t="s">
        <v>628</v>
      </c>
    </row>
    <row r="465" spans="1:24" s="1" customFormat="1">
      <c r="A465" s="219" t="s">
        <v>1384</v>
      </c>
      <c r="B465" s="205" t="s">
        <v>2382</v>
      </c>
      <c r="C465" s="206">
        <v>1</v>
      </c>
      <c r="D465" s="226" t="s">
        <v>1375</v>
      </c>
      <c r="E465" s="287">
        <v>59.95</v>
      </c>
      <c r="F465" s="188">
        <f t="shared" si="86"/>
        <v>0.2</v>
      </c>
      <c r="G465" s="62">
        <f t="shared" si="84"/>
        <v>47.96</v>
      </c>
      <c r="H465" s="86"/>
      <c r="I465" s="186"/>
      <c r="J465" s="238" t="s">
        <v>669</v>
      </c>
      <c r="K465" s="83" t="s">
        <v>231</v>
      </c>
      <c r="L465" s="100" t="s">
        <v>628</v>
      </c>
      <c r="M465" s="219" t="s">
        <v>1384</v>
      </c>
      <c r="N465" s="205" t="s">
        <v>2382</v>
      </c>
      <c r="O465" s="206">
        <v>1</v>
      </c>
      <c r="P465" s="226" t="s">
        <v>1375</v>
      </c>
      <c r="Q465" s="287">
        <v>59.95</v>
      </c>
      <c r="R465" s="188">
        <v>0.2</v>
      </c>
      <c r="S465" s="62">
        <v>47.96</v>
      </c>
      <c r="T465" s="86"/>
      <c r="U465" s="186"/>
      <c r="V465" s="238" t="s">
        <v>669</v>
      </c>
      <c r="W465" s="83" t="s">
        <v>231</v>
      </c>
      <c r="X465" s="100" t="s">
        <v>628</v>
      </c>
    </row>
    <row r="466" spans="1:24" s="1" customFormat="1">
      <c r="A466" s="219" t="s">
        <v>2375</v>
      </c>
      <c r="B466" s="205" t="s">
        <v>2376</v>
      </c>
      <c r="C466" s="206">
        <v>1</v>
      </c>
      <c r="D466" s="226" t="s">
        <v>1375</v>
      </c>
      <c r="E466" s="287">
        <v>74.95</v>
      </c>
      <c r="F466" s="188">
        <f t="shared" si="86"/>
        <v>0.2</v>
      </c>
      <c r="G466" s="62">
        <f t="shared" si="84"/>
        <v>59.96</v>
      </c>
      <c r="H466" s="86"/>
      <c r="I466" s="186"/>
      <c r="J466" s="238" t="s">
        <v>669</v>
      </c>
      <c r="K466" s="83" t="s">
        <v>231</v>
      </c>
      <c r="L466" s="100" t="s">
        <v>628</v>
      </c>
      <c r="M466" s="219" t="s">
        <v>2375</v>
      </c>
      <c r="N466" s="205" t="s">
        <v>2376</v>
      </c>
      <c r="O466" s="206">
        <v>1</v>
      </c>
      <c r="P466" s="226" t="s">
        <v>1375</v>
      </c>
      <c r="Q466" s="287">
        <v>74.95</v>
      </c>
      <c r="R466" s="188">
        <v>0.2</v>
      </c>
      <c r="S466" s="62">
        <v>59.96</v>
      </c>
      <c r="T466" s="86"/>
      <c r="U466" s="186"/>
      <c r="V466" s="238" t="s">
        <v>669</v>
      </c>
      <c r="W466" s="83" t="s">
        <v>231</v>
      </c>
      <c r="X466" s="100" t="s">
        <v>628</v>
      </c>
    </row>
    <row r="467" spans="1:24" s="1" customFormat="1">
      <c r="A467" s="219" t="s">
        <v>2373</v>
      </c>
      <c r="B467" s="205" t="s">
        <v>2377</v>
      </c>
      <c r="C467" s="206">
        <v>1</v>
      </c>
      <c r="D467" s="226" t="s">
        <v>1375</v>
      </c>
      <c r="E467" s="287">
        <v>74.95</v>
      </c>
      <c r="F467" s="188">
        <f t="shared" si="86"/>
        <v>0.2</v>
      </c>
      <c r="G467" s="62">
        <f t="shared" si="84"/>
        <v>59.96</v>
      </c>
      <c r="H467" s="86"/>
      <c r="I467" s="186"/>
      <c r="J467" s="238" t="s">
        <v>669</v>
      </c>
      <c r="K467" s="83" t="s">
        <v>231</v>
      </c>
      <c r="L467" s="100" t="s">
        <v>628</v>
      </c>
      <c r="M467" s="219" t="s">
        <v>2373</v>
      </c>
      <c r="N467" s="205" t="s">
        <v>2377</v>
      </c>
      <c r="O467" s="206">
        <v>1</v>
      </c>
      <c r="P467" s="226" t="s">
        <v>1375</v>
      </c>
      <c r="Q467" s="287">
        <v>74.95</v>
      </c>
      <c r="R467" s="188">
        <v>0.2</v>
      </c>
      <c r="S467" s="62">
        <v>59.96</v>
      </c>
      <c r="T467" s="86"/>
      <c r="U467" s="186"/>
      <c r="V467" s="238" t="s">
        <v>669</v>
      </c>
      <c r="W467" s="83" t="s">
        <v>231</v>
      </c>
      <c r="X467" s="100" t="s">
        <v>628</v>
      </c>
    </row>
    <row r="468" spans="1:24" s="1" customFormat="1">
      <c r="A468" s="219" t="s">
        <v>2374</v>
      </c>
      <c r="B468" s="205" t="s">
        <v>2378</v>
      </c>
      <c r="C468" s="206">
        <v>1</v>
      </c>
      <c r="D468" s="226" t="s">
        <v>1375</v>
      </c>
      <c r="E468" s="287">
        <v>74.95</v>
      </c>
      <c r="F468" s="188">
        <f t="shared" si="86"/>
        <v>0.2</v>
      </c>
      <c r="G468" s="62">
        <f t="shared" si="84"/>
        <v>59.96</v>
      </c>
      <c r="H468" s="86"/>
      <c r="I468" s="186"/>
      <c r="J468" s="238" t="s">
        <v>669</v>
      </c>
      <c r="K468" s="83" t="s">
        <v>231</v>
      </c>
      <c r="L468" s="100" t="s">
        <v>628</v>
      </c>
      <c r="M468" s="219" t="s">
        <v>2374</v>
      </c>
      <c r="N468" s="205" t="s">
        <v>2378</v>
      </c>
      <c r="O468" s="206">
        <v>1</v>
      </c>
      <c r="P468" s="226" t="s">
        <v>1375</v>
      </c>
      <c r="Q468" s="287">
        <v>74.95</v>
      </c>
      <c r="R468" s="188">
        <v>0.2</v>
      </c>
      <c r="S468" s="62">
        <v>59.96</v>
      </c>
      <c r="T468" s="86"/>
      <c r="U468" s="186"/>
      <c r="V468" s="238" t="s">
        <v>669</v>
      </c>
      <c r="W468" s="83" t="s">
        <v>231</v>
      </c>
      <c r="X468" s="100" t="s">
        <v>628</v>
      </c>
    </row>
    <row r="469" spans="1:24" s="1" customFormat="1">
      <c r="A469" s="219" t="s">
        <v>1386</v>
      </c>
      <c r="B469" s="205" t="s">
        <v>1387</v>
      </c>
      <c r="C469" s="206">
        <v>1</v>
      </c>
      <c r="D469" s="226" t="s">
        <v>1388</v>
      </c>
      <c r="E469" s="287">
        <v>39</v>
      </c>
      <c r="F469" s="188">
        <f t="shared" ref="F469:F498" si="87">rv_20</f>
        <v>0.2</v>
      </c>
      <c r="G469" s="62">
        <f t="shared" si="84"/>
        <v>31.2</v>
      </c>
      <c r="H469" s="86"/>
      <c r="I469" s="186"/>
      <c r="J469" s="238" t="s">
        <v>669</v>
      </c>
      <c r="K469" s="83" t="s">
        <v>231</v>
      </c>
      <c r="L469" s="100" t="s">
        <v>628</v>
      </c>
      <c r="M469" s="219" t="s">
        <v>1386</v>
      </c>
      <c r="N469" s="205" t="s">
        <v>1387</v>
      </c>
      <c r="O469" s="206">
        <v>1</v>
      </c>
      <c r="P469" s="226" t="s">
        <v>1388</v>
      </c>
      <c r="Q469" s="287">
        <v>39</v>
      </c>
      <c r="R469" s="188">
        <v>0.2</v>
      </c>
      <c r="S469" s="62">
        <v>31.2</v>
      </c>
      <c r="T469" s="86"/>
      <c r="U469" s="186"/>
      <c r="V469" s="238" t="s">
        <v>669</v>
      </c>
      <c r="W469" s="83" t="s">
        <v>231</v>
      </c>
      <c r="X469" s="100" t="s">
        <v>628</v>
      </c>
    </row>
    <row r="470" spans="1:24" s="1" customFormat="1">
      <c r="A470" s="219" t="s">
        <v>1389</v>
      </c>
      <c r="B470" s="205" t="s">
        <v>1390</v>
      </c>
      <c r="C470" s="206">
        <v>1</v>
      </c>
      <c r="D470" s="226" t="s">
        <v>1388</v>
      </c>
      <c r="E470" s="287">
        <v>40.909999999999997</v>
      </c>
      <c r="F470" s="188">
        <f t="shared" si="87"/>
        <v>0.2</v>
      </c>
      <c r="G470" s="62">
        <f t="shared" ref="G470:G498" si="88">E470-(E470*F470)</f>
        <v>32.727999999999994</v>
      </c>
      <c r="H470" s="86"/>
      <c r="I470" s="186"/>
      <c r="J470" s="238" t="s">
        <v>669</v>
      </c>
      <c r="K470" s="83" t="s">
        <v>231</v>
      </c>
      <c r="L470" s="100" t="s">
        <v>628</v>
      </c>
      <c r="M470" s="219" t="s">
        <v>1389</v>
      </c>
      <c r="N470" s="205" t="s">
        <v>1390</v>
      </c>
      <c r="O470" s="206">
        <v>1</v>
      </c>
      <c r="P470" s="226" t="s">
        <v>1388</v>
      </c>
      <c r="Q470" s="287">
        <v>40.909999999999997</v>
      </c>
      <c r="R470" s="188">
        <v>0.2</v>
      </c>
      <c r="S470" s="62">
        <v>32.727999999999994</v>
      </c>
      <c r="T470" s="86"/>
      <c r="U470" s="186"/>
      <c r="V470" s="238" t="s">
        <v>669</v>
      </c>
      <c r="W470" s="83" t="s">
        <v>231</v>
      </c>
      <c r="X470" s="100" t="s">
        <v>628</v>
      </c>
    </row>
    <row r="471" spans="1:24" s="1" customFormat="1">
      <c r="A471" s="219" t="s">
        <v>2533</v>
      </c>
      <c r="B471" s="205" t="s">
        <v>2534</v>
      </c>
      <c r="C471" s="206">
        <v>1</v>
      </c>
      <c r="D471" s="226" t="s">
        <v>1388</v>
      </c>
      <c r="E471" s="287">
        <v>45.99</v>
      </c>
      <c r="F471" s="188">
        <f t="shared" si="87"/>
        <v>0.2</v>
      </c>
      <c r="G471" s="62">
        <f t="shared" ref="G471" si="89">E471-(E471*F471)</f>
        <v>36.792000000000002</v>
      </c>
      <c r="H471" s="86"/>
      <c r="I471" s="186"/>
      <c r="J471" s="238" t="s">
        <v>669</v>
      </c>
      <c r="K471" s="83" t="s">
        <v>231</v>
      </c>
      <c r="L471" s="100" t="s">
        <v>628</v>
      </c>
      <c r="M471" s="219" t="s">
        <v>2533</v>
      </c>
      <c r="N471" s="205" t="s">
        <v>2534</v>
      </c>
      <c r="O471" s="206">
        <v>1</v>
      </c>
      <c r="P471" s="226" t="s">
        <v>1388</v>
      </c>
      <c r="Q471" s="287">
        <v>45.99</v>
      </c>
      <c r="R471" s="188">
        <v>0.2</v>
      </c>
      <c r="S471" s="62">
        <v>36.792000000000002</v>
      </c>
      <c r="T471" s="86"/>
      <c r="U471" s="186"/>
      <c r="V471" s="238" t="s">
        <v>669</v>
      </c>
      <c r="W471" s="83" t="s">
        <v>231</v>
      </c>
      <c r="X471" s="100" t="s">
        <v>628</v>
      </c>
    </row>
    <row r="472" spans="1:24" s="1" customFormat="1">
      <c r="A472" s="219" t="s">
        <v>1391</v>
      </c>
      <c r="B472" s="205" t="s">
        <v>1392</v>
      </c>
      <c r="C472" s="206">
        <v>1</v>
      </c>
      <c r="D472" s="226" t="s">
        <v>1388</v>
      </c>
      <c r="E472" s="287">
        <v>45.99</v>
      </c>
      <c r="F472" s="188">
        <f t="shared" si="87"/>
        <v>0.2</v>
      </c>
      <c r="G472" s="62">
        <f t="shared" si="88"/>
        <v>36.792000000000002</v>
      </c>
      <c r="H472" s="86"/>
      <c r="I472" s="186"/>
      <c r="J472" s="238" t="s">
        <v>669</v>
      </c>
      <c r="K472" s="83" t="s">
        <v>231</v>
      </c>
      <c r="L472" s="100" t="s">
        <v>628</v>
      </c>
      <c r="M472" s="219" t="s">
        <v>1391</v>
      </c>
      <c r="N472" s="205" t="s">
        <v>1392</v>
      </c>
      <c r="O472" s="206">
        <v>1</v>
      </c>
      <c r="P472" s="226" t="s">
        <v>1388</v>
      </c>
      <c r="Q472" s="287">
        <v>45.99</v>
      </c>
      <c r="R472" s="188">
        <v>0.2</v>
      </c>
      <c r="S472" s="62">
        <v>36.792000000000002</v>
      </c>
      <c r="T472" s="86"/>
      <c r="U472" s="186"/>
      <c r="V472" s="238" t="s">
        <v>669</v>
      </c>
      <c r="W472" s="83" t="s">
        <v>231</v>
      </c>
      <c r="X472" s="100" t="s">
        <v>628</v>
      </c>
    </row>
    <row r="473" spans="1:24" s="1" customFormat="1">
      <c r="A473" s="219" t="s">
        <v>1393</v>
      </c>
      <c r="B473" s="205" t="s">
        <v>1394</v>
      </c>
      <c r="C473" s="206">
        <v>1</v>
      </c>
      <c r="D473" s="226" t="s">
        <v>1388</v>
      </c>
      <c r="E473" s="287">
        <v>45.99</v>
      </c>
      <c r="F473" s="188">
        <f t="shared" si="87"/>
        <v>0.2</v>
      </c>
      <c r="G473" s="62">
        <f t="shared" si="88"/>
        <v>36.792000000000002</v>
      </c>
      <c r="H473" s="86"/>
      <c r="I473" s="186"/>
      <c r="J473" s="238" t="s">
        <v>669</v>
      </c>
      <c r="K473" s="83" t="s">
        <v>231</v>
      </c>
      <c r="L473" s="100" t="s">
        <v>628</v>
      </c>
      <c r="M473" s="219" t="s">
        <v>1393</v>
      </c>
      <c r="N473" s="205" t="s">
        <v>1394</v>
      </c>
      <c r="O473" s="206">
        <v>1</v>
      </c>
      <c r="P473" s="226" t="s">
        <v>1388</v>
      </c>
      <c r="Q473" s="287">
        <v>45.99</v>
      </c>
      <c r="R473" s="188">
        <v>0.2</v>
      </c>
      <c r="S473" s="62">
        <v>36.792000000000002</v>
      </c>
      <c r="T473" s="86"/>
      <c r="U473" s="186"/>
      <c r="V473" s="238" t="s">
        <v>669</v>
      </c>
      <c r="W473" s="83" t="s">
        <v>231</v>
      </c>
      <c r="X473" s="100" t="s">
        <v>628</v>
      </c>
    </row>
    <row r="474" spans="1:24" s="1" customFormat="1">
      <c r="A474" s="219" t="s">
        <v>1395</v>
      </c>
      <c r="B474" s="205" t="s">
        <v>1396</v>
      </c>
      <c r="C474" s="206">
        <v>1</v>
      </c>
      <c r="D474" s="226" t="s">
        <v>1388</v>
      </c>
      <c r="E474" s="287">
        <v>49.04</v>
      </c>
      <c r="F474" s="188">
        <f t="shared" si="87"/>
        <v>0.2</v>
      </c>
      <c r="G474" s="62">
        <f t="shared" si="88"/>
        <v>39.231999999999999</v>
      </c>
      <c r="H474" s="86"/>
      <c r="I474" s="186"/>
      <c r="J474" s="238" t="s">
        <v>669</v>
      </c>
      <c r="K474" s="83" t="s">
        <v>231</v>
      </c>
      <c r="L474" s="100" t="s">
        <v>628</v>
      </c>
      <c r="M474" s="219" t="s">
        <v>1395</v>
      </c>
      <c r="N474" s="205" t="s">
        <v>1396</v>
      </c>
      <c r="O474" s="206">
        <v>1</v>
      </c>
      <c r="P474" s="226" t="s">
        <v>1388</v>
      </c>
      <c r="Q474" s="287">
        <v>49.04</v>
      </c>
      <c r="R474" s="188">
        <v>0.2</v>
      </c>
      <c r="S474" s="62">
        <v>39.231999999999999</v>
      </c>
      <c r="T474" s="86"/>
      <c r="U474" s="186"/>
      <c r="V474" s="238" t="s">
        <v>669</v>
      </c>
      <c r="W474" s="83" t="s">
        <v>231</v>
      </c>
      <c r="X474" s="100" t="s">
        <v>628</v>
      </c>
    </row>
    <row r="475" spans="1:24" s="1" customFormat="1">
      <c r="A475" s="219" t="s">
        <v>1397</v>
      </c>
      <c r="B475" s="205" t="s">
        <v>1398</v>
      </c>
      <c r="C475" s="206">
        <v>1</v>
      </c>
      <c r="D475" s="226" t="s">
        <v>1388</v>
      </c>
      <c r="E475" s="287">
        <v>59.04</v>
      </c>
      <c r="F475" s="188">
        <f t="shared" si="87"/>
        <v>0.2</v>
      </c>
      <c r="G475" s="62">
        <f t="shared" si="88"/>
        <v>47.231999999999999</v>
      </c>
      <c r="H475" s="86"/>
      <c r="I475" s="186"/>
      <c r="J475" s="238" t="s">
        <v>669</v>
      </c>
      <c r="K475" s="83" t="s">
        <v>231</v>
      </c>
      <c r="L475" s="100" t="s">
        <v>628</v>
      </c>
      <c r="M475" s="219" t="s">
        <v>1397</v>
      </c>
      <c r="N475" s="205" t="s">
        <v>1398</v>
      </c>
      <c r="O475" s="206">
        <v>1</v>
      </c>
      <c r="P475" s="226" t="s">
        <v>1388</v>
      </c>
      <c r="Q475" s="287">
        <v>59.04</v>
      </c>
      <c r="R475" s="188">
        <v>0.2</v>
      </c>
      <c r="S475" s="62">
        <v>47.231999999999999</v>
      </c>
      <c r="T475" s="86"/>
      <c r="U475" s="186"/>
      <c r="V475" s="238" t="s">
        <v>669</v>
      </c>
      <c r="W475" s="83" t="s">
        <v>231</v>
      </c>
      <c r="X475" s="100" t="s">
        <v>628</v>
      </c>
    </row>
    <row r="476" spans="1:24" s="1" customFormat="1">
      <c r="A476" s="219" t="s">
        <v>1399</v>
      </c>
      <c r="B476" s="205" t="s">
        <v>2387</v>
      </c>
      <c r="C476" s="206">
        <v>1</v>
      </c>
      <c r="D476" s="226" t="s">
        <v>1388</v>
      </c>
      <c r="E476" s="287">
        <v>41.66</v>
      </c>
      <c r="F476" s="188">
        <f t="shared" si="87"/>
        <v>0.2</v>
      </c>
      <c r="G476" s="62">
        <f t="shared" si="88"/>
        <v>33.327999999999996</v>
      </c>
      <c r="H476" s="86"/>
      <c r="I476" s="186"/>
      <c r="J476" s="238" t="s">
        <v>669</v>
      </c>
      <c r="K476" s="83" t="s">
        <v>231</v>
      </c>
      <c r="L476" s="100" t="s">
        <v>628</v>
      </c>
      <c r="M476" s="219" t="s">
        <v>1399</v>
      </c>
      <c r="N476" s="205" t="s">
        <v>2387</v>
      </c>
      <c r="O476" s="206">
        <v>1</v>
      </c>
      <c r="P476" s="226" t="s">
        <v>1388</v>
      </c>
      <c r="Q476" s="287">
        <v>41.66</v>
      </c>
      <c r="R476" s="188">
        <v>0.2</v>
      </c>
      <c r="S476" s="62">
        <v>33.327999999999996</v>
      </c>
      <c r="T476" s="86"/>
      <c r="U476" s="186"/>
      <c r="V476" s="238" t="s">
        <v>669</v>
      </c>
      <c r="W476" s="83" t="s">
        <v>231</v>
      </c>
      <c r="X476" s="100" t="s">
        <v>628</v>
      </c>
    </row>
    <row r="477" spans="1:24" s="1" customFormat="1">
      <c r="A477" s="219" t="s">
        <v>2386</v>
      </c>
      <c r="B477" s="205" t="s">
        <v>2450</v>
      </c>
      <c r="C477" s="206">
        <v>1</v>
      </c>
      <c r="D477" s="226" t="s">
        <v>1388</v>
      </c>
      <c r="E477" s="287">
        <v>59.04</v>
      </c>
      <c r="F477" s="188">
        <f t="shared" si="87"/>
        <v>0.2</v>
      </c>
      <c r="G477" s="62">
        <f t="shared" si="88"/>
        <v>47.231999999999999</v>
      </c>
      <c r="H477" s="86"/>
      <c r="I477" s="186"/>
      <c r="J477" s="238" t="s">
        <v>669</v>
      </c>
      <c r="K477" s="83" t="s">
        <v>231</v>
      </c>
      <c r="L477" s="100" t="s">
        <v>628</v>
      </c>
      <c r="M477" s="219" t="s">
        <v>2386</v>
      </c>
      <c r="N477" s="205" t="s">
        <v>2450</v>
      </c>
      <c r="O477" s="206">
        <v>1</v>
      </c>
      <c r="P477" s="226" t="s">
        <v>1388</v>
      </c>
      <c r="Q477" s="287">
        <v>59.04</v>
      </c>
      <c r="R477" s="188">
        <v>0.2</v>
      </c>
      <c r="S477" s="62">
        <v>47.231999999999999</v>
      </c>
      <c r="T477" s="86"/>
      <c r="U477" s="186"/>
      <c r="V477" s="238" t="s">
        <v>669</v>
      </c>
      <c r="W477" s="83" t="s">
        <v>231</v>
      </c>
      <c r="X477" s="100" t="s">
        <v>628</v>
      </c>
    </row>
    <row r="478" spans="1:24" s="1" customFormat="1">
      <c r="A478" s="219" t="s">
        <v>2388</v>
      </c>
      <c r="B478" s="205" t="s">
        <v>2449</v>
      </c>
      <c r="C478" s="206">
        <v>1</v>
      </c>
      <c r="D478" s="226" t="s">
        <v>1388</v>
      </c>
      <c r="E478" s="287">
        <v>69.040000000000006</v>
      </c>
      <c r="F478" s="188">
        <f t="shared" si="87"/>
        <v>0.2</v>
      </c>
      <c r="G478" s="62">
        <f t="shared" si="88"/>
        <v>55.232000000000006</v>
      </c>
      <c r="H478" s="86"/>
      <c r="I478" s="186"/>
      <c r="J478" s="238" t="s">
        <v>669</v>
      </c>
      <c r="K478" s="83" t="s">
        <v>231</v>
      </c>
      <c r="L478" s="100" t="s">
        <v>628</v>
      </c>
      <c r="M478" s="219" t="s">
        <v>2388</v>
      </c>
      <c r="N478" s="205" t="s">
        <v>2449</v>
      </c>
      <c r="O478" s="206">
        <v>1</v>
      </c>
      <c r="P478" s="226" t="s">
        <v>1388</v>
      </c>
      <c r="Q478" s="287">
        <v>69.040000000000006</v>
      </c>
      <c r="R478" s="188">
        <v>0.2</v>
      </c>
      <c r="S478" s="62">
        <v>55.232000000000006</v>
      </c>
      <c r="T478" s="86"/>
      <c r="U478" s="186"/>
      <c r="V478" s="238" t="s">
        <v>669</v>
      </c>
      <c r="W478" s="83" t="s">
        <v>231</v>
      </c>
      <c r="X478" s="100" t="s">
        <v>628</v>
      </c>
    </row>
    <row r="479" spans="1:24" s="1" customFormat="1">
      <c r="A479" s="219" t="s">
        <v>2385</v>
      </c>
      <c r="B479" s="205" t="s">
        <v>2448</v>
      </c>
      <c r="C479" s="206">
        <v>1</v>
      </c>
      <c r="D479" s="226" t="s">
        <v>1388</v>
      </c>
      <c r="E479" s="287">
        <v>59.04</v>
      </c>
      <c r="F479" s="188">
        <f t="shared" si="87"/>
        <v>0.2</v>
      </c>
      <c r="G479" s="62">
        <f t="shared" si="88"/>
        <v>47.231999999999999</v>
      </c>
      <c r="H479" s="86"/>
      <c r="I479" s="186"/>
      <c r="J479" s="238" t="s">
        <v>669</v>
      </c>
      <c r="K479" s="83" t="s">
        <v>231</v>
      </c>
      <c r="L479" s="100" t="s">
        <v>628</v>
      </c>
      <c r="M479" s="219" t="s">
        <v>2385</v>
      </c>
      <c r="N479" s="205" t="s">
        <v>2448</v>
      </c>
      <c r="O479" s="206">
        <v>1</v>
      </c>
      <c r="P479" s="226" t="s">
        <v>1388</v>
      </c>
      <c r="Q479" s="287">
        <v>59.04</v>
      </c>
      <c r="R479" s="188">
        <v>0.2</v>
      </c>
      <c r="S479" s="62">
        <v>47.231999999999999</v>
      </c>
      <c r="T479" s="86"/>
      <c r="U479" s="186"/>
      <c r="V479" s="238" t="s">
        <v>669</v>
      </c>
      <c r="W479" s="83" t="s">
        <v>231</v>
      </c>
      <c r="X479" s="100" t="s">
        <v>628</v>
      </c>
    </row>
    <row r="480" spans="1:24" s="1" customFormat="1">
      <c r="A480" s="219" t="s">
        <v>2384</v>
      </c>
      <c r="B480" s="205" t="s">
        <v>2447</v>
      </c>
      <c r="C480" s="206">
        <v>1</v>
      </c>
      <c r="D480" s="226" t="s">
        <v>1388</v>
      </c>
      <c r="E480" s="287">
        <v>69.040000000000006</v>
      </c>
      <c r="F480" s="188">
        <f t="shared" si="87"/>
        <v>0.2</v>
      </c>
      <c r="G480" s="62">
        <f t="shared" si="88"/>
        <v>55.232000000000006</v>
      </c>
      <c r="H480" s="86"/>
      <c r="I480" s="186"/>
      <c r="J480" s="238" t="s">
        <v>669</v>
      </c>
      <c r="K480" s="83" t="s">
        <v>231</v>
      </c>
      <c r="L480" s="100" t="s">
        <v>628</v>
      </c>
      <c r="M480" s="219" t="s">
        <v>2384</v>
      </c>
      <c r="N480" s="205" t="s">
        <v>2447</v>
      </c>
      <c r="O480" s="206">
        <v>1</v>
      </c>
      <c r="P480" s="226" t="s">
        <v>1388</v>
      </c>
      <c r="Q480" s="287">
        <v>69.040000000000006</v>
      </c>
      <c r="R480" s="188">
        <v>0.2</v>
      </c>
      <c r="S480" s="62">
        <v>55.232000000000006</v>
      </c>
      <c r="T480" s="86"/>
      <c r="U480" s="186"/>
      <c r="V480" s="238" t="s">
        <v>669</v>
      </c>
      <c r="W480" s="83" t="s">
        <v>231</v>
      </c>
      <c r="X480" s="100" t="s">
        <v>628</v>
      </c>
    </row>
    <row r="481" spans="1:24" s="1" customFormat="1">
      <c r="A481" s="219" t="s">
        <v>2452</v>
      </c>
      <c r="B481" s="205" t="s">
        <v>2451</v>
      </c>
      <c r="C481" s="206">
        <v>1</v>
      </c>
      <c r="D481" s="226" t="s">
        <v>872</v>
      </c>
      <c r="E481" s="287">
        <v>33.33</v>
      </c>
      <c r="F481" s="188">
        <f t="shared" si="87"/>
        <v>0.2</v>
      </c>
      <c r="G481" s="62">
        <f t="shared" ref="G481" si="90">E481-(E481*F481)</f>
        <v>26.663999999999998</v>
      </c>
      <c r="H481" s="86"/>
      <c r="I481" s="186"/>
      <c r="J481" s="238" t="s">
        <v>669</v>
      </c>
      <c r="K481" s="83" t="s">
        <v>231</v>
      </c>
      <c r="L481" s="100" t="s">
        <v>628</v>
      </c>
      <c r="M481" s="219" t="s">
        <v>2452</v>
      </c>
      <c r="N481" s="205" t="s">
        <v>2451</v>
      </c>
      <c r="O481" s="206">
        <v>1</v>
      </c>
      <c r="P481" s="226" t="s">
        <v>872</v>
      </c>
      <c r="Q481" s="287">
        <v>33.33</v>
      </c>
      <c r="R481" s="188">
        <v>0.2</v>
      </c>
      <c r="S481" s="62">
        <v>26.663999999999998</v>
      </c>
      <c r="T481" s="86"/>
      <c r="U481" s="186"/>
      <c r="V481" s="238" t="s">
        <v>669</v>
      </c>
      <c r="W481" s="83" t="s">
        <v>231</v>
      </c>
      <c r="X481" s="100" t="s">
        <v>628</v>
      </c>
    </row>
    <row r="482" spans="1:24" s="1" customFormat="1">
      <c r="A482" s="219" t="s">
        <v>2453</v>
      </c>
      <c r="B482" s="205" t="s">
        <v>2455</v>
      </c>
      <c r="C482" s="206">
        <v>1</v>
      </c>
      <c r="D482" s="226" t="s">
        <v>872</v>
      </c>
      <c r="E482" s="287">
        <v>41.66</v>
      </c>
      <c r="F482" s="188">
        <f t="shared" si="87"/>
        <v>0.2</v>
      </c>
      <c r="G482" s="62">
        <f t="shared" ref="G482:G484" si="91">E482-(E482*F482)</f>
        <v>33.327999999999996</v>
      </c>
      <c r="H482" s="86"/>
      <c r="I482" s="186"/>
      <c r="J482" s="238" t="s">
        <v>669</v>
      </c>
      <c r="K482" s="83" t="s">
        <v>231</v>
      </c>
      <c r="L482" s="100" t="s">
        <v>628</v>
      </c>
      <c r="M482" s="219" t="s">
        <v>2453</v>
      </c>
      <c r="N482" s="205" t="s">
        <v>2455</v>
      </c>
      <c r="O482" s="206">
        <v>1</v>
      </c>
      <c r="P482" s="226" t="s">
        <v>872</v>
      </c>
      <c r="Q482" s="287">
        <v>41.66</v>
      </c>
      <c r="R482" s="188">
        <v>0.2</v>
      </c>
      <c r="S482" s="62">
        <v>33.327999999999996</v>
      </c>
      <c r="T482" s="86"/>
      <c r="U482" s="186"/>
      <c r="V482" s="238" t="s">
        <v>669</v>
      </c>
      <c r="W482" s="83" t="s">
        <v>231</v>
      </c>
      <c r="X482" s="100" t="s">
        <v>628</v>
      </c>
    </row>
    <row r="483" spans="1:24" s="1" customFormat="1">
      <c r="A483" s="219" t="s">
        <v>2454</v>
      </c>
      <c r="B483" s="205" t="s">
        <v>2465</v>
      </c>
      <c r="C483" s="206">
        <v>1</v>
      </c>
      <c r="D483" s="226" t="s">
        <v>872</v>
      </c>
      <c r="E483" s="287">
        <v>49.99</v>
      </c>
      <c r="F483" s="188">
        <f t="shared" si="87"/>
        <v>0.2</v>
      </c>
      <c r="G483" s="62">
        <f t="shared" si="91"/>
        <v>39.992000000000004</v>
      </c>
      <c r="H483" s="86"/>
      <c r="I483" s="186"/>
      <c r="J483" s="238" t="s">
        <v>669</v>
      </c>
      <c r="K483" s="83" t="s">
        <v>231</v>
      </c>
      <c r="L483" s="100" t="s">
        <v>628</v>
      </c>
      <c r="M483" s="219" t="s">
        <v>2454</v>
      </c>
      <c r="N483" s="205" t="s">
        <v>2465</v>
      </c>
      <c r="O483" s="206">
        <v>1</v>
      </c>
      <c r="P483" s="226" t="s">
        <v>872</v>
      </c>
      <c r="Q483" s="287">
        <v>49.99</v>
      </c>
      <c r="R483" s="188">
        <v>0.2</v>
      </c>
      <c r="S483" s="62">
        <v>39.992000000000004</v>
      </c>
      <c r="T483" s="86"/>
      <c r="U483" s="186"/>
      <c r="V483" s="238" t="s">
        <v>669</v>
      </c>
      <c r="W483" s="83" t="s">
        <v>231</v>
      </c>
      <c r="X483" s="100" t="s">
        <v>628</v>
      </c>
    </row>
    <row r="484" spans="1:24" s="1" customFormat="1">
      <c r="A484" s="219" t="s">
        <v>2456</v>
      </c>
      <c r="B484" s="205" t="s">
        <v>2466</v>
      </c>
      <c r="C484" s="206">
        <v>1</v>
      </c>
      <c r="D484" s="226" t="s">
        <v>872</v>
      </c>
      <c r="E484" s="287">
        <v>49.99</v>
      </c>
      <c r="F484" s="188">
        <f t="shared" si="87"/>
        <v>0.2</v>
      </c>
      <c r="G484" s="62">
        <f t="shared" si="91"/>
        <v>39.992000000000004</v>
      </c>
      <c r="H484" s="86"/>
      <c r="I484" s="186"/>
      <c r="J484" s="238" t="s">
        <v>669</v>
      </c>
      <c r="K484" s="83" t="s">
        <v>231</v>
      </c>
      <c r="L484" s="100" t="s">
        <v>628</v>
      </c>
      <c r="M484" s="219" t="s">
        <v>2456</v>
      </c>
      <c r="N484" s="205" t="s">
        <v>2466</v>
      </c>
      <c r="O484" s="206">
        <v>1</v>
      </c>
      <c r="P484" s="226" t="s">
        <v>872</v>
      </c>
      <c r="Q484" s="287">
        <v>49.99</v>
      </c>
      <c r="R484" s="188">
        <v>0.2</v>
      </c>
      <c r="S484" s="62">
        <v>39.992000000000004</v>
      </c>
      <c r="T484" s="86"/>
      <c r="U484" s="186"/>
      <c r="V484" s="238" t="s">
        <v>669</v>
      </c>
      <c r="W484" s="83" t="s">
        <v>231</v>
      </c>
      <c r="X484" s="100" t="s">
        <v>628</v>
      </c>
    </row>
    <row r="485" spans="1:24" s="1" customFormat="1">
      <c r="A485" s="219" t="s">
        <v>2457</v>
      </c>
      <c r="B485" s="205" t="s">
        <v>2464</v>
      </c>
      <c r="C485" s="206">
        <v>1</v>
      </c>
      <c r="D485" s="226" t="s">
        <v>872</v>
      </c>
      <c r="E485" s="287">
        <v>62.49</v>
      </c>
      <c r="F485" s="188">
        <f t="shared" si="87"/>
        <v>0.2</v>
      </c>
      <c r="G485" s="62">
        <f t="shared" ref="G485" si="92">E485-(E485*F485)</f>
        <v>49.992000000000004</v>
      </c>
      <c r="H485" s="86"/>
      <c r="I485" s="186"/>
      <c r="J485" s="238" t="s">
        <v>669</v>
      </c>
      <c r="K485" s="83" t="s">
        <v>231</v>
      </c>
      <c r="L485" s="100" t="s">
        <v>628</v>
      </c>
      <c r="M485" s="219" t="s">
        <v>2457</v>
      </c>
      <c r="N485" s="205" t="s">
        <v>2464</v>
      </c>
      <c r="O485" s="206">
        <v>1</v>
      </c>
      <c r="P485" s="226" t="s">
        <v>872</v>
      </c>
      <c r="Q485" s="287">
        <v>62.49</v>
      </c>
      <c r="R485" s="188">
        <v>0.2</v>
      </c>
      <c r="S485" s="62">
        <v>49.992000000000004</v>
      </c>
      <c r="T485" s="86"/>
      <c r="U485" s="186"/>
      <c r="V485" s="238" t="s">
        <v>669</v>
      </c>
      <c r="W485" s="83" t="s">
        <v>231</v>
      </c>
      <c r="X485" s="100" t="s">
        <v>628</v>
      </c>
    </row>
    <row r="486" spans="1:24" s="1" customFormat="1">
      <c r="A486" s="219" t="s">
        <v>2458</v>
      </c>
      <c r="B486" s="205" t="s">
        <v>2460</v>
      </c>
      <c r="C486" s="206">
        <v>1</v>
      </c>
      <c r="D486" s="226" t="s">
        <v>872</v>
      </c>
      <c r="E486" s="287">
        <v>41.66</v>
      </c>
      <c r="F486" s="188">
        <f t="shared" si="87"/>
        <v>0.2</v>
      </c>
      <c r="G486" s="62">
        <f t="shared" ref="G486:G487" si="93">E486-(E486*F486)</f>
        <v>33.327999999999996</v>
      </c>
      <c r="H486" s="86"/>
      <c r="I486" s="186"/>
      <c r="J486" s="238" t="s">
        <v>669</v>
      </c>
      <c r="K486" s="83" t="s">
        <v>231</v>
      </c>
      <c r="L486" s="100" t="s">
        <v>628</v>
      </c>
      <c r="M486" s="219" t="s">
        <v>2458</v>
      </c>
      <c r="N486" s="205" t="s">
        <v>2460</v>
      </c>
      <c r="O486" s="206">
        <v>1</v>
      </c>
      <c r="P486" s="226" t="s">
        <v>872</v>
      </c>
      <c r="Q486" s="287">
        <v>41.66</v>
      </c>
      <c r="R486" s="188">
        <v>0.2</v>
      </c>
      <c r="S486" s="62">
        <v>33.327999999999996</v>
      </c>
      <c r="T486" s="86"/>
      <c r="U486" s="186"/>
      <c r="V486" s="238" t="s">
        <v>669</v>
      </c>
      <c r="W486" s="83" t="s">
        <v>231</v>
      </c>
      <c r="X486" s="100" t="s">
        <v>628</v>
      </c>
    </row>
    <row r="487" spans="1:24" s="1" customFormat="1">
      <c r="A487" s="219" t="s">
        <v>2461</v>
      </c>
      <c r="B487" s="205" t="s">
        <v>2462</v>
      </c>
      <c r="C487" s="206">
        <v>1</v>
      </c>
      <c r="D487" s="226" t="s">
        <v>872</v>
      </c>
      <c r="E487" s="287">
        <v>49.99</v>
      </c>
      <c r="F487" s="188">
        <f t="shared" si="87"/>
        <v>0.2</v>
      </c>
      <c r="G487" s="62">
        <f t="shared" si="93"/>
        <v>39.992000000000004</v>
      </c>
      <c r="H487" s="86"/>
      <c r="I487" s="186"/>
      <c r="J487" s="238" t="s">
        <v>669</v>
      </c>
      <c r="K487" s="83" t="s">
        <v>231</v>
      </c>
      <c r="L487" s="100" t="s">
        <v>628</v>
      </c>
      <c r="M487" s="219" t="s">
        <v>2461</v>
      </c>
      <c r="N487" s="205" t="s">
        <v>2462</v>
      </c>
      <c r="O487" s="206">
        <v>1</v>
      </c>
      <c r="P487" s="226" t="s">
        <v>872</v>
      </c>
      <c r="Q487" s="287">
        <v>49.99</v>
      </c>
      <c r="R487" s="188">
        <v>0.2</v>
      </c>
      <c r="S487" s="62">
        <v>39.992000000000004</v>
      </c>
      <c r="T487" s="86"/>
      <c r="U487" s="186"/>
      <c r="V487" s="238" t="s">
        <v>669</v>
      </c>
      <c r="W487" s="83" t="s">
        <v>231</v>
      </c>
      <c r="X487" s="100" t="s">
        <v>628</v>
      </c>
    </row>
    <row r="488" spans="1:24" s="1" customFormat="1">
      <c r="A488" s="219" t="s">
        <v>2459</v>
      </c>
      <c r="B488" s="205" t="s">
        <v>2463</v>
      </c>
      <c r="C488" s="206">
        <v>1</v>
      </c>
      <c r="D488" s="226" t="s">
        <v>872</v>
      </c>
      <c r="E488" s="287">
        <v>58.32</v>
      </c>
      <c r="F488" s="188">
        <f t="shared" si="87"/>
        <v>0.2</v>
      </c>
      <c r="G488" s="62">
        <f t="shared" ref="G488" si="94">E488-(E488*F488)</f>
        <v>46.655999999999999</v>
      </c>
      <c r="H488" s="86"/>
      <c r="I488" s="186"/>
      <c r="J488" s="238" t="s">
        <v>669</v>
      </c>
      <c r="K488" s="83" t="s">
        <v>231</v>
      </c>
      <c r="L488" s="100" t="s">
        <v>628</v>
      </c>
      <c r="M488" s="219" t="s">
        <v>2459</v>
      </c>
      <c r="N488" s="205" t="s">
        <v>2463</v>
      </c>
      <c r="O488" s="206">
        <v>1</v>
      </c>
      <c r="P488" s="226" t="s">
        <v>872</v>
      </c>
      <c r="Q488" s="287">
        <v>58.32</v>
      </c>
      <c r="R488" s="188">
        <v>0.2</v>
      </c>
      <c r="S488" s="62">
        <v>46.655999999999999</v>
      </c>
      <c r="T488" s="86"/>
      <c r="U488" s="186"/>
      <c r="V488" s="238" t="s">
        <v>669</v>
      </c>
      <c r="W488" s="83" t="s">
        <v>231</v>
      </c>
      <c r="X488" s="100" t="s">
        <v>628</v>
      </c>
    </row>
    <row r="489" spans="1:24" s="1" customFormat="1">
      <c r="A489" s="219" t="s">
        <v>1400</v>
      </c>
      <c r="B489" s="205" t="s">
        <v>1401</v>
      </c>
      <c r="C489" s="206">
        <v>1</v>
      </c>
      <c r="D489" s="226" t="s">
        <v>1260</v>
      </c>
      <c r="E489" s="287">
        <v>19.989999999999998</v>
      </c>
      <c r="F489" s="188">
        <f t="shared" si="87"/>
        <v>0.2</v>
      </c>
      <c r="G489" s="62">
        <f t="shared" si="88"/>
        <v>15.991999999999999</v>
      </c>
      <c r="H489" s="86"/>
      <c r="I489" s="186"/>
      <c r="J489" s="238" t="s">
        <v>669</v>
      </c>
      <c r="K489" s="83" t="s">
        <v>231</v>
      </c>
      <c r="L489" s="100" t="s">
        <v>628</v>
      </c>
      <c r="M489" s="219" t="s">
        <v>1400</v>
      </c>
      <c r="N489" s="205" t="s">
        <v>1401</v>
      </c>
      <c r="O489" s="206">
        <v>1</v>
      </c>
      <c r="P489" s="226" t="s">
        <v>1260</v>
      </c>
      <c r="Q489" s="287">
        <v>19.989999999999998</v>
      </c>
      <c r="R489" s="188">
        <v>0.2</v>
      </c>
      <c r="S489" s="62">
        <v>15.991999999999999</v>
      </c>
      <c r="T489" s="86"/>
      <c r="U489" s="186"/>
      <c r="V489" s="238" t="s">
        <v>669</v>
      </c>
      <c r="W489" s="83" t="s">
        <v>231</v>
      </c>
      <c r="X489" s="100" t="s">
        <v>628</v>
      </c>
    </row>
    <row r="490" spans="1:24" s="1" customFormat="1">
      <c r="A490" s="774" t="s">
        <v>1402</v>
      </c>
      <c r="B490" s="775" t="s">
        <v>1403</v>
      </c>
      <c r="C490" s="770">
        <v>1</v>
      </c>
      <c r="D490" s="27" t="s">
        <v>872</v>
      </c>
      <c r="E490" s="767">
        <v>68.63</v>
      </c>
      <c r="F490" s="18">
        <f t="shared" si="87"/>
        <v>0.2</v>
      </c>
      <c r="G490" s="768">
        <f t="shared" si="88"/>
        <v>54.903999999999996</v>
      </c>
      <c r="H490" s="86"/>
      <c r="I490" s="186"/>
      <c r="J490" s="238" t="s">
        <v>669</v>
      </c>
      <c r="K490" s="83" t="s">
        <v>231</v>
      </c>
      <c r="L490" s="100" t="s">
        <v>628</v>
      </c>
      <c r="M490" s="219" t="s">
        <v>1402</v>
      </c>
      <c r="N490" s="205" t="s">
        <v>1403</v>
      </c>
      <c r="O490" s="206">
        <v>1</v>
      </c>
      <c r="P490" s="226" t="s">
        <v>872</v>
      </c>
      <c r="Q490" s="287">
        <v>68.63</v>
      </c>
      <c r="R490" s="188">
        <v>0.2</v>
      </c>
      <c r="S490" s="62">
        <v>54.903999999999996</v>
      </c>
      <c r="T490" s="86"/>
      <c r="U490" s="186"/>
      <c r="V490" s="238" t="s">
        <v>669</v>
      </c>
      <c r="W490" s="83" t="s">
        <v>231</v>
      </c>
      <c r="X490" s="100" t="s">
        <v>628</v>
      </c>
    </row>
    <row r="491" spans="1:24" s="1" customFormat="1">
      <c r="A491" s="774" t="s">
        <v>3020</v>
      </c>
      <c r="B491" s="775" t="s">
        <v>3024</v>
      </c>
      <c r="C491" s="770">
        <v>1</v>
      </c>
      <c r="D491" s="27" t="s">
        <v>872</v>
      </c>
      <c r="E491" s="767">
        <v>69.16</v>
      </c>
      <c r="F491" s="18">
        <f t="shared" si="87"/>
        <v>0.2</v>
      </c>
      <c r="G491" s="768">
        <f t="shared" si="88"/>
        <v>55.327999999999996</v>
      </c>
      <c r="H491" s="734"/>
      <c r="I491" s="735"/>
      <c r="J491" s="238" t="s">
        <v>669</v>
      </c>
      <c r="K491" s="83" t="s">
        <v>231</v>
      </c>
      <c r="L491" s="100" t="s">
        <v>628</v>
      </c>
      <c r="M491" s="711" t="s">
        <v>1404</v>
      </c>
      <c r="N491" s="712" t="s">
        <v>1405</v>
      </c>
      <c r="O491" s="713">
        <v>1</v>
      </c>
      <c r="P491" s="736" t="s">
        <v>872</v>
      </c>
      <c r="Q491" s="737">
        <v>69.16</v>
      </c>
      <c r="R491" s="716">
        <v>0.2</v>
      </c>
      <c r="S491" s="717">
        <v>55.327999999999996</v>
      </c>
      <c r="T491" s="718"/>
      <c r="U491" s="719"/>
      <c r="V491" s="238" t="s">
        <v>669</v>
      </c>
      <c r="W491" s="83" t="s">
        <v>231</v>
      </c>
      <c r="X491" s="100" t="s">
        <v>628</v>
      </c>
    </row>
    <row r="492" spans="1:24" s="1" customFormat="1">
      <c r="A492" s="774" t="s">
        <v>3021</v>
      </c>
      <c r="B492" s="775" t="s">
        <v>3025</v>
      </c>
      <c r="C492" s="770">
        <v>1</v>
      </c>
      <c r="D492" s="27" t="s">
        <v>872</v>
      </c>
      <c r="E492" s="767">
        <v>74.989999999999995</v>
      </c>
      <c r="F492" s="18">
        <f t="shared" si="87"/>
        <v>0.2</v>
      </c>
      <c r="G492" s="768">
        <f t="shared" si="88"/>
        <v>59.991999999999997</v>
      </c>
      <c r="H492" s="734"/>
      <c r="I492" s="735"/>
      <c r="J492" s="238" t="s">
        <v>669</v>
      </c>
      <c r="K492" s="83" t="s">
        <v>231</v>
      </c>
      <c r="L492" s="100" t="s">
        <v>628</v>
      </c>
      <c r="M492" s="711" t="s">
        <v>1406</v>
      </c>
      <c r="N492" s="712" t="s">
        <v>1407</v>
      </c>
      <c r="O492" s="713">
        <v>1</v>
      </c>
      <c r="P492" s="736" t="s">
        <v>872</v>
      </c>
      <c r="Q492" s="737">
        <v>74.989999999999995</v>
      </c>
      <c r="R492" s="716">
        <v>0.2</v>
      </c>
      <c r="S492" s="717">
        <v>59.991999999999997</v>
      </c>
      <c r="T492" s="718"/>
      <c r="U492" s="719"/>
      <c r="V492" s="238" t="s">
        <v>669</v>
      </c>
      <c r="W492" s="83" t="s">
        <v>231</v>
      </c>
      <c r="X492" s="100" t="s">
        <v>628</v>
      </c>
    </row>
    <row r="493" spans="1:24" s="1" customFormat="1">
      <c r="A493" s="774" t="s">
        <v>3022</v>
      </c>
      <c r="B493" s="775" t="s">
        <v>3026</v>
      </c>
      <c r="C493" s="770">
        <v>1</v>
      </c>
      <c r="D493" s="27" t="s">
        <v>872</v>
      </c>
      <c r="E493" s="767">
        <v>80.83</v>
      </c>
      <c r="F493" s="18">
        <f t="shared" si="87"/>
        <v>0.2</v>
      </c>
      <c r="G493" s="768">
        <f t="shared" si="88"/>
        <v>64.664000000000001</v>
      </c>
      <c r="H493" s="734"/>
      <c r="I493" s="735"/>
      <c r="J493" s="238" t="s">
        <v>669</v>
      </c>
      <c r="K493" s="83" t="s">
        <v>231</v>
      </c>
      <c r="L493" s="100" t="s">
        <v>628</v>
      </c>
      <c r="M493" s="711" t="s">
        <v>1408</v>
      </c>
      <c r="N493" s="712" t="s">
        <v>1409</v>
      </c>
      <c r="O493" s="713">
        <v>1</v>
      </c>
      <c r="P493" s="736" t="s">
        <v>872</v>
      </c>
      <c r="Q493" s="737">
        <v>80.83</v>
      </c>
      <c r="R493" s="716">
        <v>0.2</v>
      </c>
      <c r="S493" s="717">
        <v>64.664000000000001</v>
      </c>
      <c r="T493" s="718"/>
      <c r="U493" s="719"/>
      <c r="V493" s="238" t="s">
        <v>669</v>
      </c>
      <c r="W493" s="83" t="s">
        <v>231</v>
      </c>
      <c r="X493" s="100" t="s">
        <v>628</v>
      </c>
    </row>
    <row r="494" spans="1:24" s="1" customFormat="1">
      <c r="A494" s="774" t="s">
        <v>3023</v>
      </c>
      <c r="B494" s="775" t="s">
        <v>3027</v>
      </c>
      <c r="C494" s="770">
        <v>1</v>
      </c>
      <c r="D494" s="27" t="s">
        <v>872</v>
      </c>
      <c r="E494" s="767">
        <v>91.66</v>
      </c>
      <c r="F494" s="18">
        <f t="shared" si="87"/>
        <v>0.2</v>
      </c>
      <c r="G494" s="768">
        <f t="shared" si="88"/>
        <v>73.328000000000003</v>
      </c>
      <c r="H494" s="734"/>
      <c r="I494" s="735"/>
      <c r="J494" s="238" t="s">
        <v>669</v>
      </c>
      <c r="K494" s="83" t="s">
        <v>231</v>
      </c>
      <c r="L494" s="100" t="s">
        <v>628</v>
      </c>
      <c r="M494" s="711" t="s">
        <v>1410</v>
      </c>
      <c r="N494" s="712" t="s">
        <v>1411</v>
      </c>
      <c r="O494" s="713">
        <v>1</v>
      </c>
      <c r="P494" s="736" t="s">
        <v>872</v>
      </c>
      <c r="Q494" s="737">
        <v>91.66</v>
      </c>
      <c r="R494" s="716">
        <v>0.2</v>
      </c>
      <c r="S494" s="717">
        <v>73.328000000000003</v>
      </c>
      <c r="T494" s="718"/>
      <c r="U494" s="719"/>
      <c r="V494" s="238" t="s">
        <v>669</v>
      </c>
      <c r="W494" s="83" t="s">
        <v>231</v>
      </c>
      <c r="X494" s="100" t="s">
        <v>628</v>
      </c>
    </row>
    <row r="495" spans="1:24" s="1" customFormat="1">
      <c r="A495" s="772" t="s">
        <v>868</v>
      </c>
      <c r="B495" s="779" t="s">
        <v>1414</v>
      </c>
      <c r="C495" s="770">
        <v>1</v>
      </c>
      <c r="D495" s="27" t="s">
        <v>863</v>
      </c>
      <c r="E495" s="767">
        <v>75.48</v>
      </c>
      <c r="F495" s="18">
        <f t="shared" si="87"/>
        <v>0.2</v>
      </c>
      <c r="G495" s="768">
        <f t="shared" si="88"/>
        <v>60.384</v>
      </c>
      <c r="H495" s="86"/>
      <c r="I495" s="186"/>
      <c r="J495" s="238" t="s">
        <v>669</v>
      </c>
      <c r="K495" s="83" t="s">
        <v>231</v>
      </c>
      <c r="L495" s="100" t="s">
        <v>628</v>
      </c>
      <c r="M495" s="472" t="s">
        <v>868</v>
      </c>
      <c r="N495" s="569" t="s">
        <v>1414</v>
      </c>
      <c r="O495" s="206">
        <v>1</v>
      </c>
      <c r="P495" s="226" t="s">
        <v>863</v>
      </c>
      <c r="Q495" s="287">
        <v>75.48</v>
      </c>
      <c r="R495" s="188">
        <v>0.2</v>
      </c>
      <c r="S495" s="62">
        <v>60.384</v>
      </c>
      <c r="T495" s="86"/>
      <c r="U495" s="186"/>
      <c r="V495" s="238" t="s">
        <v>669</v>
      </c>
      <c r="W495" s="83" t="s">
        <v>231</v>
      </c>
      <c r="X495" s="100" t="s">
        <v>628</v>
      </c>
    </row>
    <row r="496" spans="1:24" s="1" customFormat="1">
      <c r="A496" s="472" t="s">
        <v>1415</v>
      </c>
      <c r="B496" s="569" t="s">
        <v>1416</v>
      </c>
      <c r="C496" s="206">
        <v>1</v>
      </c>
      <c r="D496" s="226" t="s">
        <v>863</v>
      </c>
      <c r="E496" s="287">
        <v>89.56</v>
      </c>
      <c r="F496" s="188">
        <f t="shared" si="87"/>
        <v>0.2</v>
      </c>
      <c r="G496" s="62">
        <f t="shared" si="88"/>
        <v>71.647999999999996</v>
      </c>
      <c r="H496" s="86"/>
      <c r="I496" s="186"/>
      <c r="J496" s="238" t="s">
        <v>669</v>
      </c>
      <c r="K496" s="83" t="s">
        <v>231</v>
      </c>
      <c r="L496" s="100" t="s">
        <v>628</v>
      </c>
      <c r="M496" s="472" t="s">
        <v>1415</v>
      </c>
      <c r="N496" s="569" t="s">
        <v>1416</v>
      </c>
      <c r="O496" s="206">
        <v>1</v>
      </c>
      <c r="P496" s="226" t="s">
        <v>863</v>
      </c>
      <c r="Q496" s="287">
        <v>89.56</v>
      </c>
      <c r="R496" s="188">
        <v>0.2</v>
      </c>
      <c r="S496" s="62">
        <v>71.647999999999996</v>
      </c>
      <c r="T496" s="86"/>
      <c r="U496" s="186"/>
      <c r="V496" s="238" t="s">
        <v>669</v>
      </c>
      <c r="W496" s="83" t="s">
        <v>231</v>
      </c>
      <c r="X496" s="100" t="s">
        <v>628</v>
      </c>
    </row>
    <row r="497" spans="1:24" s="1" customFormat="1">
      <c r="A497" s="472" t="s">
        <v>1417</v>
      </c>
      <c r="B497" s="569" t="s">
        <v>1418</v>
      </c>
      <c r="C497" s="206">
        <v>1</v>
      </c>
      <c r="D497" s="226" t="s">
        <v>863</v>
      </c>
      <c r="E497" s="287">
        <v>94.64</v>
      </c>
      <c r="F497" s="188">
        <f t="shared" si="87"/>
        <v>0.2</v>
      </c>
      <c r="G497" s="62">
        <f t="shared" si="88"/>
        <v>75.712000000000003</v>
      </c>
      <c r="H497" s="86"/>
      <c r="I497" s="186"/>
      <c r="J497" s="238" t="s">
        <v>669</v>
      </c>
      <c r="K497" s="83" t="s">
        <v>231</v>
      </c>
      <c r="L497" s="100" t="s">
        <v>628</v>
      </c>
      <c r="M497" s="472" t="s">
        <v>1417</v>
      </c>
      <c r="N497" s="569" t="s">
        <v>1418</v>
      </c>
      <c r="O497" s="206">
        <v>1</v>
      </c>
      <c r="P497" s="226" t="s">
        <v>863</v>
      </c>
      <c r="Q497" s="287">
        <v>94.64</v>
      </c>
      <c r="R497" s="188">
        <v>0.2</v>
      </c>
      <c r="S497" s="62">
        <v>75.712000000000003</v>
      </c>
      <c r="T497" s="86"/>
      <c r="U497" s="186"/>
      <c r="V497" s="238" t="s">
        <v>669</v>
      </c>
      <c r="W497" s="83" t="s">
        <v>231</v>
      </c>
      <c r="X497" s="100" t="s">
        <v>628</v>
      </c>
    </row>
    <row r="498" spans="1:24" s="1" customFormat="1" ht="13.5" thickBot="1">
      <c r="A498" s="473" t="s">
        <v>1419</v>
      </c>
      <c r="B498" s="569" t="s">
        <v>1420</v>
      </c>
      <c r="C498" s="206">
        <v>1</v>
      </c>
      <c r="D498" s="226" t="s">
        <v>863</v>
      </c>
      <c r="E498" s="287">
        <v>106</v>
      </c>
      <c r="F498" s="188">
        <f t="shared" si="87"/>
        <v>0.2</v>
      </c>
      <c r="G498" s="62">
        <f t="shared" si="88"/>
        <v>84.8</v>
      </c>
      <c r="H498" s="86"/>
      <c r="I498" s="186"/>
      <c r="J498" s="238" t="s">
        <v>669</v>
      </c>
      <c r="K498" s="83" t="s">
        <v>231</v>
      </c>
      <c r="L498" s="100" t="s">
        <v>628</v>
      </c>
      <c r="M498" s="473" t="s">
        <v>1419</v>
      </c>
      <c r="N498" s="569" t="s">
        <v>1420</v>
      </c>
      <c r="O498" s="206">
        <v>1</v>
      </c>
      <c r="P498" s="226" t="s">
        <v>863</v>
      </c>
      <c r="Q498" s="287">
        <v>106</v>
      </c>
      <c r="R498" s="188">
        <v>0.2</v>
      </c>
      <c r="S498" s="62">
        <v>84.8</v>
      </c>
      <c r="T498" s="86"/>
      <c r="U498" s="186"/>
      <c r="V498" s="238" t="s">
        <v>669</v>
      </c>
      <c r="W498" s="83" t="s">
        <v>231</v>
      </c>
      <c r="X498" s="100" t="s">
        <v>628</v>
      </c>
    </row>
    <row r="499" spans="1:24" s="70" customFormat="1" ht="25" customHeight="1" thickBot="1">
      <c r="A499" s="468" t="s">
        <v>1421</v>
      </c>
      <c r="B499" s="340" t="s">
        <v>1422</v>
      </c>
      <c r="C499" s="629"/>
      <c r="D499" s="629"/>
      <c r="E499" s="630"/>
      <c r="F499" s="631"/>
      <c r="G499" s="630"/>
      <c r="H499" s="630"/>
      <c r="I499" s="630"/>
      <c r="J499" s="459"/>
      <c r="K499" s="341"/>
      <c r="L499" s="341"/>
      <c r="M499" s="468" t="s">
        <v>1421</v>
      </c>
      <c r="N499" s="340" t="s">
        <v>1422</v>
      </c>
      <c r="O499" s="629"/>
      <c r="P499" s="629"/>
      <c r="Q499" s="630"/>
      <c r="R499" s="631"/>
      <c r="S499" s="630"/>
      <c r="T499" s="630"/>
      <c r="U499" s="630"/>
      <c r="V499" s="459"/>
      <c r="W499" s="341"/>
      <c r="X499" s="341"/>
    </row>
    <row r="500" spans="1:24" s="1" customFormat="1">
      <c r="A500" s="219" t="s">
        <v>1423</v>
      </c>
      <c r="B500" s="205" t="s">
        <v>1424</v>
      </c>
      <c r="C500" s="206">
        <v>1</v>
      </c>
      <c r="D500" s="226" t="s">
        <v>126</v>
      </c>
      <c r="E500" s="288">
        <v>349.99</v>
      </c>
      <c r="F500" s="188"/>
      <c r="G500" s="91">
        <f t="shared" ref="G500:G530" si="95">E500-(E500*F500)</f>
        <v>349.99</v>
      </c>
      <c r="H500" s="86"/>
      <c r="I500" s="186"/>
      <c r="J500" s="238" t="s">
        <v>1425</v>
      </c>
      <c r="K500" s="83" t="s">
        <v>1426</v>
      </c>
      <c r="L500" s="100" t="s">
        <v>1427</v>
      </c>
      <c r="M500" s="219" t="s">
        <v>1423</v>
      </c>
      <c r="N500" s="205" t="s">
        <v>1424</v>
      </c>
      <c r="O500" s="206">
        <v>1</v>
      </c>
      <c r="P500" s="226" t="s">
        <v>126</v>
      </c>
      <c r="Q500" s="288">
        <v>349.99</v>
      </c>
      <c r="R500" s="188"/>
      <c r="S500" s="91">
        <v>349.99</v>
      </c>
      <c r="T500" s="86"/>
      <c r="U500" s="186"/>
      <c r="V500" s="238" t="s">
        <v>1425</v>
      </c>
      <c r="W500" s="83" t="s">
        <v>1426</v>
      </c>
      <c r="X500" s="100" t="s">
        <v>1427</v>
      </c>
    </row>
    <row r="501" spans="1:24" s="1" customFormat="1">
      <c r="A501" s="219" t="s">
        <v>1428</v>
      </c>
      <c r="B501" s="205" t="s">
        <v>1429</v>
      </c>
      <c r="C501" s="206">
        <v>1</v>
      </c>
      <c r="D501" s="226" t="s">
        <v>126</v>
      </c>
      <c r="E501" s="288">
        <v>59.99</v>
      </c>
      <c r="F501" s="188"/>
      <c r="G501" s="91">
        <f t="shared" si="95"/>
        <v>59.99</v>
      </c>
      <c r="H501" s="86"/>
      <c r="I501" s="186"/>
      <c r="J501" s="238" t="s">
        <v>1425</v>
      </c>
      <c r="K501" s="83" t="s">
        <v>1426</v>
      </c>
      <c r="L501" s="100" t="s">
        <v>1427</v>
      </c>
      <c r="M501" s="219" t="s">
        <v>1428</v>
      </c>
      <c r="N501" s="205" t="s">
        <v>1429</v>
      </c>
      <c r="O501" s="206">
        <v>1</v>
      </c>
      <c r="P501" s="226" t="s">
        <v>126</v>
      </c>
      <c r="Q501" s="288">
        <v>59.99</v>
      </c>
      <c r="R501" s="188"/>
      <c r="S501" s="91">
        <v>59.99</v>
      </c>
      <c r="T501" s="86"/>
      <c r="U501" s="186"/>
      <c r="V501" s="238" t="s">
        <v>1425</v>
      </c>
      <c r="W501" s="83" t="s">
        <v>1426</v>
      </c>
      <c r="X501" s="100" t="s">
        <v>1427</v>
      </c>
    </row>
    <row r="502" spans="1:24" s="1" customFormat="1">
      <c r="A502" s="219" t="s">
        <v>1430</v>
      </c>
      <c r="B502" s="205" t="s">
        <v>1431</v>
      </c>
      <c r="C502" s="206">
        <v>1</v>
      </c>
      <c r="D502" s="226" t="s">
        <v>126</v>
      </c>
      <c r="E502" s="288">
        <v>59.99</v>
      </c>
      <c r="F502" s="188"/>
      <c r="G502" s="91">
        <f t="shared" si="95"/>
        <v>59.99</v>
      </c>
      <c r="H502" s="86"/>
      <c r="I502" s="186"/>
      <c r="J502" s="238" t="s">
        <v>1425</v>
      </c>
      <c r="K502" s="83" t="s">
        <v>1426</v>
      </c>
      <c r="L502" s="100" t="s">
        <v>1427</v>
      </c>
      <c r="M502" s="219" t="s">
        <v>1430</v>
      </c>
      <c r="N502" s="205" t="s">
        <v>1431</v>
      </c>
      <c r="O502" s="206">
        <v>1</v>
      </c>
      <c r="P502" s="226" t="s">
        <v>126</v>
      </c>
      <c r="Q502" s="288">
        <v>59.99</v>
      </c>
      <c r="R502" s="188"/>
      <c r="S502" s="91">
        <v>59.99</v>
      </c>
      <c r="T502" s="86"/>
      <c r="U502" s="186"/>
      <c r="V502" s="238" t="s">
        <v>1425</v>
      </c>
      <c r="W502" s="83" t="s">
        <v>1426</v>
      </c>
      <c r="X502" s="100" t="s">
        <v>1427</v>
      </c>
    </row>
    <row r="503" spans="1:24" s="1" customFormat="1">
      <c r="A503" s="219" t="s">
        <v>1432</v>
      </c>
      <c r="B503" s="205" t="s">
        <v>1433</v>
      </c>
      <c r="C503" s="206">
        <v>1</v>
      </c>
      <c r="D503" s="226" t="s">
        <v>126</v>
      </c>
      <c r="E503" s="288">
        <v>94.99</v>
      </c>
      <c r="F503" s="188"/>
      <c r="G503" s="91">
        <f t="shared" si="95"/>
        <v>94.99</v>
      </c>
      <c r="H503" s="86"/>
      <c r="I503" s="186"/>
      <c r="J503" s="238" t="s">
        <v>1425</v>
      </c>
      <c r="K503" s="83" t="s">
        <v>1426</v>
      </c>
      <c r="L503" s="100" t="s">
        <v>1427</v>
      </c>
      <c r="M503" s="219" t="s">
        <v>1432</v>
      </c>
      <c r="N503" s="205" t="s">
        <v>1433</v>
      </c>
      <c r="O503" s="206">
        <v>1</v>
      </c>
      <c r="P503" s="226" t="s">
        <v>126</v>
      </c>
      <c r="Q503" s="288">
        <v>94.99</v>
      </c>
      <c r="R503" s="188"/>
      <c r="S503" s="91">
        <v>94.99</v>
      </c>
      <c r="T503" s="86"/>
      <c r="U503" s="186"/>
      <c r="V503" s="238" t="s">
        <v>1425</v>
      </c>
      <c r="W503" s="83" t="s">
        <v>1426</v>
      </c>
      <c r="X503" s="100" t="s">
        <v>1427</v>
      </c>
    </row>
    <row r="504" spans="1:24" s="1" customFormat="1">
      <c r="A504" s="219" t="s">
        <v>1434</v>
      </c>
      <c r="B504" s="205" t="s">
        <v>1435</v>
      </c>
      <c r="C504" s="206">
        <v>1</v>
      </c>
      <c r="D504" s="226" t="s">
        <v>126</v>
      </c>
      <c r="E504" s="288">
        <v>239.99</v>
      </c>
      <c r="F504" s="188"/>
      <c r="G504" s="91">
        <f t="shared" si="95"/>
        <v>239.99</v>
      </c>
      <c r="H504" s="86"/>
      <c r="I504" s="186"/>
      <c r="J504" s="238" t="s">
        <v>1425</v>
      </c>
      <c r="K504" s="83" t="s">
        <v>1426</v>
      </c>
      <c r="L504" s="100" t="s">
        <v>1427</v>
      </c>
      <c r="M504" s="219" t="s">
        <v>1434</v>
      </c>
      <c r="N504" s="205" t="s">
        <v>1435</v>
      </c>
      <c r="O504" s="206">
        <v>1</v>
      </c>
      <c r="P504" s="226" t="s">
        <v>126</v>
      </c>
      <c r="Q504" s="288">
        <v>239.99</v>
      </c>
      <c r="R504" s="188"/>
      <c r="S504" s="91">
        <v>239.99</v>
      </c>
      <c r="T504" s="86"/>
      <c r="U504" s="186"/>
      <c r="V504" s="238" t="s">
        <v>1425</v>
      </c>
      <c r="W504" s="83" t="s">
        <v>1426</v>
      </c>
      <c r="X504" s="100" t="s">
        <v>1427</v>
      </c>
    </row>
    <row r="505" spans="1:24" s="1" customFormat="1">
      <c r="A505" s="219" t="s">
        <v>1436</v>
      </c>
      <c r="B505" s="205" t="s">
        <v>1437</v>
      </c>
      <c r="C505" s="206">
        <v>1</v>
      </c>
      <c r="D505" s="226" t="s">
        <v>126</v>
      </c>
      <c r="E505" s="288">
        <v>35.99</v>
      </c>
      <c r="F505" s="188"/>
      <c r="G505" s="91">
        <f t="shared" si="95"/>
        <v>35.99</v>
      </c>
      <c r="H505" s="86"/>
      <c r="I505" s="186"/>
      <c r="J505" s="238" t="s">
        <v>1425</v>
      </c>
      <c r="K505" s="83" t="s">
        <v>1426</v>
      </c>
      <c r="L505" s="100" t="s">
        <v>1427</v>
      </c>
      <c r="M505" s="219" t="s">
        <v>1436</v>
      </c>
      <c r="N505" s="205" t="s">
        <v>1437</v>
      </c>
      <c r="O505" s="206">
        <v>1</v>
      </c>
      <c r="P505" s="226" t="s">
        <v>126</v>
      </c>
      <c r="Q505" s="288">
        <v>35.99</v>
      </c>
      <c r="R505" s="188"/>
      <c r="S505" s="91">
        <v>35.99</v>
      </c>
      <c r="T505" s="86"/>
      <c r="U505" s="186"/>
      <c r="V505" s="238" t="s">
        <v>1425</v>
      </c>
      <c r="W505" s="83" t="s">
        <v>1426</v>
      </c>
      <c r="X505" s="100" t="s">
        <v>1427</v>
      </c>
    </row>
    <row r="506" spans="1:24" s="1" customFormat="1">
      <c r="A506" s="219" t="s">
        <v>1438</v>
      </c>
      <c r="B506" s="205" t="s">
        <v>1439</v>
      </c>
      <c r="C506" s="206">
        <v>1</v>
      </c>
      <c r="D506" s="226" t="s">
        <v>1440</v>
      </c>
      <c r="E506" s="287">
        <v>59.99</v>
      </c>
      <c r="F506" s="201"/>
      <c r="G506" s="62">
        <f t="shared" si="95"/>
        <v>59.99</v>
      </c>
      <c r="H506" s="86"/>
      <c r="I506" s="186"/>
      <c r="J506" s="238" t="s">
        <v>1425</v>
      </c>
      <c r="K506" s="83" t="s">
        <v>1441</v>
      </c>
      <c r="L506" s="100" t="s">
        <v>1442</v>
      </c>
      <c r="M506" s="219" t="s">
        <v>1438</v>
      </c>
      <c r="N506" s="205" t="s">
        <v>1439</v>
      </c>
      <c r="O506" s="206">
        <v>1</v>
      </c>
      <c r="P506" s="226" t="s">
        <v>1440</v>
      </c>
      <c r="Q506" s="287">
        <v>59.99</v>
      </c>
      <c r="R506" s="201"/>
      <c r="S506" s="62">
        <v>59.99</v>
      </c>
      <c r="T506" s="86"/>
      <c r="U506" s="186"/>
      <c r="V506" s="238" t="s">
        <v>1425</v>
      </c>
      <c r="W506" s="83" t="s">
        <v>1441</v>
      </c>
      <c r="X506" s="100" t="s">
        <v>1442</v>
      </c>
    </row>
    <row r="507" spans="1:24" s="1" customFormat="1">
      <c r="A507" s="219" t="s">
        <v>1443</v>
      </c>
      <c r="B507" s="205" t="s">
        <v>1444</v>
      </c>
      <c r="C507" s="206">
        <v>1</v>
      </c>
      <c r="D507" s="226" t="s">
        <v>1440</v>
      </c>
      <c r="E507" s="287">
        <v>69.989999999999995</v>
      </c>
      <c r="F507" s="201"/>
      <c r="G507" s="62">
        <f t="shared" si="95"/>
        <v>69.989999999999995</v>
      </c>
      <c r="H507" s="86"/>
      <c r="I507" s="186"/>
      <c r="J507" s="238" t="s">
        <v>1425</v>
      </c>
      <c r="K507" s="83" t="s">
        <v>1441</v>
      </c>
      <c r="L507" s="100" t="s">
        <v>1442</v>
      </c>
      <c r="M507" s="219" t="s">
        <v>1443</v>
      </c>
      <c r="N507" s="205" t="s">
        <v>1444</v>
      </c>
      <c r="O507" s="206">
        <v>1</v>
      </c>
      <c r="P507" s="226" t="s">
        <v>1440</v>
      </c>
      <c r="Q507" s="287">
        <v>69.989999999999995</v>
      </c>
      <c r="R507" s="201"/>
      <c r="S507" s="62">
        <v>69.989999999999995</v>
      </c>
      <c r="T507" s="86"/>
      <c r="U507" s="186"/>
      <c r="V507" s="238" t="s">
        <v>1425</v>
      </c>
      <c r="W507" s="83" t="s">
        <v>1441</v>
      </c>
      <c r="X507" s="100" t="s">
        <v>1442</v>
      </c>
    </row>
    <row r="508" spans="1:24" s="1" customFormat="1">
      <c r="A508" s="219" t="s">
        <v>1445</v>
      </c>
      <c r="B508" s="205" t="s">
        <v>1446</v>
      </c>
      <c r="C508" s="206">
        <v>1</v>
      </c>
      <c r="D508" s="226" t="s">
        <v>1440</v>
      </c>
      <c r="E508" s="287">
        <v>205.77</v>
      </c>
      <c r="F508" s="201"/>
      <c r="G508" s="62">
        <f t="shared" si="95"/>
        <v>205.77</v>
      </c>
      <c r="H508" s="86"/>
      <c r="I508" s="186"/>
      <c r="J508" s="238" t="s">
        <v>1425</v>
      </c>
      <c r="K508" s="83" t="s">
        <v>1441</v>
      </c>
      <c r="L508" s="100" t="s">
        <v>1442</v>
      </c>
      <c r="M508" s="219" t="s">
        <v>1445</v>
      </c>
      <c r="N508" s="205" t="s">
        <v>1446</v>
      </c>
      <c r="O508" s="206">
        <v>1</v>
      </c>
      <c r="P508" s="226" t="s">
        <v>1440</v>
      </c>
      <c r="Q508" s="287">
        <v>205.77</v>
      </c>
      <c r="R508" s="201"/>
      <c r="S508" s="62">
        <v>205.77</v>
      </c>
      <c r="T508" s="86"/>
      <c r="U508" s="186"/>
      <c r="V508" s="238" t="s">
        <v>1425</v>
      </c>
      <c r="W508" s="83" t="s">
        <v>1441</v>
      </c>
      <c r="X508" s="100" t="s">
        <v>1442</v>
      </c>
    </row>
    <row r="509" spans="1:24" s="1" customFormat="1">
      <c r="A509" s="219" t="s">
        <v>1447</v>
      </c>
      <c r="B509" s="205" t="s">
        <v>1448</v>
      </c>
      <c r="C509" s="206">
        <v>1</v>
      </c>
      <c r="D509" s="226" t="s">
        <v>1440</v>
      </c>
      <c r="E509" s="287">
        <v>69.989999999999995</v>
      </c>
      <c r="F509" s="201"/>
      <c r="G509" s="62">
        <f t="shared" si="95"/>
        <v>69.989999999999995</v>
      </c>
      <c r="H509" s="87"/>
      <c r="I509" s="186"/>
      <c r="J509" s="238" t="s">
        <v>1425</v>
      </c>
      <c r="K509" s="83" t="s">
        <v>1441</v>
      </c>
      <c r="L509" s="100" t="s">
        <v>1442</v>
      </c>
      <c r="M509" s="219" t="s">
        <v>1447</v>
      </c>
      <c r="N509" s="205" t="s">
        <v>1448</v>
      </c>
      <c r="O509" s="206">
        <v>1</v>
      </c>
      <c r="P509" s="226" t="s">
        <v>1440</v>
      </c>
      <c r="Q509" s="287">
        <v>69.989999999999995</v>
      </c>
      <c r="R509" s="201"/>
      <c r="S509" s="62">
        <v>69.989999999999995</v>
      </c>
      <c r="T509" s="87"/>
      <c r="U509" s="186"/>
      <c r="V509" s="238" t="s">
        <v>1425</v>
      </c>
      <c r="W509" s="83" t="s">
        <v>1441</v>
      </c>
      <c r="X509" s="100" t="s">
        <v>1442</v>
      </c>
    </row>
    <row r="510" spans="1:24" s="1" customFormat="1">
      <c r="A510" s="219" t="s">
        <v>1449</v>
      </c>
      <c r="B510" s="205" t="s">
        <v>1450</v>
      </c>
      <c r="C510" s="206">
        <v>1</v>
      </c>
      <c r="D510" s="226" t="s">
        <v>1440</v>
      </c>
      <c r="E510" s="287">
        <v>205.77</v>
      </c>
      <c r="F510" s="201"/>
      <c r="G510" s="62">
        <f t="shared" si="95"/>
        <v>205.77</v>
      </c>
      <c r="H510" s="86"/>
      <c r="I510" s="186"/>
      <c r="J510" s="238" t="s">
        <v>1425</v>
      </c>
      <c r="K510" s="83" t="s">
        <v>1441</v>
      </c>
      <c r="L510" s="100" t="s">
        <v>1442</v>
      </c>
      <c r="M510" s="219" t="s">
        <v>1449</v>
      </c>
      <c r="N510" s="205" t="s">
        <v>1450</v>
      </c>
      <c r="O510" s="206">
        <v>1</v>
      </c>
      <c r="P510" s="226" t="s">
        <v>1440</v>
      </c>
      <c r="Q510" s="287">
        <v>205.77</v>
      </c>
      <c r="R510" s="201"/>
      <c r="S510" s="62">
        <v>205.77</v>
      </c>
      <c r="T510" s="86"/>
      <c r="U510" s="186"/>
      <c r="V510" s="238" t="s">
        <v>1425</v>
      </c>
      <c r="W510" s="83" t="s">
        <v>1441</v>
      </c>
      <c r="X510" s="100" t="s">
        <v>1442</v>
      </c>
    </row>
    <row r="511" spans="1:24" s="1" customFormat="1">
      <c r="A511" s="219">
        <v>2001010100</v>
      </c>
      <c r="B511" s="205" t="s">
        <v>1451</v>
      </c>
      <c r="C511" s="206">
        <v>1</v>
      </c>
      <c r="D511" s="226" t="s">
        <v>1452</v>
      </c>
      <c r="E511" s="287">
        <v>23.01</v>
      </c>
      <c r="F511" s="188">
        <f t="shared" ref="F511:F522" si="96">rv_20</f>
        <v>0.2</v>
      </c>
      <c r="G511" s="62">
        <f t="shared" si="95"/>
        <v>18.408000000000001</v>
      </c>
      <c r="H511" s="86"/>
      <c r="I511" s="186"/>
      <c r="J511" s="238" t="s">
        <v>1425</v>
      </c>
      <c r="K511" s="83" t="s">
        <v>1453</v>
      </c>
      <c r="L511" s="100" t="s">
        <v>1442</v>
      </c>
      <c r="M511" s="219">
        <v>2001010100</v>
      </c>
      <c r="N511" s="205" t="s">
        <v>1451</v>
      </c>
      <c r="O511" s="206">
        <v>1</v>
      </c>
      <c r="P511" s="226" t="s">
        <v>1452</v>
      </c>
      <c r="Q511" s="287">
        <v>23.01</v>
      </c>
      <c r="R511" s="188">
        <v>0.2</v>
      </c>
      <c r="S511" s="62">
        <v>18.408000000000001</v>
      </c>
      <c r="T511" s="86"/>
      <c r="U511" s="186"/>
      <c r="V511" s="238" t="s">
        <v>1425</v>
      </c>
      <c r="W511" s="83" t="s">
        <v>1453</v>
      </c>
      <c r="X511" s="100" t="s">
        <v>1442</v>
      </c>
    </row>
    <row r="512" spans="1:24" s="1" customFormat="1">
      <c r="A512" s="219">
        <v>2001010200</v>
      </c>
      <c r="B512" s="205" t="s">
        <v>1454</v>
      </c>
      <c r="C512" s="206">
        <v>1</v>
      </c>
      <c r="D512" s="226" t="s">
        <v>1452</v>
      </c>
      <c r="E512" s="287">
        <v>11.51</v>
      </c>
      <c r="F512" s="188">
        <f t="shared" si="96"/>
        <v>0.2</v>
      </c>
      <c r="G512" s="62">
        <f>E512-(E512*F512)</f>
        <v>9.2080000000000002</v>
      </c>
      <c r="H512" s="86"/>
      <c r="I512" s="186"/>
      <c r="J512" s="238" t="s">
        <v>1425</v>
      </c>
      <c r="K512" s="83" t="s">
        <v>1453</v>
      </c>
      <c r="L512" s="100" t="s">
        <v>1442</v>
      </c>
      <c r="M512" s="219">
        <v>2001010200</v>
      </c>
      <c r="N512" s="205" t="s">
        <v>1454</v>
      </c>
      <c r="O512" s="206">
        <v>1</v>
      </c>
      <c r="P512" s="226" t="s">
        <v>1452</v>
      </c>
      <c r="Q512" s="287">
        <v>11.505000000000001</v>
      </c>
      <c r="R512" s="188">
        <v>0.2</v>
      </c>
      <c r="S512" s="62">
        <v>9.2040000000000006</v>
      </c>
      <c r="T512" s="86"/>
      <c r="U512" s="186"/>
      <c r="V512" s="238" t="s">
        <v>1425</v>
      </c>
      <c r="W512" s="83" t="s">
        <v>1453</v>
      </c>
      <c r="X512" s="100" t="s">
        <v>1442</v>
      </c>
    </row>
    <row r="513" spans="1:24" s="1" customFormat="1">
      <c r="A513" s="219">
        <v>2001010300</v>
      </c>
      <c r="B513" s="205" t="s">
        <v>1455</v>
      </c>
      <c r="C513" s="206">
        <v>1</v>
      </c>
      <c r="D513" s="226" t="s">
        <v>1452</v>
      </c>
      <c r="E513" s="287">
        <v>11.51</v>
      </c>
      <c r="F513" s="188">
        <f t="shared" si="96"/>
        <v>0.2</v>
      </c>
      <c r="G513" s="62">
        <f t="shared" si="95"/>
        <v>9.2080000000000002</v>
      </c>
      <c r="H513" s="86"/>
      <c r="I513" s="186"/>
      <c r="J513" s="238" t="s">
        <v>1425</v>
      </c>
      <c r="K513" s="83" t="s">
        <v>1453</v>
      </c>
      <c r="L513" s="100" t="s">
        <v>1442</v>
      </c>
      <c r="M513" s="219">
        <v>2001010300</v>
      </c>
      <c r="N513" s="205" t="s">
        <v>1455</v>
      </c>
      <c r="O513" s="206">
        <v>1</v>
      </c>
      <c r="P513" s="226" t="s">
        <v>1452</v>
      </c>
      <c r="Q513" s="287">
        <v>11.505000000000001</v>
      </c>
      <c r="R513" s="188">
        <v>0.2</v>
      </c>
      <c r="S513" s="62">
        <v>9.2040000000000006</v>
      </c>
      <c r="T513" s="86"/>
      <c r="U513" s="186"/>
      <c r="V513" s="238" t="s">
        <v>1425</v>
      </c>
      <c r="W513" s="83" t="s">
        <v>1453</v>
      </c>
      <c r="X513" s="100" t="s">
        <v>1442</v>
      </c>
    </row>
    <row r="514" spans="1:24" s="1" customFormat="1">
      <c r="A514" s="219">
        <v>2001020100</v>
      </c>
      <c r="B514" s="205" t="s">
        <v>1456</v>
      </c>
      <c r="C514" s="206">
        <v>1</v>
      </c>
      <c r="D514" s="226" t="s">
        <v>1452</v>
      </c>
      <c r="E514" s="287">
        <v>23.01</v>
      </c>
      <c r="F514" s="188">
        <f t="shared" si="96"/>
        <v>0.2</v>
      </c>
      <c r="G514" s="62">
        <f t="shared" si="95"/>
        <v>18.408000000000001</v>
      </c>
      <c r="H514" s="86"/>
      <c r="I514" s="186"/>
      <c r="J514" s="238" t="s">
        <v>1425</v>
      </c>
      <c r="K514" s="83" t="s">
        <v>1453</v>
      </c>
      <c r="L514" s="100" t="s">
        <v>1442</v>
      </c>
      <c r="M514" s="219">
        <v>2001020100</v>
      </c>
      <c r="N514" s="205" t="s">
        <v>1456</v>
      </c>
      <c r="O514" s="206">
        <v>1</v>
      </c>
      <c r="P514" s="226" t="s">
        <v>1452</v>
      </c>
      <c r="Q514" s="287">
        <v>23.01</v>
      </c>
      <c r="R514" s="188">
        <v>0.2</v>
      </c>
      <c r="S514" s="62">
        <v>18.408000000000001</v>
      </c>
      <c r="T514" s="86"/>
      <c r="U514" s="186"/>
      <c r="V514" s="238" t="s">
        <v>1425</v>
      </c>
      <c r="W514" s="83" t="s">
        <v>1453</v>
      </c>
      <c r="X514" s="100" t="s">
        <v>1442</v>
      </c>
    </row>
    <row r="515" spans="1:24" s="1" customFormat="1">
      <c r="A515" s="219">
        <v>2001020200</v>
      </c>
      <c r="B515" s="205" t="s">
        <v>1457</v>
      </c>
      <c r="C515" s="206">
        <v>1</v>
      </c>
      <c r="D515" s="226" t="s">
        <v>1452</v>
      </c>
      <c r="E515" s="287">
        <v>11.51</v>
      </c>
      <c r="F515" s="188">
        <f t="shared" si="96"/>
        <v>0.2</v>
      </c>
      <c r="G515" s="62">
        <f t="shared" si="95"/>
        <v>9.2080000000000002</v>
      </c>
      <c r="H515" s="86"/>
      <c r="I515" s="186"/>
      <c r="J515" s="238" t="s">
        <v>1425</v>
      </c>
      <c r="K515" s="83" t="s">
        <v>1453</v>
      </c>
      <c r="L515" s="100" t="s">
        <v>1442</v>
      </c>
      <c r="M515" s="219">
        <v>2001020200</v>
      </c>
      <c r="N515" s="205" t="s">
        <v>1457</v>
      </c>
      <c r="O515" s="206">
        <v>1</v>
      </c>
      <c r="P515" s="226" t="s">
        <v>1452</v>
      </c>
      <c r="Q515" s="287">
        <v>11.505000000000001</v>
      </c>
      <c r="R515" s="188">
        <v>0.2</v>
      </c>
      <c r="S515" s="62">
        <v>9.2040000000000006</v>
      </c>
      <c r="T515" s="86"/>
      <c r="U515" s="186"/>
      <c r="V515" s="238" t="s">
        <v>1425</v>
      </c>
      <c r="W515" s="83" t="s">
        <v>1453</v>
      </c>
      <c r="X515" s="100" t="s">
        <v>1442</v>
      </c>
    </row>
    <row r="516" spans="1:24" s="1" customFormat="1">
      <c r="A516" s="219">
        <v>2001020300</v>
      </c>
      <c r="B516" s="205" t="s">
        <v>1458</v>
      </c>
      <c r="C516" s="206">
        <v>1</v>
      </c>
      <c r="D516" s="226" t="s">
        <v>1452</v>
      </c>
      <c r="E516" s="287">
        <v>11.51</v>
      </c>
      <c r="F516" s="188">
        <f t="shared" si="96"/>
        <v>0.2</v>
      </c>
      <c r="G516" s="62">
        <f t="shared" si="95"/>
        <v>9.2080000000000002</v>
      </c>
      <c r="H516" s="86"/>
      <c r="I516" s="186"/>
      <c r="J516" s="238" t="s">
        <v>1425</v>
      </c>
      <c r="K516" s="83" t="s">
        <v>1453</v>
      </c>
      <c r="L516" s="100" t="s">
        <v>1442</v>
      </c>
      <c r="M516" s="219">
        <v>2001020300</v>
      </c>
      <c r="N516" s="205" t="s">
        <v>1458</v>
      </c>
      <c r="O516" s="206">
        <v>1</v>
      </c>
      <c r="P516" s="226" t="s">
        <v>1452</v>
      </c>
      <c r="Q516" s="287">
        <v>11.505000000000001</v>
      </c>
      <c r="R516" s="188">
        <v>0.2</v>
      </c>
      <c r="S516" s="62">
        <v>9.2040000000000006</v>
      </c>
      <c r="T516" s="86"/>
      <c r="U516" s="186"/>
      <c r="V516" s="238" t="s">
        <v>1425</v>
      </c>
      <c r="W516" s="83" t="s">
        <v>1453</v>
      </c>
      <c r="X516" s="100" t="s">
        <v>1442</v>
      </c>
    </row>
    <row r="517" spans="1:24" s="1" customFormat="1">
      <c r="A517" s="219">
        <v>2002010100</v>
      </c>
      <c r="B517" s="205" t="s">
        <v>1459</v>
      </c>
      <c r="C517" s="206">
        <v>1</v>
      </c>
      <c r="D517" s="226" t="s">
        <v>1452</v>
      </c>
      <c r="E517" s="287">
        <v>20.32</v>
      </c>
      <c r="F517" s="188">
        <f t="shared" si="96"/>
        <v>0.2</v>
      </c>
      <c r="G517" s="62">
        <f t="shared" si="95"/>
        <v>16.256</v>
      </c>
      <c r="H517" s="86"/>
      <c r="I517" s="186"/>
      <c r="J517" s="238" t="s">
        <v>1425</v>
      </c>
      <c r="K517" s="83" t="s">
        <v>1453</v>
      </c>
      <c r="L517" s="100" t="s">
        <v>1442</v>
      </c>
      <c r="M517" s="219">
        <v>2002010100</v>
      </c>
      <c r="N517" s="205" t="s">
        <v>1459</v>
      </c>
      <c r="O517" s="206">
        <v>1</v>
      </c>
      <c r="P517" s="226" t="s">
        <v>1452</v>
      </c>
      <c r="Q517" s="287">
        <v>20.32</v>
      </c>
      <c r="R517" s="188">
        <v>0.2</v>
      </c>
      <c r="S517" s="62">
        <v>16.256</v>
      </c>
      <c r="T517" s="86"/>
      <c r="U517" s="186"/>
      <c r="V517" s="238" t="s">
        <v>1425</v>
      </c>
      <c r="W517" s="83" t="s">
        <v>1453</v>
      </c>
      <c r="X517" s="100" t="s">
        <v>1442</v>
      </c>
    </row>
    <row r="518" spans="1:24" s="1" customFormat="1">
      <c r="A518" s="219">
        <v>2002010200</v>
      </c>
      <c r="B518" s="205" t="s">
        <v>1460</v>
      </c>
      <c r="C518" s="206">
        <v>1</v>
      </c>
      <c r="D518" s="226" t="s">
        <v>1452</v>
      </c>
      <c r="E518" s="287">
        <v>10.16</v>
      </c>
      <c r="F518" s="188">
        <f t="shared" si="96"/>
        <v>0.2</v>
      </c>
      <c r="G518" s="62">
        <f t="shared" si="95"/>
        <v>8.1280000000000001</v>
      </c>
      <c r="H518" s="86"/>
      <c r="I518" s="186"/>
      <c r="J518" s="238" t="s">
        <v>1425</v>
      </c>
      <c r="K518" s="83" t="s">
        <v>1453</v>
      </c>
      <c r="L518" s="100" t="s">
        <v>1442</v>
      </c>
      <c r="M518" s="219">
        <v>2002010200</v>
      </c>
      <c r="N518" s="205" t="s">
        <v>1460</v>
      </c>
      <c r="O518" s="206">
        <v>1</v>
      </c>
      <c r="P518" s="226" t="s">
        <v>1452</v>
      </c>
      <c r="Q518" s="287">
        <v>10.16</v>
      </c>
      <c r="R518" s="188">
        <v>0.2</v>
      </c>
      <c r="S518" s="62">
        <v>8.1280000000000001</v>
      </c>
      <c r="T518" s="86"/>
      <c r="U518" s="186"/>
      <c r="V518" s="238" t="s">
        <v>1425</v>
      </c>
      <c r="W518" s="83" t="s">
        <v>1453</v>
      </c>
      <c r="X518" s="100" t="s">
        <v>1442</v>
      </c>
    </row>
    <row r="519" spans="1:24" s="1" customFormat="1">
      <c r="A519" s="219">
        <v>2002010300</v>
      </c>
      <c r="B519" s="205" t="s">
        <v>1461</v>
      </c>
      <c r="C519" s="206">
        <v>1</v>
      </c>
      <c r="D519" s="226" t="s">
        <v>1452</v>
      </c>
      <c r="E519" s="287">
        <v>10.16</v>
      </c>
      <c r="F519" s="188">
        <f t="shared" si="96"/>
        <v>0.2</v>
      </c>
      <c r="G519" s="62">
        <f t="shared" si="95"/>
        <v>8.1280000000000001</v>
      </c>
      <c r="H519" s="86"/>
      <c r="I519" s="186"/>
      <c r="J519" s="238" t="s">
        <v>1425</v>
      </c>
      <c r="K519" s="83" t="s">
        <v>1453</v>
      </c>
      <c r="L519" s="100" t="s">
        <v>1442</v>
      </c>
      <c r="M519" s="219">
        <v>2002010300</v>
      </c>
      <c r="N519" s="205" t="s">
        <v>1461</v>
      </c>
      <c r="O519" s="206">
        <v>1</v>
      </c>
      <c r="P519" s="226" t="s">
        <v>1452</v>
      </c>
      <c r="Q519" s="287">
        <v>10.16</v>
      </c>
      <c r="R519" s="188">
        <v>0.2</v>
      </c>
      <c r="S519" s="62">
        <v>8.1280000000000001</v>
      </c>
      <c r="T519" s="86"/>
      <c r="U519" s="186"/>
      <c r="V519" s="238" t="s">
        <v>1425</v>
      </c>
      <c r="W519" s="83" t="s">
        <v>1453</v>
      </c>
      <c r="X519" s="100" t="s">
        <v>1442</v>
      </c>
    </row>
    <row r="520" spans="1:24" s="1" customFormat="1">
      <c r="A520" s="219">
        <v>2002020100</v>
      </c>
      <c r="B520" s="205" t="s">
        <v>1462</v>
      </c>
      <c r="C520" s="206">
        <v>1</v>
      </c>
      <c r="D520" s="226" t="s">
        <v>1452</v>
      </c>
      <c r="E520" s="287">
        <v>20.32</v>
      </c>
      <c r="F520" s="188">
        <f t="shared" si="96"/>
        <v>0.2</v>
      </c>
      <c r="G520" s="62">
        <f t="shared" si="95"/>
        <v>16.256</v>
      </c>
      <c r="H520" s="86"/>
      <c r="I520" s="186"/>
      <c r="J520" s="238" t="s">
        <v>1425</v>
      </c>
      <c r="K520" s="83" t="s">
        <v>1453</v>
      </c>
      <c r="L520" s="100" t="s">
        <v>1442</v>
      </c>
      <c r="M520" s="219">
        <v>2002020100</v>
      </c>
      <c r="N520" s="205" t="s">
        <v>1462</v>
      </c>
      <c r="O520" s="206">
        <v>1</v>
      </c>
      <c r="P520" s="226" t="s">
        <v>1452</v>
      </c>
      <c r="Q520" s="287">
        <v>20.32</v>
      </c>
      <c r="R520" s="188">
        <v>0.2</v>
      </c>
      <c r="S520" s="62">
        <v>16.256</v>
      </c>
      <c r="T520" s="86"/>
      <c r="U520" s="186"/>
      <c r="V520" s="238" t="s">
        <v>1425</v>
      </c>
      <c r="W520" s="83" t="s">
        <v>1453</v>
      </c>
      <c r="X520" s="100" t="s">
        <v>1442</v>
      </c>
    </row>
    <row r="521" spans="1:24" s="1" customFormat="1">
      <c r="A521" s="219">
        <v>2002020200</v>
      </c>
      <c r="B521" s="205" t="s">
        <v>1463</v>
      </c>
      <c r="C521" s="206">
        <v>1</v>
      </c>
      <c r="D521" s="226" t="s">
        <v>1452</v>
      </c>
      <c r="E521" s="287">
        <v>10.16</v>
      </c>
      <c r="F521" s="188">
        <f t="shared" si="96"/>
        <v>0.2</v>
      </c>
      <c r="G521" s="62">
        <f t="shared" si="95"/>
        <v>8.1280000000000001</v>
      </c>
      <c r="H521" s="86"/>
      <c r="I521" s="186"/>
      <c r="J521" s="238" t="s">
        <v>1425</v>
      </c>
      <c r="K521" s="83" t="s">
        <v>1453</v>
      </c>
      <c r="L521" s="100" t="s">
        <v>1442</v>
      </c>
      <c r="M521" s="219">
        <v>2002020200</v>
      </c>
      <c r="N521" s="205" t="s">
        <v>1463</v>
      </c>
      <c r="O521" s="206">
        <v>1</v>
      </c>
      <c r="P521" s="226" t="s">
        <v>1452</v>
      </c>
      <c r="Q521" s="287">
        <v>10.16</v>
      </c>
      <c r="R521" s="188">
        <v>0.2</v>
      </c>
      <c r="S521" s="62">
        <v>8.1280000000000001</v>
      </c>
      <c r="T521" s="86"/>
      <c r="U521" s="186"/>
      <c r="V521" s="238" t="s">
        <v>1425</v>
      </c>
      <c r="W521" s="83" t="s">
        <v>1453</v>
      </c>
      <c r="X521" s="100" t="s">
        <v>1442</v>
      </c>
    </row>
    <row r="522" spans="1:24" s="1" customFormat="1">
      <c r="A522" s="219">
        <v>2002020300</v>
      </c>
      <c r="B522" s="205" t="s">
        <v>1464</v>
      </c>
      <c r="C522" s="206">
        <v>1</v>
      </c>
      <c r="D522" s="226" t="s">
        <v>1452</v>
      </c>
      <c r="E522" s="287">
        <v>10.16</v>
      </c>
      <c r="F522" s="188">
        <f t="shared" si="96"/>
        <v>0.2</v>
      </c>
      <c r="G522" s="62">
        <f t="shared" si="95"/>
        <v>8.1280000000000001</v>
      </c>
      <c r="H522" s="86"/>
      <c r="I522" s="186"/>
      <c r="J522" s="238" t="s">
        <v>1425</v>
      </c>
      <c r="K522" s="83" t="s">
        <v>1453</v>
      </c>
      <c r="L522" s="100" t="s">
        <v>1442</v>
      </c>
      <c r="M522" s="219">
        <v>2002020300</v>
      </c>
      <c r="N522" s="205" t="s">
        <v>1464</v>
      </c>
      <c r="O522" s="206">
        <v>1</v>
      </c>
      <c r="P522" s="226" t="s">
        <v>1452</v>
      </c>
      <c r="Q522" s="287">
        <v>10.16</v>
      </c>
      <c r="R522" s="188">
        <v>0.2</v>
      </c>
      <c r="S522" s="62">
        <v>8.1280000000000001</v>
      </c>
      <c r="T522" s="86"/>
      <c r="U522" s="186"/>
      <c r="V522" s="238" t="s">
        <v>1425</v>
      </c>
      <c r="W522" s="83" t="s">
        <v>1453</v>
      </c>
      <c r="X522" s="100" t="s">
        <v>1442</v>
      </c>
    </row>
    <row r="523" spans="1:24" s="1" customFormat="1">
      <c r="A523" s="219" t="s">
        <v>1465</v>
      </c>
      <c r="B523" s="205" t="s">
        <v>1466</v>
      </c>
      <c r="C523" s="206">
        <v>1</v>
      </c>
      <c r="D523" s="226" t="s">
        <v>1452</v>
      </c>
      <c r="E523" s="287">
        <v>5</v>
      </c>
      <c r="F523" s="188"/>
      <c r="G523" s="62">
        <f t="shared" si="95"/>
        <v>5</v>
      </c>
      <c r="H523" s="86"/>
      <c r="I523" s="186"/>
      <c r="J523" s="238" t="s">
        <v>1425</v>
      </c>
      <c r="K523" s="83" t="s">
        <v>1453</v>
      </c>
      <c r="L523" s="100" t="s">
        <v>1442</v>
      </c>
      <c r="M523" s="219" t="s">
        <v>1465</v>
      </c>
      <c r="N523" s="205" t="s">
        <v>1466</v>
      </c>
      <c r="O523" s="206">
        <v>1</v>
      </c>
      <c r="P523" s="226" t="s">
        <v>1452</v>
      </c>
      <c r="Q523" s="287">
        <v>5</v>
      </c>
      <c r="R523" s="188"/>
      <c r="S523" s="62">
        <v>5</v>
      </c>
      <c r="T523" s="86"/>
      <c r="U523" s="186"/>
      <c r="V523" s="238" t="s">
        <v>1425</v>
      </c>
      <c r="W523" s="83" t="s">
        <v>1453</v>
      </c>
      <c r="X523" s="100" t="s">
        <v>1442</v>
      </c>
    </row>
    <row r="524" spans="1:24" s="1" customFormat="1">
      <c r="A524" s="219" t="s">
        <v>1467</v>
      </c>
      <c r="B524" s="205" t="s">
        <v>1468</v>
      </c>
      <c r="C524" s="206">
        <v>1</v>
      </c>
      <c r="D524" s="226" t="s">
        <v>1452</v>
      </c>
      <c r="E524" s="287">
        <v>5</v>
      </c>
      <c r="F524" s="188"/>
      <c r="G524" s="62">
        <f t="shared" si="95"/>
        <v>5</v>
      </c>
      <c r="H524" s="86"/>
      <c r="I524" s="186"/>
      <c r="J524" s="238" t="s">
        <v>1425</v>
      </c>
      <c r="K524" s="83" t="s">
        <v>1453</v>
      </c>
      <c r="L524" s="100" t="s">
        <v>1442</v>
      </c>
      <c r="M524" s="219" t="s">
        <v>1467</v>
      </c>
      <c r="N524" s="205" t="s">
        <v>1468</v>
      </c>
      <c r="O524" s="206">
        <v>1</v>
      </c>
      <c r="P524" s="226" t="s">
        <v>1452</v>
      </c>
      <c r="Q524" s="287">
        <v>5</v>
      </c>
      <c r="R524" s="188"/>
      <c r="S524" s="62">
        <v>5</v>
      </c>
      <c r="T524" s="86"/>
      <c r="U524" s="186"/>
      <c r="V524" s="238" t="s">
        <v>1425</v>
      </c>
      <c r="W524" s="83" t="s">
        <v>1453</v>
      </c>
      <c r="X524" s="100" t="s">
        <v>1442</v>
      </c>
    </row>
    <row r="525" spans="1:24" s="1" customFormat="1">
      <c r="A525" s="219" t="s">
        <v>1469</v>
      </c>
      <c r="B525" s="205" t="s">
        <v>1470</v>
      </c>
      <c r="C525" s="206">
        <v>1</v>
      </c>
      <c r="D525" s="226" t="s">
        <v>1452</v>
      </c>
      <c r="E525" s="287">
        <v>5</v>
      </c>
      <c r="F525" s="188"/>
      <c r="G525" s="62">
        <f t="shared" si="95"/>
        <v>5</v>
      </c>
      <c r="H525" s="86"/>
      <c r="I525" s="186"/>
      <c r="J525" s="238" t="s">
        <v>1425</v>
      </c>
      <c r="K525" s="83" t="s">
        <v>1453</v>
      </c>
      <c r="L525" s="100" t="s">
        <v>1442</v>
      </c>
      <c r="M525" s="219" t="s">
        <v>1469</v>
      </c>
      <c r="N525" s="205" t="s">
        <v>1470</v>
      </c>
      <c r="O525" s="206">
        <v>1</v>
      </c>
      <c r="P525" s="226" t="s">
        <v>1452</v>
      </c>
      <c r="Q525" s="287">
        <v>5</v>
      </c>
      <c r="R525" s="188"/>
      <c r="S525" s="62">
        <v>5</v>
      </c>
      <c r="T525" s="86"/>
      <c r="U525" s="186"/>
      <c r="V525" s="238" t="s">
        <v>1425</v>
      </c>
      <c r="W525" s="83" t="s">
        <v>1453</v>
      </c>
      <c r="X525" s="100" t="s">
        <v>1442</v>
      </c>
    </row>
    <row r="526" spans="1:24" s="1" customFormat="1">
      <c r="A526" s="219" t="s">
        <v>1471</v>
      </c>
      <c r="B526" s="205" t="s">
        <v>1472</v>
      </c>
      <c r="C526" s="206">
        <v>1</v>
      </c>
      <c r="D526" s="226" t="s">
        <v>1452</v>
      </c>
      <c r="E526" s="287">
        <v>20</v>
      </c>
      <c r="F526" s="188"/>
      <c r="G526" s="62">
        <f t="shared" si="95"/>
        <v>20</v>
      </c>
      <c r="H526" s="86"/>
      <c r="I526" s="186"/>
      <c r="J526" s="238" t="s">
        <v>1425</v>
      </c>
      <c r="K526" s="83" t="s">
        <v>1453</v>
      </c>
      <c r="L526" s="100" t="s">
        <v>1442</v>
      </c>
      <c r="M526" s="219" t="s">
        <v>1471</v>
      </c>
      <c r="N526" s="205" t="s">
        <v>1472</v>
      </c>
      <c r="O526" s="206">
        <v>1</v>
      </c>
      <c r="P526" s="226" t="s">
        <v>1452</v>
      </c>
      <c r="Q526" s="287">
        <v>20</v>
      </c>
      <c r="R526" s="188"/>
      <c r="S526" s="62">
        <v>20</v>
      </c>
      <c r="T526" s="86"/>
      <c r="U526" s="186"/>
      <c r="V526" s="238" t="s">
        <v>1425</v>
      </c>
      <c r="W526" s="83" t="s">
        <v>1453</v>
      </c>
      <c r="X526" s="100" t="s">
        <v>1442</v>
      </c>
    </row>
    <row r="527" spans="1:24" s="1" customFormat="1">
      <c r="A527" s="219" t="s">
        <v>1473</v>
      </c>
      <c r="B527" s="205" t="s">
        <v>1474</v>
      </c>
      <c r="C527" s="206">
        <v>1</v>
      </c>
      <c r="D527" s="226" t="s">
        <v>1452</v>
      </c>
      <c r="E527" s="287">
        <v>7.75</v>
      </c>
      <c r="F527" s="188">
        <f>rv_20</f>
        <v>0.2</v>
      </c>
      <c r="G527" s="62">
        <f t="shared" si="95"/>
        <v>6.2</v>
      </c>
      <c r="H527" s="86"/>
      <c r="I527" s="186"/>
      <c r="J527" s="238" t="s">
        <v>1425</v>
      </c>
      <c r="K527" s="83" t="s">
        <v>1453</v>
      </c>
      <c r="L527" s="100" t="s">
        <v>1442</v>
      </c>
      <c r="M527" s="219" t="s">
        <v>1473</v>
      </c>
      <c r="N527" s="205" t="s">
        <v>1474</v>
      </c>
      <c r="O527" s="206">
        <v>1</v>
      </c>
      <c r="P527" s="226" t="s">
        <v>1452</v>
      </c>
      <c r="Q527" s="287">
        <v>7.75</v>
      </c>
      <c r="R527" s="188">
        <v>0.2</v>
      </c>
      <c r="S527" s="62">
        <v>6.2</v>
      </c>
      <c r="T527" s="86"/>
      <c r="U527" s="186"/>
      <c r="V527" s="238" t="s">
        <v>1425</v>
      </c>
      <c r="W527" s="83" t="s">
        <v>1453</v>
      </c>
      <c r="X527" s="100" t="s">
        <v>1442</v>
      </c>
    </row>
    <row r="528" spans="1:24" s="1" customFormat="1">
      <c r="A528" s="219" t="s">
        <v>1475</v>
      </c>
      <c r="B528" s="205" t="s">
        <v>1476</v>
      </c>
      <c r="C528" s="206">
        <v>1</v>
      </c>
      <c r="D528" s="226" t="s">
        <v>1452</v>
      </c>
      <c r="E528" s="287">
        <v>7</v>
      </c>
      <c r="F528" s="188">
        <f>rv_20</f>
        <v>0.2</v>
      </c>
      <c r="G528" s="62">
        <f t="shared" si="95"/>
        <v>5.6</v>
      </c>
      <c r="H528" s="86"/>
      <c r="I528" s="186"/>
      <c r="J528" s="238" t="s">
        <v>1425</v>
      </c>
      <c r="K528" s="83" t="s">
        <v>1453</v>
      </c>
      <c r="L528" s="100" t="s">
        <v>1442</v>
      </c>
      <c r="M528" s="219" t="s">
        <v>1475</v>
      </c>
      <c r="N528" s="205" t="s">
        <v>1476</v>
      </c>
      <c r="O528" s="206">
        <v>1</v>
      </c>
      <c r="P528" s="226" t="s">
        <v>1452</v>
      </c>
      <c r="Q528" s="287">
        <v>7</v>
      </c>
      <c r="R528" s="188">
        <v>0.2</v>
      </c>
      <c r="S528" s="62">
        <v>5.6</v>
      </c>
      <c r="T528" s="86"/>
      <c r="U528" s="186"/>
      <c r="V528" s="238" t="s">
        <v>1425</v>
      </c>
      <c r="W528" s="83" t="s">
        <v>1453</v>
      </c>
      <c r="X528" s="100" t="s">
        <v>1442</v>
      </c>
    </row>
    <row r="529" spans="1:24" s="1" customFormat="1">
      <c r="A529" s="219" t="s">
        <v>1477</v>
      </c>
      <c r="B529" s="205" t="s">
        <v>1478</v>
      </c>
      <c r="C529" s="206">
        <v>1</v>
      </c>
      <c r="D529" s="226" t="s">
        <v>1452</v>
      </c>
      <c r="E529" s="287">
        <v>17.25</v>
      </c>
      <c r="F529" s="188">
        <f>rv_20</f>
        <v>0.2</v>
      </c>
      <c r="G529" s="62">
        <f t="shared" si="95"/>
        <v>13.8</v>
      </c>
      <c r="H529" s="86"/>
      <c r="I529" s="186"/>
      <c r="J529" s="238" t="s">
        <v>1425</v>
      </c>
      <c r="K529" s="83" t="s">
        <v>1453</v>
      </c>
      <c r="L529" s="100" t="s">
        <v>1442</v>
      </c>
      <c r="M529" s="219" t="s">
        <v>1477</v>
      </c>
      <c r="N529" s="205" t="s">
        <v>1478</v>
      </c>
      <c r="O529" s="206">
        <v>1</v>
      </c>
      <c r="P529" s="226" t="s">
        <v>1452</v>
      </c>
      <c r="Q529" s="287">
        <v>17.25</v>
      </c>
      <c r="R529" s="188">
        <v>0.2</v>
      </c>
      <c r="S529" s="62">
        <v>13.8</v>
      </c>
      <c r="T529" s="86"/>
      <c r="U529" s="186"/>
      <c r="V529" s="238" t="s">
        <v>1425</v>
      </c>
      <c r="W529" s="83" t="s">
        <v>1453</v>
      </c>
      <c r="X529" s="100" t="s">
        <v>1442</v>
      </c>
    </row>
    <row r="530" spans="1:24" s="1" customFormat="1" ht="13.5" thickBot="1">
      <c r="A530" s="219" t="s">
        <v>1479</v>
      </c>
      <c r="B530" s="205" t="s">
        <v>1480</v>
      </c>
      <c r="C530" s="206">
        <v>1</v>
      </c>
      <c r="D530" s="226" t="s">
        <v>1452</v>
      </c>
      <c r="E530" s="287">
        <v>16</v>
      </c>
      <c r="F530" s="188">
        <f>rv_20</f>
        <v>0.2</v>
      </c>
      <c r="G530" s="62">
        <f t="shared" si="95"/>
        <v>12.8</v>
      </c>
      <c r="H530" s="86"/>
      <c r="I530" s="186"/>
      <c r="J530" s="238" t="s">
        <v>1425</v>
      </c>
      <c r="K530" s="83" t="s">
        <v>1453</v>
      </c>
      <c r="L530" s="100" t="s">
        <v>1442</v>
      </c>
      <c r="M530" s="219" t="s">
        <v>1479</v>
      </c>
      <c r="N530" s="205" t="s">
        <v>1480</v>
      </c>
      <c r="O530" s="206">
        <v>1</v>
      </c>
      <c r="P530" s="226" t="s">
        <v>1452</v>
      </c>
      <c r="Q530" s="287">
        <v>16</v>
      </c>
      <c r="R530" s="188">
        <v>0.2</v>
      </c>
      <c r="S530" s="62">
        <v>12.8</v>
      </c>
      <c r="T530" s="86"/>
      <c r="U530" s="186"/>
      <c r="V530" s="238" t="s">
        <v>1425</v>
      </c>
      <c r="W530" s="83" t="s">
        <v>1453</v>
      </c>
      <c r="X530" s="100" t="s">
        <v>1442</v>
      </c>
    </row>
    <row r="531" spans="1:24" s="1" customFormat="1" ht="25" customHeight="1" thickBot="1">
      <c r="A531" s="468" t="s">
        <v>1481</v>
      </c>
      <c r="B531" s="340" t="s">
        <v>1482</v>
      </c>
      <c r="C531" s="629"/>
      <c r="D531" s="629"/>
      <c r="E531" s="630"/>
      <c r="F531" s="631"/>
      <c r="G531" s="630"/>
      <c r="H531" s="630"/>
      <c r="I531" s="630"/>
      <c r="J531" s="459"/>
      <c r="K531" s="341"/>
      <c r="L531" s="341"/>
      <c r="M531" s="468" t="s">
        <v>1481</v>
      </c>
      <c r="N531" s="340" t="s">
        <v>1482</v>
      </c>
      <c r="O531" s="629"/>
      <c r="P531" s="629"/>
      <c r="Q531" s="630"/>
      <c r="R531" s="631"/>
      <c r="S531" s="630"/>
      <c r="T531" s="630"/>
      <c r="U531" s="630"/>
      <c r="V531" s="459"/>
      <c r="W531" s="341"/>
      <c r="X531" s="341"/>
    </row>
    <row r="532" spans="1:24" s="1" customFormat="1">
      <c r="A532" s="219" t="s">
        <v>2530</v>
      </c>
      <c r="B532" s="205" t="s">
        <v>2531</v>
      </c>
      <c r="C532" s="206">
        <v>1</v>
      </c>
      <c r="D532" s="226" t="s">
        <v>1483</v>
      </c>
      <c r="E532" s="287">
        <v>49.99</v>
      </c>
      <c r="F532" s="188">
        <f t="shared" ref="F532:F541" si="97">rv_20</f>
        <v>0.2</v>
      </c>
      <c r="G532" s="62">
        <f t="shared" ref="G532" si="98">E532-(E532*F532)</f>
        <v>39.992000000000004</v>
      </c>
      <c r="H532" s="86"/>
      <c r="I532" s="28">
        <v>0.96</v>
      </c>
      <c r="J532" s="238" t="s">
        <v>669</v>
      </c>
      <c r="K532" s="83" t="s">
        <v>231</v>
      </c>
      <c r="L532" s="100" t="s">
        <v>628</v>
      </c>
      <c r="M532" s="219" t="s">
        <v>2530</v>
      </c>
      <c r="N532" s="205" t="s">
        <v>2531</v>
      </c>
      <c r="O532" s="206">
        <v>1</v>
      </c>
      <c r="P532" s="226" t="s">
        <v>1483</v>
      </c>
      <c r="Q532" s="287">
        <v>49.99</v>
      </c>
      <c r="R532" s="188">
        <v>0.2</v>
      </c>
      <c r="S532" s="62">
        <v>39.992000000000004</v>
      </c>
      <c r="T532" s="86"/>
      <c r="U532" s="186">
        <v>0.02</v>
      </c>
      <c r="V532" s="238" t="s">
        <v>669</v>
      </c>
      <c r="W532" s="83" t="s">
        <v>231</v>
      </c>
      <c r="X532" s="100" t="s">
        <v>628</v>
      </c>
    </row>
    <row r="533" spans="1:24" s="1" customFormat="1">
      <c r="A533" s="219" t="s">
        <v>1484</v>
      </c>
      <c r="B533" s="205" t="s">
        <v>1485</v>
      </c>
      <c r="C533" s="206">
        <v>1</v>
      </c>
      <c r="D533" s="226" t="s">
        <v>1483</v>
      </c>
      <c r="E533" s="287">
        <v>29.99</v>
      </c>
      <c r="F533" s="188">
        <f t="shared" si="97"/>
        <v>0.2</v>
      </c>
      <c r="G533" s="62">
        <f t="shared" ref="G533:G546" si="99">E533-(E533*F533)</f>
        <v>23.991999999999997</v>
      </c>
      <c r="H533" s="86"/>
      <c r="I533" s="28">
        <v>0.04</v>
      </c>
      <c r="J533" s="238" t="s">
        <v>669</v>
      </c>
      <c r="K533" s="83" t="s">
        <v>231</v>
      </c>
      <c r="L533" s="100" t="s">
        <v>628</v>
      </c>
      <c r="M533" s="219" t="s">
        <v>1484</v>
      </c>
      <c r="N533" s="205" t="s">
        <v>1485</v>
      </c>
      <c r="O533" s="206">
        <v>1</v>
      </c>
      <c r="P533" s="226" t="s">
        <v>1483</v>
      </c>
      <c r="Q533" s="287">
        <v>29.99</v>
      </c>
      <c r="R533" s="188">
        <v>0.2</v>
      </c>
      <c r="S533" s="62">
        <v>23.991999999999997</v>
      </c>
      <c r="T533" s="86"/>
      <c r="U533" s="186">
        <v>0.02</v>
      </c>
      <c r="V533" s="238" t="s">
        <v>669</v>
      </c>
      <c r="W533" s="83" t="s">
        <v>231</v>
      </c>
      <c r="X533" s="100" t="s">
        <v>628</v>
      </c>
    </row>
    <row r="534" spans="1:24" s="1" customFormat="1">
      <c r="A534" s="219" t="s">
        <v>1486</v>
      </c>
      <c r="B534" s="205" t="s">
        <v>1487</v>
      </c>
      <c r="C534" s="206">
        <v>1</v>
      </c>
      <c r="D534" s="226" t="s">
        <v>1483</v>
      </c>
      <c r="E534" s="287">
        <v>29.99</v>
      </c>
      <c r="F534" s="188">
        <f t="shared" si="97"/>
        <v>0.2</v>
      </c>
      <c r="G534" s="62">
        <f t="shared" si="99"/>
        <v>23.991999999999997</v>
      </c>
      <c r="H534" s="86"/>
      <c r="I534" s="28">
        <v>0.04</v>
      </c>
      <c r="J534" s="238" t="s">
        <v>669</v>
      </c>
      <c r="K534" s="83" t="s">
        <v>231</v>
      </c>
      <c r="L534" s="100" t="s">
        <v>628</v>
      </c>
      <c r="M534" s="219" t="s">
        <v>1486</v>
      </c>
      <c r="N534" s="205" t="s">
        <v>1487</v>
      </c>
      <c r="O534" s="206">
        <v>1</v>
      </c>
      <c r="P534" s="226" t="s">
        <v>1483</v>
      </c>
      <c r="Q534" s="287">
        <v>29.99</v>
      </c>
      <c r="R534" s="188">
        <v>0.2</v>
      </c>
      <c r="S534" s="62">
        <v>23.991999999999997</v>
      </c>
      <c r="T534" s="86"/>
      <c r="U534" s="186">
        <v>0.02</v>
      </c>
      <c r="V534" s="238" t="s">
        <v>669</v>
      </c>
      <c r="W534" s="83" t="s">
        <v>231</v>
      </c>
      <c r="X534" s="100" t="s">
        <v>628</v>
      </c>
    </row>
    <row r="535" spans="1:24" s="1" customFormat="1">
      <c r="A535" s="219" t="s">
        <v>1488</v>
      </c>
      <c r="B535" s="205" t="s">
        <v>1489</v>
      </c>
      <c r="C535" s="206">
        <v>1</v>
      </c>
      <c r="D535" s="226" t="s">
        <v>1483</v>
      </c>
      <c r="E535" s="287">
        <v>49.99</v>
      </c>
      <c r="F535" s="188">
        <f t="shared" si="97"/>
        <v>0.2</v>
      </c>
      <c r="G535" s="62">
        <f t="shared" si="99"/>
        <v>39.992000000000004</v>
      </c>
      <c r="H535" s="86"/>
      <c r="I535" s="28">
        <v>0.82</v>
      </c>
      <c r="J535" s="238" t="s">
        <v>669</v>
      </c>
      <c r="K535" s="83" t="s">
        <v>231</v>
      </c>
      <c r="L535" s="100" t="s">
        <v>628</v>
      </c>
      <c r="M535" s="219" t="s">
        <v>1488</v>
      </c>
      <c r="N535" s="205" t="s">
        <v>1489</v>
      </c>
      <c r="O535" s="206">
        <v>1</v>
      </c>
      <c r="P535" s="226" t="s">
        <v>1483</v>
      </c>
      <c r="Q535" s="287">
        <v>49.99</v>
      </c>
      <c r="R535" s="188">
        <v>0.2</v>
      </c>
      <c r="S535" s="62">
        <v>39.992000000000004</v>
      </c>
      <c r="T535" s="86"/>
      <c r="U535" s="186">
        <v>0.05</v>
      </c>
      <c r="V535" s="238" t="s">
        <v>669</v>
      </c>
      <c r="W535" s="83" t="s">
        <v>231</v>
      </c>
      <c r="X535" s="100" t="s">
        <v>628</v>
      </c>
    </row>
    <row r="536" spans="1:24" s="1" customFormat="1">
      <c r="A536" s="219" t="s">
        <v>1490</v>
      </c>
      <c r="B536" s="205" t="s">
        <v>1491</v>
      </c>
      <c r="C536" s="206">
        <v>1</v>
      </c>
      <c r="D536" s="226" t="s">
        <v>1483</v>
      </c>
      <c r="E536" s="287">
        <v>115</v>
      </c>
      <c r="F536" s="188">
        <f t="shared" si="97"/>
        <v>0.2</v>
      </c>
      <c r="G536" s="62">
        <f t="shared" si="99"/>
        <v>92</v>
      </c>
      <c r="H536" s="86"/>
      <c r="I536" s="28">
        <v>0.86</v>
      </c>
      <c r="J536" s="238" t="s">
        <v>669</v>
      </c>
      <c r="K536" s="83" t="s">
        <v>231</v>
      </c>
      <c r="L536" s="100" t="s">
        <v>628</v>
      </c>
      <c r="M536" s="219" t="s">
        <v>1490</v>
      </c>
      <c r="N536" s="205" t="s">
        <v>1491</v>
      </c>
      <c r="O536" s="206">
        <v>1</v>
      </c>
      <c r="P536" s="226" t="s">
        <v>1483</v>
      </c>
      <c r="Q536" s="287">
        <v>115</v>
      </c>
      <c r="R536" s="188">
        <v>0.2</v>
      </c>
      <c r="S536" s="62">
        <v>92</v>
      </c>
      <c r="T536" s="86"/>
      <c r="U536" s="186">
        <v>0.05</v>
      </c>
      <c r="V536" s="238" t="s">
        <v>669</v>
      </c>
      <c r="W536" s="83" t="s">
        <v>231</v>
      </c>
      <c r="X536" s="100" t="s">
        <v>628</v>
      </c>
    </row>
    <row r="537" spans="1:24" s="1" customFormat="1">
      <c r="A537" s="219" t="s">
        <v>1492</v>
      </c>
      <c r="B537" s="205" t="s">
        <v>1493</v>
      </c>
      <c r="C537" s="206">
        <v>1</v>
      </c>
      <c r="D537" s="226" t="s">
        <v>1483</v>
      </c>
      <c r="E537" s="287">
        <v>116.66</v>
      </c>
      <c r="F537" s="188">
        <f t="shared" si="97"/>
        <v>0.2</v>
      </c>
      <c r="G537" s="62">
        <f t="shared" si="99"/>
        <v>93.328000000000003</v>
      </c>
      <c r="H537" s="86"/>
      <c r="I537" s="28">
        <v>0.22</v>
      </c>
      <c r="J537" s="238" t="s">
        <v>669</v>
      </c>
      <c r="K537" s="83" t="s">
        <v>231</v>
      </c>
      <c r="L537" s="100" t="s">
        <v>628</v>
      </c>
      <c r="M537" s="219" t="s">
        <v>1492</v>
      </c>
      <c r="N537" s="205" t="s">
        <v>1493</v>
      </c>
      <c r="O537" s="206">
        <v>1</v>
      </c>
      <c r="P537" s="226" t="s">
        <v>1483</v>
      </c>
      <c r="Q537" s="287">
        <v>116.66</v>
      </c>
      <c r="R537" s="188">
        <v>0.2</v>
      </c>
      <c r="S537" s="62">
        <v>93.328000000000003</v>
      </c>
      <c r="T537" s="86"/>
      <c r="U537" s="186">
        <v>0.08</v>
      </c>
      <c r="V537" s="238" t="s">
        <v>669</v>
      </c>
      <c r="W537" s="83" t="s">
        <v>231</v>
      </c>
      <c r="X537" s="100" t="s">
        <v>628</v>
      </c>
    </row>
    <row r="538" spans="1:24" s="1" customFormat="1">
      <c r="A538" s="219" t="s">
        <v>1494</v>
      </c>
      <c r="B538" s="205" t="s">
        <v>1495</v>
      </c>
      <c r="C538" s="206">
        <v>1</v>
      </c>
      <c r="D538" s="226" t="s">
        <v>817</v>
      </c>
      <c r="E538" s="287">
        <v>41.66</v>
      </c>
      <c r="F538" s="188">
        <f t="shared" si="97"/>
        <v>0.2</v>
      </c>
      <c r="G538" s="62">
        <f t="shared" si="99"/>
        <v>33.327999999999996</v>
      </c>
      <c r="H538" s="86"/>
      <c r="I538" s="28">
        <v>0.06</v>
      </c>
      <c r="J538" s="238" t="s">
        <v>669</v>
      </c>
      <c r="K538" s="83" t="s">
        <v>231</v>
      </c>
      <c r="L538" s="100" t="s">
        <v>628</v>
      </c>
      <c r="M538" s="219" t="s">
        <v>1494</v>
      </c>
      <c r="N538" s="205" t="s">
        <v>1495</v>
      </c>
      <c r="O538" s="206">
        <v>1</v>
      </c>
      <c r="P538" s="226" t="s">
        <v>817</v>
      </c>
      <c r="Q538" s="287">
        <v>41.66</v>
      </c>
      <c r="R538" s="188">
        <v>0.2</v>
      </c>
      <c r="S538" s="62">
        <v>33.327999999999996</v>
      </c>
      <c r="T538" s="86"/>
      <c r="U538" s="186">
        <v>0.02</v>
      </c>
      <c r="V538" s="238" t="s">
        <v>669</v>
      </c>
      <c r="W538" s="83" t="s">
        <v>231</v>
      </c>
      <c r="X538" s="100" t="s">
        <v>628</v>
      </c>
    </row>
    <row r="539" spans="1:24" s="1" customFormat="1">
      <c r="A539" s="219">
        <v>1000645</v>
      </c>
      <c r="B539" s="205" t="s">
        <v>1496</v>
      </c>
      <c r="C539" s="206">
        <v>1</v>
      </c>
      <c r="D539" s="226" t="s">
        <v>1497</v>
      </c>
      <c r="E539" s="287">
        <v>212.54</v>
      </c>
      <c r="F539" s="188">
        <f t="shared" si="97"/>
        <v>0.2</v>
      </c>
      <c r="G539" s="62">
        <f t="shared" si="99"/>
        <v>170.03199999999998</v>
      </c>
      <c r="H539" s="86"/>
      <c r="I539" s="28">
        <v>0.04</v>
      </c>
      <c r="J539" s="238" t="s">
        <v>669</v>
      </c>
      <c r="K539" s="83" t="s">
        <v>231</v>
      </c>
      <c r="L539" s="100" t="s">
        <v>628</v>
      </c>
      <c r="M539" s="219">
        <v>1000645</v>
      </c>
      <c r="N539" s="205" t="s">
        <v>1496</v>
      </c>
      <c r="O539" s="206">
        <v>1</v>
      </c>
      <c r="P539" s="226" t="s">
        <v>1497</v>
      </c>
      <c r="Q539" s="287">
        <v>212.54</v>
      </c>
      <c r="R539" s="188">
        <v>0.2</v>
      </c>
      <c r="S539" s="62">
        <v>170.03199999999998</v>
      </c>
      <c r="T539" s="86"/>
      <c r="U539" s="186">
        <v>0</v>
      </c>
      <c r="V539" s="238" t="s">
        <v>669</v>
      </c>
      <c r="W539" s="83" t="s">
        <v>231</v>
      </c>
      <c r="X539" s="100" t="s">
        <v>628</v>
      </c>
    </row>
    <row r="540" spans="1:24" s="1" customFormat="1">
      <c r="A540" s="219" t="s">
        <v>1498</v>
      </c>
      <c r="B540" s="205" t="s">
        <v>2442</v>
      </c>
      <c r="C540" s="206">
        <v>1</v>
      </c>
      <c r="D540" s="226" t="s">
        <v>1499</v>
      </c>
      <c r="E540" s="287">
        <v>208.29</v>
      </c>
      <c r="F540" s="188">
        <f t="shared" si="97"/>
        <v>0.2</v>
      </c>
      <c r="G540" s="62">
        <f t="shared" si="99"/>
        <v>166.63200000000001</v>
      </c>
      <c r="H540" s="86"/>
      <c r="I540" s="28">
        <v>0.04</v>
      </c>
      <c r="J540" s="238" t="s">
        <v>669</v>
      </c>
      <c r="K540" s="83" t="s">
        <v>231</v>
      </c>
      <c r="L540" s="100" t="s">
        <v>628</v>
      </c>
      <c r="M540" s="219" t="s">
        <v>1498</v>
      </c>
      <c r="N540" s="205" t="s">
        <v>2442</v>
      </c>
      <c r="O540" s="206">
        <v>1</v>
      </c>
      <c r="P540" s="226" t="s">
        <v>1499</v>
      </c>
      <c r="Q540" s="287">
        <v>208.29</v>
      </c>
      <c r="R540" s="188">
        <v>0.2</v>
      </c>
      <c r="S540" s="62">
        <v>166.63200000000001</v>
      </c>
      <c r="T540" s="86"/>
      <c r="U540" s="186">
        <v>0.02</v>
      </c>
      <c r="V540" s="238" t="s">
        <v>669</v>
      </c>
      <c r="W540" s="83" t="s">
        <v>231</v>
      </c>
      <c r="X540" s="100" t="s">
        <v>628</v>
      </c>
    </row>
    <row r="541" spans="1:24" s="1" customFormat="1">
      <c r="A541" s="219" t="s">
        <v>1500</v>
      </c>
      <c r="B541" s="205" t="s">
        <v>1501</v>
      </c>
      <c r="C541" s="206">
        <v>1</v>
      </c>
      <c r="D541" s="226" t="s">
        <v>822</v>
      </c>
      <c r="E541" s="287">
        <v>119.99</v>
      </c>
      <c r="F541" s="188">
        <f t="shared" si="97"/>
        <v>0.2</v>
      </c>
      <c r="G541" s="62">
        <f t="shared" si="99"/>
        <v>95.99199999999999</v>
      </c>
      <c r="H541" s="86"/>
      <c r="I541" s="28">
        <v>0.06</v>
      </c>
      <c r="J541" s="238" t="s">
        <v>669</v>
      </c>
      <c r="K541" s="83" t="s">
        <v>231</v>
      </c>
      <c r="L541" s="100" t="s">
        <v>628</v>
      </c>
      <c r="M541" s="219" t="s">
        <v>1500</v>
      </c>
      <c r="N541" s="205" t="s">
        <v>1501</v>
      </c>
      <c r="O541" s="206">
        <v>1</v>
      </c>
      <c r="P541" s="226" t="s">
        <v>822</v>
      </c>
      <c r="Q541" s="287">
        <v>119.99</v>
      </c>
      <c r="R541" s="188">
        <v>0.2</v>
      </c>
      <c r="S541" s="62">
        <v>95.99199999999999</v>
      </c>
      <c r="T541" s="86"/>
      <c r="U541" s="186">
        <v>0.2</v>
      </c>
      <c r="V541" s="238" t="s">
        <v>669</v>
      </c>
      <c r="W541" s="83" t="s">
        <v>231</v>
      </c>
      <c r="X541" s="100" t="s">
        <v>628</v>
      </c>
    </row>
    <row r="542" spans="1:24" s="1" customFormat="1">
      <c r="A542" s="219" t="s">
        <v>1502</v>
      </c>
      <c r="B542" s="205" t="s">
        <v>1503</v>
      </c>
      <c r="C542" s="206">
        <v>1</v>
      </c>
      <c r="D542" s="226" t="s">
        <v>822</v>
      </c>
      <c r="E542" s="287">
        <v>43.75</v>
      </c>
      <c r="F542" s="188">
        <f t="shared" ref="F542:F547" si="100">rv_20</f>
        <v>0.2</v>
      </c>
      <c r="G542" s="62">
        <f t="shared" si="99"/>
        <v>35</v>
      </c>
      <c r="H542" s="86"/>
      <c r="I542" s="28">
        <v>0.22</v>
      </c>
      <c r="J542" s="238" t="s">
        <v>669</v>
      </c>
      <c r="K542" s="83" t="s">
        <v>231</v>
      </c>
      <c r="L542" s="100" t="s">
        <v>628</v>
      </c>
      <c r="M542" s="219" t="s">
        <v>1502</v>
      </c>
      <c r="N542" s="205" t="s">
        <v>1503</v>
      </c>
      <c r="O542" s="206">
        <v>1</v>
      </c>
      <c r="P542" s="226" t="s">
        <v>822</v>
      </c>
      <c r="Q542" s="287">
        <v>43.75</v>
      </c>
      <c r="R542" s="188">
        <v>0.2</v>
      </c>
      <c r="S542" s="62">
        <v>35</v>
      </c>
      <c r="T542" s="86"/>
      <c r="U542" s="186">
        <v>0.1</v>
      </c>
      <c r="V542" s="238" t="s">
        <v>669</v>
      </c>
      <c r="W542" s="83" t="s">
        <v>231</v>
      </c>
      <c r="X542" s="100" t="s">
        <v>628</v>
      </c>
    </row>
    <row r="543" spans="1:24" s="1" customFormat="1">
      <c r="A543" s="219" t="s">
        <v>1504</v>
      </c>
      <c r="B543" s="205" t="s">
        <v>1505</v>
      </c>
      <c r="C543" s="206">
        <v>1</v>
      </c>
      <c r="D543" s="226" t="s">
        <v>822</v>
      </c>
      <c r="E543" s="287">
        <v>28.29</v>
      </c>
      <c r="F543" s="188">
        <f t="shared" si="100"/>
        <v>0.2</v>
      </c>
      <c r="G543" s="62">
        <f t="shared" si="99"/>
        <v>22.631999999999998</v>
      </c>
      <c r="H543" s="86"/>
      <c r="I543" s="28">
        <v>0.1</v>
      </c>
      <c r="J543" s="238" t="s">
        <v>669</v>
      </c>
      <c r="K543" s="83" t="s">
        <v>231</v>
      </c>
      <c r="L543" s="100" t="s">
        <v>628</v>
      </c>
      <c r="M543" s="219" t="s">
        <v>1504</v>
      </c>
      <c r="N543" s="205" t="s">
        <v>1505</v>
      </c>
      <c r="O543" s="206">
        <v>1</v>
      </c>
      <c r="P543" s="226" t="s">
        <v>822</v>
      </c>
      <c r="Q543" s="287">
        <v>28.29</v>
      </c>
      <c r="R543" s="188">
        <v>0.2</v>
      </c>
      <c r="S543" s="62">
        <v>22.631999999999998</v>
      </c>
      <c r="T543" s="86"/>
      <c r="U543" s="186">
        <v>0.1</v>
      </c>
      <c r="V543" s="238" t="s">
        <v>669</v>
      </c>
      <c r="W543" s="83" t="s">
        <v>231</v>
      </c>
      <c r="X543" s="100" t="s">
        <v>628</v>
      </c>
    </row>
    <row r="544" spans="1:24" s="1" customFormat="1">
      <c r="A544" s="219" t="s">
        <v>1506</v>
      </c>
      <c r="B544" s="205" t="s">
        <v>1507</v>
      </c>
      <c r="C544" s="206">
        <v>1</v>
      </c>
      <c r="D544" s="226" t="s">
        <v>822</v>
      </c>
      <c r="E544" s="287">
        <v>124.07</v>
      </c>
      <c r="F544" s="188">
        <f t="shared" si="100"/>
        <v>0.2</v>
      </c>
      <c r="G544" s="62">
        <f t="shared" si="99"/>
        <v>99.256</v>
      </c>
      <c r="H544" s="86"/>
      <c r="I544" s="28">
        <v>0.96</v>
      </c>
      <c r="J544" s="238" t="s">
        <v>669</v>
      </c>
      <c r="K544" s="83" t="s">
        <v>231</v>
      </c>
      <c r="L544" s="100" t="s">
        <v>628</v>
      </c>
      <c r="M544" s="219" t="s">
        <v>1506</v>
      </c>
      <c r="N544" s="205" t="s">
        <v>1507</v>
      </c>
      <c r="O544" s="206">
        <v>1</v>
      </c>
      <c r="P544" s="226" t="s">
        <v>822</v>
      </c>
      <c r="Q544" s="287">
        <v>124.07</v>
      </c>
      <c r="R544" s="188">
        <v>0.2</v>
      </c>
      <c r="S544" s="62">
        <v>99.256</v>
      </c>
      <c r="T544" s="86"/>
      <c r="U544" s="186">
        <v>0.63</v>
      </c>
      <c r="V544" s="238" t="s">
        <v>669</v>
      </c>
      <c r="W544" s="83" t="s">
        <v>231</v>
      </c>
      <c r="X544" s="100" t="s">
        <v>628</v>
      </c>
    </row>
    <row r="545" spans="1:24" s="1" customFormat="1">
      <c r="A545" s="219" t="s">
        <v>1508</v>
      </c>
      <c r="B545" s="205" t="s">
        <v>1509</v>
      </c>
      <c r="C545" s="206">
        <v>1</v>
      </c>
      <c r="D545" s="226" t="s">
        <v>822</v>
      </c>
      <c r="E545" s="287">
        <v>74.11</v>
      </c>
      <c r="F545" s="188">
        <f t="shared" si="100"/>
        <v>0.2</v>
      </c>
      <c r="G545" s="62">
        <f t="shared" si="99"/>
        <v>59.287999999999997</v>
      </c>
      <c r="H545" s="86"/>
      <c r="I545" s="28">
        <v>0.05</v>
      </c>
      <c r="J545" s="238" t="s">
        <v>669</v>
      </c>
      <c r="K545" s="83" t="s">
        <v>231</v>
      </c>
      <c r="L545" s="100" t="s">
        <v>628</v>
      </c>
      <c r="M545" s="219" t="s">
        <v>1508</v>
      </c>
      <c r="N545" s="205" t="s">
        <v>1509</v>
      </c>
      <c r="O545" s="206">
        <v>1</v>
      </c>
      <c r="P545" s="226" t="s">
        <v>822</v>
      </c>
      <c r="Q545" s="287">
        <v>74.11</v>
      </c>
      <c r="R545" s="188">
        <v>0.2</v>
      </c>
      <c r="S545" s="62">
        <v>59.287999999999997</v>
      </c>
      <c r="T545" s="86"/>
      <c r="U545" s="186">
        <v>0.05</v>
      </c>
      <c r="V545" s="238" t="s">
        <v>669</v>
      </c>
      <c r="W545" s="83" t="s">
        <v>231</v>
      </c>
      <c r="X545" s="100" t="s">
        <v>628</v>
      </c>
    </row>
    <row r="546" spans="1:24" s="1" customFormat="1">
      <c r="A546" s="219" t="s">
        <v>1510</v>
      </c>
      <c r="B546" s="205" t="s">
        <v>1511</v>
      </c>
      <c r="C546" s="206">
        <v>1</v>
      </c>
      <c r="D546" s="226" t="s">
        <v>863</v>
      </c>
      <c r="E546" s="287">
        <v>128.32</v>
      </c>
      <c r="F546" s="188">
        <f t="shared" si="100"/>
        <v>0.2</v>
      </c>
      <c r="G546" s="62">
        <f t="shared" si="99"/>
        <v>102.65599999999999</v>
      </c>
      <c r="H546" s="86"/>
      <c r="I546" s="28">
        <v>0.11</v>
      </c>
      <c r="J546" s="238" t="s">
        <v>669</v>
      </c>
      <c r="K546" s="83" t="s">
        <v>231</v>
      </c>
      <c r="L546" s="100" t="s">
        <v>628</v>
      </c>
      <c r="M546" s="219" t="s">
        <v>1510</v>
      </c>
      <c r="N546" s="205" t="s">
        <v>1511</v>
      </c>
      <c r="O546" s="206">
        <v>1</v>
      </c>
      <c r="P546" s="226" t="s">
        <v>863</v>
      </c>
      <c r="Q546" s="287">
        <v>128.32</v>
      </c>
      <c r="R546" s="188">
        <v>0.2</v>
      </c>
      <c r="S546" s="62">
        <v>102.65599999999999</v>
      </c>
      <c r="T546" s="86"/>
      <c r="U546" s="186">
        <v>0.02</v>
      </c>
      <c r="V546" s="238" t="s">
        <v>669</v>
      </c>
      <c r="W546" s="83" t="s">
        <v>231</v>
      </c>
      <c r="X546" s="100" t="s">
        <v>628</v>
      </c>
    </row>
    <row r="547" spans="1:24" s="1" customFormat="1" ht="13.5" thickBot="1">
      <c r="A547" s="219" t="s">
        <v>2905</v>
      </c>
      <c r="B547" s="205" t="s">
        <v>2906</v>
      </c>
      <c r="C547" s="206">
        <v>1</v>
      </c>
      <c r="D547" s="226" t="s">
        <v>2888</v>
      </c>
      <c r="E547" s="287">
        <v>45.66</v>
      </c>
      <c r="F547" s="188">
        <f t="shared" si="100"/>
        <v>0.2</v>
      </c>
      <c r="G547" s="62">
        <f t="shared" ref="G547" si="101">E547-(E547*F547)</f>
        <v>36.527999999999999</v>
      </c>
      <c r="H547" s="86"/>
      <c r="I547" s="28">
        <v>0.01</v>
      </c>
      <c r="J547" s="238" t="s">
        <v>669</v>
      </c>
      <c r="K547" s="83" t="s">
        <v>231</v>
      </c>
      <c r="L547" s="100" t="s">
        <v>628</v>
      </c>
      <c r="M547" s="219" t="s">
        <v>2905</v>
      </c>
      <c r="N547" s="205" t="s">
        <v>2906</v>
      </c>
      <c r="O547" s="206">
        <v>1</v>
      </c>
      <c r="P547" s="226" t="s">
        <v>2888</v>
      </c>
      <c r="Q547" s="287">
        <v>45.66</v>
      </c>
      <c r="R547" s="188">
        <v>0.2</v>
      </c>
      <c r="S547" s="62">
        <v>36.527999999999999</v>
      </c>
      <c r="T547" s="86"/>
      <c r="U547" s="186">
        <v>0.02</v>
      </c>
      <c r="V547" s="238" t="s">
        <v>669</v>
      </c>
      <c r="W547" s="83" t="s">
        <v>231</v>
      </c>
      <c r="X547" s="100" t="s">
        <v>628</v>
      </c>
    </row>
    <row r="548" spans="1:24" s="1" customFormat="1" ht="25" customHeight="1" thickBot="1">
      <c r="A548" s="468" t="s">
        <v>1512</v>
      </c>
      <c r="B548" s="340" t="s">
        <v>3011</v>
      </c>
      <c r="C548" s="629"/>
      <c r="D548" s="629"/>
      <c r="E548" s="630"/>
      <c r="F548" s="631"/>
      <c r="G548" s="630"/>
      <c r="H548" s="630"/>
      <c r="I548" s="630"/>
      <c r="J548" s="459"/>
      <c r="K548" s="341"/>
      <c r="L548" s="341"/>
      <c r="M548" s="468" t="s">
        <v>1512</v>
      </c>
      <c r="N548" s="340" t="s">
        <v>1513</v>
      </c>
      <c r="O548" s="629"/>
      <c r="P548" s="629"/>
      <c r="Q548" s="630"/>
      <c r="R548" s="631"/>
      <c r="S548" s="630"/>
      <c r="T548" s="630"/>
      <c r="U548" s="630"/>
      <c r="V548" s="459"/>
      <c r="W548" s="341"/>
      <c r="X548" s="341"/>
    </row>
    <row r="549" spans="1:24" s="1" customFormat="1">
      <c r="A549" s="219" t="s">
        <v>1514</v>
      </c>
      <c r="B549" s="205" t="s">
        <v>1515</v>
      </c>
      <c r="C549" s="206">
        <v>1</v>
      </c>
      <c r="D549" s="226" t="s">
        <v>1516</v>
      </c>
      <c r="E549" s="287">
        <v>33.93</v>
      </c>
      <c r="F549" s="188">
        <f t="shared" ref="F549:F555" si="102">rv_20</f>
        <v>0.2</v>
      </c>
      <c r="G549" s="91">
        <f t="shared" ref="G549:G557" si="103">E549-(E549*F549)</f>
        <v>27.143999999999998</v>
      </c>
      <c r="H549" s="86"/>
      <c r="I549" s="28">
        <v>0.04</v>
      </c>
      <c r="J549" s="238" t="s">
        <v>669</v>
      </c>
      <c r="K549" s="83" t="s">
        <v>231</v>
      </c>
      <c r="L549" s="100" t="s">
        <v>628</v>
      </c>
      <c r="M549" s="219" t="s">
        <v>1514</v>
      </c>
      <c r="N549" s="205" t="s">
        <v>1515</v>
      </c>
      <c r="O549" s="206">
        <v>1</v>
      </c>
      <c r="P549" s="226" t="s">
        <v>1516</v>
      </c>
      <c r="Q549" s="287">
        <v>33.93</v>
      </c>
      <c r="R549" s="188">
        <v>0.2</v>
      </c>
      <c r="S549" s="91">
        <v>27.143999999999998</v>
      </c>
      <c r="T549" s="86"/>
      <c r="U549" s="186">
        <v>0.02</v>
      </c>
      <c r="V549" s="238" t="s">
        <v>669</v>
      </c>
      <c r="W549" s="83" t="s">
        <v>231</v>
      </c>
      <c r="X549" s="100" t="s">
        <v>628</v>
      </c>
    </row>
    <row r="550" spans="1:24" s="1" customFormat="1">
      <c r="A550" s="219" t="s">
        <v>1517</v>
      </c>
      <c r="B550" s="205" t="s">
        <v>1518</v>
      </c>
      <c r="C550" s="206">
        <v>1</v>
      </c>
      <c r="D550" s="226" t="s">
        <v>1516</v>
      </c>
      <c r="E550" s="287">
        <v>185.9</v>
      </c>
      <c r="F550" s="188">
        <f t="shared" si="102"/>
        <v>0.2</v>
      </c>
      <c r="G550" s="62">
        <f t="shared" si="103"/>
        <v>148.72</v>
      </c>
      <c r="H550" s="86"/>
      <c r="I550" s="28">
        <v>0.7</v>
      </c>
      <c r="J550" s="238" t="s">
        <v>669</v>
      </c>
      <c r="K550" s="83" t="s">
        <v>231</v>
      </c>
      <c r="L550" s="100" t="s">
        <v>628</v>
      </c>
      <c r="M550" s="219" t="s">
        <v>1517</v>
      </c>
      <c r="N550" s="205" t="s">
        <v>1518</v>
      </c>
      <c r="O550" s="206">
        <v>1</v>
      </c>
      <c r="P550" s="226" t="s">
        <v>1516</v>
      </c>
      <c r="Q550" s="287">
        <v>185.9</v>
      </c>
      <c r="R550" s="188">
        <v>0.2</v>
      </c>
      <c r="S550" s="62">
        <v>148.72</v>
      </c>
      <c r="T550" s="86"/>
      <c r="U550" s="186">
        <v>0.63</v>
      </c>
      <c r="V550" s="238" t="s">
        <v>669</v>
      </c>
      <c r="W550" s="83" t="s">
        <v>231</v>
      </c>
      <c r="X550" s="100" t="s">
        <v>628</v>
      </c>
    </row>
    <row r="551" spans="1:24" s="1" customFormat="1">
      <c r="A551" s="219" t="s">
        <v>1519</v>
      </c>
      <c r="B551" s="205" t="s">
        <v>1520</v>
      </c>
      <c r="C551" s="206">
        <v>1</v>
      </c>
      <c r="D551" s="226" t="s">
        <v>1516</v>
      </c>
      <c r="E551" s="287">
        <v>195.8</v>
      </c>
      <c r="F551" s="188">
        <f t="shared" si="102"/>
        <v>0.2</v>
      </c>
      <c r="G551" s="62">
        <f t="shared" si="103"/>
        <v>156.64000000000001</v>
      </c>
      <c r="H551" s="86"/>
      <c r="I551" s="28">
        <v>0.7</v>
      </c>
      <c r="J551" s="238" t="s">
        <v>669</v>
      </c>
      <c r="K551" s="83" t="s">
        <v>231</v>
      </c>
      <c r="L551" s="100" t="s">
        <v>628</v>
      </c>
      <c r="M551" s="219" t="s">
        <v>1519</v>
      </c>
      <c r="N551" s="205" t="s">
        <v>1520</v>
      </c>
      <c r="O551" s="206">
        <v>1</v>
      </c>
      <c r="P551" s="226" t="s">
        <v>1516</v>
      </c>
      <c r="Q551" s="287">
        <v>195.8</v>
      </c>
      <c r="R551" s="188">
        <v>0.2</v>
      </c>
      <c r="S551" s="62">
        <v>156.64000000000001</v>
      </c>
      <c r="T551" s="86"/>
      <c r="U551" s="186">
        <v>0.92</v>
      </c>
      <c r="V551" s="238" t="s">
        <v>669</v>
      </c>
      <c r="W551" s="83" t="s">
        <v>231</v>
      </c>
      <c r="X551" s="100" t="s">
        <v>628</v>
      </c>
    </row>
    <row r="552" spans="1:24" s="1" customFormat="1">
      <c r="A552" s="219" t="s">
        <v>1521</v>
      </c>
      <c r="B552" s="205" t="s">
        <v>1522</v>
      </c>
      <c r="C552" s="206">
        <v>1</v>
      </c>
      <c r="D552" s="226" t="s">
        <v>1516</v>
      </c>
      <c r="E552" s="287">
        <v>219.99</v>
      </c>
      <c r="F552" s="188">
        <f t="shared" si="102"/>
        <v>0.2</v>
      </c>
      <c r="G552" s="62">
        <f t="shared" si="103"/>
        <v>175.99200000000002</v>
      </c>
      <c r="H552" s="86"/>
      <c r="I552" s="28">
        <v>1.25</v>
      </c>
      <c r="J552" s="238" t="s">
        <v>669</v>
      </c>
      <c r="K552" s="83" t="s">
        <v>231</v>
      </c>
      <c r="L552" s="100" t="s">
        <v>628</v>
      </c>
      <c r="M552" s="219" t="s">
        <v>1521</v>
      </c>
      <c r="N552" s="205" t="s">
        <v>1522</v>
      </c>
      <c r="O552" s="206">
        <v>1</v>
      </c>
      <c r="P552" s="226" t="s">
        <v>1516</v>
      </c>
      <c r="Q552" s="287">
        <v>219.99</v>
      </c>
      <c r="R552" s="188">
        <v>0.2</v>
      </c>
      <c r="S552" s="62">
        <v>175.99200000000002</v>
      </c>
      <c r="T552" s="86"/>
      <c r="U552" s="186"/>
      <c r="V552" s="238" t="s">
        <v>669</v>
      </c>
      <c r="W552" s="83" t="s">
        <v>231</v>
      </c>
      <c r="X552" s="100" t="s">
        <v>628</v>
      </c>
    </row>
    <row r="553" spans="1:24" s="1" customFormat="1">
      <c r="A553" s="219" t="s">
        <v>1523</v>
      </c>
      <c r="B553" s="205" t="s">
        <v>1524</v>
      </c>
      <c r="C553" s="206">
        <v>1</v>
      </c>
      <c r="D553" s="226" t="s">
        <v>1516</v>
      </c>
      <c r="E553" s="287">
        <v>359.99</v>
      </c>
      <c r="F553" s="188">
        <f t="shared" si="102"/>
        <v>0.2</v>
      </c>
      <c r="G553" s="62">
        <f t="shared" si="103"/>
        <v>287.99200000000002</v>
      </c>
      <c r="H553" s="86"/>
      <c r="I553" s="28">
        <v>1.25</v>
      </c>
      <c r="J553" s="238" t="s">
        <v>669</v>
      </c>
      <c r="K553" s="83" t="s">
        <v>231</v>
      </c>
      <c r="L553" s="100" t="s">
        <v>628</v>
      </c>
      <c r="M553" s="219" t="s">
        <v>1523</v>
      </c>
      <c r="N553" s="205" t="s">
        <v>1524</v>
      </c>
      <c r="O553" s="206">
        <v>1</v>
      </c>
      <c r="P553" s="226" t="s">
        <v>1516</v>
      </c>
      <c r="Q553" s="287">
        <v>359.99</v>
      </c>
      <c r="R553" s="188">
        <v>0.2</v>
      </c>
      <c r="S553" s="62">
        <v>287.99200000000002</v>
      </c>
      <c r="T553" s="86"/>
      <c r="U553" s="186"/>
      <c r="V553" s="238" t="s">
        <v>669</v>
      </c>
      <c r="W553" s="83" t="s">
        <v>231</v>
      </c>
      <c r="X553" s="100" t="s">
        <v>628</v>
      </c>
    </row>
    <row r="554" spans="1:24" s="1" customFormat="1">
      <c r="A554" s="219" t="s">
        <v>1525</v>
      </c>
      <c r="B554" s="205" t="s">
        <v>1526</v>
      </c>
      <c r="C554" s="206">
        <v>1</v>
      </c>
      <c r="D554" s="226" t="s">
        <v>817</v>
      </c>
      <c r="E554" s="288">
        <v>19.989999999999998</v>
      </c>
      <c r="F554" s="188">
        <f t="shared" si="102"/>
        <v>0.2</v>
      </c>
      <c r="G554" s="91">
        <f t="shared" si="103"/>
        <v>15.991999999999999</v>
      </c>
      <c r="H554" s="86"/>
      <c r="I554" s="28">
        <v>0.11</v>
      </c>
      <c r="J554" s="238" t="s">
        <v>669</v>
      </c>
      <c r="K554" s="83" t="s">
        <v>231</v>
      </c>
      <c r="L554" s="100" t="s">
        <v>628</v>
      </c>
      <c r="M554" s="219" t="s">
        <v>1525</v>
      </c>
      <c r="N554" s="205" t="s">
        <v>1526</v>
      </c>
      <c r="O554" s="206">
        <v>1</v>
      </c>
      <c r="P554" s="226" t="s">
        <v>817</v>
      </c>
      <c r="Q554" s="288">
        <v>19.989999999999998</v>
      </c>
      <c r="R554" s="188">
        <v>0.2</v>
      </c>
      <c r="S554" s="91">
        <v>15.991999999999999</v>
      </c>
      <c r="T554" s="86"/>
      <c r="U554" s="186">
        <v>0.1</v>
      </c>
      <c r="V554" s="238" t="s">
        <v>669</v>
      </c>
      <c r="W554" s="83" t="s">
        <v>231</v>
      </c>
      <c r="X554" s="100" t="s">
        <v>628</v>
      </c>
    </row>
    <row r="555" spans="1:24" s="1" customFormat="1">
      <c r="A555" s="219" t="s">
        <v>1527</v>
      </c>
      <c r="B555" s="205" t="s">
        <v>1528</v>
      </c>
      <c r="C555" s="206">
        <v>1</v>
      </c>
      <c r="D555" s="226" t="s">
        <v>817</v>
      </c>
      <c r="E555" s="288">
        <v>24.99</v>
      </c>
      <c r="F555" s="188">
        <f t="shared" si="102"/>
        <v>0.2</v>
      </c>
      <c r="G555" s="91">
        <f t="shared" si="103"/>
        <v>19.991999999999997</v>
      </c>
      <c r="H555" s="86"/>
      <c r="I555" s="28">
        <v>0.11</v>
      </c>
      <c r="J555" s="238" t="s">
        <v>669</v>
      </c>
      <c r="K555" s="83" t="s">
        <v>231</v>
      </c>
      <c r="L555" s="100" t="s">
        <v>628</v>
      </c>
      <c r="M555" s="219" t="s">
        <v>1527</v>
      </c>
      <c r="N555" s="205" t="s">
        <v>1528</v>
      </c>
      <c r="O555" s="206">
        <v>1</v>
      </c>
      <c r="P555" s="226" t="s">
        <v>817</v>
      </c>
      <c r="Q555" s="288">
        <v>24.99</v>
      </c>
      <c r="R555" s="188">
        <v>0.2</v>
      </c>
      <c r="S555" s="91">
        <v>19.991999999999997</v>
      </c>
      <c r="T555" s="86"/>
      <c r="U555" s="186">
        <v>0.1</v>
      </c>
      <c r="V555" s="238" t="s">
        <v>669</v>
      </c>
      <c r="W555" s="83" t="s">
        <v>231</v>
      </c>
      <c r="X555" s="100" t="s">
        <v>628</v>
      </c>
    </row>
    <row r="556" spans="1:24" s="1" customFormat="1">
      <c r="A556" s="219" t="s">
        <v>1529</v>
      </c>
      <c r="B556" s="205" t="s">
        <v>1530</v>
      </c>
      <c r="C556" s="206">
        <v>1</v>
      </c>
      <c r="D556" s="226" t="s">
        <v>817</v>
      </c>
      <c r="E556" s="288">
        <v>34.99</v>
      </c>
      <c r="F556" s="188">
        <f>rv_20</f>
        <v>0.2</v>
      </c>
      <c r="G556" s="91">
        <f t="shared" si="103"/>
        <v>27.992000000000001</v>
      </c>
      <c r="H556" s="86"/>
      <c r="I556" s="28">
        <v>0.11</v>
      </c>
      <c r="J556" s="238" t="s">
        <v>669</v>
      </c>
      <c r="K556" s="83" t="s">
        <v>231</v>
      </c>
      <c r="L556" s="100" t="s">
        <v>628</v>
      </c>
      <c r="M556" s="219" t="s">
        <v>1529</v>
      </c>
      <c r="N556" s="205" t="s">
        <v>1530</v>
      </c>
      <c r="O556" s="206">
        <v>1</v>
      </c>
      <c r="P556" s="226" t="s">
        <v>817</v>
      </c>
      <c r="Q556" s="288">
        <v>34.99</v>
      </c>
      <c r="R556" s="188">
        <v>0.2</v>
      </c>
      <c r="S556" s="91">
        <v>27.992000000000001</v>
      </c>
      <c r="T556" s="86"/>
      <c r="U556" s="186">
        <v>0.1</v>
      </c>
      <c r="V556" s="238" t="s">
        <v>669</v>
      </c>
      <c r="W556" s="83" t="s">
        <v>231</v>
      </c>
      <c r="X556" s="100" t="s">
        <v>628</v>
      </c>
    </row>
    <row r="557" spans="1:24" s="1" customFormat="1" ht="13.5" thickBot="1">
      <c r="A557" s="219" t="s">
        <v>1531</v>
      </c>
      <c r="B557" s="205" t="s">
        <v>1532</v>
      </c>
      <c r="C557" s="206">
        <v>1</v>
      </c>
      <c r="D557" s="226" t="s">
        <v>817</v>
      </c>
      <c r="E557" s="288">
        <v>49.99</v>
      </c>
      <c r="F557" s="188">
        <f>rv_20</f>
        <v>0.2</v>
      </c>
      <c r="G557" s="91">
        <f t="shared" si="103"/>
        <v>39.992000000000004</v>
      </c>
      <c r="H557" s="86"/>
      <c r="I557" s="28">
        <v>0.11</v>
      </c>
      <c r="J557" s="238" t="s">
        <v>669</v>
      </c>
      <c r="K557" s="83" t="s">
        <v>231</v>
      </c>
      <c r="L557" s="100" t="s">
        <v>628</v>
      </c>
      <c r="M557" s="219" t="s">
        <v>1531</v>
      </c>
      <c r="N557" s="205" t="s">
        <v>1532</v>
      </c>
      <c r="O557" s="206">
        <v>1</v>
      </c>
      <c r="P557" s="226" t="s">
        <v>817</v>
      </c>
      <c r="Q557" s="288">
        <v>49.99</v>
      </c>
      <c r="R557" s="188">
        <v>0.2</v>
      </c>
      <c r="S557" s="91">
        <v>39.992000000000004</v>
      </c>
      <c r="T557" s="86"/>
      <c r="U557" s="186">
        <v>0.1</v>
      </c>
      <c r="V557" s="238" t="s">
        <v>669</v>
      </c>
      <c r="W557" s="83" t="s">
        <v>231</v>
      </c>
      <c r="X557" s="100" t="s">
        <v>628</v>
      </c>
    </row>
    <row r="558" spans="1:24" s="1" customFormat="1" ht="25" customHeight="1" thickBot="1">
      <c r="A558" s="468" t="s">
        <v>1533</v>
      </c>
      <c r="B558" s="340" t="s">
        <v>1534</v>
      </c>
      <c r="C558" s="629"/>
      <c r="D558" s="629"/>
      <c r="E558" s="630"/>
      <c r="F558" s="631"/>
      <c r="G558" s="630"/>
      <c r="H558" s="630"/>
      <c r="I558" s="630"/>
      <c r="J558" s="459"/>
      <c r="K558" s="341"/>
      <c r="L558" s="341"/>
      <c r="M558" s="468" t="s">
        <v>1533</v>
      </c>
      <c r="N558" s="340" t="s">
        <v>1534</v>
      </c>
      <c r="O558" s="629"/>
      <c r="P558" s="629"/>
      <c r="Q558" s="630"/>
      <c r="R558" s="631"/>
      <c r="S558" s="630"/>
      <c r="T558" s="630"/>
      <c r="U558" s="630"/>
      <c r="V558" s="459"/>
      <c r="W558" s="341"/>
      <c r="X558" s="341"/>
    </row>
    <row r="559" spans="1:24" s="1" customFormat="1">
      <c r="A559" s="774" t="s">
        <v>1535</v>
      </c>
      <c r="B559" s="775" t="s">
        <v>2987</v>
      </c>
      <c r="C559" s="770">
        <v>1</v>
      </c>
      <c r="D559" s="27" t="s">
        <v>1537</v>
      </c>
      <c r="E559" s="767">
        <v>175</v>
      </c>
      <c r="F559" s="18">
        <f t="shared" ref="F559:F581" si="104">rv_10</f>
        <v>0.1</v>
      </c>
      <c r="G559" s="768">
        <f t="shared" ref="G559:G581" si="105">E559-(E559*F559)</f>
        <v>157.5</v>
      </c>
      <c r="H559" s="86"/>
      <c r="I559" s="186"/>
      <c r="J559" s="238" t="s">
        <v>669</v>
      </c>
      <c r="K559" s="83" t="s">
        <v>231</v>
      </c>
      <c r="L559" s="100" t="s">
        <v>628</v>
      </c>
      <c r="M559" s="219" t="s">
        <v>1535</v>
      </c>
      <c r="N559" s="205" t="s">
        <v>1536</v>
      </c>
      <c r="O559" s="206">
        <v>1</v>
      </c>
      <c r="P559" s="226" t="s">
        <v>1537</v>
      </c>
      <c r="Q559" s="287">
        <v>173.92</v>
      </c>
      <c r="R559" s="188">
        <v>0.1</v>
      </c>
      <c r="S559" s="62">
        <v>156.52799999999999</v>
      </c>
      <c r="T559" s="86"/>
      <c r="U559" s="186"/>
      <c r="V559" s="238" t="s">
        <v>669</v>
      </c>
      <c r="W559" s="83" t="s">
        <v>231</v>
      </c>
      <c r="X559" s="100" t="s">
        <v>628</v>
      </c>
    </row>
    <row r="560" spans="1:24" s="1" customFormat="1">
      <c r="A560" s="774" t="s">
        <v>2961</v>
      </c>
      <c r="B560" s="775" t="s">
        <v>2988</v>
      </c>
      <c r="C560" s="770">
        <v>1</v>
      </c>
      <c r="D560" s="27" t="s">
        <v>1537</v>
      </c>
      <c r="E560" s="767">
        <v>175</v>
      </c>
      <c r="F560" s="18">
        <f t="shared" si="104"/>
        <v>0.1</v>
      </c>
      <c r="G560" s="768">
        <f t="shared" si="105"/>
        <v>157.5</v>
      </c>
      <c r="H560" s="734"/>
      <c r="I560" s="735"/>
      <c r="J560" s="238" t="s">
        <v>669</v>
      </c>
      <c r="K560" s="83" t="s">
        <v>231</v>
      </c>
      <c r="L560" s="100" t="s">
        <v>628</v>
      </c>
      <c r="M560" s="219"/>
      <c r="N560" s="205"/>
      <c r="O560" s="206"/>
      <c r="P560" s="226"/>
      <c r="Q560" s="287"/>
      <c r="R560" s="188"/>
      <c r="S560" s="62"/>
      <c r="T560" s="86"/>
      <c r="U560" s="186"/>
      <c r="V560" s="238"/>
      <c r="W560" s="83"/>
      <c r="X560" s="100"/>
    </row>
    <row r="561" spans="1:24" s="1" customFormat="1">
      <c r="A561" s="774" t="s">
        <v>2962</v>
      </c>
      <c r="B561" s="775" t="s">
        <v>2989</v>
      </c>
      <c r="C561" s="770">
        <v>1</v>
      </c>
      <c r="D561" s="27" t="s">
        <v>1537</v>
      </c>
      <c r="E561" s="767">
        <v>204</v>
      </c>
      <c r="F561" s="18">
        <f t="shared" si="104"/>
        <v>0.1</v>
      </c>
      <c r="G561" s="768">
        <f t="shared" si="105"/>
        <v>183.6</v>
      </c>
      <c r="H561" s="734"/>
      <c r="I561" s="735"/>
      <c r="J561" s="238" t="s">
        <v>669</v>
      </c>
      <c r="K561" s="83" t="s">
        <v>231</v>
      </c>
      <c r="L561" s="100" t="s">
        <v>628</v>
      </c>
      <c r="M561" s="219"/>
      <c r="N561" s="205"/>
      <c r="O561" s="206"/>
      <c r="P561" s="226"/>
      <c r="Q561" s="287"/>
      <c r="R561" s="188"/>
      <c r="S561" s="62"/>
      <c r="T561" s="86"/>
      <c r="U561" s="186"/>
      <c r="V561" s="238"/>
      <c r="W561" s="83"/>
      <c r="X561" s="100"/>
    </row>
    <row r="562" spans="1:24" s="1" customFormat="1">
      <c r="A562" s="774" t="s">
        <v>2963</v>
      </c>
      <c r="B562" s="775" t="s">
        <v>2990</v>
      </c>
      <c r="C562" s="770">
        <v>1</v>
      </c>
      <c r="D562" s="27" t="s">
        <v>1537</v>
      </c>
      <c r="E562" s="767">
        <v>204</v>
      </c>
      <c r="F562" s="18">
        <f t="shared" si="104"/>
        <v>0.1</v>
      </c>
      <c r="G562" s="768">
        <f t="shared" si="105"/>
        <v>183.6</v>
      </c>
      <c r="H562" s="734"/>
      <c r="I562" s="735"/>
      <c r="J562" s="238" t="s">
        <v>669</v>
      </c>
      <c r="K562" s="83" t="s">
        <v>231</v>
      </c>
      <c r="L562" s="100" t="s">
        <v>628</v>
      </c>
      <c r="M562" s="219"/>
      <c r="N562" s="205"/>
      <c r="O562" s="206"/>
      <c r="P562" s="226"/>
      <c r="Q562" s="287"/>
      <c r="R562" s="188"/>
      <c r="S562" s="62"/>
      <c r="T562" s="86"/>
      <c r="U562" s="186"/>
      <c r="V562" s="238"/>
      <c r="W562" s="83"/>
      <c r="X562" s="100"/>
    </row>
    <row r="563" spans="1:24" s="1" customFormat="1">
      <c r="A563" s="774" t="s">
        <v>2964</v>
      </c>
      <c r="B563" s="775" t="s">
        <v>2991</v>
      </c>
      <c r="C563" s="770">
        <v>1</v>
      </c>
      <c r="D563" s="27" t="s">
        <v>1537</v>
      </c>
      <c r="E563" s="767">
        <v>268</v>
      </c>
      <c r="F563" s="18">
        <f t="shared" si="104"/>
        <v>0.1</v>
      </c>
      <c r="G563" s="768">
        <f t="shared" si="105"/>
        <v>241.2</v>
      </c>
      <c r="H563" s="734"/>
      <c r="I563" s="735"/>
      <c r="J563" s="238" t="s">
        <v>669</v>
      </c>
      <c r="K563" s="83" t="s">
        <v>231</v>
      </c>
      <c r="L563" s="100" t="s">
        <v>628</v>
      </c>
      <c r="M563" s="219"/>
      <c r="N563" s="205"/>
      <c r="O563" s="206"/>
      <c r="P563" s="226"/>
      <c r="Q563" s="287"/>
      <c r="R563" s="188"/>
      <c r="S563" s="62"/>
      <c r="T563" s="86"/>
      <c r="U563" s="186"/>
      <c r="V563" s="238"/>
      <c r="W563" s="83"/>
      <c r="X563" s="100"/>
    </row>
    <row r="564" spans="1:24" s="1" customFormat="1">
      <c r="A564" s="774" t="s">
        <v>2965</v>
      </c>
      <c r="B564" s="775" t="s">
        <v>2992</v>
      </c>
      <c r="C564" s="770">
        <v>1</v>
      </c>
      <c r="D564" s="27" t="s">
        <v>1537</v>
      </c>
      <c r="E564" s="767">
        <v>268</v>
      </c>
      <c r="F564" s="18">
        <f t="shared" si="104"/>
        <v>0.1</v>
      </c>
      <c r="G564" s="768">
        <f t="shared" si="105"/>
        <v>241.2</v>
      </c>
      <c r="H564" s="734"/>
      <c r="I564" s="735"/>
      <c r="J564" s="238" t="s">
        <v>669</v>
      </c>
      <c r="K564" s="83" t="s">
        <v>231</v>
      </c>
      <c r="L564" s="100" t="s">
        <v>628</v>
      </c>
      <c r="M564" s="219"/>
      <c r="N564" s="205"/>
      <c r="O564" s="206"/>
      <c r="P564" s="226"/>
      <c r="Q564" s="287"/>
      <c r="R564" s="188"/>
      <c r="S564" s="62"/>
      <c r="T564" s="86"/>
      <c r="U564" s="186"/>
      <c r="V564" s="238"/>
      <c r="W564" s="83"/>
      <c r="X564" s="100"/>
    </row>
    <row r="565" spans="1:24" s="1" customFormat="1">
      <c r="A565" s="774" t="s">
        <v>1538</v>
      </c>
      <c r="B565" s="775" t="s">
        <v>2993</v>
      </c>
      <c r="C565" s="770">
        <v>1</v>
      </c>
      <c r="D565" s="27" t="s">
        <v>1537</v>
      </c>
      <c r="E565" s="767">
        <v>357</v>
      </c>
      <c r="F565" s="18">
        <f t="shared" si="104"/>
        <v>0.1</v>
      </c>
      <c r="G565" s="768">
        <f t="shared" si="105"/>
        <v>321.3</v>
      </c>
      <c r="H565" s="86"/>
      <c r="I565" s="186"/>
      <c r="J565" s="238" t="s">
        <v>669</v>
      </c>
      <c r="K565" s="83" t="s">
        <v>231</v>
      </c>
      <c r="L565" s="100" t="s">
        <v>628</v>
      </c>
      <c r="M565" s="219" t="s">
        <v>1538</v>
      </c>
      <c r="N565" s="205" t="s">
        <v>1539</v>
      </c>
      <c r="O565" s="206">
        <v>1</v>
      </c>
      <c r="P565" s="226" t="s">
        <v>1537</v>
      </c>
      <c r="Q565" s="287">
        <v>356.11</v>
      </c>
      <c r="R565" s="188">
        <v>0.1</v>
      </c>
      <c r="S565" s="62">
        <v>320.49900000000002</v>
      </c>
      <c r="T565" s="86"/>
      <c r="U565" s="186"/>
      <c r="V565" s="238" t="s">
        <v>669</v>
      </c>
      <c r="W565" s="83" t="s">
        <v>231</v>
      </c>
      <c r="X565" s="100" t="s">
        <v>628</v>
      </c>
    </row>
    <row r="566" spans="1:24" s="1" customFormat="1">
      <c r="A566" s="774" t="s">
        <v>2966</v>
      </c>
      <c r="B566" s="775" t="s">
        <v>2994</v>
      </c>
      <c r="C566" s="770">
        <v>1</v>
      </c>
      <c r="D566" s="27" t="s">
        <v>1537</v>
      </c>
      <c r="E566" s="767">
        <v>357</v>
      </c>
      <c r="F566" s="18">
        <f t="shared" si="104"/>
        <v>0.1</v>
      </c>
      <c r="G566" s="768">
        <f t="shared" si="105"/>
        <v>321.3</v>
      </c>
      <c r="H566" s="734"/>
      <c r="I566" s="735"/>
      <c r="J566" s="238" t="s">
        <v>669</v>
      </c>
      <c r="K566" s="83" t="s">
        <v>231</v>
      </c>
      <c r="L566" s="100" t="s">
        <v>628</v>
      </c>
      <c r="M566" s="219"/>
      <c r="N566" s="205"/>
      <c r="O566" s="206"/>
      <c r="P566" s="226"/>
      <c r="Q566" s="287"/>
      <c r="R566" s="188"/>
      <c r="S566" s="62"/>
      <c r="T566" s="86"/>
      <c r="U566" s="186"/>
      <c r="V566" s="238"/>
      <c r="W566" s="83"/>
      <c r="X566" s="100"/>
    </row>
    <row r="567" spans="1:24" s="1" customFormat="1">
      <c r="A567" s="774" t="s">
        <v>2967</v>
      </c>
      <c r="B567" s="775" t="s">
        <v>3019</v>
      </c>
      <c r="C567" s="770">
        <v>1</v>
      </c>
      <c r="D567" s="27" t="s">
        <v>1537</v>
      </c>
      <c r="E567" s="767">
        <v>357</v>
      </c>
      <c r="F567" s="18">
        <f t="shared" si="104"/>
        <v>0.1</v>
      </c>
      <c r="G567" s="768">
        <f t="shared" si="105"/>
        <v>321.3</v>
      </c>
      <c r="H567" s="734"/>
      <c r="I567" s="735"/>
      <c r="J567" s="238" t="s">
        <v>669</v>
      </c>
      <c r="K567" s="83" t="s">
        <v>231</v>
      </c>
      <c r="L567" s="100" t="s">
        <v>628</v>
      </c>
      <c r="M567" s="219"/>
      <c r="N567" s="205"/>
      <c r="O567" s="206"/>
      <c r="P567" s="226"/>
      <c r="Q567" s="287"/>
      <c r="R567" s="188"/>
      <c r="S567" s="62"/>
      <c r="T567" s="86"/>
      <c r="U567" s="186"/>
      <c r="V567" s="238"/>
      <c r="W567" s="83"/>
      <c r="X567" s="100"/>
    </row>
    <row r="568" spans="1:24" s="1" customFormat="1">
      <c r="A568" s="774" t="s">
        <v>2968</v>
      </c>
      <c r="B568" s="775" t="s">
        <v>2995</v>
      </c>
      <c r="C568" s="770">
        <v>1</v>
      </c>
      <c r="D568" s="27" t="s">
        <v>1537</v>
      </c>
      <c r="E568" s="767">
        <v>357</v>
      </c>
      <c r="F568" s="18">
        <f t="shared" si="104"/>
        <v>0.1</v>
      </c>
      <c r="G568" s="768">
        <f t="shared" si="105"/>
        <v>321.3</v>
      </c>
      <c r="H568" s="734"/>
      <c r="I568" s="735"/>
      <c r="J568" s="238" t="s">
        <v>669</v>
      </c>
      <c r="K568" s="83" t="s">
        <v>231</v>
      </c>
      <c r="L568" s="100" t="s">
        <v>628</v>
      </c>
      <c r="M568" s="219"/>
      <c r="N568" s="205"/>
      <c r="O568" s="206"/>
      <c r="P568" s="226"/>
      <c r="Q568" s="287"/>
      <c r="R568" s="188"/>
      <c r="S568" s="62"/>
      <c r="T568" s="86"/>
      <c r="U568" s="186"/>
      <c r="V568" s="238"/>
      <c r="W568" s="83"/>
      <c r="X568" s="100"/>
    </row>
    <row r="569" spans="1:24" s="1" customFormat="1">
      <c r="A569" s="774" t="s">
        <v>2969</v>
      </c>
      <c r="B569" s="775" t="s">
        <v>2996</v>
      </c>
      <c r="C569" s="770">
        <v>1</v>
      </c>
      <c r="D569" s="27" t="s">
        <v>1537</v>
      </c>
      <c r="E569" s="767">
        <v>369</v>
      </c>
      <c r="F569" s="18">
        <f t="shared" si="104"/>
        <v>0.1</v>
      </c>
      <c r="G569" s="768">
        <f t="shared" si="105"/>
        <v>332.1</v>
      </c>
      <c r="H569" s="734"/>
      <c r="I569" s="735"/>
      <c r="J569" s="238" t="s">
        <v>669</v>
      </c>
      <c r="K569" s="83" t="s">
        <v>231</v>
      </c>
      <c r="L569" s="100" t="s">
        <v>628</v>
      </c>
      <c r="M569" s="219"/>
    </row>
    <row r="570" spans="1:24" s="1" customFormat="1">
      <c r="A570" s="774" t="s">
        <v>1540</v>
      </c>
      <c r="B570" s="775" t="s">
        <v>2997</v>
      </c>
      <c r="C570" s="770">
        <v>1</v>
      </c>
      <c r="D570" s="27" t="s">
        <v>1537</v>
      </c>
      <c r="E570" s="767">
        <v>369</v>
      </c>
      <c r="F570" s="18">
        <f t="shared" si="104"/>
        <v>0.1</v>
      </c>
      <c r="G570" s="768">
        <f t="shared" si="105"/>
        <v>332.1</v>
      </c>
      <c r="H570" s="86"/>
      <c r="I570" s="186"/>
      <c r="J570" s="238" t="s">
        <v>669</v>
      </c>
      <c r="K570" s="83" t="s">
        <v>231</v>
      </c>
      <c r="L570" s="100" t="s">
        <v>628</v>
      </c>
      <c r="M570" s="219" t="s">
        <v>1540</v>
      </c>
      <c r="N570" s="205" t="s">
        <v>1541</v>
      </c>
      <c r="O570" s="206">
        <v>1</v>
      </c>
      <c r="P570" s="226" t="s">
        <v>1537</v>
      </c>
      <c r="Q570" s="287">
        <v>368.52</v>
      </c>
      <c r="R570" s="188">
        <v>0.1</v>
      </c>
      <c r="S570" s="62">
        <v>331.66800000000001</v>
      </c>
      <c r="T570" s="86"/>
      <c r="U570" s="186"/>
      <c r="V570" s="238" t="s">
        <v>669</v>
      </c>
      <c r="W570" s="83" t="s">
        <v>231</v>
      </c>
      <c r="X570" s="100" t="s">
        <v>628</v>
      </c>
    </row>
    <row r="571" spans="1:24" s="1" customFormat="1">
      <c r="A571" s="774" t="s">
        <v>2970</v>
      </c>
      <c r="B571" s="775" t="s">
        <v>2979</v>
      </c>
      <c r="C571" s="770">
        <v>1</v>
      </c>
      <c r="D571" s="27" t="s">
        <v>1537</v>
      </c>
      <c r="E571" s="767">
        <v>169</v>
      </c>
      <c r="F571" s="18">
        <f t="shared" si="104"/>
        <v>0.1</v>
      </c>
      <c r="G571" s="768">
        <f t="shared" si="105"/>
        <v>152.1</v>
      </c>
      <c r="H571" s="734"/>
      <c r="I571" s="735"/>
      <c r="J571" s="238" t="s">
        <v>669</v>
      </c>
      <c r="K571" s="83" t="s">
        <v>231</v>
      </c>
      <c r="L571" s="100" t="s">
        <v>628</v>
      </c>
      <c r="M571" s="219"/>
      <c r="N571" s="205"/>
      <c r="O571" s="206"/>
      <c r="P571" s="226"/>
      <c r="Q571" s="287"/>
      <c r="R571" s="188"/>
      <c r="S571" s="62"/>
      <c r="T571" s="86"/>
      <c r="U571" s="186"/>
      <c r="V571" s="238"/>
      <c r="W571" s="83"/>
      <c r="X571" s="100"/>
    </row>
    <row r="572" spans="1:24" s="1" customFormat="1">
      <c r="A572" s="774" t="s">
        <v>2981</v>
      </c>
      <c r="B572" s="775" t="s">
        <v>2980</v>
      </c>
      <c r="C572" s="770">
        <v>1</v>
      </c>
      <c r="D572" s="27" t="s">
        <v>1537</v>
      </c>
      <c r="E572" s="767">
        <v>169</v>
      </c>
      <c r="F572" s="18">
        <f t="shared" si="104"/>
        <v>0.1</v>
      </c>
      <c r="G572" s="768">
        <f t="shared" ref="G572" si="106">E572-(E572*F572)</f>
        <v>152.1</v>
      </c>
      <c r="H572" s="734"/>
      <c r="I572" s="735"/>
      <c r="J572" s="238" t="s">
        <v>669</v>
      </c>
      <c r="K572" s="83" t="s">
        <v>231</v>
      </c>
      <c r="L572" s="100" t="s">
        <v>628</v>
      </c>
      <c r="M572" s="219"/>
      <c r="N572" s="205"/>
      <c r="O572" s="206"/>
      <c r="P572" s="226"/>
      <c r="Q572" s="287"/>
      <c r="R572" s="188"/>
      <c r="S572" s="62"/>
      <c r="T572" s="86"/>
      <c r="U572" s="186"/>
      <c r="V572" s="238"/>
      <c r="W572" s="83"/>
      <c r="X572" s="100"/>
    </row>
    <row r="573" spans="1:24" s="1" customFormat="1">
      <c r="A573" s="774" t="s">
        <v>2971</v>
      </c>
      <c r="B573" s="775" t="s">
        <v>2998</v>
      </c>
      <c r="C573" s="770">
        <v>1</v>
      </c>
      <c r="D573" s="27" t="s">
        <v>1537</v>
      </c>
      <c r="E573" s="767">
        <v>292</v>
      </c>
      <c r="F573" s="18">
        <f t="shared" si="104"/>
        <v>0.1</v>
      </c>
      <c r="G573" s="768">
        <f t="shared" si="105"/>
        <v>262.8</v>
      </c>
      <c r="H573" s="734"/>
      <c r="I573" s="735"/>
      <c r="J573" s="238" t="s">
        <v>669</v>
      </c>
      <c r="K573" s="83" t="s">
        <v>231</v>
      </c>
      <c r="L573" s="100" t="s">
        <v>628</v>
      </c>
      <c r="M573" s="219"/>
      <c r="N573" s="205"/>
      <c r="O573" s="206"/>
      <c r="P573" s="226"/>
      <c r="Q573" s="287"/>
      <c r="R573" s="188"/>
      <c r="S573" s="62"/>
      <c r="T573" s="86"/>
      <c r="U573" s="186"/>
      <c r="V573" s="238"/>
      <c r="W573" s="83"/>
      <c r="X573" s="100"/>
    </row>
    <row r="574" spans="1:24" s="1" customFormat="1">
      <c r="A574" s="774" t="s">
        <v>2972</v>
      </c>
      <c r="B574" s="775" t="s">
        <v>2999</v>
      </c>
      <c r="C574" s="770">
        <v>1</v>
      </c>
      <c r="D574" s="27" t="s">
        <v>1537</v>
      </c>
      <c r="E574" s="767">
        <v>292</v>
      </c>
      <c r="F574" s="18">
        <f t="shared" si="104"/>
        <v>0.1</v>
      </c>
      <c r="G574" s="768">
        <f t="shared" si="105"/>
        <v>262.8</v>
      </c>
      <c r="H574" s="734"/>
      <c r="I574" s="735"/>
      <c r="J574" s="238" t="s">
        <v>669</v>
      </c>
      <c r="K574" s="83" t="s">
        <v>231</v>
      </c>
      <c r="L574" s="100" t="s">
        <v>628</v>
      </c>
      <c r="M574" s="219"/>
      <c r="N574" s="205"/>
      <c r="O574" s="206"/>
      <c r="P574" s="226"/>
      <c r="Q574" s="287"/>
      <c r="R574" s="188"/>
      <c r="S574" s="62"/>
      <c r="T574" s="86"/>
      <c r="U574" s="186"/>
      <c r="V574" s="238"/>
      <c r="W574" s="83"/>
      <c r="X574" s="100"/>
    </row>
    <row r="575" spans="1:24" s="1" customFormat="1">
      <c r="A575" s="774" t="s">
        <v>2973</v>
      </c>
      <c r="B575" s="775" t="s">
        <v>3000</v>
      </c>
      <c r="C575" s="770">
        <v>1</v>
      </c>
      <c r="D575" s="27" t="s">
        <v>1537</v>
      </c>
      <c r="E575" s="767">
        <v>494</v>
      </c>
      <c r="F575" s="18">
        <f t="shared" si="104"/>
        <v>0.1</v>
      </c>
      <c r="G575" s="768">
        <f t="shared" si="105"/>
        <v>444.6</v>
      </c>
      <c r="H575" s="734"/>
      <c r="I575" s="735"/>
      <c r="J575" s="238" t="s">
        <v>669</v>
      </c>
      <c r="K575" s="83" t="s">
        <v>231</v>
      </c>
      <c r="L575" s="100" t="s">
        <v>628</v>
      </c>
      <c r="M575" s="219"/>
      <c r="N575" s="205"/>
      <c r="O575" s="206"/>
      <c r="P575" s="226"/>
      <c r="Q575" s="287"/>
      <c r="R575" s="188"/>
      <c r="S575" s="62"/>
      <c r="T575" s="86"/>
      <c r="U575" s="186"/>
      <c r="V575" s="238"/>
      <c r="W575" s="83"/>
      <c r="X575" s="100"/>
    </row>
    <row r="576" spans="1:24" s="1" customFormat="1">
      <c r="A576" s="774" t="s">
        <v>2974</v>
      </c>
      <c r="B576" s="775" t="s">
        <v>3001</v>
      </c>
      <c r="C576" s="770">
        <v>1</v>
      </c>
      <c r="D576" s="27" t="s">
        <v>1537</v>
      </c>
      <c r="E576" s="767">
        <v>494</v>
      </c>
      <c r="F576" s="18">
        <f t="shared" si="104"/>
        <v>0.1</v>
      </c>
      <c r="G576" s="768">
        <f t="shared" si="105"/>
        <v>444.6</v>
      </c>
      <c r="H576" s="734"/>
      <c r="I576" s="735"/>
      <c r="J576" s="238" t="s">
        <v>669</v>
      </c>
      <c r="K576" s="83" t="s">
        <v>231</v>
      </c>
      <c r="L576" s="100" t="s">
        <v>628</v>
      </c>
      <c r="M576" s="219"/>
      <c r="N576" s="205"/>
      <c r="O576" s="206"/>
      <c r="P576" s="226"/>
      <c r="Q576" s="287"/>
      <c r="R576" s="188"/>
      <c r="S576" s="62"/>
      <c r="T576" s="86"/>
      <c r="U576" s="186"/>
      <c r="V576" s="238"/>
      <c r="W576" s="83"/>
      <c r="X576" s="100"/>
    </row>
    <row r="577" spans="1:24" s="1" customFormat="1">
      <c r="A577" s="774" t="s">
        <v>2977</v>
      </c>
      <c r="B577" s="775" t="s">
        <v>3002</v>
      </c>
      <c r="C577" s="770">
        <v>1</v>
      </c>
      <c r="D577" s="27" t="s">
        <v>1537</v>
      </c>
      <c r="E577" s="767">
        <v>275</v>
      </c>
      <c r="F577" s="18">
        <f t="shared" si="104"/>
        <v>0.1</v>
      </c>
      <c r="G577" s="768">
        <f t="shared" si="105"/>
        <v>247.5</v>
      </c>
      <c r="H577" s="734"/>
      <c r="I577" s="735"/>
      <c r="J577" s="238" t="s">
        <v>669</v>
      </c>
      <c r="K577" s="83" t="s">
        <v>231</v>
      </c>
      <c r="L577" s="100" t="s">
        <v>628</v>
      </c>
      <c r="M577" s="219"/>
      <c r="N577" s="205"/>
      <c r="O577" s="206"/>
      <c r="P577" s="226"/>
      <c r="Q577" s="287"/>
      <c r="R577" s="188"/>
      <c r="S577" s="62"/>
      <c r="T577" s="86"/>
      <c r="U577" s="186"/>
      <c r="V577" s="238"/>
      <c r="W577" s="83"/>
      <c r="X577" s="100"/>
    </row>
    <row r="578" spans="1:24" s="1" customFormat="1">
      <c r="A578" s="774" t="s">
        <v>2978</v>
      </c>
      <c r="B578" s="775" t="s">
        <v>3003</v>
      </c>
      <c r="C578" s="770">
        <v>1</v>
      </c>
      <c r="D578" s="27" t="s">
        <v>1537</v>
      </c>
      <c r="E578" s="767">
        <v>275</v>
      </c>
      <c r="F578" s="18">
        <f t="shared" si="104"/>
        <v>0.1</v>
      </c>
      <c r="G578" s="768">
        <f t="shared" si="105"/>
        <v>247.5</v>
      </c>
      <c r="H578" s="734"/>
      <c r="I578" s="735"/>
      <c r="J578" s="238" t="s">
        <v>669</v>
      </c>
      <c r="K578" s="83" t="s">
        <v>231</v>
      </c>
      <c r="L578" s="100" t="s">
        <v>628</v>
      </c>
      <c r="M578" s="219"/>
      <c r="N578" s="205"/>
      <c r="O578" s="206"/>
      <c r="P578" s="226"/>
      <c r="Q578" s="287"/>
      <c r="R578" s="188"/>
      <c r="S578" s="62"/>
      <c r="T578" s="86"/>
      <c r="U578" s="186"/>
      <c r="V578" s="238"/>
      <c r="W578" s="83"/>
      <c r="X578" s="100"/>
    </row>
    <row r="579" spans="1:24" s="1" customFormat="1">
      <c r="A579" s="774" t="s">
        <v>2975</v>
      </c>
      <c r="B579" s="775" t="s">
        <v>3004</v>
      </c>
      <c r="C579" s="770">
        <v>1</v>
      </c>
      <c r="D579" s="27" t="s">
        <v>1537</v>
      </c>
      <c r="E579" s="767">
        <v>418</v>
      </c>
      <c r="F579" s="18">
        <f t="shared" si="104"/>
        <v>0.1</v>
      </c>
      <c r="G579" s="768">
        <f>E579-(E579*F579)</f>
        <v>376.2</v>
      </c>
      <c r="H579" s="734"/>
      <c r="I579" s="735"/>
      <c r="J579" s="238" t="s">
        <v>669</v>
      </c>
      <c r="K579" s="83" t="s">
        <v>231</v>
      </c>
      <c r="L579" s="100" t="s">
        <v>628</v>
      </c>
      <c r="M579" s="219"/>
      <c r="N579" s="205"/>
      <c r="O579" s="206"/>
      <c r="P579" s="226"/>
      <c r="Q579" s="287"/>
      <c r="R579" s="188"/>
      <c r="S579" s="62"/>
      <c r="T579" s="86"/>
      <c r="U579" s="186"/>
      <c r="V579" s="238"/>
      <c r="W579" s="83"/>
      <c r="X579" s="100"/>
    </row>
    <row r="580" spans="1:24" s="1" customFormat="1">
      <c r="A580" s="774" t="s">
        <v>2976</v>
      </c>
      <c r="B580" s="775" t="s">
        <v>3005</v>
      </c>
      <c r="C580" s="770">
        <v>1</v>
      </c>
      <c r="D580" s="27" t="s">
        <v>1537</v>
      </c>
      <c r="E580" s="767">
        <v>418</v>
      </c>
      <c r="F580" s="18">
        <f t="shared" si="104"/>
        <v>0.1</v>
      </c>
      <c r="G580" s="768">
        <f>E580-(E580*F580)</f>
        <v>376.2</v>
      </c>
      <c r="H580" s="734"/>
      <c r="I580" s="735"/>
      <c r="J580" s="238" t="s">
        <v>669</v>
      </c>
      <c r="K580" s="83" t="s">
        <v>231</v>
      </c>
      <c r="L580" s="100" t="s">
        <v>628</v>
      </c>
      <c r="M580" s="219"/>
      <c r="N580" s="205"/>
      <c r="O580" s="206"/>
      <c r="P580" s="226"/>
      <c r="Q580" s="287"/>
      <c r="R580" s="188"/>
      <c r="S580" s="62"/>
      <c r="T580" s="86"/>
      <c r="U580" s="186"/>
      <c r="V580" s="238"/>
      <c r="W580" s="83"/>
      <c r="X580" s="100"/>
    </row>
    <row r="581" spans="1:24" s="1" customFormat="1">
      <c r="A581" s="774" t="s">
        <v>1542</v>
      </c>
      <c r="B581" s="775" t="s">
        <v>3006</v>
      </c>
      <c r="C581" s="770">
        <v>1</v>
      </c>
      <c r="D581" s="27" t="s">
        <v>1537</v>
      </c>
      <c r="E581" s="767">
        <v>596</v>
      </c>
      <c r="F581" s="18">
        <f t="shared" si="104"/>
        <v>0.1</v>
      </c>
      <c r="G581" s="768">
        <f t="shared" si="105"/>
        <v>536.4</v>
      </c>
      <c r="H581" s="86"/>
      <c r="I581" s="186"/>
      <c r="J581" s="238" t="s">
        <v>669</v>
      </c>
      <c r="K581" s="83" t="s">
        <v>231</v>
      </c>
      <c r="L581" s="100" t="s">
        <v>628</v>
      </c>
      <c r="M581" s="219" t="s">
        <v>1542</v>
      </c>
      <c r="N581" s="205" t="s">
        <v>1543</v>
      </c>
      <c r="O581" s="206">
        <v>1</v>
      </c>
      <c r="P581" s="226" t="s">
        <v>1537</v>
      </c>
      <c r="Q581" s="287">
        <v>612.84</v>
      </c>
      <c r="R581" s="188">
        <v>0.1</v>
      </c>
      <c r="S581" s="62">
        <v>551.55600000000004</v>
      </c>
      <c r="T581" s="86"/>
      <c r="U581" s="186"/>
      <c r="V581" s="238" t="s">
        <v>669</v>
      </c>
      <c r="W581" s="83" t="s">
        <v>231</v>
      </c>
      <c r="X581" s="100" t="s">
        <v>628</v>
      </c>
    </row>
    <row r="582" spans="1:24" s="1" customFormat="1">
      <c r="A582" s="219" t="s">
        <v>1544</v>
      </c>
      <c r="B582" s="205" t="s">
        <v>1545</v>
      </c>
      <c r="C582" s="770">
        <v>1</v>
      </c>
      <c r="D582" s="27" t="s">
        <v>863</v>
      </c>
      <c r="E582" s="767">
        <v>75.31</v>
      </c>
      <c r="F582" s="18">
        <f t="shared" ref="F582:F633" si="107">rv_20</f>
        <v>0.2</v>
      </c>
      <c r="G582" s="768">
        <f t="shared" ref="G582:G609" si="108">E582-(E582*F582)</f>
        <v>60.248000000000005</v>
      </c>
      <c r="H582" s="86"/>
      <c r="I582" s="186"/>
      <c r="J582" s="238" t="s">
        <v>669</v>
      </c>
      <c r="K582" s="83" t="s">
        <v>231</v>
      </c>
      <c r="L582" s="100" t="s">
        <v>628</v>
      </c>
      <c r="M582" s="219" t="s">
        <v>1544</v>
      </c>
      <c r="N582" s="205" t="s">
        <v>1545</v>
      </c>
      <c r="O582" s="206">
        <v>1</v>
      </c>
      <c r="P582" s="226" t="s">
        <v>863</v>
      </c>
      <c r="Q582" s="287">
        <v>75.31</v>
      </c>
      <c r="R582" s="188">
        <v>0.2</v>
      </c>
      <c r="S582" s="62">
        <v>60.248000000000005</v>
      </c>
      <c r="T582" s="86"/>
      <c r="U582" s="186"/>
      <c r="V582" s="238" t="s">
        <v>669</v>
      </c>
      <c r="W582" s="83" t="s">
        <v>231</v>
      </c>
      <c r="X582" s="100" t="s">
        <v>628</v>
      </c>
    </row>
    <row r="583" spans="1:24" s="1" customFormat="1">
      <c r="A583" s="219" t="s">
        <v>1546</v>
      </c>
      <c r="B583" s="205" t="s">
        <v>1547</v>
      </c>
      <c r="C583" s="206">
        <v>1</v>
      </c>
      <c r="D583" s="226" t="s">
        <v>863</v>
      </c>
      <c r="E583" s="287">
        <v>115.91</v>
      </c>
      <c r="F583" s="188">
        <f t="shared" si="107"/>
        <v>0.2</v>
      </c>
      <c r="G583" s="62">
        <f t="shared" si="108"/>
        <v>92.727999999999994</v>
      </c>
      <c r="H583" s="86"/>
      <c r="I583" s="186"/>
      <c r="J583" s="238" t="s">
        <v>669</v>
      </c>
      <c r="K583" s="83" t="s">
        <v>231</v>
      </c>
      <c r="L583" s="100" t="s">
        <v>628</v>
      </c>
      <c r="M583" s="219" t="s">
        <v>1546</v>
      </c>
      <c r="N583" s="205" t="s">
        <v>1547</v>
      </c>
      <c r="O583" s="206">
        <v>1</v>
      </c>
      <c r="P583" s="226" t="s">
        <v>863</v>
      </c>
      <c r="Q583" s="287">
        <v>115.91</v>
      </c>
      <c r="R583" s="188">
        <v>0.2</v>
      </c>
      <c r="S583" s="62">
        <v>92.727999999999994</v>
      </c>
      <c r="T583" s="86"/>
      <c r="U583" s="186"/>
      <c r="V583" s="238" t="s">
        <v>669</v>
      </c>
      <c r="W583" s="83" t="s">
        <v>231</v>
      </c>
      <c r="X583" s="100" t="s">
        <v>628</v>
      </c>
    </row>
    <row r="584" spans="1:24" s="1" customFormat="1">
      <c r="A584" s="219" t="s">
        <v>1548</v>
      </c>
      <c r="B584" s="205" t="s">
        <v>1549</v>
      </c>
      <c r="C584" s="206">
        <v>1</v>
      </c>
      <c r="D584" s="226" t="s">
        <v>863</v>
      </c>
      <c r="E584" s="287">
        <v>110.71</v>
      </c>
      <c r="F584" s="188">
        <f t="shared" si="107"/>
        <v>0.2</v>
      </c>
      <c r="G584" s="62">
        <f t="shared" si="108"/>
        <v>88.567999999999998</v>
      </c>
      <c r="H584" s="86"/>
      <c r="I584" s="186"/>
      <c r="J584" s="238" t="s">
        <v>669</v>
      </c>
      <c r="K584" s="83" t="s">
        <v>231</v>
      </c>
      <c r="L584" s="100" t="s">
        <v>628</v>
      </c>
      <c r="M584" s="219" t="s">
        <v>1548</v>
      </c>
      <c r="N584" s="205" t="s">
        <v>1549</v>
      </c>
      <c r="O584" s="206">
        <v>1</v>
      </c>
      <c r="P584" s="226" t="s">
        <v>863</v>
      </c>
      <c r="Q584" s="287">
        <v>110.71</v>
      </c>
      <c r="R584" s="188">
        <v>0.2</v>
      </c>
      <c r="S584" s="62">
        <v>88.567999999999998</v>
      </c>
      <c r="T584" s="86"/>
      <c r="U584" s="186"/>
      <c r="V584" s="238" t="s">
        <v>669</v>
      </c>
      <c r="W584" s="83" t="s">
        <v>231</v>
      </c>
      <c r="X584" s="100" t="s">
        <v>628</v>
      </c>
    </row>
    <row r="585" spans="1:24" s="1" customFormat="1">
      <c r="A585" s="219" t="s">
        <v>1550</v>
      </c>
      <c r="B585" s="205" t="s">
        <v>1551</v>
      </c>
      <c r="C585" s="206">
        <v>1</v>
      </c>
      <c r="D585" s="572" t="s">
        <v>1552</v>
      </c>
      <c r="E585" s="287">
        <v>79.17</v>
      </c>
      <c r="F585" s="188">
        <f t="shared" si="107"/>
        <v>0.2</v>
      </c>
      <c r="G585" s="62">
        <f t="shared" si="108"/>
        <v>63.335999999999999</v>
      </c>
      <c r="H585" s="86"/>
      <c r="I585" s="186"/>
      <c r="J585" s="238" t="s">
        <v>669</v>
      </c>
      <c r="K585" s="83" t="s">
        <v>231</v>
      </c>
      <c r="L585" s="100" t="s">
        <v>628</v>
      </c>
      <c r="M585" s="219" t="s">
        <v>1550</v>
      </c>
      <c r="N585" s="205" t="s">
        <v>1551</v>
      </c>
      <c r="O585" s="206">
        <v>1</v>
      </c>
      <c r="P585" s="572" t="s">
        <v>1552</v>
      </c>
      <c r="Q585" s="287">
        <v>79.17</v>
      </c>
      <c r="R585" s="188">
        <v>0.2</v>
      </c>
      <c r="S585" s="62">
        <v>63.335999999999999</v>
      </c>
      <c r="T585" s="86"/>
      <c r="U585" s="186"/>
      <c r="V585" s="238" t="s">
        <v>669</v>
      </c>
      <c r="W585" s="83" t="s">
        <v>231</v>
      </c>
      <c r="X585" s="100" t="s">
        <v>628</v>
      </c>
    </row>
    <row r="586" spans="1:24" s="1" customFormat="1">
      <c r="A586" s="219" t="s">
        <v>1553</v>
      </c>
      <c r="B586" s="205" t="s">
        <v>1554</v>
      </c>
      <c r="C586" s="206">
        <v>1</v>
      </c>
      <c r="D586" s="572" t="s">
        <v>1552</v>
      </c>
      <c r="E586" s="287">
        <v>79.17</v>
      </c>
      <c r="F586" s="188">
        <f t="shared" si="107"/>
        <v>0.2</v>
      </c>
      <c r="G586" s="62">
        <f t="shared" si="108"/>
        <v>63.335999999999999</v>
      </c>
      <c r="H586" s="86"/>
      <c r="I586" s="186"/>
      <c r="J586" s="238" t="s">
        <v>669</v>
      </c>
      <c r="K586" s="83" t="s">
        <v>231</v>
      </c>
      <c r="L586" s="100" t="s">
        <v>628</v>
      </c>
      <c r="M586" s="219" t="s">
        <v>1553</v>
      </c>
      <c r="N586" s="205" t="s">
        <v>1554</v>
      </c>
      <c r="O586" s="206">
        <v>1</v>
      </c>
      <c r="P586" s="572" t="s">
        <v>1552</v>
      </c>
      <c r="Q586" s="287">
        <v>79.17</v>
      </c>
      <c r="R586" s="188">
        <v>0.2</v>
      </c>
      <c r="S586" s="62">
        <v>63.335999999999999</v>
      </c>
      <c r="T586" s="86"/>
      <c r="U586" s="186"/>
      <c r="V586" s="238" t="s">
        <v>669</v>
      </c>
      <c r="W586" s="83" t="s">
        <v>231</v>
      </c>
      <c r="X586" s="100" t="s">
        <v>628</v>
      </c>
    </row>
    <row r="587" spans="1:24" s="1" customFormat="1">
      <c r="A587" s="219" t="s">
        <v>1555</v>
      </c>
      <c r="B587" s="205" t="s">
        <v>1556</v>
      </c>
      <c r="C587" s="206">
        <v>1</v>
      </c>
      <c r="D587" s="572" t="s">
        <v>1552</v>
      </c>
      <c r="E587" s="287">
        <v>59.17</v>
      </c>
      <c r="F587" s="188">
        <f t="shared" si="107"/>
        <v>0.2</v>
      </c>
      <c r="G587" s="62">
        <f t="shared" si="108"/>
        <v>47.335999999999999</v>
      </c>
      <c r="H587" s="86"/>
      <c r="I587" s="186"/>
      <c r="J587" s="238" t="s">
        <v>669</v>
      </c>
      <c r="K587" s="83" t="s">
        <v>231</v>
      </c>
      <c r="L587" s="100" t="s">
        <v>628</v>
      </c>
      <c r="M587" s="219" t="s">
        <v>1555</v>
      </c>
      <c r="N587" s="205" t="s">
        <v>1556</v>
      </c>
      <c r="O587" s="206">
        <v>1</v>
      </c>
      <c r="P587" s="572" t="s">
        <v>1552</v>
      </c>
      <c r="Q587" s="287">
        <v>59.17</v>
      </c>
      <c r="R587" s="188">
        <v>0.2</v>
      </c>
      <c r="S587" s="62">
        <v>47.335999999999999</v>
      </c>
      <c r="T587" s="86"/>
      <c r="U587" s="186"/>
      <c r="V587" s="238" t="s">
        <v>669</v>
      </c>
      <c r="W587" s="83" t="s">
        <v>231</v>
      </c>
      <c r="X587" s="100" t="s">
        <v>628</v>
      </c>
    </row>
    <row r="588" spans="1:24" s="1" customFormat="1">
      <c r="A588" s="219" t="s">
        <v>1557</v>
      </c>
      <c r="B588" s="222" t="s">
        <v>1558</v>
      </c>
      <c r="C588" s="206">
        <v>1</v>
      </c>
      <c r="D588" s="572" t="s">
        <v>1552</v>
      </c>
      <c r="E588" s="287">
        <v>79.17</v>
      </c>
      <c r="F588" s="188">
        <f t="shared" si="107"/>
        <v>0.2</v>
      </c>
      <c r="G588" s="62">
        <f t="shared" si="108"/>
        <v>63.335999999999999</v>
      </c>
      <c r="H588" s="86"/>
      <c r="I588" s="186"/>
      <c r="J588" s="238" t="s">
        <v>669</v>
      </c>
      <c r="K588" s="83" t="s">
        <v>231</v>
      </c>
      <c r="L588" s="100" t="s">
        <v>628</v>
      </c>
      <c r="M588" s="219" t="s">
        <v>1557</v>
      </c>
      <c r="N588" s="222" t="s">
        <v>1558</v>
      </c>
      <c r="O588" s="206">
        <v>1</v>
      </c>
      <c r="P588" s="572" t="s">
        <v>1552</v>
      </c>
      <c r="Q588" s="287">
        <v>79.17</v>
      </c>
      <c r="R588" s="188">
        <v>0.2</v>
      </c>
      <c r="S588" s="62">
        <v>63.335999999999999</v>
      </c>
      <c r="T588" s="86"/>
      <c r="U588" s="186"/>
      <c r="V588" s="238" t="s">
        <v>669</v>
      </c>
      <c r="W588" s="83" t="s">
        <v>231</v>
      </c>
      <c r="X588" s="100" t="s">
        <v>628</v>
      </c>
    </row>
    <row r="589" spans="1:24" s="1" customFormat="1">
      <c r="A589" s="219" t="s">
        <v>1559</v>
      </c>
      <c r="B589" s="222" t="s">
        <v>1560</v>
      </c>
      <c r="C589" s="206">
        <v>1</v>
      </c>
      <c r="D589" s="572" t="s">
        <v>1552</v>
      </c>
      <c r="E589" s="287">
        <v>79.17</v>
      </c>
      <c r="F589" s="188">
        <f t="shared" si="107"/>
        <v>0.2</v>
      </c>
      <c r="G589" s="62">
        <f t="shared" si="108"/>
        <v>63.335999999999999</v>
      </c>
      <c r="H589" s="86"/>
      <c r="I589" s="186"/>
      <c r="J589" s="238" t="s">
        <v>669</v>
      </c>
      <c r="K589" s="83" t="s">
        <v>231</v>
      </c>
      <c r="L589" s="100" t="s">
        <v>628</v>
      </c>
      <c r="M589" s="219" t="s">
        <v>1559</v>
      </c>
      <c r="N589" s="222" t="s">
        <v>1560</v>
      </c>
      <c r="O589" s="206">
        <v>1</v>
      </c>
      <c r="P589" s="572" t="s">
        <v>1552</v>
      </c>
      <c r="Q589" s="287">
        <v>79.17</v>
      </c>
      <c r="R589" s="188">
        <v>0.2</v>
      </c>
      <c r="S589" s="62">
        <v>63.335999999999999</v>
      </c>
      <c r="T589" s="86"/>
      <c r="U589" s="186"/>
      <c r="V589" s="238" t="s">
        <v>669</v>
      </c>
      <c r="W589" s="83" t="s">
        <v>231</v>
      </c>
      <c r="X589" s="100" t="s">
        <v>628</v>
      </c>
    </row>
    <row r="590" spans="1:24" s="1" customFormat="1">
      <c r="A590" s="219" t="s">
        <v>1561</v>
      </c>
      <c r="B590" s="222" t="s">
        <v>1562</v>
      </c>
      <c r="C590" s="206">
        <v>1</v>
      </c>
      <c r="D590" s="572" t="s">
        <v>1552</v>
      </c>
      <c r="E590" s="287">
        <v>59.17</v>
      </c>
      <c r="F590" s="188">
        <f t="shared" si="107"/>
        <v>0.2</v>
      </c>
      <c r="G590" s="62">
        <f t="shared" si="108"/>
        <v>47.335999999999999</v>
      </c>
      <c r="H590" s="86"/>
      <c r="I590" s="186"/>
      <c r="J590" s="238" t="s">
        <v>669</v>
      </c>
      <c r="K590" s="83" t="s">
        <v>231</v>
      </c>
      <c r="L590" s="100" t="s">
        <v>628</v>
      </c>
      <c r="M590" s="219" t="s">
        <v>1561</v>
      </c>
      <c r="N590" s="222" t="s">
        <v>1562</v>
      </c>
      <c r="O590" s="206">
        <v>1</v>
      </c>
      <c r="P590" s="572" t="s">
        <v>1552</v>
      </c>
      <c r="Q590" s="287">
        <v>59.17</v>
      </c>
      <c r="R590" s="188">
        <v>0.2</v>
      </c>
      <c r="S590" s="62">
        <v>47.335999999999999</v>
      </c>
      <c r="T590" s="86"/>
      <c r="U590" s="186"/>
      <c r="V590" s="238" t="s">
        <v>669</v>
      </c>
      <c r="W590" s="83" t="s">
        <v>231</v>
      </c>
      <c r="X590" s="100" t="s">
        <v>628</v>
      </c>
    </row>
    <row r="591" spans="1:24" s="1" customFormat="1">
      <c r="A591" s="219" t="s">
        <v>1563</v>
      </c>
      <c r="B591" s="222" t="s">
        <v>1564</v>
      </c>
      <c r="C591" s="206">
        <v>1</v>
      </c>
      <c r="D591" s="572" t="s">
        <v>1552</v>
      </c>
      <c r="E591" s="287">
        <v>79.17</v>
      </c>
      <c r="F591" s="188">
        <f t="shared" si="107"/>
        <v>0.2</v>
      </c>
      <c r="G591" s="62">
        <f t="shared" si="108"/>
        <v>63.335999999999999</v>
      </c>
      <c r="H591" s="86"/>
      <c r="I591" s="186"/>
      <c r="J591" s="238" t="s">
        <v>669</v>
      </c>
      <c r="K591" s="83" t="s">
        <v>231</v>
      </c>
      <c r="L591" s="100" t="s">
        <v>628</v>
      </c>
      <c r="M591" s="219" t="s">
        <v>1563</v>
      </c>
      <c r="N591" s="222" t="s">
        <v>1564</v>
      </c>
      <c r="O591" s="206">
        <v>1</v>
      </c>
      <c r="P591" s="572" t="s">
        <v>1552</v>
      </c>
      <c r="Q591" s="287">
        <v>79.17</v>
      </c>
      <c r="R591" s="188">
        <v>0.2</v>
      </c>
      <c r="S591" s="62">
        <v>63.335999999999999</v>
      </c>
      <c r="T591" s="86"/>
      <c r="U591" s="186"/>
      <c r="V591" s="238" t="s">
        <v>669</v>
      </c>
      <c r="W591" s="83" t="s">
        <v>231</v>
      </c>
      <c r="X591" s="100" t="s">
        <v>628</v>
      </c>
    </row>
    <row r="592" spans="1:24" s="1" customFormat="1">
      <c r="A592" s="219" t="s">
        <v>1565</v>
      </c>
      <c r="B592" s="222" t="s">
        <v>1566</v>
      </c>
      <c r="C592" s="206">
        <v>1</v>
      </c>
      <c r="D592" s="572" t="s">
        <v>1552</v>
      </c>
      <c r="E592" s="287">
        <v>79.17</v>
      </c>
      <c r="F592" s="188">
        <f t="shared" si="107"/>
        <v>0.2</v>
      </c>
      <c r="G592" s="62">
        <f t="shared" si="108"/>
        <v>63.335999999999999</v>
      </c>
      <c r="H592" s="86"/>
      <c r="I592" s="186"/>
      <c r="J592" s="238" t="s">
        <v>669</v>
      </c>
      <c r="K592" s="83" t="s">
        <v>231</v>
      </c>
      <c r="L592" s="100" t="s">
        <v>628</v>
      </c>
      <c r="M592" s="219" t="s">
        <v>1565</v>
      </c>
      <c r="N592" s="222" t="s">
        <v>1566</v>
      </c>
      <c r="O592" s="206">
        <v>1</v>
      </c>
      <c r="P592" s="572" t="s">
        <v>1552</v>
      </c>
      <c r="Q592" s="287">
        <v>79.17</v>
      </c>
      <c r="R592" s="188">
        <v>0.2</v>
      </c>
      <c r="S592" s="62">
        <v>63.335999999999999</v>
      </c>
      <c r="T592" s="86"/>
      <c r="U592" s="186"/>
      <c r="V592" s="238" t="s">
        <v>669</v>
      </c>
      <c r="W592" s="83" t="s">
        <v>231</v>
      </c>
      <c r="X592" s="100" t="s">
        <v>628</v>
      </c>
    </row>
    <row r="593" spans="1:24" s="1" customFormat="1">
      <c r="A593" s="219" t="s">
        <v>1567</v>
      </c>
      <c r="B593" s="205" t="s">
        <v>1568</v>
      </c>
      <c r="C593" s="206">
        <v>1</v>
      </c>
      <c r="D593" s="572" t="s">
        <v>1552</v>
      </c>
      <c r="E593" s="287">
        <v>59.17</v>
      </c>
      <c r="F593" s="188">
        <f t="shared" si="107"/>
        <v>0.2</v>
      </c>
      <c r="G593" s="62">
        <f t="shared" si="108"/>
        <v>47.335999999999999</v>
      </c>
      <c r="H593" s="86"/>
      <c r="I593" s="186"/>
      <c r="J593" s="238" t="s">
        <v>669</v>
      </c>
      <c r="K593" s="83" t="s">
        <v>231</v>
      </c>
      <c r="L593" s="100" t="s">
        <v>628</v>
      </c>
      <c r="M593" s="219" t="s">
        <v>1567</v>
      </c>
      <c r="N593" s="205" t="s">
        <v>1568</v>
      </c>
      <c r="O593" s="206">
        <v>1</v>
      </c>
      <c r="P593" s="572" t="s">
        <v>1552</v>
      </c>
      <c r="Q593" s="287">
        <v>59.17</v>
      </c>
      <c r="R593" s="188">
        <v>0.2</v>
      </c>
      <c r="S593" s="62">
        <v>47.335999999999999</v>
      </c>
      <c r="T593" s="86"/>
      <c r="U593" s="186"/>
      <c r="V593" s="238" t="s">
        <v>669</v>
      </c>
      <c r="W593" s="83" t="s">
        <v>231</v>
      </c>
      <c r="X593" s="100" t="s">
        <v>628</v>
      </c>
    </row>
    <row r="594" spans="1:24" s="1" customFormat="1">
      <c r="A594" s="219" t="s">
        <v>1569</v>
      </c>
      <c r="B594" s="205" t="s">
        <v>1570</v>
      </c>
      <c r="C594" s="206">
        <v>1</v>
      </c>
      <c r="D594" s="572" t="s">
        <v>1552</v>
      </c>
      <c r="E594" s="287">
        <v>79.17</v>
      </c>
      <c r="F594" s="188">
        <f t="shared" si="107"/>
        <v>0.2</v>
      </c>
      <c r="G594" s="62">
        <f t="shared" si="108"/>
        <v>63.335999999999999</v>
      </c>
      <c r="H594" s="86"/>
      <c r="I594" s="186"/>
      <c r="J594" s="238" t="s">
        <v>669</v>
      </c>
      <c r="K594" s="83" t="s">
        <v>231</v>
      </c>
      <c r="L594" s="100" t="s">
        <v>628</v>
      </c>
      <c r="M594" s="219" t="s">
        <v>1569</v>
      </c>
      <c r="N594" s="205" t="s">
        <v>1570</v>
      </c>
      <c r="O594" s="206">
        <v>1</v>
      </c>
      <c r="P594" s="572" t="s">
        <v>1552</v>
      </c>
      <c r="Q594" s="287">
        <v>79.17</v>
      </c>
      <c r="R594" s="188">
        <v>0.2</v>
      </c>
      <c r="S594" s="62">
        <v>63.335999999999999</v>
      </c>
      <c r="T594" s="86"/>
      <c r="U594" s="186"/>
      <c r="V594" s="238" t="s">
        <v>669</v>
      </c>
      <c r="W594" s="83" t="s">
        <v>231</v>
      </c>
      <c r="X594" s="100" t="s">
        <v>628</v>
      </c>
    </row>
    <row r="595" spans="1:24" s="1" customFormat="1">
      <c r="A595" s="219" t="s">
        <v>1571</v>
      </c>
      <c r="B595" s="205" t="s">
        <v>1572</v>
      </c>
      <c r="C595" s="206">
        <v>1</v>
      </c>
      <c r="D595" s="572" t="s">
        <v>1552</v>
      </c>
      <c r="E595" s="287">
        <v>79.17</v>
      </c>
      <c r="F595" s="188">
        <f t="shared" si="107"/>
        <v>0.2</v>
      </c>
      <c r="G595" s="62">
        <f t="shared" si="108"/>
        <v>63.335999999999999</v>
      </c>
      <c r="H595" s="86"/>
      <c r="I595" s="186"/>
      <c r="J595" s="238" t="s">
        <v>669</v>
      </c>
      <c r="K595" s="83" t="s">
        <v>231</v>
      </c>
      <c r="L595" s="100" t="s">
        <v>628</v>
      </c>
      <c r="M595" s="219" t="s">
        <v>1571</v>
      </c>
      <c r="N595" s="205" t="s">
        <v>1572</v>
      </c>
      <c r="O595" s="206">
        <v>1</v>
      </c>
      <c r="P595" s="572" t="s">
        <v>1552</v>
      </c>
      <c r="Q595" s="287">
        <v>79.17</v>
      </c>
      <c r="R595" s="188">
        <v>0.2</v>
      </c>
      <c r="S595" s="62">
        <v>63.335999999999999</v>
      </c>
      <c r="T595" s="86"/>
      <c r="U595" s="186"/>
      <c r="V595" s="238" t="s">
        <v>669</v>
      </c>
      <c r="W595" s="83" t="s">
        <v>231</v>
      </c>
      <c r="X595" s="100" t="s">
        <v>628</v>
      </c>
    </row>
    <row r="596" spans="1:24" s="1" customFormat="1">
      <c r="A596" s="219" t="s">
        <v>1573</v>
      </c>
      <c r="B596" s="205" t="s">
        <v>2431</v>
      </c>
      <c r="C596" s="206">
        <v>1</v>
      </c>
      <c r="D596" s="572" t="s">
        <v>1552</v>
      </c>
      <c r="E596" s="287">
        <v>59.17</v>
      </c>
      <c r="F596" s="188">
        <f t="shared" si="107"/>
        <v>0.2</v>
      </c>
      <c r="G596" s="62">
        <f t="shared" si="108"/>
        <v>47.335999999999999</v>
      </c>
      <c r="H596" s="86"/>
      <c r="I596" s="186"/>
      <c r="J596" s="238" t="s">
        <v>669</v>
      </c>
      <c r="K596" s="83" t="s">
        <v>231</v>
      </c>
      <c r="L596" s="100" t="s">
        <v>628</v>
      </c>
      <c r="M596" s="219" t="s">
        <v>1573</v>
      </c>
      <c r="N596" s="205" t="s">
        <v>2431</v>
      </c>
      <c r="O596" s="206">
        <v>1</v>
      </c>
      <c r="P596" s="572" t="s">
        <v>1552</v>
      </c>
      <c r="Q596" s="287">
        <v>59.17</v>
      </c>
      <c r="R596" s="188">
        <v>0.2</v>
      </c>
      <c r="S596" s="62">
        <v>47.335999999999999</v>
      </c>
      <c r="T596" s="86"/>
      <c r="U596" s="186"/>
      <c r="V596" s="238" t="s">
        <v>669</v>
      </c>
      <c r="W596" s="83" t="s">
        <v>231</v>
      </c>
      <c r="X596" s="100" t="s">
        <v>628</v>
      </c>
    </row>
    <row r="597" spans="1:24" s="1" customFormat="1">
      <c r="A597" s="219" t="s">
        <v>1574</v>
      </c>
      <c r="B597" s="205" t="s">
        <v>2432</v>
      </c>
      <c r="C597" s="206">
        <v>1</v>
      </c>
      <c r="D597" s="572" t="s">
        <v>1552</v>
      </c>
      <c r="E597" s="287">
        <v>79.17</v>
      </c>
      <c r="F597" s="188">
        <f t="shared" si="107"/>
        <v>0.2</v>
      </c>
      <c r="G597" s="62">
        <f t="shared" si="108"/>
        <v>63.335999999999999</v>
      </c>
      <c r="H597" s="86"/>
      <c r="I597" s="186"/>
      <c r="J597" s="238" t="s">
        <v>669</v>
      </c>
      <c r="K597" s="83" t="s">
        <v>231</v>
      </c>
      <c r="L597" s="100" t="s">
        <v>628</v>
      </c>
      <c r="M597" s="219" t="s">
        <v>1574</v>
      </c>
      <c r="N597" s="205" t="s">
        <v>2432</v>
      </c>
      <c r="O597" s="206">
        <v>1</v>
      </c>
      <c r="P597" s="572" t="s">
        <v>1552</v>
      </c>
      <c r="Q597" s="287">
        <v>79.17</v>
      </c>
      <c r="R597" s="188">
        <v>0.2</v>
      </c>
      <c r="S597" s="62">
        <v>63.335999999999999</v>
      </c>
      <c r="T597" s="86"/>
      <c r="U597" s="186"/>
      <c r="V597" s="238" t="s">
        <v>669</v>
      </c>
      <c r="W597" s="83" t="s">
        <v>231</v>
      </c>
      <c r="X597" s="100" t="s">
        <v>628</v>
      </c>
    </row>
    <row r="598" spans="1:24" s="1" customFormat="1">
      <c r="A598" s="219" t="s">
        <v>1575</v>
      </c>
      <c r="B598" s="205" t="s">
        <v>2433</v>
      </c>
      <c r="C598" s="206">
        <v>1</v>
      </c>
      <c r="D598" s="572" t="s">
        <v>1552</v>
      </c>
      <c r="E598" s="287">
        <v>79.17</v>
      </c>
      <c r="F598" s="188">
        <f t="shared" si="107"/>
        <v>0.2</v>
      </c>
      <c r="G598" s="62">
        <f t="shared" si="108"/>
        <v>63.335999999999999</v>
      </c>
      <c r="H598" s="86"/>
      <c r="I598" s="186"/>
      <c r="J598" s="238" t="s">
        <v>669</v>
      </c>
      <c r="K598" s="83" t="s">
        <v>231</v>
      </c>
      <c r="L598" s="100" t="s">
        <v>628</v>
      </c>
      <c r="M598" s="219" t="s">
        <v>1575</v>
      </c>
      <c r="N598" s="205" t="s">
        <v>2433</v>
      </c>
      <c r="O598" s="206">
        <v>1</v>
      </c>
      <c r="P598" s="572" t="s">
        <v>1552</v>
      </c>
      <c r="Q598" s="287">
        <v>79.17</v>
      </c>
      <c r="R598" s="188">
        <v>0.2</v>
      </c>
      <c r="S598" s="62">
        <v>63.335999999999999</v>
      </c>
      <c r="T598" s="86"/>
      <c r="U598" s="186"/>
      <c r="V598" s="238" t="s">
        <v>669</v>
      </c>
      <c r="W598" s="83" t="s">
        <v>231</v>
      </c>
      <c r="X598" s="100" t="s">
        <v>628</v>
      </c>
    </row>
    <row r="599" spans="1:24" s="1" customFormat="1">
      <c r="A599" s="774" t="s">
        <v>1576</v>
      </c>
      <c r="B599" s="775" t="s">
        <v>2434</v>
      </c>
      <c r="C599" s="770">
        <v>1</v>
      </c>
      <c r="D599" s="783" t="s">
        <v>1552</v>
      </c>
      <c r="E599" s="767">
        <v>59.17</v>
      </c>
      <c r="F599" s="18">
        <f t="shared" si="107"/>
        <v>0.2</v>
      </c>
      <c r="G599" s="768">
        <f t="shared" si="108"/>
        <v>47.335999999999999</v>
      </c>
      <c r="H599" s="86"/>
      <c r="I599" s="186"/>
      <c r="J599" s="238" t="s">
        <v>669</v>
      </c>
      <c r="K599" s="83" t="s">
        <v>231</v>
      </c>
      <c r="L599" s="100" t="s">
        <v>628</v>
      </c>
      <c r="M599" s="219" t="s">
        <v>1576</v>
      </c>
      <c r="N599" s="205" t="s">
        <v>2434</v>
      </c>
      <c r="O599" s="206">
        <v>1</v>
      </c>
      <c r="P599" s="572" t="s">
        <v>1552</v>
      </c>
      <c r="Q599" s="287">
        <v>59.17</v>
      </c>
      <c r="R599" s="188">
        <v>0.2</v>
      </c>
      <c r="S599" s="62">
        <v>47.335999999999999</v>
      </c>
      <c r="T599" s="86"/>
      <c r="U599" s="186"/>
      <c r="V599" s="238" t="s">
        <v>669</v>
      </c>
      <c r="W599" s="83" t="s">
        <v>231</v>
      </c>
      <c r="X599" s="100" t="s">
        <v>628</v>
      </c>
    </row>
    <row r="600" spans="1:24" s="1" customFormat="1">
      <c r="A600" s="774" t="s">
        <v>1577</v>
      </c>
      <c r="B600" s="775" t="s">
        <v>2435</v>
      </c>
      <c r="C600" s="770">
        <v>1</v>
      </c>
      <c r="D600" s="783" t="s">
        <v>1552</v>
      </c>
      <c r="E600" s="767">
        <v>79.17</v>
      </c>
      <c r="F600" s="18">
        <f t="shared" si="107"/>
        <v>0.2</v>
      </c>
      <c r="G600" s="768">
        <f t="shared" si="108"/>
        <v>63.335999999999999</v>
      </c>
      <c r="H600" s="86"/>
      <c r="I600" s="186"/>
      <c r="J600" s="238" t="s">
        <v>669</v>
      </c>
      <c r="K600" s="83" t="s">
        <v>231</v>
      </c>
      <c r="L600" s="100" t="s">
        <v>628</v>
      </c>
      <c r="M600" s="219" t="s">
        <v>1577</v>
      </c>
      <c r="N600" s="205" t="s">
        <v>2435</v>
      </c>
      <c r="O600" s="206">
        <v>1</v>
      </c>
      <c r="P600" s="572" t="s">
        <v>1552</v>
      </c>
      <c r="Q600" s="287">
        <v>79.17</v>
      </c>
      <c r="R600" s="188">
        <v>0.2</v>
      </c>
      <c r="S600" s="62">
        <v>63.335999999999999</v>
      </c>
      <c r="T600" s="86"/>
      <c r="U600" s="186"/>
      <c r="V600" s="238" t="s">
        <v>669</v>
      </c>
      <c r="W600" s="83" t="s">
        <v>231</v>
      </c>
      <c r="X600" s="100" t="s">
        <v>628</v>
      </c>
    </row>
    <row r="601" spans="1:24" s="1" customFormat="1">
      <c r="A601" s="774" t="s">
        <v>1578</v>
      </c>
      <c r="B601" s="775" t="s">
        <v>2436</v>
      </c>
      <c r="C601" s="770">
        <v>1</v>
      </c>
      <c r="D601" s="783" t="s">
        <v>1552</v>
      </c>
      <c r="E601" s="767">
        <v>79.17</v>
      </c>
      <c r="F601" s="18">
        <f t="shared" si="107"/>
        <v>0.2</v>
      </c>
      <c r="G601" s="768">
        <f t="shared" si="108"/>
        <v>63.335999999999999</v>
      </c>
      <c r="H601" s="86"/>
      <c r="I601" s="186"/>
      <c r="J601" s="238" t="s">
        <v>669</v>
      </c>
      <c r="K601" s="83" t="s">
        <v>231</v>
      </c>
      <c r="L601" s="100" t="s">
        <v>628</v>
      </c>
      <c r="M601" s="219" t="s">
        <v>1578</v>
      </c>
      <c r="N601" s="205" t="s">
        <v>2436</v>
      </c>
      <c r="O601" s="206">
        <v>1</v>
      </c>
      <c r="P601" s="572" t="s">
        <v>1552</v>
      </c>
      <c r="Q601" s="287">
        <v>79.17</v>
      </c>
      <c r="R601" s="188">
        <v>0.2</v>
      </c>
      <c r="S601" s="62">
        <v>63.335999999999999</v>
      </c>
      <c r="T601" s="86"/>
      <c r="U601" s="186"/>
      <c r="V601" s="238" t="s">
        <v>669</v>
      </c>
      <c r="W601" s="83" t="s">
        <v>231</v>
      </c>
      <c r="X601" s="100" t="s">
        <v>628</v>
      </c>
    </row>
    <row r="602" spans="1:24" s="1" customFormat="1">
      <c r="A602" s="784" t="s">
        <v>1579</v>
      </c>
      <c r="B602" s="775" t="s">
        <v>3007</v>
      </c>
      <c r="C602" s="770">
        <v>1</v>
      </c>
      <c r="D602" s="783" t="s">
        <v>1552</v>
      </c>
      <c r="E602" s="767">
        <v>59.17</v>
      </c>
      <c r="F602" s="18">
        <f t="shared" si="107"/>
        <v>0.2</v>
      </c>
      <c r="G602" s="768">
        <f t="shared" si="108"/>
        <v>47.335999999999999</v>
      </c>
      <c r="H602" s="86"/>
      <c r="I602" s="186"/>
      <c r="J602" s="238" t="s">
        <v>669</v>
      </c>
      <c r="K602" s="83" t="s">
        <v>231</v>
      </c>
      <c r="L602" s="100" t="s">
        <v>628</v>
      </c>
      <c r="M602" s="470" t="s">
        <v>1579</v>
      </c>
      <c r="N602" s="205" t="s">
        <v>1580</v>
      </c>
      <c r="O602" s="206">
        <v>1</v>
      </c>
      <c r="P602" s="572" t="s">
        <v>1552</v>
      </c>
      <c r="Q602" s="287">
        <v>59.17</v>
      </c>
      <c r="R602" s="188">
        <v>0.2</v>
      </c>
      <c r="S602" s="62">
        <v>47.335999999999999</v>
      </c>
      <c r="T602" s="86"/>
      <c r="U602" s="186"/>
      <c r="V602" s="238" t="s">
        <v>669</v>
      </c>
      <c r="W602" s="83" t="s">
        <v>231</v>
      </c>
      <c r="X602" s="100" t="s">
        <v>628</v>
      </c>
    </row>
    <row r="603" spans="1:24" s="1" customFormat="1">
      <c r="A603" s="784" t="s">
        <v>1581</v>
      </c>
      <c r="B603" s="775" t="s">
        <v>3008</v>
      </c>
      <c r="C603" s="770">
        <v>1</v>
      </c>
      <c r="D603" s="783" t="s">
        <v>1552</v>
      </c>
      <c r="E603" s="767">
        <v>79.17</v>
      </c>
      <c r="F603" s="18">
        <f t="shared" si="107"/>
        <v>0.2</v>
      </c>
      <c r="G603" s="768">
        <f t="shared" si="108"/>
        <v>63.335999999999999</v>
      </c>
      <c r="H603" s="86"/>
      <c r="I603" s="186"/>
      <c r="J603" s="238" t="s">
        <v>669</v>
      </c>
      <c r="K603" s="83" t="s">
        <v>231</v>
      </c>
      <c r="L603" s="100" t="s">
        <v>628</v>
      </c>
      <c r="M603" s="470" t="s">
        <v>1581</v>
      </c>
      <c r="N603" s="205" t="s">
        <v>1582</v>
      </c>
      <c r="O603" s="206">
        <v>1</v>
      </c>
      <c r="P603" s="572" t="s">
        <v>1552</v>
      </c>
      <c r="Q603" s="287">
        <v>79.17</v>
      </c>
      <c r="R603" s="188">
        <v>0.2</v>
      </c>
      <c r="S603" s="62">
        <v>63.335999999999999</v>
      </c>
      <c r="T603" s="86"/>
      <c r="U603" s="186"/>
      <c r="V603" s="238" t="s">
        <v>669</v>
      </c>
      <c r="W603" s="83" t="s">
        <v>231</v>
      </c>
      <c r="X603" s="100" t="s">
        <v>628</v>
      </c>
    </row>
    <row r="604" spans="1:24" s="1" customFormat="1">
      <c r="A604" s="784" t="s">
        <v>1583</v>
      </c>
      <c r="B604" s="775" t="s">
        <v>3009</v>
      </c>
      <c r="C604" s="770">
        <v>1</v>
      </c>
      <c r="D604" s="783" t="s">
        <v>1552</v>
      </c>
      <c r="E604" s="767">
        <v>79.17</v>
      </c>
      <c r="F604" s="18">
        <f t="shared" si="107"/>
        <v>0.2</v>
      </c>
      <c r="G604" s="768">
        <f t="shared" si="108"/>
        <v>63.335999999999999</v>
      </c>
      <c r="H604" s="86"/>
      <c r="I604" s="186"/>
      <c r="J604" s="238" t="s">
        <v>669</v>
      </c>
      <c r="K604" s="83" t="s">
        <v>231</v>
      </c>
      <c r="L604" s="100" t="s">
        <v>628</v>
      </c>
      <c r="M604" s="470" t="s">
        <v>1583</v>
      </c>
      <c r="N604" s="205" t="s">
        <v>1584</v>
      </c>
      <c r="O604" s="206">
        <v>1</v>
      </c>
      <c r="P604" s="572" t="s">
        <v>1552</v>
      </c>
      <c r="Q604" s="287">
        <v>79.17</v>
      </c>
      <c r="R604" s="188">
        <v>0.2</v>
      </c>
      <c r="S604" s="62">
        <v>63.335999999999999</v>
      </c>
      <c r="T604" s="86"/>
      <c r="U604" s="186"/>
      <c r="V604" s="238" t="s">
        <v>669</v>
      </c>
      <c r="W604" s="83" t="s">
        <v>231</v>
      </c>
      <c r="X604" s="100" t="s">
        <v>628</v>
      </c>
    </row>
    <row r="605" spans="1:24" s="1" customFormat="1">
      <c r="A605" s="784" t="s">
        <v>1585</v>
      </c>
      <c r="B605" s="775" t="s">
        <v>2984</v>
      </c>
      <c r="C605" s="770">
        <v>1</v>
      </c>
      <c r="D605" s="783" t="s">
        <v>1552</v>
      </c>
      <c r="E605" s="767">
        <v>59.17</v>
      </c>
      <c r="F605" s="18">
        <f t="shared" si="107"/>
        <v>0.2</v>
      </c>
      <c r="G605" s="768">
        <f t="shared" si="108"/>
        <v>47.335999999999999</v>
      </c>
      <c r="H605" s="86"/>
      <c r="I605" s="186"/>
      <c r="J605" s="238" t="s">
        <v>669</v>
      </c>
      <c r="K605" s="83" t="s">
        <v>231</v>
      </c>
      <c r="L605" s="100" t="s">
        <v>628</v>
      </c>
      <c r="M605" s="470" t="s">
        <v>1585</v>
      </c>
      <c r="N605" s="205" t="s">
        <v>1586</v>
      </c>
      <c r="O605" s="206">
        <v>1</v>
      </c>
      <c r="P605" s="572" t="s">
        <v>1552</v>
      </c>
      <c r="Q605" s="287">
        <v>59.17</v>
      </c>
      <c r="R605" s="188">
        <v>0.2</v>
      </c>
      <c r="S605" s="62">
        <v>47.335999999999999</v>
      </c>
      <c r="T605" s="86"/>
      <c r="U605" s="186"/>
      <c r="V605" s="238" t="s">
        <v>669</v>
      </c>
      <c r="W605" s="83" t="s">
        <v>231</v>
      </c>
      <c r="X605" s="100" t="s">
        <v>628</v>
      </c>
    </row>
    <row r="606" spans="1:24" s="1" customFormat="1">
      <c r="A606" s="784" t="s">
        <v>1587</v>
      </c>
      <c r="B606" s="775" t="s">
        <v>2985</v>
      </c>
      <c r="C606" s="770">
        <v>1</v>
      </c>
      <c r="D606" s="783" t="s">
        <v>1552</v>
      </c>
      <c r="E606" s="767">
        <v>79.17</v>
      </c>
      <c r="F606" s="18">
        <f t="shared" si="107"/>
        <v>0.2</v>
      </c>
      <c r="G606" s="768">
        <f t="shared" si="108"/>
        <v>63.335999999999999</v>
      </c>
      <c r="H606" s="86"/>
      <c r="I606" s="186"/>
      <c r="J606" s="238" t="s">
        <v>669</v>
      </c>
      <c r="K606" s="83" t="s">
        <v>231</v>
      </c>
      <c r="L606" s="100" t="s">
        <v>628</v>
      </c>
      <c r="M606" s="470" t="s">
        <v>1587</v>
      </c>
      <c r="N606" s="205" t="s">
        <v>1588</v>
      </c>
      <c r="O606" s="206">
        <v>1</v>
      </c>
      <c r="P606" s="572" t="s">
        <v>1552</v>
      </c>
      <c r="Q606" s="287">
        <v>79.17</v>
      </c>
      <c r="R606" s="188">
        <v>0.2</v>
      </c>
      <c r="S606" s="62">
        <v>63.335999999999999</v>
      </c>
      <c r="T606" s="86"/>
      <c r="U606" s="186"/>
      <c r="V606" s="238" t="s">
        <v>669</v>
      </c>
      <c r="W606" s="83" t="s">
        <v>231</v>
      </c>
      <c r="X606" s="100" t="s">
        <v>628</v>
      </c>
    </row>
    <row r="607" spans="1:24" s="1" customFormat="1" ht="16" customHeight="1">
      <c r="A607" s="784" t="s">
        <v>1589</v>
      </c>
      <c r="B607" s="785" t="s">
        <v>2986</v>
      </c>
      <c r="C607" s="770">
        <v>1</v>
      </c>
      <c r="D607" s="783" t="s">
        <v>1552</v>
      </c>
      <c r="E607" s="767">
        <v>79.17</v>
      </c>
      <c r="F607" s="18">
        <f t="shared" si="107"/>
        <v>0.2</v>
      </c>
      <c r="G607" s="768">
        <f t="shared" si="108"/>
        <v>63.335999999999999</v>
      </c>
      <c r="H607" s="86"/>
      <c r="I607" s="186"/>
      <c r="J607" s="238" t="s">
        <v>669</v>
      </c>
      <c r="K607" s="83" t="s">
        <v>231</v>
      </c>
      <c r="L607" s="100" t="s">
        <v>628</v>
      </c>
      <c r="M607" s="470" t="s">
        <v>1589</v>
      </c>
      <c r="N607" s="222" t="s">
        <v>1590</v>
      </c>
      <c r="O607" s="206">
        <v>1</v>
      </c>
      <c r="P607" s="572" t="s">
        <v>1552</v>
      </c>
      <c r="Q607" s="287">
        <v>79.17</v>
      </c>
      <c r="R607" s="188">
        <v>0.2</v>
      </c>
      <c r="S607" s="62">
        <v>63.335999999999999</v>
      </c>
      <c r="T607" s="86"/>
      <c r="U607" s="186"/>
      <c r="V607" s="238" t="s">
        <v>669</v>
      </c>
      <c r="W607" s="83" t="s">
        <v>231</v>
      </c>
      <c r="X607" s="100" t="s">
        <v>628</v>
      </c>
    </row>
    <row r="608" spans="1:24" s="1" customFormat="1">
      <c r="A608" s="784" t="s">
        <v>1591</v>
      </c>
      <c r="B608" s="785" t="s">
        <v>1592</v>
      </c>
      <c r="C608" s="770">
        <v>1</v>
      </c>
      <c r="D608" s="783" t="s">
        <v>1552</v>
      </c>
      <c r="E608" s="767">
        <v>85.88</v>
      </c>
      <c r="F608" s="18">
        <f t="shared" si="107"/>
        <v>0.2</v>
      </c>
      <c r="G608" s="768">
        <f t="shared" si="108"/>
        <v>68.703999999999994</v>
      </c>
      <c r="H608" s="86"/>
      <c r="I608" s="186"/>
      <c r="J608" s="238" t="s">
        <v>669</v>
      </c>
      <c r="K608" s="83" t="s">
        <v>231</v>
      </c>
      <c r="L608" s="100" t="s">
        <v>628</v>
      </c>
      <c r="M608" s="470" t="s">
        <v>1591</v>
      </c>
      <c r="N608" s="222" t="s">
        <v>1592</v>
      </c>
      <c r="O608" s="206">
        <v>1</v>
      </c>
      <c r="P608" s="572" t="s">
        <v>1552</v>
      </c>
      <c r="Q608" s="287">
        <v>85.88</v>
      </c>
      <c r="R608" s="188">
        <v>0.2</v>
      </c>
      <c r="S608" s="62">
        <v>68.703999999999994</v>
      </c>
      <c r="T608" s="86"/>
      <c r="U608" s="186"/>
      <c r="V608" s="238" t="s">
        <v>669</v>
      </c>
      <c r="W608" s="83" t="s">
        <v>231</v>
      </c>
      <c r="X608" s="100" t="s">
        <v>628</v>
      </c>
    </row>
    <row r="609" spans="1:24" s="1" customFormat="1">
      <c r="A609" s="784" t="s">
        <v>1593</v>
      </c>
      <c r="B609" s="785" t="s">
        <v>1594</v>
      </c>
      <c r="C609" s="770">
        <v>1</v>
      </c>
      <c r="D609" s="783" t="s">
        <v>1552</v>
      </c>
      <c r="E609" s="767">
        <v>115.88</v>
      </c>
      <c r="F609" s="18">
        <f t="shared" si="107"/>
        <v>0.2</v>
      </c>
      <c r="G609" s="768">
        <f t="shared" si="108"/>
        <v>92.703999999999994</v>
      </c>
      <c r="H609" s="86"/>
      <c r="I609" s="186"/>
      <c r="J609" s="238" t="s">
        <v>669</v>
      </c>
      <c r="K609" s="83" t="s">
        <v>231</v>
      </c>
      <c r="L609" s="100" t="s">
        <v>628</v>
      </c>
      <c r="M609" s="470" t="s">
        <v>1593</v>
      </c>
      <c r="N609" s="222" t="s">
        <v>1594</v>
      </c>
      <c r="O609" s="206">
        <v>1</v>
      </c>
      <c r="P609" s="572" t="s">
        <v>1552</v>
      </c>
      <c r="Q609" s="287">
        <v>115.88</v>
      </c>
      <c r="R609" s="188">
        <v>0.2</v>
      </c>
      <c r="S609" s="62">
        <v>92.703999999999994</v>
      </c>
      <c r="T609" s="86"/>
      <c r="U609" s="186"/>
      <c r="V609" s="238" t="s">
        <v>669</v>
      </c>
      <c r="W609" s="83" t="s">
        <v>231</v>
      </c>
      <c r="X609" s="100" t="s">
        <v>628</v>
      </c>
    </row>
    <row r="610" spans="1:24" s="1" customFormat="1">
      <c r="A610" s="784" t="s">
        <v>1595</v>
      </c>
      <c r="B610" s="785" t="s">
        <v>1596</v>
      </c>
      <c r="C610" s="770">
        <v>1</v>
      </c>
      <c r="D610" s="783" t="s">
        <v>1552</v>
      </c>
      <c r="E610" s="767">
        <v>115.88</v>
      </c>
      <c r="F610" s="18">
        <f t="shared" si="107"/>
        <v>0.2</v>
      </c>
      <c r="G610" s="768">
        <f t="shared" ref="G610:G633" si="109">E610-(E610*F610)</f>
        <v>92.703999999999994</v>
      </c>
      <c r="H610" s="86"/>
      <c r="I610" s="186"/>
      <c r="J610" s="238" t="s">
        <v>669</v>
      </c>
      <c r="K610" s="83" t="s">
        <v>231</v>
      </c>
      <c r="L610" s="100" t="s">
        <v>628</v>
      </c>
      <c r="M610" s="470" t="s">
        <v>1595</v>
      </c>
      <c r="N610" s="222" t="s">
        <v>1596</v>
      </c>
      <c r="O610" s="206">
        <v>1</v>
      </c>
      <c r="P610" s="572" t="s">
        <v>1552</v>
      </c>
      <c r="Q610" s="287">
        <v>115.88</v>
      </c>
      <c r="R610" s="188">
        <v>0.2</v>
      </c>
      <c r="S610" s="62">
        <v>92.703999999999994</v>
      </c>
      <c r="T610" s="86"/>
      <c r="U610" s="186"/>
      <c r="V610" s="238" t="s">
        <v>669</v>
      </c>
      <c r="W610" s="83" t="s">
        <v>231</v>
      </c>
      <c r="X610" s="100" t="s">
        <v>628</v>
      </c>
    </row>
    <row r="611" spans="1:24" s="1" customFormat="1">
      <c r="A611" s="774" t="s">
        <v>2982</v>
      </c>
      <c r="B611" s="785" t="s">
        <v>2983</v>
      </c>
      <c r="C611" s="770">
        <v>1</v>
      </c>
      <c r="D611" s="783" t="s">
        <v>1552</v>
      </c>
      <c r="E611" s="767">
        <v>65.709999999999994</v>
      </c>
      <c r="F611" s="18">
        <f t="shared" si="107"/>
        <v>0.2</v>
      </c>
      <c r="G611" s="768">
        <f t="shared" ref="G611" si="110">E611-(E611*F611)</f>
        <v>52.567999999999998</v>
      </c>
      <c r="H611" s="734"/>
      <c r="I611" s="735"/>
      <c r="J611" s="238" t="s">
        <v>669</v>
      </c>
      <c r="K611" s="83" t="s">
        <v>231</v>
      </c>
      <c r="L611" s="100" t="s">
        <v>628</v>
      </c>
      <c r="M611" s="219"/>
      <c r="N611" s="222"/>
      <c r="O611" s="206"/>
      <c r="P611" s="572"/>
      <c r="Q611" s="287"/>
      <c r="R611" s="188"/>
      <c r="S611" s="62"/>
      <c r="T611" s="86"/>
      <c r="U611" s="186"/>
      <c r="V611" s="238"/>
      <c r="W611" s="83"/>
      <c r="X611" s="100"/>
    </row>
    <row r="612" spans="1:24" s="1" customFormat="1">
      <c r="A612" s="774" t="s">
        <v>1597</v>
      </c>
      <c r="B612" s="775" t="s">
        <v>1598</v>
      </c>
      <c r="C612" s="770">
        <v>1</v>
      </c>
      <c r="D612" s="783" t="s">
        <v>1552</v>
      </c>
      <c r="E612" s="767">
        <v>62.71</v>
      </c>
      <c r="F612" s="18">
        <f t="shared" si="107"/>
        <v>0.2</v>
      </c>
      <c r="G612" s="768">
        <f t="shared" si="109"/>
        <v>50.167999999999999</v>
      </c>
      <c r="H612" s="86"/>
      <c r="I612" s="186"/>
      <c r="J612" s="238" t="s">
        <v>669</v>
      </c>
      <c r="K612" s="83" t="s">
        <v>231</v>
      </c>
      <c r="L612" s="100" t="s">
        <v>628</v>
      </c>
      <c r="M612" s="219" t="s">
        <v>1597</v>
      </c>
      <c r="N612" s="205" t="s">
        <v>1598</v>
      </c>
      <c r="O612" s="206">
        <v>1</v>
      </c>
      <c r="P612" s="572" t="s">
        <v>1552</v>
      </c>
      <c r="Q612" s="287">
        <v>62.71</v>
      </c>
      <c r="R612" s="188">
        <v>0.2</v>
      </c>
      <c r="S612" s="62">
        <v>50.167999999999999</v>
      </c>
      <c r="T612" s="86"/>
      <c r="U612" s="186"/>
      <c r="V612" s="238" t="s">
        <v>669</v>
      </c>
      <c r="W612" s="83" t="s">
        <v>231</v>
      </c>
      <c r="X612" s="100" t="s">
        <v>628</v>
      </c>
    </row>
    <row r="613" spans="1:24" s="1" customFormat="1">
      <c r="A613" s="774" t="s">
        <v>1599</v>
      </c>
      <c r="B613" s="775" t="s">
        <v>1600</v>
      </c>
      <c r="C613" s="770">
        <v>1</v>
      </c>
      <c r="D613" s="783" t="s">
        <v>1552</v>
      </c>
      <c r="E613" s="767">
        <v>62.71</v>
      </c>
      <c r="F613" s="18">
        <f t="shared" si="107"/>
        <v>0.2</v>
      </c>
      <c r="G613" s="768">
        <f t="shared" si="109"/>
        <v>50.167999999999999</v>
      </c>
      <c r="H613" s="86"/>
      <c r="I613" s="186"/>
      <c r="J613" s="238" t="s">
        <v>669</v>
      </c>
      <c r="K613" s="83" t="s">
        <v>231</v>
      </c>
      <c r="L613" s="100" t="s">
        <v>628</v>
      </c>
      <c r="M613" s="219" t="s">
        <v>1599</v>
      </c>
      <c r="N613" s="205" t="s">
        <v>1600</v>
      </c>
      <c r="O613" s="206">
        <v>1</v>
      </c>
      <c r="P613" s="572" t="s">
        <v>1552</v>
      </c>
      <c r="Q613" s="287">
        <v>62.71</v>
      </c>
      <c r="R613" s="188">
        <v>0.2</v>
      </c>
      <c r="S613" s="62">
        <v>50.167999999999999</v>
      </c>
      <c r="T613" s="86"/>
      <c r="U613" s="186"/>
      <c r="V613" s="238" t="s">
        <v>669</v>
      </c>
      <c r="W613" s="83" t="s">
        <v>231</v>
      </c>
      <c r="X613" s="100" t="s">
        <v>628</v>
      </c>
    </row>
    <row r="614" spans="1:24" s="1" customFormat="1">
      <c r="A614" s="774" t="s">
        <v>1601</v>
      </c>
      <c r="B614" s="775" t="s">
        <v>1602</v>
      </c>
      <c r="C614" s="770">
        <v>1</v>
      </c>
      <c r="D614" s="783" t="s">
        <v>1552</v>
      </c>
      <c r="E614" s="767">
        <v>62.71</v>
      </c>
      <c r="F614" s="18">
        <f t="shared" si="107"/>
        <v>0.2</v>
      </c>
      <c r="G614" s="768">
        <f t="shared" si="109"/>
        <v>50.167999999999999</v>
      </c>
      <c r="H614" s="86"/>
      <c r="I614" s="186"/>
      <c r="J614" s="238" t="s">
        <v>669</v>
      </c>
      <c r="K614" s="83" t="s">
        <v>231</v>
      </c>
      <c r="L614" s="100" t="s">
        <v>628</v>
      </c>
      <c r="M614" s="219" t="s">
        <v>1601</v>
      </c>
      <c r="N614" s="205" t="s">
        <v>1602</v>
      </c>
      <c r="O614" s="206">
        <v>1</v>
      </c>
      <c r="P614" s="572" t="s">
        <v>1552</v>
      </c>
      <c r="Q614" s="287">
        <v>62.71</v>
      </c>
      <c r="R614" s="188">
        <v>0.2</v>
      </c>
      <c r="S614" s="62">
        <v>50.167999999999999</v>
      </c>
      <c r="T614" s="86"/>
      <c r="U614" s="186"/>
      <c r="V614" s="238" t="s">
        <v>669</v>
      </c>
      <c r="W614" s="83" t="s">
        <v>231</v>
      </c>
      <c r="X614" s="100" t="s">
        <v>628</v>
      </c>
    </row>
    <row r="615" spans="1:24" s="1" customFormat="1">
      <c r="A615" s="219" t="s">
        <v>1603</v>
      </c>
      <c r="B615" s="205" t="s">
        <v>1604</v>
      </c>
      <c r="C615" s="206">
        <v>1</v>
      </c>
      <c r="D615" s="572" t="s">
        <v>1552</v>
      </c>
      <c r="E615" s="287">
        <v>97.34</v>
      </c>
      <c r="F615" s="188">
        <f t="shared" si="107"/>
        <v>0.2</v>
      </c>
      <c r="G615" s="62">
        <f t="shared" si="109"/>
        <v>77.872</v>
      </c>
      <c r="H615" s="86"/>
      <c r="I615" s="186"/>
      <c r="J615" s="238" t="s">
        <v>669</v>
      </c>
      <c r="K615" s="83" t="s">
        <v>231</v>
      </c>
      <c r="L615" s="100" t="s">
        <v>628</v>
      </c>
      <c r="M615" s="219" t="s">
        <v>1603</v>
      </c>
      <c r="N615" s="205" t="s">
        <v>1604</v>
      </c>
      <c r="O615" s="206">
        <v>1</v>
      </c>
      <c r="P615" s="572" t="s">
        <v>1552</v>
      </c>
      <c r="Q615" s="287">
        <v>97.34</v>
      </c>
      <c r="R615" s="188">
        <v>0.2</v>
      </c>
      <c r="S615" s="62">
        <v>77.872</v>
      </c>
      <c r="T615" s="86"/>
      <c r="U615" s="186"/>
      <c r="V615" s="238" t="s">
        <v>669</v>
      </c>
      <c r="W615" s="83" t="s">
        <v>231</v>
      </c>
      <c r="X615" s="100" t="s">
        <v>628</v>
      </c>
    </row>
    <row r="616" spans="1:24" s="1" customFormat="1">
      <c r="A616" s="219" t="s">
        <v>1605</v>
      </c>
      <c r="B616" s="205" t="s">
        <v>1606</v>
      </c>
      <c r="C616" s="206">
        <v>1</v>
      </c>
      <c r="D616" s="572" t="s">
        <v>1552</v>
      </c>
      <c r="E616" s="287">
        <v>97.34</v>
      </c>
      <c r="F616" s="188">
        <f t="shared" si="107"/>
        <v>0.2</v>
      </c>
      <c r="G616" s="62">
        <f t="shared" si="109"/>
        <v>77.872</v>
      </c>
      <c r="H616" s="86"/>
      <c r="I616" s="186"/>
      <c r="J616" s="238" t="s">
        <v>669</v>
      </c>
      <c r="K616" s="83" t="s">
        <v>231</v>
      </c>
      <c r="L616" s="100" t="s">
        <v>628</v>
      </c>
      <c r="M616" s="219" t="s">
        <v>1605</v>
      </c>
      <c r="N616" s="205" t="s">
        <v>1606</v>
      </c>
      <c r="O616" s="206">
        <v>1</v>
      </c>
      <c r="P616" s="572" t="s">
        <v>1552</v>
      </c>
      <c r="Q616" s="287">
        <v>97.34</v>
      </c>
      <c r="R616" s="188">
        <v>0.2</v>
      </c>
      <c r="S616" s="62">
        <v>77.872</v>
      </c>
      <c r="T616" s="86"/>
      <c r="U616" s="186"/>
      <c r="V616" s="238" t="s">
        <v>669</v>
      </c>
      <c r="W616" s="83" t="s">
        <v>231</v>
      </c>
      <c r="X616" s="100" t="s">
        <v>628</v>
      </c>
    </row>
    <row r="617" spans="1:24" s="1" customFormat="1">
      <c r="A617" s="470" t="s">
        <v>1607</v>
      </c>
      <c r="B617" s="222" t="s">
        <v>1608</v>
      </c>
      <c r="C617" s="206">
        <v>1</v>
      </c>
      <c r="D617" s="572" t="s">
        <v>1552</v>
      </c>
      <c r="E617" s="287">
        <v>32.090000000000003</v>
      </c>
      <c r="F617" s="188">
        <f t="shared" si="107"/>
        <v>0.2</v>
      </c>
      <c r="G617" s="62">
        <f t="shared" si="109"/>
        <v>25.672000000000004</v>
      </c>
      <c r="H617" s="86"/>
      <c r="I617" s="186"/>
      <c r="J617" s="238" t="s">
        <v>669</v>
      </c>
      <c r="K617" s="83" t="s">
        <v>231</v>
      </c>
      <c r="L617" s="100" t="s">
        <v>628</v>
      </c>
      <c r="M617" s="470" t="s">
        <v>1607</v>
      </c>
      <c r="N617" s="222" t="s">
        <v>1608</v>
      </c>
      <c r="O617" s="206">
        <v>1</v>
      </c>
      <c r="P617" s="572" t="s">
        <v>1552</v>
      </c>
      <c r="Q617" s="287">
        <v>32.090000000000003</v>
      </c>
      <c r="R617" s="188">
        <v>0.2</v>
      </c>
      <c r="S617" s="62">
        <v>25.672000000000004</v>
      </c>
      <c r="T617" s="86"/>
      <c r="U617" s="186"/>
      <c r="V617" s="238" t="s">
        <v>669</v>
      </c>
      <c r="W617" s="83" t="s">
        <v>231</v>
      </c>
      <c r="X617" s="100" t="s">
        <v>628</v>
      </c>
    </row>
    <row r="618" spans="1:24" s="1" customFormat="1">
      <c r="A618" s="470" t="s">
        <v>1609</v>
      </c>
      <c r="B618" s="222" t="s">
        <v>1610</v>
      </c>
      <c r="C618" s="206">
        <v>1</v>
      </c>
      <c r="D618" s="572" t="s">
        <v>1552</v>
      </c>
      <c r="E618" s="287">
        <v>32.090000000000003</v>
      </c>
      <c r="F618" s="188">
        <f t="shared" si="107"/>
        <v>0.2</v>
      </c>
      <c r="G618" s="62">
        <f t="shared" si="109"/>
        <v>25.672000000000004</v>
      </c>
      <c r="H618" s="86"/>
      <c r="I618" s="186"/>
      <c r="J618" s="238" t="s">
        <v>669</v>
      </c>
      <c r="K618" s="83" t="s">
        <v>231</v>
      </c>
      <c r="L618" s="100" t="s">
        <v>628</v>
      </c>
      <c r="M618" s="470" t="s">
        <v>1609</v>
      </c>
      <c r="N618" s="222" t="s">
        <v>1610</v>
      </c>
      <c r="O618" s="206">
        <v>1</v>
      </c>
      <c r="P618" s="572" t="s">
        <v>1552</v>
      </c>
      <c r="Q618" s="287">
        <v>32.090000000000003</v>
      </c>
      <c r="R618" s="188">
        <v>0.2</v>
      </c>
      <c r="S618" s="62">
        <v>25.672000000000004</v>
      </c>
      <c r="T618" s="86"/>
      <c r="U618" s="186"/>
      <c r="V618" s="238" t="s">
        <v>669</v>
      </c>
      <c r="W618" s="83" t="s">
        <v>231</v>
      </c>
      <c r="X618" s="100" t="s">
        <v>628</v>
      </c>
    </row>
    <row r="619" spans="1:24" s="1" customFormat="1">
      <c r="A619" s="470" t="s">
        <v>1611</v>
      </c>
      <c r="B619" s="222" t="s">
        <v>1612</v>
      </c>
      <c r="C619" s="206">
        <v>1</v>
      </c>
      <c r="D619" s="572" t="s">
        <v>1552</v>
      </c>
      <c r="E619" s="287">
        <v>32.090000000000003</v>
      </c>
      <c r="F619" s="188">
        <f t="shared" si="107"/>
        <v>0.2</v>
      </c>
      <c r="G619" s="62">
        <f t="shared" si="109"/>
        <v>25.672000000000004</v>
      </c>
      <c r="H619" s="86"/>
      <c r="I619" s="186"/>
      <c r="J619" s="238" t="s">
        <v>669</v>
      </c>
      <c r="K619" s="83" t="s">
        <v>231</v>
      </c>
      <c r="L619" s="100" t="s">
        <v>628</v>
      </c>
      <c r="M619" s="470" t="s">
        <v>1611</v>
      </c>
      <c r="N619" s="222" t="s">
        <v>1612</v>
      </c>
      <c r="O619" s="206">
        <v>1</v>
      </c>
      <c r="P619" s="572" t="s">
        <v>1552</v>
      </c>
      <c r="Q619" s="287">
        <v>32.090000000000003</v>
      </c>
      <c r="R619" s="188">
        <v>0.2</v>
      </c>
      <c r="S619" s="62">
        <v>25.672000000000004</v>
      </c>
      <c r="T619" s="86"/>
      <c r="U619" s="186"/>
      <c r="V619" s="238" t="s">
        <v>669</v>
      </c>
      <c r="W619" s="83" t="s">
        <v>231</v>
      </c>
      <c r="X619" s="100" t="s">
        <v>628</v>
      </c>
    </row>
    <row r="620" spans="1:24" s="1" customFormat="1">
      <c r="A620" s="470" t="s">
        <v>1613</v>
      </c>
      <c r="B620" s="222" t="s">
        <v>1614</v>
      </c>
      <c r="C620" s="206">
        <v>1</v>
      </c>
      <c r="D620" s="572" t="s">
        <v>1552</v>
      </c>
      <c r="E620" s="287">
        <v>32.090000000000003</v>
      </c>
      <c r="F620" s="188">
        <f t="shared" si="107"/>
        <v>0.2</v>
      </c>
      <c r="G620" s="62">
        <f t="shared" si="109"/>
        <v>25.672000000000004</v>
      </c>
      <c r="H620" s="86"/>
      <c r="I620" s="186"/>
      <c r="J620" s="238" t="s">
        <v>669</v>
      </c>
      <c r="K620" s="83" t="s">
        <v>231</v>
      </c>
      <c r="L620" s="100" t="s">
        <v>628</v>
      </c>
      <c r="M620" s="470" t="s">
        <v>1613</v>
      </c>
      <c r="N620" s="222" t="s">
        <v>1614</v>
      </c>
      <c r="O620" s="206">
        <v>1</v>
      </c>
      <c r="P620" s="572" t="s">
        <v>1552</v>
      </c>
      <c r="Q620" s="287">
        <v>32.090000000000003</v>
      </c>
      <c r="R620" s="188">
        <v>0.2</v>
      </c>
      <c r="S620" s="62">
        <v>25.672000000000004</v>
      </c>
      <c r="T620" s="86"/>
      <c r="U620" s="186"/>
      <c r="V620" s="238" t="s">
        <v>669</v>
      </c>
      <c r="W620" s="83" t="s">
        <v>231</v>
      </c>
      <c r="X620" s="100" t="s">
        <v>628</v>
      </c>
    </row>
    <row r="621" spans="1:24" s="1" customFormat="1">
      <c r="A621" s="470" t="s">
        <v>1615</v>
      </c>
      <c r="B621" s="222" t="s">
        <v>1616</v>
      </c>
      <c r="C621" s="206">
        <v>1</v>
      </c>
      <c r="D621" s="572" t="s">
        <v>1552</v>
      </c>
      <c r="E621" s="287">
        <v>46.5</v>
      </c>
      <c r="F621" s="188">
        <f t="shared" si="107"/>
        <v>0.2</v>
      </c>
      <c r="G621" s="62">
        <f t="shared" si="109"/>
        <v>37.200000000000003</v>
      </c>
      <c r="H621" s="86"/>
      <c r="I621" s="186"/>
      <c r="J621" s="238" t="s">
        <v>669</v>
      </c>
      <c r="K621" s="83" t="s">
        <v>231</v>
      </c>
      <c r="L621" s="100" t="s">
        <v>628</v>
      </c>
      <c r="M621" s="470" t="s">
        <v>1615</v>
      </c>
      <c r="N621" s="222" t="s">
        <v>1616</v>
      </c>
      <c r="O621" s="206">
        <v>1</v>
      </c>
      <c r="P621" s="572" t="s">
        <v>1552</v>
      </c>
      <c r="Q621" s="287">
        <v>46.5</v>
      </c>
      <c r="R621" s="188">
        <v>0.2</v>
      </c>
      <c r="S621" s="62">
        <v>37.200000000000003</v>
      </c>
      <c r="T621" s="86"/>
      <c r="U621" s="186"/>
      <c r="V621" s="238" t="s">
        <v>669</v>
      </c>
      <c r="W621" s="83" t="s">
        <v>231</v>
      </c>
      <c r="X621" s="100" t="s">
        <v>628</v>
      </c>
    </row>
    <row r="622" spans="1:24" s="1" customFormat="1">
      <c r="A622" s="470" t="s">
        <v>1617</v>
      </c>
      <c r="B622" s="222" t="s">
        <v>1618</v>
      </c>
      <c r="C622" s="206">
        <v>1</v>
      </c>
      <c r="D622" s="572" t="s">
        <v>1552</v>
      </c>
      <c r="E622" s="287">
        <v>29.09</v>
      </c>
      <c r="F622" s="188">
        <f t="shared" si="107"/>
        <v>0.2</v>
      </c>
      <c r="G622" s="62">
        <f t="shared" si="109"/>
        <v>23.271999999999998</v>
      </c>
      <c r="H622" s="86"/>
      <c r="I622" s="186"/>
      <c r="J622" s="238" t="s">
        <v>669</v>
      </c>
      <c r="K622" s="83" t="s">
        <v>231</v>
      </c>
      <c r="L622" s="100" t="s">
        <v>628</v>
      </c>
      <c r="M622" s="470" t="s">
        <v>1617</v>
      </c>
      <c r="N622" s="222" t="s">
        <v>1618</v>
      </c>
      <c r="O622" s="206">
        <v>1</v>
      </c>
      <c r="P622" s="572" t="s">
        <v>1552</v>
      </c>
      <c r="Q622" s="287">
        <v>29.09</v>
      </c>
      <c r="R622" s="188">
        <v>0.2</v>
      </c>
      <c r="S622" s="62">
        <v>23.271999999999998</v>
      </c>
      <c r="T622" s="86"/>
      <c r="U622" s="186"/>
      <c r="V622" s="238" t="s">
        <v>669</v>
      </c>
      <c r="W622" s="83" t="s">
        <v>231</v>
      </c>
      <c r="X622" s="100" t="s">
        <v>628</v>
      </c>
    </row>
    <row r="623" spans="1:24" s="1" customFormat="1">
      <c r="A623" s="219" t="s">
        <v>1619</v>
      </c>
      <c r="B623" s="205" t="s">
        <v>1620</v>
      </c>
      <c r="C623" s="206">
        <v>1</v>
      </c>
      <c r="D623" s="572" t="s">
        <v>1552</v>
      </c>
      <c r="E623" s="287">
        <v>51.5</v>
      </c>
      <c r="F623" s="188">
        <f t="shared" si="107"/>
        <v>0.2</v>
      </c>
      <c r="G623" s="62">
        <f t="shared" si="109"/>
        <v>41.2</v>
      </c>
      <c r="H623" s="86"/>
      <c r="I623" s="186"/>
      <c r="J623" s="238" t="s">
        <v>669</v>
      </c>
      <c r="K623" s="83" t="s">
        <v>231</v>
      </c>
      <c r="L623" s="100" t="s">
        <v>628</v>
      </c>
      <c r="M623" s="219" t="s">
        <v>1619</v>
      </c>
      <c r="N623" s="205" t="s">
        <v>1620</v>
      </c>
      <c r="O623" s="206">
        <v>1</v>
      </c>
      <c r="P623" s="572" t="s">
        <v>1552</v>
      </c>
      <c r="Q623" s="287">
        <v>51.5</v>
      </c>
      <c r="R623" s="188">
        <v>0.2</v>
      </c>
      <c r="S623" s="62">
        <v>41.2</v>
      </c>
      <c r="T623" s="86"/>
      <c r="U623" s="186"/>
      <c r="V623" s="238" t="s">
        <v>669</v>
      </c>
      <c r="W623" s="83" t="s">
        <v>231</v>
      </c>
      <c r="X623" s="100" t="s">
        <v>628</v>
      </c>
    </row>
    <row r="624" spans="1:24" s="1" customFormat="1">
      <c r="A624" s="470" t="s">
        <v>1621</v>
      </c>
      <c r="B624" s="222" t="s">
        <v>1622</v>
      </c>
      <c r="C624" s="206">
        <v>1</v>
      </c>
      <c r="D624" s="572" t="s">
        <v>1552</v>
      </c>
      <c r="E624" s="287">
        <v>51.5</v>
      </c>
      <c r="F624" s="188">
        <f t="shared" si="107"/>
        <v>0.2</v>
      </c>
      <c r="G624" s="62">
        <f t="shared" si="109"/>
        <v>41.2</v>
      </c>
      <c r="H624" s="86"/>
      <c r="I624" s="186"/>
      <c r="J624" s="238" t="s">
        <v>669</v>
      </c>
      <c r="K624" s="83" t="s">
        <v>231</v>
      </c>
      <c r="L624" s="100" t="s">
        <v>628</v>
      </c>
      <c r="M624" s="470" t="s">
        <v>1621</v>
      </c>
      <c r="N624" s="222" t="s">
        <v>1622</v>
      </c>
      <c r="O624" s="206">
        <v>1</v>
      </c>
      <c r="P624" s="572" t="s">
        <v>1552</v>
      </c>
      <c r="Q624" s="287">
        <v>51.5</v>
      </c>
      <c r="R624" s="188">
        <v>0.2</v>
      </c>
      <c r="S624" s="62">
        <v>41.2</v>
      </c>
      <c r="T624" s="86"/>
      <c r="U624" s="186"/>
      <c r="V624" s="238" t="s">
        <v>669</v>
      </c>
      <c r="W624" s="83" t="s">
        <v>231</v>
      </c>
      <c r="X624" s="100" t="s">
        <v>628</v>
      </c>
    </row>
    <row r="625" spans="1:24" s="1" customFormat="1">
      <c r="A625" s="470" t="s">
        <v>1623</v>
      </c>
      <c r="B625" s="222" t="s">
        <v>1624</v>
      </c>
      <c r="C625" s="206">
        <v>1</v>
      </c>
      <c r="D625" s="572" t="s">
        <v>1552</v>
      </c>
      <c r="E625" s="287">
        <v>51.5</v>
      </c>
      <c r="F625" s="188">
        <f t="shared" si="107"/>
        <v>0.2</v>
      </c>
      <c r="G625" s="62">
        <f t="shared" si="109"/>
        <v>41.2</v>
      </c>
      <c r="H625" s="86"/>
      <c r="I625" s="186"/>
      <c r="J625" s="238" t="s">
        <v>669</v>
      </c>
      <c r="K625" s="83" t="s">
        <v>231</v>
      </c>
      <c r="L625" s="100" t="s">
        <v>628</v>
      </c>
      <c r="M625" s="470" t="s">
        <v>1623</v>
      </c>
      <c r="N625" s="222" t="s">
        <v>1624</v>
      </c>
      <c r="O625" s="206">
        <v>1</v>
      </c>
      <c r="P625" s="572" t="s">
        <v>1552</v>
      </c>
      <c r="Q625" s="287">
        <v>51.5</v>
      </c>
      <c r="R625" s="188">
        <v>0.2</v>
      </c>
      <c r="S625" s="62">
        <v>41.2</v>
      </c>
      <c r="T625" s="86"/>
      <c r="U625" s="186"/>
      <c r="V625" s="238" t="s">
        <v>669</v>
      </c>
      <c r="W625" s="83" t="s">
        <v>231</v>
      </c>
      <c r="X625" s="100" t="s">
        <v>628</v>
      </c>
    </row>
    <row r="626" spans="1:24" s="1" customFormat="1">
      <c r="A626" s="470" t="s">
        <v>1625</v>
      </c>
      <c r="B626" s="222" t="s">
        <v>1626</v>
      </c>
      <c r="C626" s="206">
        <v>1</v>
      </c>
      <c r="D626" s="572" t="s">
        <v>1552</v>
      </c>
      <c r="E626" s="287">
        <v>15.86</v>
      </c>
      <c r="F626" s="188">
        <f t="shared" si="107"/>
        <v>0.2</v>
      </c>
      <c r="G626" s="62">
        <f t="shared" si="109"/>
        <v>12.687999999999999</v>
      </c>
      <c r="H626" s="86"/>
      <c r="I626" s="186"/>
      <c r="J626" s="238" t="s">
        <v>669</v>
      </c>
      <c r="K626" s="83" t="s">
        <v>231</v>
      </c>
      <c r="L626" s="100" t="s">
        <v>628</v>
      </c>
      <c r="M626" s="470" t="s">
        <v>1625</v>
      </c>
      <c r="N626" s="222" t="s">
        <v>1626</v>
      </c>
      <c r="O626" s="206">
        <v>1</v>
      </c>
      <c r="P626" s="572" t="s">
        <v>1552</v>
      </c>
      <c r="Q626" s="287">
        <v>15.86</v>
      </c>
      <c r="R626" s="188">
        <v>0.2</v>
      </c>
      <c r="S626" s="62">
        <v>12.687999999999999</v>
      </c>
      <c r="T626" s="86"/>
      <c r="U626" s="186"/>
      <c r="V626" s="238" t="s">
        <v>669</v>
      </c>
      <c r="W626" s="83" t="s">
        <v>231</v>
      </c>
      <c r="X626" s="100" t="s">
        <v>628</v>
      </c>
    </row>
    <row r="627" spans="1:24" ht="15" customHeight="1">
      <c r="A627" s="219" t="s">
        <v>1281</v>
      </c>
      <c r="B627" s="202" t="s">
        <v>1282</v>
      </c>
      <c r="C627" s="198">
        <v>1</v>
      </c>
      <c r="D627" s="286" t="s">
        <v>1260</v>
      </c>
      <c r="E627" s="287">
        <v>19.989999999999998</v>
      </c>
      <c r="F627" s="188">
        <f t="shared" si="75"/>
        <v>0.2</v>
      </c>
      <c r="G627" s="79">
        <f t="shared" si="109"/>
        <v>15.991999999999999</v>
      </c>
      <c r="H627" s="203"/>
      <c r="I627" s="203"/>
      <c r="J627" s="238" t="s">
        <v>669</v>
      </c>
      <c r="K627" s="83" t="s">
        <v>231</v>
      </c>
      <c r="L627" s="100" t="s">
        <v>628</v>
      </c>
      <c r="M627" s="219" t="s">
        <v>1281</v>
      </c>
      <c r="N627" s="202" t="s">
        <v>1282</v>
      </c>
      <c r="O627" s="198">
        <v>1</v>
      </c>
      <c r="P627" s="286" t="s">
        <v>1260</v>
      </c>
      <c r="Q627" s="287">
        <v>19.989999999999998</v>
      </c>
      <c r="R627" s="188">
        <v>0.2</v>
      </c>
      <c r="S627" s="79">
        <v>15.991999999999999</v>
      </c>
      <c r="T627" s="203"/>
      <c r="U627" s="203"/>
      <c r="V627" s="238" t="s">
        <v>669</v>
      </c>
      <c r="W627" s="83" t="s">
        <v>231</v>
      </c>
      <c r="X627" s="100" t="s">
        <v>628</v>
      </c>
    </row>
    <row r="628" spans="1:24" s="1" customFormat="1">
      <c r="A628" s="219" t="s">
        <v>1627</v>
      </c>
      <c r="B628" s="205" t="s">
        <v>1628</v>
      </c>
      <c r="C628" s="206">
        <v>1</v>
      </c>
      <c r="D628" s="226" t="s">
        <v>1629</v>
      </c>
      <c r="E628" s="287">
        <v>33.33</v>
      </c>
      <c r="F628" s="188">
        <f t="shared" si="107"/>
        <v>0.2</v>
      </c>
      <c r="G628" s="62">
        <f t="shared" si="109"/>
        <v>26.663999999999998</v>
      </c>
      <c r="H628" s="86"/>
      <c r="I628" s="186"/>
      <c r="J628" s="238" t="s">
        <v>669</v>
      </c>
      <c r="K628" s="83" t="s">
        <v>231</v>
      </c>
      <c r="L628" s="100" t="s">
        <v>628</v>
      </c>
      <c r="M628" s="219" t="s">
        <v>1627</v>
      </c>
      <c r="N628" s="205" t="s">
        <v>1628</v>
      </c>
      <c r="O628" s="206">
        <v>1</v>
      </c>
      <c r="P628" s="226" t="s">
        <v>1629</v>
      </c>
      <c r="Q628" s="287">
        <v>33.33</v>
      </c>
      <c r="R628" s="188">
        <v>0.2</v>
      </c>
      <c r="S628" s="62">
        <v>26.663999999999998</v>
      </c>
      <c r="T628" s="86"/>
      <c r="U628" s="186"/>
      <c r="V628" s="238" t="s">
        <v>669</v>
      </c>
      <c r="W628" s="83" t="s">
        <v>231</v>
      </c>
      <c r="X628" s="100" t="s">
        <v>628</v>
      </c>
    </row>
    <row r="629" spans="1:24" s="1" customFormat="1">
      <c r="A629" s="219" t="s">
        <v>1630</v>
      </c>
      <c r="B629" s="205" t="s">
        <v>1631</v>
      </c>
      <c r="C629" s="206">
        <v>1</v>
      </c>
      <c r="D629" s="226" t="s">
        <v>817</v>
      </c>
      <c r="E629" s="287">
        <v>151.65</v>
      </c>
      <c r="F629" s="188">
        <f t="shared" si="107"/>
        <v>0.2</v>
      </c>
      <c r="G629" s="62">
        <f t="shared" si="109"/>
        <v>121.32000000000001</v>
      </c>
      <c r="H629" s="86"/>
      <c r="I629" s="186"/>
      <c r="J629" s="238" t="s">
        <v>669</v>
      </c>
      <c r="K629" s="83" t="s">
        <v>231</v>
      </c>
      <c r="L629" s="100" t="s">
        <v>628</v>
      </c>
      <c r="M629" s="219" t="s">
        <v>1630</v>
      </c>
      <c r="N629" s="205" t="s">
        <v>1631</v>
      </c>
      <c r="O629" s="206">
        <v>1</v>
      </c>
      <c r="P629" s="226" t="s">
        <v>817</v>
      </c>
      <c r="Q629" s="287">
        <v>151.65</v>
      </c>
      <c r="R629" s="188">
        <v>0.2</v>
      </c>
      <c r="S629" s="62">
        <v>121.32000000000001</v>
      </c>
      <c r="T629" s="86"/>
      <c r="U629" s="186"/>
      <c r="V629" s="238" t="s">
        <v>669</v>
      </c>
      <c r="W629" s="83" t="s">
        <v>231</v>
      </c>
      <c r="X629" s="100" t="s">
        <v>628</v>
      </c>
    </row>
    <row r="630" spans="1:24" s="1" customFormat="1">
      <c r="A630" s="219" t="s">
        <v>1632</v>
      </c>
      <c r="B630" s="205" t="s">
        <v>1633</v>
      </c>
      <c r="C630" s="206">
        <v>1</v>
      </c>
      <c r="D630" s="226" t="s">
        <v>817</v>
      </c>
      <c r="E630" s="287">
        <v>99.33</v>
      </c>
      <c r="F630" s="188">
        <f t="shared" si="107"/>
        <v>0.2</v>
      </c>
      <c r="G630" s="62">
        <f t="shared" si="109"/>
        <v>79.463999999999999</v>
      </c>
      <c r="H630" s="86"/>
      <c r="I630" s="186"/>
      <c r="J630" s="238" t="s">
        <v>669</v>
      </c>
      <c r="K630" s="83" t="s">
        <v>231</v>
      </c>
      <c r="L630" s="100" t="s">
        <v>628</v>
      </c>
      <c r="M630" s="219" t="s">
        <v>1632</v>
      </c>
      <c r="N630" s="205" t="s">
        <v>1633</v>
      </c>
      <c r="O630" s="206">
        <v>1</v>
      </c>
      <c r="P630" s="226" t="s">
        <v>817</v>
      </c>
      <c r="Q630" s="287">
        <v>99.33</v>
      </c>
      <c r="R630" s="188">
        <v>0.2</v>
      </c>
      <c r="S630" s="62">
        <v>79.463999999999999</v>
      </c>
      <c r="T630" s="86"/>
      <c r="U630" s="186"/>
      <c r="V630" s="238" t="s">
        <v>669</v>
      </c>
      <c r="W630" s="83" t="s">
        <v>231</v>
      </c>
      <c r="X630" s="100" t="s">
        <v>628</v>
      </c>
    </row>
    <row r="631" spans="1:24" s="1" customFormat="1">
      <c r="A631" s="219" t="s">
        <v>1634</v>
      </c>
      <c r="B631" s="205" t="s">
        <v>1635</v>
      </c>
      <c r="C631" s="206">
        <v>1</v>
      </c>
      <c r="D631" s="226" t="s">
        <v>1636</v>
      </c>
      <c r="E631" s="287">
        <v>59.99</v>
      </c>
      <c r="F631" s="188">
        <f t="shared" si="107"/>
        <v>0.2</v>
      </c>
      <c r="G631" s="62">
        <f t="shared" si="109"/>
        <v>47.992000000000004</v>
      </c>
      <c r="H631" s="86"/>
      <c r="I631" s="186"/>
      <c r="J631" s="238" t="s">
        <v>669</v>
      </c>
      <c r="K631" s="83" t="s">
        <v>231</v>
      </c>
      <c r="L631" s="100" t="s">
        <v>628</v>
      </c>
      <c r="M631" s="219" t="s">
        <v>1634</v>
      </c>
      <c r="N631" s="205" t="s">
        <v>1635</v>
      </c>
      <c r="O631" s="206">
        <v>1</v>
      </c>
      <c r="P631" s="226" t="s">
        <v>1636</v>
      </c>
      <c r="Q631" s="287">
        <v>59.99</v>
      </c>
      <c r="R631" s="188">
        <v>0.2</v>
      </c>
      <c r="S631" s="62">
        <v>47.992000000000004</v>
      </c>
      <c r="T631" s="86"/>
      <c r="U631" s="186"/>
      <c r="V631" s="238" t="s">
        <v>669</v>
      </c>
      <c r="W631" s="83" t="s">
        <v>231</v>
      </c>
      <c r="X631" s="100" t="s">
        <v>628</v>
      </c>
    </row>
    <row r="632" spans="1:24" s="1" customFormat="1">
      <c r="A632" s="219" t="s">
        <v>1637</v>
      </c>
      <c r="B632" s="205" t="s">
        <v>1638</v>
      </c>
      <c r="C632" s="206">
        <v>1</v>
      </c>
      <c r="D632" s="226" t="s">
        <v>1636</v>
      </c>
      <c r="E632" s="287">
        <v>59.99</v>
      </c>
      <c r="F632" s="188">
        <f t="shared" si="107"/>
        <v>0.2</v>
      </c>
      <c r="G632" s="62">
        <f t="shared" si="109"/>
        <v>47.992000000000004</v>
      </c>
      <c r="H632" s="86"/>
      <c r="I632" s="186"/>
      <c r="J632" s="238" t="s">
        <v>669</v>
      </c>
      <c r="K632" s="83" t="s">
        <v>231</v>
      </c>
      <c r="L632" s="100" t="s">
        <v>628</v>
      </c>
      <c r="M632" s="219" t="s">
        <v>1637</v>
      </c>
      <c r="N632" s="205" t="s">
        <v>1638</v>
      </c>
      <c r="O632" s="206">
        <v>1</v>
      </c>
      <c r="P632" s="226" t="s">
        <v>1636</v>
      </c>
      <c r="Q632" s="287">
        <v>59.99</v>
      </c>
      <c r="R632" s="188">
        <v>0.2</v>
      </c>
      <c r="S632" s="62">
        <v>47.992000000000004</v>
      </c>
      <c r="T632" s="86"/>
      <c r="U632" s="186"/>
      <c r="V632" s="238" t="s">
        <v>669</v>
      </c>
      <c r="W632" s="83" t="s">
        <v>231</v>
      </c>
      <c r="X632" s="100" t="s">
        <v>628</v>
      </c>
    </row>
    <row r="633" spans="1:24" s="1" customFormat="1" ht="14" customHeight="1" thickBot="1">
      <c r="A633" s="219" t="s">
        <v>1639</v>
      </c>
      <c r="B633" s="205" t="s">
        <v>1640</v>
      </c>
      <c r="C633" s="206">
        <v>1</v>
      </c>
      <c r="D633" s="226" t="s">
        <v>863</v>
      </c>
      <c r="E633" s="287">
        <v>54.99</v>
      </c>
      <c r="F633" s="188">
        <f t="shared" si="107"/>
        <v>0.2</v>
      </c>
      <c r="G633" s="62">
        <f t="shared" si="109"/>
        <v>43.992000000000004</v>
      </c>
      <c r="H633" s="86"/>
      <c r="I633" s="186"/>
      <c r="J633" s="238" t="s">
        <v>669</v>
      </c>
      <c r="K633" s="83" t="s">
        <v>231</v>
      </c>
      <c r="L633" s="100" t="s">
        <v>628</v>
      </c>
      <c r="M633" s="219" t="s">
        <v>1639</v>
      </c>
      <c r="N633" s="205" t="s">
        <v>1640</v>
      </c>
      <c r="O633" s="206">
        <v>1</v>
      </c>
      <c r="P633" s="226" t="s">
        <v>863</v>
      </c>
      <c r="Q633" s="287">
        <v>54.99</v>
      </c>
      <c r="R633" s="188">
        <v>0.2</v>
      </c>
      <c r="S633" s="62">
        <v>43.992000000000004</v>
      </c>
      <c r="T633" s="86"/>
      <c r="U633" s="186"/>
      <c r="V633" s="238" t="s">
        <v>669</v>
      </c>
      <c r="W633" s="83" t="s">
        <v>231</v>
      </c>
      <c r="X633" s="100" t="s">
        <v>628</v>
      </c>
    </row>
    <row r="634" spans="1:24" s="1" customFormat="1" ht="25" customHeight="1" thickBot="1">
      <c r="A634" s="468" t="s">
        <v>1641</v>
      </c>
      <c r="B634" s="340"/>
      <c r="C634" s="629"/>
      <c r="D634" s="629"/>
      <c r="E634" s="630"/>
      <c r="F634" s="631"/>
      <c r="G634" s="630"/>
      <c r="H634" s="630"/>
      <c r="I634" s="630"/>
      <c r="J634" s="459"/>
      <c r="K634" s="341"/>
      <c r="L634" s="341"/>
      <c r="M634" s="468" t="s">
        <v>1641</v>
      </c>
      <c r="N634" s="340"/>
      <c r="O634" s="629"/>
      <c r="P634" s="629"/>
      <c r="Q634" s="630"/>
      <c r="R634" s="631"/>
      <c r="S634" s="630"/>
      <c r="T634" s="630"/>
      <c r="U634" s="630"/>
      <c r="V634" s="459"/>
      <c r="W634" s="341"/>
      <c r="X634" s="341"/>
    </row>
    <row r="635" spans="1:24" s="1" customFormat="1">
      <c r="A635" s="219" t="s">
        <v>1642</v>
      </c>
      <c r="B635" s="205" t="s">
        <v>2893</v>
      </c>
      <c r="C635" s="206">
        <v>1</v>
      </c>
      <c r="D635" s="226" t="s">
        <v>992</v>
      </c>
      <c r="E635" s="287">
        <v>25</v>
      </c>
      <c r="F635" s="188">
        <f t="shared" ref="F635:F642" si="111">rv_20</f>
        <v>0.2</v>
      </c>
      <c r="G635" s="62">
        <f t="shared" ref="G635:G642" si="112">E635-(E635*F635)</f>
        <v>20</v>
      </c>
      <c r="H635" s="86"/>
      <c r="I635" s="28">
        <v>0.04</v>
      </c>
      <c r="J635" s="238" t="s">
        <v>669</v>
      </c>
      <c r="K635" s="83" t="s">
        <v>231</v>
      </c>
      <c r="L635" s="100" t="s">
        <v>628</v>
      </c>
      <c r="M635" s="219" t="s">
        <v>1642</v>
      </c>
      <c r="N635" s="205" t="s">
        <v>2893</v>
      </c>
      <c r="O635" s="206">
        <v>1</v>
      </c>
      <c r="P635" s="226" t="s">
        <v>992</v>
      </c>
      <c r="Q635" s="287">
        <v>25</v>
      </c>
      <c r="R635" s="188">
        <v>0.2</v>
      </c>
      <c r="S635" s="62">
        <v>20</v>
      </c>
      <c r="T635" s="86"/>
      <c r="U635" s="186"/>
      <c r="V635" s="238" t="s">
        <v>669</v>
      </c>
      <c r="W635" s="83" t="s">
        <v>231</v>
      </c>
      <c r="X635" s="100" t="s">
        <v>628</v>
      </c>
    </row>
    <row r="636" spans="1:24" s="1" customFormat="1">
      <c r="A636" s="219" t="s">
        <v>1643</v>
      </c>
      <c r="B636" s="205" t="s">
        <v>2894</v>
      </c>
      <c r="C636" s="206">
        <v>1</v>
      </c>
      <c r="D636" s="226" t="s">
        <v>992</v>
      </c>
      <c r="E636" s="287">
        <v>25</v>
      </c>
      <c r="F636" s="188">
        <f t="shared" si="111"/>
        <v>0.2</v>
      </c>
      <c r="G636" s="62">
        <f t="shared" si="112"/>
        <v>20</v>
      </c>
      <c r="H636" s="86"/>
      <c r="I636" s="28">
        <v>0.04</v>
      </c>
      <c r="J636" s="238" t="s">
        <v>669</v>
      </c>
      <c r="K636" s="83" t="s">
        <v>231</v>
      </c>
      <c r="L636" s="100" t="s">
        <v>628</v>
      </c>
      <c r="M636" s="219" t="s">
        <v>1643</v>
      </c>
      <c r="N636" s="205" t="s">
        <v>2894</v>
      </c>
      <c r="O636" s="206">
        <v>1</v>
      </c>
      <c r="P636" s="226" t="s">
        <v>992</v>
      </c>
      <c r="Q636" s="287">
        <v>25</v>
      </c>
      <c r="R636" s="188">
        <v>0.2</v>
      </c>
      <c r="S636" s="62">
        <v>20</v>
      </c>
      <c r="T636" s="86"/>
      <c r="U636" s="186"/>
      <c r="V636" s="238" t="s">
        <v>669</v>
      </c>
      <c r="W636" s="83" t="s">
        <v>231</v>
      </c>
      <c r="X636" s="100" t="s">
        <v>628</v>
      </c>
    </row>
    <row r="637" spans="1:24" s="1" customFormat="1">
      <c r="A637" s="219" t="s">
        <v>1644</v>
      </c>
      <c r="B637" s="205" t="s">
        <v>2896</v>
      </c>
      <c r="C637" s="206">
        <v>1</v>
      </c>
      <c r="D637" s="226" t="s">
        <v>992</v>
      </c>
      <c r="E637" s="287">
        <v>39.99</v>
      </c>
      <c r="F637" s="188">
        <f t="shared" si="111"/>
        <v>0.2</v>
      </c>
      <c r="G637" s="62">
        <f t="shared" si="112"/>
        <v>31.992000000000001</v>
      </c>
      <c r="H637" s="86"/>
      <c r="I637" s="28">
        <v>0.06</v>
      </c>
      <c r="J637" s="238" t="s">
        <v>669</v>
      </c>
      <c r="K637" s="83" t="s">
        <v>231</v>
      </c>
      <c r="L637" s="100" t="s">
        <v>628</v>
      </c>
      <c r="M637" s="219" t="s">
        <v>1644</v>
      </c>
      <c r="N637" s="205" t="s">
        <v>2896</v>
      </c>
      <c r="O637" s="206">
        <v>1</v>
      </c>
      <c r="P637" s="226" t="s">
        <v>992</v>
      </c>
      <c r="Q637" s="287">
        <v>39.99</v>
      </c>
      <c r="R637" s="188">
        <v>0.2</v>
      </c>
      <c r="S637" s="62">
        <v>31.992000000000001</v>
      </c>
      <c r="T637" s="86"/>
      <c r="U637" s="186">
        <v>0.05</v>
      </c>
      <c r="V637" s="238" t="s">
        <v>669</v>
      </c>
      <c r="W637" s="83" t="s">
        <v>231</v>
      </c>
      <c r="X637" s="100" t="s">
        <v>628</v>
      </c>
    </row>
    <row r="638" spans="1:24" s="1" customFormat="1">
      <c r="A638" s="219" t="s">
        <v>2430</v>
      </c>
      <c r="B638" s="205" t="s">
        <v>2895</v>
      </c>
      <c r="C638" s="206">
        <v>1</v>
      </c>
      <c r="D638" s="226" t="s">
        <v>817</v>
      </c>
      <c r="E638" s="287">
        <v>74.900000000000006</v>
      </c>
      <c r="F638" s="188">
        <f t="shared" si="111"/>
        <v>0.2</v>
      </c>
      <c r="G638" s="62">
        <f t="shared" si="112"/>
        <v>59.92</v>
      </c>
      <c r="H638" s="86"/>
      <c r="I638" s="28">
        <v>0.06</v>
      </c>
      <c r="J638" s="238" t="s">
        <v>669</v>
      </c>
      <c r="K638" s="83" t="s">
        <v>231</v>
      </c>
      <c r="L638" s="100" t="s">
        <v>628</v>
      </c>
      <c r="M638" s="219" t="s">
        <v>2430</v>
      </c>
      <c r="N638" s="205" t="s">
        <v>2895</v>
      </c>
      <c r="O638" s="206">
        <v>1</v>
      </c>
      <c r="P638" s="226" t="s">
        <v>817</v>
      </c>
      <c r="Q638" s="287">
        <v>74.900000000000006</v>
      </c>
      <c r="R638" s="188">
        <v>0.2</v>
      </c>
      <c r="S638" s="62">
        <v>59.92</v>
      </c>
      <c r="T638" s="86"/>
      <c r="U638" s="186"/>
      <c r="V638" s="238" t="s">
        <v>669</v>
      </c>
      <c r="W638" s="83" t="s">
        <v>231</v>
      </c>
      <c r="X638" s="100" t="s">
        <v>628</v>
      </c>
    </row>
    <row r="639" spans="1:24" s="1" customFormat="1">
      <c r="A639" s="219"/>
      <c r="B639" s="205"/>
      <c r="C639" s="206"/>
      <c r="D639" s="226"/>
      <c r="E639" s="287"/>
      <c r="F639" s="188"/>
      <c r="G639" s="62"/>
      <c r="H639" s="86"/>
      <c r="I639" s="28"/>
      <c r="J639" s="238"/>
      <c r="K639" s="83"/>
      <c r="L639" s="100"/>
      <c r="M639" s="711" t="s">
        <v>1647</v>
      </c>
      <c r="N639" s="712" t="s">
        <v>2889</v>
      </c>
      <c r="O639" s="713">
        <v>1</v>
      </c>
      <c r="P639" s="736" t="s">
        <v>1648</v>
      </c>
      <c r="Q639" s="737">
        <v>159.94999999999999</v>
      </c>
      <c r="R639" s="716">
        <v>0.2</v>
      </c>
      <c r="S639" s="717">
        <v>127.96</v>
      </c>
      <c r="T639" s="718"/>
      <c r="U639" s="719"/>
      <c r="V639" s="238" t="s">
        <v>669</v>
      </c>
      <c r="W639" s="83" t="s">
        <v>231</v>
      </c>
      <c r="X639" s="100" t="s">
        <v>628</v>
      </c>
    </row>
    <row r="640" spans="1:24" s="1" customFormat="1">
      <c r="A640" s="219" t="s">
        <v>2887</v>
      </c>
      <c r="B640" s="205" t="s">
        <v>2890</v>
      </c>
      <c r="C640" s="206">
        <v>1</v>
      </c>
      <c r="D640" s="226" t="s">
        <v>2888</v>
      </c>
      <c r="E640" s="287">
        <v>124.99</v>
      </c>
      <c r="F640" s="188">
        <f t="shared" si="111"/>
        <v>0.2</v>
      </c>
      <c r="G640" s="62">
        <f>E640-(E640*F640)</f>
        <v>99.99199999999999</v>
      </c>
      <c r="H640" s="86"/>
      <c r="I640" s="28">
        <v>0.11</v>
      </c>
      <c r="J640" s="238" t="s">
        <v>669</v>
      </c>
      <c r="K640" s="83" t="s">
        <v>231</v>
      </c>
      <c r="L640" s="100" t="s">
        <v>628</v>
      </c>
      <c r="M640" s="219" t="s">
        <v>2887</v>
      </c>
      <c r="N640" s="205" t="s">
        <v>2890</v>
      </c>
      <c r="O640" s="206">
        <v>1</v>
      </c>
      <c r="P640" s="226" t="s">
        <v>2888</v>
      </c>
      <c r="Q640" s="287">
        <v>124.99</v>
      </c>
      <c r="R640" s="188">
        <v>0.2</v>
      </c>
      <c r="S640" s="62">
        <v>99.99199999999999</v>
      </c>
      <c r="T640" s="86"/>
      <c r="U640" s="186"/>
      <c r="V640" s="238" t="s">
        <v>669</v>
      </c>
      <c r="W640" s="83" t="s">
        <v>231</v>
      </c>
      <c r="X640" s="100" t="s">
        <v>628</v>
      </c>
    </row>
    <row r="641" spans="1:24" s="1" customFormat="1">
      <c r="A641" s="199" t="s">
        <v>1646</v>
      </c>
      <c r="B641" s="205" t="s">
        <v>2891</v>
      </c>
      <c r="C641" s="206">
        <v>1</v>
      </c>
      <c r="D641" s="226" t="s">
        <v>1645</v>
      </c>
      <c r="E641" s="287">
        <v>199</v>
      </c>
      <c r="F641" s="188">
        <f t="shared" si="111"/>
        <v>0.2</v>
      </c>
      <c r="G641" s="62">
        <f t="shared" si="112"/>
        <v>159.19999999999999</v>
      </c>
      <c r="H641" s="86"/>
      <c r="I641" s="28">
        <v>0.11</v>
      </c>
      <c r="J641" s="238" t="s">
        <v>669</v>
      </c>
      <c r="K641" s="83" t="s">
        <v>231</v>
      </c>
      <c r="L641" s="100" t="s">
        <v>628</v>
      </c>
      <c r="M641" s="199" t="s">
        <v>1646</v>
      </c>
      <c r="N641" s="205" t="s">
        <v>2891</v>
      </c>
      <c r="O641" s="206">
        <v>1</v>
      </c>
      <c r="P641" s="226" t="s">
        <v>1645</v>
      </c>
      <c r="Q641" s="287">
        <v>199</v>
      </c>
      <c r="R641" s="188">
        <v>0.2</v>
      </c>
      <c r="S641" s="62">
        <v>159.19999999999999</v>
      </c>
      <c r="T641" s="86"/>
      <c r="U641" s="186"/>
      <c r="V641" s="238" t="s">
        <v>669</v>
      </c>
      <c r="W641" s="83" t="s">
        <v>231</v>
      </c>
      <c r="X641" s="100" t="s">
        <v>628</v>
      </c>
    </row>
    <row r="642" spans="1:24" s="1" customFormat="1" ht="13.5" thickBot="1">
      <c r="A642" s="690" t="s">
        <v>1649</v>
      </c>
      <c r="B642" s="569" t="s">
        <v>2892</v>
      </c>
      <c r="C642" s="206">
        <v>1</v>
      </c>
      <c r="D642" s="226" t="s">
        <v>999</v>
      </c>
      <c r="E642" s="287">
        <v>195.33</v>
      </c>
      <c r="F642" s="188">
        <f t="shared" si="111"/>
        <v>0.2</v>
      </c>
      <c r="G642" s="62">
        <f t="shared" si="112"/>
        <v>156.26400000000001</v>
      </c>
      <c r="H642" s="86"/>
      <c r="I642" s="28">
        <v>0.11</v>
      </c>
      <c r="J642" s="238" t="s">
        <v>669</v>
      </c>
      <c r="K642" s="83" t="s">
        <v>231</v>
      </c>
      <c r="L642" s="100" t="s">
        <v>628</v>
      </c>
      <c r="M642" s="690" t="s">
        <v>1649</v>
      </c>
      <c r="N642" s="569" t="s">
        <v>2892</v>
      </c>
      <c r="O642" s="206">
        <v>1</v>
      </c>
      <c r="P642" s="226" t="s">
        <v>999</v>
      </c>
      <c r="Q642" s="287">
        <v>195.33</v>
      </c>
      <c r="R642" s="188">
        <v>0.2</v>
      </c>
      <c r="S642" s="62">
        <v>156.26400000000001</v>
      </c>
      <c r="T642" s="86"/>
      <c r="U642" s="186"/>
      <c r="V642" s="238" t="s">
        <v>669</v>
      </c>
      <c r="W642" s="83" t="s">
        <v>231</v>
      </c>
      <c r="X642" s="100" t="s">
        <v>628</v>
      </c>
    </row>
    <row r="643" spans="1:24" s="1" customFormat="1" ht="25" customHeight="1" thickBot="1">
      <c r="A643" s="468" t="s">
        <v>1650</v>
      </c>
      <c r="B643" s="340" t="s">
        <v>1651</v>
      </c>
      <c r="C643" s="629"/>
      <c r="D643" s="629"/>
      <c r="E643" s="630"/>
      <c r="F643" s="631"/>
      <c r="G643" s="630"/>
      <c r="H643" s="630"/>
      <c r="I643" s="630"/>
      <c r="J643" s="459"/>
      <c r="K643" s="341"/>
      <c r="L643" s="341"/>
      <c r="M643" s="468" t="s">
        <v>1650</v>
      </c>
      <c r="N643" s="340" t="s">
        <v>1651</v>
      </c>
      <c r="O643" s="629"/>
      <c r="P643" s="629"/>
      <c r="Q643" s="630"/>
      <c r="R643" s="631"/>
      <c r="S643" s="630"/>
      <c r="T643" s="630"/>
      <c r="U643" s="630"/>
      <c r="V643" s="459"/>
      <c r="W643" s="341"/>
      <c r="X643" s="341"/>
    </row>
    <row r="644" spans="1:24" s="1" customFormat="1">
      <c r="A644" s="219" t="s">
        <v>1652</v>
      </c>
      <c r="B644" s="205" t="s">
        <v>1653</v>
      </c>
      <c r="C644" s="206">
        <v>1</v>
      </c>
      <c r="D644" s="226" t="s">
        <v>1332</v>
      </c>
      <c r="E644" s="287">
        <v>48.33</v>
      </c>
      <c r="F644" s="188">
        <f t="shared" ref="F644:F653" si="113">rv_20</f>
        <v>0.2</v>
      </c>
      <c r="G644" s="62">
        <f t="shared" ref="G644:G653" si="114">E644-(E644*F644)</f>
        <v>38.664000000000001</v>
      </c>
      <c r="H644" s="86"/>
      <c r="I644" s="186"/>
      <c r="J644" s="238" t="s">
        <v>669</v>
      </c>
      <c r="K644" s="83" t="s">
        <v>231</v>
      </c>
      <c r="L644" s="100" t="s">
        <v>628</v>
      </c>
      <c r="M644" s="219" t="s">
        <v>1652</v>
      </c>
      <c r="N644" s="205" t="s">
        <v>1653</v>
      </c>
      <c r="O644" s="206">
        <v>1</v>
      </c>
      <c r="P644" s="226" t="s">
        <v>1332</v>
      </c>
      <c r="Q644" s="287">
        <v>48.33</v>
      </c>
      <c r="R644" s="188">
        <v>0.2</v>
      </c>
      <c r="S644" s="62">
        <v>38.664000000000001</v>
      </c>
      <c r="T644" s="86"/>
      <c r="U644" s="186"/>
      <c r="V644" s="238" t="s">
        <v>669</v>
      </c>
      <c r="W644" s="83" t="s">
        <v>231</v>
      </c>
      <c r="X644" s="100" t="s">
        <v>628</v>
      </c>
    </row>
    <row r="645" spans="1:24" s="1" customFormat="1">
      <c r="A645" s="219" t="s">
        <v>1654</v>
      </c>
      <c r="B645" s="205" t="s">
        <v>1655</v>
      </c>
      <c r="C645" s="206">
        <v>1</v>
      </c>
      <c r="D645" s="226" t="s">
        <v>1332</v>
      </c>
      <c r="E645" s="287">
        <v>100</v>
      </c>
      <c r="F645" s="188">
        <f t="shared" si="113"/>
        <v>0.2</v>
      </c>
      <c r="G645" s="62">
        <f t="shared" si="114"/>
        <v>80</v>
      </c>
      <c r="H645" s="86"/>
      <c r="I645" s="186"/>
      <c r="J645" s="238" t="s">
        <v>669</v>
      </c>
      <c r="K645" s="83" t="s">
        <v>231</v>
      </c>
      <c r="L645" s="100" t="s">
        <v>628</v>
      </c>
      <c r="M645" s="219" t="s">
        <v>1654</v>
      </c>
      <c r="N645" s="205" t="s">
        <v>1655</v>
      </c>
      <c r="O645" s="206">
        <v>1</v>
      </c>
      <c r="P645" s="226" t="s">
        <v>1332</v>
      </c>
      <c r="Q645" s="287">
        <v>100</v>
      </c>
      <c r="R645" s="188">
        <v>0.2</v>
      </c>
      <c r="S645" s="62">
        <v>80</v>
      </c>
      <c r="T645" s="86"/>
      <c r="U645" s="186"/>
      <c r="V645" s="238" t="s">
        <v>669</v>
      </c>
      <c r="W645" s="83" t="s">
        <v>231</v>
      </c>
      <c r="X645" s="100" t="s">
        <v>628</v>
      </c>
    </row>
    <row r="646" spans="1:24" s="1" customFormat="1">
      <c r="A646" s="219" t="s">
        <v>1656</v>
      </c>
      <c r="B646" s="205" t="s">
        <v>1657</v>
      </c>
      <c r="C646" s="206">
        <v>1</v>
      </c>
      <c r="D646" s="226" t="s">
        <v>1332</v>
      </c>
      <c r="E646" s="287">
        <v>82.5</v>
      </c>
      <c r="F646" s="188">
        <f t="shared" si="113"/>
        <v>0.2</v>
      </c>
      <c r="G646" s="62">
        <f t="shared" si="114"/>
        <v>66</v>
      </c>
      <c r="H646" s="86"/>
      <c r="I646" s="186"/>
      <c r="J646" s="238" t="s">
        <v>669</v>
      </c>
      <c r="K646" s="83" t="s">
        <v>231</v>
      </c>
      <c r="L646" s="100" t="s">
        <v>628</v>
      </c>
      <c r="M646" s="219" t="s">
        <v>1656</v>
      </c>
      <c r="N646" s="205" t="s">
        <v>1657</v>
      </c>
      <c r="O646" s="206">
        <v>1</v>
      </c>
      <c r="P646" s="226" t="s">
        <v>1332</v>
      </c>
      <c r="Q646" s="287">
        <v>82.5</v>
      </c>
      <c r="R646" s="188">
        <v>0.2</v>
      </c>
      <c r="S646" s="62">
        <v>66</v>
      </c>
      <c r="T646" s="86"/>
      <c r="U646" s="186"/>
      <c r="V646" s="238" t="s">
        <v>669</v>
      </c>
      <c r="W646" s="83" t="s">
        <v>231</v>
      </c>
      <c r="X646" s="100" t="s">
        <v>628</v>
      </c>
    </row>
    <row r="647" spans="1:24" s="1" customFormat="1">
      <c r="A647" s="219" t="s">
        <v>1658</v>
      </c>
      <c r="B647" s="205" t="s">
        <v>1659</v>
      </c>
      <c r="C647" s="206">
        <v>1</v>
      </c>
      <c r="D647" s="226" t="s">
        <v>1332</v>
      </c>
      <c r="E647" s="287">
        <v>99.17</v>
      </c>
      <c r="F647" s="188">
        <f t="shared" si="113"/>
        <v>0.2</v>
      </c>
      <c r="G647" s="62">
        <f t="shared" si="114"/>
        <v>79.335999999999999</v>
      </c>
      <c r="H647" s="86"/>
      <c r="I647" s="186"/>
      <c r="J647" s="238" t="s">
        <v>669</v>
      </c>
      <c r="K647" s="83" t="s">
        <v>231</v>
      </c>
      <c r="L647" s="100" t="s">
        <v>628</v>
      </c>
      <c r="M647" s="219" t="s">
        <v>1658</v>
      </c>
      <c r="N647" s="205" t="s">
        <v>1659</v>
      </c>
      <c r="O647" s="206">
        <v>1</v>
      </c>
      <c r="P647" s="226" t="s">
        <v>1332</v>
      </c>
      <c r="Q647" s="287">
        <v>99.17</v>
      </c>
      <c r="R647" s="188">
        <v>0.2</v>
      </c>
      <c r="S647" s="62">
        <v>79.335999999999999</v>
      </c>
      <c r="T647" s="86"/>
      <c r="U647" s="186"/>
      <c r="V647" s="238" t="s">
        <v>669</v>
      </c>
      <c r="W647" s="83" t="s">
        <v>231</v>
      </c>
      <c r="X647" s="100" t="s">
        <v>628</v>
      </c>
    </row>
    <row r="648" spans="1:24" s="1" customFormat="1">
      <c r="A648" s="219" t="s">
        <v>2524</v>
      </c>
      <c r="B648" s="205" t="s">
        <v>2525</v>
      </c>
      <c r="C648" s="206">
        <v>1</v>
      </c>
      <c r="D648" s="226" t="s">
        <v>1332</v>
      </c>
      <c r="E648" s="287">
        <v>41.58</v>
      </c>
      <c r="F648" s="188">
        <f t="shared" si="113"/>
        <v>0.2</v>
      </c>
      <c r="G648" s="62">
        <f t="shared" si="114"/>
        <v>33.263999999999996</v>
      </c>
      <c r="H648" s="86"/>
      <c r="I648" s="186"/>
      <c r="J648" s="238" t="s">
        <v>669</v>
      </c>
      <c r="K648" s="83" t="s">
        <v>231</v>
      </c>
      <c r="L648" s="100" t="s">
        <v>628</v>
      </c>
      <c r="M648" s="219" t="s">
        <v>2524</v>
      </c>
      <c r="N648" s="205" t="s">
        <v>2525</v>
      </c>
      <c r="O648" s="206">
        <v>1</v>
      </c>
      <c r="P648" s="226" t="s">
        <v>1332</v>
      </c>
      <c r="Q648" s="287">
        <v>41.58</v>
      </c>
      <c r="R648" s="188">
        <v>0.2</v>
      </c>
      <c r="S648" s="62">
        <v>33.263999999999996</v>
      </c>
      <c r="T648" s="86"/>
      <c r="U648" s="186"/>
      <c r="V648" s="238" t="s">
        <v>669</v>
      </c>
      <c r="W648" s="83" t="s">
        <v>231</v>
      </c>
      <c r="X648" s="100" t="s">
        <v>628</v>
      </c>
    </row>
    <row r="649" spans="1:24" s="1" customFormat="1">
      <c r="A649" s="219" t="s">
        <v>2529</v>
      </c>
      <c r="B649" s="205" t="s">
        <v>2528</v>
      </c>
      <c r="C649" s="206">
        <v>1</v>
      </c>
      <c r="D649" s="226" t="s">
        <v>1332</v>
      </c>
      <c r="E649" s="287">
        <v>41.58</v>
      </c>
      <c r="F649" s="188">
        <f t="shared" si="113"/>
        <v>0.2</v>
      </c>
      <c r="G649" s="62">
        <f t="shared" si="114"/>
        <v>33.263999999999996</v>
      </c>
      <c r="H649" s="86"/>
      <c r="I649" s="186"/>
      <c r="J649" s="238" t="s">
        <v>669</v>
      </c>
      <c r="K649" s="83" t="s">
        <v>231</v>
      </c>
      <c r="L649" s="100" t="s">
        <v>628</v>
      </c>
      <c r="M649" s="219" t="s">
        <v>2529</v>
      </c>
      <c r="N649" s="205" t="s">
        <v>2528</v>
      </c>
      <c r="O649" s="206">
        <v>1</v>
      </c>
      <c r="P649" s="226" t="s">
        <v>1332</v>
      </c>
      <c r="Q649" s="287">
        <v>41.58</v>
      </c>
      <c r="R649" s="188">
        <v>0.2</v>
      </c>
      <c r="S649" s="62">
        <v>33.263999999999996</v>
      </c>
      <c r="T649" s="86"/>
      <c r="U649" s="186"/>
      <c r="V649" s="238" t="s">
        <v>669</v>
      </c>
      <c r="W649" s="83" t="s">
        <v>231</v>
      </c>
      <c r="X649" s="100" t="s">
        <v>628</v>
      </c>
    </row>
    <row r="650" spans="1:24" s="1" customFormat="1">
      <c r="A650" s="219" t="s">
        <v>2513</v>
      </c>
      <c r="B650" s="205" t="s">
        <v>2514</v>
      </c>
      <c r="C650" s="206">
        <v>1</v>
      </c>
      <c r="D650" s="226" t="s">
        <v>1332</v>
      </c>
      <c r="E650" s="287">
        <v>27.42</v>
      </c>
      <c r="F650" s="188">
        <f t="shared" si="113"/>
        <v>0.2</v>
      </c>
      <c r="G650" s="62">
        <f t="shared" si="114"/>
        <v>21.936</v>
      </c>
      <c r="H650" s="86"/>
      <c r="I650" s="186"/>
      <c r="J650" s="238" t="s">
        <v>669</v>
      </c>
      <c r="K650" s="83" t="s">
        <v>231</v>
      </c>
      <c r="L650" s="100" t="s">
        <v>628</v>
      </c>
      <c r="M650" s="219" t="s">
        <v>2513</v>
      </c>
      <c r="N650" s="205" t="s">
        <v>2514</v>
      </c>
      <c r="O650" s="206">
        <v>1</v>
      </c>
      <c r="P650" s="226" t="s">
        <v>1332</v>
      </c>
      <c r="Q650" s="287">
        <v>27.42</v>
      </c>
      <c r="R650" s="188">
        <v>0.2</v>
      </c>
      <c r="S650" s="62">
        <v>21.936</v>
      </c>
      <c r="T650" s="86"/>
      <c r="U650" s="186"/>
      <c r="V650" s="238" t="s">
        <v>669</v>
      </c>
      <c r="W650" s="83" t="s">
        <v>231</v>
      </c>
      <c r="X650" s="100" t="s">
        <v>628</v>
      </c>
    </row>
    <row r="651" spans="1:24" s="1" customFormat="1">
      <c r="A651" s="219" t="s">
        <v>2512</v>
      </c>
      <c r="B651" s="205" t="s">
        <v>2515</v>
      </c>
      <c r="C651" s="206">
        <v>1</v>
      </c>
      <c r="D651" s="226" t="s">
        <v>1332</v>
      </c>
      <c r="E651" s="287">
        <v>27.42</v>
      </c>
      <c r="F651" s="188">
        <f t="shared" si="113"/>
        <v>0.2</v>
      </c>
      <c r="G651" s="62">
        <f t="shared" si="114"/>
        <v>21.936</v>
      </c>
      <c r="H651" s="86"/>
      <c r="I651" s="186"/>
      <c r="J651" s="238" t="s">
        <v>669</v>
      </c>
      <c r="K651" s="83" t="s">
        <v>231</v>
      </c>
      <c r="L651" s="100" t="s">
        <v>628</v>
      </c>
      <c r="M651" s="219" t="s">
        <v>2512</v>
      </c>
      <c r="N651" s="205" t="s">
        <v>2515</v>
      </c>
      <c r="O651" s="206">
        <v>1</v>
      </c>
      <c r="P651" s="226" t="s">
        <v>1332</v>
      </c>
      <c r="Q651" s="287">
        <v>27.42</v>
      </c>
      <c r="R651" s="188">
        <v>0.2</v>
      </c>
      <c r="S651" s="62">
        <v>21.936</v>
      </c>
      <c r="T651" s="86"/>
      <c r="U651" s="186"/>
      <c r="V651" s="238" t="s">
        <v>669</v>
      </c>
      <c r="W651" s="83" t="s">
        <v>231</v>
      </c>
      <c r="X651" s="100" t="s">
        <v>628</v>
      </c>
    </row>
    <row r="652" spans="1:24" s="1" customFormat="1">
      <c r="A652" s="219" t="s">
        <v>2511</v>
      </c>
      <c r="B652" s="205" t="s">
        <v>2516</v>
      </c>
      <c r="C652" s="206">
        <v>1</v>
      </c>
      <c r="D652" s="226" t="s">
        <v>1332</v>
      </c>
      <c r="E652" s="287">
        <v>29.08</v>
      </c>
      <c r="F652" s="188">
        <f t="shared" si="113"/>
        <v>0.2</v>
      </c>
      <c r="G652" s="62">
        <f t="shared" si="114"/>
        <v>23.263999999999999</v>
      </c>
      <c r="H652" s="86"/>
      <c r="I652" s="186"/>
      <c r="J652" s="238" t="s">
        <v>669</v>
      </c>
      <c r="K652" s="83" t="s">
        <v>231</v>
      </c>
      <c r="L652" s="100" t="s">
        <v>628</v>
      </c>
      <c r="M652" s="219" t="s">
        <v>2511</v>
      </c>
      <c r="N652" s="205" t="s">
        <v>2516</v>
      </c>
      <c r="O652" s="206">
        <v>1</v>
      </c>
      <c r="P652" s="226" t="s">
        <v>1332</v>
      </c>
      <c r="Q652" s="287">
        <v>29.08</v>
      </c>
      <c r="R652" s="188">
        <v>0.2</v>
      </c>
      <c r="S652" s="62">
        <v>23.263999999999999</v>
      </c>
      <c r="T652" s="86"/>
      <c r="U652" s="186"/>
      <c r="V652" s="238" t="s">
        <v>669</v>
      </c>
      <c r="W652" s="83" t="s">
        <v>231</v>
      </c>
      <c r="X652" s="100" t="s">
        <v>628</v>
      </c>
    </row>
    <row r="653" spans="1:24" s="1" customFormat="1">
      <c r="A653" s="219" t="s">
        <v>2510</v>
      </c>
      <c r="B653" s="205" t="s">
        <v>2517</v>
      </c>
      <c r="C653" s="206">
        <v>1</v>
      </c>
      <c r="D653" s="226" t="s">
        <v>1332</v>
      </c>
      <c r="E653" s="287">
        <v>29.08</v>
      </c>
      <c r="F653" s="188">
        <f t="shared" si="113"/>
        <v>0.2</v>
      </c>
      <c r="G653" s="62">
        <f t="shared" si="114"/>
        <v>23.263999999999999</v>
      </c>
      <c r="H653" s="86"/>
      <c r="I653" s="186"/>
      <c r="J653" s="238" t="s">
        <v>669</v>
      </c>
      <c r="K653" s="83" t="s">
        <v>231</v>
      </c>
      <c r="L653" s="100" t="s">
        <v>628</v>
      </c>
      <c r="M653" s="219" t="s">
        <v>2510</v>
      </c>
      <c r="N653" s="205" t="s">
        <v>2517</v>
      </c>
      <c r="O653" s="206">
        <v>1</v>
      </c>
      <c r="P653" s="226" t="s">
        <v>1332</v>
      </c>
      <c r="Q653" s="287">
        <v>29.08</v>
      </c>
      <c r="R653" s="188">
        <v>0.2</v>
      </c>
      <c r="S653" s="62">
        <v>23.263999999999999</v>
      </c>
      <c r="T653" s="86"/>
      <c r="U653" s="186"/>
      <c r="V653" s="238" t="s">
        <v>669</v>
      </c>
      <c r="W653" s="83" t="s">
        <v>231</v>
      </c>
      <c r="X653" s="100" t="s">
        <v>628</v>
      </c>
    </row>
    <row r="654" spans="1:24" s="1" customFormat="1">
      <c r="A654" s="219" t="s">
        <v>1660</v>
      </c>
      <c r="B654" s="205" t="s">
        <v>1661</v>
      </c>
      <c r="C654" s="206">
        <v>1</v>
      </c>
      <c r="D654" s="226" t="s">
        <v>1332</v>
      </c>
      <c r="E654" s="287">
        <v>33.75</v>
      </c>
      <c r="F654" s="188">
        <f t="shared" ref="F654:F658" si="115">rv_20</f>
        <v>0.2</v>
      </c>
      <c r="G654" s="62">
        <f t="shared" ref="G654:G676" si="116">E654-(E654*F654)</f>
        <v>27</v>
      </c>
      <c r="H654" s="86"/>
      <c r="I654" s="186"/>
      <c r="J654" s="238" t="s">
        <v>669</v>
      </c>
      <c r="K654" s="83" t="s">
        <v>231</v>
      </c>
      <c r="L654" s="100" t="s">
        <v>628</v>
      </c>
      <c r="M654" s="219" t="s">
        <v>1660</v>
      </c>
      <c r="N654" s="205" t="s">
        <v>1661</v>
      </c>
      <c r="O654" s="206">
        <v>1</v>
      </c>
      <c r="P654" s="226" t="s">
        <v>1332</v>
      </c>
      <c r="Q654" s="287">
        <v>33.75</v>
      </c>
      <c r="R654" s="188">
        <v>0.2</v>
      </c>
      <c r="S654" s="62">
        <v>27</v>
      </c>
      <c r="T654" s="86"/>
      <c r="U654" s="186"/>
      <c r="V654" s="238" t="s">
        <v>669</v>
      </c>
      <c r="W654" s="83" t="s">
        <v>231</v>
      </c>
      <c r="X654" s="100" t="s">
        <v>628</v>
      </c>
    </row>
    <row r="655" spans="1:24" s="1" customFormat="1">
      <c r="A655" s="219" t="s">
        <v>1662</v>
      </c>
      <c r="B655" s="205" t="s">
        <v>1663</v>
      </c>
      <c r="C655" s="206">
        <v>1</v>
      </c>
      <c r="D655" s="226" t="s">
        <v>1332</v>
      </c>
      <c r="E655" s="287">
        <v>33.75</v>
      </c>
      <c r="F655" s="188">
        <f t="shared" si="115"/>
        <v>0.2</v>
      </c>
      <c r="G655" s="62">
        <f t="shared" si="116"/>
        <v>27</v>
      </c>
      <c r="H655" s="86"/>
      <c r="I655" s="186"/>
      <c r="J655" s="238" t="s">
        <v>669</v>
      </c>
      <c r="K655" s="83" t="s">
        <v>231</v>
      </c>
      <c r="L655" s="100" t="s">
        <v>628</v>
      </c>
      <c r="M655" s="219" t="s">
        <v>1662</v>
      </c>
      <c r="N655" s="205" t="s">
        <v>1663</v>
      </c>
      <c r="O655" s="206">
        <v>1</v>
      </c>
      <c r="P655" s="226" t="s">
        <v>1332</v>
      </c>
      <c r="Q655" s="287">
        <v>33.75</v>
      </c>
      <c r="R655" s="188">
        <v>0.2</v>
      </c>
      <c r="S655" s="62">
        <v>27</v>
      </c>
      <c r="T655" s="86"/>
      <c r="U655" s="186"/>
      <c r="V655" s="238" t="s">
        <v>669</v>
      </c>
      <c r="W655" s="83" t="s">
        <v>231</v>
      </c>
      <c r="X655" s="100" t="s">
        <v>628</v>
      </c>
    </row>
    <row r="656" spans="1:24" s="1" customFormat="1">
      <c r="A656" s="219" t="s">
        <v>1664</v>
      </c>
      <c r="B656" s="205" t="s">
        <v>1665</v>
      </c>
      <c r="C656" s="206">
        <v>1</v>
      </c>
      <c r="D656" s="226" t="s">
        <v>1332</v>
      </c>
      <c r="E656" s="287">
        <v>29.17</v>
      </c>
      <c r="F656" s="188">
        <f t="shared" si="115"/>
        <v>0.2</v>
      </c>
      <c r="G656" s="62">
        <f t="shared" si="116"/>
        <v>23.336000000000002</v>
      </c>
      <c r="H656" s="86"/>
      <c r="I656" s="186"/>
      <c r="J656" s="238" t="s">
        <v>669</v>
      </c>
      <c r="K656" s="83" t="s">
        <v>231</v>
      </c>
      <c r="L656" s="100" t="s">
        <v>628</v>
      </c>
      <c r="M656" s="219" t="s">
        <v>1664</v>
      </c>
      <c r="N656" s="205" t="s">
        <v>1665</v>
      </c>
      <c r="O656" s="206">
        <v>1</v>
      </c>
      <c r="P656" s="226" t="s">
        <v>1332</v>
      </c>
      <c r="Q656" s="287">
        <v>29.17</v>
      </c>
      <c r="R656" s="188">
        <v>0.2</v>
      </c>
      <c r="S656" s="62">
        <v>23.336000000000002</v>
      </c>
      <c r="T656" s="86"/>
      <c r="U656" s="186"/>
      <c r="V656" s="238" t="s">
        <v>669</v>
      </c>
      <c r="W656" s="83" t="s">
        <v>231</v>
      </c>
      <c r="X656" s="100" t="s">
        <v>628</v>
      </c>
    </row>
    <row r="657" spans="1:24" s="1" customFormat="1">
      <c r="A657" s="219" t="s">
        <v>2518</v>
      </c>
      <c r="B657" s="205" t="s">
        <v>2519</v>
      </c>
      <c r="C657" s="206">
        <v>1</v>
      </c>
      <c r="D657" s="226" t="s">
        <v>1332</v>
      </c>
      <c r="E657" s="287">
        <v>29.08</v>
      </c>
      <c r="F657" s="188">
        <f t="shared" si="115"/>
        <v>0.2</v>
      </c>
      <c r="G657" s="62">
        <f t="shared" ref="G657" si="117">E657-(E657*F657)</f>
        <v>23.263999999999999</v>
      </c>
      <c r="H657" s="86"/>
      <c r="I657" s="186"/>
      <c r="J657" s="238" t="s">
        <v>669</v>
      </c>
      <c r="K657" s="83" t="s">
        <v>231</v>
      </c>
      <c r="L657" s="100" t="s">
        <v>628</v>
      </c>
      <c r="M657" s="219" t="s">
        <v>2518</v>
      </c>
      <c r="N657" s="205" t="s">
        <v>2519</v>
      </c>
      <c r="O657" s="206">
        <v>1</v>
      </c>
      <c r="P657" s="226" t="s">
        <v>1332</v>
      </c>
      <c r="Q657" s="287">
        <v>29.08</v>
      </c>
      <c r="R657" s="188">
        <v>0.2</v>
      </c>
      <c r="S657" s="62">
        <v>23.263999999999999</v>
      </c>
      <c r="T657" s="86"/>
      <c r="U657" s="186"/>
      <c r="V657" s="238" t="s">
        <v>669</v>
      </c>
      <c r="W657" s="83" t="s">
        <v>231</v>
      </c>
      <c r="X657" s="100" t="s">
        <v>628</v>
      </c>
    </row>
    <row r="658" spans="1:24" s="1" customFormat="1">
      <c r="A658" s="219" t="s">
        <v>2520</v>
      </c>
      <c r="B658" s="205" t="s">
        <v>2521</v>
      </c>
      <c r="C658" s="206">
        <v>1</v>
      </c>
      <c r="D658" s="226" t="s">
        <v>1332</v>
      </c>
      <c r="E658" s="287">
        <v>30.75</v>
      </c>
      <c r="F658" s="188">
        <f t="shared" si="115"/>
        <v>0.2</v>
      </c>
      <c r="G658" s="62">
        <f t="shared" ref="G658" si="118">E658-(E658*F658)</f>
        <v>24.6</v>
      </c>
      <c r="H658" s="86"/>
      <c r="I658" s="186"/>
      <c r="J658" s="238" t="s">
        <v>669</v>
      </c>
      <c r="K658" s="83" t="s">
        <v>231</v>
      </c>
      <c r="L658" s="100" t="s">
        <v>628</v>
      </c>
      <c r="M658" s="219" t="s">
        <v>2520</v>
      </c>
      <c r="N658" s="205" t="s">
        <v>2521</v>
      </c>
      <c r="O658" s="206">
        <v>1</v>
      </c>
      <c r="P658" s="226" t="s">
        <v>1332</v>
      </c>
      <c r="Q658" s="287">
        <v>30.75</v>
      </c>
      <c r="R658" s="188">
        <v>0.2</v>
      </c>
      <c r="S658" s="62">
        <v>24.6</v>
      </c>
      <c r="T658" s="86"/>
      <c r="U658" s="186"/>
      <c r="V658" s="238" t="s">
        <v>669</v>
      </c>
      <c r="W658" s="83" t="s">
        <v>231</v>
      </c>
      <c r="X658" s="100" t="s">
        <v>628</v>
      </c>
    </row>
    <row r="659" spans="1:24" s="1" customFormat="1">
      <c r="A659" s="219" t="s">
        <v>1666</v>
      </c>
      <c r="B659" s="205" t="s">
        <v>1667</v>
      </c>
      <c r="C659" s="206">
        <v>1</v>
      </c>
      <c r="D659" s="226" t="s">
        <v>1332</v>
      </c>
      <c r="E659" s="287">
        <v>65</v>
      </c>
      <c r="F659" s="188">
        <f t="shared" ref="F659:F660" si="119">rv_20</f>
        <v>0.2</v>
      </c>
      <c r="G659" s="62">
        <f t="shared" si="116"/>
        <v>52</v>
      </c>
      <c r="H659" s="86"/>
      <c r="I659" s="186"/>
      <c r="J659" s="238" t="s">
        <v>669</v>
      </c>
      <c r="K659" s="83" t="s">
        <v>231</v>
      </c>
      <c r="L659" s="100" t="s">
        <v>628</v>
      </c>
      <c r="M659" s="219" t="s">
        <v>1666</v>
      </c>
      <c r="N659" s="205" t="s">
        <v>1667</v>
      </c>
      <c r="O659" s="206">
        <v>1</v>
      </c>
      <c r="P659" s="226" t="s">
        <v>1332</v>
      </c>
      <c r="Q659" s="287">
        <v>65</v>
      </c>
      <c r="R659" s="188">
        <v>0.2</v>
      </c>
      <c r="S659" s="62">
        <v>52</v>
      </c>
      <c r="T659" s="86"/>
      <c r="U659" s="186"/>
      <c r="V659" s="238" t="s">
        <v>669</v>
      </c>
      <c r="W659" s="83" t="s">
        <v>231</v>
      </c>
      <c r="X659" s="100" t="s">
        <v>628</v>
      </c>
    </row>
    <row r="660" spans="1:24" s="1" customFormat="1">
      <c r="A660" s="219" t="s">
        <v>2526</v>
      </c>
      <c r="B660" s="205" t="s">
        <v>2527</v>
      </c>
      <c r="C660" s="206">
        <v>1</v>
      </c>
      <c r="D660" s="226" t="s">
        <v>1332</v>
      </c>
      <c r="E660" s="287">
        <v>65</v>
      </c>
      <c r="F660" s="188">
        <f t="shared" si="119"/>
        <v>0.2</v>
      </c>
      <c r="G660" s="62">
        <f t="shared" ref="G660" si="120">E660-(E660*F660)</f>
        <v>52</v>
      </c>
      <c r="H660" s="86"/>
      <c r="I660" s="186"/>
      <c r="J660" s="238" t="s">
        <v>669</v>
      </c>
      <c r="K660" s="83" t="s">
        <v>231</v>
      </c>
      <c r="L660" s="100" t="s">
        <v>628</v>
      </c>
      <c r="M660" s="219" t="s">
        <v>2526</v>
      </c>
      <c r="N660" s="205" t="s">
        <v>2527</v>
      </c>
      <c r="O660" s="206">
        <v>1</v>
      </c>
      <c r="P660" s="226" t="s">
        <v>1332</v>
      </c>
      <c r="Q660" s="287">
        <v>65</v>
      </c>
      <c r="R660" s="188">
        <v>0.2</v>
      </c>
      <c r="S660" s="62">
        <v>52</v>
      </c>
      <c r="T660" s="86"/>
      <c r="U660" s="186"/>
      <c r="V660" s="238" t="s">
        <v>669</v>
      </c>
      <c r="W660" s="83" t="s">
        <v>231</v>
      </c>
      <c r="X660" s="100" t="s">
        <v>628</v>
      </c>
    </row>
    <row r="661" spans="1:24" s="1" customFormat="1">
      <c r="A661" s="219" t="s">
        <v>1668</v>
      </c>
      <c r="B661" s="205" t="s">
        <v>1669</v>
      </c>
      <c r="C661" s="206">
        <v>1</v>
      </c>
      <c r="D661" s="226" t="s">
        <v>1332</v>
      </c>
      <c r="E661" s="287">
        <v>49.92</v>
      </c>
      <c r="F661" s="188">
        <f t="shared" ref="F661:F672" si="121">rv_20</f>
        <v>0.2</v>
      </c>
      <c r="G661" s="62">
        <f t="shared" si="116"/>
        <v>39.936</v>
      </c>
      <c r="H661" s="86"/>
      <c r="I661" s="186"/>
      <c r="J661" s="238" t="s">
        <v>669</v>
      </c>
      <c r="K661" s="83" t="s">
        <v>231</v>
      </c>
      <c r="L661" s="100" t="s">
        <v>628</v>
      </c>
      <c r="M661" s="219" t="s">
        <v>1668</v>
      </c>
      <c r="N661" s="205" t="s">
        <v>1669</v>
      </c>
      <c r="O661" s="206">
        <v>1</v>
      </c>
      <c r="P661" s="226" t="s">
        <v>1332</v>
      </c>
      <c r="Q661" s="287">
        <v>49.92</v>
      </c>
      <c r="R661" s="188">
        <v>0.2</v>
      </c>
      <c r="S661" s="62">
        <v>39.936</v>
      </c>
      <c r="T661" s="86"/>
      <c r="U661" s="186"/>
      <c r="V661" s="238" t="s">
        <v>669</v>
      </c>
      <c r="W661" s="83" t="s">
        <v>231</v>
      </c>
      <c r="X661" s="100" t="s">
        <v>628</v>
      </c>
    </row>
    <row r="662" spans="1:24" s="1" customFormat="1">
      <c r="A662" s="219" t="s">
        <v>1670</v>
      </c>
      <c r="B662" s="205" t="s">
        <v>1671</v>
      </c>
      <c r="C662" s="206">
        <v>1</v>
      </c>
      <c r="D662" s="226" t="s">
        <v>1332</v>
      </c>
      <c r="E662" s="287">
        <v>45.75</v>
      </c>
      <c r="F662" s="188">
        <f t="shared" si="121"/>
        <v>0.2</v>
      </c>
      <c r="G662" s="62">
        <f t="shared" si="116"/>
        <v>36.6</v>
      </c>
      <c r="H662" s="86"/>
      <c r="I662" s="186"/>
      <c r="J662" s="238" t="s">
        <v>669</v>
      </c>
      <c r="K662" s="83" t="s">
        <v>231</v>
      </c>
      <c r="L662" s="100" t="s">
        <v>628</v>
      </c>
      <c r="M662" s="219" t="s">
        <v>1670</v>
      </c>
      <c r="N662" s="205" t="s">
        <v>1671</v>
      </c>
      <c r="O662" s="206">
        <v>1</v>
      </c>
      <c r="P662" s="226" t="s">
        <v>1332</v>
      </c>
      <c r="Q662" s="287">
        <v>45.75</v>
      </c>
      <c r="R662" s="188">
        <v>0.2</v>
      </c>
      <c r="S662" s="62">
        <v>36.6</v>
      </c>
      <c r="T662" s="86"/>
      <c r="U662" s="186"/>
      <c r="V662" s="238" t="s">
        <v>669</v>
      </c>
      <c r="W662" s="83" t="s">
        <v>231</v>
      </c>
      <c r="X662" s="100" t="s">
        <v>628</v>
      </c>
    </row>
    <row r="663" spans="1:24" s="1" customFormat="1">
      <c r="A663" s="219" t="s">
        <v>1672</v>
      </c>
      <c r="B663" s="205" t="s">
        <v>1673</v>
      </c>
      <c r="C663" s="206">
        <v>1</v>
      </c>
      <c r="D663" s="226" t="s">
        <v>1332</v>
      </c>
      <c r="E663" s="287">
        <v>20.75</v>
      </c>
      <c r="F663" s="188">
        <f t="shared" si="121"/>
        <v>0.2</v>
      </c>
      <c r="G663" s="62">
        <f t="shared" si="116"/>
        <v>16.600000000000001</v>
      </c>
      <c r="H663" s="86"/>
      <c r="I663" s="186"/>
      <c r="J663" s="238" t="s">
        <v>669</v>
      </c>
      <c r="K663" s="83" t="s">
        <v>231</v>
      </c>
      <c r="L663" s="100" t="s">
        <v>628</v>
      </c>
      <c r="M663" s="219" t="s">
        <v>1672</v>
      </c>
      <c r="N663" s="205" t="s">
        <v>1673</v>
      </c>
      <c r="O663" s="206">
        <v>1</v>
      </c>
      <c r="P663" s="226" t="s">
        <v>1332</v>
      </c>
      <c r="Q663" s="287">
        <v>20.75</v>
      </c>
      <c r="R663" s="188">
        <v>0.2</v>
      </c>
      <c r="S663" s="62">
        <v>16.600000000000001</v>
      </c>
      <c r="T663" s="86"/>
      <c r="U663" s="186"/>
      <c r="V663" s="238" t="s">
        <v>669</v>
      </c>
      <c r="W663" s="83" t="s">
        <v>231</v>
      </c>
      <c r="X663" s="100" t="s">
        <v>628</v>
      </c>
    </row>
    <row r="664" spans="1:24" s="1" customFormat="1">
      <c r="A664" s="219" t="s">
        <v>1674</v>
      </c>
      <c r="B664" s="205" t="s">
        <v>1675</v>
      </c>
      <c r="C664" s="206">
        <v>1</v>
      </c>
      <c r="D664" s="226" t="s">
        <v>1332</v>
      </c>
      <c r="E664" s="287">
        <v>20.75</v>
      </c>
      <c r="F664" s="188">
        <f t="shared" si="121"/>
        <v>0.2</v>
      </c>
      <c r="G664" s="62">
        <f t="shared" si="116"/>
        <v>16.600000000000001</v>
      </c>
      <c r="H664" s="86"/>
      <c r="I664" s="186"/>
      <c r="J664" s="238" t="s">
        <v>669</v>
      </c>
      <c r="K664" s="83" t="s">
        <v>231</v>
      </c>
      <c r="L664" s="100" t="s">
        <v>628</v>
      </c>
      <c r="M664" s="219" t="s">
        <v>1674</v>
      </c>
      <c r="N664" s="205" t="s">
        <v>1675</v>
      </c>
      <c r="O664" s="206">
        <v>1</v>
      </c>
      <c r="P664" s="226" t="s">
        <v>1332</v>
      </c>
      <c r="Q664" s="287">
        <v>20.75</v>
      </c>
      <c r="R664" s="188">
        <v>0.2</v>
      </c>
      <c r="S664" s="62">
        <v>16.600000000000001</v>
      </c>
      <c r="T664" s="86"/>
      <c r="U664" s="186"/>
      <c r="V664" s="238" t="s">
        <v>669</v>
      </c>
      <c r="W664" s="83" t="s">
        <v>231</v>
      </c>
      <c r="X664" s="100" t="s">
        <v>628</v>
      </c>
    </row>
    <row r="665" spans="1:24" s="1" customFormat="1">
      <c r="A665" s="219" t="s">
        <v>2522</v>
      </c>
      <c r="B665" s="205" t="s">
        <v>2523</v>
      </c>
      <c r="C665" s="206">
        <v>1</v>
      </c>
      <c r="D665" s="226" t="s">
        <v>1332</v>
      </c>
      <c r="E665" s="287">
        <v>93.25</v>
      </c>
      <c r="F665" s="188">
        <f t="shared" si="121"/>
        <v>0.2</v>
      </c>
      <c r="G665" s="62">
        <f t="shared" ref="G665" si="122">E665-(E665*F665)</f>
        <v>74.599999999999994</v>
      </c>
      <c r="H665" s="86"/>
      <c r="I665" s="186"/>
      <c r="J665" s="238" t="s">
        <v>669</v>
      </c>
      <c r="K665" s="83" t="s">
        <v>231</v>
      </c>
      <c r="L665" s="100" t="s">
        <v>628</v>
      </c>
      <c r="M665" s="219" t="s">
        <v>2522</v>
      </c>
      <c r="N665" s="205" t="s">
        <v>2523</v>
      </c>
      <c r="O665" s="206">
        <v>1</v>
      </c>
      <c r="P665" s="226" t="s">
        <v>1332</v>
      </c>
      <c r="Q665" s="287">
        <v>93.25</v>
      </c>
      <c r="R665" s="188">
        <v>0.2</v>
      </c>
      <c r="S665" s="62">
        <v>74.599999999999994</v>
      </c>
      <c r="T665" s="86"/>
      <c r="U665" s="186"/>
      <c r="V665" s="238" t="s">
        <v>669</v>
      </c>
      <c r="W665" s="83" t="s">
        <v>231</v>
      </c>
      <c r="X665" s="100" t="s">
        <v>628</v>
      </c>
    </row>
    <row r="666" spans="1:24" s="1" customFormat="1">
      <c r="A666" s="219" t="s">
        <v>1676</v>
      </c>
      <c r="B666" s="205" t="s">
        <v>1677</v>
      </c>
      <c r="C666" s="206">
        <v>1</v>
      </c>
      <c r="D666" s="226" t="s">
        <v>1375</v>
      </c>
      <c r="E666" s="287">
        <v>26.96</v>
      </c>
      <c r="F666" s="188">
        <f t="shared" si="121"/>
        <v>0.2</v>
      </c>
      <c r="G666" s="62">
        <f t="shared" si="116"/>
        <v>21.568000000000001</v>
      </c>
      <c r="H666" s="86"/>
      <c r="I666" s="186"/>
      <c r="J666" s="238" t="s">
        <v>669</v>
      </c>
      <c r="K666" s="83" t="s">
        <v>231</v>
      </c>
      <c r="L666" s="100" t="s">
        <v>628</v>
      </c>
      <c r="M666" s="219" t="s">
        <v>1676</v>
      </c>
      <c r="N666" s="205" t="s">
        <v>1677</v>
      </c>
      <c r="O666" s="206">
        <v>1</v>
      </c>
      <c r="P666" s="226" t="s">
        <v>1375</v>
      </c>
      <c r="Q666" s="287">
        <v>26.96</v>
      </c>
      <c r="R666" s="188">
        <v>0.2</v>
      </c>
      <c r="S666" s="62">
        <v>21.568000000000001</v>
      </c>
      <c r="T666" s="86"/>
      <c r="U666" s="186"/>
      <c r="V666" s="238" t="s">
        <v>669</v>
      </c>
      <c r="W666" s="83" t="s">
        <v>231</v>
      </c>
      <c r="X666" s="100" t="s">
        <v>628</v>
      </c>
    </row>
    <row r="667" spans="1:24" s="1" customFormat="1">
      <c r="A667" s="219" t="s">
        <v>1678</v>
      </c>
      <c r="B667" s="205" t="s">
        <v>1679</v>
      </c>
      <c r="C667" s="206">
        <v>1</v>
      </c>
      <c r="D667" s="226" t="s">
        <v>1375</v>
      </c>
      <c r="E667" s="287">
        <v>26.96</v>
      </c>
      <c r="F667" s="188">
        <f t="shared" si="121"/>
        <v>0.2</v>
      </c>
      <c r="G667" s="62">
        <f t="shared" si="116"/>
        <v>21.568000000000001</v>
      </c>
      <c r="H667" s="86"/>
      <c r="I667" s="186"/>
      <c r="J667" s="238" t="s">
        <v>669</v>
      </c>
      <c r="K667" s="83" t="s">
        <v>231</v>
      </c>
      <c r="L667" s="100" t="s">
        <v>628</v>
      </c>
      <c r="M667" s="219" t="s">
        <v>1678</v>
      </c>
      <c r="N667" s="205" t="s">
        <v>1679</v>
      </c>
      <c r="O667" s="206">
        <v>1</v>
      </c>
      <c r="P667" s="226" t="s">
        <v>1375</v>
      </c>
      <c r="Q667" s="287">
        <v>26.96</v>
      </c>
      <c r="R667" s="188">
        <v>0.2</v>
      </c>
      <c r="S667" s="62">
        <v>21.568000000000001</v>
      </c>
      <c r="T667" s="86"/>
      <c r="U667" s="186"/>
      <c r="V667" s="238" t="s">
        <v>669</v>
      </c>
      <c r="W667" s="83" t="s">
        <v>231</v>
      </c>
      <c r="X667" s="100" t="s">
        <v>628</v>
      </c>
    </row>
    <row r="668" spans="1:24" s="1" customFormat="1">
      <c r="A668" s="472">
        <v>400700</v>
      </c>
      <c r="B668" s="569" t="s">
        <v>1680</v>
      </c>
      <c r="C668" s="206">
        <v>1</v>
      </c>
      <c r="D668" s="226" t="s">
        <v>920</v>
      </c>
      <c r="E668" s="287">
        <v>37.49</v>
      </c>
      <c r="F668" s="188">
        <f t="shared" si="121"/>
        <v>0.2</v>
      </c>
      <c r="G668" s="62">
        <f t="shared" si="116"/>
        <v>29.992000000000001</v>
      </c>
      <c r="H668" s="86"/>
      <c r="I668" s="186"/>
      <c r="J668" s="238" t="s">
        <v>669</v>
      </c>
      <c r="K668" s="83" t="s">
        <v>231</v>
      </c>
      <c r="L668" s="100" t="s">
        <v>628</v>
      </c>
      <c r="M668" s="472">
        <v>400700</v>
      </c>
      <c r="N668" s="569" t="s">
        <v>1681</v>
      </c>
      <c r="O668" s="206">
        <v>1</v>
      </c>
      <c r="P668" s="226" t="s">
        <v>920</v>
      </c>
      <c r="Q668" s="287">
        <v>37.49</v>
      </c>
      <c r="R668" s="188">
        <v>0.2</v>
      </c>
      <c r="S668" s="62">
        <v>29.992000000000001</v>
      </c>
      <c r="T668" s="86"/>
      <c r="U668" s="186"/>
      <c r="V668" s="238" t="s">
        <v>669</v>
      </c>
      <c r="W668" s="83" t="s">
        <v>231</v>
      </c>
      <c r="X668" s="100" t="s">
        <v>628</v>
      </c>
    </row>
    <row r="669" spans="1:24" s="1" customFormat="1">
      <c r="A669" s="472">
        <v>400701</v>
      </c>
      <c r="B669" s="569" t="s">
        <v>1682</v>
      </c>
      <c r="C669" s="206">
        <v>1</v>
      </c>
      <c r="D669" s="226" t="s">
        <v>920</v>
      </c>
      <c r="E669" s="287">
        <v>41.66</v>
      </c>
      <c r="F669" s="188">
        <f t="shared" si="121"/>
        <v>0.2</v>
      </c>
      <c r="G669" s="62">
        <f t="shared" si="116"/>
        <v>33.327999999999996</v>
      </c>
      <c r="H669" s="86"/>
      <c r="I669" s="186"/>
      <c r="J669" s="238" t="s">
        <v>669</v>
      </c>
      <c r="K669" s="83" t="s">
        <v>231</v>
      </c>
      <c r="L669" s="100" t="s">
        <v>628</v>
      </c>
      <c r="M669" s="472">
        <v>400701</v>
      </c>
      <c r="N669" s="569" t="s">
        <v>1683</v>
      </c>
      <c r="O669" s="206">
        <v>1</v>
      </c>
      <c r="P669" s="226" t="s">
        <v>920</v>
      </c>
      <c r="Q669" s="287">
        <v>41.66</v>
      </c>
      <c r="R669" s="188">
        <v>0.2</v>
      </c>
      <c r="S669" s="62">
        <v>33.327999999999996</v>
      </c>
      <c r="T669" s="86"/>
      <c r="U669" s="186"/>
      <c r="V669" s="238" t="s">
        <v>669</v>
      </c>
      <c r="W669" s="83" t="s">
        <v>231</v>
      </c>
      <c r="X669" s="100" t="s">
        <v>628</v>
      </c>
    </row>
    <row r="670" spans="1:24" s="1" customFormat="1">
      <c r="A670" s="472">
        <v>400702</v>
      </c>
      <c r="B670" s="569" t="s">
        <v>1684</v>
      </c>
      <c r="C670" s="206">
        <v>1</v>
      </c>
      <c r="D670" s="226" t="s">
        <v>920</v>
      </c>
      <c r="E670" s="287">
        <v>49.99</v>
      </c>
      <c r="F670" s="188">
        <f t="shared" si="121"/>
        <v>0.2</v>
      </c>
      <c r="G670" s="62">
        <f t="shared" si="116"/>
        <v>39.992000000000004</v>
      </c>
      <c r="H670" s="86"/>
      <c r="I670" s="186"/>
      <c r="J670" s="238" t="s">
        <v>669</v>
      </c>
      <c r="K670" s="83" t="s">
        <v>231</v>
      </c>
      <c r="L670" s="100" t="s">
        <v>628</v>
      </c>
      <c r="M670" s="472">
        <v>400702</v>
      </c>
      <c r="N670" s="569" t="s">
        <v>1684</v>
      </c>
      <c r="O670" s="206">
        <v>1</v>
      </c>
      <c r="P670" s="226" t="s">
        <v>920</v>
      </c>
      <c r="Q670" s="287">
        <v>49.99</v>
      </c>
      <c r="R670" s="188">
        <v>0.2</v>
      </c>
      <c r="S670" s="62">
        <v>39.992000000000004</v>
      </c>
      <c r="T670" s="86"/>
      <c r="U670" s="186"/>
      <c r="V670" s="238" t="s">
        <v>669</v>
      </c>
      <c r="W670" s="83" t="s">
        <v>231</v>
      </c>
      <c r="X670" s="100" t="s">
        <v>628</v>
      </c>
    </row>
    <row r="671" spans="1:24" s="1" customFormat="1">
      <c r="A671" s="472">
        <v>400703</v>
      </c>
      <c r="B671" s="569" t="s">
        <v>1685</v>
      </c>
      <c r="C671" s="206">
        <v>1</v>
      </c>
      <c r="D671" s="226" t="s">
        <v>920</v>
      </c>
      <c r="E671" s="287">
        <v>66.66</v>
      </c>
      <c r="F671" s="188">
        <f t="shared" si="121"/>
        <v>0.2</v>
      </c>
      <c r="G671" s="62">
        <f t="shared" si="116"/>
        <v>53.327999999999996</v>
      </c>
      <c r="H671" s="86"/>
      <c r="I671" s="186"/>
      <c r="J671" s="238" t="s">
        <v>669</v>
      </c>
      <c r="K671" s="83" t="s">
        <v>231</v>
      </c>
      <c r="L671" s="100" t="s">
        <v>628</v>
      </c>
      <c r="M671" s="472">
        <v>400703</v>
      </c>
      <c r="N671" s="569" t="s">
        <v>1685</v>
      </c>
      <c r="O671" s="206">
        <v>1</v>
      </c>
      <c r="P671" s="226" t="s">
        <v>920</v>
      </c>
      <c r="Q671" s="287">
        <v>66.66</v>
      </c>
      <c r="R671" s="188">
        <v>0.2</v>
      </c>
      <c r="S671" s="62">
        <v>53.327999999999996</v>
      </c>
      <c r="T671" s="86"/>
      <c r="U671" s="186"/>
      <c r="V671" s="238" t="s">
        <v>669</v>
      </c>
      <c r="W671" s="83" t="s">
        <v>231</v>
      </c>
      <c r="X671" s="100" t="s">
        <v>628</v>
      </c>
    </row>
    <row r="672" spans="1:24" s="1" customFormat="1">
      <c r="A672" s="472">
        <v>400708</v>
      </c>
      <c r="B672" s="569" t="s">
        <v>1686</v>
      </c>
      <c r="C672" s="206">
        <v>1</v>
      </c>
      <c r="D672" s="226" t="s">
        <v>920</v>
      </c>
      <c r="E672" s="287">
        <v>115.83</v>
      </c>
      <c r="F672" s="188">
        <f t="shared" si="121"/>
        <v>0.2</v>
      </c>
      <c r="G672" s="62">
        <f t="shared" si="116"/>
        <v>92.664000000000001</v>
      </c>
      <c r="H672" s="86"/>
      <c r="I672" s="186"/>
      <c r="J672" s="238" t="s">
        <v>669</v>
      </c>
      <c r="K672" s="83" t="s">
        <v>231</v>
      </c>
      <c r="L672" s="100" t="s">
        <v>628</v>
      </c>
      <c r="M672" s="472">
        <v>400708</v>
      </c>
      <c r="N672" s="569" t="s">
        <v>1686</v>
      </c>
      <c r="O672" s="206">
        <v>1</v>
      </c>
      <c r="P672" s="226" t="s">
        <v>920</v>
      </c>
      <c r="Q672" s="287">
        <v>115.83</v>
      </c>
      <c r="R672" s="188">
        <v>0.2</v>
      </c>
      <c r="S672" s="62">
        <v>92.664000000000001</v>
      </c>
      <c r="T672" s="86"/>
      <c r="U672" s="186"/>
      <c r="V672" s="238" t="s">
        <v>669</v>
      </c>
      <c r="W672" s="83" t="s">
        <v>231</v>
      </c>
      <c r="X672" s="100" t="s">
        <v>628</v>
      </c>
    </row>
    <row r="673" spans="1:24" s="1" customFormat="1">
      <c r="A673" s="472">
        <v>400508</v>
      </c>
      <c r="B673" s="569" t="s">
        <v>1687</v>
      </c>
      <c r="C673" s="206">
        <v>1</v>
      </c>
      <c r="D673" s="226" t="s">
        <v>920</v>
      </c>
      <c r="E673" s="287">
        <v>70.83</v>
      </c>
      <c r="F673" s="188">
        <f>rv_20</f>
        <v>0.2</v>
      </c>
      <c r="G673" s="62">
        <f t="shared" si="116"/>
        <v>56.664000000000001</v>
      </c>
      <c r="H673" s="86"/>
      <c r="I673" s="186"/>
      <c r="J673" s="238" t="s">
        <v>669</v>
      </c>
      <c r="K673" s="83" t="s">
        <v>231</v>
      </c>
      <c r="L673" s="100" t="s">
        <v>628</v>
      </c>
      <c r="M673" s="472">
        <v>400508</v>
      </c>
      <c r="N673" s="569" t="s">
        <v>1687</v>
      </c>
      <c r="O673" s="206">
        <v>1</v>
      </c>
      <c r="P673" s="226" t="s">
        <v>920</v>
      </c>
      <c r="Q673" s="287">
        <v>70.83</v>
      </c>
      <c r="R673" s="188">
        <v>0.2</v>
      </c>
      <c r="S673" s="62">
        <v>56.664000000000001</v>
      </c>
      <c r="T673" s="86"/>
      <c r="U673" s="186">
        <v>0.01</v>
      </c>
      <c r="V673" s="238" t="s">
        <v>669</v>
      </c>
      <c r="W673" s="83" t="s">
        <v>231</v>
      </c>
      <c r="X673" s="100" t="s">
        <v>628</v>
      </c>
    </row>
    <row r="674" spans="1:24" s="1" customFormat="1">
      <c r="A674" s="472">
        <v>170231</v>
      </c>
      <c r="B674" s="569" t="s">
        <v>1688</v>
      </c>
      <c r="C674" s="206">
        <v>1</v>
      </c>
      <c r="D674" s="226" t="s">
        <v>920</v>
      </c>
      <c r="E674" s="287">
        <v>108.33</v>
      </c>
      <c r="F674" s="188">
        <f>rv_20</f>
        <v>0.2</v>
      </c>
      <c r="G674" s="62">
        <f t="shared" si="116"/>
        <v>86.664000000000001</v>
      </c>
      <c r="H674" s="86"/>
      <c r="I674" s="186"/>
      <c r="J674" s="238" t="s">
        <v>669</v>
      </c>
      <c r="K674" s="83" t="s">
        <v>231</v>
      </c>
      <c r="L674" s="100" t="s">
        <v>628</v>
      </c>
      <c r="M674" s="472">
        <v>170231</v>
      </c>
      <c r="N674" s="569" t="s">
        <v>1688</v>
      </c>
      <c r="O674" s="206">
        <v>1</v>
      </c>
      <c r="P674" s="226" t="s">
        <v>920</v>
      </c>
      <c r="Q674" s="287">
        <v>108.33</v>
      </c>
      <c r="R674" s="188">
        <v>0.2</v>
      </c>
      <c r="S674" s="62">
        <v>86.664000000000001</v>
      </c>
      <c r="T674" s="86"/>
      <c r="U674" s="186"/>
      <c r="V674" s="238" t="s">
        <v>669</v>
      </c>
      <c r="W674" s="83" t="s">
        <v>231</v>
      </c>
      <c r="X674" s="100" t="s">
        <v>628</v>
      </c>
    </row>
    <row r="675" spans="1:24" s="1" customFormat="1">
      <c r="A675" s="472" t="s">
        <v>1689</v>
      </c>
      <c r="B675" s="569" t="s">
        <v>1690</v>
      </c>
      <c r="C675" s="206">
        <v>1</v>
      </c>
      <c r="D675" s="226" t="s">
        <v>999</v>
      </c>
      <c r="E675" s="287">
        <v>183.33</v>
      </c>
      <c r="F675" s="188">
        <f>rv_20</f>
        <v>0.2</v>
      </c>
      <c r="G675" s="62">
        <f t="shared" si="116"/>
        <v>146.66400000000002</v>
      </c>
      <c r="H675" s="86"/>
      <c r="I675" s="186"/>
      <c r="J675" s="238" t="s">
        <v>669</v>
      </c>
      <c r="K675" s="83" t="s">
        <v>231</v>
      </c>
      <c r="L675" s="100" t="s">
        <v>628</v>
      </c>
      <c r="M675" s="472" t="s">
        <v>1689</v>
      </c>
      <c r="N675" s="569" t="s">
        <v>1690</v>
      </c>
      <c r="O675" s="206">
        <v>1</v>
      </c>
      <c r="P675" s="226" t="s">
        <v>999</v>
      </c>
      <c r="Q675" s="287">
        <v>183.33</v>
      </c>
      <c r="R675" s="188">
        <v>0.2</v>
      </c>
      <c r="S675" s="62">
        <v>146.66400000000002</v>
      </c>
      <c r="T675" s="86"/>
      <c r="U675" s="186"/>
      <c r="V675" s="238" t="s">
        <v>669</v>
      </c>
      <c r="W675" s="83" t="s">
        <v>231</v>
      </c>
      <c r="X675" s="100" t="s">
        <v>628</v>
      </c>
    </row>
    <row r="676" spans="1:24" s="1" customFormat="1" ht="13.5" thickBot="1">
      <c r="A676" s="473" t="s">
        <v>1691</v>
      </c>
      <c r="B676" s="569" t="s">
        <v>1692</v>
      </c>
      <c r="C676" s="206">
        <v>1</v>
      </c>
      <c r="D676" s="226" t="s">
        <v>1260</v>
      </c>
      <c r="E676" s="287">
        <v>74.989999999999995</v>
      </c>
      <c r="F676" s="188">
        <f>rv_20</f>
        <v>0.2</v>
      </c>
      <c r="G676" s="62">
        <f t="shared" si="116"/>
        <v>59.991999999999997</v>
      </c>
      <c r="H676" s="86"/>
      <c r="I676" s="186"/>
      <c r="J676" s="238" t="s">
        <v>669</v>
      </c>
      <c r="K676" s="83" t="s">
        <v>231</v>
      </c>
      <c r="L676" s="100" t="s">
        <v>628</v>
      </c>
      <c r="M676" s="473" t="s">
        <v>1691</v>
      </c>
      <c r="N676" s="569" t="s">
        <v>1692</v>
      </c>
      <c r="O676" s="206">
        <v>1</v>
      </c>
      <c r="P676" s="226" t="s">
        <v>1260</v>
      </c>
      <c r="Q676" s="287">
        <v>74.989999999999995</v>
      </c>
      <c r="R676" s="188">
        <v>0.2</v>
      </c>
      <c r="S676" s="62">
        <v>59.991999999999997</v>
      </c>
      <c r="T676" s="86"/>
      <c r="U676" s="186"/>
      <c r="V676" s="238" t="s">
        <v>669</v>
      </c>
      <c r="W676" s="83" t="s">
        <v>231</v>
      </c>
      <c r="X676" s="100" t="s">
        <v>628</v>
      </c>
    </row>
    <row r="677" spans="1:24" s="1" customFormat="1" ht="25" customHeight="1" thickBot="1">
      <c r="A677" s="468" t="s">
        <v>1693</v>
      </c>
      <c r="B677" s="340"/>
      <c r="C677" s="629"/>
      <c r="D677" s="629"/>
      <c r="E677" s="630"/>
      <c r="F677" s="631"/>
      <c r="G677" s="630"/>
      <c r="H677" s="630"/>
      <c r="I677" s="630"/>
      <c r="J677" s="459"/>
      <c r="K677" s="341"/>
      <c r="L677" s="341"/>
      <c r="M677" s="468" t="s">
        <v>1693</v>
      </c>
      <c r="N677" s="340"/>
      <c r="O677" s="629"/>
      <c r="P677" s="629"/>
      <c r="Q677" s="630"/>
      <c r="R677" s="631"/>
      <c r="S677" s="630"/>
      <c r="T677" s="630"/>
      <c r="U677" s="630"/>
      <c r="V677" s="459"/>
      <c r="W677" s="341"/>
      <c r="X677" s="341"/>
    </row>
    <row r="678" spans="1:24" s="1" customFormat="1">
      <c r="A678" s="774" t="s">
        <v>1694</v>
      </c>
      <c r="B678" s="775" t="s">
        <v>3013</v>
      </c>
      <c r="C678" s="770">
        <v>1</v>
      </c>
      <c r="D678" s="27" t="s">
        <v>126</v>
      </c>
      <c r="E678" s="777">
        <v>140.75</v>
      </c>
      <c r="F678" s="18">
        <f>rv_atv</f>
        <v>0.05</v>
      </c>
      <c r="G678" s="30">
        <f>E678-(E678*F678)</f>
        <v>133.71250000000001</v>
      </c>
      <c r="H678" s="19"/>
      <c r="I678" s="28">
        <v>0.08</v>
      </c>
      <c r="J678" s="238" t="s">
        <v>669</v>
      </c>
      <c r="K678" s="83" t="s">
        <v>231</v>
      </c>
      <c r="L678" s="100" t="s">
        <v>628</v>
      </c>
      <c r="M678" s="219" t="s">
        <v>1694</v>
      </c>
      <c r="N678" s="205" t="s">
        <v>1695</v>
      </c>
      <c r="O678" s="206">
        <v>1</v>
      </c>
      <c r="P678" s="226" t="s">
        <v>126</v>
      </c>
      <c r="Q678" s="288">
        <v>140.77000000000001</v>
      </c>
      <c r="R678" s="188">
        <v>0.05</v>
      </c>
      <c r="S678" s="91">
        <v>133.73150000000001</v>
      </c>
      <c r="T678" s="86"/>
      <c r="U678" s="186">
        <v>0.06</v>
      </c>
      <c r="V678" s="238" t="s">
        <v>669</v>
      </c>
      <c r="W678" s="83" t="s">
        <v>231</v>
      </c>
      <c r="X678" s="100" t="s">
        <v>628</v>
      </c>
    </row>
    <row r="679" spans="1:24" s="1" customFormat="1">
      <c r="A679" s="774" t="s">
        <v>1696</v>
      </c>
      <c r="B679" s="775" t="s">
        <v>3014</v>
      </c>
      <c r="C679" s="770">
        <v>1</v>
      </c>
      <c r="D679" s="27" t="s">
        <v>126</v>
      </c>
      <c r="E679" s="777">
        <v>157.41999999999999</v>
      </c>
      <c r="F679" s="18">
        <f>rv_atv</f>
        <v>0.05</v>
      </c>
      <c r="G679" s="30">
        <f>E679-(E679*F679)</f>
        <v>149.54899999999998</v>
      </c>
      <c r="H679" s="19"/>
      <c r="I679" s="28">
        <v>0.08</v>
      </c>
      <c r="J679" s="238" t="s">
        <v>669</v>
      </c>
      <c r="K679" s="83" t="s">
        <v>231</v>
      </c>
      <c r="L679" s="100" t="s">
        <v>628</v>
      </c>
      <c r="M679" s="219" t="s">
        <v>1696</v>
      </c>
      <c r="N679" s="205" t="s">
        <v>1697</v>
      </c>
      <c r="O679" s="206">
        <v>1</v>
      </c>
      <c r="P679" s="226" t="s">
        <v>126</v>
      </c>
      <c r="Q679" s="288">
        <v>157.44</v>
      </c>
      <c r="R679" s="188">
        <v>0.05</v>
      </c>
      <c r="S679" s="91">
        <v>149.56799999999998</v>
      </c>
      <c r="T679" s="86"/>
      <c r="U679" s="186">
        <v>0.06</v>
      </c>
      <c r="V679" s="238" t="s">
        <v>669</v>
      </c>
      <c r="W679" s="83" t="s">
        <v>231</v>
      </c>
      <c r="X679" s="100" t="s">
        <v>628</v>
      </c>
    </row>
    <row r="680" spans="1:24" s="1" customFormat="1" ht="13.5" thickBot="1">
      <c r="A680" s="774" t="s">
        <v>2441</v>
      </c>
      <c r="B680" s="775" t="s">
        <v>3015</v>
      </c>
      <c r="C680" s="770">
        <v>1</v>
      </c>
      <c r="D680" s="27" t="s">
        <v>126</v>
      </c>
      <c r="E680" s="777">
        <v>56.68</v>
      </c>
      <c r="F680" s="18">
        <f>rv_atv</f>
        <v>0.05</v>
      </c>
      <c r="G680" s="30">
        <f>E680-(E680*F680)</f>
        <v>53.845999999999997</v>
      </c>
      <c r="H680" s="19"/>
      <c r="I680" s="28">
        <v>0.82</v>
      </c>
      <c r="J680" s="238" t="s">
        <v>669</v>
      </c>
      <c r="K680" s="83" t="s">
        <v>231</v>
      </c>
      <c r="L680" s="100" t="s">
        <v>628</v>
      </c>
      <c r="M680" s="219" t="s">
        <v>2441</v>
      </c>
      <c r="N680" s="205" t="s">
        <v>1698</v>
      </c>
      <c r="O680" s="206">
        <v>1</v>
      </c>
      <c r="P680" s="226" t="s">
        <v>126</v>
      </c>
      <c r="Q680" s="288">
        <v>57.49</v>
      </c>
      <c r="R680" s="188">
        <v>0.05</v>
      </c>
      <c r="S680" s="91">
        <v>54.615500000000004</v>
      </c>
      <c r="T680" s="86"/>
      <c r="U680" s="186">
        <v>0.01</v>
      </c>
      <c r="V680" s="238" t="s">
        <v>669</v>
      </c>
      <c r="W680" s="83" t="s">
        <v>231</v>
      </c>
      <c r="X680" s="100" t="s">
        <v>628</v>
      </c>
    </row>
    <row r="681" spans="1:24" s="322" customFormat="1" ht="25" customHeight="1" thickBot="1">
      <c r="A681" s="468" t="s">
        <v>1699</v>
      </c>
      <c r="B681" s="340" t="s">
        <v>1700</v>
      </c>
      <c r="C681" s="629"/>
      <c r="D681" s="629"/>
      <c r="E681" s="630"/>
      <c r="F681" s="631"/>
      <c r="G681" s="630"/>
      <c r="H681" s="630"/>
      <c r="I681" s="630"/>
      <c r="J681" s="459"/>
      <c r="K681" s="341"/>
      <c r="L681" s="341"/>
      <c r="M681" s="468" t="s">
        <v>1699</v>
      </c>
      <c r="N681" s="340" t="s">
        <v>1700</v>
      </c>
      <c r="O681" s="629"/>
      <c r="P681" s="629"/>
      <c r="Q681" s="630"/>
      <c r="R681" s="631"/>
      <c r="S681" s="630"/>
      <c r="T681" s="630"/>
      <c r="U681" s="630"/>
      <c r="V681" s="459"/>
      <c r="W681" s="341"/>
      <c r="X681" s="341"/>
    </row>
    <row r="682" spans="1:24" s="322" customFormat="1" ht="16" customHeight="1">
      <c r="A682" s="471" t="s">
        <v>1701</v>
      </c>
      <c r="B682" s="86"/>
      <c r="C682" s="206"/>
      <c r="D682" s="226"/>
      <c r="E682" s="288"/>
      <c r="F682" s="188"/>
      <c r="G682" s="91"/>
      <c r="H682" s="86"/>
      <c r="I682" s="186"/>
      <c r="J682" s="238"/>
      <c r="K682" s="83"/>
      <c r="L682" s="100"/>
      <c r="M682" s="471" t="s">
        <v>1701</v>
      </c>
      <c r="N682" s="86"/>
      <c r="O682" s="206"/>
      <c r="P682" s="226"/>
      <c r="Q682" s="288"/>
      <c r="R682" s="188"/>
      <c r="S682" s="91"/>
      <c r="T682" s="86"/>
      <c r="U682" s="186"/>
      <c r="V682" s="238"/>
      <c r="W682" s="83"/>
      <c r="X682" s="100"/>
    </row>
    <row r="683" spans="1:24" s="1" customFormat="1" ht="16" customHeight="1">
      <c r="A683" s="466" t="s">
        <v>1702</v>
      </c>
      <c r="B683" s="205" t="s">
        <v>1703</v>
      </c>
      <c r="C683" s="206">
        <v>1</v>
      </c>
      <c r="D683" s="226" t="s">
        <v>1704</v>
      </c>
      <c r="E683" s="288">
        <v>48</v>
      </c>
      <c r="F683" s="188">
        <f>rv_32</f>
        <v>0.32</v>
      </c>
      <c r="G683" s="91">
        <f>E683-(E683*F683)</f>
        <v>32.64</v>
      </c>
      <c r="H683" s="86"/>
      <c r="I683" s="186">
        <v>0.01</v>
      </c>
      <c r="J683" s="238" t="s">
        <v>669</v>
      </c>
      <c r="K683" s="83" t="s">
        <v>231</v>
      </c>
      <c r="L683" s="100" t="s">
        <v>628</v>
      </c>
      <c r="M683" s="466" t="s">
        <v>1702</v>
      </c>
      <c r="N683" s="205" t="s">
        <v>1703</v>
      </c>
      <c r="O683" s="206">
        <v>1</v>
      </c>
      <c r="P683" s="226" t="s">
        <v>1704</v>
      </c>
      <c r="Q683" s="288">
        <v>48</v>
      </c>
      <c r="R683" s="188">
        <v>0.32</v>
      </c>
      <c r="S683" s="91">
        <v>32.64</v>
      </c>
      <c r="T683" s="86"/>
      <c r="U683" s="186">
        <v>0.01</v>
      </c>
      <c r="V683" s="238" t="s">
        <v>669</v>
      </c>
      <c r="W683" s="83" t="s">
        <v>231</v>
      </c>
      <c r="X683" s="100" t="s">
        <v>628</v>
      </c>
    </row>
    <row r="684" spans="1:24" s="1" customFormat="1" ht="16" customHeight="1">
      <c r="A684" s="466" t="s">
        <v>1705</v>
      </c>
      <c r="B684" s="205" t="s">
        <v>1706</v>
      </c>
      <c r="C684" s="206">
        <v>1</v>
      </c>
      <c r="D684" s="226" t="s">
        <v>1704</v>
      </c>
      <c r="E684" s="288">
        <v>85</v>
      </c>
      <c r="F684" s="188">
        <f>rv_32</f>
        <v>0.32</v>
      </c>
      <c r="G684" s="91">
        <f>E684-(E684*F684)</f>
        <v>57.8</v>
      </c>
      <c r="H684" s="86"/>
      <c r="I684" s="186">
        <v>0.01</v>
      </c>
      <c r="J684" s="238" t="s">
        <v>669</v>
      </c>
      <c r="K684" s="83" t="s">
        <v>231</v>
      </c>
      <c r="L684" s="100" t="s">
        <v>628</v>
      </c>
      <c r="M684" s="466" t="s">
        <v>1705</v>
      </c>
      <c r="N684" s="205" t="s">
        <v>1706</v>
      </c>
      <c r="O684" s="206">
        <v>1</v>
      </c>
      <c r="P684" s="226" t="s">
        <v>1704</v>
      </c>
      <c r="Q684" s="288">
        <v>85</v>
      </c>
      <c r="R684" s="188">
        <v>0.32</v>
      </c>
      <c r="S684" s="91">
        <v>57.8</v>
      </c>
      <c r="T684" s="86"/>
      <c r="U684" s="186">
        <v>0.01</v>
      </c>
      <c r="V684" s="238" t="s">
        <v>669</v>
      </c>
      <c r="W684" s="83" t="s">
        <v>231</v>
      </c>
      <c r="X684" s="100" t="s">
        <v>628</v>
      </c>
    </row>
    <row r="685" spans="1:24" s="1" customFormat="1" ht="17" customHeight="1">
      <c r="A685" s="466" t="s">
        <v>1707</v>
      </c>
      <c r="B685" s="205" t="s">
        <v>1708</v>
      </c>
      <c r="C685" s="206">
        <v>1</v>
      </c>
      <c r="D685" s="226" t="s">
        <v>1704</v>
      </c>
      <c r="E685" s="288">
        <v>159</v>
      </c>
      <c r="F685" s="188">
        <f>rv_32</f>
        <v>0.32</v>
      </c>
      <c r="G685" s="91">
        <f>E685-(E685*F685)</f>
        <v>108.12</v>
      </c>
      <c r="H685" s="86"/>
      <c r="I685" s="186">
        <v>0.01</v>
      </c>
      <c r="J685" s="238" t="s">
        <v>669</v>
      </c>
      <c r="K685" s="83" t="s">
        <v>231</v>
      </c>
      <c r="L685" s="100" t="s">
        <v>628</v>
      </c>
      <c r="M685" s="466" t="s">
        <v>1707</v>
      </c>
      <c r="N685" s="205" t="s">
        <v>1708</v>
      </c>
      <c r="O685" s="206">
        <v>1</v>
      </c>
      <c r="P685" s="226" t="s">
        <v>1704</v>
      </c>
      <c r="Q685" s="288">
        <v>159</v>
      </c>
      <c r="R685" s="188">
        <v>0.32</v>
      </c>
      <c r="S685" s="91">
        <v>108.12</v>
      </c>
      <c r="T685" s="86"/>
      <c r="U685" s="186">
        <v>0.01</v>
      </c>
      <c r="V685" s="238" t="s">
        <v>669</v>
      </c>
      <c r="W685" s="83" t="s">
        <v>231</v>
      </c>
      <c r="X685" s="100" t="s">
        <v>628</v>
      </c>
    </row>
    <row r="686" spans="1:24" s="1" customFormat="1">
      <c r="A686" s="471" t="s">
        <v>1709</v>
      </c>
      <c r="B686" s="205"/>
      <c r="C686" s="206"/>
      <c r="D686" s="226"/>
      <c r="E686" s="288"/>
      <c r="F686" s="188"/>
      <c r="G686" s="91"/>
      <c r="H686" s="86"/>
      <c r="I686" s="186"/>
      <c r="J686" s="238"/>
      <c r="K686" s="83"/>
      <c r="L686" s="100"/>
      <c r="M686" s="471" t="s">
        <v>1709</v>
      </c>
      <c r="N686" s="205"/>
      <c r="O686" s="206"/>
      <c r="P686" s="226"/>
      <c r="Q686" s="288"/>
      <c r="R686" s="188"/>
      <c r="S686" s="91"/>
      <c r="T686" s="86"/>
      <c r="U686" s="186"/>
      <c r="V686" s="238"/>
      <c r="W686" s="83"/>
      <c r="X686" s="100"/>
    </row>
    <row r="687" spans="1:24" s="1" customFormat="1">
      <c r="A687" s="466" t="s">
        <v>1710</v>
      </c>
      <c r="B687" s="205" t="s">
        <v>1711</v>
      </c>
      <c r="C687" s="206">
        <v>1</v>
      </c>
      <c r="D687" s="226" t="s">
        <v>1704</v>
      </c>
      <c r="E687" s="288">
        <v>89</v>
      </c>
      <c r="F687" s="188">
        <f>rv_32</f>
        <v>0.32</v>
      </c>
      <c r="G687" s="91">
        <f>E687-(E687*F687)</f>
        <v>60.519999999999996</v>
      </c>
      <c r="H687" s="86"/>
      <c r="I687" s="186">
        <v>0.01</v>
      </c>
      <c r="J687" s="238" t="s">
        <v>669</v>
      </c>
      <c r="K687" s="83" t="s">
        <v>231</v>
      </c>
      <c r="L687" s="100" t="s">
        <v>628</v>
      </c>
      <c r="M687" s="466" t="s">
        <v>1710</v>
      </c>
      <c r="N687" s="205" t="s">
        <v>1711</v>
      </c>
      <c r="O687" s="206">
        <v>1</v>
      </c>
      <c r="P687" s="226" t="s">
        <v>1704</v>
      </c>
      <c r="Q687" s="288">
        <v>89</v>
      </c>
      <c r="R687" s="188">
        <v>0.32</v>
      </c>
      <c r="S687" s="91">
        <v>60.519999999999996</v>
      </c>
      <c r="T687" s="86"/>
      <c r="U687" s="186">
        <v>0.01</v>
      </c>
      <c r="V687" s="238" t="s">
        <v>669</v>
      </c>
      <c r="W687" s="83" t="s">
        <v>231</v>
      </c>
      <c r="X687" s="100" t="s">
        <v>628</v>
      </c>
    </row>
    <row r="688" spans="1:24" s="1" customFormat="1">
      <c r="A688" s="466" t="s">
        <v>1712</v>
      </c>
      <c r="B688" s="205" t="s">
        <v>1713</v>
      </c>
      <c r="C688" s="206">
        <v>1</v>
      </c>
      <c r="D688" s="226" t="s">
        <v>1704</v>
      </c>
      <c r="E688" s="288">
        <v>179</v>
      </c>
      <c r="F688" s="188">
        <f>rv_32</f>
        <v>0.32</v>
      </c>
      <c r="G688" s="91">
        <f>E688-(E688*F688)</f>
        <v>121.72</v>
      </c>
      <c r="H688" s="86"/>
      <c r="I688" s="186">
        <v>0.01</v>
      </c>
      <c r="J688" s="238" t="s">
        <v>669</v>
      </c>
      <c r="K688" s="83" t="s">
        <v>231</v>
      </c>
      <c r="L688" s="100" t="s">
        <v>628</v>
      </c>
      <c r="M688" s="466" t="s">
        <v>1712</v>
      </c>
      <c r="N688" s="205" t="s">
        <v>1713</v>
      </c>
      <c r="O688" s="206">
        <v>1</v>
      </c>
      <c r="P688" s="226" t="s">
        <v>1704</v>
      </c>
      <c r="Q688" s="288">
        <v>179</v>
      </c>
      <c r="R688" s="188">
        <v>0.32</v>
      </c>
      <c r="S688" s="91">
        <v>121.72</v>
      </c>
      <c r="T688" s="86"/>
      <c r="U688" s="186">
        <v>0.01</v>
      </c>
      <c r="V688" s="238" t="s">
        <v>669</v>
      </c>
      <c r="W688" s="83" t="s">
        <v>231</v>
      </c>
      <c r="X688" s="100" t="s">
        <v>628</v>
      </c>
    </row>
    <row r="689" spans="1:24" s="1" customFormat="1">
      <c r="A689" s="466" t="s">
        <v>1714</v>
      </c>
      <c r="B689" s="205" t="s">
        <v>1715</v>
      </c>
      <c r="C689" s="206">
        <v>1</v>
      </c>
      <c r="D689" s="226" t="s">
        <v>1704</v>
      </c>
      <c r="E689" s="288">
        <v>359</v>
      </c>
      <c r="F689" s="188">
        <f>rv_32</f>
        <v>0.32</v>
      </c>
      <c r="G689" s="91">
        <f>E689-(E689*F689)</f>
        <v>244.12</v>
      </c>
      <c r="H689" s="86"/>
      <c r="I689" s="186">
        <v>0.01</v>
      </c>
      <c r="J689" s="238" t="s">
        <v>669</v>
      </c>
      <c r="K689" s="83" t="s">
        <v>231</v>
      </c>
      <c r="L689" s="100" t="s">
        <v>628</v>
      </c>
      <c r="M689" s="466" t="s">
        <v>1714</v>
      </c>
      <c r="N689" s="205" t="s">
        <v>1715</v>
      </c>
      <c r="O689" s="206">
        <v>1</v>
      </c>
      <c r="P689" s="226" t="s">
        <v>1704</v>
      </c>
      <c r="Q689" s="288">
        <v>359</v>
      </c>
      <c r="R689" s="188">
        <v>0.32</v>
      </c>
      <c r="S689" s="91">
        <v>244.12</v>
      </c>
      <c r="T689" s="86"/>
      <c r="U689" s="186">
        <v>0.01</v>
      </c>
      <c r="V689" s="238" t="s">
        <v>669</v>
      </c>
      <c r="W689" s="83" t="s">
        <v>231</v>
      </c>
      <c r="X689" s="100" t="s">
        <v>628</v>
      </c>
    </row>
    <row r="690" spans="1:24" s="1" customFormat="1" ht="16" customHeight="1">
      <c r="A690" s="471" t="s">
        <v>1716</v>
      </c>
      <c r="B690" s="205"/>
      <c r="C690" s="206"/>
      <c r="D690" s="226"/>
      <c r="E690" s="288"/>
      <c r="F690" s="188"/>
      <c r="G690" s="91"/>
      <c r="H690" s="86"/>
      <c r="I690" s="186"/>
      <c r="J690" s="238"/>
      <c r="K690" s="83"/>
      <c r="L690" s="100"/>
      <c r="M690" s="471" t="s">
        <v>1716</v>
      </c>
      <c r="N690" s="205"/>
      <c r="O690" s="206"/>
      <c r="P690" s="226"/>
      <c r="Q690" s="288"/>
      <c r="R690" s="188"/>
      <c r="S690" s="91"/>
      <c r="T690" s="86"/>
      <c r="U690" s="186"/>
      <c r="V690" s="238"/>
      <c r="W690" s="83"/>
      <c r="X690" s="100"/>
    </row>
    <row r="691" spans="1:24" s="1" customFormat="1" ht="13" customHeight="1">
      <c r="A691" s="466" t="s">
        <v>1717</v>
      </c>
      <c r="B691" s="222" t="s">
        <v>1718</v>
      </c>
      <c r="C691" s="206">
        <v>1</v>
      </c>
      <c r="D691" s="226" t="s">
        <v>1704</v>
      </c>
      <c r="E691" s="288">
        <v>48</v>
      </c>
      <c r="F691" s="188">
        <f>rv_32</f>
        <v>0.32</v>
      </c>
      <c r="G691" s="91">
        <f>E691-(E691*F691)</f>
        <v>32.64</v>
      </c>
      <c r="H691" s="86"/>
      <c r="I691" s="186">
        <v>0.01</v>
      </c>
      <c r="J691" s="238" t="s">
        <v>669</v>
      </c>
      <c r="K691" s="83" t="s">
        <v>231</v>
      </c>
      <c r="L691" s="100" t="s">
        <v>628</v>
      </c>
      <c r="M691" s="466" t="s">
        <v>1717</v>
      </c>
      <c r="N691" s="222" t="s">
        <v>1718</v>
      </c>
      <c r="O691" s="206">
        <v>1</v>
      </c>
      <c r="P691" s="226" t="s">
        <v>1704</v>
      </c>
      <c r="Q691" s="288">
        <v>48</v>
      </c>
      <c r="R691" s="188">
        <v>0.32</v>
      </c>
      <c r="S691" s="91">
        <v>32.64</v>
      </c>
      <c r="T691" s="86"/>
      <c r="U691" s="186">
        <v>0.01</v>
      </c>
      <c r="V691" s="238" t="s">
        <v>669</v>
      </c>
      <c r="W691" s="83" t="s">
        <v>231</v>
      </c>
      <c r="X691" s="100" t="s">
        <v>628</v>
      </c>
    </row>
    <row r="692" spans="1:24" s="1" customFormat="1" ht="13" customHeight="1" thickBot="1">
      <c r="A692" s="466" t="s">
        <v>1719</v>
      </c>
      <c r="B692" s="205" t="s">
        <v>1720</v>
      </c>
      <c r="C692" s="206">
        <v>1</v>
      </c>
      <c r="D692" s="226" t="s">
        <v>1704</v>
      </c>
      <c r="E692" s="288">
        <v>69</v>
      </c>
      <c r="F692" s="188">
        <f>rv_32</f>
        <v>0.32</v>
      </c>
      <c r="G692" s="91">
        <f>E692-(E692*F692)</f>
        <v>46.92</v>
      </c>
      <c r="H692" s="86"/>
      <c r="I692" s="186">
        <v>0.01</v>
      </c>
      <c r="J692" s="238" t="s">
        <v>669</v>
      </c>
      <c r="K692" s="83" t="s">
        <v>231</v>
      </c>
      <c r="L692" s="100" t="s">
        <v>628</v>
      </c>
      <c r="M692" s="466" t="s">
        <v>1719</v>
      </c>
      <c r="N692" s="205" t="s">
        <v>1720</v>
      </c>
      <c r="O692" s="206">
        <v>1</v>
      </c>
      <c r="P692" s="226" t="s">
        <v>1704</v>
      </c>
      <c r="Q692" s="288">
        <v>69</v>
      </c>
      <c r="R692" s="188">
        <v>0.32</v>
      </c>
      <c r="S692" s="91">
        <v>46.92</v>
      </c>
      <c r="T692" s="86"/>
      <c r="U692" s="186">
        <v>0.01</v>
      </c>
      <c r="V692" s="238" t="s">
        <v>669</v>
      </c>
      <c r="W692" s="83" t="s">
        <v>231</v>
      </c>
      <c r="X692" s="100" t="s">
        <v>628</v>
      </c>
    </row>
    <row r="693" spans="1:24" s="1" customFormat="1" ht="25" customHeight="1" thickBot="1">
      <c r="A693" s="468" t="s">
        <v>1721</v>
      </c>
      <c r="B693" s="340" t="s">
        <v>1722</v>
      </c>
      <c r="C693" s="629"/>
      <c r="D693" s="629"/>
      <c r="E693" s="630"/>
      <c r="F693" s="631"/>
      <c r="G693" s="630"/>
      <c r="H693" s="630"/>
      <c r="I693" s="630"/>
      <c r="J693" s="459"/>
      <c r="K693" s="341"/>
      <c r="L693" s="341"/>
      <c r="M693" s="468" t="s">
        <v>1721</v>
      </c>
      <c r="N693" s="340" t="s">
        <v>1722</v>
      </c>
      <c r="O693" s="629"/>
      <c r="P693" s="629"/>
      <c r="Q693" s="630"/>
      <c r="R693" s="631"/>
      <c r="S693" s="630"/>
      <c r="T693" s="630"/>
      <c r="U693" s="630"/>
      <c r="V693" s="459"/>
      <c r="W693" s="341"/>
      <c r="X693" s="341"/>
    </row>
    <row r="694" spans="1:24" s="1" customFormat="1">
      <c r="A694" s="219" t="s">
        <v>1723</v>
      </c>
      <c r="B694" s="205" t="s">
        <v>1724</v>
      </c>
      <c r="C694" s="206">
        <v>1</v>
      </c>
      <c r="D694" s="226" t="s">
        <v>1725</v>
      </c>
      <c r="E694" s="287">
        <v>39.68</v>
      </c>
      <c r="F694" s="188">
        <f t="shared" ref="F694:F841" si="123">rv_10</f>
        <v>0.1</v>
      </c>
      <c r="G694" s="62">
        <f>E694-(E694*F694)</f>
        <v>35.712000000000003</v>
      </c>
      <c r="H694" s="86"/>
      <c r="I694" s="186"/>
      <c r="J694" s="238" t="s">
        <v>669</v>
      </c>
      <c r="K694" s="83" t="s">
        <v>231</v>
      </c>
      <c r="L694" s="100" t="s">
        <v>628</v>
      </c>
      <c r="M694" s="219" t="s">
        <v>1723</v>
      </c>
      <c r="N694" s="205" t="s">
        <v>1724</v>
      </c>
      <c r="O694" s="206">
        <v>1</v>
      </c>
      <c r="P694" s="226" t="s">
        <v>1725</v>
      </c>
      <c r="Q694" s="287">
        <v>39.68</v>
      </c>
      <c r="R694" s="188">
        <v>0.1</v>
      </c>
      <c r="S694" s="62">
        <v>35.712000000000003</v>
      </c>
      <c r="T694" s="86"/>
      <c r="U694" s="186"/>
      <c r="V694" s="238" t="s">
        <v>669</v>
      </c>
      <c r="W694" s="83" t="s">
        <v>231</v>
      </c>
      <c r="X694" s="100" t="s">
        <v>628</v>
      </c>
    </row>
    <row r="695" spans="1:24" s="1" customFormat="1">
      <c r="A695" s="219" t="s">
        <v>1726</v>
      </c>
      <c r="B695" s="205" t="s">
        <v>1727</v>
      </c>
      <c r="C695" s="206">
        <v>1</v>
      </c>
      <c r="D695" s="226" t="s">
        <v>1725</v>
      </c>
      <c r="E695" s="287">
        <v>79.37</v>
      </c>
      <c r="F695" s="188">
        <f t="shared" si="123"/>
        <v>0.1</v>
      </c>
      <c r="G695" s="62">
        <f>E695-(E695*F695)</f>
        <v>71.433000000000007</v>
      </c>
      <c r="H695" s="86"/>
      <c r="I695" s="186"/>
      <c r="J695" s="238" t="s">
        <v>669</v>
      </c>
      <c r="K695" s="83" t="s">
        <v>231</v>
      </c>
      <c r="L695" s="100" t="s">
        <v>628</v>
      </c>
      <c r="M695" s="219" t="s">
        <v>1726</v>
      </c>
      <c r="N695" s="205" t="s">
        <v>1727</v>
      </c>
      <c r="O695" s="206">
        <v>1</v>
      </c>
      <c r="P695" s="226" t="s">
        <v>1725</v>
      </c>
      <c r="Q695" s="287">
        <v>79.37</v>
      </c>
      <c r="R695" s="188">
        <v>0.1</v>
      </c>
      <c r="S695" s="62">
        <v>71.433000000000007</v>
      </c>
      <c r="T695" s="86"/>
      <c r="U695" s="186"/>
      <c r="V695" s="238" t="s">
        <v>669</v>
      </c>
      <c r="W695" s="83" t="s">
        <v>231</v>
      </c>
      <c r="X695" s="100" t="s">
        <v>628</v>
      </c>
    </row>
    <row r="696" spans="1:24" s="1" customFormat="1">
      <c r="A696" s="472" t="s">
        <v>1728</v>
      </c>
      <c r="B696" s="569" t="s">
        <v>1729</v>
      </c>
      <c r="C696" s="206">
        <v>1</v>
      </c>
      <c r="D696" s="349" t="s">
        <v>126</v>
      </c>
      <c r="E696" s="349">
        <v>1</v>
      </c>
      <c r="F696" s="417">
        <v>0</v>
      </c>
      <c r="G696" s="62">
        <f>E696-(E696*F696)</f>
        <v>1</v>
      </c>
      <c r="H696" s="491"/>
      <c r="I696" s="492"/>
      <c r="J696" s="353" t="s">
        <v>669</v>
      </c>
      <c r="K696" s="355" t="s">
        <v>231</v>
      </c>
      <c r="L696" s="355" t="s">
        <v>628</v>
      </c>
      <c r="M696" s="472" t="s">
        <v>1728</v>
      </c>
      <c r="N696" s="569" t="s">
        <v>1729</v>
      </c>
      <c r="O696" s="206">
        <v>1</v>
      </c>
      <c r="P696" s="349" t="s">
        <v>126</v>
      </c>
      <c r="Q696" s="349">
        <v>1</v>
      </c>
      <c r="R696" s="417">
        <v>0</v>
      </c>
      <c r="S696" s="62">
        <v>1</v>
      </c>
      <c r="T696" s="491"/>
      <c r="U696" s="492"/>
      <c r="V696" s="353" t="s">
        <v>669</v>
      </c>
      <c r="W696" s="355" t="s">
        <v>231</v>
      </c>
      <c r="X696" s="355" t="s">
        <v>628</v>
      </c>
    </row>
    <row r="697" spans="1:24" s="1" customFormat="1" ht="13.5" thickBot="1">
      <c r="A697" s="473" t="s">
        <v>1730</v>
      </c>
      <c r="B697" s="418" t="s">
        <v>1731</v>
      </c>
      <c r="C697" s="419">
        <v>1</v>
      </c>
      <c r="D697" s="420" t="s">
        <v>134</v>
      </c>
      <c r="E697" s="420">
        <v>0.05</v>
      </c>
      <c r="F697" s="421">
        <v>0</v>
      </c>
      <c r="G697" s="422">
        <f>E697-(E697*F697)</f>
        <v>0.05</v>
      </c>
      <c r="H697" s="493"/>
      <c r="I697" s="494"/>
      <c r="J697" s="354" t="s">
        <v>669</v>
      </c>
      <c r="K697" s="357" t="s">
        <v>231</v>
      </c>
      <c r="L697" s="357" t="s">
        <v>628</v>
      </c>
      <c r="M697" s="473" t="s">
        <v>1730</v>
      </c>
      <c r="N697" s="418" t="s">
        <v>1731</v>
      </c>
      <c r="O697" s="419">
        <v>1</v>
      </c>
      <c r="P697" s="420" t="s">
        <v>134</v>
      </c>
      <c r="Q697" s="420">
        <v>0.05</v>
      </c>
      <c r="R697" s="421">
        <v>0</v>
      </c>
      <c r="S697" s="422">
        <v>0.05</v>
      </c>
      <c r="T697" s="493"/>
      <c r="U697" s="494"/>
      <c r="V697" s="354" t="s">
        <v>669</v>
      </c>
      <c r="W697" s="357" t="s">
        <v>231</v>
      </c>
      <c r="X697" s="357" t="s">
        <v>628</v>
      </c>
    </row>
    <row r="698" spans="1:24" s="1" customFormat="1" ht="25" customHeight="1" thickBot="1">
      <c r="A698" s="474" t="s">
        <v>1732</v>
      </c>
      <c r="B698" s="358" t="s">
        <v>1733</v>
      </c>
      <c r="C698" s="632"/>
      <c r="D698" s="632"/>
      <c r="E698" s="633"/>
      <c r="F698" s="634"/>
      <c r="G698" s="633"/>
      <c r="H698" s="633"/>
      <c r="I698" s="633"/>
      <c r="J698" s="460"/>
      <c r="K698" s="356"/>
      <c r="L698" s="356"/>
      <c r="M698" s="474" t="s">
        <v>1732</v>
      </c>
      <c r="N698" s="358" t="s">
        <v>1733</v>
      </c>
      <c r="O698" s="632"/>
      <c r="P698" s="632"/>
      <c r="Q698" s="633"/>
      <c r="R698" s="634"/>
      <c r="S698" s="633"/>
      <c r="T698" s="633"/>
      <c r="U698" s="633"/>
      <c r="V698" s="460"/>
      <c r="W698" s="356"/>
      <c r="X698" s="356"/>
    </row>
    <row r="699" spans="1:24" s="1" customFormat="1">
      <c r="A699" s="475" t="s">
        <v>1734</v>
      </c>
      <c r="B699" s="223" t="s">
        <v>1735</v>
      </c>
      <c r="C699" s="224">
        <v>1</v>
      </c>
      <c r="D699" s="96" t="s">
        <v>1725</v>
      </c>
      <c r="E699" s="316">
        <v>4455.87</v>
      </c>
      <c r="F699" s="225">
        <f t="shared" ref="F699:F737" si="124">rv_10</f>
        <v>0.1</v>
      </c>
      <c r="G699" s="97">
        <f t="shared" ref="G699:G730" si="125">E699-(E699*F699)</f>
        <v>4010.2829999999999</v>
      </c>
      <c r="H699" s="86"/>
      <c r="I699" s="186"/>
      <c r="J699" s="238" t="s">
        <v>669</v>
      </c>
      <c r="K699" s="83" t="s">
        <v>231</v>
      </c>
      <c r="L699" s="100" t="s">
        <v>628</v>
      </c>
      <c r="M699" s="475" t="s">
        <v>1734</v>
      </c>
      <c r="N699" s="223" t="s">
        <v>1735</v>
      </c>
      <c r="O699" s="224">
        <v>1</v>
      </c>
      <c r="P699" s="96" t="s">
        <v>1725</v>
      </c>
      <c r="Q699" s="316">
        <v>4455.87</v>
      </c>
      <c r="R699" s="225">
        <v>0.1</v>
      </c>
      <c r="S699" s="97">
        <v>4010.2829999999999</v>
      </c>
      <c r="T699" s="86"/>
      <c r="U699" s="186"/>
      <c r="V699" s="238" t="s">
        <v>669</v>
      </c>
      <c r="W699" s="83" t="s">
        <v>231</v>
      </c>
      <c r="X699" s="100" t="s">
        <v>628</v>
      </c>
    </row>
    <row r="700" spans="1:24" s="1" customFormat="1">
      <c r="A700" s="219" t="s">
        <v>1736</v>
      </c>
      <c r="B700" s="205" t="s">
        <v>1737</v>
      </c>
      <c r="C700" s="206">
        <v>1</v>
      </c>
      <c r="D700" s="226" t="s">
        <v>1725</v>
      </c>
      <c r="E700" s="287">
        <v>357.59</v>
      </c>
      <c r="F700" s="188">
        <f t="shared" si="124"/>
        <v>0.1</v>
      </c>
      <c r="G700" s="62">
        <f t="shared" si="125"/>
        <v>321.83099999999996</v>
      </c>
      <c r="H700" s="86"/>
      <c r="I700" s="186"/>
      <c r="J700" s="238" t="s">
        <v>669</v>
      </c>
      <c r="K700" s="83" t="s">
        <v>231</v>
      </c>
      <c r="L700" s="100" t="s">
        <v>628</v>
      </c>
      <c r="M700" s="219" t="s">
        <v>1736</v>
      </c>
      <c r="N700" s="205" t="s">
        <v>1737</v>
      </c>
      <c r="O700" s="206">
        <v>1</v>
      </c>
      <c r="P700" s="226" t="s">
        <v>1725</v>
      </c>
      <c r="Q700" s="287">
        <v>357.59</v>
      </c>
      <c r="R700" s="188">
        <v>0.1</v>
      </c>
      <c r="S700" s="62">
        <v>321.83099999999996</v>
      </c>
      <c r="T700" s="86"/>
      <c r="U700" s="186"/>
      <c r="V700" s="238" t="s">
        <v>669</v>
      </c>
      <c r="W700" s="83" t="s">
        <v>231</v>
      </c>
      <c r="X700" s="100" t="s">
        <v>628</v>
      </c>
    </row>
    <row r="701" spans="1:24" s="1" customFormat="1">
      <c r="A701" s="219" t="s">
        <v>1738</v>
      </c>
      <c r="B701" s="205" t="s">
        <v>1739</v>
      </c>
      <c r="C701" s="206">
        <v>1</v>
      </c>
      <c r="D701" s="226" t="s">
        <v>1725</v>
      </c>
      <c r="E701" s="287">
        <v>357.59</v>
      </c>
      <c r="F701" s="188">
        <f t="shared" si="124"/>
        <v>0.1</v>
      </c>
      <c r="G701" s="62">
        <f t="shared" si="125"/>
        <v>321.83099999999996</v>
      </c>
      <c r="H701" s="86"/>
      <c r="I701" s="186"/>
      <c r="J701" s="238" t="s">
        <v>669</v>
      </c>
      <c r="K701" s="83" t="s">
        <v>231</v>
      </c>
      <c r="L701" s="100" t="s">
        <v>628</v>
      </c>
      <c r="M701" s="219" t="s">
        <v>1738</v>
      </c>
      <c r="N701" s="205" t="s">
        <v>1739</v>
      </c>
      <c r="O701" s="206">
        <v>1</v>
      </c>
      <c r="P701" s="226" t="s">
        <v>1725</v>
      </c>
      <c r="Q701" s="287">
        <v>357.59</v>
      </c>
      <c r="R701" s="188">
        <v>0.1</v>
      </c>
      <c r="S701" s="62">
        <v>321.83099999999996</v>
      </c>
      <c r="T701" s="86"/>
      <c r="U701" s="186"/>
      <c r="V701" s="238" t="s">
        <v>669</v>
      </c>
      <c r="W701" s="83" t="s">
        <v>231</v>
      </c>
      <c r="X701" s="100" t="s">
        <v>628</v>
      </c>
    </row>
    <row r="702" spans="1:24" s="1" customFormat="1">
      <c r="A702" s="219" t="s">
        <v>1740</v>
      </c>
      <c r="B702" s="205" t="s">
        <v>1741</v>
      </c>
      <c r="C702" s="206">
        <v>1</v>
      </c>
      <c r="D702" s="226" t="s">
        <v>1725</v>
      </c>
      <c r="E702" s="287">
        <v>391.11</v>
      </c>
      <c r="F702" s="188">
        <f t="shared" si="124"/>
        <v>0.1</v>
      </c>
      <c r="G702" s="62">
        <f t="shared" si="125"/>
        <v>351.99900000000002</v>
      </c>
      <c r="H702" s="86"/>
      <c r="I702" s="186"/>
      <c r="J702" s="238" t="s">
        <v>669</v>
      </c>
      <c r="K702" s="83" t="s">
        <v>231</v>
      </c>
      <c r="L702" s="100" t="s">
        <v>628</v>
      </c>
      <c r="M702" s="219" t="s">
        <v>1740</v>
      </c>
      <c r="N702" s="205" t="s">
        <v>1741</v>
      </c>
      <c r="O702" s="206">
        <v>1</v>
      </c>
      <c r="P702" s="226" t="s">
        <v>1725</v>
      </c>
      <c r="Q702" s="287">
        <v>391.11</v>
      </c>
      <c r="R702" s="188">
        <v>0.1</v>
      </c>
      <c r="S702" s="62">
        <v>351.99900000000002</v>
      </c>
      <c r="T702" s="86"/>
      <c r="U702" s="186"/>
      <c r="V702" s="238" t="s">
        <v>669</v>
      </c>
      <c r="W702" s="83" t="s">
        <v>231</v>
      </c>
      <c r="X702" s="100" t="s">
        <v>628</v>
      </c>
    </row>
    <row r="703" spans="1:24" s="1" customFormat="1">
      <c r="A703" s="219" t="s">
        <v>1742</v>
      </c>
      <c r="B703" s="205" t="s">
        <v>1743</v>
      </c>
      <c r="C703" s="206">
        <v>1</v>
      </c>
      <c r="D703" s="226" t="s">
        <v>1725</v>
      </c>
      <c r="E703" s="287">
        <v>111.75</v>
      </c>
      <c r="F703" s="188">
        <f t="shared" si="124"/>
        <v>0.1</v>
      </c>
      <c r="G703" s="62">
        <f t="shared" si="125"/>
        <v>100.575</v>
      </c>
      <c r="H703" s="86"/>
      <c r="I703" s="186"/>
      <c r="J703" s="238" t="s">
        <v>669</v>
      </c>
      <c r="K703" s="83" t="s">
        <v>231</v>
      </c>
      <c r="L703" s="100" t="s">
        <v>628</v>
      </c>
      <c r="M703" s="219" t="s">
        <v>1742</v>
      </c>
      <c r="N703" s="205" t="s">
        <v>1743</v>
      </c>
      <c r="O703" s="206">
        <v>1</v>
      </c>
      <c r="P703" s="226" t="s">
        <v>1725</v>
      </c>
      <c r="Q703" s="287">
        <v>111.75</v>
      </c>
      <c r="R703" s="188">
        <v>0.1</v>
      </c>
      <c r="S703" s="62">
        <v>100.575</v>
      </c>
      <c r="T703" s="86"/>
      <c r="U703" s="186"/>
      <c r="V703" s="238" t="s">
        <v>669</v>
      </c>
      <c r="W703" s="83" t="s">
        <v>231</v>
      </c>
      <c r="X703" s="100" t="s">
        <v>628</v>
      </c>
    </row>
    <row r="704" spans="1:24" s="1" customFormat="1">
      <c r="A704" s="219" t="s">
        <v>1744</v>
      </c>
      <c r="B704" s="205" t="s">
        <v>1745</v>
      </c>
      <c r="C704" s="206">
        <v>1</v>
      </c>
      <c r="D704" s="226" t="s">
        <v>1725</v>
      </c>
      <c r="E704" s="287">
        <v>251.43</v>
      </c>
      <c r="F704" s="188">
        <f t="shared" si="124"/>
        <v>0.1</v>
      </c>
      <c r="G704" s="62">
        <f t="shared" si="125"/>
        <v>226.28700000000001</v>
      </c>
      <c r="H704" s="86"/>
      <c r="I704" s="186"/>
      <c r="J704" s="238" t="s">
        <v>669</v>
      </c>
      <c r="K704" s="83" t="s">
        <v>231</v>
      </c>
      <c r="L704" s="100" t="s">
        <v>628</v>
      </c>
      <c r="M704" s="219" t="s">
        <v>1744</v>
      </c>
      <c r="N704" s="205" t="s">
        <v>1745</v>
      </c>
      <c r="O704" s="206">
        <v>1</v>
      </c>
      <c r="P704" s="226" t="s">
        <v>1725</v>
      </c>
      <c r="Q704" s="287">
        <v>251.43</v>
      </c>
      <c r="R704" s="188">
        <v>0.1</v>
      </c>
      <c r="S704" s="62">
        <v>226.28700000000001</v>
      </c>
      <c r="T704" s="86"/>
      <c r="U704" s="186"/>
      <c r="V704" s="238" t="s">
        <v>669</v>
      </c>
      <c r="W704" s="83" t="s">
        <v>231</v>
      </c>
      <c r="X704" s="100" t="s">
        <v>628</v>
      </c>
    </row>
    <row r="705" spans="1:24" s="1" customFormat="1">
      <c r="A705" s="219" t="s">
        <v>1746</v>
      </c>
      <c r="B705" s="205" t="s">
        <v>1747</v>
      </c>
      <c r="C705" s="206">
        <v>1</v>
      </c>
      <c r="D705" s="226" t="s">
        <v>1725</v>
      </c>
      <c r="E705" s="287">
        <v>749.21</v>
      </c>
      <c r="F705" s="188">
        <f t="shared" si="124"/>
        <v>0.1</v>
      </c>
      <c r="G705" s="62">
        <f t="shared" si="125"/>
        <v>674.28899999999999</v>
      </c>
      <c r="H705" s="86"/>
      <c r="I705" s="186"/>
      <c r="J705" s="238" t="s">
        <v>669</v>
      </c>
      <c r="K705" s="83" t="s">
        <v>231</v>
      </c>
      <c r="L705" s="100" t="s">
        <v>628</v>
      </c>
      <c r="M705" s="219" t="s">
        <v>1746</v>
      </c>
      <c r="N705" s="205" t="s">
        <v>1747</v>
      </c>
      <c r="O705" s="206">
        <v>1</v>
      </c>
      <c r="P705" s="226" t="s">
        <v>1725</v>
      </c>
      <c r="Q705" s="287">
        <v>749.21</v>
      </c>
      <c r="R705" s="188">
        <v>0.1</v>
      </c>
      <c r="S705" s="62">
        <v>674.28899999999999</v>
      </c>
      <c r="T705" s="86"/>
      <c r="U705" s="186"/>
      <c r="V705" s="238" t="s">
        <v>669</v>
      </c>
      <c r="W705" s="83" t="s">
        <v>231</v>
      </c>
      <c r="X705" s="100" t="s">
        <v>628</v>
      </c>
    </row>
    <row r="706" spans="1:24" s="1" customFormat="1">
      <c r="A706" s="219" t="s">
        <v>1748</v>
      </c>
      <c r="B706" s="205" t="s">
        <v>1749</v>
      </c>
      <c r="C706" s="206">
        <v>1</v>
      </c>
      <c r="D706" s="226" t="s">
        <v>1725</v>
      </c>
      <c r="E706" s="287">
        <v>304.76</v>
      </c>
      <c r="F706" s="188">
        <f t="shared" si="124"/>
        <v>0.1</v>
      </c>
      <c r="G706" s="62">
        <f t="shared" si="125"/>
        <v>274.28399999999999</v>
      </c>
      <c r="H706" s="86"/>
      <c r="I706" s="186"/>
      <c r="J706" s="238" t="s">
        <v>669</v>
      </c>
      <c r="K706" s="83" t="s">
        <v>231</v>
      </c>
      <c r="L706" s="100" t="s">
        <v>628</v>
      </c>
      <c r="M706" s="219" t="s">
        <v>1748</v>
      </c>
      <c r="N706" s="205" t="s">
        <v>1749</v>
      </c>
      <c r="O706" s="206">
        <v>1</v>
      </c>
      <c r="P706" s="226" t="s">
        <v>1725</v>
      </c>
      <c r="Q706" s="287">
        <v>304.76</v>
      </c>
      <c r="R706" s="188">
        <v>0.1</v>
      </c>
      <c r="S706" s="62">
        <v>274.28399999999999</v>
      </c>
      <c r="T706" s="86"/>
      <c r="U706" s="186"/>
      <c r="V706" s="238" t="s">
        <v>669</v>
      </c>
      <c r="W706" s="83" t="s">
        <v>231</v>
      </c>
      <c r="X706" s="100" t="s">
        <v>628</v>
      </c>
    </row>
    <row r="707" spans="1:24" s="1" customFormat="1">
      <c r="A707" s="219" t="s">
        <v>1750</v>
      </c>
      <c r="B707" s="205" t="s">
        <v>1751</v>
      </c>
      <c r="C707" s="206">
        <v>1</v>
      </c>
      <c r="D707" s="226" t="s">
        <v>1725</v>
      </c>
      <c r="E707" s="287">
        <v>251.43</v>
      </c>
      <c r="F707" s="188">
        <f t="shared" si="124"/>
        <v>0.1</v>
      </c>
      <c r="G707" s="62">
        <f t="shared" si="125"/>
        <v>226.28700000000001</v>
      </c>
      <c r="H707" s="86"/>
      <c r="I707" s="186"/>
      <c r="J707" s="238" t="s">
        <v>669</v>
      </c>
      <c r="K707" s="83" t="s">
        <v>231</v>
      </c>
      <c r="L707" s="100" t="s">
        <v>628</v>
      </c>
      <c r="M707" s="219" t="s">
        <v>1750</v>
      </c>
      <c r="N707" s="205" t="s">
        <v>1751</v>
      </c>
      <c r="O707" s="206">
        <v>1</v>
      </c>
      <c r="P707" s="226" t="s">
        <v>1725</v>
      </c>
      <c r="Q707" s="287">
        <v>251.43</v>
      </c>
      <c r="R707" s="188">
        <v>0.1</v>
      </c>
      <c r="S707" s="62">
        <v>226.28700000000001</v>
      </c>
      <c r="T707" s="86"/>
      <c r="U707" s="186"/>
      <c r="V707" s="238" t="s">
        <v>669</v>
      </c>
      <c r="W707" s="83" t="s">
        <v>231</v>
      </c>
      <c r="X707" s="100" t="s">
        <v>628</v>
      </c>
    </row>
    <row r="708" spans="1:24" s="1" customFormat="1">
      <c r="A708" s="219" t="s">
        <v>1752</v>
      </c>
      <c r="B708" s="205" t="s">
        <v>1753</v>
      </c>
      <c r="C708" s="206">
        <v>1</v>
      </c>
      <c r="D708" s="226" t="s">
        <v>1725</v>
      </c>
      <c r="E708" s="287">
        <v>524.76</v>
      </c>
      <c r="F708" s="188">
        <f t="shared" si="124"/>
        <v>0.1</v>
      </c>
      <c r="G708" s="62">
        <f t="shared" si="125"/>
        <v>472.28399999999999</v>
      </c>
      <c r="H708" s="86"/>
      <c r="I708" s="186"/>
      <c r="J708" s="238" t="s">
        <v>669</v>
      </c>
      <c r="K708" s="83" t="s">
        <v>231</v>
      </c>
      <c r="L708" s="100" t="s">
        <v>628</v>
      </c>
      <c r="M708" s="219" t="s">
        <v>1752</v>
      </c>
      <c r="N708" s="205" t="s">
        <v>1753</v>
      </c>
      <c r="O708" s="206">
        <v>1</v>
      </c>
      <c r="P708" s="226" t="s">
        <v>1725</v>
      </c>
      <c r="Q708" s="287">
        <v>524.76</v>
      </c>
      <c r="R708" s="188">
        <v>0.1</v>
      </c>
      <c r="S708" s="62">
        <v>472.28399999999999</v>
      </c>
      <c r="T708" s="86"/>
      <c r="U708" s="186"/>
      <c r="V708" s="238" t="s">
        <v>669</v>
      </c>
      <c r="W708" s="83" t="s">
        <v>231</v>
      </c>
      <c r="X708" s="100" t="s">
        <v>628</v>
      </c>
    </row>
    <row r="709" spans="1:24" s="1" customFormat="1">
      <c r="A709" s="219" t="s">
        <v>1754</v>
      </c>
      <c r="B709" s="205" t="s">
        <v>1755</v>
      </c>
      <c r="C709" s="206">
        <v>1</v>
      </c>
      <c r="D709" s="226" t="s">
        <v>1725</v>
      </c>
      <c r="E709" s="287">
        <v>129.68</v>
      </c>
      <c r="F709" s="188">
        <f t="shared" si="124"/>
        <v>0.1</v>
      </c>
      <c r="G709" s="62">
        <f t="shared" si="125"/>
        <v>116.712</v>
      </c>
      <c r="H709" s="86"/>
      <c r="I709" s="186"/>
      <c r="J709" s="238" t="s">
        <v>669</v>
      </c>
      <c r="K709" s="83" t="s">
        <v>231</v>
      </c>
      <c r="L709" s="100" t="s">
        <v>628</v>
      </c>
      <c r="M709" s="219" t="s">
        <v>1754</v>
      </c>
      <c r="N709" s="205" t="s">
        <v>1755</v>
      </c>
      <c r="O709" s="206">
        <v>1</v>
      </c>
      <c r="P709" s="226" t="s">
        <v>1725</v>
      </c>
      <c r="Q709" s="287">
        <v>129.68</v>
      </c>
      <c r="R709" s="188">
        <v>0.1</v>
      </c>
      <c r="S709" s="62">
        <v>116.712</v>
      </c>
      <c r="T709" s="86"/>
      <c r="U709" s="186"/>
      <c r="V709" s="238" t="s">
        <v>669</v>
      </c>
      <c r="W709" s="83" t="s">
        <v>231</v>
      </c>
      <c r="X709" s="100" t="s">
        <v>628</v>
      </c>
    </row>
    <row r="710" spans="1:24" s="1" customFormat="1">
      <c r="A710" s="219" t="s">
        <v>1756</v>
      </c>
      <c r="B710" s="205" t="s">
        <v>1757</v>
      </c>
      <c r="C710" s="206">
        <v>1</v>
      </c>
      <c r="D710" s="226" t="s">
        <v>1725</v>
      </c>
      <c r="E710" s="287">
        <v>20.32</v>
      </c>
      <c r="F710" s="188">
        <f t="shared" si="124"/>
        <v>0.1</v>
      </c>
      <c r="G710" s="62">
        <f t="shared" si="125"/>
        <v>18.288</v>
      </c>
      <c r="H710" s="86"/>
      <c r="I710" s="186"/>
      <c r="J710" s="238" t="s">
        <v>669</v>
      </c>
      <c r="K710" s="83" t="s">
        <v>231</v>
      </c>
      <c r="L710" s="100" t="s">
        <v>628</v>
      </c>
      <c r="M710" s="219" t="s">
        <v>1756</v>
      </c>
      <c r="N710" s="205" t="s">
        <v>1757</v>
      </c>
      <c r="O710" s="206">
        <v>1</v>
      </c>
      <c r="P710" s="226" t="s">
        <v>1725</v>
      </c>
      <c r="Q710" s="287">
        <v>20.32</v>
      </c>
      <c r="R710" s="188">
        <v>0.1</v>
      </c>
      <c r="S710" s="62">
        <v>18.288</v>
      </c>
      <c r="T710" s="86"/>
      <c r="U710" s="186"/>
      <c r="V710" s="238" t="s">
        <v>669</v>
      </c>
      <c r="W710" s="83" t="s">
        <v>231</v>
      </c>
      <c r="X710" s="100" t="s">
        <v>628</v>
      </c>
    </row>
    <row r="711" spans="1:24" s="1" customFormat="1">
      <c r="A711" s="475" t="s">
        <v>1758</v>
      </c>
      <c r="B711" s="223" t="s">
        <v>1759</v>
      </c>
      <c r="C711" s="224">
        <v>1</v>
      </c>
      <c r="D711" s="96" t="s">
        <v>1725</v>
      </c>
      <c r="E711" s="316">
        <v>6132.06</v>
      </c>
      <c r="F711" s="225">
        <f t="shared" si="124"/>
        <v>0.1</v>
      </c>
      <c r="G711" s="97">
        <f t="shared" si="125"/>
        <v>5518.8540000000003</v>
      </c>
      <c r="H711" s="86"/>
      <c r="I711" s="186"/>
      <c r="J711" s="238" t="s">
        <v>669</v>
      </c>
      <c r="K711" s="83" t="s">
        <v>231</v>
      </c>
      <c r="L711" s="100" t="s">
        <v>628</v>
      </c>
      <c r="M711" s="475" t="s">
        <v>1758</v>
      </c>
      <c r="N711" s="223" t="s">
        <v>1759</v>
      </c>
      <c r="O711" s="224">
        <v>1</v>
      </c>
      <c r="P711" s="96" t="s">
        <v>1725</v>
      </c>
      <c r="Q711" s="316">
        <v>6132.06</v>
      </c>
      <c r="R711" s="225">
        <v>0.1</v>
      </c>
      <c r="S711" s="97">
        <v>5518.8540000000003</v>
      </c>
      <c r="T711" s="86"/>
      <c r="U711" s="186"/>
      <c r="V711" s="238" t="s">
        <v>669</v>
      </c>
      <c r="W711" s="83" t="s">
        <v>231</v>
      </c>
      <c r="X711" s="100" t="s">
        <v>628</v>
      </c>
    </row>
    <row r="712" spans="1:24" s="1" customFormat="1">
      <c r="A712" s="219" t="s">
        <v>1760</v>
      </c>
      <c r="B712" s="205" t="s">
        <v>1761</v>
      </c>
      <c r="C712" s="206">
        <v>1</v>
      </c>
      <c r="D712" s="226" t="s">
        <v>1725</v>
      </c>
      <c r="E712" s="287">
        <v>536.38</v>
      </c>
      <c r="F712" s="188">
        <f t="shared" si="124"/>
        <v>0.1</v>
      </c>
      <c r="G712" s="62">
        <f t="shared" si="125"/>
        <v>482.74199999999996</v>
      </c>
      <c r="H712" s="86"/>
      <c r="I712" s="186"/>
      <c r="J712" s="238" t="s">
        <v>669</v>
      </c>
      <c r="K712" s="83" t="s">
        <v>231</v>
      </c>
      <c r="L712" s="100" t="s">
        <v>628</v>
      </c>
      <c r="M712" s="219" t="s">
        <v>1760</v>
      </c>
      <c r="N712" s="205" t="s">
        <v>1761</v>
      </c>
      <c r="O712" s="206">
        <v>1</v>
      </c>
      <c r="P712" s="226" t="s">
        <v>1725</v>
      </c>
      <c r="Q712" s="287">
        <v>536.38</v>
      </c>
      <c r="R712" s="188">
        <v>0.1</v>
      </c>
      <c r="S712" s="62">
        <v>482.74199999999996</v>
      </c>
      <c r="T712" s="86"/>
      <c r="U712" s="186"/>
      <c r="V712" s="238" t="s">
        <v>669</v>
      </c>
      <c r="W712" s="83" t="s">
        <v>231</v>
      </c>
      <c r="X712" s="100" t="s">
        <v>628</v>
      </c>
    </row>
    <row r="713" spans="1:24" s="1" customFormat="1">
      <c r="A713" s="219" t="s">
        <v>1762</v>
      </c>
      <c r="B713" s="205" t="s">
        <v>1763</v>
      </c>
      <c r="C713" s="206">
        <v>1</v>
      </c>
      <c r="D713" s="226" t="s">
        <v>1725</v>
      </c>
      <c r="E713" s="287">
        <v>536.38</v>
      </c>
      <c r="F713" s="188">
        <f t="shared" si="124"/>
        <v>0.1</v>
      </c>
      <c r="G713" s="62">
        <f t="shared" si="125"/>
        <v>482.74199999999996</v>
      </c>
      <c r="H713" s="86"/>
      <c r="I713" s="186"/>
      <c r="J713" s="238" t="s">
        <v>669</v>
      </c>
      <c r="K713" s="83" t="s">
        <v>231</v>
      </c>
      <c r="L713" s="100" t="s">
        <v>628</v>
      </c>
      <c r="M713" s="219" t="s">
        <v>1762</v>
      </c>
      <c r="N713" s="205" t="s">
        <v>1763</v>
      </c>
      <c r="O713" s="206">
        <v>1</v>
      </c>
      <c r="P713" s="226" t="s">
        <v>1725</v>
      </c>
      <c r="Q713" s="287">
        <v>536.38</v>
      </c>
      <c r="R713" s="188">
        <v>0.1</v>
      </c>
      <c r="S713" s="62">
        <v>482.74199999999996</v>
      </c>
      <c r="T713" s="86"/>
      <c r="U713" s="186"/>
      <c r="V713" s="238" t="s">
        <v>669</v>
      </c>
      <c r="W713" s="83" t="s">
        <v>231</v>
      </c>
      <c r="X713" s="100" t="s">
        <v>628</v>
      </c>
    </row>
    <row r="714" spans="1:24" s="1" customFormat="1">
      <c r="A714" s="219" t="s">
        <v>1764</v>
      </c>
      <c r="B714" s="205" t="s">
        <v>1765</v>
      </c>
      <c r="C714" s="206">
        <v>1</v>
      </c>
      <c r="D714" s="226" t="s">
        <v>1725</v>
      </c>
      <c r="E714" s="287">
        <v>446.98</v>
      </c>
      <c r="F714" s="188">
        <f t="shared" si="124"/>
        <v>0.1</v>
      </c>
      <c r="G714" s="62">
        <f t="shared" si="125"/>
        <v>402.28200000000004</v>
      </c>
      <c r="H714" s="86"/>
      <c r="I714" s="186"/>
      <c r="J714" s="238" t="s">
        <v>669</v>
      </c>
      <c r="K714" s="83" t="s">
        <v>231</v>
      </c>
      <c r="L714" s="100" t="s">
        <v>628</v>
      </c>
      <c r="M714" s="219" t="s">
        <v>1764</v>
      </c>
      <c r="N714" s="205" t="s">
        <v>1765</v>
      </c>
      <c r="O714" s="206">
        <v>1</v>
      </c>
      <c r="P714" s="226" t="s">
        <v>1725</v>
      </c>
      <c r="Q714" s="287">
        <v>446.98</v>
      </c>
      <c r="R714" s="188">
        <v>0.1</v>
      </c>
      <c r="S714" s="62">
        <v>402.28200000000004</v>
      </c>
      <c r="T714" s="86"/>
      <c r="U714" s="186"/>
      <c r="V714" s="238" t="s">
        <v>669</v>
      </c>
      <c r="W714" s="83" t="s">
        <v>231</v>
      </c>
      <c r="X714" s="100" t="s">
        <v>628</v>
      </c>
    </row>
    <row r="715" spans="1:24" s="1" customFormat="1">
      <c r="A715" s="219" t="s">
        <v>1766</v>
      </c>
      <c r="B715" s="205" t="s">
        <v>1767</v>
      </c>
      <c r="C715" s="206">
        <v>1</v>
      </c>
      <c r="D715" s="226" t="s">
        <v>1725</v>
      </c>
      <c r="E715" s="287">
        <v>167.62</v>
      </c>
      <c r="F715" s="188">
        <f t="shared" si="124"/>
        <v>0.1</v>
      </c>
      <c r="G715" s="62">
        <f t="shared" si="125"/>
        <v>150.858</v>
      </c>
      <c r="H715" s="86"/>
      <c r="I715" s="186"/>
      <c r="J715" s="238" t="s">
        <v>669</v>
      </c>
      <c r="K715" s="83" t="s">
        <v>231</v>
      </c>
      <c r="L715" s="100" t="s">
        <v>628</v>
      </c>
      <c r="M715" s="219" t="s">
        <v>1766</v>
      </c>
      <c r="N715" s="205" t="s">
        <v>1767</v>
      </c>
      <c r="O715" s="206">
        <v>1</v>
      </c>
      <c r="P715" s="226" t="s">
        <v>1725</v>
      </c>
      <c r="Q715" s="287">
        <v>167.62</v>
      </c>
      <c r="R715" s="188">
        <v>0.1</v>
      </c>
      <c r="S715" s="62">
        <v>150.858</v>
      </c>
      <c r="T715" s="86"/>
      <c r="U715" s="186"/>
      <c r="V715" s="238" t="s">
        <v>669</v>
      </c>
      <c r="W715" s="83" t="s">
        <v>231</v>
      </c>
      <c r="X715" s="100" t="s">
        <v>628</v>
      </c>
    </row>
    <row r="716" spans="1:24" s="1" customFormat="1">
      <c r="A716" s="219" t="s">
        <v>1744</v>
      </c>
      <c r="B716" s="205" t="s">
        <v>1745</v>
      </c>
      <c r="C716" s="206">
        <v>1</v>
      </c>
      <c r="D716" s="226" t="s">
        <v>1725</v>
      </c>
      <c r="E716" s="287">
        <v>251.43</v>
      </c>
      <c r="F716" s="188">
        <f t="shared" si="124"/>
        <v>0.1</v>
      </c>
      <c r="G716" s="62">
        <f t="shared" si="125"/>
        <v>226.28700000000001</v>
      </c>
      <c r="H716" s="86"/>
      <c r="I716" s="186"/>
      <c r="J716" s="238" t="s">
        <v>669</v>
      </c>
      <c r="K716" s="83" t="s">
        <v>231</v>
      </c>
      <c r="L716" s="100" t="s">
        <v>628</v>
      </c>
      <c r="M716" s="219" t="s">
        <v>1744</v>
      </c>
      <c r="N716" s="205" t="s">
        <v>1745</v>
      </c>
      <c r="O716" s="206">
        <v>1</v>
      </c>
      <c r="P716" s="226" t="s">
        <v>1725</v>
      </c>
      <c r="Q716" s="287">
        <v>251.43</v>
      </c>
      <c r="R716" s="188">
        <v>0.1</v>
      </c>
      <c r="S716" s="62">
        <v>226.28700000000001</v>
      </c>
      <c r="T716" s="86"/>
      <c r="U716" s="186"/>
      <c r="V716" s="238" t="s">
        <v>669</v>
      </c>
      <c r="W716" s="83" t="s">
        <v>231</v>
      </c>
      <c r="X716" s="100" t="s">
        <v>628</v>
      </c>
    </row>
    <row r="717" spans="1:24" s="1" customFormat="1">
      <c r="A717" s="219" t="s">
        <v>1768</v>
      </c>
      <c r="B717" s="205" t="s">
        <v>1769</v>
      </c>
      <c r="C717" s="206">
        <v>1</v>
      </c>
      <c r="D717" s="226" t="s">
        <v>1725</v>
      </c>
      <c r="E717" s="287">
        <v>850.79</v>
      </c>
      <c r="F717" s="188">
        <f t="shared" si="124"/>
        <v>0.1</v>
      </c>
      <c r="G717" s="62">
        <f t="shared" si="125"/>
        <v>765.71100000000001</v>
      </c>
      <c r="H717" s="86"/>
      <c r="I717" s="186"/>
      <c r="J717" s="238" t="s">
        <v>669</v>
      </c>
      <c r="K717" s="83" t="s">
        <v>231</v>
      </c>
      <c r="L717" s="100" t="s">
        <v>628</v>
      </c>
      <c r="M717" s="219" t="s">
        <v>1768</v>
      </c>
      <c r="N717" s="205" t="s">
        <v>1769</v>
      </c>
      <c r="O717" s="206">
        <v>1</v>
      </c>
      <c r="P717" s="226" t="s">
        <v>1725</v>
      </c>
      <c r="Q717" s="287">
        <v>850.79</v>
      </c>
      <c r="R717" s="188">
        <v>0.1</v>
      </c>
      <c r="S717" s="62">
        <v>765.71100000000001</v>
      </c>
      <c r="T717" s="86"/>
      <c r="U717" s="186"/>
      <c r="V717" s="238" t="s">
        <v>669</v>
      </c>
      <c r="W717" s="83" t="s">
        <v>231</v>
      </c>
      <c r="X717" s="100" t="s">
        <v>628</v>
      </c>
    </row>
    <row r="718" spans="1:24" s="1" customFormat="1">
      <c r="A718" s="219" t="s">
        <v>1770</v>
      </c>
      <c r="B718" s="205" t="s">
        <v>1771</v>
      </c>
      <c r="C718" s="206">
        <v>1</v>
      </c>
      <c r="D718" s="226" t="s">
        <v>1725</v>
      </c>
      <c r="E718" s="287">
        <v>426.67</v>
      </c>
      <c r="F718" s="188">
        <f t="shared" si="124"/>
        <v>0.1</v>
      </c>
      <c r="G718" s="62">
        <f t="shared" si="125"/>
        <v>384.00300000000004</v>
      </c>
      <c r="H718" s="86"/>
      <c r="I718" s="186"/>
      <c r="J718" s="238" t="s">
        <v>669</v>
      </c>
      <c r="K718" s="83" t="s">
        <v>231</v>
      </c>
      <c r="L718" s="100" t="s">
        <v>628</v>
      </c>
      <c r="M718" s="219" t="s">
        <v>1770</v>
      </c>
      <c r="N718" s="205" t="s">
        <v>1771</v>
      </c>
      <c r="O718" s="206">
        <v>1</v>
      </c>
      <c r="P718" s="226" t="s">
        <v>1725</v>
      </c>
      <c r="Q718" s="287">
        <v>426.67</v>
      </c>
      <c r="R718" s="188">
        <v>0.1</v>
      </c>
      <c r="S718" s="62">
        <v>384.00300000000004</v>
      </c>
      <c r="T718" s="86"/>
      <c r="U718" s="186"/>
      <c r="V718" s="238" t="s">
        <v>669</v>
      </c>
      <c r="W718" s="83" t="s">
        <v>231</v>
      </c>
      <c r="X718" s="100" t="s">
        <v>628</v>
      </c>
    </row>
    <row r="719" spans="1:24" s="1" customFormat="1">
      <c r="A719" s="219" t="s">
        <v>1750</v>
      </c>
      <c r="B719" s="205" t="s">
        <v>1751</v>
      </c>
      <c r="C719" s="206">
        <v>1</v>
      </c>
      <c r="D719" s="226" t="s">
        <v>1725</v>
      </c>
      <c r="E719" s="287">
        <v>251.43</v>
      </c>
      <c r="F719" s="188">
        <f t="shared" si="124"/>
        <v>0.1</v>
      </c>
      <c r="G719" s="62">
        <f t="shared" si="125"/>
        <v>226.28700000000001</v>
      </c>
      <c r="H719" s="86"/>
      <c r="I719" s="186"/>
      <c r="J719" s="238" t="s">
        <v>669</v>
      </c>
      <c r="K719" s="83" t="s">
        <v>231</v>
      </c>
      <c r="L719" s="100" t="s">
        <v>628</v>
      </c>
      <c r="M719" s="219" t="s">
        <v>1750</v>
      </c>
      <c r="N719" s="205" t="s">
        <v>1751</v>
      </c>
      <c r="O719" s="206">
        <v>1</v>
      </c>
      <c r="P719" s="226" t="s">
        <v>1725</v>
      </c>
      <c r="Q719" s="287">
        <v>251.43</v>
      </c>
      <c r="R719" s="188">
        <v>0.1</v>
      </c>
      <c r="S719" s="62">
        <v>226.28700000000001</v>
      </c>
      <c r="T719" s="86"/>
      <c r="U719" s="186"/>
      <c r="V719" s="238" t="s">
        <v>669</v>
      </c>
      <c r="W719" s="83" t="s">
        <v>231</v>
      </c>
      <c r="X719" s="100" t="s">
        <v>628</v>
      </c>
    </row>
    <row r="720" spans="1:24" s="1" customFormat="1">
      <c r="A720" s="219" t="s">
        <v>1752</v>
      </c>
      <c r="B720" s="205" t="s">
        <v>1753</v>
      </c>
      <c r="C720" s="206">
        <v>1</v>
      </c>
      <c r="D720" s="226" t="s">
        <v>1725</v>
      </c>
      <c r="E720" s="287">
        <v>524.76</v>
      </c>
      <c r="F720" s="188">
        <f t="shared" si="124"/>
        <v>0.1</v>
      </c>
      <c r="G720" s="62">
        <f t="shared" si="125"/>
        <v>472.28399999999999</v>
      </c>
      <c r="H720" s="86"/>
      <c r="I720" s="186"/>
      <c r="J720" s="238" t="s">
        <v>669</v>
      </c>
      <c r="K720" s="83" t="s">
        <v>231</v>
      </c>
      <c r="L720" s="100" t="s">
        <v>628</v>
      </c>
      <c r="M720" s="219" t="s">
        <v>1752</v>
      </c>
      <c r="N720" s="205" t="s">
        <v>1753</v>
      </c>
      <c r="O720" s="206">
        <v>1</v>
      </c>
      <c r="P720" s="226" t="s">
        <v>1725</v>
      </c>
      <c r="Q720" s="287">
        <v>524.76</v>
      </c>
      <c r="R720" s="188">
        <v>0.1</v>
      </c>
      <c r="S720" s="62">
        <v>472.28399999999999</v>
      </c>
      <c r="T720" s="86"/>
      <c r="U720" s="186"/>
      <c r="V720" s="238" t="s">
        <v>669</v>
      </c>
      <c r="W720" s="83" t="s">
        <v>231</v>
      </c>
      <c r="X720" s="100" t="s">
        <v>628</v>
      </c>
    </row>
    <row r="721" spans="1:24" s="1" customFormat="1">
      <c r="A721" s="219" t="s">
        <v>1754</v>
      </c>
      <c r="B721" s="205" t="s">
        <v>1755</v>
      </c>
      <c r="C721" s="206">
        <v>1</v>
      </c>
      <c r="D721" s="226" t="s">
        <v>1725</v>
      </c>
      <c r="E721" s="287">
        <v>129.68</v>
      </c>
      <c r="F721" s="188">
        <f t="shared" si="124"/>
        <v>0.1</v>
      </c>
      <c r="G721" s="62">
        <f t="shared" si="125"/>
        <v>116.712</v>
      </c>
      <c r="H721" s="86"/>
      <c r="I721" s="186"/>
      <c r="J721" s="238" t="s">
        <v>669</v>
      </c>
      <c r="K721" s="83" t="s">
        <v>231</v>
      </c>
      <c r="L721" s="100" t="s">
        <v>628</v>
      </c>
      <c r="M721" s="219" t="s">
        <v>1754</v>
      </c>
      <c r="N721" s="205" t="s">
        <v>1755</v>
      </c>
      <c r="O721" s="206">
        <v>1</v>
      </c>
      <c r="P721" s="226" t="s">
        <v>1725</v>
      </c>
      <c r="Q721" s="287">
        <v>129.68</v>
      </c>
      <c r="R721" s="188">
        <v>0.1</v>
      </c>
      <c r="S721" s="62">
        <v>116.712</v>
      </c>
      <c r="T721" s="86"/>
      <c r="U721" s="186"/>
      <c r="V721" s="238" t="s">
        <v>669</v>
      </c>
      <c r="W721" s="83" t="s">
        <v>231</v>
      </c>
      <c r="X721" s="100" t="s">
        <v>628</v>
      </c>
    </row>
    <row r="722" spans="1:24" s="1" customFormat="1">
      <c r="A722" s="219" t="s">
        <v>1756</v>
      </c>
      <c r="B722" s="205" t="s">
        <v>1757</v>
      </c>
      <c r="C722" s="206">
        <v>1</v>
      </c>
      <c r="D722" s="226" t="s">
        <v>1725</v>
      </c>
      <c r="E722" s="287">
        <v>20.32</v>
      </c>
      <c r="F722" s="188">
        <f t="shared" si="124"/>
        <v>0.1</v>
      </c>
      <c r="G722" s="62">
        <f t="shared" si="125"/>
        <v>18.288</v>
      </c>
      <c r="H722" s="86"/>
      <c r="I722" s="186"/>
      <c r="J722" s="238" t="s">
        <v>669</v>
      </c>
      <c r="K722" s="83" t="s">
        <v>231</v>
      </c>
      <c r="L722" s="100" t="s">
        <v>628</v>
      </c>
      <c r="M722" s="219" t="s">
        <v>1756</v>
      </c>
      <c r="N722" s="205" t="s">
        <v>1757</v>
      </c>
      <c r="O722" s="206">
        <v>1</v>
      </c>
      <c r="P722" s="226" t="s">
        <v>1725</v>
      </c>
      <c r="Q722" s="287">
        <v>20.32</v>
      </c>
      <c r="R722" s="188">
        <v>0.1</v>
      </c>
      <c r="S722" s="62">
        <v>18.288</v>
      </c>
      <c r="T722" s="86"/>
      <c r="U722" s="186"/>
      <c r="V722" s="238" t="s">
        <v>669</v>
      </c>
      <c r="W722" s="83" t="s">
        <v>231</v>
      </c>
      <c r="X722" s="100" t="s">
        <v>628</v>
      </c>
    </row>
    <row r="723" spans="1:24" s="1" customFormat="1">
      <c r="A723" s="475" t="s">
        <v>1772</v>
      </c>
      <c r="B723" s="223" t="s">
        <v>1773</v>
      </c>
      <c r="C723" s="224">
        <v>1</v>
      </c>
      <c r="D723" s="96" t="s">
        <v>1725</v>
      </c>
      <c r="E723" s="316">
        <v>6816.51</v>
      </c>
      <c r="F723" s="225">
        <f t="shared" si="124"/>
        <v>0.1</v>
      </c>
      <c r="G723" s="97">
        <f t="shared" si="125"/>
        <v>6134.8590000000004</v>
      </c>
      <c r="H723" s="86"/>
      <c r="I723" s="186"/>
      <c r="J723" s="238" t="s">
        <v>669</v>
      </c>
      <c r="K723" s="83" t="s">
        <v>231</v>
      </c>
      <c r="L723" s="100" t="s">
        <v>628</v>
      </c>
      <c r="M723" s="475" t="s">
        <v>1772</v>
      </c>
      <c r="N723" s="223" t="s">
        <v>1773</v>
      </c>
      <c r="O723" s="224">
        <v>1</v>
      </c>
      <c r="P723" s="96" t="s">
        <v>1725</v>
      </c>
      <c r="Q723" s="316">
        <v>6816.51</v>
      </c>
      <c r="R723" s="225">
        <v>0.1</v>
      </c>
      <c r="S723" s="97">
        <v>6134.8590000000004</v>
      </c>
      <c r="T723" s="86"/>
      <c r="U723" s="186"/>
      <c r="V723" s="238" t="s">
        <v>669</v>
      </c>
      <c r="W723" s="83" t="s">
        <v>231</v>
      </c>
      <c r="X723" s="100" t="s">
        <v>628</v>
      </c>
    </row>
    <row r="724" spans="1:24" s="1" customFormat="1">
      <c r="A724" s="219" t="s">
        <v>1774</v>
      </c>
      <c r="B724" s="205" t="s">
        <v>1775</v>
      </c>
      <c r="C724" s="206">
        <v>1</v>
      </c>
      <c r="D724" s="226" t="s">
        <v>1725</v>
      </c>
      <c r="E724" s="287">
        <v>715.17</v>
      </c>
      <c r="F724" s="188">
        <f t="shared" si="124"/>
        <v>0.1</v>
      </c>
      <c r="G724" s="62">
        <f t="shared" si="125"/>
        <v>643.65300000000002</v>
      </c>
      <c r="H724" s="86"/>
      <c r="I724" s="186"/>
      <c r="J724" s="238" t="s">
        <v>669</v>
      </c>
      <c r="K724" s="83" t="s">
        <v>231</v>
      </c>
      <c r="L724" s="100" t="s">
        <v>628</v>
      </c>
      <c r="M724" s="219" t="s">
        <v>1774</v>
      </c>
      <c r="N724" s="205" t="s">
        <v>1775</v>
      </c>
      <c r="O724" s="206">
        <v>1</v>
      </c>
      <c r="P724" s="226" t="s">
        <v>1725</v>
      </c>
      <c r="Q724" s="287">
        <v>715.17</v>
      </c>
      <c r="R724" s="188">
        <v>0.1</v>
      </c>
      <c r="S724" s="62">
        <v>643.65300000000002</v>
      </c>
      <c r="T724" s="86"/>
      <c r="U724" s="186"/>
      <c r="V724" s="238" t="s">
        <v>669</v>
      </c>
      <c r="W724" s="83" t="s">
        <v>231</v>
      </c>
      <c r="X724" s="100" t="s">
        <v>628</v>
      </c>
    </row>
    <row r="725" spans="1:24" s="1" customFormat="1">
      <c r="A725" s="219" t="s">
        <v>1776</v>
      </c>
      <c r="B725" s="205" t="s">
        <v>1777</v>
      </c>
      <c r="C725" s="206">
        <v>1</v>
      </c>
      <c r="D725" s="226" t="s">
        <v>1725</v>
      </c>
      <c r="E725" s="287">
        <v>715.17</v>
      </c>
      <c r="F725" s="188">
        <f t="shared" si="124"/>
        <v>0.1</v>
      </c>
      <c r="G725" s="62">
        <f t="shared" si="125"/>
        <v>643.65300000000002</v>
      </c>
      <c r="H725" s="86"/>
      <c r="I725" s="186"/>
      <c r="J725" s="238" t="s">
        <v>669</v>
      </c>
      <c r="K725" s="83" t="s">
        <v>231</v>
      </c>
      <c r="L725" s="100" t="s">
        <v>628</v>
      </c>
      <c r="M725" s="219" t="s">
        <v>1776</v>
      </c>
      <c r="N725" s="205" t="s">
        <v>1777</v>
      </c>
      <c r="O725" s="206">
        <v>1</v>
      </c>
      <c r="P725" s="226" t="s">
        <v>1725</v>
      </c>
      <c r="Q725" s="287">
        <v>715.17</v>
      </c>
      <c r="R725" s="188">
        <v>0.1</v>
      </c>
      <c r="S725" s="62">
        <v>643.65300000000002</v>
      </c>
      <c r="T725" s="86"/>
      <c r="U725" s="186"/>
      <c r="V725" s="238" t="s">
        <v>669</v>
      </c>
      <c r="W725" s="83" t="s">
        <v>231</v>
      </c>
      <c r="X725" s="100" t="s">
        <v>628</v>
      </c>
    </row>
    <row r="726" spans="1:24" s="1" customFormat="1">
      <c r="A726" s="219" t="s">
        <v>1778</v>
      </c>
      <c r="B726" s="205" t="s">
        <v>1779</v>
      </c>
      <c r="C726" s="206">
        <v>1</v>
      </c>
      <c r="D726" s="226" t="s">
        <v>1725</v>
      </c>
      <c r="E726" s="287">
        <v>516.83000000000004</v>
      </c>
      <c r="F726" s="188">
        <f t="shared" si="124"/>
        <v>0.1</v>
      </c>
      <c r="G726" s="62">
        <f t="shared" si="125"/>
        <v>465.14700000000005</v>
      </c>
      <c r="H726" s="86"/>
      <c r="I726" s="186"/>
      <c r="J726" s="238" t="s">
        <v>669</v>
      </c>
      <c r="K726" s="83" t="s">
        <v>231</v>
      </c>
      <c r="L726" s="100" t="s">
        <v>628</v>
      </c>
      <c r="M726" s="219" t="s">
        <v>1778</v>
      </c>
      <c r="N726" s="205" t="s">
        <v>1779</v>
      </c>
      <c r="O726" s="206">
        <v>1</v>
      </c>
      <c r="P726" s="226" t="s">
        <v>1725</v>
      </c>
      <c r="Q726" s="287">
        <v>516.83000000000004</v>
      </c>
      <c r="R726" s="188">
        <v>0.1</v>
      </c>
      <c r="S726" s="62">
        <v>465.14700000000005</v>
      </c>
      <c r="T726" s="86"/>
      <c r="U726" s="186"/>
      <c r="V726" s="238" t="s">
        <v>669</v>
      </c>
      <c r="W726" s="83" t="s">
        <v>231</v>
      </c>
      <c r="X726" s="100" t="s">
        <v>628</v>
      </c>
    </row>
    <row r="727" spans="1:24" s="1" customFormat="1">
      <c r="A727" s="219" t="s">
        <v>1780</v>
      </c>
      <c r="B727" s="205" t="s">
        <v>1781</v>
      </c>
      <c r="C727" s="206">
        <v>1</v>
      </c>
      <c r="D727" s="226" t="s">
        <v>1725</v>
      </c>
      <c r="E727" s="287">
        <v>223.49</v>
      </c>
      <c r="F727" s="188">
        <f t="shared" si="124"/>
        <v>0.1</v>
      </c>
      <c r="G727" s="62">
        <f t="shared" si="125"/>
        <v>201.14100000000002</v>
      </c>
      <c r="H727" s="86"/>
      <c r="I727" s="186"/>
      <c r="J727" s="238" t="s">
        <v>669</v>
      </c>
      <c r="K727" s="83" t="s">
        <v>231</v>
      </c>
      <c r="L727" s="100" t="s">
        <v>628</v>
      </c>
      <c r="M727" s="219" t="s">
        <v>1780</v>
      </c>
      <c r="N727" s="205" t="s">
        <v>1781</v>
      </c>
      <c r="O727" s="206">
        <v>1</v>
      </c>
      <c r="P727" s="226" t="s">
        <v>1725</v>
      </c>
      <c r="Q727" s="287">
        <v>223.49</v>
      </c>
      <c r="R727" s="188">
        <v>0.1</v>
      </c>
      <c r="S727" s="62">
        <v>201.14100000000002</v>
      </c>
      <c r="T727" s="86"/>
      <c r="U727" s="186"/>
      <c r="V727" s="238" t="s">
        <v>669</v>
      </c>
      <c r="W727" s="83" t="s">
        <v>231</v>
      </c>
      <c r="X727" s="100" t="s">
        <v>628</v>
      </c>
    </row>
    <row r="728" spans="1:24" s="1" customFormat="1">
      <c r="A728" s="219" t="s">
        <v>1744</v>
      </c>
      <c r="B728" s="205" t="s">
        <v>1745</v>
      </c>
      <c r="C728" s="206">
        <v>1</v>
      </c>
      <c r="D728" s="226" t="s">
        <v>1725</v>
      </c>
      <c r="E728" s="287">
        <v>251.43</v>
      </c>
      <c r="F728" s="188">
        <f t="shared" si="124"/>
        <v>0.1</v>
      </c>
      <c r="G728" s="62">
        <f t="shared" si="125"/>
        <v>226.28700000000001</v>
      </c>
      <c r="H728" s="86"/>
      <c r="I728" s="186"/>
      <c r="J728" s="238" t="s">
        <v>669</v>
      </c>
      <c r="K728" s="83" t="s">
        <v>231</v>
      </c>
      <c r="L728" s="100" t="s">
        <v>628</v>
      </c>
      <c r="M728" s="219" t="s">
        <v>1744</v>
      </c>
      <c r="N728" s="205" t="s">
        <v>1745</v>
      </c>
      <c r="O728" s="206">
        <v>1</v>
      </c>
      <c r="P728" s="226" t="s">
        <v>1725</v>
      </c>
      <c r="Q728" s="287">
        <v>251.43</v>
      </c>
      <c r="R728" s="188">
        <v>0.1</v>
      </c>
      <c r="S728" s="62">
        <v>226.28700000000001</v>
      </c>
      <c r="T728" s="86"/>
      <c r="U728" s="186"/>
      <c r="V728" s="238" t="s">
        <v>669</v>
      </c>
      <c r="W728" s="83" t="s">
        <v>231</v>
      </c>
      <c r="X728" s="100" t="s">
        <v>628</v>
      </c>
    </row>
    <row r="729" spans="1:24" s="1" customFormat="1">
      <c r="A729" s="219" t="s">
        <v>1768</v>
      </c>
      <c r="B729" s="205" t="s">
        <v>1769</v>
      </c>
      <c r="C729" s="206">
        <v>1</v>
      </c>
      <c r="D729" s="226" t="s">
        <v>1725</v>
      </c>
      <c r="E729" s="287">
        <v>850.79</v>
      </c>
      <c r="F729" s="188">
        <f t="shared" si="124"/>
        <v>0.1</v>
      </c>
      <c r="G729" s="62">
        <f t="shared" si="125"/>
        <v>765.71100000000001</v>
      </c>
      <c r="H729" s="86"/>
      <c r="I729" s="186"/>
      <c r="J729" s="238" t="s">
        <v>669</v>
      </c>
      <c r="K729" s="83" t="s">
        <v>231</v>
      </c>
      <c r="L729" s="100" t="s">
        <v>628</v>
      </c>
      <c r="M729" s="219" t="s">
        <v>1768</v>
      </c>
      <c r="N729" s="205" t="s">
        <v>1769</v>
      </c>
      <c r="O729" s="206">
        <v>1</v>
      </c>
      <c r="P729" s="226" t="s">
        <v>1725</v>
      </c>
      <c r="Q729" s="287">
        <v>850.79</v>
      </c>
      <c r="R729" s="188">
        <v>0.1</v>
      </c>
      <c r="S729" s="62">
        <v>765.71100000000001</v>
      </c>
      <c r="T729" s="86"/>
      <c r="U729" s="186"/>
      <c r="V729" s="238" t="s">
        <v>669</v>
      </c>
      <c r="W729" s="83" t="s">
        <v>231</v>
      </c>
      <c r="X729" s="100" t="s">
        <v>628</v>
      </c>
    </row>
    <row r="730" spans="1:24" s="1" customFormat="1">
      <c r="A730" s="219" t="s">
        <v>1782</v>
      </c>
      <c r="B730" s="205" t="s">
        <v>1771</v>
      </c>
      <c r="C730" s="206">
        <v>1</v>
      </c>
      <c r="D730" s="226" t="s">
        <v>1725</v>
      </c>
      <c r="E730" s="287">
        <v>502.86</v>
      </c>
      <c r="F730" s="188">
        <f t="shared" si="124"/>
        <v>0.1</v>
      </c>
      <c r="G730" s="62">
        <f t="shared" si="125"/>
        <v>452.57400000000001</v>
      </c>
      <c r="H730" s="86"/>
      <c r="I730" s="186"/>
      <c r="J730" s="238" t="s">
        <v>669</v>
      </c>
      <c r="K730" s="83" t="s">
        <v>231</v>
      </c>
      <c r="L730" s="100" t="s">
        <v>628</v>
      </c>
      <c r="M730" s="219" t="s">
        <v>1782</v>
      </c>
      <c r="N730" s="205" t="s">
        <v>1771</v>
      </c>
      <c r="O730" s="206">
        <v>1</v>
      </c>
      <c r="P730" s="226" t="s">
        <v>1725</v>
      </c>
      <c r="Q730" s="287">
        <v>502.86</v>
      </c>
      <c r="R730" s="188">
        <v>0.1</v>
      </c>
      <c r="S730" s="62">
        <v>452.57400000000001</v>
      </c>
      <c r="T730" s="86"/>
      <c r="U730" s="186"/>
      <c r="V730" s="238" t="s">
        <v>669</v>
      </c>
      <c r="W730" s="83" t="s">
        <v>231</v>
      </c>
      <c r="X730" s="100" t="s">
        <v>628</v>
      </c>
    </row>
    <row r="731" spans="1:24" s="1" customFormat="1">
      <c r="A731" s="219" t="s">
        <v>1750</v>
      </c>
      <c r="B731" s="205" t="s">
        <v>1751</v>
      </c>
      <c r="C731" s="206">
        <v>1</v>
      </c>
      <c r="D731" s="226" t="s">
        <v>1725</v>
      </c>
      <c r="E731" s="287">
        <v>251.43</v>
      </c>
      <c r="F731" s="188">
        <f t="shared" si="124"/>
        <v>0.1</v>
      </c>
      <c r="G731" s="62">
        <f t="shared" ref="G731:G762" si="126">E731-(E731*F731)</f>
        <v>226.28700000000001</v>
      </c>
      <c r="H731" s="86"/>
      <c r="I731" s="186"/>
      <c r="J731" s="238" t="s">
        <v>669</v>
      </c>
      <c r="K731" s="83" t="s">
        <v>231</v>
      </c>
      <c r="L731" s="100" t="s">
        <v>628</v>
      </c>
      <c r="M731" s="219" t="s">
        <v>1750</v>
      </c>
      <c r="N731" s="205" t="s">
        <v>1751</v>
      </c>
      <c r="O731" s="206">
        <v>1</v>
      </c>
      <c r="P731" s="226" t="s">
        <v>1725</v>
      </c>
      <c r="Q731" s="287">
        <v>251.43</v>
      </c>
      <c r="R731" s="188">
        <v>0.1</v>
      </c>
      <c r="S731" s="62">
        <v>226.28700000000001</v>
      </c>
      <c r="T731" s="86"/>
      <c r="U731" s="186"/>
      <c r="V731" s="238" t="s">
        <v>669</v>
      </c>
      <c r="W731" s="83" t="s">
        <v>231</v>
      </c>
      <c r="X731" s="100" t="s">
        <v>628</v>
      </c>
    </row>
    <row r="732" spans="1:24" s="1" customFormat="1">
      <c r="A732" s="219" t="s">
        <v>1752</v>
      </c>
      <c r="B732" s="205" t="s">
        <v>1753</v>
      </c>
      <c r="C732" s="206">
        <v>1</v>
      </c>
      <c r="D732" s="226" t="s">
        <v>1725</v>
      </c>
      <c r="E732" s="287">
        <v>524.76</v>
      </c>
      <c r="F732" s="188">
        <f t="shared" si="124"/>
        <v>0.1</v>
      </c>
      <c r="G732" s="62">
        <f t="shared" si="126"/>
        <v>472.28399999999999</v>
      </c>
      <c r="H732" s="86"/>
      <c r="I732" s="186"/>
      <c r="J732" s="238" t="s">
        <v>669</v>
      </c>
      <c r="K732" s="83" t="s">
        <v>231</v>
      </c>
      <c r="L732" s="100" t="s">
        <v>628</v>
      </c>
      <c r="M732" s="219" t="s">
        <v>1752</v>
      </c>
      <c r="N732" s="205" t="s">
        <v>1753</v>
      </c>
      <c r="O732" s="206">
        <v>1</v>
      </c>
      <c r="P732" s="226" t="s">
        <v>1725</v>
      </c>
      <c r="Q732" s="287">
        <v>524.76</v>
      </c>
      <c r="R732" s="188">
        <v>0.1</v>
      </c>
      <c r="S732" s="62">
        <v>472.28399999999999</v>
      </c>
      <c r="T732" s="86"/>
      <c r="U732" s="186"/>
      <c r="V732" s="238" t="s">
        <v>669</v>
      </c>
      <c r="W732" s="83" t="s">
        <v>231</v>
      </c>
      <c r="X732" s="100" t="s">
        <v>628</v>
      </c>
    </row>
    <row r="733" spans="1:24" s="1" customFormat="1">
      <c r="A733" s="219" t="s">
        <v>1754</v>
      </c>
      <c r="B733" s="205" t="s">
        <v>1755</v>
      </c>
      <c r="C733" s="206">
        <v>1</v>
      </c>
      <c r="D733" s="226" t="s">
        <v>1725</v>
      </c>
      <c r="E733" s="287">
        <v>129.68</v>
      </c>
      <c r="F733" s="188">
        <f t="shared" si="124"/>
        <v>0.1</v>
      </c>
      <c r="G733" s="62">
        <f t="shared" si="126"/>
        <v>116.712</v>
      </c>
      <c r="H733" s="86"/>
      <c r="I733" s="186"/>
      <c r="J733" s="238" t="s">
        <v>669</v>
      </c>
      <c r="K733" s="83" t="s">
        <v>231</v>
      </c>
      <c r="L733" s="100" t="s">
        <v>628</v>
      </c>
      <c r="M733" s="219" t="s">
        <v>1754</v>
      </c>
      <c r="N733" s="205" t="s">
        <v>1755</v>
      </c>
      <c r="O733" s="206">
        <v>1</v>
      </c>
      <c r="P733" s="226" t="s">
        <v>1725</v>
      </c>
      <c r="Q733" s="287">
        <v>129.68</v>
      </c>
      <c r="R733" s="188">
        <v>0.1</v>
      </c>
      <c r="S733" s="62">
        <v>116.712</v>
      </c>
      <c r="T733" s="86"/>
      <c r="U733" s="186"/>
      <c r="V733" s="238" t="s">
        <v>669</v>
      </c>
      <c r="W733" s="83" t="s">
        <v>231</v>
      </c>
      <c r="X733" s="100" t="s">
        <v>628</v>
      </c>
    </row>
    <row r="734" spans="1:24" s="1" customFormat="1">
      <c r="A734" s="219" t="s">
        <v>1756</v>
      </c>
      <c r="B734" s="205" t="s">
        <v>1757</v>
      </c>
      <c r="C734" s="206">
        <v>1</v>
      </c>
      <c r="D734" s="226" t="s">
        <v>1725</v>
      </c>
      <c r="E734" s="287">
        <v>20.32</v>
      </c>
      <c r="F734" s="188">
        <f t="shared" si="124"/>
        <v>0.1</v>
      </c>
      <c r="G734" s="62">
        <f t="shared" si="126"/>
        <v>18.288</v>
      </c>
      <c r="H734" s="86"/>
      <c r="I734" s="186"/>
      <c r="J734" s="238" t="s">
        <v>669</v>
      </c>
      <c r="K734" s="83" t="s">
        <v>231</v>
      </c>
      <c r="L734" s="100" t="s">
        <v>628</v>
      </c>
      <c r="M734" s="219" t="s">
        <v>1756</v>
      </c>
      <c r="N734" s="205" t="s">
        <v>1757</v>
      </c>
      <c r="O734" s="206">
        <v>1</v>
      </c>
      <c r="P734" s="226" t="s">
        <v>1725</v>
      </c>
      <c r="Q734" s="287">
        <v>20.32</v>
      </c>
      <c r="R734" s="188">
        <v>0.1</v>
      </c>
      <c r="S734" s="62">
        <v>18.288</v>
      </c>
      <c r="T734" s="86"/>
      <c r="U734" s="186"/>
      <c r="V734" s="238" t="s">
        <v>669</v>
      </c>
      <c r="W734" s="83" t="s">
        <v>231</v>
      </c>
      <c r="X734" s="100" t="s">
        <v>628</v>
      </c>
    </row>
    <row r="735" spans="1:24" s="1" customFormat="1">
      <c r="A735" s="475" t="s">
        <v>1783</v>
      </c>
      <c r="B735" s="223" t="s">
        <v>1784</v>
      </c>
      <c r="C735" s="224">
        <v>1</v>
      </c>
      <c r="D735" s="96" t="s">
        <v>1725</v>
      </c>
      <c r="E735" s="316">
        <v>8911.75</v>
      </c>
      <c r="F735" s="225">
        <f t="shared" si="124"/>
        <v>0.1</v>
      </c>
      <c r="G735" s="97">
        <f t="shared" si="126"/>
        <v>8020.5749999999998</v>
      </c>
      <c r="H735" s="86"/>
      <c r="I735" s="186"/>
      <c r="J735" s="238" t="s">
        <v>669</v>
      </c>
      <c r="K735" s="83" t="s">
        <v>231</v>
      </c>
      <c r="L735" s="100" t="s">
        <v>628</v>
      </c>
      <c r="M735" s="475" t="s">
        <v>1783</v>
      </c>
      <c r="N735" s="223" t="s">
        <v>1784</v>
      </c>
      <c r="O735" s="224">
        <v>1</v>
      </c>
      <c r="P735" s="96" t="s">
        <v>1725</v>
      </c>
      <c r="Q735" s="316">
        <v>8911.75</v>
      </c>
      <c r="R735" s="225">
        <v>0.1</v>
      </c>
      <c r="S735" s="97">
        <v>8020.5749999999998</v>
      </c>
      <c r="T735" s="86"/>
      <c r="U735" s="186"/>
      <c r="V735" s="238" t="s">
        <v>669</v>
      </c>
      <c r="W735" s="83" t="s">
        <v>231</v>
      </c>
      <c r="X735" s="100" t="s">
        <v>628</v>
      </c>
    </row>
    <row r="736" spans="1:24" s="1" customFormat="1">
      <c r="A736" s="219" t="s">
        <v>1785</v>
      </c>
      <c r="B736" s="205" t="s">
        <v>1786</v>
      </c>
      <c r="C736" s="206">
        <v>1</v>
      </c>
      <c r="D736" s="226" t="s">
        <v>1725</v>
      </c>
      <c r="E736" s="287">
        <v>1005.71</v>
      </c>
      <c r="F736" s="188">
        <f t="shared" si="124"/>
        <v>0.1</v>
      </c>
      <c r="G736" s="62">
        <f t="shared" si="126"/>
        <v>905.13900000000001</v>
      </c>
      <c r="H736" s="86"/>
      <c r="I736" s="186"/>
      <c r="J736" s="238" t="s">
        <v>669</v>
      </c>
      <c r="K736" s="83" t="s">
        <v>231</v>
      </c>
      <c r="L736" s="100" t="s">
        <v>628</v>
      </c>
      <c r="M736" s="219" t="s">
        <v>1785</v>
      </c>
      <c r="N736" s="205" t="s">
        <v>1786</v>
      </c>
      <c r="O736" s="206">
        <v>1</v>
      </c>
      <c r="P736" s="226" t="s">
        <v>1725</v>
      </c>
      <c r="Q736" s="287">
        <v>1005.71</v>
      </c>
      <c r="R736" s="188">
        <v>0.1</v>
      </c>
      <c r="S736" s="62">
        <v>905.13900000000001</v>
      </c>
      <c r="T736" s="86"/>
      <c r="U736" s="186"/>
      <c r="V736" s="238" t="s">
        <v>669</v>
      </c>
      <c r="W736" s="83" t="s">
        <v>231</v>
      </c>
      <c r="X736" s="100" t="s">
        <v>628</v>
      </c>
    </row>
    <row r="737" spans="1:24" s="1" customFormat="1">
      <c r="A737" s="219" t="s">
        <v>1787</v>
      </c>
      <c r="B737" s="205" t="s">
        <v>1788</v>
      </c>
      <c r="C737" s="206">
        <v>1</v>
      </c>
      <c r="D737" s="226" t="s">
        <v>1725</v>
      </c>
      <c r="E737" s="287">
        <v>1005.71</v>
      </c>
      <c r="F737" s="188">
        <f t="shared" si="124"/>
        <v>0.1</v>
      </c>
      <c r="G737" s="62">
        <f t="shared" si="126"/>
        <v>905.13900000000001</v>
      </c>
      <c r="H737" s="86"/>
      <c r="I737" s="186"/>
      <c r="J737" s="238" t="s">
        <v>669</v>
      </c>
      <c r="K737" s="83" t="s">
        <v>231</v>
      </c>
      <c r="L737" s="100" t="s">
        <v>628</v>
      </c>
      <c r="M737" s="219" t="s">
        <v>1787</v>
      </c>
      <c r="N737" s="205" t="s">
        <v>1788</v>
      </c>
      <c r="O737" s="206">
        <v>1</v>
      </c>
      <c r="P737" s="226" t="s">
        <v>1725</v>
      </c>
      <c r="Q737" s="287">
        <v>1005.71</v>
      </c>
      <c r="R737" s="188">
        <v>0.1</v>
      </c>
      <c r="S737" s="62">
        <v>905.13900000000001</v>
      </c>
      <c r="T737" s="86"/>
      <c r="U737" s="186"/>
      <c r="V737" s="238" t="s">
        <v>669</v>
      </c>
      <c r="W737" s="83" t="s">
        <v>231</v>
      </c>
      <c r="X737" s="100" t="s">
        <v>628</v>
      </c>
    </row>
    <row r="738" spans="1:24" s="1" customFormat="1">
      <c r="A738" s="219" t="s">
        <v>1789</v>
      </c>
      <c r="B738" s="205" t="s">
        <v>1790</v>
      </c>
      <c r="C738" s="206">
        <v>1</v>
      </c>
      <c r="D738" s="226" t="s">
        <v>1725</v>
      </c>
      <c r="E738" s="287">
        <v>586.66999999999996</v>
      </c>
      <c r="F738" s="188">
        <f t="shared" ref="F738:F761" si="127">rv_10</f>
        <v>0.1</v>
      </c>
      <c r="G738" s="62">
        <f t="shared" si="126"/>
        <v>528.00299999999993</v>
      </c>
      <c r="H738" s="86"/>
      <c r="I738" s="186"/>
      <c r="J738" s="238" t="s">
        <v>669</v>
      </c>
      <c r="K738" s="83" t="s">
        <v>231</v>
      </c>
      <c r="L738" s="100" t="s">
        <v>628</v>
      </c>
      <c r="M738" s="219" t="s">
        <v>1789</v>
      </c>
      <c r="N738" s="205" t="s">
        <v>1790</v>
      </c>
      <c r="O738" s="206">
        <v>1</v>
      </c>
      <c r="P738" s="226" t="s">
        <v>1725</v>
      </c>
      <c r="Q738" s="287">
        <v>586.66999999999996</v>
      </c>
      <c r="R738" s="188">
        <v>0.1</v>
      </c>
      <c r="S738" s="62">
        <v>528.00299999999993</v>
      </c>
      <c r="T738" s="86"/>
      <c r="U738" s="186"/>
      <c r="V738" s="238" t="s">
        <v>669</v>
      </c>
      <c r="W738" s="83" t="s">
        <v>231</v>
      </c>
      <c r="X738" s="100" t="s">
        <v>628</v>
      </c>
    </row>
    <row r="739" spans="1:24" s="1" customFormat="1">
      <c r="A739" s="219" t="s">
        <v>1791</v>
      </c>
      <c r="B739" s="205" t="s">
        <v>1792</v>
      </c>
      <c r="C739" s="206">
        <v>1</v>
      </c>
      <c r="D739" s="226" t="s">
        <v>1725</v>
      </c>
      <c r="E739" s="287">
        <v>335.24</v>
      </c>
      <c r="F739" s="188">
        <f t="shared" si="127"/>
        <v>0.1</v>
      </c>
      <c r="G739" s="62">
        <f t="shared" si="126"/>
        <v>301.71600000000001</v>
      </c>
      <c r="H739" s="86"/>
      <c r="I739" s="186"/>
      <c r="J739" s="238" t="s">
        <v>669</v>
      </c>
      <c r="K739" s="83" t="s">
        <v>231</v>
      </c>
      <c r="L739" s="100" t="s">
        <v>628</v>
      </c>
      <c r="M739" s="219" t="s">
        <v>1791</v>
      </c>
      <c r="N739" s="205" t="s">
        <v>1792</v>
      </c>
      <c r="O739" s="206">
        <v>1</v>
      </c>
      <c r="P739" s="226" t="s">
        <v>1725</v>
      </c>
      <c r="Q739" s="287">
        <v>335.24</v>
      </c>
      <c r="R739" s="188">
        <v>0.1</v>
      </c>
      <c r="S739" s="62">
        <v>301.71600000000001</v>
      </c>
      <c r="T739" s="86"/>
      <c r="U739" s="186"/>
      <c r="V739" s="238" t="s">
        <v>669</v>
      </c>
      <c r="W739" s="83" t="s">
        <v>231</v>
      </c>
      <c r="X739" s="100" t="s">
        <v>628</v>
      </c>
    </row>
    <row r="740" spans="1:24" s="1" customFormat="1">
      <c r="A740" s="219" t="s">
        <v>1744</v>
      </c>
      <c r="B740" s="205" t="s">
        <v>1745</v>
      </c>
      <c r="C740" s="206">
        <v>1</v>
      </c>
      <c r="D740" s="226" t="s">
        <v>1725</v>
      </c>
      <c r="E740" s="287">
        <v>251.43</v>
      </c>
      <c r="F740" s="188">
        <f t="shared" si="127"/>
        <v>0.1</v>
      </c>
      <c r="G740" s="62">
        <f t="shared" si="126"/>
        <v>226.28700000000001</v>
      </c>
      <c r="H740" s="86"/>
      <c r="I740" s="186"/>
      <c r="J740" s="238" t="s">
        <v>669</v>
      </c>
      <c r="K740" s="83" t="s">
        <v>231</v>
      </c>
      <c r="L740" s="100" t="s">
        <v>628</v>
      </c>
      <c r="M740" s="219" t="s">
        <v>1744</v>
      </c>
      <c r="N740" s="205" t="s">
        <v>1745</v>
      </c>
      <c r="O740" s="206">
        <v>1</v>
      </c>
      <c r="P740" s="226" t="s">
        <v>1725</v>
      </c>
      <c r="Q740" s="287">
        <v>251.43</v>
      </c>
      <c r="R740" s="188">
        <v>0.1</v>
      </c>
      <c r="S740" s="62">
        <v>226.28700000000001</v>
      </c>
      <c r="T740" s="86"/>
      <c r="U740" s="186"/>
      <c r="V740" s="238" t="s">
        <v>669</v>
      </c>
      <c r="W740" s="83" t="s">
        <v>231</v>
      </c>
      <c r="X740" s="100" t="s">
        <v>628</v>
      </c>
    </row>
    <row r="741" spans="1:24" s="1" customFormat="1">
      <c r="A741" s="219" t="s">
        <v>1793</v>
      </c>
      <c r="B741" s="205" t="s">
        <v>1794</v>
      </c>
      <c r="C741" s="206">
        <v>1</v>
      </c>
      <c r="D741" s="226" t="s">
        <v>1725</v>
      </c>
      <c r="E741" s="287">
        <v>914.29</v>
      </c>
      <c r="F741" s="188">
        <f t="shared" si="127"/>
        <v>0.1</v>
      </c>
      <c r="G741" s="62">
        <f t="shared" si="126"/>
        <v>822.86099999999999</v>
      </c>
      <c r="H741" s="86"/>
      <c r="I741" s="186"/>
      <c r="J741" s="238" t="s">
        <v>669</v>
      </c>
      <c r="K741" s="83" t="s">
        <v>231</v>
      </c>
      <c r="L741" s="100" t="s">
        <v>628</v>
      </c>
      <c r="M741" s="219" t="s">
        <v>1793</v>
      </c>
      <c r="N741" s="205" t="s">
        <v>1794</v>
      </c>
      <c r="O741" s="206">
        <v>1</v>
      </c>
      <c r="P741" s="226" t="s">
        <v>1725</v>
      </c>
      <c r="Q741" s="287">
        <v>914.29</v>
      </c>
      <c r="R741" s="188">
        <v>0.1</v>
      </c>
      <c r="S741" s="62">
        <v>822.86099999999999</v>
      </c>
      <c r="T741" s="86"/>
      <c r="U741" s="186"/>
      <c r="V741" s="238" t="s">
        <v>669</v>
      </c>
      <c r="W741" s="83" t="s">
        <v>231</v>
      </c>
      <c r="X741" s="100" t="s">
        <v>628</v>
      </c>
    </row>
    <row r="742" spans="1:24" s="1" customFormat="1">
      <c r="A742" s="219" t="s">
        <v>1795</v>
      </c>
      <c r="B742" s="205" t="s">
        <v>1796</v>
      </c>
      <c r="C742" s="206">
        <v>1</v>
      </c>
      <c r="D742" s="226" t="s">
        <v>1725</v>
      </c>
      <c r="E742" s="287">
        <v>640</v>
      </c>
      <c r="F742" s="188">
        <f t="shared" si="127"/>
        <v>0.1</v>
      </c>
      <c r="G742" s="62">
        <f t="shared" si="126"/>
        <v>576</v>
      </c>
      <c r="H742" s="86"/>
      <c r="I742" s="186"/>
      <c r="J742" s="238" t="s">
        <v>669</v>
      </c>
      <c r="K742" s="83" t="s">
        <v>231</v>
      </c>
      <c r="L742" s="100" t="s">
        <v>628</v>
      </c>
      <c r="M742" s="219" t="s">
        <v>1795</v>
      </c>
      <c r="N742" s="205" t="s">
        <v>1796</v>
      </c>
      <c r="O742" s="206">
        <v>1</v>
      </c>
      <c r="P742" s="226" t="s">
        <v>1725</v>
      </c>
      <c r="Q742" s="287">
        <v>640</v>
      </c>
      <c r="R742" s="188">
        <v>0.1</v>
      </c>
      <c r="S742" s="62">
        <v>576</v>
      </c>
      <c r="T742" s="86"/>
      <c r="U742" s="186"/>
      <c r="V742" s="238" t="s">
        <v>669</v>
      </c>
      <c r="W742" s="83" t="s">
        <v>231</v>
      </c>
      <c r="X742" s="100" t="s">
        <v>628</v>
      </c>
    </row>
    <row r="743" spans="1:24" s="1" customFormat="1">
      <c r="A743" s="219" t="s">
        <v>1750</v>
      </c>
      <c r="B743" s="205" t="s">
        <v>1751</v>
      </c>
      <c r="C743" s="206">
        <v>1</v>
      </c>
      <c r="D743" s="226" t="s">
        <v>1725</v>
      </c>
      <c r="E743" s="287">
        <v>251.43</v>
      </c>
      <c r="F743" s="188">
        <f t="shared" si="127"/>
        <v>0.1</v>
      </c>
      <c r="G743" s="62">
        <f t="shared" si="126"/>
        <v>226.28700000000001</v>
      </c>
      <c r="H743" s="86"/>
      <c r="I743" s="186"/>
      <c r="J743" s="238" t="s">
        <v>669</v>
      </c>
      <c r="K743" s="83" t="s">
        <v>231</v>
      </c>
      <c r="L743" s="100" t="s">
        <v>628</v>
      </c>
      <c r="M743" s="219" t="s">
        <v>1750</v>
      </c>
      <c r="N743" s="205" t="s">
        <v>1751</v>
      </c>
      <c r="O743" s="206">
        <v>1</v>
      </c>
      <c r="P743" s="226" t="s">
        <v>1725</v>
      </c>
      <c r="Q743" s="287">
        <v>251.43</v>
      </c>
      <c r="R743" s="188">
        <v>0.1</v>
      </c>
      <c r="S743" s="62">
        <v>226.28700000000001</v>
      </c>
      <c r="T743" s="86"/>
      <c r="U743" s="186"/>
      <c r="V743" s="238" t="s">
        <v>669</v>
      </c>
      <c r="W743" s="83" t="s">
        <v>231</v>
      </c>
      <c r="X743" s="100" t="s">
        <v>628</v>
      </c>
    </row>
    <row r="744" spans="1:24" s="1" customFormat="1">
      <c r="A744" s="219" t="s">
        <v>1797</v>
      </c>
      <c r="B744" s="205" t="s">
        <v>1798</v>
      </c>
      <c r="C744" s="206">
        <v>1</v>
      </c>
      <c r="D744" s="226" t="s">
        <v>1725</v>
      </c>
      <c r="E744" s="287">
        <v>279.37</v>
      </c>
      <c r="F744" s="188">
        <f t="shared" si="127"/>
        <v>0.1</v>
      </c>
      <c r="G744" s="62">
        <f t="shared" si="126"/>
        <v>251.43299999999999</v>
      </c>
      <c r="H744" s="86"/>
      <c r="I744" s="186"/>
      <c r="J744" s="238" t="s">
        <v>669</v>
      </c>
      <c r="K744" s="83" t="s">
        <v>231</v>
      </c>
      <c r="L744" s="100" t="s">
        <v>628</v>
      </c>
      <c r="M744" s="219" t="s">
        <v>1797</v>
      </c>
      <c r="N744" s="205" t="s">
        <v>1798</v>
      </c>
      <c r="O744" s="206">
        <v>1</v>
      </c>
      <c r="P744" s="226" t="s">
        <v>1725</v>
      </c>
      <c r="Q744" s="287">
        <v>279.37</v>
      </c>
      <c r="R744" s="188">
        <v>0.1</v>
      </c>
      <c r="S744" s="62">
        <v>251.43299999999999</v>
      </c>
      <c r="T744" s="86"/>
      <c r="U744" s="186"/>
      <c r="V744" s="238" t="s">
        <v>669</v>
      </c>
      <c r="W744" s="83" t="s">
        <v>231</v>
      </c>
      <c r="X744" s="100" t="s">
        <v>628</v>
      </c>
    </row>
    <row r="745" spans="1:24" s="1" customFormat="1">
      <c r="A745" s="219" t="s">
        <v>1752</v>
      </c>
      <c r="B745" s="205" t="s">
        <v>1753</v>
      </c>
      <c r="C745" s="206">
        <v>1</v>
      </c>
      <c r="D745" s="226" t="s">
        <v>1725</v>
      </c>
      <c r="E745" s="287">
        <v>524.76</v>
      </c>
      <c r="F745" s="188">
        <f t="shared" si="127"/>
        <v>0.1</v>
      </c>
      <c r="G745" s="62">
        <f t="shared" si="126"/>
        <v>472.28399999999999</v>
      </c>
      <c r="H745" s="86"/>
      <c r="I745" s="186"/>
      <c r="J745" s="238" t="s">
        <v>669</v>
      </c>
      <c r="K745" s="83" t="s">
        <v>231</v>
      </c>
      <c r="L745" s="100" t="s">
        <v>628</v>
      </c>
      <c r="M745" s="219" t="s">
        <v>1752</v>
      </c>
      <c r="N745" s="205" t="s">
        <v>1753</v>
      </c>
      <c r="O745" s="206">
        <v>1</v>
      </c>
      <c r="P745" s="226" t="s">
        <v>1725</v>
      </c>
      <c r="Q745" s="287">
        <v>524.76</v>
      </c>
      <c r="R745" s="188">
        <v>0.1</v>
      </c>
      <c r="S745" s="62">
        <v>472.28399999999999</v>
      </c>
      <c r="T745" s="86"/>
      <c r="U745" s="186"/>
      <c r="V745" s="238" t="s">
        <v>669</v>
      </c>
      <c r="W745" s="83" t="s">
        <v>231</v>
      </c>
      <c r="X745" s="100" t="s">
        <v>628</v>
      </c>
    </row>
    <row r="746" spans="1:24" s="1" customFormat="1">
      <c r="A746" s="219" t="s">
        <v>1754</v>
      </c>
      <c r="B746" s="205" t="s">
        <v>1755</v>
      </c>
      <c r="C746" s="206">
        <v>1</v>
      </c>
      <c r="D746" s="226" t="s">
        <v>1725</v>
      </c>
      <c r="E746" s="287">
        <v>129.68</v>
      </c>
      <c r="F746" s="188">
        <f t="shared" si="127"/>
        <v>0.1</v>
      </c>
      <c r="G746" s="62">
        <f t="shared" si="126"/>
        <v>116.712</v>
      </c>
      <c r="H746" s="86"/>
      <c r="I746" s="186"/>
      <c r="J746" s="238" t="s">
        <v>669</v>
      </c>
      <c r="K746" s="83" t="s">
        <v>231</v>
      </c>
      <c r="L746" s="100" t="s">
        <v>628</v>
      </c>
      <c r="M746" s="219" t="s">
        <v>1754</v>
      </c>
      <c r="N746" s="205" t="s">
        <v>1755</v>
      </c>
      <c r="O746" s="206">
        <v>1</v>
      </c>
      <c r="P746" s="226" t="s">
        <v>1725</v>
      </c>
      <c r="Q746" s="287">
        <v>129.68</v>
      </c>
      <c r="R746" s="188">
        <v>0.1</v>
      </c>
      <c r="S746" s="62">
        <v>116.712</v>
      </c>
      <c r="T746" s="86"/>
      <c r="U746" s="186"/>
      <c r="V746" s="238" t="s">
        <v>669</v>
      </c>
      <c r="W746" s="83" t="s">
        <v>231</v>
      </c>
      <c r="X746" s="100" t="s">
        <v>628</v>
      </c>
    </row>
    <row r="747" spans="1:24" s="1" customFormat="1">
      <c r="A747" s="219" t="s">
        <v>1756</v>
      </c>
      <c r="B747" s="205" t="s">
        <v>1757</v>
      </c>
      <c r="C747" s="206">
        <v>1</v>
      </c>
      <c r="D747" s="226" t="s">
        <v>1725</v>
      </c>
      <c r="E747" s="287">
        <v>20.32</v>
      </c>
      <c r="F747" s="188">
        <f t="shared" si="127"/>
        <v>0.1</v>
      </c>
      <c r="G747" s="62">
        <f t="shared" si="126"/>
        <v>18.288</v>
      </c>
      <c r="H747" s="86"/>
      <c r="I747" s="186"/>
      <c r="J747" s="238" t="s">
        <v>669</v>
      </c>
      <c r="K747" s="83" t="s">
        <v>231</v>
      </c>
      <c r="L747" s="100" t="s">
        <v>628</v>
      </c>
      <c r="M747" s="219" t="s">
        <v>1756</v>
      </c>
      <c r="N747" s="205" t="s">
        <v>1757</v>
      </c>
      <c r="O747" s="206">
        <v>1</v>
      </c>
      <c r="P747" s="226" t="s">
        <v>1725</v>
      </c>
      <c r="Q747" s="287">
        <v>20.32</v>
      </c>
      <c r="R747" s="188">
        <v>0.1</v>
      </c>
      <c r="S747" s="62">
        <v>18.288</v>
      </c>
      <c r="T747" s="86"/>
      <c r="U747" s="186"/>
      <c r="V747" s="238" t="s">
        <v>669</v>
      </c>
      <c r="W747" s="83" t="s">
        <v>231</v>
      </c>
      <c r="X747" s="100" t="s">
        <v>628</v>
      </c>
    </row>
    <row r="748" spans="1:24" s="1" customFormat="1">
      <c r="A748" s="475" t="s">
        <v>1799</v>
      </c>
      <c r="B748" s="223" t="s">
        <v>1800</v>
      </c>
      <c r="C748" s="224">
        <v>1</v>
      </c>
      <c r="D748" s="96" t="s">
        <v>1725</v>
      </c>
      <c r="E748" s="316">
        <v>10741.59</v>
      </c>
      <c r="F748" s="225">
        <f t="shared" si="127"/>
        <v>0.1</v>
      </c>
      <c r="G748" s="97">
        <f t="shared" si="126"/>
        <v>9667.4310000000005</v>
      </c>
      <c r="H748" s="86"/>
      <c r="I748" s="186"/>
      <c r="J748" s="238" t="s">
        <v>669</v>
      </c>
      <c r="K748" s="83" t="s">
        <v>231</v>
      </c>
      <c r="L748" s="100" t="s">
        <v>628</v>
      </c>
      <c r="M748" s="475" t="s">
        <v>1799</v>
      </c>
      <c r="N748" s="223" t="s">
        <v>1800</v>
      </c>
      <c r="O748" s="224">
        <v>1</v>
      </c>
      <c r="P748" s="96" t="s">
        <v>1725</v>
      </c>
      <c r="Q748" s="316">
        <v>10741.59</v>
      </c>
      <c r="R748" s="225">
        <v>0.1</v>
      </c>
      <c r="S748" s="97">
        <v>9667.4310000000005</v>
      </c>
      <c r="T748" s="86"/>
      <c r="U748" s="186"/>
      <c r="V748" s="238" t="s">
        <v>669</v>
      </c>
      <c r="W748" s="83" t="s">
        <v>231</v>
      </c>
      <c r="X748" s="100" t="s">
        <v>628</v>
      </c>
    </row>
    <row r="749" spans="1:24" s="1" customFormat="1">
      <c r="A749" s="219" t="s">
        <v>1801</v>
      </c>
      <c r="B749" s="205" t="s">
        <v>1802</v>
      </c>
      <c r="C749" s="206">
        <v>1</v>
      </c>
      <c r="D749" s="226" t="s">
        <v>1725</v>
      </c>
      <c r="E749" s="287">
        <v>1340.95</v>
      </c>
      <c r="F749" s="188">
        <f t="shared" si="127"/>
        <v>0.1</v>
      </c>
      <c r="G749" s="62">
        <f t="shared" si="126"/>
        <v>1206.855</v>
      </c>
      <c r="H749" s="86"/>
      <c r="I749" s="186"/>
      <c r="J749" s="238" t="s">
        <v>669</v>
      </c>
      <c r="K749" s="83" t="s">
        <v>231</v>
      </c>
      <c r="L749" s="100" t="s">
        <v>628</v>
      </c>
      <c r="M749" s="219" t="s">
        <v>1801</v>
      </c>
      <c r="N749" s="205" t="s">
        <v>1802</v>
      </c>
      <c r="O749" s="206">
        <v>1</v>
      </c>
      <c r="P749" s="226" t="s">
        <v>1725</v>
      </c>
      <c r="Q749" s="287">
        <v>1340.95</v>
      </c>
      <c r="R749" s="188">
        <v>0.1</v>
      </c>
      <c r="S749" s="62">
        <v>1206.855</v>
      </c>
      <c r="T749" s="86"/>
      <c r="U749" s="186"/>
      <c r="V749" s="238" t="s">
        <v>669</v>
      </c>
      <c r="W749" s="83" t="s">
        <v>231</v>
      </c>
      <c r="X749" s="100" t="s">
        <v>628</v>
      </c>
    </row>
    <row r="750" spans="1:24" s="1" customFormat="1">
      <c r="A750" s="219" t="s">
        <v>1803</v>
      </c>
      <c r="B750" s="205" t="s">
        <v>1804</v>
      </c>
      <c r="C750" s="206">
        <v>1</v>
      </c>
      <c r="D750" s="226" t="s">
        <v>1725</v>
      </c>
      <c r="E750" s="287">
        <v>1340.95</v>
      </c>
      <c r="F750" s="188">
        <f t="shared" si="127"/>
        <v>0.1</v>
      </c>
      <c r="G750" s="62">
        <f t="shared" si="126"/>
        <v>1206.855</v>
      </c>
      <c r="H750" s="86"/>
      <c r="I750" s="186"/>
      <c r="J750" s="238" t="s">
        <v>669</v>
      </c>
      <c r="K750" s="83" t="s">
        <v>231</v>
      </c>
      <c r="L750" s="100" t="s">
        <v>628</v>
      </c>
      <c r="M750" s="219" t="s">
        <v>1803</v>
      </c>
      <c r="N750" s="205" t="s">
        <v>1804</v>
      </c>
      <c r="O750" s="206">
        <v>1</v>
      </c>
      <c r="P750" s="226" t="s">
        <v>1725</v>
      </c>
      <c r="Q750" s="287">
        <v>1340.95</v>
      </c>
      <c r="R750" s="188">
        <v>0.1</v>
      </c>
      <c r="S750" s="62">
        <v>1206.855</v>
      </c>
      <c r="T750" s="86"/>
      <c r="U750" s="186"/>
      <c r="V750" s="238" t="s">
        <v>669</v>
      </c>
      <c r="W750" s="83" t="s">
        <v>231</v>
      </c>
      <c r="X750" s="100" t="s">
        <v>628</v>
      </c>
    </row>
    <row r="751" spans="1:24" s="1" customFormat="1">
      <c r="A751" s="219" t="s">
        <v>1805</v>
      </c>
      <c r="B751" s="205" t="s">
        <v>1806</v>
      </c>
      <c r="C751" s="206">
        <v>1</v>
      </c>
      <c r="D751" s="226" t="s">
        <v>1725</v>
      </c>
      <c r="E751" s="287">
        <v>656.51</v>
      </c>
      <c r="F751" s="188">
        <f t="shared" si="127"/>
        <v>0.1</v>
      </c>
      <c r="G751" s="62">
        <f t="shared" si="126"/>
        <v>590.85900000000004</v>
      </c>
      <c r="H751" s="86"/>
      <c r="I751" s="186"/>
      <c r="J751" s="238" t="s">
        <v>669</v>
      </c>
      <c r="K751" s="83" t="s">
        <v>231</v>
      </c>
      <c r="L751" s="100" t="s">
        <v>628</v>
      </c>
      <c r="M751" s="219" t="s">
        <v>1805</v>
      </c>
      <c r="N751" s="205" t="s">
        <v>1806</v>
      </c>
      <c r="O751" s="206">
        <v>1</v>
      </c>
      <c r="P751" s="226" t="s">
        <v>1725</v>
      </c>
      <c r="Q751" s="287">
        <v>656.51</v>
      </c>
      <c r="R751" s="188">
        <v>0.1</v>
      </c>
      <c r="S751" s="62">
        <v>590.85900000000004</v>
      </c>
      <c r="T751" s="86"/>
      <c r="U751" s="186"/>
      <c r="V751" s="238" t="s">
        <v>669</v>
      </c>
      <c r="W751" s="83" t="s">
        <v>231</v>
      </c>
      <c r="X751" s="100" t="s">
        <v>628</v>
      </c>
    </row>
    <row r="752" spans="1:24" s="1" customFormat="1">
      <c r="A752" s="219" t="s">
        <v>1807</v>
      </c>
      <c r="B752" s="205" t="s">
        <v>1808</v>
      </c>
      <c r="C752" s="206">
        <v>1</v>
      </c>
      <c r="D752" s="226" t="s">
        <v>1725</v>
      </c>
      <c r="E752" s="287">
        <v>446.98</v>
      </c>
      <c r="F752" s="188">
        <f t="shared" si="127"/>
        <v>0.1</v>
      </c>
      <c r="G752" s="62">
        <f t="shared" si="126"/>
        <v>402.28200000000004</v>
      </c>
      <c r="H752" s="86"/>
      <c r="I752" s="186"/>
      <c r="J752" s="238" t="s">
        <v>669</v>
      </c>
      <c r="K752" s="83" t="s">
        <v>231</v>
      </c>
      <c r="L752" s="100" t="s">
        <v>628</v>
      </c>
      <c r="M752" s="219" t="s">
        <v>1807</v>
      </c>
      <c r="N752" s="205" t="s">
        <v>1808</v>
      </c>
      <c r="O752" s="206">
        <v>1</v>
      </c>
      <c r="P752" s="226" t="s">
        <v>1725</v>
      </c>
      <c r="Q752" s="287">
        <v>446.98</v>
      </c>
      <c r="R752" s="188">
        <v>0.1</v>
      </c>
      <c r="S752" s="62">
        <v>402.28200000000004</v>
      </c>
      <c r="T752" s="86"/>
      <c r="U752" s="186"/>
      <c r="V752" s="238" t="s">
        <v>669</v>
      </c>
      <c r="W752" s="83" t="s">
        <v>231</v>
      </c>
      <c r="X752" s="100" t="s">
        <v>628</v>
      </c>
    </row>
    <row r="753" spans="1:24" s="1" customFormat="1">
      <c r="A753" s="219" t="s">
        <v>1744</v>
      </c>
      <c r="B753" s="205" t="s">
        <v>1745</v>
      </c>
      <c r="C753" s="206">
        <v>1</v>
      </c>
      <c r="D753" s="226" t="s">
        <v>1725</v>
      </c>
      <c r="E753" s="287">
        <v>251.43</v>
      </c>
      <c r="F753" s="188">
        <f t="shared" si="127"/>
        <v>0.1</v>
      </c>
      <c r="G753" s="62">
        <f t="shared" si="126"/>
        <v>226.28700000000001</v>
      </c>
      <c r="H753" s="86"/>
      <c r="I753" s="186"/>
      <c r="J753" s="238" t="s">
        <v>669</v>
      </c>
      <c r="K753" s="83" t="s">
        <v>231</v>
      </c>
      <c r="L753" s="100" t="s">
        <v>628</v>
      </c>
      <c r="M753" s="219" t="s">
        <v>1744</v>
      </c>
      <c r="N753" s="205" t="s">
        <v>1745</v>
      </c>
      <c r="O753" s="206">
        <v>1</v>
      </c>
      <c r="P753" s="226" t="s">
        <v>1725</v>
      </c>
      <c r="Q753" s="287">
        <v>251.43</v>
      </c>
      <c r="R753" s="188">
        <v>0.1</v>
      </c>
      <c r="S753" s="62">
        <v>226.28700000000001</v>
      </c>
      <c r="T753" s="86"/>
      <c r="U753" s="186"/>
      <c r="V753" s="238" t="s">
        <v>669</v>
      </c>
      <c r="W753" s="83" t="s">
        <v>231</v>
      </c>
      <c r="X753" s="100" t="s">
        <v>628</v>
      </c>
    </row>
    <row r="754" spans="1:24" s="1" customFormat="1">
      <c r="A754" s="219" t="s">
        <v>1793</v>
      </c>
      <c r="B754" s="205" t="s">
        <v>1794</v>
      </c>
      <c r="C754" s="206">
        <v>1</v>
      </c>
      <c r="D754" s="226" t="s">
        <v>1725</v>
      </c>
      <c r="E754" s="287">
        <v>914.29</v>
      </c>
      <c r="F754" s="188">
        <f t="shared" si="127"/>
        <v>0.1</v>
      </c>
      <c r="G754" s="62">
        <f t="shared" si="126"/>
        <v>822.86099999999999</v>
      </c>
      <c r="H754" s="86"/>
      <c r="I754" s="186"/>
      <c r="J754" s="238" t="s">
        <v>669</v>
      </c>
      <c r="K754" s="83" t="s">
        <v>231</v>
      </c>
      <c r="L754" s="100" t="s">
        <v>628</v>
      </c>
      <c r="M754" s="219" t="s">
        <v>1793</v>
      </c>
      <c r="N754" s="205" t="s">
        <v>1794</v>
      </c>
      <c r="O754" s="206">
        <v>1</v>
      </c>
      <c r="P754" s="226" t="s">
        <v>1725</v>
      </c>
      <c r="Q754" s="287">
        <v>914.29</v>
      </c>
      <c r="R754" s="188">
        <v>0.1</v>
      </c>
      <c r="S754" s="62">
        <v>822.86099999999999</v>
      </c>
      <c r="T754" s="86"/>
      <c r="U754" s="186"/>
      <c r="V754" s="238" t="s">
        <v>669</v>
      </c>
      <c r="W754" s="83" t="s">
        <v>231</v>
      </c>
      <c r="X754" s="100" t="s">
        <v>628</v>
      </c>
    </row>
    <row r="755" spans="1:24" s="1" customFormat="1">
      <c r="A755" s="219" t="s">
        <v>1809</v>
      </c>
      <c r="B755" s="205" t="s">
        <v>1796</v>
      </c>
      <c r="C755" s="206">
        <v>1</v>
      </c>
      <c r="D755" s="226" t="s">
        <v>1725</v>
      </c>
      <c r="E755" s="287">
        <v>761.9</v>
      </c>
      <c r="F755" s="188">
        <f t="shared" si="127"/>
        <v>0.1</v>
      </c>
      <c r="G755" s="62">
        <f t="shared" si="126"/>
        <v>685.71</v>
      </c>
      <c r="H755" s="86"/>
      <c r="I755" s="186"/>
      <c r="J755" s="238" t="s">
        <v>669</v>
      </c>
      <c r="K755" s="83" t="s">
        <v>231</v>
      </c>
      <c r="L755" s="100" t="s">
        <v>628</v>
      </c>
      <c r="M755" s="219" t="s">
        <v>1809</v>
      </c>
      <c r="N755" s="205" t="s">
        <v>1796</v>
      </c>
      <c r="O755" s="206">
        <v>1</v>
      </c>
      <c r="P755" s="226" t="s">
        <v>1725</v>
      </c>
      <c r="Q755" s="287">
        <v>761.9</v>
      </c>
      <c r="R755" s="188">
        <v>0.1</v>
      </c>
      <c r="S755" s="62">
        <v>685.71</v>
      </c>
      <c r="T755" s="86"/>
      <c r="U755" s="186"/>
      <c r="V755" s="238" t="s">
        <v>669</v>
      </c>
      <c r="W755" s="83" t="s">
        <v>231</v>
      </c>
      <c r="X755" s="100" t="s">
        <v>628</v>
      </c>
    </row>
    <row r="756" spans="1:24" s="1" customFormat="1">
      <c r="A756" s="219" t="s">
        <v>1750</v>
      </c>
      <c r="B756" s="205" t="s">
        <v>1751</v>
      </c>
      <c r="C756" s="206">
        <v>1</v>
      </c>
      <c r="D756" s="226" t="s">
        <v>1725</v>
      </c>
      <c r="E756" s="287">
        <v>251.43</v>
      </c>
      <c r="F756" s="188">
        <f t="shared" si="127"/>
        <v>0.1</v>
      </c>
      <c r="G756" s="62">
        <f t="shared" si="126"/>
        <v>226.28700000000001</v>
      </c>
      <c r="H756" s="86"/>
      <c r="I756" s="186"/>
      <c r="J756" s="238" t="s">
        <v>669</v>
      </c>
      <c r="K756" s="83" t="s">
        <v>231</v>
      </c>
      <c r="L756" s="100" t="s">
        <v>628</v>
      </c>
      <c r="M756" s="219" t="s">
        <v>1750</v>
      </c>
      <c r="N756" s="205" t="s">
        <v>1751</v>
      </c>
      <c r="O756" s="206">
        <v>1</v>
      </c>
      <c r="P756" s="226" t="s">
        <v>1725</v>
      </c>
      <c r="Q756" s="287">
        <v>251.43</v>
      </c>
      <c r="R756" s="188">
        <v>0.1</v>
      </c>
      <c r="S756" s="62">
        <v>226.28700000000001</v>
      </c>
      <c r="T756" s="86"/>
      <c r="U756" s="186"/>
      <c r="V756" s="238" t="s">
        <v>669</v>
      </c>
      <c r="W756" s="83" t="s">
        <v>231</v>
      </c>
      <c r="X756" s="100" t="s">
        <v>628</v>
      </c>
    </row>
    <row r="757" spans="1:24" s="1" customFormat="1">
      <c r="A757" s="219" t="s">
        <v>1797</v>
      </c>
      <c r="B757" s="205" t="s">
        <v>1798</v>
      </c>
      <c r="C757" s="206">
        <v>1</v>
      </c>
      <c r="D757" s="226" t="s">
        <v>1725</v>
      </c>
      <c r="E757" s="287">
        <v>279.37</v>
      </c>
      <c r="F757" s="188">
        <f t="shared" si="127"/>
        <v>0.1</v>
      </c>
      <c r="G757" s="62">
        <f t="shared" si="126"/>
        <v>251.43299999999999</v>
      </c>
      <c r="H757" s="86"/>
      <c r="I757" s="186"/>
      <c r="J757" s="238" t="s">
        <v>669</v>
      </c>
      <c r="K757" s="83" t="s">
        <v>231</v>
      </c>
      <c r="L757" s="100" t="s">
        <v>628</v>
      </c>
      <c r="M757" s="219" t="s">
        <v>1797</v>
      </c>
      <c r="N757" s="205" t="s">
        <v>1798</v>
      </c>
      <c r="O757" s="206">
        <v>1</v>
      </c>
      <c r="P757" s="226" t="s">
        <v>1725</v>
      </c>
      <c r="Q757" s="287">
        <v>279.37</v>
      </c>
      <c r="R757" s="188">
        <v>0.1</v>
      </c>
      <c r="S757" s="62">
        <v>251.43299999999999</v>
      </c>
      <c r="T757" s="86"/>
      <c r="U757" s="186"/>
      <c r="V757" s="238" t="s">
        <v>669</v>
      </c>
      <c r="W757" s="83" t="s">
        <v>231</v>
      </c>
      <c r="X757" s="100" t="s">
        <v>628</v>
      </c>
    </row>
    <row r="758" spans="1:24" s="1" customFormat="1">
      <c r="A758" s="219" t="s">
        <v>1752</v>
      </c>
      <c r="B758" s="205" t="s">
        <v>1753</v>
      </c>
      <c r="C758" s="206">
        <v>1</v>
      </c>
      <c r="D758" s="226" t="s">
        <v>1725</v>
      </c>
      <c r="E758" s="287">
        <v>524.76</v>
      </c>
      <c r="F758" s="188">
        <f t="shared" si="127"/>
        <v>0.1</v>
      </c>
      <c r="G758" s="62">
        <f t="shared" si="126"/>
        <v>472.28399999999999</v>
      </c>
      <c r="H758" s="86"/>
      <c r="I758" s="186"/>
      <c r="J758" s="238" t="s">
        <v>669</v>
      </c>
      <c r="K758" s="83" t="s">
        <v>231</v>
      </c>
      <c r="L758" s="100" t="s">
        <v>628</v>
      </c>
      <c r="M758" s="219" t="s">
        <v>1752</v>
      </c>
      <c r="N758" s="205" t="s">
        <v>1753</v>
      </c>
      <c r="O758" s="206">
        <v>1</v>
      </c>
      <c r="P758" s="226" t="s">
        <v>1725</v>
      </c>
      <c r="Q758" s="287">
        <v>524.76</v>
      </c>
      <c r="R758" s="188">
        <v>0.1</v>
      </c>
      <c r="S758" s="62">
        <v>472.28399999999999</v>
      </c>
      <c r="T758" s="86"/>
      <c r="U758" s="186"/>
      <c r="V758" s="238" t="s">
        <v>669</v>
      </c>
      <c r="W758" s="83" t="s">
        <v>231</v>
      </c>
      <c r="X758" s="100" t="s">
        <v>628</v>
      </c>
    </row>
    <row r="759" spans="1:24" s="1" customFormat="1">
      <c r="A759" s="219" t="s">
        <v>1754</v>
      </c>
      <c r="B759" s="205" t="s">
        <v>1755</v>
      </c>
      <c r="C759" s="206">
        <v>1</v>
      </c>
      <c r="D759" s="226" t="s">
        <v>1725</v>
      </c>
      <c r="E759" s="287">
        <v>129.68</v>
      </c>
      <c r="F759" s="188">
        <f t="shared" si="127"/>
        <v>0.1</v>
      </c>
      <c r="G759" s="62">
        <f t="shared" si="126"/>
        <v>116.712</v>
      </c>
      <c r="H759" s="86"/>
      <c r="I759" s="186"/>
      <c r="J759" s="238" t="s">
        <v>669</v>
      </c>
      <c r="K759" s="83" t="s">
        <v>231</v>
      </c>
      <c r="L759" s="100" t="s">
        <v>628</v>
      </c>
      <c r="M759" s="219" t="s">
        <v>1754</v>
      </c>
      <c r="N759" s="205" t="s">
        <v>1755</v>
      </c>
      <c r="O759" s="206">
        <v>1</v>
      </c>
      <c r="P759" s="226" t="s">
        <v>1725</v>
      </c>
      <c r="Q759" s="287">
        <v>129.68</v>
      </c>
      <c r="R759" s="188">
        <v>0.1</v>
      </c>
      <c r="S759" s="62">
        <v>116.712</v>
      </c>
      <c r="T759" s="86"/>
      <c r="U759" s="186"/>
      <c r="V759" s="238" t="s">
        <v>669</v>
      </c>
      <c r="W759" s="83" t="s">
        <v>231</v>
      </c>
      <c r="X759" s="100" t="s">
        <v>628</v>
      </c>
    </row>
    <row r="760" spans="1:24" s="1" customFormat="1">
      <c r="A760" s="219" t="s">
        <v>1756</v>
      </c>
      <c r="B760" s="205" t="s">
        <v>1757</v>
      </c>
      <c r="C760" s="206">
        <v>1</v>
      </c>
      <c r="D760" s="226" t="s">
        <v>1725</v>
      </c>
      <c r="E760" s="287">
        <v>20.32</v>
      </c>
      <c r="F760" s="188">
        <f t="shared" si="127"/>
        <v>0.1</v>
      </c>
      <c r="G760" s="62">
        <f t="shared" si="126"/>
        <v>18.288</v>
      </c>
      <c r="H760" s="86"/>
      <c r="I760" s="186"/>
      <c r="J760" s="238" t="s">
        <v>669</v>
      </c>
      <c r="K760" s="83" t="s">
        <v>231</v>
      </c>
      <c r="L760" s="100" t="s">
        <v>628</v>
      </c>
      <c r="M760" s="219" t="s">
        <v>1756</v>
      </c>
      <c r="N760" s="205" t="s">
        <v>1757</v>
      </c>
      <c r="O760" s="206">
        <v>1</v>
      </c>
      <c r="P760" s="226" t="s">
        <v>1725</v>
      </c>
      <c r="Q760" s="287">
        <v>20.32</v>
      </c>
      <c r="R760" s="188">
        <v>0.1</v>
      </c>
      <c r="S760" s="62">
        <v>18.288</v>
      </c>
      <c r="T760" s="86"/>
      <c r="U760" s="186"/>
      <c r="V760" s="238" t="s">
        <v>669</v>
      </c>
      <c r="W760" s="83" t="s">
        <v>231</v>
      </c>
      <c r="X760" s="100" t="s">
        <v>628</v>
      </c>
    </row>
    <row r="761" spans="1:24" s="1" customFormat="1">
      <c r="A761" s="475" t="s">
        <v>1810</v>
      </c>
      <c r="B761" s="223" t="s">
        <v>1811</v>
      </c>
      <c r="C761" s="224">
        <v>1</v>
      </c>
      <c r="D761" s="96" t="s">
        <v>1725</v>
      </c>
      <c r="E761" s="316">
        <v>3174.6</v>
      </c>
      <c r="F761" s="225">
        <f t="shared" si="127"/>
        <v>0.1</v>
      </c>
      <c r="G761" s="97">
        <f t="shared" si="126"/>
        <v>2857.14</v>
      </c>
      <c r="H761" s="86"/>
      <c r="I761" s="186"/>
      <c r="J761" s="238" t="s">
        <v>669</v>
      </c>
      <c r="K761" s="83" t="s">
        <v>231</v>
      </c>
      <c r="L761" s="100" t="s">
        <v>628</v>
      </c>
      <c r="M761" s="475" t="s">
        <v>1810</v>
      </c>
      <c r="N761" s="223" t="s">
        <v>1811</v>
      </c>
      <c r="O761" s="224">
        <v>1</v>
      </c>
      <c r="P761" s="96" t="s">
        <v>1725</v>
      </c>
      <c r="Q761" s="316">
        <v>3174.6</v>
      </c>
      <c r="R761" s="225">
        <v>0.1</v>
      </c>
      <c r="S761" s="97">
        <v>2857.14</v>
      </c>
      <c r="T761" s="86"/>
      <c r="U761" s="186"/>
      <c r="V761" s="238" t="s">
        <v>669</v>
      </c>
      <c r="W761" s="83" t="s">
        <v>231</v>
      </c>
      <c r="X761" s="100" t="s">
        <v>628</v>
      </c>
    </row>
    <row r="762" spans="1:24" s="1" customFormat="1">
      <c r="A762" s="219" t="s">
        <v>1812</v>
      </c>
      <c r="B762" s="205" t="s">
        <v>1813</v>
      </c>
      <c r="C762" s="206">
        <v>1</v>
      </c>
      <c r="D762" s="226" t="s">
        <v>1725</v>
      </c>
      <c r="E762" s="287">
        <v>0</v>
      </c>
      <c r="F762" s="188"/>
      <c r="G762" s="62">
        <f t="shared" si="126"/>
        <v>0</v>
      </c>
      <c r="H762" s="86"/>
      <c r="I762" s="186"/>
      <c r="J762" s="238" t="s">
        <v>669</v>
      </c>
      <c r="K762" s="83" t="s">
        <v>231</v>
      </c>
      <c r="L762" s="100" t="s">
        <v>628</v>
      </c>
      <c r="M762" s="219" t="s">
        <v>1812</v>
      </c>
      <c r="N762" s="205" t="s">
        <v>1813</v>
      </c>
      <c r="O762" s="206">
        <v>1</v>
      </c>
      <c r="P762" s="226" t="s">
        <v>1725</v>
      </c>
      <c r="Q762" s="287">
        <v>0</v>
      </c>
      <c r="R762" s="188"/>
      <c r="S762" s="62">
        <v>0</v>
      </c>
      <c r="T762" s="86"/>
      <c r="U762" s="186"/>
      <c r="V762" s="238" t="s">
        <v>669</v>
      </c>
      <c r="W762" s="83" t="s">
        <v>231</v>
      </c>
      <c r="X762" s="100" t="s">
        <v>628</v>
      </c>
    </row>
    <row r="763" spans="1:24" s="1" customFormat="1">
      <c r="A763" s="219" t="s">
        <v>1814</v>
      </c>
      <c r="B763" s="205" t="s">
        <v>1815</v>
      </c>
      <c r="C763" s="206">
        <v>1</v>
      </c>
      <c r="D763" s="226" t="s">
        <v>1725</v>
      </c>
      <c r="E763" s="287">
        <v>431.75</v>
      </c>
      <c r="F763" s="188">
        <f t="shared" ref="F763:F769" si="128">rv_10</f>
        <v>0.1</v>
      </c>
      <c r="G763" s="62">
        <f t="shared" ref="G763:G794" si="129">E763-(E763*F763)</f>
        <v>388.57499999999999</v>
      </c>
      <c r="H763" s="86"/>
      <c r="I763" s="186"/>
      <c r="J763" s="238" t="s">
        <v>669</v>
      </c>
      <c r="K763" s="83" t="s">
        <v>231</v>
      </c>
      <c r="L763" s="100" t="s">
        <v>628</v>
      </c>
      <c r="M763" s="219" t="s">
        <v>1814</v>
      </c>
      <c r="N763" s="205" t="s">
        <v>1815</v>
      </c>
      <c r="O763" s="206">
        <v>1</v>
      </c>
      <c r="P763" s="226" t="s">
        <v>1725</v>
      </c>
      <c r="Q763" s="287">
        <v>431.75</v>
      </c>
      <c r="R763" s="188">
        <v>0.1</v>
      </c>
      <c r="S763" s="62">
        <v>388.57499999999999</v>
      </c>
      <c r="T763" s="86"/>
      <c r="U763" s="186"/>
      <c r="V763" s="238" t="s">
        <v>669</v>
      </c>
      <c r="W763" s="83" t="s">
        <v>231</v>
      </c>
      <c r="X763" s="100" t="s">
        <v>628</v>
      </c>
    </row>
    <row r="764" spans="1:24" s="1" customFormat="1">
      <c r="A764" s="219" t="s">
        <v>1816</v>
      </c>
      <c r="B764" s="205" t="s">
        <v>1817</v>
      </c>
      <c r="C764" s="206">
        <v>1</v>
      </c>
      <c r="D764" s="226" t="s">
        <v>1725</v>
      </c>
      <c r="E764" s="287">
        <v>1015.87</v>
      </c>
      <c r="F764" s="188">
        <f t="shared" si="128"/>
        <v>0.1</v>
      </c>
      <c r="G764" s="62">
        <f t="shared" si="129"/>
        <v>914.28300000000002</v>
      </c>
      <c r="H764" s="86"/>
      <c r="I764" s="186"/>
      <c r="J764" s="238" t="s">
        <v>669</v>
      </c>
      <c r="K764" s="83" t="s">
        <v>231</v>
      </c>
      <c r="L764" s="100" t="s">
        <v>628</v>
      </c>
      <c r="M764" s="219" t="s">
        <v>1816</v>
      </c>
      <c r="N764" s="205" t="s">
        <v>1817</v>
      </c>
      <c r="O764" s="206">
        <v>1</v>
      </c>
      <c r="P764" s="226" t="s">
        <v>1725</v>
      </c>
      <c r="Q764" s="287">
        <v>1015.87</v>
      </c>
      <c r="R764" s="188">
        <v>0.1</v>
      </c>
      <c r="S764" s="62">
        <v>914.28300000000002</v>
      </c>
      <c r="T764" s="86"/>
      <c r="U764" s="186"/>
      <c r="V764" s="238" t="s">
        <v>669</v>
      </c>
      <c r="W764" s="83" t="s">
        <v>231</v>
      </c>
      <c r="X764" s="100" t="s">
        <v>628</v>
      </c>
    </row>
    <row r="765" spans="1:24" s="1" customFormat="1">
      <c r="A765" s="219" t="s">
        <v>1818</v>
      </c>
      <c r="B765" s="205" t="s">
        <v>1819</v>
      </c>
      <c r="C765" s="206">
        <v>1</v>
      </c>
      <c r="D765" s="226" t="s">
        <v>1725</v>
      </c>
      <c r="E765" s="287">
        <v>1600</v>
      </c>
      <c r="F765" s="188">
        <f t="shared" si="128"/>
        <v>0.1</v>
      </c>
      <c r="G765" s="62">
        <f t="shared" si="129"/>
        <v>1440</v>
      </c>
      <c r="H765" s="86"/>
      <c r="I765" s="186"/>
      <c r="J765" s="238" t="s">
        <v>669</v>
      </c>
      <c r="K765" s="83" t="s">
        <v>231</v>
      </c>
      <c r="L765" s="100" t="s">
        <v>628</v>
      </c>
      <c r="M765" s="219" t="s">
        <v>1818</v>
      </c>
      <c r="N765" s="205" t="s">
        <v>1819</v>
      </c>
      <c r="O765" s="206">
        <v>1</v>
      </c>
      <c r="P765" s="226" t="s">
        <v>1725</v>
      </c>
      <c r="Q765" s="287">
        <v>1600</v>
      </c>
      <c r="R765" s="188">
        <v>0.1</v>
      </c>
      <c r="S765" s="62">
        <v>1440</v>
      </c>
      <c r="T765" s="86"/>
      <c r="U765" s="186"/>
      <c r="V765" s="238" t="s">
        <v>669</v>
      </c>
      <c r="W765" s="83" t="s">
        <v>231</v>
      </c>
      <c r="X765" s="100" t="s">
        <v>628</v>
      </c>
    </row>
    <row r="766" spans="1:24" s="1" customFormat="1">
      <c r="A766" s="219" t="s">
        <v>1820</v>
      </c>
      <c r="B766" s="205" t="s">
        <v>1821</v>
      </c>
      <c r="C766" s="206">
        <v>1</v>
      </c>
      <c r="D766" s="226" t="s">
        <v>1725</v>
      </c>
      <c r="E766" s="287">
        <v>2679.37</v>
      </c>
      <c r="F766" s="188">
        <f t="shared" si="128"/>
        <v>0.1</v>
      </c>
      <c r="G766" s="62">
        <f t="shared" si="129"/>
        <v>2411.433</v>
      </c>
      <c r="H766" s="86"/>
      <c r="I766" s="186"/>
      <c r="J766" s="238" t="s">
        <v>669</v>
      </c>
      <c r="K766" s="83" t="s">
        <v>231</v>
      </c>
      <c r="L766" s="100" t="s">
        <v>628</v>
      </c>
      <c r="M766" s="219" t="s">
        <v>1820</v>
      </c>
      <c r="N766" s="205" t="s">
        <v>1821</v>
      </c>
      <c r="O766" s="206">
        <v>1</v>
      </c>
      <c r="P766" s="226" t="s">
        <v>1725</v>
      </c>
      <c r="Q766" s="287">
        <v>2679.37</v>
      </c>
      <c r="R766" s="188">
        <v>0.1</v>
      </c>
      <c r="S766" s="62">
        <v>2411.433</v>
      </c>
      <c r="T766" s="86"/>
      <c r="U766" s="186"/>
      <c r="V766" s="238" t="s">
        <v>669</v>
      </c>
      <c r="W766" s="83" t="s">
        <v>231</v>
      </c>
      <c r="X766" s="100" t="s">
        <v>628</v>
      </c>
    </row>
    <row r="767" spans="1:24" s="1" customFormat="1">
      <c r="A767" s="219" t="s">
        <v>1822</v>
      </c>
      <c r="B767" s="205" t="s">
        <v>1823</v>
      </c>
      <c r="C767" s="206">
        <v>1</v>
      </c>
      <c r="D767" s="226" t="s">
        <v>1725</v>
      </c>
      <c r="E767" s="287">
        <v>609.52</v>
      </c>
      <c r="F767" s="188">
        <f t="shared" si="128"/>
        <v>0.1</v>
      </c>
      <c r="G767" s="62">
        <f t="shared" si="129"/>
        <v>548.56799999999998</v>
      </c>
      <c r="H767" s="86"/>
      <c r="I767" s="186"/>
      <c r="J767" s="238" t="s">
        <v>669</v>
      </c>
      <c r="K767" s="83" t="s">
        <v>231</v>
      </c>
      <c r="L767" s="100" t="s">
        <v>628</v>
      </c>
      <c r="M767" s="219" t="s">
        <v>1822</v>
      </c>
      <c r="N767" s="205" t="s">
        <v>1823</v>
      </c>
      <c r="O767" s="206">
        <v>1</v>
      </c>
      <c r="P767" s="226" t="s">
        <v>1725</v>
      </c>
      <c r="Q767" s="287">
        <v>609.52</v>
      </c>
      <c r="R767" s="188">
        <v>0.1</v>
      </c>
      <c r="S767" s="62">
        <v>548.56799999999998</v>
      </c>
      <c r="T767" s="86"/>
      <c r="U767" s="186"/>
      <c r="V767" s="238" t="s">
        <v>669</v>
      </c>
      <c r="W767" s="83" t="s">
        <v>231</v>
      </c>
      <c r="X767" s="100" t="s">
        <v>628</v>
      </c>
    </row>
    <row r="768" spans="1:24" s="1" customFormat="1">
      <c r="A768" s="219" t="s">
        <v>1824</v>
      </c>
      <c r="B768" s="205" t="s">
        <v>1825</v>
      </c>
      <c r="C768" s="206">
        <v>1</v>
      </c>
      <c r="D768" s="226" t="s">
        <v>1725</v>
      </c>
      <c r="E768" s="287">
        <v>26.98</v>
      </c>
      <c r="F768" s="188">
        <f t="shared" si="128"/>
        <v>0.1</v>
      </c>
      <c r="G768" s="62">
        <f t="shared" si="129"/>
        <v>24.282</v>
      </c>
      <c r="H768" s="86"/>
      <c r="I768" s="186"/>
      <c r="J768" s="238" t="s">
        <v>669</v>
      </c>
      <c r="K768" s="83" t="s">
        <v>231</v>
      </c>
      <c r="L768" s="100" t="s">
        <v>628</v>
      </c>
      <c r="M768" s="219" t="s">
        <v>1824</v>
      </c>
      <c r="N768" s="205" t="s">
        <v>1825</v>
      </c>
      <c r="O768" s="206">
        <v>1</v>
      </c>
      <c r="P768" s="226" t="s">
        <v>1725</v>
      </c>
      <c r="Q768" s="287">
        <v>26.98</v>
      </c>
      <c r="R768" s="188">
        <v>0.1</v>
      </c>
      <c r="S768" s="62">
        <v>24.282</v>
      </c>
      <c r="T768" s="86"/>
      <c r="U768" s="186"/>
      <c r="V768" s="238" t="s">
        <v>669</v>
      </c>
      <c r="W768" s="83" t="s">
        <v>231</v>
      </c>
      <c r="X768" s="100" t="s">
        <v>628</v>
      </c>
    </row>
    <row r="769" spans="1:24" s="1" customFormat="1">
      <c r="A769" s="475" t="s">
        <v>1826</v>
      </c>
      <c r="B769" s="223" t="s">
        <v>1827</v>
      </c>
      <c r="C769" s="224">
        <v>1</v>
      </c>
      <c r="D769" s="96" t="s">
        <v>1725</v>
      </c>
      <c r="E769" s="316">
        <v>3530.16</v>
      </c>
      <c r="F769" s="225">
        <f t="shared" si="128"/>
        <v>0.1</v>
      </c>
      <c r="G769" s="97">
        <f t="shared" si="129"/>
        <v>3177.1439999999998</v>
      </c>
      <c r="H769" s="86"/>
      <c r="I769" s="186"/>
      <c r="J769" s="238" t="s">
        <v>669</v>
      </c>
      <c r="K769" s="83" t="s">
        <v>231</v>
      </c>
      <c r="L769" s="100" t="s">
        <v>628</v>
      </c>
      <c r="M769" s="475" t="s">
        <v>1826</v>
      </c>
      <c r="N769" s="223" t="s">
        <v>1827</v>
      </c>
      <c r="O769" s="224">
        <v>1</v>
      </c>
      <c r="P769" s="96" t="s">
        <v>1725</v>
      </c>
      <c r="Q769" s="316">
        <v>3530.16</v>
      </c>
      <c r="R769" s="225">
        <v>0.1</v>
      </c>
      <c r="S769" s="97">
        <v>3177.1439999999998</v>
      </c>
      <c r="T769" s="86"/>
      <c r="U769" s="186"/>
      <c r="V769" s="238" t="s">
        <v>669</v>
      </c>
      <c r="W769" s="83" t="s">
        <v>231</v>
      </c>
      <c r="X769" s="100" t="s">
        <v>628</v>
      </c>
    </row>
    <row r="770" spans="1:24" s="1" customFormat="1">
      <c r="A770" s="219" t="s">
        <v>1812</v>
      </c>
      <c r="B770" s="205" t="s">
        <v>1813</v>
      </c>
      <c r="C770" s="206">
        <v>1</v>
      </c>
      <c r="D770" s="226" t="s">
        <v>1725</v>
      </c>
      <c r="E770" s="287">
        <v>0</v>
      </c>
      <c r="F770" s="188"/>
      <c r="G770" s="62">
        <f t="shared" si="129"/>
        <v>0</v>
      </c>
      <c r="H770" s="86"/>
      <c r="I770" s="186"/>
      <c r="J770" s="238" t="s">
        <v>669</v>
      </c>
      <c r="K770" s="83" t="s">
        <v>231</v>
      </c>
      <c r="L770" s="100" t="s">
        <v>628</v>
      </c>
      <c r="M770" s="219" t="s">
        <v>1812</v>
      </c>
      <c r="N770" s="205" t="s">
        <v>1813</v>
      </c>
      <c r="O770" s="206">
        <v>1</v>
      </c>
      <c r="P770" s="226" t="s">
        <v>1725</v>
      </c>
      <c r="Q770" s="287">
        <v>0</v>
      </c>
      <c r="R770" s="188"/>
      <c r="S770" s="62">
        <v>0</v>
      </c>
      <c r="T770" s="86"/>
      <c r="U770" s="186"/>
      <c r="V770" s="238" t="s">
        <v>669</v>
      </c>
      <c r="W770" s="83" t="s">
        <v>231</v>
      </c>
      <c r="X770" s="100" t="s">
        <v>628</v>
      </c>
    </row>
    <row r="771" spans="1:24" s="1" customFormat="1">
      <c r="A771" s="219" t="s">
        <v>1814</v>
      </c>
      <c r="B771" s="205" t="s">
        <v>1815</v>
      </c>
      <c r="C771" s="206">
        <v>1</v>
      </c>
      <c r="D771" s="226" t="s">
        <v>1725</v>
      </c>
      <c r="E771" s="287">
        <v>431.75</v>
      </c>
      <c r="F771" s="188">
        <f t="shared" ref="F771:F777" si="130">rv_10</f>
        <v>0.1</v>
      </c>
      <c r="G771" s="62">
        <f t="shared" si="129"/>
        <v>388.57499999999999</v>
      </c>
      <c r="H771" s="86"/>
      <c r="I771" s="186"/>
      <c r="J771" s="238" t="s">
        <v>669</v>
      </c>
      <c r="K771" s="83" t="s">
        <v>231</v>
      </c>
      <c r="L771" s="100" t="s">
        <v>628</v>
      </c>
      <c r="M771" s="219" t="s">
        <v>1814</v>
      </c>
      <c r="N771" s="205" t="s">
        <v>1815</v>
      </c>
      <c r="O771" s="206">
        <v>1</v>
      </c>
      <c r="P771" s="226" t="s">
        <v>1725</v>
      </c>
      <c r="Q771" s="287">
        <v>431.75</v>
      </c>
      <c r="R771" s="188">
        <v>0.1</v>
      </c>
      <c r="S771" s="62">
        <v>388.57499999999999</v>
      </c>
      <c r="T771" s="86"/>
      <c r="U771" s="186"/>
      <c r="V771" s="238" t="s">
        <v>669</v>
      </c>
      <c r="W771" s="83" t="s">
        <v>231</v>
      </c>
      <c r="X771" s="100" t="s">
        <v>628</v>
      </c>
    </row>
    <row r="772" spans="1:24" s="1" customFormat="1">
      <c r="A772" s="219" t="s">
        <v>1816</v>
      </c>
      <c r="B772" s="205" t="s">
        <v>1817</v>
      </c>
      <c r="C772" s="206">
        <v>1</v>
      </c>
      <c r="D772" s="226" t="s">
        <v>1725</v>
      </c>
      <c r="E772" s="287">
        <v>1015.87</v>
      </c>
      <c r="F772" s="188">
        <f t="shared" si="130"/>
        <v>0.1</v>
      </c>
      <c r="G772" s="62">
        <f t="shared" si="129"/>
        <v>914.28300000000002</v>
      </c>
      <c r="H772" s="86"/>
      <c r="I772" s="186"/>
      <c r="J772" s="238" t="s">
        <v>669</v>
      </c>
      <c r="K772" s="83" t="s">
        <v>231</v>
      </c>
      <c r="L772" s="100" t="s">
        <v>628</v>
      </c>
      <c r="M772" s="219" t="s">
        <v>1816</v>
      </c>
      <c r="N772" s="205" t="s">
        <v>1817</v>
      </c>
      <c r="O772" s="206">
        <v>1</v>
      </c>
      <c r="P772" s="226" t="s">
        <v>1725</v>
      </c>
      <c r="Q772" s="287">
        <v>1015.87</v>
      </c>
      <c r="R772" s="188">
        <v>0.1</v>
      </c>
      <c r="S772" s="62">
        <v>914.28300000000002</v>
      </c>
      <c r="T772" s="86"/>
      <c r="U772" s="186"/>
      <c r="V772" s="238" t="s">
        <v>669</v>
      </c>
      <c r="W772" s="83" t="s">
        <v>231</v>
      </c>
      <c r="X772" s="100" t="s">
        <v>628</v>
      </c>
    </row>
    <row r="773" spans="1:24" s="1" customFormat="1">
      <c r="A773" s="219" t="s">
        <v>1818</v>
      </c>
      <c r="B773" s="205" t="s">
        <v>1819</v>
      </c>
      <c r="C773" s="206">
        <v>1</v>
      </c>
      <c r="D773" s="226" t="s">
        <v>1725</v>
      </c>
      <c r="E773" s="287">
        <v>1600</v>
      </c>
      <c r="F773" s="188">
        <f t="shared" si="130"/>
        <v>0.1</v>
      </c>
      <c r="G773" s="62">
        <f t="shared" si="129"/>
        <v>1440</v>
      </c>
      <c r="H773" s="86"/>
      <c r="I773" s="186"/>
      <c r="J773" s="238" t="s">
        <v>669</v>
      </c>
      <c r="K773" s="83" t="s">
        <v>231</v>
      </c>
      <c r="L773" s="100" t="s">
        <v>628</v>
      </c>
      <c r="M773" s="219" t="s">
        <v>1818</v>
      </c>
      <c r="N773" s="205" t="s">
        <v>1819</v>
      </c>
      <c r="O773" s="206">
        <v>1</v>
      </c>
      <c r="P773" s="226" t="s">
        <v>1725</v>
      </c>
      <c r="Q773" s="287">
        <v>1600</v>
      </c>
      <c r="R773" s="188">
        <v>0.1</v>
      </c>
      <c r="S773" s="62">
        <v>1440</v>
      </c>
      <c r="T773" s="86"/>
      <c r="U773" s="186"/>
      <c r="V773" s="238" t="s">
        <v>669</v>
      </c>
      <c r="W773" s="83" t="s">
        <v>231</v>
      </c>
      <c r="X773" s="100" t="s">
        <v>628</v>
      </c>
    </row>
    <row r="774" spans="1:24" s="1" customFormat="1">
      <c r="A774" s="219" t="s">
        <v>1820</v>
      </c>
      <c r="B774" s="205" t="s">
        <v>1821</v>
      </c>
      <c r="C774" s="206">
        <v>1</v>
      </c>
      <c r="D774" s="226" t="s">
        <v>1725</v>
      </c>
      <c r="E774" s="287">
        <v>2679.37</v>
      </c>
      <c r="F774" s="188">
        <f t="shared" si="130"/>
        <v>0.1</v>
      </c>
      <c r="G774" s="62">
        <f t="shared" si="129"/>
        <v>2411.433</v>
      </c>
      <c r="H774" s="86"/>
      <c r="I774" s="186"/>
      <c r="J774" s="238" t="s">
        <v>669</v>
      </c>
      <c r="K774" s="83" t="s">
        <v>231</v>
      </c>
      <c r="L774" s="100" t="s">
        <v>628</v>
      </c>
      <c r="M774" s="219" t="s">
        <v>1820</v>
      </c>
      <c r="N774" s="205" t="s">
        <v>1821</v>
      </c>
      <c r="O774" s="206">
        <v>1</v>
      </c>
      <c r="P774" s="226" t="s">
        <v>1725</v>
      </c>
      <c r="Q774" s="287">
        <v>2679.37</v>
      </c>
      <c r="R774" s="188">
        <v>0.1</v>
      </c>
      <c r="S774" s="62">
        <v>2411.433</v>
      </c>
      <c r="T774" s="86"/>
      <c r="U774" s="186"/>
      <c r="V774" s="238" t="s">
        <v>669</v>
      </c>
      <c r="W774" s="83" t="s">
        <v>231</v>
      </c>
      <c r="X774" s="100" t="s">
        <v>628</v>
      </c>
    </row>
    <row r="775" spans="1:24" s="1" customFormat="1">
      <c r="A775" s="219" t="s">
        <v>1822</v>
      </c>
      <c r="B775" s="205" t="s">
        <v>1823</v>
      </c>
      <c r="C775" s="206">
        <v>1</v>
      </c>
      <c r="D775" s="226" t="s">
        <v>1725</v>
      </c>
      <c r="E775" s="287">
        <v>609.52</v>
      </c>
      <c r="F775" s="188">
        <f t="shared" si="130"/>
        <v>0.1</v>
      </c>
      <c r="G775" s="62">
        <f t="shared" si="129"/>
        <v>548.56799999999998</v>
      </c>
      <c r="H775" s="86"/>
      <c r="I775" s="186"/>
      <c r="J775" s="238" t="s">
        <v>669</v>
      </c>
      <c r="K775" s="83" t="s">
        <v>231</v>
      </c>
      <c r="L775" s="100" t="s">
        <v>628</v>
      </c>
      <c r="M775" s="219" t="s">
        <v>1822</v>
      </c>
      <c r="N775" s="205" t="s">
        <v>1823</v>
      </c>
      <c r="O775" s="206">
        <v>1</v>
      </c>
      <c r="P775" s="226" t="s">
        <v>1725</v>
      </c>
      <c r="Q775" s="287">
        <v>609.52</v>
      </c>
      <c r="R775" s="188">
        <v>0.1</v>
      </c>
      <c r="S775" s="62">
        <v>548.56799999999998</v>
      </c>
      <c r="T775" s="86"/>
      <c r="U775" s="186"/>
      <c r="V775" s="238" t="s">
        <v>669</v>
      </c>
      <c r="W775" s="83" t="s">
        <v>231</v>
      </c>
      <c r="X775" s="100" t="s">
        <v>628</v>
      </c>
    </row>
    <row r="776" spans="1:24" s="1" customFormat="1">
      <c r="A776" s="219" t="s">
        <v>1824</v>
      </c>
      <c r="B776" s="205" t="s">
        <v>1825</v>
      </c>
      <c r="C776" s="206">
        <v>1</v>
      </c>
      <c r="D776" s="226" t="s">
        <v>1725</v>
      </c>
      <c r="E776" s="287">
        <v>26.98</v>
      </c>
      <c r="F776" s="188">
        <f t="shared" si="130"/>
        <v>0.1</v>
      </c>
      <c r="G776" s="62">
        <f t="shared" si="129"/>
        <v>24.282</v>
      </c>
      <c r="H776" s="86"/>
      <c r="I776" s="186"/>
      <c r="J776" s="238" t="s">
        <v>669</v>
      </c>
      <c r="K776" s="83" t="s">
        <v>231</v>
      </c>
      <c r="L776" s="100" t="s">
        <v>628</v>
      </c>
      <c r="M776" s="219" t="s">
        <v>1824</v>
      </c>
      <c r="N776" s="205" t="s">
        <v>1825</v>
      </c>
      <c r="O776" s="206">
        <v>1</v>
      </c>
      <c r="P776" s="226" t="s">
        <v>1725</v>
      </c>
      <c r="Q776" s="287">
        <v>26.98</v>
      </c>
      <c r="R776" s="188">
        <v>0.1</v>
      </c>
      <c r="S776" s="62">
        <v>24.282</v>
      </c>
      <c r="T776" s="86"/>
      <c r="U776" s="186"/>
      <c r="V776" s="238" t="s">
        <v>669</v>
      </c>
      <c r="W776" s="83" t="s">
        <v>231</v>
      </c>
      <c r="X776" s="100" t="s">
        <v>628</v>
      </c>
    </row>
    <row r="777" spans="1:24" s="1" customFormat="1">
      <c r="A777" s="475" t="s">
        <v>1828</v>
      </c>
      <c r="B777" s="223" t="s">
        <v>1829</v>
      </c>
      <c r="C777" s="224">
        <v>1</v>
      </c>
      <c r="D777" s="96" t="s">
        <v>1725</v>
      </c>
      <c r="E777" s="316">
        <v>4431.75</v>
      </c>
      <c r="F777" s="225">
        <f t="shared" si="130"/>
        <v>0.1</v>
      </c>
      <c r="G777" s="97">
        <f t="shared" si="129"/>
        <v>3988.5749999999998</v>
      </c>
      <c r="H777" s="86"/>
      <c r="I777" s="186"/>
      <c r="J777" s="238" t="s">
        <v>669</v>
      </c>
      <c r="K777" s="83" t="s">
        <v>231</v>
      </c>
      <c r="L777" s="100" t="s">
        <v>628</v>
      </c>
      <c r="M777" s="475" t="s">
        <v>1828</v>
      </c>
      <c r="N777" s="223" t="s">
        <v>1829</v>
      </c>
      <c r="O777" s="224">
        <v>1</v>
      </c>
      <c r="P777" s="96" t="s">
        <v>1725</v>
      </c>
      <c r="Q777" s="316">
        <v>4431.75</v>
      </c>
      <c r="R777" s="225">
        <v>0.1</v>
      </c>
      <c r="S777" s="97">
        <v>3988.5749999999998</v>
      </c>
      <c r="T777" s="86"/>
      <c r="U777" s="186"/>
      <c r="V777" s="238" t="s">
        <v>669</v>
      </c>
      <c r="W777" s="83" t="s">
        <v>231</v>
      </c>
      <c r="X777" s="100" t="s">
        <v>628</v>
      </c>
    </row>
    <row r="778" spans="1:24" s="1" customFormat="1">
      <c r="A778" s="219" t="s">
        <v>1812</v>
      </c>
      <c r="B778" s="205" t="s">
        <v>1813</v>
      </c>
      <c r="C778" s="206">
        <v>1</v>
      </c>
      <c r="D778" s="226" t="s">
        <v>1725</v>
      </c>
      <c r="E778" s="287">
        <v>0</v>
      </c>
      <c r="F778" s="188"/>
      <c r="G778" s="62">
        <f t="shared" si="129"/>
        <v>0</v>
      </c>
      <c r="H778" s="86"/>
      <c r="I778" s="186"/>
      <c r="J778" s="238" t="s">
        <v>669</v>
      </c>
      <c r="K778" s="83" t="s">
        <v>231</v>
      </c>
      <c r="L778" s="100" t="s">
        <v>628</v>
      </c>
      <c r="M778" s="219" t="s">
        <v>1812</v>
      </c>
      <c r="N778" s="205" t="s">
        <v>1813</v>
      </c>
      <c r="O778" s="206">
        <v>1</v>
      </c>
      <c r="P778" s="226" t="s">
        <v>1725</v>
      </c>
      <c r="Q778" s="287">
        <v>0</v>
      </c>
      <c r="R778" s="188"/>
      <c r="S778" s="62">
        <v>0</v>
      </c>
      <c r="T778" s="86"/>
      <c r="U778" s="186"/>
      <c r="V778" s="238" t="s">
        <v>669</v>
      </c>
      <c r="W778" s="83" t="s">
        <v>231</v>
      </c>
      <c r="X778" s="100" t="s">
        <v>628</v>
      </c>
    </row>
    <row r="779" spans="1:24" s="1" customFormat="1">
      <c r="A779" s="219" t="s">
        <v>1814</v>
      </c>
      <c r="B779" s="205" t="s">
        <v>1815</v>
      </c>
      <c r="C779" s="206">
        <v>1</v>
      </c>
      <c r="D779" s="226" t="s">
        <v>1725</v>
      </c>
      <c r="E779" s="287">
        <v>431.75</v>
      </c>
      <c r="F779" s="188">
        <f t="shared" ref="F779:F794" si="131">rv_10</f>
        <v>0.1</v>
      </c>
      <c r="G779" s="62">
        <f t="shared" si="129"/>
        <v>388.57499999999999</v>
      </c>
      <c r="H779" s="86"/>
      <c r="I779" s="186"/>
      <c r="J779" s="238" t="s">
        <v>669</v>
      </c>
      <c r="K779" s="83" t="s">
        <v>231</v>
      </c>
      <c r="L779" s="100" t="s">
        <v>628</v>
      </c>
      <c r="M779" s="219" t="s">
        <v>1814</v>
      </c>
      <c r="N779" s="205" t="s">
        <v>1815</v>
      </c>
      <c r="O779" s="206">
        <v>1</v>
      </c>
      <c r="P779" s="226" t="s">
        <v>1725</v>
      </c>
      <c r="Q779" s="287">
        <v>431.75</v>
      </c>
      <c r="R779" s="188">
        <v>0.1</v>
      </c>
      <c r="S779" s="62">
        <v>388.57499999999999</v>
      </c>
      <c r="T779" s="86"/>
      <c r="U779" s="186"/>
      <c r="V779" s="238" t="s">
        <v>669</v>
      </c>
      <c r="W779" s="83" t="s">
        <v>231</v>
      </c>
      <c r="X779" s="100" t="s">
        <v>628</v>
      </c>
    </row>
    <row r="780" spans="1:24" s="1" customFormat="1">
      <c r="A780" s="219" t="s">
        <v>1816</v>
      </c>
      <c r="B780" s="205" t="s">
        <v>1817</v>
      </c>
      <c r="C780" s="206">
        <v>1</v>
      </c>
      <c r="D780" s="226" t="s">
        <v>1725</v>
      </c>
      <c r="E780" s="287">
        <v>1015.87</v>
      </c>
      <c r="F780" s="188">
        <f t="shared" si="131"/>
        <v>0.1</v>
      </c>
      <c r="G780" s="62">
        <f t="shared" si="129"/>
        <v>914.28300000000002</v>
      </c>
      <c r="H780" s="86"/>
      <c r="I780" s="186"/>
      <c r="J780" s="238" t="s">
        <v>669</v>
      </c>
      <c r="K780" s="83" t="s">
        <v>231</v>
      </c>
      <c r="L780" s="100" t="s">
        <v>628</v>
      </c>
      <c r="M780" s="219" t="s">
        <v>1816</v>
      </c>
      <c r="N780" s="205" t="s">
        <v>1817</v>
      </c>
      <c r="O780" s="206">
        <v>1</v>
      </c>
      <c r="P780" s="226" t="s">
        <v>1725</v>
      </c>
      <c r="Q780" s="287">
        <v>1015.87</v>
      </c>
      <c r="R780" s="188">
        <v>0.1</v>
      </c>
      <c r="S780" s="62">
        <v>914.28300000000002</v>
      </c>
      <c r="T780" s="86"/>
      <c r="U780" s="186"/>
      <c r="V780" s="238" t="s">
        <v>669</v>
      </c>
      <c r="W780" s="83" t="s">
        <v>231</v>
      </c>
      <c r="X780" s="100" t="s">
        <v>628</v>
      </c>
    </row>
    <row r="781" spans="1:24" s="1" customFormat="1">
      <c r="A781" s="219" t="s">
        <v>1818</v>
      </c>
      <c r="B781" s="205" t="s">
        <v>1819</v>
      </c>
      <c r="C781" s="206">
        <v>1</v>
      </c>
      <c r="D781" s="226" t="s">
        <v>1725</v>
      </c>
      <c r="E781" s="287">
        <v>1600</v>
      </c>
      <c r="F781" s="188">
        <f t="shared" si="131"/>
        <v>0.1</v>
      </c>
      <c r="G781" s="62">
        <f t="shared" si="129"/>
        <v>1440</v>
      </c>
      <c r="H781" s="86"/>
      <c r="I781" s="186"/>
      <c r="J781" s="238" t="s">
        <v>669</v>
      </c>
      <c r="K781" s="83" t="s">
        <v>231</v>
      </c>
      <c r="L781" s="100" t="s">
        <v>628</v>
      </c>
      <c r="M781" s="219" t="s">
        <v>1818</v>
      </c>
      <c r="N781" s="205" t="s">
        <v>1819</v>
      </c>
      <c r="O781" s="206">
        <v>1</v>
      </c>
      <c r="P781" s="226" t="s">
        <v>1725</v>
      </c>
      <c r="Q781" s="287">
        <v>1600</v>
      </c>
      <c r="R781" s="188">
        <v>0.1</v>
      </c>
      <c r="S781" s="62">
        <v>1440</v>
      </c>
      <c r="T781" s="86"/>
      <c r="U781" s="186"/>
      <c r="V781" s="238" t="s">
        <v>669</v>
      </c>
      <c r="W781" s="83" t="s">
        <v>231</v>
      </c>
      <c r="X781" s="100" t="s">
        <v>628</v>
      </c>
    </row>
    <row r="782" spans="1:24" s="1" customFormat="1">
      <c r="A782" s="219" t="s">
        <v>1820</v>
      </c>
      <c r="B782" s="205" t="s">
        <v>1821</v>
      </c>
      <c r="C782" s="206">
        <v>1</v>
      </c>
      <c r="D782" s="226" t="s">
        <v>1725</v>
      </c>
      <c r="E782" s="287">
        <v>2679.37</v>
      </c>
      <c r="F782" s="188">
        <f t="shared" si="131"/>
        <v>0.1</v>
      </c>
      <c r="G782" s="62">
        <f t="shared" si="129"/>
        <v>2411.433</v>
      </c>
      <c r="H782" s="86"/>
      <c r="I782" s="186"/>
      <c r="J782" s="238" t="s">
        <v>669</v>
      </c>
      <c r="K782" s="83" t="s">
        <v>231</v>
      </c>
      <c r="L782" s="100" t="s">
        <v>628</v>
      </c>
      <c r="M782" s="219" t="s">
        <v>1820</v>
      </c>
      <c r="N782" s="205" t="s">
        <v>1821</v>
      </c>
      <c r="O782" s="206">
        <v>1</v>
      </c>
      <c r="P782" s="226" t="s">
        <v>1725</v>
      </c>
      <c r="Q782" s="287">
        <v>2679.37</v>
      </c>
      <c r="R782" s="188">
        <v>0.1</v>
      </c>
      <c r="S782" s="62">
        <v>2411.433</v>
      </c>
      <c r="T782" s="86"/>
      <c r="U782" s="186"/>
      <c r="V782" s="238" t="s">
        <v>669</v>
      </c>
      <c r="W782" s="83" t="s">
        <v>231</v>
      </c>
      <c r="X782" s="100" t="s">
        <v>628</v>
      </c>
    </row>
    <row r="783" spans="1:24" s="1" customFormat="1">
      <c r="A783" s="219" t="s">
        <v>1822</v>
      </c>
      <c r="B783" s="205" t="s">
        <v>1823</v>
      </c>
      <c r="C783" s="206">
        <v>1</v>
      </c>
      <c r="D783" s="226" t="s">
        <v>1725</v>
      </c>
      <c r="E783" s="287">
        <v>609.52</v>
      </c>
      <c r="F783" s="188">
        <f t="shared" si="131"/>
        <v>0.1</v>
      </c>
      <c r="G783" s="62">
        <f t="shared" si="129"/>
        <v>548.56799999999998</v>
      </c>
      <c r="H783" s="86"/>
      <c r="I783" s="186"/>
      <c r="J783" s="238" t="s">
        <v>669</v>
      </c>
      <c r="K783" s="83" t="s">
        <v>231</v>
      </c>
      <c r="L783" s="100" t="s">
        <v>628</v>
      </c>
      <c r="M783" s="219" t="s">
        <v>1822</v>
      </c>
      <c r="N783" s="205" t="s">
        <v>1823</v>
      </c>
      <c r="O783" s="206">
        <v>1</v>
      </c>
      <c r="P783" s="226" t="s">
        <v>1725</v>
      </c>
      <c r="Q783" s="287">
        <v>609.52</v>
      </c>
      <c r="R783" s="188">
        <v>0.1</v>
      </c>
      <c r="S783" s="62">
        <v>548.56799999999998</v>
      </c>
      <c r="T783" s="86"/>
      <c r="U783" s="186"/>
      <c r="V783" s="238" t="s">
        <v>669</v>
      </c>
      <c r="W783" s="83" t="s">
        <v>231</v>
      </c>
      <c r="X783" s="100" t="s">
        <v>628</v>
      </c>
    </row>
    <row r="784" spans="1:24" s="1" customFormat="1">
      <c r="A784" s="219" t="s">
        <v>1824</v>
      </c>
      <c r="B784" s="205" t="s">
        <v>1825</v>
      </c>
      <c r="C784" s="206">
        <v>1</v>
      </c>
      <c r="D784" s="226" t="s">
        <v>1725</v>
      </c>
      <c r="E784" s="287">
        <v>26.98</v>
      </c>
      <c r="F784" s="188">
        <f t="shared" si="131"/>
        <v>0.1</v>
      </c>
      <c r="G784" s="62">
        <f t="shared" si="129"/>
        <v>24.282</v>
      </c>
      <c r="H784" s="86"/>
      <c r="I784" s="186"/>
      <c r="J784" s="238" t="s">
        <v>669</v>
      </c>
      <c r="K784" s="83" t="s">
        <v>231</v>
      </c>
      <c r="L784" s="100" t="s">
        <v>628</v>
      </c>
      <c r="M784" s="219" t="s">
        <v>1824</v>
      </c>
      <c r="N784" s="205" t="s">
        <v>1825</v>
      </c>
      <c r="O784" s="206">
        <v>1</v>
      </c>
      <c r="P784" s="226" t="s">
        <v>1725</v>
      </c>
      <c r="Q784" s="287">
        <v>26.98</v>
      </c>
      <c r="R784" s="188">
        <v>0.1</v>
      </c>
      <c r="S784" s="62">
        <v>24.282</v>
      </c>
      <c r="T784" s="86"/>
      <c r="U784" s="186"/>
      <c r="V784" s="238" t="s">
        <v>669</v>
      </c>
      <c r="W784" s="83" t="s">
        <v>231</v>
      </c>
      <c r="X784" s="100" t="s">
        <v>628</v>
      </c>
    </row>
    <row r="785" spans="1:24" s="1" customFormat="1">
      <c r="A785" s="475" t="s">
        <v>1830</v>
      </c>
      <c r="B785" s="223" t="s">
        <v>1831</v>
      </c>
      <c r="C785" s="224">
        <v>1</v>
      </c>
      <c r="D785" s="96" t="s">
        <v>1725</v>
      </c>
      <c r="E785" s="316">
        <v>1996.83</v>
      </c>
      <c r="F785" s="225">
        <f t="shared" si="131"/>
        <v>0.1</v>
      </c>
      <c r="G785" s="97">
        <f t="shared" si="129"/>
        <v>1797.1469999999999</v>
      </c>
      <c r="H785" s="86"/>
      <c r="I785" s="186"/>
      <c r="J785" s="238" t="s">
        <v>669</v>
      </c>
      <c r="K785" s="83" t="s">
        <v>231</v>
      </c>
      <c r="L785" s="100" t="s">
        <v>628</v>
      </c>
      <c r="M785" s="475" t="s">
        <v>1830</v>
      </c>
      <c r="N785" s="223" t="s">
        <v>1831</v>
      </c>
      <c r="O785" s="224">
        <v>1</v>
      </c>
      <c r="P785" s="96" t="s">
        <v>1725</v>
      </c>
      <c r="Q785" s="316">
        <v>1996.83</v>
      </c>
      <c r="R785" s="225">
        <v>0.1</v>
      </c>
      <c r="S785" s="97">
        <v>1797.1469999999999</v>
      </c>
      <c r="T785" s="86"/>
      <c r="U785" s="186"/>
      <c r="V785" s="238" t="s">
        <v>669</v>
      </c>
      <c r="W785" s="83" t="s">
        <v>231</v>
      </c>
      <c r="X785" s="100" t="s">
        <v>628</v>
      </c>
    </row>
    <row r="786" spans="1:24" s="1" customFormat="1">
      <c r="A786" s="219" t="s">
        <v>1832</v>
      </c>
      <c r="B786" s="205" t="s">
        <v>1833</v>
      </c>
      <c r="C786" s="206">
        <v>1</v>
      </c>
      <c r="D786" s="226" t="s">
        <v>1725</v>
      </c>
      <c r="E786" s="287">
        <v>43.17</v>
      </c>
      <c r="F786" s="188">
        <f t="shared" si="131"/>
        <v>0.1</v>
      </c>
      <c r="G786" s="62">
        <f t="shared" si="129"/>
        <v>38.853000000000002</v>
      </c>
      <c r="H786" s="86"/>
      <c r="I786" s="186"/>
      <c r="J786" s="238" t="s">
        <v>669</v>
      </c>
      <c r="K786" s="83" t="s">
        <v>231</v>
      </c>
      <c r="L786" s="100" t="s">
        <v>628</v>
      </c>
      <c r="M786" s="219" t="s">
        <v>1832</v>
      </c>
      <c r="N786" s="205" t="s">
        <v>1833</v>
      </c>
      <c r="O786" s="206">
        <v>1</v>
      </c>
      <c r="P786" s="226" t="s">
        <v>1725</v>
      </c>
      <c r="Q786" s="287">
        <v>43.17</v>
      </c>
      <c r="R786" s="188">
        <v>0.1</v>
      </c>
      <c r="S786" s="62">
        <v>38.853000000000002</v>
      </c>
      <c r="T786" s="86"/>
      <c r="U786" s="186"/>
      <c r="V786" s="238" t="s">
        <v>669</v>
      </c>
      <c r="W786" s="83" t="s">
        <v>231</v>
      </c>
      <c r="X786" s="100" t="s">
        <v>628</v>
      </c>
    </row>
    <row r="787" spans="1:24" s="1" customFormat="1">
      <c r="A787" s="219" t="s">
        <v>1834</v>
      </c>
      <c r="B787" s="205" t="s">
        <v>1835</v>
      </c>
      <c r="C787" s="206">
        <v>1</v>
      </c>
      <c r="D787" s="226" t="s">
        <v>1725</v>
      </c>
      <c r="E787" s="287">
        <v>1003.81</v>
      </c>
      <c r="F787" s="188">
        <f t="shared" si="131"/>
        <v>0.1</v>
      </c>
      <c r="G787" s="62">
        <f t="shared" si="129"/>
        <v>903.42899999999997</v>
      </c>
      <c r="H787" s="86"/>
      <c r="I787" s="186"/>
      <c r="J787" s="238" t="s">
        <v>669</v>
      </c>
      <c r="K787" s="83" t="s">
        <v>231</v>
      </c>
      <c r="L787" s="100" t="s">
        <v>628</v>
      </c>
      <c r="M787" s="219" t="s">
        <v>1834</v>
      </c>
      <c r="N787" s="205" t="s">
        <v>1835</v>
      </c>
      <c r="O787" s="206">
        <v>1</v>
      </c>
      <c r="P787" s="226" t="s">
        <v>1725</v>
      </c>
      <c r="Q787" s="287">
        <v>1003.81</v>
      </c>
      <c r="R787" s="188">
        <v>0.1</v>
      </c>
      <c r="S787" s="62">
        <v>903.42899999999997</v>
      </c>
      <c r="T787" s="86"/>
      <c r="U787" s="186"/>
      <c r="V787" s="238" t="s">
        <v>669</v>
      </c>
      <c r="W787" s="83" t="s">
        <v>231</v>
      </c>
      <c r="X787" s="100" t="s">
        <v>628</v>
      </c>
    </row>
    <row r="788" spans="1:24" s="1" customFormat="1">
      <c r="A788" s="219" t="s">
        <v>1836</v>
      </c>
      <c r="B788" s="205" t="s">
        <v>1837</v>
      </c>
      <c r="C788" s="206">
        <v>1</v>
      </c>
      <c r="D788" s="226" t="s">
        <v>1725</v>
      </c>
      <c r="E788" s="287">
        <v>180</v>
      </c>
      <c r="F788" s="188">
        <f t="shared" si="131"/>
        <v>0.1</v>
      </c>
      <c r="G788" s="62">
        <f t="shared" si="129"/>
        <v>162</v>
      </c>
      <c r="H788" s="86"/>
      <c r="I788" s="186"/>
      <c r="J788" s="238" t="s">
        <v>669</v>
      </c>
      <c r="K788" s="83" t="s">
        <v>231</v>
      </c>
      <c r="L788" s="100" t="s">
        <v>628</v>
      </c>
      <c r="M788" s="219" t="s">
        <v>1836</v>
      </c>
      <c r="N788" s="205" t="s">
        <v>1837</v>
      </c>
      <c r="O788" s="206">
        <v>1</v>
      </c>
      <c r="P788" s="226" t="s">
        <v>1725</v>
      </c>
      <c r="Q788" s="287">
        <v>180</v>
      </c>
      <c r="R788" s="188">
        <v>0.1</v>
      </c>
      <c r="S788" s="62">
        <v>162</v>
      </c>
      <c r="T788" s="86"/>
      <c r="U788" s="186"/>
      <c r="V788" s="238" t="s">
        <v>669</v>
      </c>
      <c r="W788" s="83" t="s">
        <v>231</v>
      </c>
      <c r="X788" s="100" t="s">
        <v>628</v>
      </c>
    </row>
    <row r="789" spans="1:24" s="1" customFormat="1">
      <c r="A789" s="219" t="s">
        <v>1838</v>
      </c>
      <c r="B789" s="205" t="s">
        <v>1839</v>
      </c>
      <c r="C789" s="206">
        <v>1</v>
      </c>
      <c r="D789" s="226" t="s">
        <v>1725</v>
      </c>
      <c r="E789" s="287">
        <v>268.19</v>
      </c>
      <c r="F789" s="188">
        <f t="shared" si="131"/>
        <v>0.1</v>
      </c>
      <c r="G789" s="62">
        <f t="shared" si="129"/>
        <v>241.37099999999998</v>
      </c>
      <c r="H789" s="86"/>
      <c r="I789" s="186"/>
      <c r="J789" s="238" t="s">
        <v>669</v>
      </c>
      <c r="K789" s="83" t="s">
        <v>231</v>
      </c>
      <c r="L789" s="100" t="s">
        <v>628</v>
      </c>
      <c r="M789" s="219" t="s">
        <v>1838</v>
      </c>
      <c r="N789" s="205" t="s">
        <v>1839</v>
      </c>
      <c r="O789" s="206">
        <v>1</v>
      </c>
      <c r="P789" s="226" t="s">
        <v>1725</v>
      </c>
      <c r="Q789" s="287">
        <v>268.19</v>
      </c>
      <c r="R789" s="188">
        <v>0.1</v>
      </c>
      <c r="S789" s="62">
        <v>241.37099999999998</v>
      </c>
      <c r="T789" s="86"/>
      <c r="U789" s="186"/>
      <c r="V789" s="238" t="s">
        <v>669</v>
      </c>
      <c r="W789" s="83" t="s">
        <v>231</v>
      </c>
      <c r="X789" s="100" t="s">
        <v>628</v>
      </c>
    </row>
    <row r="790" spans="1:24" s="1" customFormat="1">
      <c r="A790" s="219" t="s">
        <v>1840</v>
      </c>
      <c r="B790" s="205" t="s">
        <v>1841</v>
      </c>
      <c r="C790" s="206">
        <v>1</v>
      </c>
      <c r="D790" s="226" t="s">
        <v>1725</v>
      </c>
      <c r="E790" s="287">
        <v>312.89</v>
      </c>
      <c r="F790" s="188">
        <f t="shared" si="131"/>
        <v>0.1</v>
      </c>
      <c r="G790" s="62">
        <f t="shared" si="129"/>
        <v>281.601</v>
      </c>
      <c r="H790" s="86"/>
      <c r="I790" s="186"/>
      <c r="J790" s="238" t="s">
        <v>669</v>
      </c>
      <c r="K790" s="83" t="s">
        <v>231</v>
      </c>
      <c r="L790" s="100" t="s">
        <v>628</v>
      </c>
      <c r="M790" s="219" t="s">
        <v>1840</v>
      </c>
      <c r="N790" s="205" t="s">
        <v>1841</v>
      </c>
      <c r="O790" s="206">
        <v>1</v>
      </c>
      <c r="P790" s="226" t="s">
        <v>1725</v>
      </c>
      <c r="Q790" s="287">
        <v>312.89</v>
      </c>
      <c r="R790" s="188">
        <v>0.1</v>
      </c>
      <c r="S790" s="62">
        <v>281.601</v>
      </c>
      <c r="T790" s="86"/>
      <c r="U790" s="186"/>
      <c r="V790" s="238" t="s">
        <v>669</v>
      </c>
      <c r="W790" s="83" t="s">
        <v>231</v>
      </c>
      <c r="X790" s="100" t="s">
        <v>628</v>
      </c>
    </row>
    <row r="791" spans="1:24" s="1" customFormat="1">
      <c r="A791" s="219" t="s">
        <v>1842</v>
      </c>
      <c r="B791" s="205" t="s">
        <v>1843</v>
      </c>
      <c r="C791" s="206">
        <v>1</v>
      </c>
      <c r="D791" s="226" t="s">
        <v>1725</v>
      </c>
      <c r="E791" s="287">
        <v>357.59</v>
      </c>
      <c r="F791" s="188">
        <f t="shared" si="131"/>
        <v>0.1</v>
      </c>
      <c r="G791" s="62">
        <f t="shared" si="129"/>
        <v>321.83099999999996</v>
      </c>
      <c r="H791" s="86"/>
      <c r="I791" s="186"/>
      <c r="J791" s="238" t="s">
        <v>669</v>
      </c>
      <c r="K791" s="83" t="s">
        <v>231</v>
      </c>
      <c r="L791" s="100" t="s">
        <v>628</v>
      </c>
      <c r="M791" s="219" t="s">
        <v>1842</v>
      </c>
      <c r="N791" s="205" t="s">
        <v>1843</v>
      </c>
      <c r="O791" s="206">
        <v>1</v>
      </c>
      <c r="P791" s="226" t="s">
        <v>1725</v>
      </c>
      <c r="Q791" s="287">
        <v>357.59</v>
      </c>
      <c r="R791" s="188">
        <v>0.1</v>
      </c>
      <c r="S791" s="62">
        <v>321.83099999999996</v>
      </c>
      <c r="T791" s="86"/>
      <c r="U791" s="186"/>
      <c r="V791" s="238" t="s">
        <v>669</v>
      </c>
      <c r="W791" s="83" t="s">
        <v>231</v>
      </c>
      <c r="X791" s="100" t="s">
        <v>628</v>
      </c>
    </row>
    <row r="792" spans="1:24" s="1" customFormat="1">
      <c r="A792" s="219" t="s">
        <v>1844</v>
      </c>
      <c r="B792" s="205" t="s">
        <v>1845</v>
      </c>
      <c r="C792" s="206">
        <v>1</v>
      </c>
      <c r="D792" s="226" t="s">
        <v>1725</v>
      </c>
      <c r="E792" s="287">
        <v>335.95</v>
      </c>
      <c r="F792" s="188">
        <f t="shared" si="131"/>
        <v>0.1</v>
      </c>
      <c r="G792" s="62">
        <f t="shared" si="129"/>
        <v>302.35500000000002</v>
      </c>
      <c r="H792" s="86"/>
      <c r="I792" s="186"/>
      <c r="J792" s="238" t="s">
        <v>669</v>
      </c>
      <c r="K792" s="83" t="s">
        <v>231</v>
      </c>
      <c r="L792" s="100" t="s">
        <v>628</v>
      </c>
      <c r="M792" s="219" t="s">
        <v>1844</v>
      </c>
      <c r="N792" s="205" t="s">
        <v>1845</v>
      </c>
      <c r="O792" s="206">
        <v>1</v>
      </c>
      <c r="P792" s="226" t="s">
        <v>1725</v>
      </c>
      <c r="Q792" s="287">
        <v>335.95</v>
      </c>
      <c r="R792" s="188">
        <v>0.1</v>
      </c>
      <c r="S792" s="62">
        <v>302.35500000000002</v>
      </c>
      <c r="T792" s="86"/>
      <c r="U792" s="186"/>
      <c r="V792" s="238" t="s">
        <v>669</v>
      </c>
      <c r="W792" s="83" t="s">
        <v>231</v>
      </c>
      <c r="X792" s="100" t="s">
        <v>628</v>
      </c>
    </row>
    <row r="793" spans="1:24" s="1" customFormat="1">
      <c r="A793" s="219" t="s">
        <v>1846</v>
      </c>
      <c r="B793" s="205" t="s">
        <v>1847</v>
      </c>
      <c r="C793" s="206">
        <v>1</v>
      </c>
      <c r="D793" s="226" t="s">
        <v>1725</v>
      </c>
      <c r="E793" s="287">
        <v>202.38</v>
      </c>
      <c r="F793" s="188">
        <f t="shared" si="131"/>
        <v>0.1</v>
      </c>
      <c r="G793" s="62">
        <f t="shared" si="129"/>
        <v>182.142</v>
      </c>
      <c r="H793" s="86"/>
      <c r="I793" s="186"/>
      <c r="J793" s="238" t="s">
        <v>669</v>
      </c>
      <c r="K793" s="83" t="s">
        <v>231</v>
      </c>
      <c r="L793" s="100" t="s">
        <v>628</v>
      </c>
      <c r="M793" s="219" t="s">
        <v>1846</v>
      </c>
      <c r="N793" s="205" t="s">
        <v>1847</v>
      </c>
      <c r="O793" s="206">
        <v>1</v>
      </c>
      <c r="P793" s="226" t="s">
        <v>1725</v>
      </c>
      <c r="Q793" s="287">
        <v>202.38</v>
      </c>
      <c r="R793" s="188">
        <v>0.1</v>
      </c>
      <c r="S793" s="62">
        <v>182.142</v>
      </c>
      <c r="T793" s="86"/>
      <c r="U793" s="186"/>
      <c r="V793" s="238" t="s">
        <v>669</v>
      </c>
      <c r="W793" s="83" t="s">
        <v>231</v>
      </c>
      <c r="X793" s="100" t="s">
        <v>628</v>
      </c>
    </row>
    <row r="794" spans="1:24" s="1" customFormat="1">
      <c r="A794" s="219" t="s">
        <v>1824</v>
      </c>
      <c r="B794" s="205" t="s">
        <v>1825</v>
      </c>
      <c r="C794" s="206">
        <v>1</v>
      </c>
      <c r="D794" s="226" t="s">
        <v>1725</v>
      </c>
      <c r="E794" s="287">
        <v>26.98</v>
      </c>
      <c r="F794" s="188">
        <f t="shared" si="131"/>
        <v>0.1</v>
      </c>
      <c r="G794" s="62">
        <f t="shared" si="129"/>
        <v>24.282</v>
      </c>
      <c r="H794" s="86"/>
      <c r="I794" s="186"/>
      <c r="J794" s="238" t="s">
        <v>669</v>
      </c>
      <c r="K794" s="83" t="s">
        <v>231</v>
      </c>
      <c r="L794" s="100" t="s">
        <v>628</v>
      </c>
      <c r="M794" s="219" t="s">
        <v>1824</v>
      </c>
      <c r="N794" s="205" t="s">
        <v>1825</v>
      </c>
      <c r="O794" s="206">
        <v>1</v>
      </c>
      <c r="P794" s="226" t="s">
        <v>1725</v>
      </c>
      <c r="Q794" s="287">
        <v>26.98</v>
      </c>
      <c r="R794" s="188">
        <v>0.1</v>
      </c>
      <c r="S794" s="62">
        <v>24.282</v>
      </c>
      <c r="T794" s="86"/>
      <c r="U794" s="186"/>
      <c r="V794" s="238" t="s">
        <v>669</v>
      </c>
      <c r="W794" s="83" t="s">
        <v>231</v>
      </c>
      <c r="X794" s="100" t="s">
        <v>628</v>
      </c>
    </row>
    <row r="795" spans="1:24" s="1" customFormat="1">
      <c r="A795" s="219" t="s">
        <v>1812</v>
      </c>
      <c r="B795" s="205" t="s">
        <v>1813</v>
      </c>
      <c r="C795" s="206">
        <v>1</v>
      </c>
      <c r="D795" s="226" t="s">
        <v>1725</v>
      </c>
      <c r="E795" s="287">
        <v>0</v>
      </c>
      <c r="F795" s="188"/>
      <c r="G795" s="62">
        <f t="shared" ref="G795:G826" si="132">E795-(E795*F795)</f>
        <v>0</v>
      </c>
      <c r="H795" s="86"/>
      <c r="I795" s="186"/>
      <c r="J795" s="238" t="s">
        <v>669</v>
      </c>
      <c r="K795" s="83" t="s">
        <v>231</v>
      </c>
      <c r="L795" s="100" t="s">
        <v>628</v>
      </c>
      <c r="M795" s="219" t="s">
        <v>1812</v>
      </c>
      <c r="N795" s="205" t="s">
        <v>1813</v>
      </c>
      <c r="O795" s="206">
        <v>1</v>
      </c>
      <c r="P795" s="226" t="s">
        <v>1725</v>
      </c>
      <c r="Q795" s="287">
        <v>0</v>
      </c>
      <c r="R795" s="188"/>
      <c r="S795" s="62">
        <v>0</v>
      </c>
      <c r="T795" s="86"/>
      <c r="U795" s="186"/>
      <c r="V795" s="238" t="s">
        <v>669</v>
      </c>
      <c r="W795" s="83" t="s">
        <v>231</v>
      </c>
      <c r="X795" s="100" t="s">
        <v>628</v>
      </c>
    </row>
    <row r="796" spans="1:24" s="1" customFormat="1">
      <c r="A796" s="219" t="s">
        <v>1814</v>
      </c>
      <c r="B796" s="205" t="s">
        <v>1815</v>
      </c>
      <c r="C796" s="206">
        <v>1</v>
      </c>
      <c r="D796" s="226" t="s">
        <v>1725</v>
      </c>
      <c r="E796" s="287">
        <v>431.75</v>
      </c>
      <c r="F796" s="188">
        <f t="shared" si="123"/>
        <v>0.1</v>
      </c>
      <c r="G796" s="62">
        <f t="shared" si="132"/>
        <v>388.57499999999999</v>
      </c>
      <c r="H796" s="86"/>
      <c r="I796" s="186"/>
      <c r="J796" s="238" t="s">
        <v>669</v>
      </c>
      <c r="K796" s="83" t="s">
        <v>231</v>
      </c>
      <c r="L796" s="100" t="s">
        <v>628</v>
      </c>
      <c r="M796" s="219" t="s">
        <v>1814</v>
      </c>
      <c r="N796" s="205" t="s">
        <v>1815</v>
      </c>
      <c r="O796" s="206">
        <v>1</v>
      </c>
      <c r="P796" s="226" t="s">
        <v>1725</v>
      </c>
      <c r="Q796" s="287">
        <v>431.75</v>
      </c>
      <c r="R796" s="188">
        <v>0.1</v>
      </c>
      <c r="S796" s="62">
        <v>388.57499999999999</v>
      </c>
      <c r="T796" s="86"/>
      <c r="U796" s="186"/>
      <c r="V796" s="238" t="s">
        <v>669</v>
      </c>
      <c r="W796" s="83" t="s">
        <v>231</v>
      </c>
      <c r="X796" s="100" t="s">
        <v>628</v>
      </c>
    </row>
    <row r="797" spans="1:24" s="1" customFormat="1">
      <c r="A797" s="219" t="s">
        <v>1816</v>
      </c>
      <c r="B797" s="205" t="s">
        <v>1817</v>
      </c>
      <c r="C797" s="206">
        <v>1</v>
      </c>
      <c r="D797" s="226" t="s">
        <v>1725</v>
      </c>
      <c r="E797" s="287">
        <v>1015.87</v>
      </c>
      <c r="F797" s="188">
        <f t="shared" si="123"/>
        <v>0.1</v>
      </c>
      <c r="G797" s="62">
        <f t="shared" si="132"/>
        <v>914.28300000000002</v>
      </c>
      <c r="H797" s="86"/>
      <c r="I797" s="186"/>
      <c r="J797" s="238" t="s">
        <v>669</v>
      </c>
      <c r="K797" s="83" t="s">
        <v>231</v>
      </c>
      <c r="L797" s="100" t="s">
        <v>628</v>
      </c>
      <c r="M797" s="219" t="s">
        <v>1816</v>
      </c>
      <c r="N797" s="205" t="s">
        <v>1817</v>
      </c>
      <c r="O797" s="206">
        <v>1</v>
      </c>
      <c r="P797" s="226" t="s">
        <v>1725</v>
      </c>
      <c r="Q797" s="287">
        <v>1015.87</v>
      </c>
      <c r="R797" s="188">
        <v>0.1</v>
      </c>
      <c r="S797" s="62">
        <v>914.28300000000002</v>
      </c>
      <c r="T797" s="86"/>
      <c r="U797" s="186"/>
      <c r="V797" s="238" t="s">
        <v>669</v>
      </c>
      <c r="W797" s="83" t="s">
        <v>231</v>
      </c>
      <c r="X797" s="100" t="s">
        <v>628</v>
      </c>
    </row>
    <row r="798" spans="1:24" s="1" customFormat="1">
      <c r="A798" s="219" t="s">
        <v>1818</v>
      </c>
      <c r="B798" s="205" t="s">
        <v>1819</v>
      </c>
      <c r="C798" s="206">
        <v>1</v>
      </c>
      <c r="D798" s="226" t="s">
        <v>1725</v>
      </c>
      <c r="E798" s="287">
        <v>1600</v>
      </c>
      <c r="F798" s="188">
        <f t="shared" si="123"/>
        <v>0.1</v>
      </c>
      <c r="G798" s="62">
        <f t="shared" si="132"/>
        <v>1440</v>
      </c>
      <c r="H798" s="86"/>
      <c r="I798" s="186"/>
      <c r="J798" s="238" t="s">
        <v>669</v>
      </c>
      <c r="K798" s="83" t="s">
        <v>231</v>
      </c>
      <c r="L798" s="100" t="s">
        <v>628</v>
      </c>
      <c r="M798" s="219" t="s">
        <v>1818</v>
      </c>
      <c r="N798" s="205" t="s">
        <v>1819</v>
      </c>
      <c r="O798" s="206">
        <v>1</v>
      </c>
      <c r="P798" s="226" t="s">
        <v>1725</v>
      </c>
      <c r="Q798" s="287">
        <v>1600</v>
      </c>
      <c r="R798" s="188">
        <v>0.1</v>
      </c>
      <c r="S798" s="62">
        <v>1440</v>
      </c>
      <c r="T798" s="86"/>
      <c r="U798" s="186"/>
      <c r="V798" s="238" t="s">
        <v>669</v>
      </c>
      <c r="W798" s="83" t="s">
        <v>231</v>
      </c>
      <c r="X798" s="100" t="s">
        <v>628</v>
      </c>
    </row>
    <row r="799" spans="1:24" s="1" customFormat="1">
      <c r="A799" s="219" t="s">
        <v>1820</v>
      </c>
      <c r="B799" s="205" t="s">
        <v>1821</v>
      </c>
      <c r="C799" s="206">
        <v>1</v>
      </c>
      <c r="D799" s="226" t="s">
        <v>1725</v>
      </c>
      <c r="E799" s="287">
        <v>2679.37</v>
      </c>
      <c r="F799" s="188">
        <f t="shared" si="123"/>
        <v>0.1</v>
      </c>
      <c r="G799" s="62">
        <f t="shared" si="132"/>
        <v>2411.433</v>
      </c>
      <c r="H799" s="86"/>
      <c r="I799" s="186"/>
      <c r="J799" s="238" t="s">
        <v>669</v>
      </c>
      <c r="K799" s="83" t="s">
        <v>231</v>
      </c>
      <c r="L799" s="100" t="s">
        <v>628</v>
      </c>
      <c r="M799" s="219" t="s">
        <v>1820</v>
      </c>
      <c r="N799" s="205" t="s">
        <v>1821</v>
      </c>
      <c r="O799" s="206">
        <v>1</v>
      </c>
      <c r="P799" s="226" t="s">
        <v>1725</v>
      </c>
      <c r="Q799" s="287">
        <v>2679.37</v>
      </c>
      <c r="R799" s="188">
        <v>0.1</v>
      </c>
      <c r="S799" s="62">
        <v>2411.433</v>
      </c>
      <c r="T799" s="86"/>
      <c r="U799" s="186"/>
      <c r="V799" s="238" t="s">
        <v>669</v>
      </c>
      <c r="W799" s="83" t="s">
        <v>231</v>
      </c>
      <c r="X799" s="100" t="s">
        <v>628</v>
      </c>
    </row>
    <row r="800" spans="1:24" s="1" customFormat="1">
      <c r="A800" s="219" t="s">
        <v>1822</v>
      </c>
      <c r="B800" s="205" t="s">
        <v>1823</v>
      </c>
      <c r="C800" s="206">
        <v>1</v>
      </c>
      <c r="D800" s="226" t="s">
        <v>1725</v>
      </c>
      <c r="E800" s="287">
        <v>609.52</v>
      </c>
      <c r="F800" s="188">
        <f t="shared" si="123"/>
        <v>0.1</v>
      </c>
      <c r="G800" s="62">
        <f t="shared" si="132"/>
        <v>548.56799999999998</v>
      </c>
      <c r="H800" s="86"/>
      <c r="I800" s="186"/>
      <c r="J800" s="238" t="s">
        <v>669</v>
      </c>
      <c r="K800" s="83" t="s">
        <v>231</v>
      </c>
      <c r="L800" s="100" t="s">
        <v>628</v>
      </c>
      <c r="M800" s="219" t="s">
        <v>1822</v>
      </c>
      <c r="N800" s="205" t="s">
        <v>1823</v>
      </c>
      <c r="O800" s="206">
        <v>1</v>
      </c>
      <c r="P800" s="226" t="s">
        <v>1725</v>
      </c>
      <c r="Q800" s="287">
        <v>609.52</v>
      </c>
      <c r="R800" s="188">
        <v>0.1</v>
      </c>
      <c r="S800" s="62">
        <v>548.56799999999998</v>
      </c>
      <c r="T800" s="86"/>
      <c r="U800" s="186"/>
      <c r="V800" s="238" t="s">
        <v>669</v>
      </c>
      <c r="W800" s="83" t="s">
        <v>231</v>
      </c>
      <c r="X800" s="100" t="s">
        <v>628</v>
      </c>
    </row>
    <row r="801" spans="1:24" s="1" customFormat="1">
      <c r="A801" s="475" t="s">
        <v>1848</v>
      </c>
      <c r="B801" s="223" t="s">
        <v>1849</v>
      </c>
      <c r="C801" s="224">
        <v>1</v>
      </c>
      <c r="D801" s="96" t="s">
        <v>1725</v>
      </c>
      <c r="E801" s="316">
        <v>1257.1400000000001</v>
      </c>
      <c r="F801" s="225">
        <f t="shared" si="123"/>
        <v>0.1</v>
      </c>
      <c r="G801" s="97">
        <f t="shared" si="132"/>
        <v>1131.4260000000002</v>
      </c>
      <c r="H801" s="86"/>
      <c r="I801" s="186"/>
      <c r="J801" s="238" t="s">
        <v>669</v>
      </c>
      <c r="K801" s="83" t="s">
        <v>231</v>
      </c>
      <c r="L801" s="100" t="s">
        <v>628</v>
      </c>
      <c r="M801" s="475" t="s">
        <v>1848</v>
      </c>
      <c r="N801" s="223" t="s">
        <v>1849</v>
      </c>
      <c r="O801" s="224">
        <v>1</v>
      </c>
      <c r="P801" s="96" t="s">
        <v>1725</v>
      </c>
      <c r="Q801" s="316">
        <v>1257.1400000000001</v>
      </c>
      <c r="R801" s="225">
        <v>0.1</v>
      </c>
      <c r="S801" s="97">
        <v>1131.4260000000002</v>
      </c>
      <c r="T801" s="86"/>
      <c r="U801" s="186"/>
      <c r="V801" s="238" t="s">
        <v>669</v>
      </c>
      <c r="W801" s="83" t="s">
        <v>231</v>
      </c>
      <c r="X801" s="100" t="s">
        <v>628</v>
      </c>
    </row>
    <row r="802" spans="1:24" s="1" customFormat="1">
      <c r="A802" s="219" t="s">
        <v>1850</v>
      </c>
      <c r="B802" s="205" t="s">
        <v>1851</v>
      </c>
      <c r="C802" s="206">
        <v>1</v>
      </c>
      <c r="D802" s="226" t="s">
        <v>1725</v>
      </c>
      <c r="E802" s="287">
        <v>825.4</v>
      </c>
      <c r="F802" s="188">
        <f t="shared" si="123"/>
        <v>0.1</v>
      </c>
      <c r="G802" s="62">
        <f t="shared" si="132"/>
        <v>742.86</v>
      </c>
      <c r="H802" s="86"/>
      <c r="I802" s="186"/>
      <c r="J802" s="238" t="s">
        <v>669</v>
      </c>
      <c r="K802" s="83" t="s">
        <v>231</v>
      </c>
      <c r="L802" s="100" t="s">
        <v>628</v>
      </c>
      <c r="M802" s="219" t="s">
        <v>1850</v>
      </c>
      <c r="N802" s="205" t="s">
        <v>1851</v>
      </c>
      <c r="O802" s="206">
        <v>1</v>
      </c>
      <c r="P802" s="226" t="s">
        <v>1725</v>
      </c>
      <c r="Q802" s="287">
        <v>825.4</v>
      </c>
      <c r="R802" s="188">
        <v>0.1</v>
      </c>
      <c r="S802" s="62">
        <v>742.86</v>
      </c>
      <c r="T802" s="86"/>
      <c r="U802" s="186"/>
      <c r="V802" s="238" t="s">
        <v>669</v>
      </c>
      <c r="W802" s="83" t="s">
        <v>231</v>
      </c>
      <c r="X802" s="100" t="s">
        <v>628</v>
      </c>
    </row>
    <row r="803" spans="1:24" s="1" customFormat="1">
      <c r="A803" s="219" t="s">
        <v>1852</v>
      </c>
      <c r="B803" s="205" t="s">
        <v>1853</v>
      </c>
      <c r="C803" s="206">
        <v>1</v>
      </c>
      <c r="D803" s="226" t="s">
        <v>1725</v>
      </c>
      <c r="E803" s="287">
        <v>152.38</v>
      </c>
      <c r="F803" s="188">
        <f t="shared" si="123"/>
        <v>0.1</v>
      </c>
      <c r="G803" s="62">
        <f t="shared" si="132"/>
        <v>137.142</v>
      </c>
      <c r="H803" s="86"/>
      <c r="I803" s="186"/>
      <c r="J803" s="238" t="s">
        <v>669</v>
      </c>
      <c r="K803" s="83" t="s">
        <v>231</v>
      </c>
      <c r="L803" s="100" t="s">
        <v>628</v>
      </c>
      <c r="M803" s="219" t="s">
        <v>1852</v>
      </c>
      <c r="N803" s="205" t="s">
        <v>1853</v>
      </c>
      <c r="O803" s="206">
        <v>1</v>
      </c>
      <c r="P803" s="226" t="s">
        <v>1725</v>
      </c>
      <c r="Q803" s="287">
        <v>152.38</v>
      </c>
      <c r="R803" s="188">
        <v>0.1</v>
      </c>
      <c r="S803" s="62">
        <v>137.142</v>
      </c>
      <c r="T803" s="86"/>
      <c r="U803" s="186"/>
      <c r="V803" s="238" t="s">
        <v>669</v>
      </c>
      <c r="W803" s="83" t="s">
        <v>231</v>
      </c>
      <c r="X803" s="100" t="s">
        <v>628</v>
      </c>
    </row>
    <row r="804" spans="1:24" s="1" customFormat="1">
      <c r="A804" s="219" t="s">
        <v>1750</v>
      </c>
      <c r="B804" s="205" t="s">
        <v>1854</v>
      </c>
      <c r="C804" s="206">
        <v>1</v>
      </c>
      <c r="D804" s="226" t="s">
        <v>1725</v>
      </c>
      <c r="E804" s="287">
        <v>251.43</v>
      </c>
      <c r="F804" s="188">
        <f t="shared" si="123"/>
        <v>0.1</v>
      </c>
      <c r="G804" s="62">
        <f t="shared" si="132"/>
        <v>226.28700000000001</v>
      </c>
      <c r="H804" s="86"/>
      <c r="I804" s="186"/>
      <c r="J804" s="238" t="s">
        <v>669</v>
      </c>
      <c r="K804" s="83" t="s">
        <v>231</v>
      </c>
      <c r="L804" s="100" t="s">
        <v>628</v>
      </c>
      <c r="M804" s="219" t="s">
        <v>1750</v>
      </c>
      <c r="N804" s="205" t="s">
        <v>1854</v>
      </c>
      <c r="O804" s="206">
        <v>1</v>
      </c>
      <c r="P804" s="226" t="s">
        <v>1725</v>
      </c>
      <c r="Q804" s="287">
        <v>251.43</v>
      </c>
      <c r="R804" s="188">
        <v>0.1</v>
      </c>
      <c r="S804" s="62">
        <v>226.28700000000001</v>
      </c>
      <c r="T804" s="86"/>
      <c r="U804" s="186"/>
      <c r="V804" s="238" t="s">
        <v>669</v>
      </c>
      <c r="W804" s="83" t="s">
        <v>231</v>
      </c>
      <c r="X804" s="100" t="s">
        <v>628</v>
      </c>
    </row>
    <row r="805" spans="1:24" s="1" customFormat="1">
      <c r="A805" s="219" t="s">
        <v>1855</v>
      </c>
      <c r="B805" s="205" t="s">
        <v>1856</v>
      </c>
      <c r="C805" s="206">
        <v>1</v>
      </c>
      <c r="D805" s="226" t="s">
        <v>1725</v>
      </c>
      <c r="E805" s="287">
        <v>1253.4100000000001</v>
      </c>
      <c r="F805" s="188">
        <f t="shared" si="123"/>
        <v>0.1</v>
      </c>
      <c r="G805" s="62">
        <f t="shared" si="132"/>
        <v>1128.069</v>
      </c>
      <c r="H805" s="86"/>
      <c r="I805" s="186"/>
      <c r="J805" s="238" t="s">
        <v>669</v>
      </c>
      <c r="K805" s="83" t="s">
        <v>231</v>
      </c>
      <c r="L805" s="100" t="s">
        <v>628</v>
      </c>
      <c r="M805" s="219" t="s">
        <v>1855</v>
      </c>
      <c r="N805" s="205" t="s">
        <v>1856</v>
      </c>
      <c r="O805" s="206">
        <v>1</v>
      </c>
      <c r="P805" s="226" t="s">
        <v>1725</v>
      </c>
      <c r="Q805" s="287">
        <v>1253.4100000000001</v>
      </c>
      <c r="R805" s="188">
        <v>0.1</v>
      </c>
      <c r="S805" s="62">
        <v>1128.069</v>
      </c>
      <c r="T805" s="86"/>
      <c r="U805" s="186"/>
      <c r="V805" s="238" t="s">
        <v>669</v>
      </c>
      <c r="W805" s="83" t="s">
        <v>231</v>
      </c>
      <c r="X805" s="100" t="s">
        <v>628</v>
      </c>
    </row>
    <row r="806" spans="1:24" s="1" customFormat="1">
      <c r="A806" s="475" t="s">
        <v>1857</v>
      </c>
      <c r="B806" s="223" t="s">
        <v>1858</v>
      </c>
      <c r="C806" s="224">
        <v>1</v>
      </c>
      <c r="D806" s="96" t="s">
        <v>1725</v>
      </c>
      <c r="E806" s="316">
        <v>1511.11</v>
      </c>
      <c r="F806" s="225">
        <f t="shared" si="123"/>
        <v>0.1</v>
      </c>
      <c r="G806" s="97">
        <f t="shared" si="132"/>
        <v>1359.9989999999998</v>
      </c>
      <c r="H806" s="86"/>
      <c r="I806" s="186"/>
      <c r="J806" s="238" t="s">
        <v>669</v>
      </c>
      <c r="K806" s="83" t="s">
        <v>231</v>
      </c>
      <c r="L806" s="100" t="s">
        <v>628</v>
      </c>
      <c r="M806" s="475" t="s">
        <v>1857</v>
      </c>
      <c r="N806" s="223" t="s">
        <v>1858</v>
      </c>
      <c r="O806" s="224">
        <v>1</v>
      </c>
      <c r="P806" s="96" t="s">
        <v>1725</v>
      </c>
      <c r="Q806" s="316">
        <v>1511.11</v>
      </c>
      <c r="R806" s="225">
        <v>0.1</v>
      </c>
      <c r="S806" s="97">
        <v>1359.9989999999998</v>
      </c>
      <c r="T806" s="86"/>
      <c r="U806" s="186"/>
      <c r="V806" s="238" t="s">
        <v>669</v>
      </c>
      <c r="W806" s="83" t="s">
        <v>231</v>
      </c>
      <c r="X806" s="100" t="s">
        <v>628</v>
      </c>
    </row>
    <row r="807" spans="1:24" s="1" customFormat="1">
      <c r="A807" s="219" t="s">
        <v>1859</v>
      </c>
      <c r="B807" s="205" t="s">
        <v>1860</v>
      </c>
      <c r="C807" s="206">
        <v>1</v>
      </c>
      <c r="D807" s="226" t="s">
        <v>1725</v>
      </c>
      <c r="E807" s="287">
        <v>863.49</v>
      </c>
      <c r="F807" s="188">
        <f t="shared" si="123"/>
        <v>0.1</v>
      </c>
      <c r="G807" s="62">
        <f t="shared" si="132"/>
        <v>777.14099999999996</v>
      </c>
      <c r="H807" s="86"/>
      <c r="I807" s="186"/>
      <c r="J807" s="238" t="s">
        <v>669</v>
      </c>
      <c r="K807" s="83" t="s">
        <v>231</v>
      </c>
      <c r="L807" s="100" t="s">
        <v>628</v>
      </c>
      <c r="M807" s="219" t="s">
        <v>1859</v>
      </c>
      <c r="N807" s="205" t="s">
        <v>1860</v>
      </c>
      <c r="O807" s="206">
        <v>1</v>
      </c>
      <c r="P807" s="226" t="s">
        <v>1725</v>
      </c>
      <c r="Q807" s="287">
        <v>863.49</v>
      </c>
      <c r="R807" s="188">
        <v>0.1</v>
      </c>
      <c r="S807" s="62">
        <v>777.14099999999996</v>
      </c>
      <c r="T807" s="86"/>
      <c r="U807" s="186"/>
      <c r="V807" s="238" t="s">
        <v>669</v>
      </c>
      <c r="W807" s="83" t="s">
        <v>231</v>
      </c>
      <c r="X807" s="100" t="s">
        <v>628</v>
      </c>
    </row>
    <row r="808" spans="1:24" s="1" customFormat="1">
      <c r="A808" s="219" t="s">
        <v>1861</v>
      </c>
      <c r="B808" s="205" t="s">
        <v>1862</v>
      </c>
      <c r="C808" s="206">
        <v>1</v>
      </c>
      <c r="D808" s="226" t="s">
        <v>1725</v>
      </c>
      <c r="E808" s="287">
        <v>152.38</v>
      </c>
      <c r="F808" s="188">
        <f t="shared" si="123"/>
        <v>0.1</v>
      </c>
      <c r="G808" s="62">
        <f t="shared" si="132"/>
        <v>137.142</v>
      </c>
      <c r="H808" s="86"/>
      <c r="I808" s="186"/>
      <c r="J808" s="238" t="s">
        <v>669</v>
      </c>
      <c r="K808" s="83" t="s">
        <v>231</v>
      </c>
      <c r="L808" s="100" t="s">
        <v>628</v>
      </c>
      <c r="M808" s="219" t="s">
        <v>1861</v>
      </c>
      <c r="N808" s="205" t="s">
        <v>1862</v>
      </c>
      <c r="O808" s="206">
        <v>1</v>
      </c>
      <c r="P808" s="226" t="s">
        <v>1725</v>
      </c>
      <c r="Q808" s="287">
        <v>152.38</v>
      </c>
      <c r="R808" s="188">
        <v>0.1</v>
      </c>
      <c r="S808" s="62">
        <v>137.142</v>
      </c>
      <c r="T808" s="86"/>
      <c r="U808" s="186"/>
      <c r="V808" s="238" t="s">
        <v>669</v>
      </c>
      <c r="W808" s="83" t="s">
        <v>231</v>
      </c>
      <c r="X808" s="100" t="s">
        <v>628</v>
      </c>
    </row>
    <row r="809" spans="1:24" s="1" customFormat="1">
      <c r="A809" s="219" t="s">
        <v>1750</v>
      </c>
      <c r="B809" s="205" t="s">
        <v>1854</v>
      </c>
      <c r="C809" s="206">
        <v>1</v>
      </c>
      <c r="D809" s="226" t="s">
        <v>1725</v>
      </c>
      <c r="E809" s="287">
        <v>251.43</v>
      </c>
      <c r="F809" s="188">
        <f t="shared" si="123"/>
        <v>0.1</v>
      </c>
      <c r="G809" s="62">
        <f t="shared" si="132"/>
        <v>226.28700000000001</v>
      </c>
      <c r="H809" s="86"/>
      <c r="I809" s="186"/>
      <c r="J809" s="238" t="s">
        <v>669</v>
      </c>
      <c r="K809" s="83" t="s">
        <v>231</v>
      </c>
      <c r="L809" s="100" t="s">
        <v>628</v>
      </c>
      <c r="M809" s="219" t="s">
        <v>1750</v>
      </c>
      <c r="N809" s="205" t="s">
        <v>1854</v>
      </c>
      <c r="O809" s="206">
        <v>1</v>
      </c>
      <c r="P809" s="226" t="s">
        <v>1725</v>
      </c>
      <c r="Q809" s="287">
        <v>251.43</v>
      </c>
      <c r="R809" s="188">
        <v>0.1</v>
      </c>
      <c r="S809" s="62">
        <v>226.28700000000001</v>
      </c>
      <c r="T809" s="86"/>
      <c r="U809" s="186"/>
      <c r="V809" s="238" t="s">
        <v>669</v>
      </c>
      <c r="W809" s="83" t="s">
        <v>231</v>
      </c>
      <c r="X809" s="100" t="s">
        <v>628</v>
      </c>
    </row>
    <row r="810" spans="1:24" s="1" customFormat="1">
      <c r="A810" s="219" t="s">
        <v>1863</v>
      </c>
      <c r="B810" s="205" t="s">
        <v>1864</v>
      </c>
      <c r="C810" s="206">
        <v>1</v>
      </c>
      <c r="D810" s="226" t="s">
        <v>1725</v>
      </c>
      <c r="E810" s="287">
        <v>2506.83</v>
      </c>
      <c r="F810" s="188">
        <f t="shared" si="123"/>
        <v>0.1</v>
      </c>
      <c r="G810" s="62">
        <f t="shared" si="132"/>
        <v>2256.1469999999999</v>
      </c>
      <c r="H810" s="86"/>
      <c r="I810" s="186"/>
      <c r="J810" s="238" t="s">
        <v>669</v>
      </c>
      <c r="K810" s="83" t="s">
        <v>231</v>
      </c>
      <c r="L810" s="100" t="s">
        <v>628</v>
      </c>
      <c r="M810" s="219" t="s">
        <v>1863</v>
      </c>
      <c r="N810" s="205" t="s">
        <v>1864</v>
      </c>
      <c r="O810" s="206">
        <v>1</v>
      </c>
      <c r="P810" s="226" t="s">
        <v>1725</v>
      </c>
      <c r="Q810" s="287">
        <v>2506.83</v>
      </c>
      <c r="R810" s="188">
        <v>0.1</v>
      </c>
      <c r="S810" s="62">
        <v>2256.1469999999999</v>
      </c>
      <c r="T810" s="86"/>
      <c r="U810" s="186"/>
      <c r="V810" s="238" t="s">
        <v>669</v>
      </c>
      <c r="W810" s="83" t="s">
        <v>231</v>
      </c>
      <c r="X810" s="100" t="s">
        <v>628</v>
      </c>
    </row>
    <row r="811" spans="1:24" s="1" customFormat="1">
      <c r="A811" s="475" t="s">
        <v>1865</v>
      </c>
      <c r="B811" s="223" t="s">
        <v>1866</v>
      </c>
      <c r="C811" s="224">
        <v>1</v>
      </c>
      <c r="D811" s="96" t="s">
        <v>1725</v>
      </c>
      <c r="E811" s="316">
        <v>1140.32</v>
      </c>
      <c r="F811" s="225">
        <f t="shared" si="123"/>
        <v>0.1</v>
      </c>
      <c r="G811" s="97">
        <f t="shared" si="132"/>
        <v>1026.288</v>
      </c>
      <c r="H811" s="86"/>
      <c r="I811" s="186"/>
      <c r="J811" s="238" t="s">
        <v>669</v>
      </c>
      <c r="K811" s="83" t="s">
        <v>231</v>
      </c>
      <c r="L811" s="100" t="s">
        <v>628</v>
      </c>
      <c r="M811" s="475" t="s">
        <v>1865</v>
      </c>
      <c r="N811" s="223" t="s">
        <v>1866</v>
      </c>
      <c r="O811" s="224">
        <v>1</v>
      </c>
      <c r="P811" s="96" t="s">
        <v>1725</v>
      </c>
      <c r="Q811" s="316">
        <v>1140.32</v>
      </c>
      <c r="R811" s="225">
        <v>0.1</v>
      </c>
      <c r="S811" s="97">
        <v>1026.288</v>
      </c>
      <c r="T811" s="86"/>
      <c r="U811" s="186"/>
      <c r="V811" s="238" t="s">
        <v>669</v>
      </c>
      <c r="W811" s="83" t="s">
        <v>231</v>
      </c>
      <c r="X811" s="100" t="s">
        <v>628</v>
      </c>
    </row>
    <row r="812" spans="1:24" s="1" customFormat="1">
      <c r="A812" s="219" t="s">
        <v>1867</v>
      </c>
      <c r="B812" s="205" t="s">
        <v>1868</v>
      </c>
      <c r="C812" s="206">
        <v>1</v>
      </c>
      <c r="D812" s="226" t="s">
        <v>1725</v>
      </c>
      <c r="E812" s="287">
        <v>323.81</v>
      </c>
      <c r="F812" s="188">
        <f t="shared" si="123"/>
        <v>0.1</v>
      </c>
      <c r="G812" s="62">
        <f t="shared" si="132"/>
        <v>291.42899999999997</v>
      </c>
      <c r="H812" s="86"/>
      <c r="I812" s="186"/>
      <c r="J812" s="238" t="s">
        <v>669</v>
      </c>
      <c r="K812" s="83" t="s">
        <v>231</v>
      </c>
      <c r="L812" s="100" t="s">
        <v>628</v>
      </c>
      <c r="M812" s="219" t="s">
        <v>1867</v>
      </c>
      <c r="N812" s="205" t="s">
        <v>1868</v>
      </c>
      <c r="O812" s="206">
        <v>1</v>
      </c>
      <c r="P812" s="226" t="s">
        <v>1725</v>
      </c>
      <c r="Q812" s="287">
        <v>323.81</v>
      </c>
      <c r="R812" s="188">
        <v>0.1</v>
      </c>
      <c r="S812" s="62">
        <v>291.42899999999997</v>
      </c>
      <c r="T812" s="86"/>
      <c r="U812" s="186"/>
      <c r="V812" s="238" t="s">
        <v>669</v>
      </c>
      <c r="W812" s="83" t="s">
        <v>231</v>
      </c>
      <c r="X812" s="100" t="s">
        <v>628</v>
      </c>
    </row>
    <row r="813" spans="1:24" s="1" customFormat="1">
      <c r="A813" s="219" t="s">
        <v>1869</v>
      </c>
      <c r="B813" s="205" t="s">
        <v>1870</v>
      </c>
      <c r="C813" s="206">
        <v>1</v>
      </c>
      <c r="D813" s="226" t="s">
        <v>1725</v>
      </c>
      <c r="E813" s="287">
        <v>1079.3699999999999</v>
      </c>
      <c r="F813" s="188">
        <f t="shared" si="123"/>
        <v>0.1</v>
      </c>
      <c r="G813" s="62">
        <f t="shared" si="132"/>
        <v>971.43299999999988</v>
      </c>
      <c r="H813" s="86"/>
      <c r="I813" s="186"/>
      <c r="J813" s="238" t="s">
        <v>669</v>
      </c>
      <c r="K813" s="83" t="s">
        <v>231</v>
      </c>
      <c r="L813" s="100" t="s">
        <v>628</v>
      </c>
      <c r="M813" s="219" t="s">
        <v>1869</v>
      </c>
      <c r="N813" s="205" t="s">
        <v>1870</v>
      </c>
      <c r="O813" s="206">
        <v>1</v>
      </c>
      <c r="P813" s="226" t="s">
        <v>1725</v>
      </c>
      <c r="Q813" s="287">
        <v>1079.3699999999999</v>
      </c>
      <c r="R813" s="188">
        <v>0.1</v>
      </c>
      <c r="S813" s="62">
        <v>971.43299999999988</v>
      </c>
      <c r="T813" s="86"/>
      <c r="U813" s="186"/>
      <c r="V813" s="238" t="s">
        <v>669</v>
      </c>
      <c r="W813" s="83" t="s">
        <v>231</v>
      </c>
      <c r="X813" s="100" t="s">
        <v>628</v>
      </c>
    </row>
    <row r="814" spans="1:24" s="1" customFormat="1">
      <c r="A814" s="219" t="s">
        <v>1871</v>
      </c>
      <c r="B814" s="205" t="s">
        <v>1872</v>
      </c>
      <c r="C814" s="206">
        <v>1</v>
      </c>
      <c r="D814" s="226" t="s">
        <v>1725</v>
      </c>
      <c r="E814" s="287">
        <v>914.29</v>
      </c>
      <c r="F814" s="188">
        <f t="shared" si="123"/>
        <v>0.1</v>
      </c>
      <c r="G814" s="62">
        <f t="shared" si="132"/>
        <v>822.86099999999999</v>
      </c>
      <c r="H814" s="86"/>
      <c r="I814" s="186"/>
      <c r="J814" s="238" t="s">
        <v>669</v>
      </c>
      <c r="K814" s="83" t="s">
        <v>231</v>
      </c>
      <c r="L814" s="100" t="s">
        <v>628</v>
      </c>
      <c r="M814" s="219" t="s">
        <v>1871</v>
      </c>
      <c r="N814" s="205" t="s">
        <v>1872</v>
      </c>
      <c r="O814" s="206">
        <v>1</v>
      </c>
      <c r="P814" s="226" t="s">
        <v>1725</v>
      </c>
      <c r="Q814" s="287">
        <v>914.29</v>
      </c>
      <c r="R814" s="188">
        <v>0.1</v>
      </c>
      <c r="S814" s="62">
        <v>822.86099999999999</v>
      </c>
      <c r="T814" s="86"/>
      <c r="U814" s="186"/>
      <c r="V814" s="238" t="s">
        <v>669</v>
      </c>
      <c r="W814" s="83" t="s">
        <v>231</v>
      </c>
      <c r="X814" s="100" t="s">
        <v>628</v>
      </c>
    </row>
    <row r="815" spans="1:24" s="1" customFormat="1">
      <c r="A815" s="219" t="s">
        <v>1873</v>
      </c>
      <c r="B815" s="205" t="s">
        <v>1874</v>
      </c>
      <c r="C815" s="206">
        <v>1</v>
      </c>
      <c r="D815" s="226" t="s">
        <v>1875</v>
      </c>
      <c r="E815" s="287">
        <v>1441</v>
      </c>
      <c r="F815" s="188">
        <f t="shared" si="123"/>
        <v>0.1</v>
      </c>
      <c r="G815" s="62">
        <f t="shared" si="132"/>
        <v>1296.9000000000001</v>
      </c>
      <c r="H815" s="86"/>
      <c r="I815" s="186">
        <v>4.17</v>
      </c>
      <c r="J815" s="238" t="s">
        <v>669</v>
      </c>
      <c r="K815" s="83" t="s">
        <v>231</v>
      </c>
      <c r="L815" s="100" t="s">
        <v>628</v>
      </c>
      <c r="M815" s="219" t="s">
        <v>1873</v>
      </c>
      <c r="N815" s="205" t="s">
        <v>1874</v>
      </c>
      <c r="O815" s="206">
        <v>1</v>
      </c>
      <c r="P815" s="226" t="s">
        <v>1875</v>
      </c>
      <c r="Q815" s="287">
        <v>1441</v>
      </c>
      <c r="R815" s="188">
        <v>0.1</v>
      </c>
      <c r="S815" s="62">
        <v>1296.9000000000001</v>
      </c>
      <c r="T815" s="86"/>
      <c r="U815" s="186">
        <v>4.17</v>
      </c>
      <c r="V815" s="238" t="s">
        <v>669</v>
      </c>
      <c r="W815" s="83" t="s">
        <v>231</v>
      </c>
      <c r="X815" s="100" t="s">
        <v>628</v>
      </c>
    </row>
    <row r="816" spans="1:24" s="1" customFormat="1">
      <c r="A816" s="219" t="s">
        <v>1876</v>
      </c>
      <c r="B816" s="205" t="s">
        <v>1877</v>
      </c>
      <c r="C816" s="206">
        <v>1</v>
      </c>
      <c r="D816" s="226" t="s">
        <v>1875</v>
      </c>
      <c r="E816" s="287">
        <v>649</v>
      </c>
      <c r="F816" s="188">
        <f t="shared" si="123"/>
        <v>0.1</v>
      </c>
      <c r="G816" s="62">
        <f t="shared" si="132"/>
        <v>584.1</v>
      </c>
      <c r="H816" s="86"/>
      <c r="I816" s="186"/>
      <c r="J816" s="238" t="s">
        <v>669</v>
      </c>
      <c r="K816" s="83" t="s">
        <v>231</v>
      </c>
      <c r="L816" s="100" t="s">
        <v>628</v>
      </c>
      <c r="M816" s="219" t="s">
        <v>1876</v>
      </c>
      <c r="N816" s="205" t="s">
        <v>1877</v>
      </c>
      <c r="O816" s="206">
        <v>1</v>
      </c>
      <c r="P816" s="226" t="s">
        <v>1875</v>
      </c>
      <c r="Q816" s="287">
        <v>649</v>
      </c>
      <c r="R816" s="188">
        <v>0.1</v>
      </c>
      <c r="S816" s="62">
        <v>584.1</v>
      </c>
      <c r="T816" s="86"/>
      <c r="U816" s="186"/>
      <c r="V816" s="238" t="s">
        <v>669</v>
      </c>
      <c r="W816" s="83" t="s">
        <v>231</v>
      </c>
      <c r="X816" s="100" t="s">
        <v>628</v>
      </c>
    </row>
    <row r="817" spans="1:24" s="1" customFormat="1">
      <c r="A817" s="219" t="s">
        <v>1878</v>
      </c>
      <c r="B817" s="205" t="s">
        <v>1879</v>
      </c>
      <c r="C817" s="206">
        <v>1</v>
      </c>
      <c r="D817" s="226" t="s">
        <v>1875</v>
      </c>
      <c r="E817" s="287">
        <v>8999</v>
      </c>
      <c r="F817" s="188">
        <f t="shared" si="123"/>
        <v>0.1</v>
      </c>
      <c r="G817" s="62">
        <f t="shared" si="132"/>
        <v>8099.1</v>
      </c>
      <c r="H817" s="86"/>
      <c r="I817" s="186">
        <v>4.17</v>
      </c>
      <c r="J817" s="238" t="s">
        <v>669</v>
      </c>
      <c r="K817" s="83" t="s">
        <v>231</v>
      </c>
      <c r="L817" s="100" t="s">
        <v>628</v>
      </c>
      <c r="M817" s="219" t="s">
        <v>1878</v>
      </c>
      <c r="N817" s="205" t="s">
        <v>1879</v>
      </c>
      <c r="O817" s="206">
        <v>1</v>
      </c>
      <c r="P817" s="226" t="s">
        <v>1875</v>
      </c>
      <c r="Q817" s="287">
        <v>8999</v>
      </c>
      <c r="R817" s="188">
        <v>0.1</v>
      </c>
      <c r="S817" s="62">
        <v>8099.1</v>
      </c>
      <c r="T817" s="86"/>
      <c r="U817" s="186">
        <v>4.17</v>
      </c>
      <c r="V817" s="238" t="s">
        <v>669</v>
      </c>
      <c r="W817" s="83" t="s">
        <v>231</v>
      </c>
      <c r="X817" s="100" t="s">
        <v>628</v>
      </c>
    </row>
    <row r="818" spans="1:24" s="1" customFormat="1">
      <c r="A818" s="219" t="s">
        <v>1880</v>
      </c>
      <c r="B818" s="205" t="s">
        <v>1881</v>
      </c>
      <c r="C818" s="206">
        <v>1</v>
      </c>
      <c r="D818" s="226" t="s">
        <v>1875</v>
      </c>
      <c r="E818" s="287">
        <v>4887.67</v>
      </c>
      <c r="F818" s="188">
        <f t="shared" si="123"/>
        <v>0.1</v>
      </c>
      <c r="G818" s="62">
        <f t="shared" si="132"/>
        <v>4398.9030000000002</v>
      </c>
      <c r="H818" s="86"/>
      <c r="I818" s="186">
        <v>4.17</v>
      </c>
      <c r="J818" s="238" t="s">
        <v>669</v>
      </c>
      <c r="K818" s="83" t="s">
        <v>231</v>
      </c>
      <c r="L818" s="100" t="s">
        <v>628</v>
      </c>
      <c r="M818" s="219" t="s">
        <v>1880</v>
      </c>
      <c r="N818" s="205" t="s">
        <v>1881</v>
      </c>
      <c r="O818" s="206">
        <v>1</v>
      </c>
      <c r="P818" s="226" t="s">
        <v>1875</v>
      </c>
      <c r="Q818" s="287">
        <v>4887.67</v>
      </c>
      <c r="R818" s="188">
        <v>0.1</v>
      </c>
      <c r="S818" s="62">
        <v>4398.9030000000002</v>
      </c>
      <c r="T818" s="86"/>
      <c r="U818" s="186">
        <v>4.17</v>
      </c>
      <c r="V818" s="238" t="s">
        <v>669</v>
      </c>
      <c r="W818" s="83" t="s">
        <v>231</v>
      </c>
      <c r="X818" s="100" t="s">
        <v>628</v>
      </c>
    </row>
    <row r="819" spans="1:24" s="1" customFormat="1">
      <c r="A819" s="219" t="s">
        <v>1882</v>
      </c>
      <c r="B819" s="205" t="s">
        <v>1883</v>
      </c>
      <c r="C819" s="206">
        <v>1</v>
      </c>
      <c r="D819" s="226" t="s">
        <v>1875</v>
      </c>
      <c r="E819" s="287">
        <v>399</v>
      </c>
      <c r="F819" s="188">
        <f t="shared" si="123"/>
        <v>0.1</v>
      </c>
      <c r="G819" s="62">
        <f t="shared" si="132"/>
        <v>359.1</v>
      </c>
      <c r="H819" s="86"/>
      <c r="I819" s="186"/>
      <c r="J819" s="238" t="s">
        <v>669</v>
      </c>
      <c r="K819" s="83" t="s">
        <v>231</v>
      </c>
      <c r="L819" s="100" t="s">
        <v>628</v>
      </c>
      <c r="M819" s="219" t="s">
        <v>1882</v>
      </c>
      <c r="N819" s="205" t="s">
        <v>1883</v>
      </c>
      <c r="O819" s="206">
        <v>1</v>
      </c>
      <c r="P819" s="226" t="s">
        <v>1875</v>
      </c>
      <c r="Q819" s="287">
        <v>399</v>
      </c>
      <c r="R819" s="188">
        <v>0.1</v>
      </c>
      <c r="S819" s="62">
        <v>359.1</v>
      </c>
      <c r="T819" s="86"/>
      <c r="U819" s="186"/>
      <c r="V819" s="238" t="s">
        <v>669</v>
      </c>
      <c r="W819" s="83" t="s">
        <v>231</v>
      </c>
      <c r="X819" s="100" t="s">
        <v>628</v>
      </c>
    </row>
    <row r="820" spans="1:24" s="1" customFormat="1">
      <c r="A820" s="219" t="s">
        <v>1884</v>
      </c>
      <c r="B820" s="205" t="s">
        <v>1885</v>
      </c>
      <c r="C820" s="206">
        <v>1</v>
      </c>
      <c r="D820" s="226" t="s">
        <v>1875</v>
      </c>
      <c r="E820" s="287">
        <v>999</v>
      </c>
      <c r="F820" s="188">
        <f t="shared" si="123"/>
        <v>0.1</v>
      </c>
      <c r="G820" s="62">
        <f t="shared" si="132"/>
        <v>899.1</v>
      </c>
      <c r="H820" s="86"/>
      <c r="I820" s="186">
        <v>4.17</v>
      </c>
      <c r="J820" s="238" t="s">
        <v>669</v>
      </c>
      <c r="K820" s="83" t="s">
        <v>231</v>
      </c>
      <c r="L820" s="100" t="s">
        <v>628</v>
      </c>
      <c r="M820" s="219" t="s">
        <v>1884</v>
      </c>
      <c r="N820" s="205" t="s">
        <v>1885</v>
      </c>
      <c r="O820" s="206">
        <v>1</v>
      </c>
      <c r="P820" s="226" t="s">
        <v>1875</v>
      </c>
      <c r="Q820" s="287">
        <v>999</v>
      </c>
      <c r="R820" s="188">
        <v>0.1</v>
      </c>
      <c r="S820" s="62">
        <v>899.1</v>
      </c>
      <c r="T820" s="86"/>
      <c r="U820" s="186">
        <v>4.17</v>
      </c>
      <c r="V820" s="238" t="s">
        <v>669</v>
      </c>
      <c r="W820" s="83" t="s">
        <v>231</v>
      </c>
      <c r="X820" s="100" t="s">
        <v>628</v>
      </c>
    </row>
    <row r="821" spans="1:24" s="1" customFormat="1">
      <c r="A821" s="219" t="s">
        <v>1886</v>
      </c>
      <c r="B821" s="205" t="s">
        <v>1887</v>
      </c>
      <c r="C821" s="206">
        <v>1</v>
      </c>
      <c r="D821" s="226" t="s">
        <v>1875</v>
      </c>
      <c r="E821" s="287">
        <v>699</v>
      </c>
      <c r="F821" s="188">
        <f t="shared" si="123"/>
        <v>0.1</v>
      </c>
      <c r="G821" s="62">
        <f t="shared" si="132"/>
        <v>629.1</v>
      </c>
      <c r="H821" s="86"/>
      <c r="I821" s="186">
        <v>1.67</v>
      </c>
      <c r="J821" s="238" t="s">
        <v>669</v>
      </c>
      <c r="K821" s="83" t="s">
        <v>231</v>
      </c>
      <c r="L821" s="100" t="s">
        <v>628</v>
      </c>
      <c r="M821" s="219" t="s">
        <v>1886</v>
      </c>
      <c r="N821" s="205" t="s">
        <v>1887</v>
      </c>
      <c r="O821" s="206">
        <v>1</v>
      </c>
      <c r="P821" s="226" t="s">
        <v>1875</v>
      </c>
      <c r="Q821" s="287">
        <v>699</v>
      </c>
      <c r="R821" s="188">
        <v>0.1</v>
      </c>
      <c r="S821" s="62">
        <v>629.1</v>
      </c>
      <c r="T821" s="86"/>
      <c r="U821" s="186">
        <v>1.67</v>
      </c>
      <c r="V821" s="238" t="s">
        <v>669</v>
      </c>
      <c r="W821" s="83" t="s">
        <v>231</v>
      </c>
      <c r="X821" s="100" t="s">
        <v>628</v>
      </c>
    </row>
    <row r="822" spans="1:24" s="1" customFormat="1">
      <c r="A822" s="219" t="s">
        <v>1888</v>
      </c>
      <c r="B822" s="205" t="s">
        <v>1889</v>
      </c>
      <c r="C822" s="206">
        <v>1</v>
      </c>
      <c r="D822" s="226" t="s">
        <v>1875</v>
      </c>
      <c r="E822" s="287">
        <v>779</v>
      </c>
      <c r="F822" s="188">
        <f t="shared" si="123"/>
        <v>0.1</v>
      </c>
      <c r="G822" s="62">
        <f t="shared" si="132"/>
        <v>701.1</v>
      </c>
      <c r="H822" s="86"/>
      <c r="I822" s="186">
        <v>4.17</v>
      </c>
      <c r="J822" s="238" t="s">
        <v>669</v>
      </c>
      <c r="K822" s="83" t="s">
        <v>231</v>
      </c>
      <c r="L822" s="100" t="s">
        <v>628</v>
      </c>
      <c r="M822" s="219" t="s">
        <v>1888</v>
      </c>
      <c r="N822" s="205" t="s">
        <v>1889</v>
      </c>
      <c r="O822" s="206">
        <v>1</v>
      </c>
      <c r="P822" s="226" t="s">
        <v>1875</v>
      </c>
      <c r="Q822" s="287">
        <v>779</v>
      </c>
      <c r="R822" s="188">
        <v>0.1</v>
      </c>
      <c r="S822" s="62">
        <v>701.1</v>
      </c>
      <c r="T822" s="86"/>
      <c r="U822" s="186">
        <v>4.17</v>
      </c>
      <c r="V822" s="238" t="s">
        <v>669</v>
      </c>
      <c r="W822" s="83" t="s">
        <v>231</v>
      </c>
      <c r="X822" s="100" t="s">
        <v>628</v>
      </c>
    </row>
    <row r="823" spans="1:24" s="1" customFormat="1">
      <c r="A823" s="219" t="s">
        <v>1890</v>
      </c>
      <c r="B823" s="205" t="s">
        <v>1891</v>
      </c>
      <c r="C823" s="206">
        <v>1</v>
      </c>
      <c r="D823" s="226" t="s">
        <v>1875</v>
      </c>
      <c r="E823" s="287">
        <v>1449</v>
      </c>
      <c r="F823" s="188">
        <f t="shared" si="123"/>
        <v>0.1</v>
      </c>
      <c r="G823" s="62">
        <f t="shared" si="132"/>
        <v>1304.0999999999999</v>
      </c>
      <c r="H823" s="86"/>
      <c r="I823" s="186">
        <v>4.17</v>
      </c>
      <c r="J823" s="238" t="s">
        <v>669</v>
      </c>
      <c r="K823" s="83" t="s">
        <v>231</v>
      </c>
      <c r="L823" s="100" t="s">
        <v>628</v>
      </c>
      <c r="M823" s="219" t="s">
        <v>1890</v>
      </c>
      <c r="N823" s="205" t="s">
        <v>1891</v>
      </c>
      <c r="O823" s="206">
        <v>1</v>
      </c>
      <c r="P823" s="226" t="s">
        <v>1875</v>
      </c>
      <c r="Q823" s="287">
        <v>1449</v>
      </c>
      <c r="R823" s="188">
        <v>0.1</v>
      </c>
      <c r="S823" s="62">
        <v>1304.0999999999999</v>
      </c>
      <c r="T823" s="86"/>
      <c r="U823" s="186">
        <v>4.17</v>
      </c>
      <c r="V823" s="238" t="s">
        <v>669</v>
      </c>
      <c r="W823" s="83" t="s">
        <v>231</v>
      </c>
      <c r="X823" s="100" t="s">
        <v>628</v>
      </c>
    </row>
    <row r="824" spans="1:24" s="1" customFormat="1">
      <c r="A824" s="219" t="s">
        <v>1892</v>
      </c>
      <c r="B824" s="205" t="s">
        <v>1893</v>
      </c>
      <c r="C824" s="206">
        <v>1</v>
      </c>
      <c r="D824" s="226" t="s">
        <v>1875</v>
      </c>
      <c r="E824" s="287">
        <v>1699</v>
      </c>
      <c r="F824" s="188">
        <f t="shared" si="123"/>
        <v>0.1</v>
      </c>
      <c r="G824" s="62">
        <f t="shared" si="132"/>
        <v>1529.1</v>
      </c>
      <c r="H824" s="86"/>
      <c r="I824" s="186">
        <v>4.17</v>
      </c>
      <c r="J824" s="238" t="s">
        <v>669</v>
      </c>
      <c r="K824" s="83" t="s">
        <v>231</v>
      </c>
      <c r="L824" s="100" t="s">
        <v>628</v>
      </c>
      <c r="M824" s="219" t="s">
        <v>1892</v>
      </c>
      <c r="N824" s="205" t="s">
        <v>1893</v>
      </c>
      <c r="O824" s="206">
        <v>1</v>
      </c>
      <c r="P824" s="226" t="s">
        <v>1875</v>
      </c>
      <c r="Q824" s="287">
        <v>1699</v>
      </c>
      <c r="R824" s="188">
        <v>0.1</v>
      </c>
      <c r="S824" s="62">
        <v>1529.1</v>
      </c>
      <c r="T824" s="86"/>
      <c r="U824" s="186">
        <v>4.17</v>
      </c>
      <c r="V824" s="238" t="s">
        <v>669</v>
      </c>
      <c r="W824" s="83" t="s">
        <v>231</v>
      </c>
      <c r="X824" s="100" t="s">
        <v>628</v>
      </c>
    </row>
    <row r="825" spans="1:24" s="1" customFormat="1">
      <c r="A825" s="219" t="s">
        <v>1894</v>
      </c>
      <c r="B825" s="205" t="s">
        <v>1895</v>
      </c>
      <c r="C825" s="206">
        <v>1</v>
      </c>
      <c r="D825" s="226" t="s">
        <v>1875</v>
      </c>
      <c r="E825" s="287">
        <v>1999</v>
      </c>
      <c r="F825" s="188">
        <f t="shared" si="123"/>
        <v>0.1</v>
      </c>
      <c r="G825" s="62">
        <f t="shared" si="132"/>
        <v>1799.1</v>
      </c>
      <c r="H825" s="86"/>
      <c r="I825" s="186">
        <v>4.17</v>
      </c>
      <c r="J825" s="238" t="s">
        <v>669</v>
      </c>
      <c r="K825" s="83" t="s">
        <v>231</v>
      </c>
      <c r="L825" s="100" t="s">
        <v>628</v>
      </c>
      <c r="M825" s="219" t="s">
        <v>1894</v>
      </c>
      <c r="N825" s="205" t="s">
        <v>1895</v>
      </c>
      <c r="O825" s="206">
        <v>1</v>
      </c>
      <c r="P825" s="226" t="s">
        <v>1875</v>
      </c>
      <c r="Q825" s="287">
        <v>1999</v>
      </c>
      <c r="R825" s="188">
        <v>0.1</v>
      </c>
      <c r="S825" s="62">
        <v>1799.1</v>
      </c>
      <c r="T825" s="86"/>
      <c r="U825" s="186">
        <v>4.17</v>
      </c>
      <c r="V825" s="238" t="s">
        <v>669</v>
      </c>
      <c r="W825" s="83" t="s">
        <v>231</v>
      </c>
      <c r="X825" s="100" t="s">
        <v>628</v>
      </c>
    </row>
    <row r="826" spans="1:24" s="1" customFormat="1">
      <c r="A826" s="219" t="s">
        <v>1896</v>
      </c>
      <c r="B826" s="205" t="s">
        <v>1897</v>
      </c>
      <c r="C826" s="206">
        <v>1</v>
      </c>
      <c r="D826" s="226" t="s">
        <v>1875</v>
      </c>
      <c r="E826" s="287">
        <v>29</v>
      </c>
      <c r="F826" s="188">
        <f t="shared" si="123"/>
        <v>0.1</v>
      </c>
      <c r="G826" s="62">
        <f t="shared" si="132"/>
        <v>26.1</v>
      </c>
      <c r="H826" s="86"/>
      <c r="I826" s="186">
        <v>0</v>
      </c>
      <c r="J826" s="238" t="s">
        <v>669</v>
      </c>
      <c r="K826" s="83" t="s">
        <v>231</v>
      </c>
      <c r="L826" s="100" t="s">
        <v>628</v>
      </c>
      <c r="M826" s="219" t="s">
        <v>1896</v>
      </c>
      <c r="N826" s="205" t="s">
        <v>1897</v>
      </c>
      <c r="O826" s="206">
        <v>1</v>
      </c>
      <c r="P826" s="226" t="s">
        <v>1875</v>
      </c>
      <c r="Q826" s="287">
        <v>29</v>
      </c>
      <c r="R826" s="188">
        <v>0.1</v>
      </c>
      <c r="S826" s="62">
        <v>26.1</v>
      </c>
      <c r="T826" s="86"/>
      <c r="U826" s="186">
        <v>0</v>
      </c>
      <c r="V826" s="238" t="s">
        <v>669</v>
      </c>
      <c r="W826" s="83" t="s">
        <v>231</v>
      </c>
      <c r="X826" s="100" t="s">
        <v>628</v>
      </c>
    </row>
    <row r="827" spans="1:24" s="1" customFormat="1">
      <c r="A827" s="219" t="s">
        <v>1898</v>
      </c>
      <c r="B827" s="205" t="s">
        <v>1899</v>
      </c>
      <c r="C827" s="206">
        <v>1</v>
      </c>
      <c r="D827" s="226" t="s">
        <v>1875</v>
      </c>
      <c r="E827" s="287">
        <v>39.99</v>
      </c>
      <c r="F827" s="188">
        <f t="shared" si="123"/>
        <v>0.1</v>
      </c>
      <c r="G827" s="62">
        <f t="shared" ref="G827:G841" si="133">E827-(E827*F827)</f>
        <v>35.991</v>
      </c>
      <c r="H827" s="86"/>
      <c r="I827" s="186">
        <v>0</v>
      </c>
      <c r="J827" s="238" t="s">
        <v>669</v>
      </c>
      <c r="K827" s="83" t="s">
        <v>231</v>
      </c>
      <c r="L827" s="100" t="s">
        <v>628</v>
      </c>
      <c r="M827" s="219" t="s">
        <v>1898</v>
      </c>
      <c r="N827" s="205" t="s">
        <v>1899</v>
      </c>
      <c r="O827" s="206">
        <v>1</v>
      </c>
      <c r="P827" s="226" t="s">
        <v>1875</v>
      </c>
      <c r="Q827" s="287">
        <v>39.99</v>
      </c>
      <c r="R827" s="188">
        <v>0.1</v>
      </c>
      <c r="S827" s="62">
        <v>35.991</v>
      </c>
      <c r="T827" s="86"/>
      <c r="U827" s="186">
        <v>0</v>
      </c>
      <c r="V827" s="238" t="s">
        <v>669</v>
      </c>
      <c r="W827" s="83" t="s">
        <v>231</v>
      </c>
      <c r="X827" s="100" t="s">
        <v>628</v>
      </c>
    </row>
    <row r="828" spans="1:24" s="1" customFormat="1">
      <c r="A828" s="219" t="s">
        <v>1900</v>
      </c>
      <c r="B828" s="205" t="s">
        <v>1901</v>
      </c>
      <c r="C828" s="206">
        <v>1</v>
      </c>
      <c r="D828" s="226" t="s">
        <v>1875</v>
      </c>
      <c r="E828" s="287">
        <v>52.79</v>
      </c>
      <c r="F828" s="188">
        <f t="shared" si="123"/>
        <v>0.1</v>
      </c>
      <c r="G828" s="62">
        <f t="shared" si="133"/>
        <v>47.510999999999996</v>
      </c>
      <c r="H828" s="86"/>
      <c r="I828" s="186">
        <v>0</v>
      </c>
      <c r="J828" s="238" t="s">
        <v>669</v>
      </c>
      <c r="K828" s="83" t="s">
        <v>231</v>
      </c>
      <c r="L828" s="100" t="s">
        <v>628</v>
      </c>
      <c r="M828" s="219" t="s">
        <v>1900</v>
      </c>
      <c r="N828" s="205" t="s">
        <v>1901</v>
      </c>
      <c r="O828" s="206">
        <v>1</v>
      </c>
      <c r="P828" s="226" t="s">
        <v>1875</v>
      </c>
      <c r="Q828" s="287">
        <v>52.79</v>
      </c>
      <c r="R828" s="188">
        <v>0.1</v>
      </c>
      <c r="S828" s="62">
        <v>47.510999999999996</v>
      </c>
      <c r="T828" s="86"/>
      <c r="U828" s="186">
        <v>0</v>
      </c>
      <c r="V828" s="238" t="s">
        <v>669</v>
      </c>
      <c r="W828" s="83" t="s">
        <v>231</v>
      </c>
      <c r="X828" s="100" t="s">
        <v>628</v>
      </c>
    </row>
    <row r="829" spans="1:24" s="1" customFormat="1">
      <c r="A829" s="466" t="s">
        <v>1902</v>
      </c>
      <c r="B829" s="348" t="s">
        <v>1903</v>
      </c>
      <c r="C829" s="210">
        <v>1</v>
      </c>
      <c r="D829" s="227" t="s">
        <v>1875</v>
      </c>
      <c r="E829" s="288">
        <v>79.37</v>
      </c>
      <c r="F829" s="208">
        <f t="shared" si="123"/>
        <v>0.1</v>
      </c>
      <c r="G829" s="91">
        <f t="shared" si="133"/>
        <v>71.433000000000007</v>
      </c>
      <c r="H829" s="211"/>
      <c r="I829" s="204">
        <v>0</v>
      </c>
      <c r="J829" s="238" t="s">
        <v>669</v>
      </c>
      <c r="K829" s="83" t="s">
        <v>231</v>
      </c>
      <c r="L829" s="100" t="s">
        <v>628</v>
      </c>
      <c r="M829" s="466" t="s">
        <v>1902</v>
      </c>
      <c r="N829" s="348" t="s">
        <v>1903</v>
      </c>
      <c r="O829" s="210">
        <v>1</v>
      </c>
      <c r="P829" s="227" t="s">
        <v>1875</v>
      </c>
      <c r="Q829" s="288">
        <v>79.37</v>
      </c>
      <c r="R829" s="208">
        <v>0.1</v>
      </c>
      <c r="S829" s="91">
        <v>71.433000000000007</v>
      </c>
      <c r="T829" s="211"/>
      <c r="U829" s="204">
        <v>0</v>
      </c>
      <c r="V829" s="238" t="s">
        <v>669</v>
      </c>
      <c r="W829" s="83" t="s">
        <v>231</v>
      </c>
      <c r="X829" s="100" t="s">
        <v>628</v>
      </c>
    </row>
    <row r="830" spans="1:24" s="1" customFormat="1">
      <c r="A830" s="219" t="s">
        <v>1904</v>
      </c>
      <c r="B830" s="205" t="s">
        <v>1905</v>
      </c>
      <c r="C830" s="206">
        <v>1</v>
      </c>
      <c r="D830" s="226" t="s">
        <v>1906</v>
      </c>
      <c r="E830" s="287">
        <v>3832.76</v>
      </c>
      <c r="F830" s="188">
        <f t="shared" si="123"/>
        <v>0.1</v>
      </c>
      <c r="G830" s="62">
        <f t="shared" si="133"/>
        <v>3449.4840000000004</v>
      </c>
      <c r="H830" s="86"/>
      <c r="I830" s="186">
        <v>6.76</v>
      </c>
      <c r="J830" s="238" t="s">
        <v>669</v>
      </c>
      <c r="K830" s="83" t="s">
        <v>231</v>
      </c>
      <c r="L830" s="100" t="s">
        <v>628</v>
      </c>
      <c r="M830" s="219" t="s">
        <v>1904</v>
      </c>
      <c r="N830" s="205" t="s">
        <v>1905</v>
      </c>
      <c r="O830" s="206">
        <v>1</v>
      </c>
      <c r="P830" s="226" t="s">
        <v>1906</v>
      </c>
      <c r="Q830" s="287">
        <v>3832.76</v>
      </c>
      <c r="R830" s="188">
        <v>0.1</v>
      </c>
      <c r="S830" s="62">
        <v>3449.4840000000004</v>
      </c>
      <c r="T830" s="86"/>
      <c r="U830" s="186">
        <v>6.76</v>
      </c>
      <c r="V830" s="238" t="s">
        <v>669</v>
      </c>
      <c r="W830" s="83" t="s">
        <v>231</v>
      </c>
      <c r="X830" s="100" t="s">
        <v>628</v>
      </c>
    </row>
    <row r="831" spans="1:24" s="1" customFormat="1">
      <c r="A831" s="219" t="s">
        <v>1907</v>
      </c>
      <c r="B831" s="205" t="s">
        <v>1908</v>
      </c>
      <c r="C831" s="206">
        <v>1</v>
      </c>
      <c r="D831" s="226" t="s">
        <v>1906</v>
      </c>
      <c r="E831" s="287">
        <v>4809.29</v>
      </c>
      <c r="F831" s="188">
        <f t="shared" si="123"/>
        <v>0.1</v>
      </c>
      <c r="G831" s="62">
        <f t="shared" si="133"/>
        <v>4328.3609999999999</v>
      </c>
      <c r="H831" s="86"/>
      <c r="I831" s="186">
        <v>10.29</v>
      </c>
      <c r="J831" s="238" t="s">
        <v>669</v>
      </c>
      <c r="K831" s="83" t="s">
        <v>231</v>
      </c>
      <c r="L831" s="100" t="s">
        <v>628</v>
      </c>
      <c r="M831" s="219" t="s">
        <v>1907</v>
      </c>
      <c r="N831" s="205" t="s">
        <v>1908</v>
      </c>
      <c r="O831" s="206">
        <v>1</v>
      </c>
      <c r="P831" s="226" t="s">
        <v>1906</v>
      </c>
      <c r="Q831" s="287">
        <v>4809.29</v>
      </c>
      <c r="R831" s="188">
        <v>0.1</v>
      </c>
      <c r="S831" s="62">
        <v>4328.3609999999999</v>
      </c>
      <c r="T831" s="86"/>
      <c r="U831" s="186">
        <v>10.29</v>
      </c>
      <c r="V831" s="238" t="s">
        <v>669</v>
      </c>
      <c r="W831" s="83" t="s">
        <v>231</v>
      </c>
      <c r="X831" s="100" t="s">
        <v>628</v>
      </c>
    </row>
    <row r="832" spans="1:24" s="1" customFormat="1">
      <c r="A832" s="219" t="s">
        <v>1909</v>
      </c>
      <c r="B832" s="205" t="s">
        <v>1910</v>
      </c>
      <c r="C832" s="206">
        <v>1</v>
      </c>
      <c r="D832" s="226" t="s">
        <v>1906</v>
      </c>
      <c r="E832" s="287">
        <v>1254.55</v>
      </c>
      <c r="F832" s="188">
        <f t="shared" si="123"/>
        <v>0.1</v>
      </c>
      <c r="G832" s="62">
        <f t="shared" si="133"/>
        <v>1129.095</v>
      </c>
      <c r="H832" s="86"/>
      <c r="I832" s="186">
        <v>4.55</v>
      </c>
      <c r="J832" s="238" t="s">
        <v>669</v>
      </c>
      <c r="K832" s="83" t="s">
        <v>231</v>
      </c>
      <c r="L832" s="100" t="s">
        <v>628</v>
      </c>
      <c r="M832" s="219" t="s">
        <v>1909</v>
      </c>
      <c r="N832" s="205" t="s">
        <v>1910</v>
      </c>
      <c r="O832" s="206">
        <v>1</v>
      </c>
      <c r="P832" s="226" t="s">
        <v>1906</v>
      </c>
      <c r="Q832" s="287">
        <v>1254.55</v>
      </c>
      <c r="R832" s="188">
        <v>0.1</v>
      </c>
      <c r="S832" s="62">
        <v>1129.095</v>
      </c>
      <c r="T832" s="86"/>
      <c r="U832" s="186">
        <v>4.55</v>
      </c>
      <c r="V832" s="238" t="s">
        <v>669</v>
      </c>
      <c r="W832" s="83" t="s">
        <v>231</v>
      </c>
      <c r="X832" s="100" t="s">
        <v>628</v>
      </c>
    </row>
    <row r="833" spans="1:24" s="1" customFormat="1">
      <c r="A833" s="219" t="s">
        <v>1911</v>
      </c>
      <c r="B833" s="205" t="s">
        <v>1912</v>
      </c>
      <c r="C833" s="206">
        <v>1</v>
      </c>
      <c r="D833" s="226" t="s">
        <v>1906</v>
      </c>
      <c r="E833" s="287">
        <v>1806.12</v>
      </c>
      <c r="F833" s="188">
        <f t="shared" si="123"/>
        <v>0.1</v>
      </c>
      <c r="G833" s="62">
        <f t="shared" si="133"/>
        <v>1625.5079999999998</v>
      </c>
      <c r="H833" s="86"/>
      <c r="I833" s="186">
        <v>6.12</v>
      </c>
      <c r="J833" s="238" t="s">
        <v>669</v>
      </c>
      <c r="K833" s="83" t="s">
        <v>231</v>
      </c>
      <c r="L833" s="100" t="s">
        <v>628</v>
      </c>
      <c r="M833" s="219" t="s">
        <v>1911</v>
      </c>
      <c r="N833" s="205" t="s">
        <v>1912</v>
      </c>
      <c r="O833" s="206">
        <v>1</v>
      </c>
      <c r="P833" s="226" t="s">
        <v>1906</v>
      </c>
      <c r="Q833" s="287">
        <v>1806.12</v>
      </c>
      <c r="R833" s="188">
        <v>0.1</v>
      </c>
      <c r="S833" s="62">
        <v>1625.5079999999998</v>
      </c>
      <c r="T833" s="86"/>
      <c r="U833" s="186">
        <v>6.12</v>
      </c>
      <c r="V833" s="238" t="s">
        <v>669</v>
      </c>
      <c r="W833" s="83" t="s">
        <v>231</v>
      </c>
      <c r="X833" s="100" t="s">
        <v>628</v>
      </c>
    </row>
    <row r="834" spans="1:24" s="1" customFormat="1">
      <c r="A834" s="219" t="s">
        <v>1913</v>
      </c>
      <c r="B834" s="205" t="s">
        <v>1914</v>
      </c>
      <c r="C834" s="206">
        <v>1</v>
      </c>
      <c r="D834" s="226" t="s">
        <v>1906</v>
      </c>
      <c r="E834" s="287">
        <v>771.1</v>
      </c>
      <c r="F834" s="188">
        <f t="shared" si="123"/>
        <v>0.1</v>
      </c>
      <c r="G834" s="62">
        <f t="shared" si="133"/>
        <v>693.99</v>
      </c>
      <c r="H834" s="86"/>
      <c r="I834" s="186">
        <v>1.1000000000000001</v>
      </c>
      <c r="J834" s="238" t="s">
        <v>669</v>
      </c>
      <c r="K834" s="83" t="s">
        <v>231</v>
      </c>
      <c r="L834" s="100" t="s">
        <v>628</v>
      </c>
      <c r="M834" s="219" t="s">
        <v>1913</v>
      </c>
      <c r="N834" s="205" t="s">
        <v>1914</v>
      </c>
      <c r="O834" s="206">
        <v>1</v>
      </c>
      <c r="P834" s="226" t="s">
        <v>1906</v>
      </c>
      <c r="Q834" s="287">
        <v>771.1</v>
      </c>
      <c r="R834" s="188">
        <v>0.1</v>
      </c>
      <c r="S834" s="62">
        <v>693.99</v>
      </c>
      <c r="T834" s="86"/>
      <c r="U834" s="186">
        <v>1.1000000000000001</v>
      </c>
      <c r="V834" s="238" t="s">
        <v>669</v>
      </c>
      <c r="W834" s="83" t="s">
        <v>231</v>
      </c>
      <c r="X834" s="100" t="s">
        <v>628</v>
      </c>
    </row>
    <row r="835" spans="1:24" s="1" customFormat="1">
      <c r="A835" s="219" t="s">
        <v>1915</v>
      </c>
      <c r="B835" s="205" t="s">
        <v>1916</v>
      </c>
      <c r="C835" s="206">
        <v>1</v>
      </c>
      <c r="D835" s="226" t="s">
        <v>1906</v>
      </c>
      <c r="E835" s="287">
        <v>716.1</v>
      </c>
      <c r="F835" s="188">
        <f t="shared" si="123"/>
        <v>0.1</v>
      </c>
      <c r="G835" s="62">
        <f t="shared" si="133"/>
        <v>644.49</v>
      </c>
      <c r="H835" s="86"/>
      <c r="I835" s="186">
        <v>1.1000000000000001</v>
      </c>
      <c r="J835" s="238" t="s">
        <v>669</v>
      </c>
      <c r="K835" s="83" t="s">
        <v>231</v>
      </c>
      <c r="L835" s="100" t="s">
        <v>628</v>
      </c>
      <c r="M835" s="219" t="s">
        <v>1915</v>
      </c>
      <c r="N835" s="205" t="s">
        <v>1916</v>
      </c>
      <c r="O835" s="206">
        <v>1</v>
      </c>
      <c r="P835" s="226" t="s">
        <v>1906</v>
      </c>
      <c r="Q835" s="287">
        <v>716.1</v>
      </c>
      <c r="R835" s="188">
        <v>0.1</v>
      </c>
      <c r="S835" s="62">
        <v>644.49</v>
      </c>
      <c r="T835" s="86"/>
      <c r="U835" s="186">
        <v>1.1000000000000001</v>
      </c>
      <c r="V835" s="238" t="s">
        <v>669</v>
      </c>
      <c r="W835" s="83" t="s">
        <v>231</v>
      </c>
      <c r="X835" s="100" t="s">
        <v>628</v>
      </c>
    </row>
    <row r="836" spans="1:24" s="1" customFormat="1">
      <c r="A836" s="219" t="s">
        <v>1917</v>
      </c>
      <c r="B836" s="205" t="s">
        <v>1918</v>
      </c>
      <c r="C836" s="206">
        <v>1</v>
      </c>
      <c r="D836" s="226" t="s">
        <v>1906</v>
      </c>
      <c r="E836" s="287">
        <v>2674.48</v>
      </c>
      <c r="F836" s="188">
        <f t="shared" si="123"/>
        <v>0.1</v>
      </c>
      <c r="G836" s="62">
        <f t="shared" si="133"/>
        <v>2407.0320000000002</v>
      </c>
      <c r="H836" s="86"/>
      <c r="I836" s="186">
        <v>7.48</v>
      </c>
      <c r="J836" s="238" t="s">
        <v>669</v>
      </c>
      <c r="K836" s="83" t="s">
        <v>231</v>
      </c>
      <c r="L836" s="100" t="s">
        <v>628</v>
      </c>
      <c r="M836" s="219" t="s">
        <v>1917</v>
      </c>
      <c r="N836" s="205" t="s">
        <v>1918</v>
      </c>
      <c r="O836" s="206">
        <v>1</v>
      </c>
      <c r="P836" s="226" t="s">
        <v>1906</v>
      </c>
      <c r="Q836" s="287">
        <v>2674.48</v>
      </c>
      <c r="R836" s="188">
        <v>0.1</v>
      </c>
      <c r="S836" s="62">
        <v>2407.0320000000002</v>
      </c>
      <c r="T836" s="86"/>
      <c r="U836" s="186">
        <v>7.48</v>
      </c>
      <c r="V836" s="238" t="s">
        <v>669</v>
      </c>
      <c r="W836" s="83" t="s">
        <v>231</v>
      </c>
      <c r="X836" s="100" t="s">
        <v>628</v>
      </c>
    </row>
    <row r="837" spans="1:24" s="1" customFormat="1">
      <c r="A837" s="219" t="s">
        <v>1919</v>
      </c>
      <c r="B837" s="205" t="s">
        <v>1920</v>
      </c>
      <c r="C837" s="206">
        <v>1</v>
      </c>
      <c r="D837" s="226" t="s">
        <v>1906</v>
      </c>
      <c r="E837" s="287">
        <v>2827</v>
      </c>
      <c r="F837" s="188">
        <f t="shared" si="123"/>
        <v>0.1</v>
      </c>
      <c r="G837" s="62">
        <f t="shared" si="133"/>
        <v>2544.3000000000002</v>
      </c>
      <c r="H837" s="86"/>
      <c r="I837" s="186">
        <v>9</v>
      </c>
      <c r="J837" s="238" t="s">
        <v>669</v>
      </c>
      <c r="K837" s="83" t="s">
        <v>231</v>
      </c>
      <c r="L837" s="100" t="s">
        <v>628</v>
      </c>
      <c r="M837" s="219" t="s">
        <v>1919</v>
      </c>
      <c r="N837" s="205" t="s">
        <v>1920</v>
      </c>
      <c r="O837" s="206">
        <v>1</v>
      </c>
      <c r="P837" s="226" t="s">
        <v>1906</v>
      </c>
      <c r="Q837" s="287">
        <v>2827</v>
      </c>
      <c r="R837" s="188">
        <v>0.1</v>
      </c>
      <c r="S837" s="62">
        <v>2544.3000000000002</v>
      </c>
      <c r="T837" s="86"/>
      <c r="U837" s="186">
        <v>9</v>
      </c>
      <c r="V837" s="238" t="s">
        <v>669</v>
      </c>
      <c r="W837" s="83" t="s">
        <v>231</v>
      </c>
      <c r="X837" s="100" t="s">
        <v>628</v>
      </c>
    </row>
    <row r="838" spans="1:24" s="1" customFormat="1">
      <c r="A838" s="219" t="s">
        <v>1921</v>
      </c>
      <c r="B838" s="205" t="s">
        <v>1922</v>
      </c>
      <c r="C838" s="206">
        <v>1</v>
      </c>
      <c r="D838" s="226" t="s">
        <v>1906</v>
      </c>
      <c r="E838" s="287">
        <v>1154</v>
      </c>
      <c r="F838" s="188">
        <f t="shared" si="123"/>
        <v>0.1</v>
      </c>
      <c r="G838" s="62">
        <f t="shared" si="133"/>
        <v>1038.5999999999999</v>
      </c>
      <c r="H838" s="86"/>
      <c r="I838" s="186">
        <v>0</v>
      </c>
      <c r="J838" s="238" t="s">
        <v>669</v>
      </c>
      <c r="K838" s="83" t="s">
        <v>231</v>
      </c>
      <c r="L838" s="100" t="s">
        <v>628</v>
      </c>
      <c r="M838" s="219" t="s">
        <v>1921</v>
      </c>
      <c r="N838" s="205" t="s">
        <v>1922</v>
      </c>
      <c r="O838" s="206">
        <v>1</v>
      </c>
      <c r="P838" s="226" t="s">
        <v>1906</v>
      </c>
      <c r="Q838" s="287">
        <v>1154</v>
      </c>
      <c r="R838" s="188">
        <v>0.1</v>
      </c>
      <c r="S838" s="62">
        <v>1038.5999999999999</v>
      </c>
      <c r="T838" s="86"/>
      <c r="U838" s="186">
        <v>0</v>
      </c>
      <c r="V838" s="238" t="s">
        <v>669</v>
      </c>
      <c r="W838" s="83" t="s">
        <v>231</v>
      </c>
      <c r="X838" s="100" t="s">
        <v>628</v>
      </c>
    </row>
    <row r="839" spans="1:24" s="1" customFormat="1">
      <c r="A839" s="219" t="s">
        <v>1923</v>
      </c>
      <c r="B839" s="205" t="s">
        <v>1924</v>
      </c>
      <c r="C839" s="206">
        <v>1</v>
      </c>
      <c r="D839" s="226" t="s">
        <v>1906</v>
      </c>
      <c r="E839" s="287">
        <v>1653</v>
      </c>
      <c r="F839" s="188">
        <f t="shared" si="123"/>
        <v>0.1</v>
      </c>
      <c r="G839" s="62">
        <f t="shared" si="133"/>
        <v>1487.7</v>
      </c>
      <c r="H839" s="86"/>
      <c r="I839" s="186">
        <v>0</v>
      </c>
      <c r="J839" s="238" t="s">
        <v>669</v>
      </c>
      <c r="K839" s="83" t="s">
        <v>231</v>
      </c>
      <c r="L839" s="100" t="s">
        <v>628</v>
      </c>
      <c r="M839" s="219" t="s">
        <v>1923</v>
      </c>
      <c r="N839" s="205" t="s">
        <v>1924</v>
      </c>
      <c r="O839" s="206">
        <v>1</v>
      </c>
      <c r="P839" s="226" t="s">
        <v>1906</v>
      </c>
      <c r="Q839" s="287">
        <v>1653</v>
      </c>
      <c r="R839" s="188">
        <v>0.1</v>
      </c>
      <c r="S839" s="62">
        <v>1487.7</v>
      </c>
      <c r="T839" s="86"/>
      <c r="U839" s="186">
        <v>0</v>
      </c>
      <c r="V839" s="238" t="s">
        <v>669</v>
      </c>
      <c r="W839" s="83" t="s">
        <v>231</v>
      </c>
      <c r="X839" s="100" t="s">
        <v>628</v>
      </c>
    </row>
    <row r="840" spans="1:24" s="1" customFormat="1">
      <c r="A840" s="219" t="s">
        <v>1925</v>
      </c>
      <c r="B840" s="205" t="s">
        <v>1926</v>
      </c>
      <c r="C840" s="206">
        <v>1</v>
      </c>
      <c r="D840" s="226" t="s">
        <v>1906</v>
      </c>
      <c r="E840" s="287">
        <v>1053</v>
      </c>
      <c r="F840" s="188">
        <f t="shared" si="123"/>
        <v>0.1</v>
      </c>
      <c r="G840" s="62">
        <f t="shared" si="133"/>
        <v>947.7</v>
      </c>
      <c r="H840" s="86"/>
      <c r="I840" s="186">
        <v>0</v>
      </c>
      <c r="J840" s="238" t="s">
        <v>669</v>
      </c>
      <c r="K840" s="83" t="s">
        <v>231</v>
      </c>
      <c r="L840" s="100" t="s">
        <v>628</v>
      </c>
      <c r="M840" s="219" t="s">
        <v>1925</v>
      </c>
      <c r="N840" s="205" t="s">
        <v>1926</v>
      </c>
      <c r="O840" s="206">
        <v>1</v>
      </c>
      <c r="P840" s="226" t="s">
        <v>1906</v>
      </c>
      <c r="Q840" s="287">
        <v>1053</v>
      </c>
      <c r="R840" s="188">
        <v>0.1</v>
      </c>
      <c r="S840" s="62">
        <v>947.7</v>
      </c>
      <c r="T840" s="86"/>
      <c r="U840" s="186">
        <v>0</v>
      </c>
      <c r="V840" s="238" t="s">
        <v>669</v>
      </c>
      <c r="W840" s="83" t="s">
        <v>231</v>
      </c>
      <c r="X840" s="100" t="s">
        <v>628</v>
      </c>
    </row>
    <row r="841" spans="1:24" s="1" customFormat="1" ht="13.5" thickBot="1">
      <c r="A841" s="541" t="s">
        <v>1927</v>
      </c>
      <c r="B841" s="573" t="s">
        <v>1928</v>
      </c>
      <c r="C841" s="542">
        <v>1</v>
      </c>
      <c r="D841" s="543" t="s">
        <v>1906</v>
      </c>
      <c r="E841" s="544">
        <v>1552</v>
      </c>
      <c r="F841" s="537">
        <f t="shared" si="123"/>
        <v>0.1</v>
      </c>
      <c r="G841" s="545">
        <f t="shared" si="133"/>
        <v>1396.8</v>
      </c>
      <c r="H841" s="539"/>
      <c r="I841" s="540">
        <v>0</v>
      </c>
      <c r="J841" s="599" t="s">
        <v>669</v>
      </c>
      <c r="K841" s="600" t="s">
        <v>231</v>
      </c>
      <c r="L841" s="601" t="s">
        <v>628</v>
      </c>
      <c r="M841" s="541" t="s">
        <v>1927</v>
      </c>
      <c r="N841" s="573" t="s">
        <v>1928</v>
      </c>
      <c r="O841" s="542">
        <v>1</v>
      </c>
      <c r="P841" s="543" t="s">
        <v>1906</v>
      </c>
      <c r="Q841" s="544">
        <v>1552</v>
      </c>
      <c r="R841" s="537">
        <v>0.1</v>
      </c>
      <c r="S841" s="545">
        <v>1396.8</v>
      </c>
      <c r="T841" s="539"/>
      <c r="U841" s="540">
        <v>0</v>
      </c>
      <c r="V841" s="599" t="s">
        <v>669</v>
      </c>
      <c r="W841" s="600" t="s">
        <v>231</v>
      </c>
      <c r="X841" s="601" t="s">
        <v>628</v>
      </c>
    </row>
    <row r="842" spans="1:24" ht="13.5" thickTop="1"/>
  </sheetData>
  <autoFilter ref="A3:X841" xr:uid="{81C5FD08-E3CE-7241-9F1D-BE345CEC27B9}"/>
  <mergeCells count="2">
    <mergeCell ref="A2:I2"/>
    <mergeCell ref="M2:U2"/>
  </mergeCells>
  <phoneticPr fontId="57" type="noConversion"/>
  <pageMargins left="0.7" right="0.7" top="0.75" bottom="0.75" header="0.3" footer="0.3"/>
  <pageSetup paperSize="9" orientation="portrait" horizontalDpi="0" verticalDpi="0"/>
  <ignoredErrors>
    <ignoredError sqref="A436:A437 A489 A676"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codeName="Feuil4">
    <tabColor rgb="FF92D050"/>
  </sheetPr>
  <dimension ref="A1:X76"/>
  <sheetViews>
    <sheetView zoomScale="110" zoomScaleNormal="110" workbookViewId="0">
      <pane xSplit="1" topLeftCell="B1" activePane="topRight" state="frozen"/>
      <selection pane="topRight" activeCell="A2" sqref="A2"/>
    </sheetView>
  </sheetViews>
  <sheetFormatPr baseColWidth="10" defaultColWidth="11.453125" defaultRowHeight="13"/>
  <cols>
    <col min="1" max="1" width="40.1796875" style="80" customWidth="1"/>
    <col min="2" max="2" width="117.7265625" style="80" customWidth="1"/>
    <col min="3" max="3" width="11.453125" style="80"/>
    <col min="4" max="4" width="13.54296875" style="80" customWidth="1"/>
    <col min="5" max="9" width="11.453125" style="80"/>
    <col min="10" max="10" width="35" style="323" customWidth="1"/>
    <col min="11" max="12" width="11.453125" style="80"/>
    <col min="13" max="13" width="40.1796875" style="80" customWidth="1"/>
    <col min="14" max="14" width="119.453125" style="80" customWidth="1"/>
    <col min="15" max="15" width="11.453125" style="80"/>
    <col min="16" max="16" width="13.54296875" style="80" customWidth="1"/>
    <col min="17" max="21" width="11.453125" style="80"/>
    <col min="22" max="22" width="35" style="323" customWidth="1"/>
    <col min="23" max="16384" width="11.453125" style="80"/>
  </cols>
  <sheetData>
    <row r="1" spans="1:24" s="1" customFormat="1" ht="24" customHeight="1">
      <c r="A1" s="9" t="s">
        <v>2446</v>
      </c>
      <c r="B1" s="380" t="s">
        <v>622</v>
      </c>
      <c r="C1" s="280"/>
      <c r="D1" s="283"/>
      <c r="E1" s="277"/>
      <c r="F1" s="23"/>
      <c r="G1" s="20"/>
      <c r="H1" s="19"/>
      <c r="I1" s="28"/>
      <c r="J1" s="237"/>
      <c r="K1" s="86"/>
      <c r="L1" s="135"/>
      <c r="M1" s="9" t="s">
        <v>2446</v>
      </c>
      <c r="N1" s="380" t="s">
        <v>622</v>
      </c>
      <c r="O1" s="280"/>
      <c r="P1" s="283"/>
      <c r="Q1" s="277"/>
      <c r="R1" s="23"/>
      <c r="S1" s="20"/>
      <c r="T1" s="19"/>
      <c r="U1" s="28"/>
      <c r="V1" s="237"/>
      <c r="W1" s="86"/>
      <c r="X1" s="135"/>
    </row>
    <row r="2" spans="1:24" s="1" customFormat="1" ht="14.5">
      <c r="A2" s="11"/>
      <c r="C2" s="280"/>
      <c r="D2" s="283"/>
      <c r="E2" s="277"/>
      <c r="F2" s="23"/>
      <c r="G2" s="20"/>
      <c r="H2" s="547"/>
      <c r="I2" s="25"/>
      <c r="J2" s="237"/>
      <c r="K2" s="19"/>
      <c r="L2" s="530"/>
      <c r="M2" s="11"/>
      <c r="O2" s="280"/>
      <c r="P2" s="283"/>
      <c r="Q2" s="277"/>
      <c r="R2" s="23"/>
      <c r="S2" s="20"/>
      <c r="T2" s="547"/>
      <c r="U2" s="25"/>
      <c r="V2" s="237"/>
      <c r="W2" s="19"/>
      <c r="X2" s="530"/>
    </row>
    <row r="3" spans="1:24" s="93" customFormat="1" ht="30" customHeight="1">
      <c r="A3" s="834" t="s">
        <v>3051</v>
      </c>
      <c r="B3" s="835"/>
      <c r="C3" s="835"/>
      <c r="D3" s="835"/>
      <c r="E3" s="835"/>
      <c r="F3" s="835"/>
      <c r="G3" s="835"/>
      <c r="H3" s="835"/>
      <c r="I3" s="835"/>
      <c r="J3" s="513"/>
      <c r="K3" s="506"/>
      <c r="L3" s="515"/>
      <c r="M3" s="834" t="s">
        <v>2957</v>
      </c>
      <c r="N3" s="835"/>
      <c r="O3" s="835"/>
      <c r="P3" s="835"/>
      <c r="Q3" s="835"/>
      <c r="R3" s="835"/>
      <c r="S3" s="835"/>
      <c r="T3" s="835"/>
      <c r="U3" s="835"/>
      <c r="V3" s="513"/>
      <c r="W3" s="506"/>
      <c r="X3" s="515"/>
    </row>
    <row r="4" spans="1:24" s="1" customFormat="1" ht="52">
      <c r="A4" s="522" t="s">
        <v>109</v>
      </c>
      <c r="B4" s="523" t="s">
        <v>110</v>
      </c>
      <c r="C4" s="524" t="s">
        <v>111</v>
      </c>
      <c r="D4" s="525" t="s">
        <v>112</v>
      </c>
      <c r="E4" s="526" t="s">
        <v>113</v>
      </c>
      <c r="F4" s="527" t="s">
        <v>114</v>
      </c>
      <c r="G4" s="528" t="s">
        <v>115</v>
      </c>
      <c r="H4" s="529" t="s">
        <v>119</v>
      </c>
      <c r="I4" s="529" t="s">
        <v>120</v>
      </c>
      <c r="J4" s="514" t="s">
        <v>121</v>
      </c>
      <c r="K4" s="507" t="s">
        <v>122</v>
      </c>
      <c r="L4" s="516" t="s">
        <v>123</v>
      </c>
      <c r="M4" s="522" t="s">
        <v>109</v>
      </c>
      <c r="N4" s="523" t="s">
        <v>2171</v>
      </c>
      <c r="O4" s="524" t="s">
        <v>111</v>
      </c>
      <c r="P4" s="525" t="s">
        <v>112</v>
      </c>
      <c r="Q4" s="526" t="s">
        <v>113</v>
      </c>
      <c r="R4" s="527" t="s">
        <v>114</v>
      </c>
      <c r="S4" s="528" t="s">
        <v>115</v>
      </c>
      <c r="T4" s="529" t="s">
        <v>119</v>
      </c>
      <c r="U4" s="529" t="s">
        <v>120</v>
      </c>
      <c r="V4" s="514" t="s">
        <v>2172</v>
      </c>
      <c r="W4" s="507" t="s">
        <v>122</v>
      </c>
      <c r="X4" s="516" t="s">
        <v>123</v>
      </c>
    </row>
    <row r="5" spans="1:24" s="161" customFormat="1">
      <c r="A5" s="362" t="s">
        <v>1929</v>
      </c>
      <c r="B5" s="364" t="s">
        <v>1930</v>
      </c>
      <c r="C5" s="365">
        <v>1</v>
      </c>
      <c r="D5" s="366" t="s">
        <v>134</v>
      </c>
      <c r="E5" s="367" t="s">
        <v>128</v>
      </c>
      <c r="F5" s="368"/>
      <c r="G5" s="367" t="s">
        <v>1931</v>
      </c>
      <c r="H5" s="369"/>
      <c r="I5" s="370"/>
      <c r="J5" s="461" t="s">
        <v>1932</v>
      </c>
      <c r="K5" s="363" t="s">
        <v>1933</v>
      </c>
      <c r="L5" s="531" t="s">
        <v>1934</v>
      </c>
      <c r="M5" s="362" t="s">
        <v>1929</v>
      </c>
      <c r="N5" s="364" t="s">
        <v>1930</v>
      </c>
      <c r="O5" s="365">
        <v>1</v>
      </c>
      <c r="P5" s="366" t="s">
        <v>134</v>
      </c>
      <c r="Q5" s="367" t="s">
        <v>128</v>
      </c>
      <c r="R5" s="368"/>
      <c r="S5" s="367" t="s">
        <v>1931</v>
      </c>
      <c r="T5" s="369"/>
      <c r="U5" s="370"/>
      <c r="V5" s="461" t="s">
        <v>1932</v>
      </c>
      <c r="W5" s="363" t="s">
        <v>1933</v>
      </c>
      <c r="X5" s="531" t="s">
        <v>1934</v>
      </c>
    </row>
    <row r="6" spans="1:24" s="161" customFormat="1">
      <c r="A6" s="442" t="s">
        <v>1935</v>
      </c>
      <c r="B6" s="450" t="s">
        <v>1936</v>
      </c>
      <c r="C6" s="444">
        <v>1</v>
      </c>
      <c r="D6" s="451" t="s">
        <v>134</v>
      </c>
      <c r="E6" s="452" t="s">
        <v>128</v>
      </c>
      <c r="F6" s="453"/>
      <c r="G6" s="452" t="s">
        <v>1931</v>
      </c>
      <c r="H6" s="454"/>
      <c r="I6" s="455"/>
      <c r="J6" s="238" t="s">
        <v>1932</v>
      </c>
      <c r="K6" s="12" t="s">
        <v>1933</v>
      </c>
      <c r="L6" s="532" t="s">
        <v>1934</v>
      </c>
      <c r="M6" s="442" t="s">
        <v>1935</v>
      </c>
      <c r="N6" s="450" t="s">
        <v>1936</v>
      </c>
      <c r="O6" s="444">
        <v>1</v>
      </c>
      <c r="P6" s="451" t="s">
        <v>134</v>
      </c>
      <c r="Q6" s="452" t="s">
        <v>128</v>
      </c>
      <c r="R6" s="453"/>
      <c r="S6" s="452" t="s">
        <v>1931</v>
      </c>
      <c r="T6" s="454"/>
      <c r="U6" s="455"/>
      <c r="V6" s="238" t="s">
        <v>1932</v>
      </c>
      <c r="W6" s="12" t="s">
        <v>1933</v>
      </c>
      <c r="X6" s="532" t="s">
        <v>1934</v>
      </c>
    </row>
    <row r="7" spans="1:24" s="161" customFormat="1">
      <c r="A7" s="442" t="s">
        <v>2414</v>
      </c>
      <c r="B7" s="450" t="s">
        <v>2415</v>
      </c>
      <c r="C7" s="444">
        <v>1</v>
      </c>
      <c r="D7" s="451" t="s">
        <v>134</v>
      </c>
      <c r="E7" s="452" t="s">
        <v>128</v>
      </c>
      <c r="F7" s="453"/>
      <c r="G7" s="452" t="s">
        <v>1931</v>
      </c>
      <c r="H7" s="454"/>
      <c r="I7" s="455"/>
      <c r="J7" s="238" t="s">
        <v>1932</v>
      </c>
      <c r="K7" s="12" t="s">
        <v>1933</v>
      </c>
      <c r="L7" s="532" t="s">
        <v>1934</v>
      </c>
      <c r="M7" s="442" t="s">
        <v>2414</v>
      </c>
      <c r="N7" s="450" t="s">
        <v>2415</v>
      </c>
      <c r="O7" s="444">
        <v>1</v>
      </c>
      <c r="P7" s="451" t="s">
        <v>134</v>
      </c>
      <c r="Q7" s="452" t="s">
        <v>128</v>
      </c>
      <c r="R7" s="453"/>
      <c r="S7" s="452" t="s">
        <v>1931</v>
      </c>
      <c r="T7" s="454"/>
      <c r="U7" s="455"/>
      <c r="V7" s="238" t="s">
        <v>1932</v>
      </c>
      <c r="W7" s="12" t="s">
        <v>1933</v>
      </c>
      <c r="X7" s="532" t="s">
        <v>1934</v>
      </c>
    </row>
    <row r="8" spans="1:24" s="161" customFormat="1">
      <c r="A8" s="442" t="s">
        <v>1937</v>
      </c>
      <c r="B8" s="443" t="s">
        <v>1938</v>
      </c>
      <c r="C8" s="444">
        <v>1</v>
      </c>
      <c r="D8" s="445" t="s">
        <v>134</v>
      </c>
      <c r="E8" s="446" t="s">
        <v>128</v>
      </c>
      <c r="F8" s="447"/>
      <c r="G8" s="446" t="s">
        <v>1931</v>
      </c>
      <c r="H8" s="360"/>
      <c r="I8" s="361"/>
      <c r="J8" s="238" t="s">
        <v>1932</v>
      </c>
      <c r="K8" s="12" t="s">
        <v>1933</v>
      </c>
      <c r="L8" s="532" t="s">
        <v>1934</v>
      </c>
      <c r="M8" s="442" t="s">
        <v>1937</v>
      </c>
      <c r="N8" s="443" t="s">
        <v>1938</v>
      </c>
      <c r="O8" s="444">
        <v>1</v>
      </c>
      <c r="P8" s="445" t="s">
        <v>134</v>
      </c>
      <c r="Q8" s="446" t="s">
        <v>128</v>
      </c>
      <c r="R8" s="447"/>
      <c r="S8" s="446" t="s">
        <v>1931</v>
      </c>
      <c r="T8" s="360"/>
      <c r="U8" s="361"/>
      <c r="V8" s="238" t="s">
        <v>1932</v>
      </c>
      <c r="W8" s="12" t="s">
        <v>1933</v>
      </c>
      <c r="X8" s="532" t="s">
        <v>1934</v>
      </c>
    </row>
    <row r="9" spans="1:24" s="161" customFormat="1">
      <c r="A9" s="786" t="s">
        <v>3028</v>
      </c>
      <c r="B9" s="787" t="s">
        <v>3029</v>
      </c>
      <c r="C9" s="788">
        <v>1</v>
      </c>
      <c r="D9" s="789" t="s">
        <v>1906</v>
      </c>
      <c r="E9" s="790" t="s">
        <v>128</v>
      </c>
      <c r="F9" s="791"/>
      <c r="G9" s="790" t="s">
        <v>1931</v>
      </c>
      <c r="H9" s="360"/>
      <c r="I9" s="361"/>
      <c r="J9" s="238" t="s">
        <v>1932</v>
      </c>
      <c r="K9" s="12" t="s">
        <v>1933</v>
      </c>
      <c r="L9" s="532" t="s">
        <v>1934</v>
      </c>
      <c r="M9" s="561"/>
      <c r="N9" s="738"/>
      <c r="O9" s="739"/>
      <c r="P9" s="451"/>
      <c r="Q9" s="740"/>
      <c r="R9" s="741"/>
      <c r="S9" s="742"/>
      <c r="T9" s="743"/>
      <c r="U9" s="744"/>
      <c r="V9" s="238"/>
      <c r="W9" s="12"/>
      <c r="X9" s="532"/>
    </row>
    <row r="10" spans="1:24" s="1" customFormat="1" ht="21" customHeight="1">
      <c r="A10" s="391" t="s">
        <v>1939</v>
      </c>
      <c r="B10" s="448" t="s">
        <v>1940</v>
      </c>
      <c r="C10" s="372"/>
      <c r="D10" s="373"/>
      <c r="E10" s="449"/>
      <c r="F10" s="375"/>
      <c r="G10" s="376"/>
      <c r="H10" s="377"/>
      <c r="I10" s="378"/>
      <c r="J10" s="462"/>
      <c r="K10" s="379"/>
      <c r="L10" s="533"/>
      <c r="M10" s="391" t="s">
        <v>1939</v>
      </c>
      <c r="N10" s="448" t="s">
        <v>1940</v>
      </c>
      <c r="O10" s="372"/>
      <c r="P10" s="373"/>
      <c r="Q10" s="449"/>
      <c r="R10" s="375"/>
      <c r="S10" s="376"/>
      <c r="T10" s="377"/>
      <c r="U10" s="378"/>
      <c r="V10" s="462"/>
      <c r="W10" s="379"/>
      <c r="X10" s="533"/>
    </row>
    <row r="11" spans="1:24" s="1" customFormat="1">
      <c r="A11" s="196" t="s">
        <v>1941</v>
      </c>
      <c r="B11" s="205" t="s">
        <v>1942</v>
      </c>
      <c r="C11" s="321">
        <v>1</v>
      </c>
      <c r="D11" s="349" t="s">
        <v>134</v>
      </c>
      <c r="E11" s="287">
        <v>7</v>
      </c>
      <c r="F11" s="201"/>
      <c r="G11" s="62">
        <f>E11-(E11*F11)</f>
        <v>7</v>
      </c>
      <c r="H11" s="86"/>
      <c r="I11" s="186"/>
      <c r="J11" s="238" t="s">
        <v>1932</v>
      </c>
      <c r="K11" s="12" t="s">
        <v>1933</v>
      </c>
      <c r="L11" s="532" t="s">
        <v>1934</v>
      </c>
      <c r="M11" s="196" t="s">
        <v>1941</v>
      </c>
      <c r="N11" s="205" t="s">
        <v>1942</v>
      </c>
      <c r="O11" s="321">
        <v>1</v>
      </c>
      <c r="P11" s="349" t="s">
        <v>134</v>
      </c>
      <c r="Q11" s="287">
        <v>7</v>
      </c>
      <c r="R11" s="201"/>
      <c r="S11" s="62">
        <v>7</v>
      </c>
      <c r="T11" s="86"/>
      <c r="U11" s="186"/>
      <c r="V11" s="238" t="s">
        <v>1932</v>
      </c>
      <c r="W11" s="12" t="s">
        <v>1933</v>
      </c>
      <c r="X11" s="532" t="s">
        <v>1934</v>
      </c>
    </row>
    <row r="12" spans="1:24" s="1" customFormat="1">
      <c r="A12" s="196" t="s">
        <v>1943</v>
      </c>
      <c r="B12" s="205" t="s">
        <v>1944</v>
      </c>
      <c r="C12" s="321">
        <v>1</v>
      </c>
      <c r="D12" s="349" t="s">
        <v>134</v>
      </c>
      <c r="E12" s="287">
        <v>7</v>
      </c>
      <c r="F12" s="201"/>
      <c r="G12" s="62">
        <f t="shared" ref="G12:G26" si="0">E12-(E12*F12)</f>
        <v>7</v>
      </c>
      <c r="H12" s="86"/>
      <c r="I12" s="186"/>
      <c r="J12" s="238" t="s">
        <v>1932</v>
      </c>
      <c r="K12" s="12" t="s">
        <v>1933</v>
      </c>
      <c r="L12" s="532" t="s">
        <v>1934</v>
      </c>
      <c r="M12" s="196" t="s">
        <v>1943</v>
      </c>
      <c r="N12" s="205" t="s">
        <v>1944</v>
      </c>
      <c r="O12" s="321">
        <v>1</v>
      </c>
      <c r="P12" s="349" t="s">
        <v>134</v>
      </c>
      <c r="Q12" s="287">
        <v>7</v>
      </c>
      <c r="R12" s="201"/>
      <c r="S12" s="62">
        <v>7</v>
      </c>
      <c r="T12" s="86"/>
      <c r="U12" s="186"/>
      <c r="V12" s="238" t="s">
        <v>1932</v>
      </c>
      <c r="W12" s="12" t="s">
        <v>1933</v>
      </c>
      <c r="X12" s="532" t="s">
        <v>1934</v>
      </c>
    </row>
    <row r="13" spans="1:24" s="1" customFormat="1">
      <c r="A13" s="196" t="s">
        <v>1945</v>
      </c>
      <c r="B13" s="205" t="s">
        <v>1946</v>
      </c>
      <c r="C13" s="321">
        <v>1</v>
      </c>
      <c r="D13" s="349" t="s">
        <v>134</v>
      </c>
      <c r="E13" s="287">
        <v>7</v>
      </c>
      <c r="F13" s="201"/>
      <c r="G13" s="62">
        <f t="shared" si="0"/>
        <v>7</v>
      </c>
      <c r="H13" s="86"/>
      <c r="I13" s="186"/>
      <c r="J13" s="238" t="s">
        <v>1932</v>
      </c>
      <c r="K13" s="12" t="s">
        <v>1933</v>
      </c>
      <c r="L13" s="532" t="s">
        <v>1934</v>
      </c>
      <c r="M13" s="196" t="s">
        <v>1945</v>
      </c>
      <c r="N13" s="205" t="s">
        <v>1946</v>
      </c>
      <c r="O13" s="321">
        <v>1</v>
      </c>
      <c r="P13" s="349" t="s">
        <v>134</v>
      </c>
      <c r="Q13" s="287">
        <v>7</v>
      </c>
      <c r="R13" s="201"/>
      <c r="S13" s="62">
        <v>7</v>
      </c>
      <c r="T13" s="86"/>
      <c r="U13" s="186"/>
      <c r="V13" s="238" t="s">
        <v>1932</v>
      </c>
      <c r="W13" s="12" t="s">
        <v>1933</v>
      </c>
      <c r="X13" s="532" t="s">
        <v>1934</v>
      </c>
    </row>
    <row r="14" spans="1:24" s="1" customFormat="1">
      <c r="A14" s="196" t="s">
        <v>1947</v>
      </c>
      <c r="B14" s="205" t="s">
        <v>1948</v>
      </c>
      <c r="C14" s="321">
        <v>1</v>
      </c>
      <c r="D14" s="349" t="s">
        <v>134</v>
      </c>
      <c r="E14" s="287">
        <v>7</v>
      </c>
      <c r="F14" s="201"/>
      <c r="G14" s="62">
        <f t="shared" si="0"/>
        <v>7</v>
      </c>
      <c r="H14" s="86"/>
      <c r="I14" s="186"/>
      <c r="J14" s="238" t="s">
        <v>1932</v>
      </c>
      <c r="K14" s="12" t="s">
        <v>1933</v>
      </c>
      <c r="L14" s="532" t="s">
        <v>1934</v>
      </c>
      <c r="M14" s="196" t="s">
        <v>1947</v>
      </c>
      <c r="N14" s="205" t="s">
        <v>1948</v>
      </c>
      <c r="O14" s="321">
        <v>1</v>
      </c>
      <c r="P14" s="349" t="s">
        <v>134</v>
      </c>
      <c r="Q14" s="287">
        <v>7</v>
      </c>
      <c r="R14" s="201"/>
      <c r="S14" s="62">
        <v>7</v>
      </c>
      <c r="T14" s="86"/>
      <c r="U14" s="186"/>
      <c r="V14" s="238" t="s">
        <v>1932</v>
      </c>
      <c r="W14" s="12" t="s">
        <v>1933</v>
      </c>
      <c r="X14" s="532" t="s">
        <v>1934</v>
      </c>
    </row>
    <row r="15" spans="1:24" s="1" customFormat="1">
      <c r="A15" s="196" t="s">
        <v>1949</v>
      </c>
      <c r="B15" s="205" t="s">
        <v>1950</v>
      </c>
      <c r="C15" s="321">
        <v>1</v>
      </c>
      <c r="D15" s="349" t="s">
        <v>134</v>
      </c>
      <c r="E15" s="287">
        <v>15</v>
      </c>
      <c r="F15" s="201"/>
      <c r="G15" s="62">
        <f t="shared" si="0"/>
        <v>15</v>
      </c>
      <c r="H15" s="86"/>
      <c r="I15" s="186"/>
      <c r="J15" s="238" t="s">
        <v>1932</v>
      </c>
      <c r="K15" s="12" t="s">
        <v>1933</v>
      </c>
      <c r="L15" s="532" t="s">
        <v>1934</v>
      </c>
      <c r="M15" s="196" t="s">
        <v>1949</v>
      </c>
      <c r="N15" s="205" t="s">
        <v>1950</v>
      </c>
      <c r="O15" s="321">
        <v>1</v>
      </c>
      <c r="P15" s="349" t="s">
        <v>134</v>
      </c>
      <c r="Q15" s="287">
        <v>15</v>
      </c>
      <c r="R15" s="201"/>
      <c r="S15" s="62">
        <v>15</v>
      </c>
      <c r="T15" s="86"/>
      <c r="U15" s="186"/>
      <c r="V15" s="238" t="s">
        <v>1932</v>
      </c>
      <c r="W15" s="12" t="s">
        <v>1933</v>
      </c>
      <c r="X15" s="532" t="s">
        <v>1934</v>
      </c>
    </row>
    <row r="16" spans="1:24" s="1" customFormat="1">
      <c r="A16" s="196" t="s">
        <v>1951</v>
      </c>
      <c r="B16" s="205" t="s">
        <v>1952</v>
      </c>
      <c r="C16" s="321">
        <v>1</v>
      </c>
      <c r="D16" s="349" t="s">
        <v>134</v>
      </c>
      <c r="E16" s="287">
        <v>7</v>
      </c>
      <c r="F16" s="201"/>
      <c r="G16" s="62">
        <f t="shared" si="0"/>
        <v>7</v>
      </c>
      <c r="H16" s="86"/>
      <c r="I16" s="186"/>
      <c r="J16" s="238" t="s">
        <v>1932</v>
      </c>
      <c r="K16" s="12" t="s">
        <v>1933</v>
      </c>
      <c r="L16" s="532" t="s">
        <v>1934</v>
      </c>
      <c r="M16" s="196" t="s">
        <v>1951</v>
      </c>
      <c r="N16" s="205" t="s">
        <v>1952</v>
      </c>
      <c r="O16" s="321">
        <v>1</v>
      </c>
      <c r="P16" s="349" t="s">
        <v>134</v>
      </c>
      <c r="Q16" s="287">
        <v>7</v>
      </c>
      <c r="R16" s="201"/>
      <c r="S16" s="62">
        <v>7</v>
      </c>
      <c r="T16" s="86"/>
      <c r="U16" s="186"/>
      <c r="V16" s="238" t="s">
        <v>1932</v>
      </c>
      <c r="W16" s="12" t="s">
        <v>1933</v>
      </c>
      <c r="X16" s="532" t="s">
        <v>1934</v>
      </c>
    </row>
    <row r="17" spans="1:24" s="441" customFormat="1">
      <c r="A17" s="792" t="s">
        <v>3031</v>
      </c>
      <c r="B17" s="775" t="s">
        <v>3033</v>
      </c>
      <c r="C17" s="793">
        <v>1</v>
      </c>
      <c r="D17" s="794" t="s">
        <v>1955</v>
      </c>
      <c r="E17" s="767">
        <v>6</v>
      </c>
      <c r="F17" s="23"/>
      <c r="G17" s="768">
        <f t="shared" si="0"/>
        <v>6</v>
      </c>
      <c r="H17" s="99"/>
      <c r="I17" s="25"/>
      <c r="J17" s="238" t="s">
        <v>1932</v>
      </c>
      <c r="K17" s="12" t="s">
        <v>1933</v>
      </c>
      <c r="L17" s="532" t="s">
        <v>1934</v>
      </c>
      <c r="M17" s="745" t="s">
        <v>1953</v>
      </c>
      <c r="N17" s="712" t="s">
        <v>1954</v>
      </c>
      <c r="O17" s="746">
        <v>1</v>
      </c>
      <c r="P17" s="747" t="s">
        <v>1955</v>
      </c>
      <c r="Q17" s="737">
        <v>16</v>
      </c>
      <c r="R17" s="748"/>
      <c r="S17" s="717">
        <v>16</v>
      </c>
      <c r="T17" s="718"/>
      <c r="U17" s="719"/>
      <c r="V17" s="238" t="s">
        <v>1932</v>
      </c>
      <c r="W17" s="12" t="s">
        <v>1933</v>
      </c>
      <c r="X17" s="532" t="s">
        <v>1934</v>
      </c>
    </row>
    <row r="18" spans="1:24" s="1" customFormat="1">
      <c r="A18" s="792" t="s">
        <v>3030</v>
      </c>
      <c r="B18" s="775" t="s">
        <v>3032</v>
      </c>
      <c r="C18" s="793">
        <v>1</v>
      </c>
      <c r="D18" s="794" t="s">
        <v>1955</v>
      </c>
      <c r="E18" s="767">
        <v>7</v>
      </c>
      <c r="F18" s="23"/>
      <c r="G18" s="768">
        <f t="shared" ref="G18" si="1">E18-(E18*F18)</f>
        <v>7</v>
      </c>
      <c r="H18" s="99"/>
      <c r="I18" s="25"/>
      <c r="J18" s="238" t="s">
        <v>1932</v>
      </c>
      <c r="K18" s="12" t="s">
        <v>1933</v>
      </c>
      <c r="L18" s="532" t="s">
        <v>1934</v>
      </c>
      <c r="M18" s="196"/>
      <c r="N18" s="205"/>
      <c r="O18" s="321"/>
      <c r="P18" s="349"/>
      <c r="Q18" s="287"/>
      <c r="R18" s="201"/>
      <c r="S18" s="62"/>
      <c r="T18" s="86"/>
      <c r="U18" s="186"/>
      <c r="V18" s="238"/>
      <c r="W18" s="12"/>
      <c r="X18" s="532"/>
    </row>
    <row r="19" spans="1:24" s="1" customFormat="1" ht="22" customHeight="1">
      <c r="A19" s="391" t="s">
        <v>1956</v>
      </c>
      <c r="B19" s="392" t="s">
        <v>1957</v>
      </c>
      <c r="C19" s="372"/>
      <c r="D19" s="373"/>
      <c r="E19" s="374"/>
      <c r="F19" s="375"/>
      <c r="G19" s="376"/>
      <c r="H19" s="377"/>
      <c r="I19" s="378"/>
      <c r="J19" s="462"/>
      <c r="K19" s="379"/>
      <c r="L19" s="533"/>
      <c r="M19" s="391" t="s">
        <v>1956</v>
      </c>
      <c r="N19" s="392" t="s">
        <v>1957</v>
      </c>
      <c r="O19" s="372"/>
      <c r="P19" s="373"/>
      <c r="Q19" s="374"/>
      <c r="R19" s="375"/>
      <c r="S19" s="376"/>
      <c r="T19" s="377"/>
      <c r="U19" s="378"/>
      <c r="V19" s="462"/>
      <c r="W19" s="379"/>
      <c r="X19" s="533"/>
    </row>
    <row r="20" spans="1:24" s="1" customFormat="1">
      <c r="A20" s="196" t="s">
        <v>1958</v>
      </c>
      <c r="B20" s="205" t="s">
        <v>1959</v>
      </c>
      <c r="C20" s="321">
        <v>1</v>
      </c>
      <c r="D20" s="349" t="s">
        <v>1960</v>
      </c>
      <c r="E20" s="287">
        <v>232</v>
      </c>
      <c r="F20" s="201"/>
      <c r="G20" s="62">
        <f>E20-(E20*F20)</f>
        <v>232</v>
      </c>
      <c r="H20" s="86"/>
      <c r="I20" s="186"/>
      <c r="J20" s="238" t="s">
        <v>1932</v>
      </c>
      <c r="K20" s="12" t="s">
        <v>1933</v>
      </c>
      <c r="L20" s="532" t="s">
        <v>1934</v>
      </c>
      <c r="M20" s="196" t="s">
        <v>1958</v>
      </c>
      <c r="N20" s="205" t="s">
        <v>1959</v>
      </c>
      <c r="O20" s="321">
        <v>1</v>
      </c>
      <c r="P20" s="349" t="s">
        <v>1960</v>
      </c>
      <c r="Q20" s="287">
        <v>232</v>
      </c>
      <c r="R20" s="201"/>
      <c r="S20" s="62">
        <v>232</v>
      </c>
      <c r="T20" s="86"/>
      <c r="U20" s="186"/>
      <c r="V20" s="238" t="s">
        <v>1932</v>
      </c>
      <c r="W20" s="12" t="s">
        <v>1933</v>
      </c>
      <c r="X20" s="532" t="s">
        <v>1934</v>
      </c>
    </row>
    <row r="21" spans="1:24" s="1" customFormat="1">
      <c r="A21" s="196" t="s">
        <v>1961</v>
      </c>
      <c r="B21" s="205" t="s">
        <v>1962</v>
      </c>
      <c r="C21" s="321">
        <v>1</v>
      </c>
      <c r="D21" s="349" t="s">
        <v>1960</v>
      </c>
      <c r="E21" s="287">
        <v>90</v>
      </c>
      <c r="F21" s="201"/>
      <c r="G21" s="62">
        <f>E21-(E21*F21)</f>
        <v>90</v>
      </c>
      <c r="H21" s="86"/>
      <c r="I21" s="371"/>
      <c r="J21" s="238" t="s">
        <v>1932</v>
      </c>
      <c r="K21" s="12" t="s">
        <v>1933</v>
      </c>
      <c r="L21" s="532" t="s">
        <v>1934</v>
      </c>
      <c r="M21" s="196" t="s">
        <v>1961</v>
      </c>
      <c r="N21" s="205" t="s">
        <v>1962</v>
      </c>
      <c r="O21" s="321">
        <v>1</v>
      </c>
      <c r="P21" s="349" t="s">
        <v>1960</v>
      </c>
      <c r="Q21" s="287">
        <v>90</v>
      </c>
      <c r="R21" s="201"/>
      <c r="S21" s="62">
        <v>90</v>
      </c>
      <c r="T21" s="86"/>
      <c r="U21" s="371"/>
      <c r="V21" s="238" t="s">
        <v>1932</v>
      </c>
      <c r="W21" s="12" t="s">
        <v>1933</v>
      </c>
      <c r="X21" s="532" t="s">
        <v>1934</v>
      </c>
    </row>
    <row r="22" spans="1:24" s="1" customFormat="1">
      <c r="A22" s="196" t="s">
        <v>1963</v>
      </c>
      <c r="B22" s="205" t="s">
        <v>1964</v>
      </c>
      <c r="C22" s="321">
        <v>1</v>
      </c>
      <c r="D22" s="349" t="s">
        <v>1960</v>
      </c>
      <c r="E22" s="287">
        <v>332</v>
      </c>
      <c r="F22" s="201"/>
      <c r="G22" s="62">
        <f t="shared" si="0"/>
        <v>332</v>
      </c>
      <c r="H22" s="352"/>
      <c r="I22" s="186"/>
      <c r="J22" s="238" t="s">
        <v>1932</v>
      </c>
      <c r="K22" s="12" t="s">
        <v>1933</v>
      </c>
      <c r="L22" s="532" t="s">
        <v>1934</v>
      </c>
      <c r="M22" s="196" t="s">
        <v>1963</v>
      </c>
      <c r="N22" s="205" t="s">
        <v>1964</v>
      </c>
      <c r="O22" s="321">
        <v>1</v>
      </c>
      <c r="P22" s="349" t="s">
        <v>1960</v>
      </c>
      <c r="Q22" s="287">
        <v>332</v>
      </c>
      <c r="R22" s="201"/>
      <c r="S22" s="62">
        <v>332</v>
      </c>
      <c r="T22" s="352"/>
      <c r="U22" s="186"/>
      <c r="V22" s="238" t="s">
        <v>1932</v>
      </c>
      <c r="W22" s="12" t="s">
        <v>1933</v>
      </c>
      <c r="X22" s="532" t="s">
        <v>1934</v>
      </c>
    </row>
    <row r="23" spans="1:24" s="1" customFormat="1">
      <c r="A23" s="196" t="s">
        <v>1965</v>
      </c>
      <c r="B23" s="205" t="s">
        <v>1966</v>
      </c>
      <c r="C23" s="321">
        <v>1</v>
      </c>
      <c r="D23" s="349" t="s">
        <v>1960</v>
      </c>
      <c r="E23" s="287">
        <v>190</v>
      </c>
      <c r="F23" s="201"/>
      <c r="G23" s="62">
        <f>E23-(E23*F23)</f>
        <v>190</v>
      </c>
      <c r="H23" s="86"/>
      <c r="I23" s="186"/>
      <c r="J23" s="238" t="s">
        <v>1932</v>
      </c>
      <c r="K23" s="12" t="s">
        <v>1933</v>
      </c>
      <c r="L23" s="532" t="s">
        <v>1934</v>
      </c>
      <c r="M23" s="196" t="s">
        <v>1965</v>
      </c>
      <c r="N23" s="205" t="s">
        <v>1966</v>
      </c>
      <c r="O23" s="321">
        <v>1</v>
      </c>
      <c r="P23" s="349" t="s">
        <v>1960</v>
      </c>
      <c r="Q23" s="287">
        <v>190</v>
      </c>
      <c r="R23" s="201"/>
      <c r="S23" s="62">
        <v>190</v>
      </c>
      <c r="T23" s="86"/>
      <c r="U23" s="186"/>
      <c r="V23" s="238" t="s">
        <v>1932</v>
      </c>
      <c r="W23" s="12" t="s">
        <v>1933</v>
      </c>
      <c r="X23" s="532" t="s">
        <v>1934</v>
      </c>
    </row>
    <row r="24" spans="1:24" s="1" customFormat="1">
      <c r="A24" s="196" t="s">
        <v>1967</v>
      </c>
      <c r="B24" s="205" t="s">
        <v>1968</v>
      </c>
      <c r="C24" s="321">
        <v>1</v>
      </c>
      <c r="D24" s="349" t="s">
        <v>1960</v>
      </c>
      <c r="E24" s="287">
        <v>210</v>
      </c>
      <c r="F24" s="201"/>
      <c r="G24" s="62">
        <f t="shared" si="0"/>
        <v>210</v>
      </c>
      <c r="H24" s="86"/>
      <c r="I24" s="186"/>
      <c r="J24" s="238" t="s">
        <v>1932</v>
      </c>
      <c r="K24" s="12" t="s">
        <v>1933</v>
      </c>
      <c r="L24" s="532" t="s">
        <v>1934</v>
      </c>
      <c r="M24" s="196" t="s">
        <v>1967</v>
      </c>
      <c r="N24" s="205" t="s">
        <v>1968</v>
      </c>
      <c r="O24" s="321">
        <v>1</v>
      </c>
      <c r="P24" s="349" t="s">
        <v>1960</v>
      </c>
      <c r="Q24" s="287">
        <v>210</v>
      </c>
      <c r="R24" s="201"/>
      <c r="S24" s="62">
        <v>210</v>
      </c>
      <c r="T24" s="86"/>
      <c r="U24" s="186"/>
      <c r="V24" s="238" t="s">
        <v>1932</v>
      </c>
      <c r="W24" s="12" t="s">
        <v>1933</v>
      </c>
      <c r="X24" s="532" t="s">
        <v>1934</v>
      </c>
    </row>
    <row r="25" spans="1:24" s="1" customFormat="1">
      <c r="A25" s="196" t="s">
        <v>1969</v>
      </c>
      <c r="B25" s="205" t="s">
        <v>1970</v>
      </c>
      <c r="C25" s="321">
        <v>1</v>
      </c>
      <c r="D25" s="349" t="s">
        <v>1960</v>
      </c>
      <c r="E25" s="287">
        <v>60</v>
      </c>
      <c r="F25" s="201"/>
      <c r="G25" s="62">
        <f>E25-(E25*F25)</f>
        <v>60</v>
      </c>
      <c r="H25" s="86"/>
      <c r="I25" s="186"/>
      <c r="J25" s="238" t="s">
        <v>1932</v>
      </c>
      <c r="K25" s="12" t="s">
        <v>1933</v>
      </c>
      <c r="L25" s="532" t="s">
        <v>1934</v>
      </c>
      <c r="M25" s="196" t="s">
        <v>1969</v>
      </c>
      <c r="N25" s="205" t="s">
        <v>1970</v>
      </c>
      <c r="O25" s="321">
        <v>1</v>
      </c>
      <c r="P25" s="349" t="s">
        <v>1960</v>
      </c>
      <c r="Q25" s="287">
        <v>60</v>
      </c>
      <c r="R25" s="201"/>
      <c r="S25" s="62">
        <v>60</v>
      </c>
      <c r="T25" s="86"/>
      <c r="U25" s="186"/>
      <c r="V25" s="238" t="s">
        <v>1932</v>
      </c>
      <c r="W25" s="12" t="s">
        <v>1933</v>
      </c>
      <c r="X25" s="532" t="s">
        <v>1934</v>
      </c>
    </row>
    <row r="26" spans="1:24" s="1" customFormat="1">
      <c r="A26" s="196" t="s">
        <v>1971</v>
      </c>
      <c r="B26" s="205" t="s">
        <v>1972</v>
      </c>
      <c r="C26" s="321">
        <v>1</v>
      </c>
      <c r="D26" s="349" t="s">
        <v>1960</v>
      </c>
      <c r="E26" s="287">
        <v>392</v>
      </c>
      <c r="F26" s="201"/>
      <c r="G26" s="62">
        <f t="shared" si="0"/>
        <v>392</v>
      </c>
      <c r="H26" s="86"/>
      <c r="I26" s="186"/>
      <c r="J26" s="238" t="s">
        <v>1932</v>
      </c>
      <c r="K26" s="12" t="s">
        <v>1933</v>
      </c>
      <c r="L26" s="532" t="s">
        <v>1934</v>
      </c>
      <c r="M26" s="196" t="s">
        <v>1971</v>
      </c>
      <c r="N26" s="205" t="s">
        <v>1972</v>
      </c>
      <c r="O26" s="321">
        <v>1</v>
      </c>
      <c r="P26" s="349" t="s">
        <v>1960</v>
      </c>
      <c r="Q26" s="287">
        <v>392</v>
      </c>
      <c r="R26" s="201"/>
      <c r="S26" s="62">
        <v>392</v>
      </c>
      <c r="T26" s="86"/>
      <c r="U26" s="186"/>
      <c r="V26" s="238" t="s">
        <v>1932</v>
      </c>
      <c r="W26" s="12" t="s">
        <v>1933</v>
      </c>
      <c r="X26" s="532" t="s">
        <v>1934</v>
      </c>
    </row>
    <row r="27" spans="1:24" s="1" customFormat="1">
      <c r="A27" s="196" t="s">
        <v>1973</v>
      </c>
      <c r="B27" s="205" t="s">
        <v>1974</v>
      </c>
      <c r="C27" s="321">
        <v>1</v>
      </c>
      <c r="D27" s="349" t="s">
        <v>1960</v>
      </c>
      <c r="E27" s="287">
        <v>240</v>
      </c>
      <c r="F27" s="201"/>
      <c r="G27" s="62">
        <f>E27-(E27*F27)</f>
        <v>240</v>
      </c>
      <c r="H27" s="86"/>
      <c r="I27" s="186"/>
      <c r="J27" s="238" t="s">
        <v>1932</v>
      </c>
      <c r="K27" s="12" t="s">
        <v>1933</v>
      </c>
      <c r="L27" s="532" t="s">
        <v>1934</v>
      </c>
      <c r="M27" s="196" t="s">
        <v>1973</v>
      </c>
      <c r="N27" s="205" t="s">
        <v>1974</v>
      </c>
      <c r="O27" s="321">
        <v>1</v>
      </c>
      <c r="P27" s="349" t="s">
        <v>1960</v>
      </c>
      <c r="Q27" s="287">
        <v>240</v>
      </c>
      <c r="R27" s="201"/>
      <c r="S27" s="62">
        <v>240</v>
      </c>
      <c r="T27" s="86"/>
      <c r="U27" s="186"/>
      <c r="V27" s="238" t="s">
        <v>1932</v>
      </c>
      <c r="W27" s="12" t="s">
        <v>1933</v>
      </c>
      <c r="X27" s="532" t="s">
        <v>1934</v>
      </c>
    </row>
    <row r="28" spans="1:24" s="1" customFormat="1">
      <c r="A28" s="196" t="s">
        <v>1975</v>
      </c>
      <c r="B28" s="205" t="s">
        <v>1976</v>
      </c>
      <c r="C28" s="321">
        <v>1</v>
      </c>
      <c r="D28" s="349" t="s">
        <v>1960</v>
      </c>
      <c r="E28" s="287">
        <v>298</v>
      </c>
      <c r="F28" s="201"/>
      <c r="G28" s="62">
        <f>E28-(E28*F28)</f>
        <v>298</v>
      </c>
      <c r="H28" s="86"/>
      <c r="I28" s="186"/>
      <c r="J28" s="238" t="s">
        <v>1932</v>
      </c>
      <c r="K28" s="12" t="s">
        <v>1933</v>
      </c>
      <c r="L28" s="532" t="s">
        <v>1934</v>
      </c>
      <c r="M28" s="196" t="s">
        <v>1975</v>
      </c>
      <c r="N28" s="205" t="s">
        <v>1976</v>
      </c>
      <c r="O28" s="321">
        <v>1</v>
      </c>
      <c r="P28" s="349" t="s">
        <v>1960</v>
      </c>
      <c r="Q28" s="287">
        <v>298</v>
      </c>
      <c r="R28" s="201"/>
      <c r="S28" s="62">
        <v>298</v>
      </c>
      <c r="T28" s="86"/>
      <c r="U28" s="186"/>
      <c r="V28" s="238" t="s">
        <v>1932</v>
      </c>
      <c r="W28" s="12" t="s">
        <v>1933</v>
      </c>
      <c r="X28" s="532" t="s">
        <v>1934</v>
      </c>
    </row>
    <row r="29" spans="1:24" s="1" customFormat="1">
      <c r="A29" s="196" t="s">
        <v>1977</v>
      </c>
      <c r="B29" s="205" t="s">
        <v>1978</v>
      </c>
      <c r="C29" s="321">
        <v>1</v>
      </c>
      <c r="D29" s="349" t="s">
        <v>1960</v>
      </c>
      <c r="E29" s="287">
        <v>135</v>
      </c>
      <c r="F29" s="201"/>
      <c r="G29" s="62">
        <f>E29-(E29*F29)</f>
        <v>135</v>
      </c>
      <c r="H29" s="86"/>
      <c r="I29" s="186"/>
      <c r="J29" s="238" t="s">
        <v>1932</v>
      </c>
      <c r="K29" s="12" t="s">
        <v>1933</v>
      </c>
      <c r="L29" s="532" t="s">
        <v>1934</v>
      </c>
      <c r="M29" s="196" t="s">
        <v>1977</v>
      </c>
      <c r="N29" s="205" t="s">
        <v>1978</v>
      </c>
      <c r="O29" s="321">
        <v>1</v>
      </c>
      <c r="P29" s="349" t="s">
        <v>1960</v>
      </c>
      <c r="Q29" s="287">
        <v>135</v>
      </c>
      <c r="R29" s="201"/>
      <c r="S29" s="62">
        <v>135</v>
      </c>
      <c r="T29" s="86"/>
      <c r="U29" s="186"/>
      <c r="V29" s="238" t="s">
        <v>1932</v>
      </c>
      <c r="W29" s="12" t="s">
        <v>1933</v>
      </c>
      <c r="X29" s="532" t="s">
        <v>1934</v>
      </c>
    </row>
    <row r="30" spans="1:24" s="1" customFormat="1">
      <c r="A30" s="196" t="s">
        <v>1979</v>
      </c>
      <c r="B30" s="205" t="s">
        <v>1980</v>
      </c>
      <c r="C30" s="321">
        <v>1</v>
      </c>
      <c r="D30" s="349" t="s">
        <v>1960</v>
      </c>
      <c r="E30" s="287">
        <v>224</v>
      </c>
      <c r="F30" s="201"/>
      <c r="G30" s="62">
        <f>E30-(E30*F30)</f>
        <v>224</v>
      </c>
      <c r="H30" s="86"/>
      <c r="I30" s="186"/>
      <c r="J30" s="238" t="s">
        <v>1932</v>
      </c>
      <c r="K30" s="12" t="s">
        <v>1933</v>
      </c>
      <c r="L30" s="532" t="s">
        <v>1934</v>
      </c>
      <c r="M30" s="196" t="s">
        <v>1979</v>
      </c>
      <c r="N30" s="205" t="s">
        <v>1980</v>
      </c>
      <c r="O30" s="321">
        <v>1</v>
      </c>
      <c r="P30" s="349" t="s">
        <v>1960</v>
      </c>
      <c r="Q30" s="287">
        <v>224</v>
      </c>
      <c r="R30" s="201"/>
      <c r="S30" s="62">
        <v>224</v>
      </c>
      <c r="T30" s="86"/>
      <c r="U30" s="186"/>
      <c r="V30" s="238" t="s">
        <v>1932</v>
      </c>
      <c r="W30" s="12" t="s">
        <v>1933</v>
      </c>
      <c r="X30" s="532" t="s">
        <v>1934</v>
      </c>
    </row>
    <row r="31" spans="1:24" s="1" customFormat="1">
      <c r="A31" s="196" t="s">
        <v>1981</v>
      </c>
      <c r="B31" s="205" t="s">
        <v>1982</v>
      </c>
      <c r="C31" s="321">
        <v>1</v>
      </c>
      <c r="D31" s="349" t="s">
        <v>1960</v>
      </c>
      <c r="E31" s="287">
        <v>360</v>
      </c>
      <c r="F31" s="201"/>
      <c r="G31" s="62">
        <f t="shared" ref="G31:G53" si="2">E31-(E31*F31)</f>
        <v>360</v>
      </c>
      <c r="H31" s="86"/>
      <c r="I31" s="186"/>
      <c r="J31" s="238" t="s">
        <v>1932</v>
      </c>
      <c r="K31" s="12" t="s">
        <v>1933</v>
      </c>
      <c r="L31" s="532" t="s">
        <v>1934</v>
      </c>
      <c r="M31" s="196" t="s">
        <v>1981</v>
      </c>
      <c r="N31" s="205" t="s">
        <v>1982</v>
      </c>
      <c r="O31" s="321">
        <v>1</v>
      </c>
      <c r="P31" s="349" t="s">
        <v>1960</v>
      </c>
      <c r="Q31" s="287">
        <v>360</v>
      </c>
      <c r="R31" s="201"/>
      <c r="S31" s="62">
        <v>360</v>
      </c>
      <c r="T31" s="86"/>
      <c r="U31" s="186"/>
      <c r="V31" s="238" t="s">
        <v>1932</v>
      </c>
      <c r="W31" s="12" t="s">
        <v>1933</v>
      </c>
      <c r="X31" s="532" t="s">
        <v>1934</v>
      </c>
    </row>
    <row r="32" spans="1:24" s="1" customFormat="1">
      <c r="A32" s="196" t="s">
        <v>1983</v>
      </c>
      <c r="B32" s="205" t="s">
        <v>1984</v>
      </c>
      <c r="C32" s="321">
        <v>1</v>
      </c>
      <c r="D32" s="349" t="s">
        <v>1960</v>
      </c>
      <c r="E32" s="287">
        <v>550</v>
      </c>
      <c r="F32" s="201"/>
      <c r="G32" s="62">
        <f t="shared" ref="G32" si="3">E32-(E32*F32)</f>
        <v>550</v>
      </c>
      <c r="H32" s="86"/>
      <c r="I32" s="186"/>
      <c r="J32" s="238" t="s">
        <v>1932</v>
      </c>
      <c r="K32" s="12" t="s">
        <v>1933</v>
      </c>
      <c r="L32" s="532" t="s">
        <v>1934</v>
      </c>
      <c r="M32" s="196" t="s">
        <v>1983</v>
      </c>
      <c r="N32" s="205" t="s">
        <v>1984</v>
      </c>
      <c r="O32" s="321">
        <v>1</v>
      </c>
      <c r="P32" s="349" t="s">
        <v>1960</v>
      </c>
      <c r="Q32" s="287">
        <v>550</v>
      </c>
      <c r="R32" s="201"/>
      <c r="S32" s="62">
        <v>550</v>
      </c>
      <c r="T32" s="86"/>
      <c r="U32" s="186"/>
      <c r="V32" s="238" t="s">
        <v>1932</v>
      </c>
      <c r="W32" s="12" t="s">
        <v>1933</v>
      </c>
      <c r="X32" s="532" t="s">
        <v>1934</v>
      </c>
    </row>
    <row r="33" spans="1:24" s="1" customFormat="1">
      <c r="A33" s="196" t="s">
        <v>1985</v>
      </c>
      <c r="B33" s="205" t="s">
        <v>1986</v>
      </c>
      <c r="C33" s="321">
        <v>1</v>
      </c>
      <c r="D33" s="349" t="s">
        <v>1960</v>
      </c>
      <c r="E33" s="287">
        <v>840</v>
      </c>
      <c r="F33" s="201"/>
      <c r="G33" s="62">
        <f t="shared" si="2"/>
        <v>840</v>
      </c>
      <c r="H33" s="86"/>
      <c r="I33" s="186"/>
      <c r="J33" s="238" t="s">
        <v>1932</v>
      </c>
      <c r="K33" s="12" t="s">
        <v>1933</v>
      </c>
      <c r="L33" s="532" t="s">
        <v>1934</v>
      </c>
      <c r="M33" s="196" t="s">
        <v>1985</v>
      </c>
      <c r="N33" s="205" t="s">
        <v>1986</v>
      </c>
      <c r="O33" s="321">
        <v>1</v>
      </c>
      <c r="P33" s="349" t="s">
        <v>1960</v>
      </c>
      <c r="Q33" s="287">
        <v>840</v>
      </c>
      <c r="R33" s="201"/>
      <c r="S33" s="62">
        <v>840</v>
      </c>
      <c r="T33" s="86"/>
      <c r="U33" s="186"/>
      <c r="V33" s="238" t="s">
        <v>1932</v>
      </c>
      <c r="W33" s="12" t="s">
        <v>1933</v>
      </c>
      <c r="X33" s="532" t="s">
        <v>1934</v>
      </c>
    </row>
    <row r="34" spans="1:24" s="1" customFormat="1">
      <c r="A34" s="196" t="s">
        <v>1987</v>
      </c>
      <c r="B34" s="205" t="s">
        <v>1988</v>
      </c>
      <c r="C34" s="321">
        <v>1</v>
      </c>
      <c r="D34" s="349" t="s">
        <v>1960</v>
      </c>
      <c r="E34" s="287">
        <v>360</v>
      </c>
      <c r="F34" s="201"/>
      <c r="G34" s="62">
        <f t="shared" si="2"/>
        <v>360</v>
      </c>
      <c r="H34" s="86"/>
      <c r="I34" s="186"/>
      <c r="J34" s="238" t="s">
        <v>1932</v>
      </c>
      <c r="K34" s="12" t="s">
        <v>1933</v>
      </c>
      <c r="L34" s="532" t="s">
        <v>1934</v>
      </c>
      <c r="M34" s="196" t="s">
        <v>1987</v>
      </c>
      <c r="N34" s="205" t="s">
        <v>1988</v>
      </c>
      <c r="O34" s="321">
        <v>1</v>
      </c>
      <c r="P34" s="349" t="s">
        <v>1960</v>
      </c>
      <c r="Q34" s="287">
        <v>360</v>
      </c>
      <c r="R34" s="201"/>
      <c r="S34" s="62">
        <v>360</v>
      </c>
      <c r="T34" s="86"/>
      <c r="U34" s="186"/>
      <c r="V34" s="238" t="s">
        <v>1932</v>
      </c>
      <c r="W34" s="12" t="s">
        <v>1933</v>
      </c>
      <c r="X34" s="532" t="s">
        <v>1934</v>
      </c>
    </row>
    <row r="35" spans="1:24" s="1" customFormat="1">
      <c r="A35" s="196" t="s">
        <v>1989</v>
      </c>
      <c r="B35" s="205" t="s">
        <v>1990</v>
      </c>
      <c r="C35" s="321">
        <v>1</v>
      </c>
      <c r="D35" s="349" t="s">
        <v>1960</v>
      </c>
      <c r="E35" s="287">
        <v>550</v>
      </c>
      <c r="F35" s="201"/>
      <c r="G35" s="62">
        <f t="shared" si="2"/>
        <v>550</v>
      </c>
      <c r="H35" s="86"/>
      <c r="I35" s="186"/>
      <c r="J35" s="238" t="s">
        <v>1932</v>
      </c>
      <c r="K35" s="12" t="s">
        <v>1933</v>
      </c>
      <c r="L35" s="532" t="s">
        <v>1934</v>
      </c>
      <c r="M35" s="196" t="s">
        <v>1989</v>
      </c>
      <c r="N35" s="205" t="s">
        <v>1990</v>
      </c>
      <c r="O35" s="321">
        <v>1</v>
      </c>
      <c r="P35" s="349" t="s">
        <v>1960</v>
      </c>
      <c r="Q35" s="287">
        <v>550</v>
      </c>
      <c r="R35" s="201"/>
      <c r="S35" s="62">
        <v>550</v>
      </c>
      <c r="T35" s="86"/>
      <c r="U35" s="186"/>
      <c r="V35" s="238" t="s">
        <v>1932</v>
      </c>
      <c r="W35" s="12" t="s">
        <v>1933</v>
      </c>
      <c r="X35" s="532" t="s">
        <v>1934</v>
      </c>
    </row>
    <row r="36" spans="1:24" s="1" customFormat="1">
      <c r="A36" s="196" t="s">
        <v>1991</v>
      </c>
      <c r="B36" s="205" t="s">
        <v>1992</v>
      </c>
      <c r="C36" s="321">
        <v>1</v>
      </c>
      <c r="D36" s="349" t="s">
        <v>1960</v>
      </c>
      <c r="E36" s="287">
        <v>840</v>
      </c>
      <c r="F36" s="201"/>
      <c r="G36" s="62">
        <f t="shared" si="2"/>
        <v>840</v>
      </c>
      <c r="H36" s="86"/>
      <c r="I36" s="186"/>
      <c r="J36" s="238" t="s">
        <v>1932</v>
      </c>
      <c r="K36" s="12" t="s">
        <v>1933</v>
      </c>
      <c r="L36" s="532" t="s">
        <v>1934</v>
      </c>
      <c r="M36" s="196" t="s">
        <v>1991</v>
      </c>
      <c r="N36" s="205" t="s">
        <v>1992</v>
      </c>
      <c r="O36" s="321">
        <v>1</v>
      </c>
      <c r="P36" s="349" t="s">
        <v>1960</v>
      </c>
      <c r="Q36" s="287">
        <v>840</v>
      </c>
      <c r="R36" s="201"/>
      <c r="S36" s="62">
        <v>840</v>
      </c>
      <c r="T36" s="86"/>
      <c r="U36" s="186"/>
      <c r="V36" s="238" t="s">
        <v>1932</v>
      </c>
      <c r="W36" s="12" t="s">
        <v>1933</v>
      </c>
      <c r="X36" s="532" t="s">
        <v>1934</v>
      </c>
    </row>
    <row r="37" spans="1:24" s="1" customFormat="1">
      <c r="A37" s="199">
        <v>2821202120</v>
      </c>
      <c r="B37" s="205" t="s">
        <v>1995</v>
      </c>
      <c r="C37" s="206">
        <v>1</v>
      </c>
      <c r="D37" s="226" t="s">
        <v>1452</v>
      </c>
      <c r="E37" s="287">
        <v>1600</v>
      </c>
      <c r="F37" s="188"/>
      <c r="G37" s="62">
        <f t="shared" ref="G37" si="4">E37-(E37*F37)</f>
        <v>1600</v>
      </c>
      <c r="H37" s="86"/>
      <c r="I37" s="186"/>
      <c r="J37" s="238" t="s">
        <v>1932</v>
      </c>
      <c r="K37" s="12" t="s">
        <v>1933</v>
      </c>
      <c r="L37" s="532" t="s">
        <v>1934</v>
      </c>
      <c r="M37" s="199">
        <v>2821202120</v>
      </c>
      <c r="N37" s="205" t="s">
        <v>1995</v>
      </c>
      <c r="O37" s="206">
        <v>1</v>
      </c>
      <c r="P37" s="226" t="s">
        <v>1452</v>
      </c>
      <c r="Q37" s="287">
        <v>1600</v>
      </c>
      <c r="R37" s="188"/>
      <c r="S37" s="62">
        <v>1600</v>
      </c>
      <c r="T37" s="86"/>
      <c r="U37" s="186"/>
      <c r="V37" s="238" t="s">
        <v>1932</v>
      </c>
      <c r="W37" s="12" t="s">
        <v>1933</v>
      </c>
      <c r="X37" s="532" t="s">
        <v>1934</v>
      </c>
    </row>
    <row r="38" spans="1:24" s="1" customFormat="1">
      <c r="A38" s="219" t="s">
        <v>1993</v>
      </c>
      <c r="B38" s="205" t="s">
        <v>1994</v>
      </c>
      <c r="C38" s="206">
        <v>1</v>
      </c>
      <c r="D38" s="226" t="s">
        <v>1452</v>
      </c>
      <c r="E38" s="287">
        <v>1700</v>
      </c>
      <c r="F38" s="188"/>
      <c r="G38" s="62">
        <f>E38-(E38*F38)</f>
        <v>1700</v>
      </c>
      <c r="H38" s="86"/>
      <c r="I38" s="186"/>
      <c r="J38" s="238" t="s">
        <v>1932</v>
      </c>
      <c r="K38" s="12" t="s">
        <v>1933</v>
      </c>
      <c r="L38" s="532" t="s">
        <v>1934</v>
      </c>
      <c r="M38" s="219" t="s">
        <v>1993</v>
      </c>
      <c r="N38" s="205" t="s">
        <v>1994</v>
      </c>
      <c r="O38" s="206">
        <v>1</v>
      </c>
      <c r="P38" s="226" t="s">
        <v>1452</v>
      </c>
      <c r="Q38" s="287">
        <v>1700</v>
      </c>
      <c r="R38" s="188"/>
      <c r="S38" s="62">
        <v>1700</v>
      </c>
      <c r="T38" s="86"/>
      <c r="U38" s="186"/>
      <c r="V38" s="238" t="s">
        <v>1932</v>
      </c>
      <c r="W38" s="12" t="s">
        <v>1933</v>
      </c>
      <c r="X38" s="532" t="s">
        <v>1934</v>
      </c>
    </row>
    <row r="39" spans="1:24" s="1" customFormat="1">
      <c r="A39" s="219">
        <v>1912101220</v>
      </c>
      <c r="B39" s="205" t="s">
        <v>1996</v>
      </c>
      <c r="C39" s="206">
        <v>1</v>
      </c>
      <c r="D39" s="226" t="s">
        <v>1452</v>
      </c>
      <c r="E39" s="287">
        <v>1600</v>
      </c>
      <c r="F39" s="188"/>
      <c r="G39" s="62">
        <f>E39-(E39*F39)</f>
        <v>1600</v>
      </c>
      <c r="H39" s="86"/>
      <c r="I39" s="186"/>
      <c r="J39" s="238" t="s">
        <v>1932</v>
      </c>
      <c r="K39" s="12" t="s">
        <v>1933</v>
      </c>
      <c r="L39" s="532" t="s">
        <v>1934</v>
      </c>
      <c r="M39" s="219">
        <v>1912101220</v>
      </c>
      <c r="N39" s="205" t="s">
        <v>1996</v>
      </c>
      <c r="O39" s="206">
        <v>1</v>
      </c>
      <c r="P39" s="226" t="s">
        <v>1452</v>
      </c>
      <c r="Q39" s="287">
        <v>1600</v>
      </c>
      <c r="R39" s="188"/>
      <c r="S39" s="62">
        <v>1600</v>
      </c>
      <c r="T39" s="86"/>
      <c r="U39" s="186"/>
      <c r="V39" s="238" t="s">
        <v>1932</v>
      </c>
      <c r="W39" s="12" t="s">
        <v>1933</v>
      </c>
      <c r="X39" s="532" t="s">
        <v>1934</v>
      </c>
    </row>
    <row r="40" spans="1:24" s="1" customFormat="1">
      <c r="A40" s="219">
        <v>3230303030</v>
      </c>
      <c r="B40" s="205" t="s">
        <v>2445</v>
      </c>
      <c r="C40" s="206">
        <v>1</v>
      </c>
      <c r="D40" s="226" t="s">
        <v>1452</v>
      </c>
      <c r="E40" s="287">
        <v>1900</v>
      </c>
      <c r="F40" s="188"/>
      <c r="G40" s="62">
        <f>E40-(E40*F40)</f>
        <v>1900</v>
      </c>
      <c r="H40" s="86"/>
      <c r="I40" s="186"/>
      <c r="J40" s="238" t="s">
        <v>1932</v>
      </c>
      <c r="K40" s="12" t="s">
        <v>1933</v>
      </c>
      <c r="L40" s="532" t="s">
        <v>1934</v>
      </c>
      <c r="M40" s="691">
        <v>3230303030</v>
      </c>
      <c r="N40" s="205" t="s">
        <v>2445</v>
      </c>
      <c r="O40" s="206">
        <v>1</v>
      </c>
      <c r="P40" s="226" t="s">
        <v>1452</v>
      </c>
      <c r="Q40" s="287">
        <v>1900</v>
      </c>
      <c r="R40" s="188"/>
      <c r="S40" s="62">
        <v>1900</v>
      </c>
      <c r="T40" s="86"/>
      <c r="U40" s="186"/>
      <c r="V40" s="238" t="s">
        <v>1932</v>
      </c>
      <c r="W40" s="12" t="s">
        <v>1933</v>
      </c>
      <c r="X40" s="532" t="s">
        <v>1934</v>
      </c>
    </row>
    <row r="41" spans="1:24" s="1" customFormat="1">
      <c r="A41" s="720" t="s">
        <v>1997</v>
      </c>
      <c r="B41" s="721" t="s">
        <v>1998</v>
      </c>
      <c r="C41" s="722">
        <v>1</v>
      </c>
      <c r="D41" s="723" t="s">
        <v>134</v>
      </c>
      <c r="E41" s="724">
        <v>782.67</v>
      </c>
      <c r="F41" s="725"/>
      <c r="G41" s="726">
        <f t="shared" si="2"/>
        <v>782.67</v>
      </c>
      <c r="H41" s="352"/>
      <c r="I41" s="726"/>
      <c r="J41" s="727" t="s">
        <v>1932</v>
      </c>
      <c r="K41" s="728" t="s">
        <v>1933</v>
      </c>
      <c r="L41" s="729" t="s">
        <v>1934</v>
      </c>
      <c r="M41" s="720" t="s">
        <v>1997</v>
      </c>
      <c r="N41" s="721" t="s">
        <v>1998</v>
      </c>
      <c r="O41" s="722">
        <v>1</v>
      </c>
      <c r="P41" s="723" t="s">
        <v>134</v>
      </c>
      <c r="Q41" s="724">
        <v>782.67</v>
      </c>
      <c r="R41" s="725"/>
      <c r="S41" s="726">
        <v>782.67</v>
      </c>
      <c r="T41" s="352"/>
      <c r="U41" s="726"/>
      <c r="V41" s="727" t="s">
        <v>1932</v>
      </c>
      <c r="W41" s="728" t="s">
        <v>1933</v>
      </c>
      <c r="X41" s="729" t="s">
        <v>1934</v>
      </c>
    </row>
    <row r="42" spans="1:24" s="1" customFormat="1" ht="14.5">
      <c r="A42" s="196" t="s">
        <v>1999</v>
      </c>
      <c r="B42" s="205" t="s">
        <v>2000</v>
      </c>
      <c r="C42" s="730">
        <v>1</v>
      </c>
      <c r="D42" s="349" t="s">
        <v>134</v>
      </c>
      <c r="E42" s="287">
        <v>391.3</v>
      </c>
      <c r="F42" s="731"/>
      <c r="G42" s="186">
        <f t="shared" ref="G42" si="5">E42-(E42*F42)</f>
        <v>391.3</v>
      </c>
      <c r="H42" s="86"/>
      <c r="I42" s="186"/>
      <c r="J42" s="238" t="s">
        <v>1932</v>
      </c>
      <c r="K42" s="12" t="s">
        <v>1933</v>
      </c>
      <c r="L42" s="532" t="s">
        <v>1934</v>
      </c>
      <c r="M42" s="196" t="s">
        <v>1999</v>
      </c>
      <c r="N42" s="205" t="s">
        <v>2000</v>
      </c>
      <c r="O42" s="730">
        <v>1</v>
      </c>
      <c r="P42" s="349" t="s">
        <v>134</v>
      </c>
      <c r="Q42" s="287">
        <v>391.3</v>
      </c>
      <c r="R42" s="731"/>
      <c r="S42" s="186">
        <v>391.3</v>
      </c>
      <c r="T42" s="86"/>
      <c r="U42" s="186"/>
      <c r="V42" s="238" t="s">
        <v>1932</v>
      </c>
      <c r="W42" s="12" t="s">
        <v>1933</v>
      </c>
      <c r="X42" s="532" t="s">
        <v>1934</v>
      </c>
    </row>
    <row r="43" spans="1:24" s="1" customFormat="1">
      <c r="A43" s="196" t="s">
        <v>2001</v>
      </c>
      <c r="B43" s="205" t="s">
        <v>2002</v>
      </c>
      <c r="C43" s="321">
        <v>1</v>
      </c>
      <c r="D43" s="349" t="s">
        <v>134</v>
      </c>
      <c r="E43" s="287">
        <v>86.67</v>
      </c>
      <c r="F43" s="201"/>
      <c r="G43" s="62">
        <f t="shared" si="2"/>
        <v>86.67</v>
      </c>
      <c r="H43" s="86"/>
      <c r="I43" s="186"/>
      <c r="J43" s="238" t="s">
        <v>1932</v>
      </c>
      <c r="K43" s="12" t="s">
        <v>1933</v>
      </c>
      <c r="L43" s="532" t="s">
        <v>1934</v>
      </c>
      <c r="M43" s="196" t="s">
        <v>2001</v>
      </c>
      <c r="N43" s="205" t="s">
        <v>2002</v>
      </c>
      <c r="O43" s="321">
        <v>1</v>
      </c>
      <c r="P43" s="349" t="s">
        <v>134</v>
      </c>
      <c r="Q43" s="287">
        <v>86.67</v>
      </c>
      <c r="R43" s="201"/>
      <c r="S43" s="62">
        <v>86.67</v>
      </c>
      <c r="T43" s="86"/>
      <c r="U43" s="186"/>
      <c r="V43" s="238" t="s">
        <v>1932</v>
      </c>
      <c r="W43" s="12" t="s">
        <v>1933</v>
      </c>
      <c r="X43" s="532" t="s">
        <v>1934</v>
      </c>
    </row>
    <row r="44" spans="1:24" s="1" customFormat="1">
      <c r="A44" s="196" t="s">
        <v>2003</v>
      </c>
      <c r="B44" s="205" t="s">
        <v>2004</v>
      </c>
      <c r="C44" s="321">
        <v>1</v>
      </c>
      <c r="D44" s="349" t="s">
        <v>134</v>
      </c>
      <c r="E44" s="287">
        <v>326.67</v>
      </c>
      <c r="F44" s="201"/>
      <c r="G44" s="62">
        <f t="shared" si="2"/>
        <v>326.67</v>
      </c>
      <c r="H44" s="86"/>
      <c r="I44" s="186"/>
      <c r="J44" s="238" t="s">
        <v>1932</v>
      </c>
      <c r="K44" s="12" t="s">
        <v>1933</v>
      </c>
      <c r="L44" s="532" t="s">
        <v>1934</v>
      </c>
      <c r="M44" s="196" t="s">
        <v>2003</v>
      </c>
      <c r="N44" s="205" t="s">
        <v>2004</v>
      </c>
      <c r="O44" s="321">
        <v>1</v>
      </c>
      <c r="P44" s="349" t="s">
        <v>134</v>
      </c>
      <c r="Q44" s="287">
        <v>326.67</v>
      </c>
      <c r="R44" s="201"/>
      <c r="S44" s="62">
        <v>326.67</v>
      </c>
      <c r="T44" s="86"/>
      <c r="U44" s="186"/>
      <c r="V44" s="238" t="s">
        <v>1932</v>
      </c>
      <c r="W44" s="12" t="s">
        <v>1933</v>
      </c>
      <c r="X44" s="532" t="s">
        <v>1934</v>
      </c>
    </row>
    <row r="45" spans="1:24" s="1" customFormat="1">
      <c r="A45" s="196" t="s">
        <v>2005</v>
      </c>
      <c r="B45" s="205" t="s">
        <v>2006</v>
      </c>
      <c r="C45" s="321">
        <v>1</v>
      </c>
      <c r="D45" s="349" t="s">
        <v>134</v>
      </c>
      <c r="E45" s="287">
        <v>649.33000000000004</v>
      </c>
      <c r="F45" s="201"/>
      <c r="G45" s="62">
        <f t="shared" si="2"/>
        <v>649.33000000000004</v>
      </c>
      <c r="H45" s="86"/>
      <c r="I45" s="186"/>
      <c r="J45" s="238" t="s">
        <v>1932</v>
      </c>
      <c r="K45" s="12" t="s">
        <v>1933</v>
      </c>
      <c r="L45" s="532" t="s">
        <v>1934</v>
      </c>
      <c r="M45" s="196" t="s">
        <v>2005</v>
      </c>
      <c r="N45" s="205" t="s">
        <v>2006</v>
      </c>
      <c r="O45" s="321">
        <v>1</v>
      </c>
      <c r="P45" s="349" t="s">
        <v>134</v>
      </c>
      <c r="Q45" s="287">
        <v>649.33000000000004</v>
      </c>
      <c r="R45" s="201"/>
      <c r="S45" s="62">
        <v>649.33000000000004</v>
      </c>
      <c r="T45" s="86"/>
      <c r="U45" s="186"/>
      <c r="V45" s="238" t="s">
        <v>1932</v>
      </c>
      <c r="W45" s="12" t="s">
        <v>1933</v>
      </c>
      <c r="X45" s="532" t="s">
        <v>1934</v>
      </c>
    </row>
    <row r="46" spans="1:24" s="1" customFormat="1">
      <c r="A46" s="196" t="s">
        <v>2007</v>
      </c>
      <c r="B46" s="205" t="s">
        <v>2008</v>
      </c>
      <c r="C46" s="321">
        <v>1</v>
      </c>
      <c r="D46" s="349" t="s">
        <v>134</v>
      </c>
      <c r="E46" s="287">
        <v>173.33</v>
      </c>
      <c r="F46" s="201"/>
      <c r="G46" s="62">
        <f t="shared" si="2"/>
        <v>173.33</v>
      </c>
      <c r="H46" s="86"/>
      <c r="I46" s="186"/>
      <c r="J46" s="238" t="s">
        <v>1932</v>
      </c>
      <c r="K46" s="12" t="s">
        <v>1933</v>
      </c>
      <c r="L46" s="532" t="s">
        <v>1934</v>
      </c>
      <c r="M46" s="196" t="s">
        <v>2007</v>
      </c>
      <c r="N46" s="205" t="s">
        <v>2008</v>
      </c>
      <c r="O46" s="321">
        <v>1</v>
      </c>
      <c r="P46" s="349" t="s">
        <v>134</v>
      </c>
      <c r="Q46" s="287">
        <v>173.33</v>
      </c>
      <c r="R46" s="201"/>
      <c r="S46" s="62">
        <v>173.33</v>
      </c>
      <c r="T46" s="86"/>
      <c r="U46" s="186"/>
      <c r="V46" s="238" t="s">
        <v>1932</v>
      </c>
      <c r="W46" s="12" t="s">
        <v>1933</v>
      </c>
      <c r="X46" s="532" t="s">
        <v>1934</v>
      </c>
    </row>
    <row r="47" spans="1:24" s="1" customFormat="1">
      <c r="A47" s="196" t="s">
        <v>2009</v>
      </c>
      <c r="B47" s="205" t="s">
        <v>2010</v>
      </c>
      <c r="C47" s="321">
        <v>1</v>
      </c>
      <c r="D47" s="349" t="s">
        <v>134</v>
      </c>
      <c r="E47" s="287">
        <v>11072</v>
      </c>
      <c r="F47" s="201"/>
      <c r="G47" s="62">
        <f t="shared" si="2"/>
        <v>11072</v>
      </c>
      <c r="H47" s="86"/>
      <c r="I47" s="186"/>
      <c r="J47" s="238" t="s">
        <v>1932</v>
      </c>
      <c r="K47" s="12" t="s">
        <v>1933</v>
      </c>
      <c r="L47" s="532" t="s">
        <v>1934</v>
      </c>
      <c r="M47" s="196" t="s">
        <v>2009</v>
      </c>
      <c r="N47" s="205" t="s">
        <v>2010</v>
      </c>
      <c r="O47" s="321">
        <v>1</v>
      </c>
      <c r="P47" s="349" t="s">
        <v>134</v>
      </c>
      <c r="Q47" s="287">
        <v>11072</v>
      </c>
      <c r="R47" s="201"/>
      <c r="S47" s="62">
        <v>11072</v>
      </c>
      <c r="T47" s="86"/>
      <c r="U47" s="186"/>
      <c r="V47" s="238" t="s">
        <v>1932</v>
      </c>
      <c r="W47" s="12" t="s">
        <v>1933</v>
      </c>
      <c r="X47" s="532" t="s">
        <v>1934</v>
      </c>
    </row>
    <row r="48" spans="1:24" s="1" customFormat="1">
      <c r="A48" s="196" t="s">
        <v>2011</v>
      </c>
      <c r="B48" s="205" t="s">
        <v>2012</v>
      </c>
      <c r="C48" s="321">
        <v>1</v>
      </c>
      <c r="D48" s="349" t="s">
        <v>2013</v>
      </c>
      <c r="E48" s="287">
        <v>6.67</v>
      </c>
      <c r="F48" s="201"/>
      <c r="G48" s="62">
        <f t="shared" si="2"/>
        <v>6.67</v>
      </c>
      <c r="H48" s="86"/>
      <c r="I48" s="186"/>
      <c r="J48" s="238" t="s">
        <v>1932</v>
      </c>
      <c r="K48" s="12" t="s">
        <v>1933</v>
      </c>
      <c r="L48" s="532" t="s">
        <v>1934</v>
      </c>
      <c r="M48" s="196" t="s">
        <v>2011</v>
      </c>
      <c r="N48" s="205" t="s">
        <v>2012</v>
      </c>
      <c r="O48" s="321">
        <v>1</v>
      </c>
      <c r="P48" s="349" t="s">
        <v>2013</v>
      </c>
      <c r="Q48" s="287">
        <v>6.67</v>
      </c>
      <c r="R48" s="201"/>
      <c r="S48" s="62">
        <v>6.67</v>
      </c>
      <c r="T48" s="86"/>
      <c r="U48" s="186"/>
      <c r="V48" s="238" t="s">
        <v>1932</v>
      </c>
      <c r="W48" s="12" t="s">
        <v>1933</v>
      </c>
      <c r="X48" s="532" t="s">
        <v>1934</v>
      </c>
    </row>
    <row r="49" spans="1:24" s="1" customFormat="1">
      <c r="A49" s="196" t="s">
        <v>2014</v>
      </c>
      <c r="B49" s="205" t="s">
        <v>2015</v>
      </c>
      <c r="C49" s="321">
        <v>1</v>
      </c>
      <c r="D49" s="349" t="s">
        <v>2013</v>
      </c>
      <c r="E49" s="287">
        <v>440</v>
      </c>
      <c r="F49" s="201"/>
      <c r="G49" s="62">
        <f t="shared" si="2"/>
        <v>440</v>
      </c>
      <c r="H49" s="86"/>
      <c r="I49" s="186"/>
      <c r="J49" s="238" t="s">
        <v>1932</v>
      </c>
      <c r="K49" s="12" t="s">
        <v>1933</v>
      </c>
      <c r="L49" s="532" t="s">
        <v>1934</v>
      </c>
      <c r="M49" s="196" t="s">
        <v>2014</v>
      </c>
      <c r="N49" s="205" t="s">
        <v>2015</v>
      </c>
      <c r="O49" s="321">
        <v>1</v>
      </c>
      <c r="P49" s="349" t="s">
        <v>2013</v>
      </c>
      <c r="Q49" s="287">
        <v>440</v>
      </c>
      <c r="R49" s="201"/>
      <c r="S49" s="62">
        <v>440</v>
      </c>
      <c r="T49" s="86"/>
      <c r="U49" s="186"/>
      <c r="V49" s="238" t="s">
        <v>1932</v>
      </c>
      <c r="W49" s="12" t="s">
        <v>1933</v>
      </c>
      <c r="X49" s="532" t="s">
        <v>1934</v>
      </c>
    </row>
    <row r="50" spans="1:24" s="1" customFormat="1">
      <c r="A50" s="196" t="s">
        <v>2016</v>
      </c>
      <c r="B50" s="205" t="s">
        <v>2017</v>
      </c>
      <c r="C50" s="321">
        <v>1</v>
      </c>
      <c r="D50" s="349" t="s">
        <v>2013</v>
      </c>
      <c r="E50" s="287">
        <v>600</v>
      </c>
      <c r="F50" s="201"/>
      <c r="G50" s="62">
        <f t="shared" si="2"/>
        <v>600</v>
      </c>
      <c r="H50" s="86"/>
      <c r="I50" s="186"/>
      <c r="J50" s="238" t="s">
        <v>1932</v>
      </c>
      <c r="K50" s="12" t="s">
        <v>1933</v>
      </c>
      <c r="L50" s="532" t="s">
        <v>1934</v>
      </c>
      <c r="M50" s="196" t="s">
        <v>2016</v>
      </c>
      <c r="N50" s="205" t="s">
        <v>2017</v>
      </c>
      <c r="O50" s="321">
        <v>1</v>
      </c>
      <c r="P50" s="349" t="s">
        <v>2013</v>
      </c>
      <c r="Q50" s="287">
        <v>600</v>
      </c>
      <c r="R50" s="201"/>
      <c r="S50" s="62">
        <v>600</v>
      </c>
      <c r="T50" s="86"/>
      <c r="U50" s="186"/>
      <c r="V50" s="238" t="s">
        <v>1932</v>
      </c>
      <c r="W50" s="12" t="s">
        <v>1933</v>
      </c>
      <c r="X50" s="532" t="s">
        <v>1934</v>
      </c>
    </row>
    <row r="51" spans="1:24" s="1" customFormat="1">
      <c r="A51" s="196" t="s">
        <v>2018</v>
      </c>
      <c r="B51" s="205" t="s">
        <v>2019</v>
      </c>
      <c r="C51" s="321">
        <v>1</v>
      </c>
      <c r="D51" s="349" t="s">
        <v>2013</v>
      </c>
      <c r="E51" s="287">
        <v>520</v>
      </c>
      <c r="F51" s="201"/>
      <c r="G51" s="62">
        <f t="shared" si="2"/>
        <v>520</v>
      </c>
      <c r="H51" s="86"/>
      <c r="I51" s="186"/>
      <c r="J51" s="238" t="s">
        <v>1932</v>
      </c>
      <c r="K51" s="12" t="s">
        <v>1933</v>
      </c>
      <c r="L51" s="532" t="s">
        <v>1934</v>
      </c>
      <c r="M51" s="196" t="s">
        <v>2018</v>
      </c>
      <c r="N51" s="205" t="s">
        <v>2019</v>
      </c>
      <c r="O51" s="321">
        <v>1</v>
      </c>
      <c r="P51" s="349" t="s">
        <v>2013</v>
      </c>
      <c r="Q51" s="287">
        <v>520</v>
      </c>
      <c r="R51" s="201"/>
      <c r="S51" s="62">
        <v>520</v>
      </c>
      <c r="T51" s="86"/>
      <c r="U51" s="186"/>
      <c r="V51" s="238" t="s">
        <v>1932</v>
      </c>
      <c r="W51" s="12" t="s">
        <v>1933</v>
      </c>
      <c r="X51" s="532" t="s">
        <v>1934</v>
      </c>
    </row>
    <row r="52" spans="1:24" s="1" customFormat="1">
      <c r="A52" s="196" t="s">
        <v>2020</v>
      </c>
      <c r="B52" s="205" t="s">
        <v>2021</v>
      </c>
      <c r="C52" s="321">
        <v>1</v>
      </c>
      <c r="D52" s="349" t="s">
        <v>2013</v>
      </c>
      <c r="E52" s="287">
        <v>1106.67</v>
      </c>
      <c r="F52" s="201"/>
      <c r="G52" s="62">
        <f t="shared" si="2"/>
        <v>1106.67</v>
      </c>
      <c r="H52" s="86"/>
      <c r="I52" s="186"/>
      <c r="J52" s="238" t="s">
        <v>1932</v>
      </c>
      <c r="K52" s="12" t="s">
        <v>1933</v>
      </c>
      <c r="L52" s="532" t="s">
        <v>1934</v>
      </c>
      <c r="M52" s="196" t="s">
        <v>2020</v>
      </c>
      <c r="N52" s="205" t="s">
        <v>2021</v>
      </c>
      <c r="O52" s="321">
        <v>1</v>
      </c>
      <c r="P52" s="349" t="s">
        <v>2013</v>
      </c>
      <c r="Q52" s="287">
        <v>1106.67</v>
      </c>
      <c r="R52" s="201"/>
      <c r="S52" s="62">
        <v>1106.67</v>
      </c>
      <c r="T52" s="86"/>
      <c r="U52" s="186"/>
      <c r="V52" s="238" t="s">
        <v>1932</v>
      </c>
      <c r="W52" s="12" t="s">
        <v>1933</v>
      </c>
      <c r="X52" s="532" t="s">
        <v>1934</v>
      </c>
    </row>
    <row r="53" spans="1:24" s="1" customFormat="1">
      <c r="A53" s="196" t="s">
        <v>2022</v>
      </c>
      <c r="B53" s="205" t="s">
        <v>2023</v>
      </c>
      <c r="C53" s="321">
        <v>1</v>
      </c>
      <c r="D53" s="349" t="s">
        <v>2013</v>
      </c>
      <c r="E53" s="287">
        <v>333.33</v>
      </c>
      <c r="F53" s="201"/>
      <c r="G53" s="62">
        <f t="shared" si="2"/>
        <v>333.33</v>
      </c>
      <c r="H53" s="86"/>
      <c r="I53" s="186"/>
      <c r="J53" s="238" t="s">
        <v>1932</v>
      </c>
      <c r="K53" s="12" t="s">
        <v>1933</v>
      </c>
      <c r="L53" s="532" t="s">
        <v>1934</v>
      </c>
      <c r="M53" s="196" t="s">
        <v>2022</v>
      </c>
      <c r="N53" s="205" t="s">
        <v>2023</v>
      </c>
      <c r="O53" s="321">
        <v>1</v>
      </c>
      <c r="P53" s="349" t="s">
        <v>2013</v>
      </c>
      <c r="Q53" s="287">
        <v>333.33</v>
      </c>
      <c r="R53" s="201"/>
      <c r="S53" s="62">
        <v>333.33</v>
      </c>
      <c r="T53" s="86"/>
      <c r="U53" s="186"/>
      <c r="V53" s="238" t="s">
        <v>1932</v>
      </c>
      <c r="W53" s="12" t="s">
        <v>1933</v>
      </c>
      <c r="X53" s="532" t="s">
        <v>1934</v>
      </c>
    </row>
    <row r="54" spans="1:24" s="1" customFormat="1">
      <c r="A54" s="196" t="s">
        <v>2024</v>
      </c>
      <c r="B54" s="205" t="s">
        <v>2025</v>
      </c>
      <c r="C54" s="321">
        <v>1</v>
      </c>
      <c r="D54" s="349" t="s">
        <v>2013</v>
      </c>
      <c r="E54" s="287">
        <v>326.67</v>
      </c>
      <c r="F54" s="201"/>
      <c r="G54" s="62">
        <f t="shared" ref="G54:G62" si="6">E54-(E54*F54)</f>
        <v>326.67</v>
      </c>
      <c r="H54" s="86"/>
      <c r="I54" s="186"/>
      <c r="J54" s="238" t="s">
        <v>1932</v>
      </c>
      <c r="K54" s="12" t="s">
        <v>1933</v>
      </c>
      <c r="L54" s="532" t="s">
        <v>1934</v>
      </c>
      <c r="M54" s="196" t="s">
        <v>2024</v>
      </c>
      <c r="N54" s="205" t="s">
        <v>2025</v>
      </c>
      <c r="O54" s="321">
        <v>1</v>
      </c>
      <c r="P54" s="349" t="s">
        <v>2013</v>
      </c>
      <c r="Q54" s="287">
        <v>326.67</v>
      </c>
      <c r="R54" s="201"/>
      <c r="S54" s="62">
        <v>326.67</v>
      </c>
      <c r="T54" s="86"/>
      <c r="U54" s="186"/>
      <c r="V54" s="238" t="s">
        <v>1932</v>
      </c>
      <c r="W54" s="12" t="s">
        <v>1933</v>
      </c>
      <c r="X54" s="532" t="s">
        <v>1934</v>
      </c>
    </row>
    <row r="55" spans="1:24" s="1" customFormat="1">
      <c r="A55" s="196" t="s">
        <v>2026</v>
      </c>
      <c r="B55" s="205" t="s">
        <v>2027</v>
      </c>
      <c r="C55" s="321">
        <v>1</v>
      </c>
      <c r="D55" s="349" t="s">
        <v>2013</v>
      </c>
      <c r="E55" s="287">
        <v>126.67</v>
      </c>
      <c r="F55" s="201"/>
      <c r="G55" s="62">
        <f t="shared" si="6"/>
        <v>126.67</v>
      </c>
      <c r="H55" s="86"/>
      <c r="I55" s="186"/>
      <c r="J55" s="238" t="s">
        <v>1932</v>
      </c>
      <c r="K55" s="12" t="s">
        <v>1933</v>
      </c>
      <c r="L55" s="532" t="s">
        <v>1934</v>
      </c>
      <c r="M55" s="196" t="s">
        <v>2026</v>
      </c>
      <c r="N55" s="205" t="s">
        <v>2027</v>
      </c>
      <c r="O55" s="321">
        <v>1</v>
      </c>
      <c r="P55" s="349" t="s">
        <v>2013</v>
      </c>
      <c r="Q55" s="287">
        <v>126.67</v>
      </c>
      <c r="R55" s="201"/>
      <c r="S55" s="62">
        <v>126.67</v>
      </c>
      <c r="T55" s="86"/>
      <c r="U55" s="186"/>
      <c r="V55" s="238" t="s">
        <v>1932</v>
      </c>
      <c r="W55" s="12" t="s">
        <v>1933</v>
      </c>
      <c r="X55" s="532" t="s">
        <v>1934</v>
      </c>
    </row>
    <row r="56" spans="1:24" s="1" customFormat="1">
      <c r="A56" s="196" t="s">
        <v>2028</v>
      </c>
      <c r="B56" s="205" t="s">
        <v>2029</v>
      </c>
      <c r="C56" s="321">
        <v>1</v>
      </c>
      <c r="D56" s="349" t="s">
        <v>2013</v>
      </c>
      <c r="E56" s="287">
        <v>126.67</v>
      </c>
      <c r="F56" s="201"/>
      <c r="G56" s="62">
        <f t="shared" si="6"/>
        <v>126.67</v>
      </c>
      <c r="H56" s="86"/>
      <c r="I56" s="186"/>
      <c r="J56" s="238" t="s">
        <v>1932</v>
      </c>
      <c r="K56" s="12" t="s">
        <v>1933</v>
      </c>
      <c r="L56" s="532" t="s">
        <v>1934</v>
      </c>
      <c r="M56" s="196" t="s">
        <v>2028</v>
      </c>
      <c r="N56" s="205" t="s">
        <v>2029</v>
      </c>
      <c r="O56" s="321">
        <v>1</v>
      </c>
      <c r="P56" s="349" t="s">
        <v>2013</v>
      </c>
      <c r="Q56" s="287">
        <v>126.67</v>
      </c>
      <c r="R56" s="201"/>
      <c r="S56" s="62">
        <v>126.67</v>
      </c>
      <c r="T56" s="86"/>
      <c r="U56" s="186"/>
      <c r="V56" s="238" t="s">
        <v>1932</v>
      </c>
      <c r="W56" s="12" t="s">
        <v>1933</v>
      </c>
      <c r="X56" s="532" t="s">
        <v>1934</v>
      </c>
    </row>
    <row r="57" spans="1:24" s="1" customFormat="1">
      <c r="A57" s="196" t="s">
        <v>2030</v>
      </c>
      <c r="B57" s="205" t="s">
        <v>2031</v>
      </c>
      <c r="C57" s="321">
        <v>1</v>
      </c>
      <c r="D57" s="349" t="s">
        <v>2013</v>
      </c>
      <c r="E57" s="287">
        <v>126.67</v>
      </c>
      <c r="F57" s="201"/>
      <c r="G57" s="62">
        <f t="shared" si="6"/>
        <v>126.67</v>
      </c>
      <c r="H57" s="86"/>
      <c r="I57" s="186"/>
      <c r="J57" s="238" t="s">
        <v>1932</v>
      </c>
      <c r="K57" s="12" t="s">
        <v>1933</v>
      </c>
      <c r="L57" s="532" t="s">
        <v>1934</v>
      </c>
      <c r="M57" s="196" t="s">
        <v>2030</v>
      </c>
      <c r="N57" s="205" t="s">
        <v>2031</v>
      </c>
      <c r="O57" s="321">
        <v>1</v>
      </c>
      <c r="P57" s="349" t="s">
        <v>2013</v>
      </c>
      <c r="Q57" s="287">
        <v>126.67</v>
      </c>
      <c r="R57" s="201"/>
      <c r="S57" s="62">
        <v>126.67</v>
      </c>
      <c r="T57" s="86"/>
      <c r="U57" s="186"/>
      <c r="V57" s="238" t="s">
        <v>1932</v>
      </c>
      <c r="W57" s="12" t="s">
        <v>1933</v>
      </c>
      <c r="X57" s="532" t="s">
        <v>1934</v>
      </c>
    </row>
    <row r="58" spans="1:24" s="1" customFormat="1">
      <c r="A58" s="196" t="s">
        <v>2032</v>
      </c>
      <c r="B58" s="205" t="s">
        <v>2033</v>
      </c>
      <c r="C58" s="321">
        <v>1</v>
      </c>
      <c r="D58" s="349" t="s">
        <v>2013</v>
      </c>
      <c r="E58" s="287">
        <v>3</v>
      </c>
      <c r="F58" s="201"/>
      <c r="G58" s="62">
        <f t="shared" si="6"/>
        <v>3</v>
      </c>
      <c r="H58" s="86"/>
      <c r="I58" s="186"/>
      <c r="J58" s="238" t="s">
        <v>1932</v>
      </c>
      <c r="K58" s="12" t="s">
        <v>1933</v>
      </c>
      <c r="L58" s="532" t="s">
        <v>1934</v>
      </c>
      <c r="M58" s="196" t="s">
        <v>2032</v>
      </c>
      <c r="N58" s="205" t="s">
        <v>2033</v>
      </c>
      <c r="O58" s="321">
        <v>1</v>
      </c>
      <c r="P58" s="349" t="s">
        <v>2013</v>
      </c>
      <c r="Q58" s="287">
        <v>3</v>
      </c>
      <c r="R58" s="201"/>
      <c r="S58" s="62">
        <v>3</v>
      </c>
      <c r="T58" s="86"/>
      <c r="U58" s="186"/>
      <c r="V58" s="238" t="s">
        <v>1932</v>
      </c>
      <c r="W58" s="12" t="s">
        <v>1933</v>
      </c>
      <c r="X58" s="532" t="s">
        <v>1934</v>
      </c>
    </row>
    <row r="59" spans="1:24" s="1" customFormat="1">
      <c r="A59" s="196" t="s">
        <v>2034</v>
      </c>
      <c r="B59" s="205" t="s">
        <v>2035</v>
      </c>
      <c r="C59" s="321">
        <v>1</v>
      </c>
      <c r="D59" s="349" t="s">
        <v>2013</v>
      </c>
      <c r="E59" s="287">
        <v>600</v>
      </c>
      <c r="F59" s="201"/>
      <c r="G59" s="62">
        <f t="shared" si="6"/>
        <v>600</v>
      </c>
      <c r="H59" s="86"/>
      <c r="I59" s="186"/>
      <c r="J59" s="238" t="s">
        <v>1932</v>
      </c>
      <c r="K59" s="12" t="s">
        <v>1933</v>
      </c>
      <c r="L59" s="532" t="s">
        <v>1934</v>
      </c>
      <c r="M59" s="196" t="s">
        <v>2034</v>
      </c>
      <c r="N59" s="205" t="s">
        <v>2035</v>
      </c>
      <c r="O59" s="321">
        <v>1</v>
      </c>
      <c r="P59" s="349" t="s">
        <v>2013</v>
      </c>
      <c r="Q59" s="287">
        <v>600</v>
      </c>
      <c r="R59" s="201"/>
      <c r="S59" s="62">
        <v>600</v>
      </c>
      <c r="T59" s="86"/>
      <c r="U59" s="186"/>
      <c r="V59" s="238" t="s">
        <v>1932</v>
      </c>
      <c r="W59" s="12" t="s">
        <v>1933</v>
      </c>
      <c r="X59" s="532" t="s">
        <v>1934</v>
      </c>
    </row>
    <row r="60" spans="1:24" s="1" customFormat="1">
      <c r="A60" s="196" t="s">
        <v>2036</v>
      </c>
      <c r="B60" s="205" t="s">
        <v>2037</v>
      </c>
      <c r="C60" s="321">
        <v>1</v>
      </c>
      <c r="D60" s="349" t="s">
        <v>2013</v>
      </c>
      <c r="E60" s="287">
        <v>2666.67</v>
      </c>
      <c r="F60" s="201"/>
      <c r="G60" s="62">
        <f t="shared" si="6"/>
        <v>2666.67</v>
      </c>
      <c r="H60" s="86"/>
      <c r="I60" s="186"/>
      <c r="J60" s="238" t="s">
        <v>1932</v>
      </c>
      <c r="K60" s="12" t="s">
        <v>1933</v>
      </c>
      <c r="L60" s="532" t="s">
        <v>1934</v>
      </c>
      <c r="M60" s="196" t="s">
        <v>2036</v>
      </c>
      <c r="N60" s="205" t="s">
        <v>2037</v>
      </c>
      <c r="O60" s="321">
        <v>1</v>
      </c>
      <c r="P60" s="349" t="s">
        <v>2013</v>
      </c>
      <c r="Q60" s="287">
        <v>2666.67</v>
      </c>
      <c r="R60" s="201"/>
      <c r="S60" s="62">
        <v>2666.67</v>
      </c>
      <c r="T60" s="86"/>
      <c r="U60" s="186"/>
      <c r="V60" s="238" t="s">
        <v>1932</v>
      </c>
      <c r="W60" s="12" t="s">
        <v>1933</v>
      </c>
      <c r="X60" s="532" t="s">
        <v>1934</v>
      </c>
    </row>
    <row r="61" spans="1:24" s="1" customFormat="1">
      <c r="A61" s="196" t="s">
        <v>2038</v>
      </c>
      <c r="B61" s="205" t="s">
        <v>2039</v>
      </c>
      <c r="C61" s="321">
        <v>1</v>
      </c>
      <c r="D61" s="349" t="s">
        <v>2013</v>
      </c>
      <c r="E61" s="287">
        <v>4000</v>
      </c>
      <c r="F61" s="201"/>
      <c r="G61" s="62">
        <f t="shared" si="6"/>
        <v>4000</v>
      </c>
      <c r="H61" s="86"/>
      <c r="I61" s="186"/>
      <c r="J61" s="238" t="s">
        <v>1932</v>
      </c>
      <c r="K61" s="12" t="s">
        <v>1933</v>
      </c>
      <c r="L61" s="532" t="s">
        <v>1934</v>
      </c>
      <c r="M61" s="196" t="s">
        <v>2038</v>
      </c>
      <c r="N61" s="205" t="s">
        <v>2039</v>
      </c>
      <c r="O61" s="321">
        <v>1</v>
      </c>
      <c r="P61" s="349" t="s">
        <v>2013</v>
      </c>
      <c r="Q61" s="287">
        <v>4000</v>
      </c>
      <c r="R61" s="201"/>
      <c r="S61" s="62">
        <v>4000</v>
      </c>
      <c r="T61" s="86"/>
      <c r="U61" s="186"/>
      <c r="V61" s="238" t="s">
        <v>1932</v>
      </c>
      <c r="W61" s="12" t="s">
        <v>1933</v>
      </c>
      <c r="X61" s="532" t="s">
        <v>1934</v>
      </c>
    </row>
    <row r="62" spans="1:24" s="1" customFormat="1">
      <c r="A62" s="196" t="s">
        <v>2040</v>
      </c>
      <c r="B62" s="205" t="s">
        <v>2041</v>
      </c>
      <c r="C62" s="321">
        <v>1</v>
      </c>
      <c r="D62" s="349" t="s">
        <v>2013</v>
      </c>
      <c r="E62" s="287">
        <v>5866.67</v>
      </c>
      <c r="F62" s="201"/>
      <c r="G62" s="62">
        <f t="shared" si="6"/>
        <v>5866.67</v>
      </c>
      <c r="H62" s="86"/>
      <c r="I62" s="186"/>
      <c r="J62" s="238" t="s">
        <v>1932</v>
      </c>
      <c r="K62" s="12" t="s">
        <v>1933</v>
      </c>
      <c r="L62" s="532" t="s">
        <v>1934</v>
      </c>
      <c r="M62" s="196" t="s">
        <v>2040</v>
      </c>
      <c r="N62" s="205" t="s">
        <v>2041</v>
      </c>
      <c r="O62" s="321">
        <v>1</v>
      </c>
      <c r="P62" s="349" t="s">
        <v>2013</v>
      </c>
      <c r="Q62" s="287">
        <v>5866.67</v>
      </c>
      <c r="R62" s="201"/>
      <c r="S62" s="62">
        <v>5866.67</v>
      </c>
      <c r="T62" s="86"/>
      <c r="U62" s="186"/>
      <c r="V62" s="238" t="s">
        <v>1932</v>
      </c>
      <c r="W62" s="12" t="s">
        <v>1933</v>
      </c>
      <c r="X62" s="532" t="s">
        <v>1934</v>
      </c>
    </row>
    <row r="63" spans="1:24" s="1" customFormat="1" ht="21">
      <c r="A63" s="381" t="s">
        <v>2056</v>
      </c>
      <c r="B63" s="382"/>
      <c r="C63" s="383"/>
      <c r="D63" s="384"/>
      <c r="E63" s="385"/>
      <c r="F63" s="386"/>
      <c r="G63" s="387"/>
      <c r="H63" s="388"/>
      <c r="I63" s="389"/>
      <c r="J63" s="463"/>
      <c r="K63" s="390"/>
      <c r="L63" s="534"/>
      <c r="M63" s="381" t="s">
        <v>2056</v>
      </c>
      <c r="N63" s="382"/>
      <c r="O63" s="383"/>
      <c r="P63" s="384"/>
      <c r="Q63" s="385"/>
      <c r="R63" s="386"/>
      <c r="S63" s="387"/>
      <c r="T63" s="388"/>
      <c r="U63" s="389"/>
      <c r="V63" s="463"/>
      <c r="W63" s="390"/>
      <c r="X63" s="534"/>
    </row>
    <row r="64" spans="1:24" s="1" customFormat="1">
      <c r="A64" s="196" t="s">
        <v>2057</v>
      </c>
      <c r="B64" s="205" t="s">
        <v>2058</v>
      </c>
      <c r="C64" s="321">
        <v>1</v>
      </c>
      <c r="D64" s="349" t="s">
        <v>126</v>
      </c>
      <c r="E64" s="288">
        <v>17665.830000000002</v>
      </c>
      <c r="F64" s="188">
        <f>rv_30</f>
        <v>0.3</v>
      </c>
      <c r="G64" s="91">
        <f t="shared" ref="G64:G75" si="7">E64-(E64*F64)</f>
        <v>12366.081000000002</v>
      </c>
      <c r="H64" s="86"/>
      <c r="I64" s="186">
        <v>0</v>
      </c>
      <c r="J64" s="238" t="s">
        <v>2059</v>
      </c>
      <c r="K64" s="12" t="s">
        <v>1933</v>
      </c>
      <c r="L64" s="532" t="s">
        <v>1934</v>
      </c>
      <c r="M64" s="196" t="s">
        <v>2057</v>
      </c>
      <c r="N64" s="205" t="s">
        <v>2058</v>
      </c>
      <c r="O64" s="321">
        <v>1</v>
      </c>
      <c r="P64" s="349" t="s">
        <v>126</v>
      </c>
      <c r="Q64" s="288">
        <v>17665.830000000002</v>
      </c>
      <c r="R64" s="188">
        <v>0.3</v>
      </c>
      <c r="S64" s="91">
        <v>12366.081000000002</v>
      </c>
      <c r="T64" s="86"/>
      <c r="U64" s="186">
        <v>0</v>
      </c>
      <c r="V64" s="238" t="s">
        <v>2059</v>
      </c>
      <c r="W64" s="12" t="s">
        <v>1933</v>
      </c>
      <c r="X64" s="532" t="s">
        <v>1934</v>
      </c>
    </row>
    <row r="65" spans="1:24" s="1" customFormat="1">
      <c r="A65" s="196" t="s">
        <v>2060</v>
      </c>
      <c r="B65" s="205" t="s">
        <v>2061</v>
      </c>
      <c r="C65" s="321">
        <v>1</v>
      </c>
      <c r="D65" s="349" t="s">
        <v>126</v>
      </c>
      <c r="E65" s="288">
        <v>35331.67</v>
      </c>
      <c r="F65" s="188">
        <f t="shared" ref="F65:F75" si="8">rv_30</f>
        <v>0.3</v>
      </c>
      <c r="G65" s="91">
        <f t="shared" si="7"/>
        <v>24732.169000000002</v>
      </c>
      <c r="H65" s="86"/>
      <c r="I65" s="186">
        <v>0</v>
      </c>
      <c r="J65" s="238" t="s">
        <v>669</v>
      </c>
      <c r="K65" s="12" t="s">
        <v>1933</v>
      </c>
      <c r="L65" s="532" t="s">
        <v>1934</v>
      </c>
      <c r="M65" s="196" t="s">
        <v>2060</v>
      </c>
      <c r="N65" s="205" t="s">
        <v>2061</v>
      </c>
      <c r="O65" s="321">
        <v>1</v>
      </c>
      <c r="P65" s="349" t="s">
        <v>126</v>
      </c>
      <c r="Q65" s="288">
        <v>35331.67</v>
      </c>
      <c r="R65" s="188">
        <v>0.3</v>
      </c>
      <c r="S65" s="91">
        <v>24732.169000000002</v>
      </c>
      <c r="T65" s="86"/>
      <c r="U65" s="186">
        <v>0</v>
      </c>
      <c r="V65" s="238" t="s">
        <v>669</v>
      </c>
      <c r="W65" s="12" t="s">
        <v>1933</v>
      </c>
      <c r="X65" s="532" t="s">
        <v>1934</v>
      </c>
    </row>
    <row r="66" spans="1:24" s="1" customFormat="1">
      <c r="A66" s="196" t="s">
        <v>2062</v>
      </c>
      <c r="B66" s="205" t="s">
        <v>2063</v>
      </c>
      <c r="C66" s="321">
        <v>1</v>
      </c>
      <c r="D66" s="349" t="s">
        <v>126</v>
      </c>
      <c r="E66" s="288">
        <v>52997.5</v>
      </c>
      <c r="F66" s="188">
        <f t="shared" si="8"/>
        <v>0.3</v>
      </c>
      <c r="G66" s="91">
        <f t="shared" si="7"/>
        <v>37098.25</v>
      </c>
      <c r="H66" s="86"/>
      <c r="I66" s="186">
        <v>0</v>
      </c>
      <c r="J66" s="238" t="s">
        <v>669</v>
      </c>
      <c r="K66" s="12" t="s">
        <v>1933</v>
      </c>
      <c r="L66" s="532" t="s">
        <v>1934</v>
      </c>
      <c r="M66" s="196" t="s">
        <v>2062</v>
      </c>
      <c r="N66" s="205" t="s">
        <v>2063</v>
      </c>
      <c r="O66" s="321">
        <v>1</v>
      </c>
      <c r="P66" s="349" t="s">
        <v>126</v>
      </c>
      <c r="Q66" s="288">
        <v>52997.5</v>
      </c>
      <c r="R66" s="188">
        <v>0.3</v>
      </c>
      <c r="S66" s="91">
        <v>37098.25</v>
      </c>
      <c r="T66" s="86"/>
      <c r="U66" s="186">
        <v>0</v>
      </c>
      <c r="V66" s="238" t="s">
        <v>669</v>
      </c>
      <c r="W66" s="12" t="s">
        <v>1933</v>
      </c>
      <c r="X66" s="532" t="s">
        <v>1934</v>
      </c>
    </row>
    <row r="67" spans="1:24" s="1" customFormat="1">
      <c r="A67" s="196" t="s">
        <v>2064</v>
      </c>
      <c r="B67" s="205" t="s">
        <v>2065</v>
      </c>
      <c r="C67" s="321">
        <v>1</v>
      </c>
      <c r="D67" s="349" t="s">
        <v>126</v>
      </c>
      <c r="E67" s="288">
        <v>5332.5</v>
      </c>
      <c r="F67" s="188">
        <f t="shared" si="8"/>
        <v>0.3</v>
      </c>
      <c r="G67" s="91">
        <f t="shared" si="7"/>
        <v>3732.75</v>
      </c>
      <c r="H67" s="86"/>
      <c r="I67" s="186">
        <v>0</v>
      </c>
      <c r="J67" s="238" t="s">
        <v>669</v>
      </c>
      <c r="K67" s="12" t="s">
        <v>1933</v>
      </c>
      <c r="L67" s="532" t="s">
        <v>1934</v>
      </c>
      <c r="M67" s="196" t="s">
        <v>2064</v>
      </c>
      <c r="N67" s="205" t="s">
        <v>2065</v>
      </c>
      <c r="O67" s="321">
        <v>1</v>
      </c>
      <c r="P67" s="349" t="s">
        <v>126</v>
      </c>
      <c r="Q67" s="288">
        <v>5332.5</v>
      </c>
      <c r="R67" s="188">
        <v>0.3</v>
      </c>
      <c r="S67" s="91">
        <v>3732.75</v>
      </c>
      <c r="T67" s="86"/>
      <c r="U67" s="186">
        <v>0</v>
      </c>
      <c r="V67" s="238" t="s">
        <v>669</v>
      </c>
      <c r="W67" s="12" t="s">
        <v>1933</v>
      </c>
      <c r="X67" s="532" t="s">
        <v>1934</v>
      </c>
    </row>
    <row r="68" spans="1:24" s="1" customFormat="1">
      <c r="A68" s="196" t="s">
        <v>2066</v>
      </c>
      <c r="B68" s="205" t="s">
        <v>2067</v>
      </c>
      <c r="C68" s="321">
        <v>1</v>
      </c>
      <c r="D68" s="349" t="s">
        <v>126</v>
      </c>
      <c r="E68" s="288">
        <v>10665</v>
      </c>
      <c r="F68" s="188">
        <f t="shared" si="8"/>
        <v>0.3</v>
      </c>
      <c r="G68" s="91">
        <f t="shared" si="7"/>
        <v>7465.5</v>
      </c>
      <c r="H68" s="86"/>
      <c r="I68" s="186">
        <v>0</v>
      </c>
      <c r="J68" s="238" t="s">
        <v>669</v>
      </c>
      <c r="K68" s="12" t="s">
        <v>1933</v>
      </c>
      <c r="L68" s="532" t="s">
        <v>1934</v>
      </c>
      <c r="M68" s="196" t="s">
        <v>2066</v>
      </c>
      <c r="N68" s="205" t="s">
        <v>2067</v>
      </c>
      <c r="O68" s="321">
        <v>1</v>
      </c>
      <c r="P68" s="349" t="s">
        <v>126</v>
      </c>
      <c r="Q68" s="288">
        <v>10665</v>
      </c>
      <c r="R68" s="188">
        <v>0.3</v>
      </c>
      <c r="S68" s="91">
        <v>7465.5</v>
      </c>
      <c r="T68" s="86"/>
      <c r="U68" s="186">
        <v>0</v>
      </c>
      <c r="V68" s="238" t="s">
        <v>669</v>
      </c>
      <c r="W68" s="12" t="s">
        <v>1933</v>
      </c>
      <c r="X68" s="532" t="s">
        <v>1934</v>
      </c>
    </row>
    <row r="69" spans="1:24" s="1" customFormat="1">
      <c r="A69" s="196" t="s">
        <v>2068</v>
      </c>
      <c r="B69" s="205" t="s">
        <v>2069</v>
      </c>
      <c r="C69" s="321">
        <v>1</v>
      </c>
      <c r="D69" s="349" t="s">
        <v>126</v>
      </c>
      <c r="E69" s="288">
        <v>15997.5</v>
      </c>
      <c r="F69" s="188">
        <f t="shared" si="8"/>
        <v>0.3</v>
      </c>
      <c r="G69" s="91">
        <f t="shared" si="7"/>
        <v>11198.25</v>
      </c>
      <c r="H69" s="86"/>
      <c r="I69" s="186">
        <v>0</v>
      </c>
      <c r="J69" s="238" t="s">
        <v>669</v>
      </c>
      <c r="K69" s="12" t="s">
        <v>1933</v>
      </c>
      <c r="L69" s="532" t="s">
        <v>1934</v>
      </c>
      <c r="M69" s="196" t="s">
        <v>2068</v>
      </c>
      <c r="N69" s="205" t="s">
        <v>2069</v>
      </c>
      <c r="O69" s="321">
        <v>1</v>
      </c>
      <c r="P69" s="349" t="s">
        <v>126</v>
      </c>
      <c r="Q69" s="288">
        <v>15997.5</v>
      </c>
      <c r="R69" s="188">
        <v>0.3</v>
      </c>
      <c r="S69" s="91">
        <v>11198.25</v>
      </c>
      <c r="T69" s="86"/>
      <c r="U69" s="186">
        <v>0</v>
      </c>
      <c r="V69" s="238" t="s">
        <v>669</v>
      </c>
      <c r="W69" s="12" t="s">
        <v>1933</v>
      </c>
      <c r="X69" s="532" t="s">
        <v>1934</v>
      </c>
    </row>
    <row r="70" spans="1:24" s="1" customFormat="1">
      <c r="A70" s="196" t="s">
        <v>2070</v>
      </c>
      <c r="B70" s="205" t="s">
        <v>2071</v>
      </c>
      <c r="C70" s="321">
        <v>1</v>
      </c>
      <c r="D70" s="349" t="s">
        <v>126</v>
      </c>
      <c r="E70" s="288">
        <v>44165.83</v>
      </c>
      <c r="F70" s="188">
        <f t="shared" si="8"/>
        <v>0.3</v>
      </c>
      <c r="G70" s="91">
        <f t="shared" si="7"/>
        <v>30916.081000000002</v>
      </c>
      <c r="H70" s="86"/>
      <c r="I70" s="186">
        <v>0</v>
      </c>
      <c r="J70" s="238" t="s">
        <v>669</v>
      </c>
      <c r="K70" s="12" t="s">
        <v>1933</v>
      </c>
      <c r="L70" s="532" t="s">
        <v>1934</v>
      </c>
      <c r="M70" s="196" t="s">
        <v>2070</v>
      </c>
      <c r="N70" s="205" t="s">
        <v>2071</v>
      </c>
      <c r="O70" s="321">
        <v>1</v>
      </c>
      <c r="P70" s="349" t="s">
        <v>126</v>
      </c>
      <c r="Q70" s="288">
        <v>44165.83</v>
      </c>
      <c r="R70" s="188">
        <v>0.3</v>
      </c>
      <c r="S70" s="91">
        <v>30916.081000000002</v>
      </c>
      <c r="T70" s="86"/>
      <c r="U70" s="186">
        <v>0</v>
      </c>
      <c r="V70" s="238" t="s">
        <v>669</v>
      </c>
      <c r="W70" s="12" t="s">
        <v>1933</v>
      </c>
      <c r="X70" s="532" t="s">
        <v>1934</v>
      </c>
    </row>
    <row r="71" spans="1:24" s="1" customFormat="1">
      <c r="A71" s="196" t="s">
        <v>2072</v>
      </c>
      <c r="B71" s="205" t="s">
        <v>2073</v>
      </c>
      <c r="C71" s="321">
        <v>1</v>
      </c>
      <c r="D71" s="349" t="s">
        <v>126</v>
      </c>
      <c r="E71" s="288">
        <v>88331.67</v>
      </c>
      <c r="F71" s="188">
        <f t="shared" si="8"/>
        <v>0.3</v>
      </c>
      <c r="G71" s="91">
        <f t="shared" si="7"/>
        <v>61832.168999999994</v>
      </c>
      <c r="H71" s="86"/>
      <c r="I71" s="186">
        <v>0</v>
      </c>
      <c r="J71" s="238" t="s">
        <v>669</v>
      </c>
      <c r="K71" s="12" t="s">
        <v>1933</v>
      </c>
      <c r="L71" s="532" t="s">
        <v>1934</v>
      </c>
      <c r="M71" s="196" t="s">
        <v>2072</v>
      </c>
      <c r="N71" s="205" t="s">
        <v>2073</v>
      </c>
      <c r="O71" s="321">
        <v>1</v>
      </c>
      <c r="P71" s="349" t="s">
        <v>126</v>
      </c>
      <c r="Q71" s="288">
        <v>88331.67</v>
      </c>
      <c r="R71" s="188">
        <v>0.3</v>
      </c>
      <c r="S71" s="91">
        <v>61832.168999999994</v>
      </c>
      <c r="T71" s="86"/>
      <c r="U71" s="186">
        <v>0</v>
      </c>
      <c r="V71" s="238" t="s">
        <v>669</v>
      </c>
      <c r="W71" s="12" t="s">
        <v>1933</v>
      </c>
      <c r="X71" s="532" t="s">
        <v>1934</v>
      </c>
    </row>
    <row r="72" spans="1:24" s="1" customFormat="1">
      <c r="A72" s="196" t="s">
        <v>2074</v>
      </c>
      <c r="B72" s="205" t="s">
        <v>2075</v>
      </c>
      <c r="C72" s="321">
        <v>1</v>
      </c>
      <c r="D72" s="349" t="s">
        <v>126</v>
      </c>
      <c r="E72" s="288">
        <v>132497.5</v>
      </c>
      <c r="F72" s="188">
        <f t="shared" si="8"/>
        <v>0.3</v>
      </c>
      <c r="G72" s="91">
        <f t="shared" si="7"/>
        <v>92748.25</v>
      </c>
      <c r="H72" s="86"/>
      <c r="I72" s="186">
        <v>0</v>
      </c>
      <c r="J72" s="238" t="s">
        <v>669</v>
      </c>
      <c r="K72" s="12" t="s">
        <v>1933</v>
      </c>
      <c r="L72" s="532" t="s">
        <v>1934</v>
      </c>
      <c r="M72" s="196" t="s">
        <v>2074</v>
      </c>
      <c r="N72" s="205" t="s">
        <v>2075</v>
      </c>
      <c r="O72" s="321">
        <v>1</v>
      </c>
      <c r="P72" s="349" t="s">
        <v>126</v>
      </c>
      <c r="Q72" s="288">
        <v>132497.5</v>
      </c>
      <c r="R72" s="188">
        <v>0.3</v>
      </c>
      <c r="S72" s="91">
        <v>92748.25</v>
      </c>
      <c r="T72" s="86"/>
      <c r="U72" s="186">
        <v>0</v>
      </c>
      <c r="V72" s="238" t="s">
        <v>669</v>
      </c>
      <c r="W72" s="12" t="s">
        <v>1933</v>
      </c>
      <c r="X72" s="532" t="s">
        <v>1934</v>
      </c>
    </row>
    <row r="73" spans="1:24" s="1" customFormat="1">
      <c r="A73" s="196" t="s">
        <v>2076</v>
      </c>
      <c r="B73" s="205" t="s">
        <v>2077</v>
      </c>
      <c r="C73" s="321">
        <v>1</v>
      </c>
      <c r="D73" s="349" t="s">
        <v>126</v>
      </c>
      <c r="E73" s="288">
        <v>440.83</v>
      </c>
      <c r="F73" s="188">
        <f t="shared" si="8"/>
        <v>0.3</v>
      </c>
      <c r="G73" s="91">
        <f t="shared" si="7"/>
        <v>308.58100000000002</v>
      </c>
      <c r="H73" s="86"/>
      <c r="I73" s="186">
        <v>0</v>
      </c>
      <c r="J73" s="238" t="s">
        <v>669</v>
      </c>
      <c r="K73" s="12" t="s">
        <v>1933</v>
      </c>
      <c r="L73" s="532" t="s">
        <v>1934</v>
      </c>
      <c r="M73" s="196" t="s">
        <v>2076</v>
      </c>
      <c r="N73" s="205" t="s">
        <v>2077</v>
      </c>
      <c r="O73" s="321">
        <v>1</v>
      </c>
      <c r="P73" s="349" t="s">
        <v>126</v>
      </c>
      <c r="Q73" s="288">
        <v>440.83</v>
      </c>
      <c r="R73" s="188">
        <v>0.3</v>
      </c>
      <c r="S73" s="91">
        <v>308.58100000000002</v>
      </c>
      <c r="T73" s="86"/>
      <c r="U73" s="186">
        <v>0</v>
      </c>
      <c r="V73" s="238" t="s">
        <v>669</v>
      </c>
      <c r="W73" s="12" t="s">
        <v>1933</v>
      </c>
      <c r="X73" s="532" t="s">
        <v>1934</v>
      </c>
    </row>
    <row r="74" spans="1:24">
      <c r="A74" s="196" t="s">
        <v>2078</v>
      </c>
      <c r="B74" s="205" t="s">
        <v>2079</v>
      </c>
      <c r="C74" s="321">
        <v>1</v>
      </c>
      <c r="D74" s="349" t="s">
        <v>126</v>
      </c>
      <c r="E74" s="288">
        <v>881.67</v>
      </c>
      <c r="F74" s="188">
        <f t="shared" si="8"/>
        <v>0.3</v>
      </c>
      <c r="G74" s="91">
        <f t="shared" si="7"/>
        <v>617.16899999999998</v>
      </c>
      <c r="H74" s="86"/>
      <c r="I74" s="186">
        <v>0</v>
      </c>
      <c r="J74" s="238" t="s">
        <v>669</v>
      </c>
      <c r="K74" s="12" t="s">
        <v>1933</v>
      </c>
      <c r="L74" s="532" t="s">
        <v>1934</v>
      </c>
      <c r="M74" s="196" t="s">
        <v>2078</v>
      </c>
      <c r="N74" s="205" t="s">
        <v>2079</v>
      </c>
      <c r="O74" s="321">
        <v>1</v>
      </c>
      <c r="P74" s="349" t="s">
        <v>126</v>
      </c>
      <c r="Q74" s="288">
        <v>881.67</v>
      </c>
      <c r="R74" s="188">
        <v>0.3</v>
      </c>
      <c r="S74" s="91">
        <v>617.16899999999998</v>
      </c>
      <c r="T74" s="86"/>
      <c r="U74" s="186">
        <v>0</v>
      </c>
      <c r="V74" s="238" t="s">
        <v>669</v>
      </c>
      <c r="W74" s="12" t="s">
        <v>1933</v>
      </c>
      <c r="X74" s="532" t="s">
        <v>1934</v>
      </c>
    </row>
    <row r="75" spans="1:24" ht="13.5" thickBot="1">
      <c r="A75" s="602" t="s">
        <v>2080</v>
      </c>
      <c r="B75" s="573" t="s">
        <v>2081</v>
      </c>
      <c r="C75" s="603">
        <v>1</v>
      </c>
      <c r="D75" s="604" t="s">
        <v>126</v>
      </c>
      <c r="E75" s="605">
        <v>1322.5</v>
      </c>
      <c r="F75" s="537">
        <f t="shared" si="8"/>
        <v>0.3</v>
      </c>
      <c r="G75" s="538">
        <f t="shared" si="7"/>
        <v>925.75</v>
      </c>
      <c r="H75" s="539"/>
      <c r="I75" s="540">
        <v>0</v>
      </c>
      <c r="J75" s="599" t="s">
        <v>669</v>
      </c>
      <c r="K75" s="606" t="s">
        <v>1933</v>
      </c>
      <c r="L75" s="607" t="s">
        <v>1934</v>
      </c>
      <c r="M75" s="602" t="s">
        <v>2080</v>
      </c>
      <c r="N75" s="573" t="s">
        <v>2081</v>
      </c>
      <c r="O75" s="603">
        <v>1</v>
      </c>
      <c r="P75" s="604" t="s">
        <v>126</v>
      </c>
      <c r="Q75" s="605">
        <v>1322.5</v>
      </c>
      <c r="R75" s="537">
        <v>0.3</v>
      </c>
      <c r="S75" s="538">
        <v>925.75</v>
      </c>
      <c r="T75" s="539"/>
      <c r="U75" s="540">
        <v>0</v>
      </c>
      <c r="V75" s="599" t="s">
        <v>669</v>
      </c>
      <c r="W75" s="606" t="s">
        <v>1933</v>
      </c>
      <c r="X75" s="607" t="s">
        <v>1934</v>
      </c>
    </row>
    <row r="76" spans="1:24" ht="13.5" thickTop="1"/>
  </sheetData>
  <mergeCells count="2">
    <mergeCell ref="A3:I3"/>
    <mergeCell ref="M3:U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A03D-8FA8-7F40-92B6-7897C814AFD5}">
  <sheetPr codeName="Feuil5">
    <tabColor rgb="FF92D050"/>
  </sheetPr>
  <dimension ref="A1:X27"/>
  <sheetViews>
    <sheetView zoomScale="110" zoomScaleNormal="110" workbookViewId="0">
      <pane xSplit="1" topLeftCell="B1" activePane="topRight" state="frozen"/>
      <selection pane="topRight"/>
    </sheetView>
  </sheetViews>
  <sheetFormatPr baseColWidth="10" defaultColWidth="10.7265625" defaultRowHeight="13"/>
  <cols>
    <col min="1" max="1" width="40.1796875" style="80" customWidth="1"/>
    <col min="2" max="2" width="119.453125" style="80" customWidth="1"/>
    <col min="3" max="3" width="11.453125" style="80"/>
    <col min="4" max="4" width="13.54296875" style="80" customWidth="1"/>
    <col min="5" max="9" width="11.453125" style="80"/>
    <col min="10" max="10" width="35" style="80" customWidth="1"/>
    <col min="11" max="12" width="11.453125" style="80"/>
    <col min="13" max="13" width="40.1796875" style="80" customWidth="1"/>
    <col min="14" max="14" width="119.453125" style="80" customWidth="1"/>
    <col min="15" max="15" width="10.7265625" style="80"/>
    <col min="16" max="16" width="13.54296875" style="80" customWidth="1"/>
    <col min="17" max="21" width="10.7265625" style="80"/>
    <col min="22" max="22" width="35" style="80" customWidth="1"/>
    <col min="23" max="16384" width="10.7265625" style="80"/>
  </cols>
  <sheetData>
    <row r="1" spans="1:24" ht="18.5">
      <c r="A1" s="535" t="s">
        <v>106</v>
      </c>
      <c r="B1" s="380" t="s">
        <v>2082</v>
      </c>
      <c r="C1" s="280"/>
      <c r="D1" s="283"/>
      <c r="E1" s="277"/>
      <c r="F1" s="23"/>
      <c r="G1" s="20"/>
      <c r="H1" s="19"/>
      <c r="I1" s="28"/>
      <c r="J1" s="237"/>
      <c r="K1" s="86"/>
      <c r="L1" s="135"/>
      <c r="M1" s="535" t="s">
        <v>106</v>
      </c>
      <c r="N1" s="380" t="s">
        <v>107</v>
      </c>
      <c r="O1" s="280"/>
      <c r="P1" s="283"/>
      <c r="Q1" s="277"/>
      <c r="R1" s="23"/>
      <c r="S1" s="20"/>
      <c r="T1" s="19"/>
      <c r="U1" s="28"/>
      <c r="V1" s="237"/>
      <c r="W1" s="86"/>
      <c r="X1" s="595"/>
    </row>
    <row r="2" spans="1:24" ht="14.5">
      <c r="A2" s="536"/>
      <c r="B2" s="1"/>
      <c r="C2" s="281"/>
      <c r="D2" s="284"/>
      <c r="E2" s="278"/>
      <c r="F2" s="24"/>
      <c r="G2" s="76"/>
      <c r="H2" s="77"/>
      <c r="I2" s="78"/>
      <c r="J2" s="237"/>
      <c r="K2" s="19"/>
      <c r="L2" s="530"/>
      <c r="M2" s="536"/>
      <c r="N2" s="1"/>
      <c r="O2" s="281"/>
      <c r="P2" s="284"/>
      <c r="Q2" s="278"/>
      <c r="R2" s="24"/>
      <c r="S2" s="76"/>
      <c r="T2" s="77"/>
      <c r="U2" s="78"/>
      <c r="V2" s="237"/>
      <c r="W2" s="19"/>
      <c r="X2" s="608"/>
    </row>
    <row r="3" spans="1:24" ht="31" customHeight="1">
      <c r="A3" s="832" t="s">
        <v>3051</v>
      </c>
      <c r="B3" s="830"/>
      <c r="C3" s="830"/>
      <c r="D3" s="830"/>
      <c r="E3" s="830"/>
      <c r="F3" s="830"/>
      <c r="G3" s="830"/>
      <c r="H3" s="830"/>
      <c r="I3" s="830"/>
      <c r="J3" s="513"/>
      <c r="K3" s="506"/>
      <c r="L3" s="515"/>
      <c r="M3" s="832" t="s">
        <v>2957</v>
      </c>
      <c r="N3" s="830"/>
      <c r="O3" s="830"/>
      <c r="P3" s="830"/>
      <c r="Q3" s="830"/>
      <c r="R3" s="830"/>
      <c r="S3" s="830"/>
      <c r="T3" s="830"/>
      <c r="U3" s="830"/>
      <c r="V3" s="513"/>
      <c r="W3" s="506"/>
      <c r="X3" s="596"/>
    </row>
    <row r="4" spans="1:24" ht="65">
      <c r="A4" s="548" t="s">
        <v>109</v>
      </c>
      <c r="B4" s="251" t="s">
        <v>110</v>
      </c>
      <c r="C4" s="282" t="s">
        <v>111</v>
      </c>
      <c r="D4" s="285" t="s">
        <v>112</v>
      </c>
      <c r="E4" s="279" t="s">
        <v>113</v>
      </c>
      <c r="F4" s="253" t="s">
        <v>114</v>
      </c>
      <c r="G4" s="252" t="s">
        <v>115</v>
      </c>
      <c r="H4" s="350" t="s">
        <v>119</v>
      </c>
      <c r="I4" s="350" t="s">
        <v>120</v>
      </c>
      <c r="J4" s="514" t="s">
        <v>121</v>
      </c>
      <c r="K4" s="507" t="s">
        <v>122</v>
      </c>
      <c r="L4" s="516" t="s">
        <v>123</v>
      </c>
      <c r="M4" s="548" t="s">
        <v>109</v>
      </c>
      <c r="N4" s="251" t="s">
        <v>2171</v>
      </c>
      <c r="O4" s="282" t="s">
        <v>111</v>
      </c>
      <c r="P4" s="285" t="s">
        <v>112</v>
      </c>
      <c r="Q4" s="279" t="s">
        <v>113</v>
      </c>
      <c r="R4" s="253" t="s">
        <v>114</v>
      </c>
      <c r="S4" s="252" t="s">
        <v>115</v>
      </c>
      <c r="T4" s="350" t="s">
        <v>119</v>
      </c>
      <c r="U4" s="350" t="s">
        <v>120</v>
      </c>
      <c r="V4" s="514" t="s">
        <v>2172</v>
      </c>
      <c r="W4" s="507" t="s">
        <v>122</v>
      </c>
      <c r="X4" s="597" t="s">
        <v>123</v>
      </c>
    </row>
    <row r="5" spans="1:24" ht="42">
      <c r="A5" s="391" t="s">
        <v>2083</v>
      </c>
      <c r="B5" s="448" t="s">
        <v>2084</v>
      </c>
      <c r="C5" s="372"/>
      <c r="D5" s="373"/>
      <c r="E5" s="449"/>
      <c r="F5" s="375"/>
      <c r="G5" s="376"/>
      <c r="H5" s="377"/>
      <c r="I5" s="378"/>
      <c r="J5" s="462"/>
      <c r="K5" s="379"/>
      <c r="L5" s="533"/>
      <c r="M5" s="391" t="s">
        <v>2083</v>
      </c>
      <c r="N5" s="448" t="s">
        <v>2084</v>
      </c>
      <c r="O5" s="372"/>
      <c r="P5" s="373"/>
      <c r="Q5" s="449"/>
      <c r="R5" s="375"/>
      <c r="S5" s="376"/>
      <c r="T5" s="377"/>
      <c r="U5" s="378"/>
      <c r="V5" s="462"/>
      <c r="W5" s="379"/>
      <c r="X5" s="609"/>
    </row>
    <row r="6" spans="1:24">
      <c r="A6" s="362" t="s">
        <v>2085</v>
      </c>
      <c r="B6" s="197" t="s">
        <v>2086</v>
      </c>
      <c r="C6" s="365">
        <v>1</v>
      </c>
      <c r="D6" s="366" t="s">
        <v>134</v>
      </c>
      <c r="E6" s="367">
        <v>45</v>
      </c>
      <c r="F6" s="188"/>
      <c r="G6" s="91">
        <f>E6-(E6*F6)</f>
        <v>45</v>
      </c>
      <c r="H6" s="86"/>
      <c r="I6" s="186"/>
      <c r="J6" s="458" t="s">
        <v>135</v>
      </c>
      <c r="K6" s="293" t="s">
        <v>136</v>
      </c>
      <c r="L6" s="355" t="s">
        <v>137</v>
      </c>
      <c r="M6" s="362" t="s">
        <v>2085</v>
      </c>
      <c r="N6" s="197" t="s">
        <v>2086</v>
      </c>
      <c r="O6" s="365">
        <v>1</v>
      </c>
      <c r="P6" s="366" t="s">
        <v>134</v>
      </c>
      <c r="Q6" s="367">
        <v>45</v>
      </c>
      <c r="R6" s="188"/>
      <c r="S6" s="91">
        <v>45</v>
      </c>
      <c r="T6" s="86"/>
      <c r="U6" s="186"/>
      <c r="V6" s="458" t="s">
        <v>135</v>
      </c>
      <c r="W6" s="293" t="s">
        <v>136</v>
      </c>
      <c r="X6" s="598" t="s">
        <v>137</v>
      </c>
    </row>
    <row r="7" spans="1:24">
      <c r="A7" s="442" t="s">
        <v>2087</v>
      </c>
      <c r="B7" s="197" t="s">
        <v>2088</v>
      </c>
      <c r="C7" s="444">
        <v>1</v>
      </c>
      <c r="D7" s="451" t="s">
        <v>134</v>
      </c>
      <c r="E7" s="452">
        <v>89</v>
      </c>
      <c r="F7" s="188"/>
      <c r="G7" s="91">
        <f t="shared" ref="G7:G26" si="0">E7-(E7*F7)</f>
        <v>89</v>
      </c>
      <c r="H7" s="86"/>
      <c r="I7" s="186"/>
      <c r="J7" s="458" t="s">
        <v>135</v>
      </c>
      <c r="K7" s="293" t="s">
        <v>136</v>
      </c>
      <c r="L7" s="355" t="s">
        <v>137</v>
      </c>
      <c r="M7" s="442" t="s">
        <v>2087</v>
      </c>
      <c r="N7" s="197" t="s">
        <v>2088</v>
      </c>
      <c r="O7" s="444">
        <v>1</v>
      </c>
      <c r="P7" s="451" t="s">
        <v>134</v>
      </c>
      <c r="Q7" s="452">
        <v>89</v>
      </c>
      <c r="R7" s="188"/>
      <c r="S7" s="91">
        <v>89</v>
      </c>
      <c r="T7" s="86"/>
      <c r="U7" s="186"/>
      <c r="V7" s="458" t="s">
        <v>135</v>
      </c>
      <c r="W7" s="293" t="s">
        <v>136</v>
      </c>
      <c r="X7" s="598" t="s">
        <v>137</v>
      </c>
    </row>
    <row r="8" spans="1:24">
      <c r="A8" s="442" t="s">
        <v>2089</v>
      </c>
      <c r="B8" s="197" t="s">
        <v>2090</v>
      </c>
      <c r="C8" s="444">
        <v>1</v>
      </c>
      <c r="D8" s="445" t="s">
        <v>134</v>
      </c>
      <c r="E8" s="446">
        <v>134</v>
      </c>
      <c r="F8" s="188"/>
      <c r="G8" s="91">
        <f t="shared" si="0"/>
        <v>134</v>
      </c>
      <c r="H8" s="86"/>
      <c r="I8" s="186"/>
      <c r="J8" s="458" t="s">
        <v>135</v>
      </c>
      <c r="K8" s="293" t="s">
        <v>136</v>
      </c>
      <c r="L8" s="355" t="s">
        <v>137</v>
      </c>
      <c r="M8" s="442" t="s">
        <v>2089</v>
      </c>
      <c r="N8" s="197" t="s">
        <v>2090</v>
      </c>
      <c r="O8" s="444">
        <v>1</v>
      </c>
      <c r="P8" s="445" t="s">
        <v>134</v>
      </c>
      <c r="Q8" s="446">
        <v>134</v>
      </c>
      <c r="R8" s="188"/>
      <c r="S8" s="91">
        <v>134</v>
      </c>
      <c r="T8" s="86"/>
      <c r="U8" s="186"/>
      <c r="V8" s="458" t="s">
        <v>135</v>
      </c>
      <c r="W8" s="293" t="s">
        <v>136</v>
      </c>
      <c r="X8" s="598" t="s">
        <v>137</v>
      </c>
    </row>
    <row r="9" spans="1:24">
      <c r="A9" s="442" t="s">
        <v>2091</v>
      </c>
      <c r="B9" s="197" t="s">
        <v>2092</v>
      </c>
      <c r="C9" s="444">
        <v>1</v>
      </c>
      <c r="D9" s="451" t="s">
        <v>134</v>
      </c>
      <c r="E9" s="452">
        <v>113</v>
      </c>
      <c r="F9" s="188"/>
      <c r="G9" s="91">
        <f t="shared" si="0"/>
        <v>113</v>
      </c>
      <c r="H9" s="86"/>
      <c r="I9" s="186"/>
      <c r="J9" s="458" t="s">
        <v>135</v>
      </c>
      <c r="K9" s="293" t="s">
        <v>136</v>
      </c>
      <c r="L9" s="355" t="s">
        <v>137</v>
      </c>
      <c r="M9" s="442" t="s">
        <v>2091</v>
      </c>
      <c r="N9" s="197" t="s">
        <v>2092</v>
      </c>
      <c r="O9" s="444">
        <v>1</v>
      </c>
      <c r="P9" s="451" t="s">
        <v>134</v>
      </c>
      <c r="Q9" s="452">
        <v>113</v>
      </c>
      <c r="R9" s="188"/>
      <c r="S9" s="91">
        <v>113</v>
      </c>
      <c r="T9" s="86"/>
      <c r="U9" s="186"/>
      <c r="V9" s="458" t="s">
        <v>135</v>
      </c>
      <c r="W9" s="293" t="s">
        <v>136</v>
      </c>
      <c r="X9" s="598" t="s">
        <v>137</v>
      </c>
    </row>
    <row r="10" spans="1:24">
      <c r="A10" s="442" t="s">
        <v>2093</v>
      </c>
      <c r="B10" s="197" t="s">
        <v>2094</v>
      </c>
      <c r="C10" s="444">
        <v>1</v>
      </c>
      <c r="D10" s="445" t="s">
        <v>134</v>
      </c>
      <c r="E10" s="446">
        <v>229</v>
      </c>
      <c r="F10" s="188"/>
      <c r="G10" s="91">
        <f t="shared" si="0"/>
        <v>229</v>
      </c>
      <c r="H10" s="86"/>
      <c r="I10" s="186"/>
      <c r="J10" s="458" t="s">
        <v>135</v>
      </c>
      <c r="K10" s="293" t="s">
        <v>136</v>
      </c>
      <c r="L10" s="355" t="s">
        <v>137</v>
      </c>
      <c r="M10" s="442" t="s">
        <v>2093</v>
      </c>
      <c r="N10" s="197" t="s">
        <v>2094</v>
      </c>
      <c r="O10" s="444">
        <v>1</v>
      </c>
      <c r="P10" s="445" t="s">
        <v>134</v>
      </c>
      <c r="Q10" s="446">
        <v>229</v>
      </c>
      <c r="R10" s="188"/>
      <c r="S10" s="91">
        <v>229</v>
      </c>
      <c r="T10" s="86"/>
      <c r="U10" s="186"/>
      <c r="V10" s="458" t="s">
        <v>135</v>
      </c>
      <c r="W10" s="293" t="s">
        <v>136</v>
      </c>
      <c r="X10" s="598" t="s">
        <v>137</v>
      </c>
    </row>
    <row r="11" spans="1:24">
      <c r="A11" s="442" t="s">
        <v>2095</v>
      </c>
      <c r="B11" s="197" t="s">
        <v>2096</v>
      </c>
      <c r="C11" s="444">
        <v>1</v>
      </c>
      <c r="D11" s="451" t="s">
        <v>134</v>
      </c>
      <c r="E11" s="452">
        <v>324</v>
      </c>
      <c r="F11" s="188"/>
      <c r="G11" s="91">
        <f t="shared" si="0"/>
        <v>324</v>
      </c>
      <c r="H11" s="86"/>
      <c r="I11" s="186"/>
      <c r="J11" s="458" t="s">
        <v>135</v>
      </c>
      <c r="K11" s="293" t="s">
        <v>136</v>
      </c>
      <c r="L11" s="355" t="s">
        <v>137</v>
      </c>
      <c r="M11" s="442" t="s">
        <v>2095</v>
      </c>
      <c r="N11" s="197" t="s">
        <v>2096</v>
      </c>
      <c r="O11" s="444">
        <v>1</v>
      </c>
      <c r="P11" s="451" t="s">
        <v>134</v>
      </c>
      <c r="Q11" s="452">
        <v>324</v>
      </c>
      <c r="R11" s="188"/>
      <c r="S11" s="91">
        <v>324</v>
      </c>
      <c r="T11" s="86"/>
      <c r="U11" s="186"/>
      <c r="V11" s="458" t="s">
        <v>135</v>
      </c>
      <c r="W11" s="293" t="s">
        <v>136</v>
      </c>
      <c r="X11" s="598" t="s">
        <v>137</v>
      </c>
    </row>
    <row r="12" spans="1:24">
      <c r="A12" s="442" t="s">
        <v>2097</v>
      </c>
      <c r="B12" s="197" t="s">
        <v>2098</v>
      </c>
      <c r="C12" s="444">
        <v>1</v>
      </c>
      <c r="D12" s="445" t="s">
        <v>134</v>
      </c>
      <c r="E12" s="446">
        <v>22</v>
      </c>
      <c r="F12" s="188"/>
      <c r="G12" s="91">
        <f t="shared" si="0"/>
        <v>22</v>
      </c>
      <c r="H12" s="86"/>
      <c r="I12" s="186"/>
      <c r="J12" s="458" t="s">
        <v>135</v>
      </c>
      <c r="K12" s="293" t="s">
        <v>136</v>
      </c>
      <c r="L12" s="355" t="s">
        <v>137</v>
      </c>
      <c r="M12" s="442" t="s">
        <v>2097</v>
      </c>
      <c r="N12" s="197" t="s">
        <v>2098</v>
      </c>
      <c r="O12" s="444">
        <v>1</v>
      </c>
      <c r="P12" s="445" t="s">
        <v>134</v>
      </c>
      <c r="Q12" s="446">
        <v>22</v>
      </c>
      <c r="R12" s="188"/>
      <c r="S12" s="91">
        <v>22</v>
      </c>
      <c r="T12" s="86"/>
      <c r="U12" s="186"/>
      <c r="V12" s="458" t="s">
        <v>135</v>
      </c>
      <c r="W12" s="293" t="s">
        <v>136</v>
      </c>
      <c r="X12" s="598" t="s">
        <v>137</v>
      </c>
    </row>
    <row r="13" spans="1:24">
      <c r="A13" s="442" t="s">
        <v>2099</v>
      </c>
      <c r="B13" s="197" t="s">
        <v>2100</v>
      </c>
      <c r="C13" s="444">
        <v>1</v>
      </c>
      <c r="D13" s="451" t="s">
        <v>134</v>
      </c>
      <c r="E13" s="452">
        <v>42</v>
      </c>
      <c r="F13" s="188"/>
      <c r="G13" s="91">
        <f t="shared" si="0"/>
        <v>42</v>
      </c>
      <c r="H13" s="86"/>
      <c r="I13" s="186"/>
      <c r="J13" s="458" t="s">
        <v>135</v>
      </c>
      <c r="K13" s="293" t="s">
        <v>136</v>
      </c>
      <c r="L13" s="355" t="s">
        <v>137</v>
      </c>
      <c r="M13" s="442" t="s">
        <v>2099</v>
      </c>
      <c r="N13" s="197" t="s">
        <v>2100</v>
      </c>
      <c r="O13" s="444">
        <v>1</v>
      </c>
      <c r="P13" s="451" t="s">
        <v>134</v>
      </c>
      <c r="Q13" s="452">
        <v>42</v>
      </c>
      <c r="R13" s="188"/>
      <c r="S13" s="91">
        <v>42</v>
      </c>
      <c r="T13" s="86"/>
      <c r="U13" s="186"/>
      <c r="V13" s="458" t="s">
        <v>135</v>
      </c>
      <c r="W13" s="293" t="s">
        <v>136</v>
      </c>
      <c r="X13" s="598" t="s">
        <v>137</v>
      </c>
    </row>
    <row r="14" spans="1:24">
      <c r="A14" s="442" t="s">
        <v>2101</v>
      </c>
      <c r="B14" s="197" t="s">
        <v>2102</v>
      </c>
      <c r="C14" s="444">
        <v>1</v>
      </c>
      <c r="D14" s="445" t="s">
        <v>134</v>
      </c>
      <c r="E14" s="446">
        <v>67</v>
      </c>
      <c r="F14" s="188"/>
      <c r="G14" s="91">
        <f t="shared" si="0"/>
        <v>67</v>
      </c>
      <c r="H14" s="86"/>
      <c r="I14" s="186"/>
      <c r="J14" s="458" t="s">
        <v>135</v>
      </c>
      <c r="K14" s="293" t="s">
        <v>136</v>
      </c>
      <c r="L14" s="355" t="s">
        <v>137</v>
      </c>
      <c r="M14" s="442" t="s">
        <v>2101</v>
      </c>
      <c r="N14" s="197" t="s">
        <v>2102</v>
      </c>
      <c r="O14" s="444">
        <v>1</v>
      </c>
      <c r="P14" s="445" t="s">
        <v>134</v>
      </c>
      <c r="Q14" s="446">
        <v>67</v>
      </c>
      <c r="R14" s="188"/>
      <c r="S14" s="91">
        <v>67</v>
      </c>
      <c r="T14" s="86"/>
      <c r="U14" s="186"/>
      <c r="V14" s="458" t="s">
        <v>135</v>
      </c>
      <c r="W14" s="293" t="s">
        <v>136</v>
      </c>
      <c r="X14" s="598" t="s">
        <v>137</v>
      </c>
    </row>
    <row r="15" spans="1:24">
      <c r="A15" s="442" t="s">
        <v>2103</v>
      </c>
      <c r="B15" s="197" t="s">
        <v>2104</v>
      </c>
      <c r="C15" s="444">
        <v>1</v>
      </c>
      <c r="D15" s="451" t="s">
        <v>134</v>
      </c>
      <c r="E15" s="452">
        <v>50</v>
      </c>
      <c r="F15" s="188"/>
      <c r="G15" s="91">
        <f t="shared" si="0"/>
        <v>50</v>
      </c>
      <c r="H15" s="86"/>
      <c r="I15" s="186"/>
      <c r="J15" s="458" t="s">
        <v>135</v>
      </c>
      <c r="K15" s="293" t="s">
        <v>136</v>
      </c>
      <c r="L15" s="355" t="s">
        <v>137</v>
      </c>
      <c r="M15" s="442" t="s">
        <v>2103</v>
      </c>
      <c r="N15" s="197" t="s">
        <v>2104</v>
      </c>
      <c r="O15" s="444">
        <v>1</v>
      </c>
      <c r="P15" s="451" t="s">
        <v>134</v>
      </c>
      <c r="Q15" s="452">
        <v>50</v>
      </c>
      <c r="R15" s="188"/>
      <c r="S15" s="91">
        <v>50</v>
      </c>
      <c r="T15" s="86"/>
      <c r="U15" s="186"/>
      <c r="V15" s="458" t="s">
        <v>135</v>
      </c>
      <c r="W15" s="293" t="s">
        <v>136</v>
      </c>
      <c r="X15" s="598" t="s">
        <v>137</v>
      </c>
    </row>
    <row r="16" spans="1:24">
      <c r="A16" s="442" t="s">
        <v>2105</v>
      </c>
      <c r="B16" s="197" t="s">
        <v>2106</v>
      </c>
      <c r="C16" s="444">
        <v>1</v>
      </c>
      <c r="D16" s="445" t="s">
        <v>134</v>
      </c>
      <c r="E16" s="446">
        <v>100</v>
      </c>
      <c r="F16" s="188"/>
      <c r="G16" s="91">
        <f t="shared" si="0"/>
        <v>100</v>
      </c>
      <c r="H16" s="86"/>
      <c r="I16" s="186"/>
      <c r="J16" s="458" t="s">
        <v>135</v>
      </c>
      <c r="K16" s="293" t="s">
        <v>136</v>
      </c>
      <c r="L16" s="355" t="s">
        <v>137</v>
      </c>
      <c r="M16" s="442" t="s">
        <v>2105</v>
      </c>
      <c r="N16" s="197" t="s">
        <v>2106</v>
      </c>
      <c r="O16" s="444">
        <v>1</v>
      </c>
      <c r="P16" s="445" t="s">
        <v>134</v>
      </c>
      <c r="Q16" s="446">
        <v>100</v>
      </c>
      <c r="R16" s="188"/>
      <c r="S16" s="91">
        <v>100</v>
      </c>
      <c r="T16" s="86"/>
      <c r="U16" s="186"/>
      <c r="V16" s="458" t="s">
        <v>135</v>
      </c>
      <c r="W16" s="293" t="s">
        <v>136</v>
      </c>
      <c r="X16" s="598" t="s">
        <v>137</v>
      </c>
    </row>
    <row r="17" spans="1:24">
      <c r="A17" s="442" t="s">
        <v>2107</v>
      </c>
      <c r="B17" s="197" t="s">
        <v>2108</v>
      </c>
      <c r="C17" s="444">
        <v>1</v>
      </c>
      <c r="D17" s="445" t="s">
        <v>134</v>
      </c>
      <c r="E17" s="446">
        <v>142</v>
      </c>
      <c r="F17" s="188"/>
      <c r="G17" s="91">
        <f t="shared" si="0"/>
        <v>142</v>
      </c>
      <c r="H17" s="86"/>
      <c r="I17" s="186"/>
      <c r="J17" s="458" t="s">
        <v>135</v>
      </c>
      <c r="K17" s="293" t="s">
        <v>136</v>
      </c>
      <c r="L17" s="355" t="s">
        <v>137</v>
      </c>
      <c r="M17" s="442" t="s">
        <v>2107</v>
      </c>
      <c r="N17" s="197" t="s">
        <v>2108</v>
      </c>
      <c r="O17" s="444">
        <v>1</v>
      </c>
      <c r="P17" s="445" t="s">
        <v>134</v>
      </c>
      <c r="Q17" s="446">
        <v>142</v>
      </c>
      <c r="R17" s="188"/>
      <c r="S17" s="91">
        <v>142</v>
      </c>
      <c r="T17" s="86"/>
      <c r="U17" s="186"/>
      <c r="V17" s="458" t="s">
        <v>135</v>
      </c>
      <c r="W17" s="293" t="s">
        <v>136</v>
      </c>
      <c r="X17" s="598" t="s">
        <v>137</v>
      </c>
    </row>
    <row r="18" spans="1:24">
      <c r="A18" s="442" t="s">
        <v>2109</v>
      </c>
      <c r="B18" s="197" t="s">
        <v>2110</v>
      </c>
      <c r="C18" s="444">
        <v>1</v>
      </c>
      <c r="D18" s="445" t="s">
        <v>134</v>
      </c>
      <c r="E18" s="446">
        <v>44</v>
      </c>
      <c r="F18" s="188"/>
      <c r="G18" s="91">
        <f t="shared" si="0"/>
        <v>44</v>
      </c>
      <c r="H18" s="86"/>
      <c r="I18" s="186"/>
      <c r="J18" s="458" t="s">
        <v>135</v>
      </c>
      <c r="K18" s="293" t="s">
        <v>136</v>
      </c>
      <c r="L18" s="355" t="s">
        <v>137</v>
      </c>
      <c r="M18" s="442" t="s">
        <v>2109</v>
      </c>
      <c r="N18" s="197" t="s">
        <v>2110</v>
      </c>
      <c r="O18" s="444">
        <v>1</v>
      </c>
      <c r="P18" s="445" t="s">
        <v>134</v>
      </c>
      <c r="Q18" s="446">
        <v>44</v>
      </c>
      <c r="R18" s="188"/>
      <c r="S18" s="91">
        <v>44</v>
      </c>
      <c r="T18" s="86"/>
      <c r="U18" s="186"/>
      <c r="V18" s="458" t="s">
        <v>135</v>
      </c>
      <c r="W18" s="293" t="s">
        <v>136</v>
      </c>
      <c r="X18" s="598" t="s">
        <v>137</v>
      </c>
    </row>
    <row r="19" spans="1:24">
      <c r="A19" s="442" t="s">
        <v>2111</v>
      </c>
      <c r="B19" s="197" t="s">
        <v>2112</v>
      </c>
      <c r="C19" s="444">
        <v>1</v>
      </c>
      <c r="D19" s="445" t="s">
        <v>134</v>
      </c>
      <c r="E19" s="446">
        <v>82</v>
      </c>
      <c r="F19" s="188"/>
      <c r="G19" s="91">
        <f t="shared" si="0"/>
        <v>82</v>
      </c>
      <c r="H19" s="86"/>
      <c r="I19" s="186"/>
      <c r="J19" s="458" t="s">
        <v>135</v>
      </c>
      <c r="K19" s="293" t="s">
        <v>136</v>
      </c>
      <c r="L19" s="355" t="s">
        <v>137</v>
      </c>
      <c r="M19" s="442" t="s">
        <v>2111</v>
      </c>
      <c r="N19" s="197" t="s">
        <v>2112</v>
      </c>
      <c r="O19" s="444">
        <v>1</v>
      </c>
      <c r="P19" s="445" t="s">
        <v>134</v>
      </c>
      <c r="Q19" s="446">
        <v>82</v>
      </c>
      <c r="R19" s="188"/>
      <c r="S19" s="91">
        <v>82</v>
      </c>
      <c r="T19" s="86"/>
      <c r="U19" s="186"/>
      <c r="V19" s="458" t="s">
        <v>135</v>
      </c>
      <c r="W19" s="293" t="s">
        <v>136</v>
      </c>
      <c r="X19" s="598" t="s">
        <v>137</v>
      </c>
    </row>
    <row r="20" spans="1:24">
      <c r="A20" s="442" t="s">
        <v>2113</v>
      </c>
      <c r="B20" s="197" t="s">
        <v>2114</v>
      </c>
      <c r="C20" s="444">
        <v>1</v>
      </c>
      <c r="D20" s="445" t="s">
        <v>134</v>
      </c>
      <c r="E20" s="446">
        <v>119</v>
      </c>
      <c r="F20" s="188"/>
      <c r="G20" s="91">
        <f t="shared" si="0"/>
        <v>119</v>
      </c>
      <c r="H20" s="86"/>
      <c r="I20" s="186"/>
      <c r="J20" s="458" t="s">
        <v>135</v>
      </c>
      <c r="K20" s="293" t="s">
        <v>136</v>
      </c>
      <c r="L20" s="355" t="s">
        <v>137</v>
      </c>
      <c r="M20" s="442" t="s">
        <v>2113</v>
      </c>
      <c r="N20" s="197" t="s">
        <v>2114</v>
      </c>
      <c r="O20" s="444">
        <v>1</v>
      </c>
      <c r="P20" s="445" t="s">
        <v>134</v>
      </c>
      <c r="Q20" s="446">
        <v>119</v>
      </c>
      <c r="R20" s="188"/>
      <c r="S20" s="91">
        <v>119</v>
      </c>
      <c r="T20" s="86"/>
      <c r="U20" s="186"/>
      <c r="V20" s="458" t="s">
        <v>135</v>
      </c>
      <c r="W20" s="293" t="s">
        <v>136</v>
      </c>
      <c r="X20" s="598" t="s">
        <v>137</v>
      </c>
    </row>
    <row r="21" spans="1:24">
      <c r="A21" s="442" t="s">
        <v>2115</v>
      </c>
      <c r="B21" s="197" t="s">
        <v>2116</v>
      </c>
      <c r="C21" s="444">
        <v>1</v>
      </c>
      <c r="D21" s="445" t="s">
        <v>134</v>
      </c>
      <c r="E21" s="446">
        <v>88</v>
      </c>
      <c r="F21" s="188"/>
      <c r="G21" s="91">
        <f t="shared" si="0"/>
        <v>88</v>
      </c>
      <c r="H21" s="86"/>
      <c r="I21" s="186"/>
      <c r="J21" s="458" t="s">
        <v>135</v>
      </c>
      <c r="K21" s="293" t="s">
        <v>136</v>
      </c>
      <c r="L21" s="355" t="s">
        <v>137</v>
      </c>
      <c r="M21" s="442" t="s">
        <v>2115</v>
      </c>
      <c r="N21" s="197" t="s">
        <v>2116</v>
      </c>
      <c r="O21" s="444">
        <v>1</v>
      </c>
      <c r="P21" s="445" t="s">
        <v>134</v>
      </c>
      <c r="Q21" s="446">
        <v>88</v>
      </c>
      <c r="R21" s="188"/>
      <c r="S21" s="91">
        <v>88</v>
      </c>
      <c r="T21" s="86"/>
      <c r="U21" s="186"/>
      <c r="V21" s="458" t="s">
        <v>135</v>
      </c>
      <c r="W21" s="293" t="s">
        <v>136</v>
      </c>
      <c r="X21" s="598" t="s">
        <v>137</v>
      </c>
    </row>
    <row r="22" spans="1:24">
      <c r="A22" s="442" t="s">
        <v>2117</v>
      </c>
      <c r="B22" s="197" t="s">
        <v>2118</v>
      </c>
      <c r="C22" s="444">
        <v>1</v>
      </c>
      <c r="D22" s="445" t="s">
        <v>134</v>
      </c>
      <c r="E22" s="446">
        <v>172</v>
      </c>
      <c r="F22" s="188"/>
      <c r="G22" s="91">
        <f t="shared" si="0"/>
        <v>172</v>
      </c>
      <c r="H22" s="86"/>
      <c r="I22" s="186"/>
      <c r="J22" s="458" t="s">
        <v>135</v>
      </c>
      <c r="K22" s="293" t="s">
        <v>136</v>
      </c>
      <c r="L22" s="355" t="s">
        <v>137</v>
      </c>
      <c r="M22" s="442" t="s">
        <v>2117</v>
      </c>
      <c r="N22" s="197" t="s">
        <v>2118</v>
      </c>
      <c r="O22" s="444">
        <v>1</v>
      </c>
      <c r="P22" s="445" t="s">
        <v>134</v>
      </c>
      <c r="Q22" s="446">
        <v>172</v>
      </c>
      <c r="R22" s="188"/>
      <c r="S22" s="91">
        <v>172</v>
      </c>
      <c r="T22" s="86"/>
      <c r="U22" s="186"/>
      <c r="V22" s="458" t="s">
        <v>135</v>
      </c>
      <c r="W22" s="293" t="s">
        <v>136</v>
      </c>
      <c r="X22" s="598" t="s">
        <v>137</v>
      </c>
    </row>
    <row r="23" spans="1:24">
      <c r="A23" s="442" t="s">
        <v>2119</v>
      </c>
      <c r="B23" s="197" t="s">
        <v>2120</v>
      </c>
      <c r="C23" s="444">
        <v>1</v>
      </c>
      <c r="D23" s="445" t="s">
        <v>134</v>
      </c>
      <c r="E23" s="446">
        <v>241</v>
      </c>
      <c r="F23" s="188"/>
      <c r="G23" s="91">
        <f t="shared" si="0"/>
        <v>241</v>
      </c>
      <c r="H23" s="86"/>
      <c r="I23" s="186"/>
      <c r="J23" s="458" t="s">
        <v>135</v>
      </c>
      <c r="K23" s="293" t="s">
        <v>136</v>
      </c>
      <c r="L23" s="355" t="s">
        <v>137</v>
      </c>
      <c r="M23" s="442" t="s">
        <v>2119</v>
      </c>
      <c r="N23" s="197" t="s">
        <v>2120</v>
      </c>
      <c r="O23" s="444">
        <v>1</v>
      </c>
      <c r="P23" s="445" t="s">
        <v>134</v>
      </c>
      <c r="Q23" s="446">
        <v>241</v>
      </c>
      <c r="R23" s="188"/>
      <c r="S23" s="91">
        <v>241</v>
      </c>
      <c r="T23" s="86"/>
      <c r="U23" s="186"/>
      <c r="V23" s="458" t="s">
        <v>135</v>
      </c>
      <c r="W23" s="293" t="s">
        <v>136</v>
      </c>
      <c r="X23" s="598" t="s">
        <v>137</v>
      </c>
    </row>
    <row r="24" spans="1:24">
      <c r="A24" s="442" t="s">
        <v>2121</v>
      </c>
      <c r="B24" s="197" t="s">
        <v>2122</v>
      </c>
      <c r="C24" s="444">
        <v>1</v>
      </c>
      <c r="D24" s="445" t="s">
        <v>134</v>
      </c>
      <c r="E24" s="446">
        <v>19</v>
      </c>
      <c r="F24" s="188"/>
      <c r="G24" s="91">
        <f t="shared" si="0"/>
        <v>19</v>
      </c>
      <c r="H24" s="86"/>
      <c r="I24" s="186"/>
      <c r="J24" s="458" t="s">
        <v>135</v>
      </c>
      <c r="K24" s="293" t="s">
        <v>136</v>
      </c>
      <c r="L24" s="355" t="s">
        <v>137</v>
      </c>
      <c r="M24" s="442" t="s">
        <v>2121</v>
      </c>
      <c r="N24" s="197" t="s">
        <v>2122</v>
      </c>
      <c r="O24" s="444">
        <v>1</v>
      </c>
      <c r="P24" s="445" t="s">
        <v>134</v>
      </c>
      <c r="Q24" s="446">
        <v>19</v>
      </c>
      <c r="R24" s="188"/>
      <c r="S24" s="91">
        <v>19</v>
      </c>
      <c r="T24" s="86"/>
      <c r="U24" s="186"/>
      <c r="V24" s="458" t="s">
        <v>135</v>
      </c>
      <c r="W24" s="293" t="s">
        <v>136</v>
      </c>
      <c r="X24" s="598" t="s">
        <v>137</v>
      </c>
    </row>
    <row r="25" spans="1:24">
      <c r="A25" s="442" t="s">
        <v>2123</v>
      </c>
      <c r="B25" s="197" t="s">
        <v>2124</v>
      </c>
      <c r="C25" s="444">
        <v>1</v>
      </c>
      <c r="D25" s="445" t="s">
        <v>134</v>
      </c>
      <c r="E25" s="446">
        <v>29</v>
      </c>
      <c r="F25" s="188"/>
      <c r="G25" s="91">
        <f t="shared" si="0"/>
        <v>29</v>
      </c>
      <c r="H25" s="86"/>
      <c r="I25" s="186"/>
      <c r="J25" s="458" t="s">
        <v>135</v>
      </c>
      <c r="K25" s="293" t="s">
        <v>136</v>
      </c>
      <c r="L25" s="355" t="s">
        <v>137</v>
      </c>
      <c r="M25" s="442" t="s">
        <v>2123</v>
      </c>
      <c r="N25" s="197" t="s">
        <v>2124</v>
      </c>
      <c r="O25" s="444">
        <v>1</v>
      </c>
      <c r="P25" s="445" t="s">
        <v>134</v>
      </c>
      <c r="Q25" s="446">
        <v>29</v>
      </c>
      <c r="R25" s="188"/>
      <c r="S25" s="91">
        <v>29</v>
      </c>
      <c r="T25" s="86"/>
      <c r="U25" s="186"/>
      <c r="V25" s="458" t="s">
        <v>135</v>
      </c>
      <c r="W25" s="293" t="s">
        <v>136</v>
      </c>
      <c r="X25" s="598" t="s">
        <v>137</v>
      </c>
    </row>
    <row r="26" spans="1:24" ht="13.5" thickBot="1">
      <c r="A26" s="549" t="s">
        <v>2125</v>
      </c>
      <c r="B26" s="550" t="s">
        <v>2126</v>
      </c>
      <c r="C26" s="551">
        <v>1</v>
      </c>
      <c r="D26" s="552" t="s">
        <v>134</v>
      </c>
      <c r="E26" s="553">
        <v>44</v>
      </c>
      <c r="F26" s="537"/>
      <c r="G26" s="538">
        <f t="shared" si="0"/>
        <v>44</v>
      </c>
      <c r="H26" s="539"/>
      <c r="I26" s="540"/>
      <c r="J26" s="646" t="s">
        <v>135</v>
      </c>
      <c r="K26" s="647" t="s">
        <v>136</v>
      </c>
      <c r="L26" s="648" t="s">
        <v>137</v>
      </c>
      <c r="M26" s="549" t="s">
        <v>2125</v>
      </c>
      <c r="N26" s="550" t="s">
        <v>2126</v>
      </c>
      <c r="O26" s="551">
        <v>1</v>
      </c>
      <c r="P26" s="552" t="s">
        <v>134</v>
      </c>
      <c r="Q26" s="553">
        <v>44</v>
      </c>
      <c r="R26" s="537"/>
      <c r="S26" s="538">
        <v>44</v>
      </c>
      <c r="T26" s="539"/>
      <c r="U26" s="540"/>
      <c r="V26" s="646" t="s">
        <v>135</v>
      </c>
      <c r="W26" s="647" t="s">
        <v>136</v>
      </c>
      <c r="X26" s="648" t="s">
        <v>137</v>
      </c>
    </row>
    <row r="27" spans="1:24" ht="13.5" thickTop="1"/>
  </sheetData>
  <mergeCells count="2">
    <mergeCell ref="A3:I3"/>
    <mergeCell ref="M3:U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codeName="Feuil6">
    <tabColor rgb="FFD7B3FF"/>
  </sheetPr>
  <dimension ref="A1:H48"/>
  <sheetViews>
    <sheetView zoomScale="110" zoomScaleNormal="110" workbookViewId="0"/>
  </sheetViews>
  <sheetFormatPr baseColWidth="10" defaultColWidth="10.7265625" defaultRowHeight="15.5"/>
  <cols>
    <col min="1" max="1" width="39.453125" style="116" customWidth="1"/>
    <col min="2" max="2" width="44.26953125" style="116" bestFit="1" customWidth="1"/>
    <col min="3" max="3" width="27.453125" style="116" customWidth="1"/>
    <col min="4" max="4" width="13.54296875" style="116" customWidth="1"/>
    <col min="5" max="7" width="10.7265625" style="116" bestFit="1"/>
    <col min="8" max="16384" width="10.7265625" style="102"/>
  </cols>
  <sheetData>
    <row r="1" spans="1:8" s="103" customFormat="1" ht="24" customHeight="1">
      <c r="A1" s="115" t="s">
        <v>106</v>
      </c>
      <c r="B1" s="123"/>
      <c r="C1" s="114"/>
      <c r="D1" s="113"/>
      <c r="E1" s="112"/>
      <c r="F1" s="106"/>
      <c r="G1" s="111"/>
    </row>
    <row r="2" spans="1:8" ht="18.5">
      <c r="C2" s="844" t="s">
        <v>2127</v>
      </c>
      <c r="D2" s="845"/>
      <c r="E2" s="845"/>
    </row>
    <row r="4" spans="1:8" ht="27" customHeight="1">
      <c r="A4" s="842" t="s">
        <v>2128</v>
      </c>
      <c r="B4" s="842"/>
      <c r="C4" s="842"/>
      <c r="D4" s="842"/>
      <c r="E4" s="842"/>
      <c r="F4" s="843"/>
      <c r="G4" s="843"/>
    </row>
    <row r="7" spans="1:8" ht="31" customHeight="1">
      <c r="A7" s="121"/>
      <c r="B7" s="121"/>
      <c r="D7" s="838" t="s">
        <v>2129</v>
      </c>
      <c r="E7" s="839"/>
      <c r="F7" s="840" t="s">
        <v>2130</v>
      </c>
      <c r="G7" s="841"/>
      <c r="H7" s="649"/>
    </row>
    <row r="8" spans="1:8" ht="25" customHeight="1">
      <c r="C8" s="118" t="s">
        <v>2131</v>
      </c>
      <c r="D8" s="200">
        <v>0.20130874728773931</v>
      </c>
      <c r="E8" s="200">
        <v>0.10462145617787387</v>
      </c>
      <c r="F8" s="110">
        <v>0.309</v>
      </c>
      <c r="G8" s="110">
        <v>0.309</v>
      </c>
    </row>
    <row r="9" spans="1:8" ht="40" customHeight="1">
      <c r="A9" s="119" t="s">
        <v>2132</v>
      </c>
      <c r="B9" s="118" t="s">
        <v>2133</v>
      </c>
      <c r="C9" s="117" t="s">
        <v>2134</v>
      </c>
      <c r="D9" s="109" t="s">
        <v>2135</v>
      </c>
      <c r="E9" s="108" t="s">
        <v>2136</v>
      </c>
      <c r="F9" s="109" t="s">
        <v>2135</v>
      </c>
      <c r="G9" s="108" t="s">
        <v>2136</v>
      </c>
    </row>
    <row r="10" spans="1:8" ht="28" customHeight="1">
      <c r="A10" s="577" t="s">
        <v>2137</v>
      </c>
      <c r="B10" s="119" t="s">
        <v>125</v>
      </c>
      <c r="C10" s="141">
        <v>880.67</v>
      </c>
      <c r="D10" s="141">
        <f>D$8*$C10</f>
        <v>177.28657447389338</v>
      </c>
      <c r="E10" s="141">
        <f t="shared" ref="E10:G10" si="0">E$8*$C10</f>
        <v>92.136977812168183</v>
      </c>
      <c r="F10" s="141">
        <f t="shared" si="0"/>
        <v>272.12702999999999</v>
      </c>
      <c r="G10" s="141">
        <f t="shared" si="0"/>
        <v>272.12702999999999</v>
      </c>
    </row>
    <row r="11" spans="1:8" ht="28" customHeight="1">
      <c r="A11" s="578"/>
      <c r="B11" s="579" t="s">
        <v>2138</v>
      </c>
      <c r="C11" s="580"/>
      <c r="D11" s="580">
        <v>37.501427236274864</v>
      </c>
      <c r="E11" s="580"/>
      <c r="F11" s="580" t="s">
        <v>128</v>
      </c>
      <c r="G11" s="580" t="s">
        <v>128</v>
      </c>
    </row>
    <row r="12" spans="1:8" ht="28" customHeight="1">
      <c r="A12" s="578"/>
      <c r="B12" s="579" t="s">
        <v>2139</v>
      </c>
      <c r="C12" s="580"/>
      <c r="D12" s="580"/>
      <c r="E12" s="580">
        <v>19.404816350225602</v>
      </c>
      <c r="F12" s="580" t="s">
        <v>128</v>
      </c>
      <c r="G12" s="580" t="s">
        <v>128</v>
      </c>
    </row>
    <row r="13" spans="1:8" ht="28" customHeight="1">
      <c r="A13" s="577" t="s">
        <v>2140</v>
      </c>
      <c r="B13" s="119" t="s">
        <v>168</v>
      </c>
      <c r="C13" s="141">
        <v>949.33</v>
      </c>
      <c r="D13" s="141">
        <f>D$8*$C13</f>
        <v>191.10843306266958</v>
      </c>
      <c r="E13" s="141">
        <f t="shared" ref="E13:G13" si="1">E$8*$C13</f>
        <v>99.320286993341</v>
      </c>
      <c r="F13" s="141">
        <f t="shared" si="1"/>
        <v>293.34297000000004</v>
      </c>
      <c r="G13" s="141">
        <f t="shared" si="1"/>
        <v>293.34297000000004</v>
      </c>
    </row>
    <row r="14" spans="1:8" ht="28" customHeight="1">
      <c r="A14" s="578"/>
      <c r="B14" s="579" t="s">
        <v>2138</v>
      </c>
      <c r="C14" s="580"/>
      <c r="D14" s="580">
        <v>37.501427236274864</v>
      </c>
      <c r="E14" s="580"/>
      <c r="F14" s="580" t="s">
        <v>128</v>
      </c>
      <c r="G14" s="580" t="s">
        <v>128</v>
      </c>
    </row>
    <row r="15" spans="1:8" ht="28" customHeight="1">
      <c r="A15" s="578"/>
      <c r="B15" s="579" t="s">
        <v>2139</v>
      </c>
      <c r="C15" s="580"/>
      <c r="D15" s="580"/>
      <c r="E15" s="580">
        <v>19.404816350225602</v>
      </c>
      <c r="F15" s="580" t="s">
        <v>128</v>
      </c>
      <c r="G15" s="580" t="s">
        <v>128</v>
      </c>
    </row>
    <row r="16" spans="1:8" ht="28" customHeight="1">
      <c r="A16" s="577" t="s">
        <v>2141</v>
      </c>
      <c r="B16" s="119" t="s">
        <v>171</v>
      </c>
      <c r="C16" s="141">
        <v>1163.57</v>
      </c>
      <c r="D16" s="141">
        <f>D$8*$C16</f>
        <v>234.23681908159483</v>
      </c>
      <c r="E16" s="141">
        <f t="shared" ref="E16:G16" si="2">E$8*$C16</f>
        <v>121.73438776488869</v>
      </c>
      <c r="F16" s="141">
        <f t="shared" si="2"/>
        <v>359.54312999999996</v>
      </c>
      <c r="G16" s="141">
        <f t="shared" si="2"/>
        <v>359.54312999999996</v>
      </c>
    </row>
    <row r="17" spans="1:7" ht="28" customHeight="1">
      <c r="A17" s="578"/>
      <c r="B17" s="579" t="s">
        <v>2138</v>
      </c>
      <c r="C17" s="580"/>
      <c r="D17" s="580">
        <v>37.501427236274864</v>
      </c>
      <c r="E17" s="580"/>
      <c r="F17" s="580" t="s">
        <v>128</v>
      </c>
      <c r="G17" s="580" t="s">
        <v>128</v>
      </c>
    </row>
    <row r="18" spans="1:7" ht="28" customHeight="1">
      <c r="A18" s="578"/>
      <c r="B18" s="579" t="s">
        <v>2139</v>
      </c>
      <c r="C18" s="580"/>
      <c r="D18" s="580"/>
      <c r="E18" s="580">
        <v>19.404816350225602</v>
      </c>
      <c r="F18" s="580" t="s">
        <v>128</v>
      </c>
      <c r="G18" s="580" t="s">
        <v>128</v>
      </c>
    </row>
    <row r="19" spans="1:7" s="495" customFormat="1" ht="28" customHeight="1">
      <c r="A19" s="577" t="s">
        <v>2142</v>
      </c>
      <c r="B19" s="119" t="s">
        <v>189</v>
      </c>
      <c r="C19" s="141">
        <v>1446.47</v>
      </c>
      <c r="D19" s="141">
        <f t="shared" ref="D19:G19" si="3">D$8*$C19</f>
        <v>291.18706368929628</v>
      </c>
      <c r="E19" s="141">
        <f t="shared" si="3"/>
        <v>151.33179771760922</v>
      </c>
      <c r="F19" s="141">
        <f t="shared" si="3"/>
        <v>446.95922999999999</v>
      </c>
      <c r="G19" s="141">
        <f t="shared" si="3"/>
        <v>446.95922999999999</v>
      </c>
    </row>
    <row r="20" spans="1:7" s="495" customFormat="1" ht="28" customHeight="1">
      <c r="A20" s="578"/>
      <c r="B20" s="579" t="s">
        <v>2143</v>
      </c>
      <c r="C20" s="580"/>
      <c r="D20" s="580">
        <v>96.89208785684535</v>
      </c>
      <c r="E20" s="580"/>
      <c r="F20" s="580" t="s">
        <v>128</v>
      </c>
      <c r="G20" s="580" t="s">
        <v>128</v>
      </c>
    </row>
    <row r="21" spans="1:7" s="495" customFormat="1" ht="28" customHeight="1">
      <c r="A21" s="578"/>
      <c r="B21" s="579" t="s">
        <v>2144</v>
      </c>
      <c r="C21" s="580"/>
      <c r="D21" s="580"/>
      <c r="E21" s="580">
        <v>50.136043057938068</v>
      </c>
      <c r="F21" s="580" t="s">
        <v>128</v>
      </c>
      <c r="G21" s="580" t="s">
        <v>128</v>
      </c>
    </row>
    <row r="22" spans="1:7" s="495" customFormat="1" ht="28" customHeight="1">
      <c r="A22" s="577" t="s">
        <v>2145</v>
      </c>
      <c r="B22" s="119" t="s">
        <v>225</v>
      </c>
      <c r="C22" s="141">
        <v>1789.81</v>
      </c>
      <c r="D22" s="141">
        <f t="shared" ref="D22:G22" si="4">D$8*$C22</f>
        <v>360.3044089830687</v>
      </c>
      <c r="E22" s="141">
        <f t="shared" si="4"/>
        <v>187.25252848172042</v>
      </c>
      <c r="F22" s="141">
        <f t="shared" si="4"/>
        <v>553.05128999999999</v>
      </c>
      <c r="G22" s="141">
        <f t="shared" si="4"/>
        <v>553.05128999999999</v>
      </c>
    </row>
    <row r="23" spans="1:7" s="495" customFormat="1" ht="28" customHeight="1">
      <c r="A23" s="578"/>
      <c r="B23" s="579" t="s">
        <v>2143</v>
      </c>
      <c r="C23" s="580"/>
      <c r="D23" s="580">
        <v>96.89208785684535</v>
      </c>
      <c r="E23" s="580"/>
      <c r="F23" s="580" t="s">
        <v>128</v>
      </c>
      <c r="G23" s="580" t="s">
        <v>128</v>
      </c>
    </row>
    <row r="24" spans="1:7" s="495" customFormat="1" ht="28" customHeight="1">
      <c r="A24" s="578"/>
      <c r="B24" s="579" t="s">
        <v>2144</v>
      </c>
      <c r="C24" s="580"/>
      <c r="D24" s="580"/>
      <c r="E24" s="580">
        <v>50.136043057938068</v>
      </c>
      <c r="F24" s="580" t="s">
        <v>128</v>
      </c>
      <c r="G24" s="580" t="s">
        <v>128</v>
      </c>
    </row>
    <row r="25" spans="1:7" s="495" customFormat="1" ht="29" customHeight="1">
      <c r="A25" s="577" t="s">
        <v>2146</v>
      </c>
      <c r="B25" s="119" t="s">
        <v>228</v>
      </c>
      <c r="C25" s="141">
        <v>2141.29</v>
      </c>
      <c r="D25" s="141">
        <f t="shared" ref="D25:G25" si="5">D$8*$C25</f>
        <v>431.06040747976328</v>
      </c>
      <c r="E25" s="141">
        <f t="shared" si="5"/>
        <v>224.02487789911953</v>
      </c>
      <c r="F25" s="141">
        <f t="shared" si="5"/>
        <v>661.65860999999995</v>
      </c>
      <c r="G25" s="141">
        <f t="shared" si="5"/>
        <v>661.65860999999995</v>
      </c>
    </row>
    <row r="26" spans="1:7" s="495" customFormat="1" ht="29" customHeight="1">
      <c r="A26" s="578"/>
      <c r="B26" s="579" t="s">
        <v>2147</v>
      </c>
      <c r="C26" s="580"/>
      <c r="D26" s="580">
        <v>104.28662031501918</v>
      </c>
      <c r="E26" s="580"/>
      <c r="F26" s="580" t="s">
        <v>128</v>
      </c>
      <c r="G26" s="580" t="s">
        <v>128</v>
      </c>
    </row>
    <row r="27" spans="1:7" s="495" customFormat="1" ht="29" customHeight="1">
      <c r="A27" s="578"/>
      <c r="B27" s="579" t="s">
        <v>2148</v>
      </c>
      <c r="C27" s="580"/>
      <c r="D27" s="580"/>
      <c r="E27" s="580">
        <v>53.962285281803318</v>
      </c>
      <c r="F27" s="580" t="s">
        <v>128</v>
      </c>
      <c r="G27" s="580" t="s">
        <v>128</v>
      </c>
    </row>
    <row r="28" spans="1:7" s="495" customFormat="1" ht="24" customHeight="1">
      <c r="A28" s="577" t="s">
        <v>2149</v>
      </c>
      <c r="B28" s="119" t="s">
        <v>265</v>
      </c>
      <c r="C28" s="141">
        <v>543.49</v>
      </c>
      <c r="D28" s="141">
        <f t="shared" ref="D28:G28" si="6">D$8*$C28</f>
        <v>109.40929106341345</v>
      </c>
      <c r="E28" s="141">
        <f t="shared" si="6"/>
        <v>56.860715218112674</v>
      </c>
      <c r="F28" s="141">
        <f t="shared" si="6"/>
        <v>167.93841</v>
      </c>
      <c r="G28" s="141">
        <f t="shared" si="6"/>
        <v>167.93841</v>
      </c>
    </row>
    <row r="29" spans="1:7" s="495" customFormat="1" ht="24" customHeight="1">
      <c r="A29" s="578"/>
      <c r="B29" s="579" t="s">
        <v>2150</v>
      </c>
      <c r="C29" s="580"/>
      <c r="D29" s="670">
        <v>36.402151859524658</v>
      </c>
      <c r="E29" s="670"/>
      <c r="F29" s="580" t="s">
        <v>128</v>
      </c>
      <c r="G29" s="580" t="s">
        <v>128</v>
      </c>
    </row>
    <row r="30" spans="1:7" s="495" customFormat="1" ht="24" customHeight="1">
      <c r="A30" s="578"/>
      <c r="B30" s="579" t="s">
        <v>2151</v>
      </c>
      <c r="C30" s="580"/>
      <c r="D30" s="670"/>
      <c r="E30" s="670">
        <v>18.201075929762329</v>
      </c>
      <c r="F30" s="580" t="s">
        <v>128</v>
      </c>
      <c r="G30" s="580" t="s">
        <v>128</v>
      </c>
    </row>
    <row r="31" spans="1:7" s="495" customFormat="1" ht="24" customHeight="1">
      <c r="A31" s="577" t="s">
        <v>2152</v>
      </c>
      <c r="B31" s="119" t="s">
        <v>302</v>
      </c>
      <c r="C31" s="141">
        <v>1168.01</v>
      </c>
      <c r="D31" s="141">
        <f>D$8*$C31</f>
        <v>235.1306299195524</v>
      </c>
      <c r="E31" s="141">
        <f t="shared" ref="E31:G31" si="7">E$8*$C31</f>
        <v>122.19890703031845</v>
      </c>
      <c r="F31" s="141">
        <f t="shared" si="7"/>
        <v>360.91509000000002</v>
      </c>
      <c r="G31" s="141">
        <f t="shared" si="7"/>
        <v>360.91509000000002</v>
      </c>
    </row>
    <row r="32" spans="1:7" ht="22" customHeight="1">
      <c r="A32" s="578"/>
      <c r="B32" s="635" t="s">
        <v>2153</v>
      </c>
      <c r="C32" s="580"/>
      <c r="D32" s="670">
        <v>37.300222202055693</v>
      </c>
      <c r="E32" s="670"/>
      <c r="F32" s="580" t="s">
        <v>128</v>
      </c>
      <c r="G32" s="580" t="s">
        <v>128</v>
      </c>
    </row>
    <row r="33" spans="1:7" ht="23" customHeight="1">
      <c r="A33" s="578"/>
      <c r="B33" s="635" t="s">
        <v>2154</v>
      </c>
      <c r="C33" s="580"/>
      <c r="D33" s="670"/>
      <c r="E33" s="670">
        <v>18.650111101027846</v>
      </c>
      <c r="F33" s="580" t="s">
        <v>128</v>
      </c>
      <c r="G33" s="580" t="s">
        <v>128</v>
      </c>
    </row>
    <row r="34" spans="1:7" ht="22" customHeight="1">
      <c r="A34" s="138" t="s">
        <v>2155</v>
      </c>
      <c r="B34" s="118" t="s">
        <v>401</v>
      </c>
      <c r="C34" s="141">
        <v>5838.66</v>
      </c>
      <c r="D34" s="141">
        <f t="shared" ref="D34:G34" si="8">D$8*$C34</f>
        <v>1175.3733304390321</v>
      </c>
      <c r="E34" s="141">
        <f t="shared" si="8"/>
        <v>610.84911132750506</v>
      </c>
      <c r="F34" s="141">
        <f t="shared" si="8"/>
        <v>1804.1459399999999</v>
      </c>
      <c r="G34" s="141">
        <f t="shared" si="8"/>
        <v>1804.1459399999999</v>
      </c>
    </row>
    <row r="35" spans="1:7" ht="22" customHeight="1">
      <c r="A35" s="139"/>
      <c r="B35" s="579" t="s">
        <v>2156</v>
      </c>
      <c r="C35" s="580"/>
      <c r="D35" s="670">
        <v>209.07132670462425</v>
      </c>
      <c r="E35" s="670"/>
      <c r="F35" s="580" t="s">
        <v>128</v>
      </c>
      <c r="G35" s="580" t="s">
        <v>128</v>
      </c>
    </row>
    <row r="36" spans="1:7" ht="22" customHeight="1">
      <c r="A36" s="139"/>
      <c r="B36" s="579" t="s">
        <v>2157</v>
      </c>
      <c r="C36" s="580"/>
      <c r="D36" s="670"/>
      <c r="E36" s="670">
        <v>104.53566335231213</v>
      </c>
      <c r="F36" s="580" t="s">
        <v>128</v>
      </c>
      <c r="G36" s="580" t="s">
        <v>128</v>
      </c>
    </row>
    <row r="37" spans="1:7" ht="22" customHeight="1">
      <c r="A37" s="138" t="s">
        <v>2158</v>
      </c>
      <c r="B37" s="120" t="s">
        <v>2159</v>
      </c>
      <c r="C37" s="141">
        <v>472.87</v>
      </c>
      <c r="D37" s="140">
        <f t="shared" ref="D37:G37" si="9">D$8*$C37</f>
        <v>95.192867329953287</v>
      </c>
      <c r="E37" s="140">
        <f t="shared" si="9"/>
        <v>49.472347982831216</v>
      </c>
      <c r="F37" s="141">
        <f t="shared" si="9"/>
        <v>146.11682999999999</v>
      </c>
      <c r="G37" s="141">
        <f t="shared" si="9"/>
        <v>146.11682999999999</v>
      </c>
    </row>
    <row r="38" spans="1:7" ht="22" customHeight="1">
      <c r="A38" s="139"/>
      <c r="B38" s="579" t="s">
        <v>2160</v>
      </c>
      <c r="C38" s="580"/>
      <c r="D38" s="580">
        <v>25.792281847290429</v>
      </c>
      <c r="E38" s="580"/>
      <c r="F38" s="580" t="s">
        <v>128</v>
      </c>
      <c r="G38" s="580" t="s">
        <v>128</v>
      </c>
    </row>
    <row r="39" spans="1:7" ht="20" customHeight="1">
      <c r="A39" s="139"/>
      <c r="B39" s="579" t="s">
        <v>2161</v>
      </c>
      <c r="C39" s="580"/>
      <c r="D39" s="580"/>
      <c r="E39" s="580">
        <v>13.346011855671549</v>
      </c>
      <c r="F39" s="580" t="s">
        <v>128</v>
      </c>
      <c r="G39" s="580" t="s">
        <v>128</v>
      </c>
    </row>
    <row r="40" spans="1:7">
      <c r="A40" s="138" t="s">
        <v>2162</v>
      </c>
      <c r="B40" s="119" t="s">
        <v>336</v>
      </c>
      <c r="C40" s="141">
        <v>1747.41</v>
      </c>
      <c r="D40" s="141">
        <f t="shared" ref="D40:G40" si="10">D$8*$C40</f>
        <v>351.76891809806858</v>
      </c>
      <c r="E40" s="141">
        <f t="shared" si="10"/>
        <v>182.81657873977858</v>
      </c>
      <c r="F40" s="141">
        <f t="shared" si="10"/>
        <v>539.94969000000003</v>
      </c>
      <c r="G40" s="141">
        <f t="shared" si="10"/>
        <v>539.94969000000003</v>
      </c>
    </row>
    <row r="41" spans="1:7">
      <c r="A41" s="142"/>
      <c r="B41" s="579" t="s">
        <v>2163</v>
      </c>
      <c r="C41" s="580"/>
      <c r="D41" s="580">
        <v>89.757447547073753</v>
      </c>
      <c r="E41" s="580"/>
      <c r="F41" s="580" t="s">
        <v>128</v>
      </c>
      <c r="G41" s="580" t="s">
        <v>128</v>
      </c>
    </row>
    <row r="42" spans="1:7">
      <c r="A42" s="142"/>
      <c r="B42" s="579" t="s">
        <v>2164</v>
      </c>
      <c r="C42" s="580"/>
      <c r="D42" s="580"/>
      <c r="E42" s="580">
        <v>44.878723773536876</v>
      </c>
      <c r="F42" s="580" t="s">
        <v>128</v>
      </c>
      <c r="G42" s="580" t="s">
        <v>128</v>
      </c>
    </row>
    <row r="44" spans="1:7">
      <c r="A44" s="496" t="s">
        <v>2165</v>
      </c>
      <c r="B44" s="497"/>
      <c r="C44" s="497"/>
    </row>
    <row r="45" spans="1:7" ht="16" thickBot="1">
      <c r="A45" s="497"/>
      <c r="B45" s="497"/>
      <c r="C45" s="497"/>
    </row>
    <row r="46" spans="1:7" ht="16.5" thickTop="1" thickBot="1">
      <c r="A46" s="498" t="s">
        <v>2166</v>
      </c>
      <c r="B46" s="499"/>
      <c r="C46" s="500" t="s">
        <v>2167</v>
      </c>
    </row>
    <row r="47" spans="1:7" ht="16.5" thickTop="1" thickBot="1">
      <c r="A47" s="836" t="s">
        <v>2168</v>
      </c>
      <c r="B47" s="837"/>
      <c r="C47" s="501">
        <v>4.95</v>
      </c>
      <c r="D47" s="137"/>
      <c r="E47" s="137"/>
      <c r="F47" s="137"/>
      <c r="G47" s="137"/>
    </row>
    <row r="48" spans="1:7" ht="16" thickTop="1"/>
  </sheetData>
  <mergeCells count="5">
    <mergeCell ref="A47:B47"/>
    <mergeCell ref="D7:E7"/>
    <mergeCell ref="F7:G7"/>
    <mergeCell ref="A4:G4"/>
    <mergeCell ref="C2:E2"/>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codeName="Feuil7">
    <tabColor rgb="FF4F81BD"/>
  </sheetPr>
  <dimension ref="A1:Z83"/>
  <sheetViews>
    <sheetView zoomScale="110" zoomScaleNormal="110" workbookViewId="0"/>
  </sheetViews>
  <sheetFormatPr baseColWidth="10" defaultColWidth="11.453125" defaultRowHeight="12.5"/>
  <cols>
    <col min="1" max="1" width="29" style="102" customWidth="1"/>
    <col min="2" max="2" width="156" style="102" bestFit="1" customWidth="1"/>
    <col min="3" max="3" width="10.7265625" style="102"/>
    <col min="4" max="4" width="13.54296875" style="102" customWidth="1"/>
    <col min="5" max="5" width="24.1796875" style="102" customWidth="1"/>
    <col min="6" max="9" width="10.7265625" style="102"/>
    <col min="10" max="10" width="7.453125" style="102" customWidth="1"/>
    <col min="11" max="11" width="33.26953125" style="102" bestFit="1" customWidth="1"/>
    <col min="12" max="13" width="10.7265625" style="102"/>
    <col min="14" max="14" width="29" style="102" customWidth="1"/>
    <col min="15" max="15" width="156" style="102" bestFit="1" customWidth="1"/>
    <col min="16" max="16" width="11.453125" style="102"/>
    <col min="17" max="17" width="13.54296875" style="102" customWidth="1"/>
    <col min="18" max="18" width="24.1796875" style="102" customWidth="1"/>
    <col min="19" max="22" width="11.453125" style="102"/>
    <col min="23" max="23" width="7.453125" style="102" customWidth="1"/>
    <col min="24" max="24" width="33.26953125" style="102" bestFit="1" customWidth="1"/>
    <col min="25" max="26" width="11.453125" style="102"/>
  </cols>
  <sheetData>
    <row r="1" spans="1:26" ht="24" customHeight="1">
      <c r="A1" s="554" t="s">
        <v>106</v>
      </c>
      <c r="B1" s="555"/>
      <c r="C1" s="114"/>
      <c r="D1" s="113"/>
      <c r="E1" s="112"/>
      <c r="F1" s="106"/>
      <c r="G1" s="107"/>
      <c r="H1" s="106"/>
      <c r="I1" s="105"/>
      <c r="J1" s="104"/>
      <c r="K1" s="105"/>
      <c r="L1" s="122"/>
      <c r="M1" s="565"/>
      <c r="N1" s="554" t="s">
        <v>106</v>
      </c>
      <c r="O1" s="555"/>
      <c r="P1" s="114"/>
      <c r="Q1" s="113"/>
      <c r="R1" s="112"/>
      <c r="S1" s="106"/>
      <c r="T1" s="107"/>
      <c r="U1" s="106"/>
      <c r="V1" s="105"/>
      <c r="W1" s="104"/>
      <c r="X1" s="105"/>
      <c r="Y1" s="122"/>
      <c r="Z1" s="624"/>
    </row>
    <row r="2" spans="1:26" ht="18.5">
      <c r="A2" s="556"/>
      <c r="B2" s="162" t="s">
        <v>2127</v>
      </c>
      <c r="C2" s="159"/>
      <c r="D2" s="158"/>
      <c r="E2" s="157"/>
      <c r="F2" s="155"/>
      <c r="G2" s="156"/>
      <c r="H2" s="155"/>
      <c r="I2" s="170"/>
      <c r="J2" s="169"/>
      <c r="K2" s="105"/>
      <c r="L2" s="105"/>
      <c r="M2" s="566"/>
      <c r="N2" s="556"/>
      <c r="O2" s="162" t="s">
        <v>2127</v>
      </c>
      <c r="P2" s="159"/>
      <c r="Q2" s="158"/>
      <c r="R2" s="157"/>
      <c r="S2" s="155"/>
      <c r="T2" s="156"/>
      <c r="U2" s="155"/>
      <c r="V2" s="170"/>
      <c r="W2" s="169"/>
      <c r="X2" s="105"/>
      <c r="Y2" s="105"/>
      <c r="Z2" s="625"/>
    </row>
    <row r="3" spans="1:26" ht="31" customHeight="1">
      <c r="A3" s="832" t="s">
        <v>3051</v>
      </c>
      <c r="B3" s="830"/>
      <c r="C3" s="830"/>
      <c r="D3" s="830"/>
      <c r="E3" s="830"/>
      <c r="F3" s="830"/>
      <c r="G3" s="830"/>
      <c r="H3" s="830"/>
      <c r="I3" s="830"/>
      <c r="J3" s="830"/>
      <c r="K3" s="513"/>
      <c r="L3" s="506"/>
      <c r="M3" s="515"/>
      <c r="N3" s="832" t="s">
        <v>2959</v>
      </c>
      <c r="O3" s="830"/>
      <c r="P3" s="830"/>
      <c r="Q3" s="830"/>
      <c r="R3" s="830"/>
      <c r="S3" s="830"/>
      <c r="T3" s="830"/>
      <c r="U3" s="830"/>
      <c r="V3" s="830"/>
      <c r="W3" s="830"/>
      <c r="X3" s="513"/>
      <c r="Y3" s="506"/>
      <c r="Z3" s="596"/>
    </row>
    <row r="4" spans="1:26" ht="65">
      <c r="A4" s="557" t="s">
        <v>109</v>
      </c>
      <c r="B4" s="257" t="s">
        <v>2169</v>
      </c>
      <c r="C4" s="258" t="s">
        <v>111</v>
      </c>
      <c r="D4" s="259" t="s">
        <v>112</v>
      </c>
      <c r="E4" s="259" t="s">
        <v>2170</v>
      </c>
      <c r="F4" s="260" t="s">
        <v>113</v>
      </c>
      <c r="G4" s="261" t="s">
        <v>114</v>
      </c>
      <c r="H4" s="260" t="s">
        <v>115</v>
      </c>
      <c r="I4" s="262" t="s">
        <v>119</v>
      </c>
      <c r="J4" s="263" t="s">
        <v>120</v>
      </c>
      <c r="K4" s="514" t="s">
        <v>121</v>
      </c>
      <c r="L4" s="507" t="s">
        <v>122</v>
      </c>
      <c r="M4" s="516" t="s">
        <v>123</v>
      </c>
      <c r="N4" s="557" t="s">
        <v>109</v>
      </c>
      <c r="O4" s="257" t="s">
        <v>2171</v>
      </c>
      <c r="P4" s="258" t="s">
        <v>111</v>
      </c>
      <c r="Q4" s="259" t="s">
        <v>112</v>
      </c>
      <c r="R4" s="259" t="s">
        <v>2170</v>
      </c>
      <c r="S4" s="260" t="s">
        <v>113</v>
      </c>
      <c r="T4" s="261" t="s">
        <v>114</v>
      </c>
      <c r="U4" s="260" t="s">
        <v>115</v>
      </c>
      <c r="V4" s="262" t="s">
        <v>119</v>
      </c>
      <c r="W4" s="263" t="s">
        <v>120</v>
      </c>
      <c r="X4" s="514" t="s">
        <v>2172</v>
      </c>
      <c r="Y4" s="507" t="s">
        <v>122</v>
      </c>
      <c r="Z4" s="597" t="s">
        <v>123</v>
      </c>
    </row>
    <row r="5" spans="1:26" s="161" customFormat="1" ht="17" customHeight="1">
      <c r="A5" s="558" t="s">
        <v>2173</v>
      </c>
      <c r="B5" s="264" t="s">
        <v>2174</v>
      </c>
      <c r="C5" s="265">
        <v>1</v>
      </c>
      <c r="D5" s="266" t="s">
        <v>134</v>
      </c>
      <c r="E5" s="267" t="s">
        <v>2173</v>
      </c>
      <c r="F5" s="267" t="s">
        <v>128</v>
      </c>
      <c r="G5" s="268">
        <v>0</v>
      </c>
      <c r="H5" s="256" t="s">
        <v>1931</v>
      </c>
      <c r="I5" s="255"/>
      <c r="J5" s="254"/>
      <c r="K5" s="255"/>
      <c r="L5" s="255"/>
      <c r="M5" s="567"/>
      <c r="N5" s="558" t="s">
        <v>2173</v>
      </c>
      <c r="O5" s="264" t="s">
        <v>2174</v>
      </c>
      <c r="P5" s="265">
        <v>1</v>
      </c>
      <c r="Q5" s="266" t="s">
        <v>134</v>
      </c>
      <c r="R5" s="267" t="s">
        <v>2173</v>
      </c>
      <c r="S5" s="267" t="s">
        <v>128</v>
      </c>
      <c r="T5" s="268">
        <v>0</v>
      </c>
      <c r="U5" s="256" t="s">
        <v>1931</v>
      </c>
      <c r="V5" s="255"/>
      <c r="W5" s="254"/>
      <c r="X5" s="255"/>
      <c r="Y5" s="255"/>
      <c r="Z5" s="626"/>
    </row>
    <row r="6" spans="1:26" ht="56" customHeight="1">
      <c r="A6" s="559" t="s">
        <v>2175</v>
      </c>
      <c r="B6" s="103"/>
      <c r="C6" s="125"/>
      <c r="D6" s="126"/>
      <c r="E6" s="106"/>
      <c r="F6" s="106"/>
      <c r="G6" s="107"/>
      <c r="H6" s="126"/>
      <c r="I6" s="160"/>
      <c r="J6" s="150"/>
      <c r="K6" s="144"/>
      <c r="L6" s="145" t="s">
        <v>1933</v>
      </c>
      <c r="M6" s="182" t="s">
        <v>1934</v>
      </c>
      <c r="N6" s="559" t="s">
        <v>2175</v>
      </c>
      <c r="O6" s="103"/>
      <c r="P6" s="125"/>
      <c r="Q6" s="126"/>
      <c r="R6" s="106"/>
      <c r="S6" s="106"/>
      <c r="T6" s="107"/>
      <c r="U6" s="126"/>
      <c r="V6" s="160"/>
      <c r="W6" s="150"/>
      <c r="X6" s="144"/>
      <c r="Y6" s="145" t="s">
        <v>1933</v>
      </c>
      <c r="Z6" s="627" t="s">
        <v>1934</v>
      </c>
    </row>
    <row r="7" spans="1:26" ht="13">
      <c r="A7" s="560" t="s">
        <v>1941</v>
      </c>
      <c r="B7" s="124" t="s">
        <v>1942</v>
      </c>
      <c r="C7" s="125">
        <v>1</v>
      </c>
      <c r="D7" s="143" t="s">
        <v>134</v>
      </c>
      <c r="E7" s="127" t="s">
        <v>1941</v>
      </c>
      <c r="F7" s="126">
        <v>5</v>
      </c>
      <c r="G7" s="107"/>
      <c r="H7" s="126">
        <f t="shared" ref="H7:H20" si="0">F7-(F7*G7)</f>
        <v>5</v>
      </c>
      <c r="I7" s="160"/>
      <c r="J7" s="150"/>
      <c r="K7" s="144" t="s">
        <v>1932</v>
      </c>
      <c r="L7" s="145" t="s">
        <v>1933</v>
      </c>
      <c r="M7" s="182" t="s">
        <v>1934</v>
      </c>
      <c r="N7" s="560" t="s">
        <v>1941</v>
      </c>
      <c r="O7" s="124" t="s">
        <v>1942</v>
      </c>
      <c r="P7" s="125">
        <v>1</v>
      </c>
      <c r="Q7" s="143" t="s">
        <v>134</v>
      </c>
      <c r="R7" s="127" t="s">
        <v>1941</v>
      </c>
      <c r="S7" s="126">
        <v>5</v>
      </c>
      <c r="T7" s="107"/>
      <c r="U7" s="126">
        <v>5</v>
      </c>
      <c r="V7" s="160"/>
      <c r="W7" s="150"/>
      <c r="X7" s="144" t="s">
        <v>1932</v>
      </c>
      <c r="Y7" s="145" t="s">
        <v>1933</v>
      </c>
      <c r="Z7" s="627" t="s">
        <v>1934</v>
      </c>
    </row>
    <row r="8" spans="1:26" ht="13">
      <c r="A8" s="560" t="s">
        <v>1943</v>
      </c>
      <c r="B8" s="124" t="s">
        <v>1944</v>
      </c>
      <c r="C8" s="125">
        <v>1</v>
      </c>
      <c r="D8" s="143" t="s">
        <v>134</v>
      </c>
      <c r="E8" s="127" t="s">
        <v>1943</v>
      </c>
      <c r="F8" s="126">
        <v>8</v>
      </c>
      <c r="G8" s="107"/>
      <c r="H8" s="126">
        <f t="shared" si="0"/>
        <v>8</v>
      </c>
      <c r="I8" s="160"/>
      <c r="J8" s="150"/>
      <c r="K8" s="144" t="s">
        <v>1932</v>
      </c>
      <c r="L8" s="145" t="s">
        <v>1933</v>
      </c>
      <c r="M8" s="182" t="s">
        <v>1934</v>
      </c>
      <c r="N8" s="560" t="s">
        <v>1943</v>
      </c>
      <c r="O8" s="124" t="s">
        <v>1944</v>
      </c>
      <c r="P8" s="125">
        <v>1</v>
      </c>
      <c r="Q8" s="143" t="s">
        <v>134</v>
      </c>
      <c r="R8" s="127" t="s">
        <v>1943</v>
      </c>
      <c r="S8" s="126">
        <v>8</v>
      </c>
      <c r="T8" s="107"/>
      <c r="U8" s="126">
        <v>8</v>
      </c>
      <c r="V8" s="160"/>
      <c r="W8" s="150"/>
      <c r="X8" s="144" t="s">
        <v>1932</v>
      </c>
      <c r="Y8" s="145" t="s">
        <v>1933</v>
      </c>
      <c r="Z8" s="627" t="s">
        <v>1934</v>
      </c>
    </row>
    <row r="9" spans="1:26" ht="13">
      <c r="A9" s="560" t="s">
        <v>1945</v>
      </c>
      <c r="B9" s="124" t="s">
        <v>1946</v>
      </c>
      <c r="C9" s="125">
        <v>1</v>
      </c>
      <c r="D9" s="126" t="s">
        <v>134</v>
      </c>
      <c r="E9" s="152" t="s">
        <v>1945</v>
      </c>
      <c r="F9" s="126">
        <v>8</v>
      </c>
      <c r="G9" s="107"/>
      <c r="H9" s="126">
        <f t="shared" si="0"/>
        <v>8</v>
      </c>
      <c r="I9" s="160"/>
      <c r="J9" s="150"/>
      <c r="K9" s="144" t="s">
        <v>1932</v>
      </c>
      <c r="L9" s="145" t="s">
        <v>1933</v>
      </c>
      <c r="M9" s="182" t="s">
        <v>1934</v>
      </c>
      <c r="N9" s="560" t="s">
        <v>1945</v>
      </c>
      <c r="O9" s="124" t="s">
        <v>1946</v>
      </c>
      <c r="P9" s="125">
        <v>1</v>
      </c>
      <c r="Q9" s="126" t="s">
        <v>134</v>
      </c>
      <c r="R9" s="152" t="s">
        <v>1945</v>
      </c>
      <c r="S9" s="126">
        <v>8</v>
      </c>
      <c r="T9" s="107"/>
      <c r="U9" s="126">
        <v>8</v>
      </c>
      <c r="V9" s="160"/>
      <c r="W9" s="150"/>
      <c r="X9" s="144" t="s">
        <v>1932</v>
      </c>
      <c r="Y9" s="145" t="s">
        <v>1933</v>
      </c>
      <c r="Z9" s="627" t="s">
        <v>1934</v>
      </c>
    </row>
    <row r="10" spans="1:26" ht="13">
      <c r="A10" s="560" t="s">
        <v>1947</v>
      </c>
      <c r="B10" s="124" t="s">
        <v>1948</v>
      </c>
      <c r="C10" s="125">
        <v>1</v>
      </c>
      <c r="D10" s="126" t="s">
        <v>134</v>
      </c>
      <c r="E10" s="152" t="s">
        <v>1947</v>
      </c>
      <c r="F10" s="126">
        <v>8</v>
      </c>
      <c r="G10" s="107"/>
      <c r="H10" s="126">
        <f t="shared" si="0"/>
        <v>8</v>
      </c>
      <c r="I10" s="160"/>
      <c r="J10" s="150"/>
      <c r="K10" s="144" t="s">
        <v>1932</v>
      </c>
      <c r="L10" s="145" t="s">
        <v>1933</v>
      </c>
      <c r="M10" s="182" t="s">
        <v>1934</v>
      </c>
      <c r="N10" s="560" t="s">
        <v>1947</v>
      </c>
      <c r="O10" s="124" t="s">
        <v>1948</v>
      </c>
      <c r="P10" s="125">
        <v>1</v>
      </c>
      <c r="Q10" s="126" t="s">
        <v>134</v>
      </c>
      <c r="R10" s="152" t="s">
        <v>1947</v>
      </c>
      <c r="S10" s="126">
        <v>8</v>
      </c>
      <c r="T10" s="107"/>
      <c r="U10" s="126">
        <v>8</v>
      </c>
      <c r="V10" s="160"/>
      <c r="W10" s="150"/>
      <c r="X10" s="144" t="s">
        <v>1932</v>
      </c>
      <c r="Y10" s="145" t="s">
        <v>1933</v>
      </c>
      <c r="Z10" s="627" t="s">
        <v>1934</v>
      </c>
    </row>
    <row r="11" spans="1:26" ht="13">
      <c r="A11" s="560" t="s">
        <v>1949</v>
      </c>
      <c r="B11" s="124" t="s">
        <v>1950</v>
      </c>
      <c r="C11" s="125">
        <v>1</v>
      </c>
      <c r="D11" s="126" t="s">
        <v>134</v>
      </c>
      <c r="E11" s="152" t="s">
        <v>1949</v>
      </c>
      <c r="F11" s="126">
        <v>15</v>
      </c>
      <c r="G11" s="107"/>
      <c r="H11" s="126">
        <f t="shared" si="0"/>
        <v>15</v>
      </c>
      <c r="I11" s="160"/>
      <c r="J11" s="150"/>
      <c r="K11" s="144" t="s">
        <v>1932</v>
      </c>
      <c r="L11" s="145" t="s">
        <v>1933</v>
      </c>
      <c r="M11" s="182" t="s">
        <v>1934</v>
      </c>
      <c r="N11" s="560" t="s">
        <v>1949</v>
      </c>
      <c r="O11" s="124" t="s">
        <v>1950</v>
      </c>
      <c r="P11" s="125">
        <v>1</v>
      </c>
      <c r="Q11" s="126" t="s">
        <v>134</v>
      </c>
      <c r="R11" s="152" t="s">
        <v>1949</v>
      </c>
      <c r="S11" s="126">
        <v>15</v>
      </c>
      <c r="T11" s="107"/>
      <c r="U11" s="126">
        <v>15</v>
      </c>
      <c r="V11" s="160"/>
      <c r="W11" s="150"/>
      <c r="X11" s="144" t="s">
        <v>1932</v>
      </c>
      <c r="Y11" s="145" t="s">
        <v>1933</v>
      </c>
      <c r="Z11" s="627" t="s">
        <v>1934</v>
      </c>
    </row>
    <row r="12" spans="1:26" ht="13">
      <c r="A12" s="560" t="s">
        <v>1951</v>
      </c>
      <c r="B12" s="124" t="s">
        <v>1952</v>
      </c>
      <c r="C12" s="125">
        <v>1</v>
      </c>
      <c r="D12" s="126" t="s">
        <v>134</v>
      </c>
      <c r="E12" s="152" t="s">
        <v>1951</v>
      </c>
      <c r="F12" s="126">
        <v>5</v>
      </c>
      <c r="G12" s="107"/>
      <c r="H12" s="126">
        <f t="shared" si="0"/>
        <v>5</v>
      </c>
      <c r="I12" s="160"/>
      <c r="J12" s="150"/>
      <c r="K12" s="144" t="s">
        <v>1932</v>
      </c>
      <c r="L12" s="145" t="s">
        <v>1933</v>
      </c>
      <c r="M12" s="182" t="s">
        <v>1934</v>
      </c>
      <c r="N12" s="560" t="s">
        <v>1951</v>
      </c>
      <c r="O12" s="124" t="s">
        <v>1952</v>
      </c>
      <c r="P12" s="125">
        <v>1</v>
      </c>
      <c r="Q12" s="126" t="s">
        <v>134</v>
      </c>
      <c r="R12" s="152" t="s">
        <v>1951</v>
      </c>
      <c r="S12" s="126">
        <v>5</v>
      </c>
      <c r="T12" s="107"/>
      <c r="U12" s="126">
        <v>5</v>
      </c>
      <c r="V12" s="160"/>
      <c r="W12" s="150"/>
      <c r="X12" s="144" t="s">
        <v>1932</v>
      </c>
      <c r="Y12" s="145" t="s">
        <v>1933</v>
      </c>
      <c r="Z12" s="627" t="s">
        <v>1934</v>
      </c>
    </row>
    <row r="13" spans="1:26" ht="13">
      <c r="A13" s="561" t="s">
        <v>1953</v>
      </c>
      <c r="B13" s="124" t="s">
        <v>1954</v>
      </c>
      <c r="C13" s="125">
        <v>1</v>
      </c>
      <c r="D13" s="126" t="s">
        <v>1955</v>
      </c>
      <c r="E13" s="152" t="s">
        <v>1953</v>
      </c>
      <c r="F13" s="126">
        <v>16</v>
      </c>
      <c r="G13" s="107"/>
      <c r="H13" s="126">
        <f t="shared" si="0"/>
        <v>16</v>
      </c>
      <c r="I13" s="160"/>
      <c r="J13" s="150"/>
      <c r="K13" s="144" t="s">
        <v>1932</v>
      </c>
      <c r="L13" s="145" t="s">
        <v>1933</v>
      </c>
      <c r="M13" s="182" t="s">
        <v>1934</v>
      </c>
      <c r="N13" s="561" t="s">
        <v>1953</v>
      </c>
      <c r="O13" s="124" t="s">
        <v>1954</v>
      </c>
      <c r="P13" s="125">
        <v>1</v>
      </c>
      <c r="Q13" s="126" t="s">
        <v>1955</v>
      </c>
      <c r="R13" s="152" t="s">
        <v>1953</v>
      </c>
      <c r="S13" s="126">
        <v>16</v>
      </c>
      <c r="T13" s="107"/>
      <c r="U13" s="126">
        <v>16</v>
      </c>
      <c r="V13" s="160"/>
      <c r="W13" s="150"/>
      <c r="X13" s="144" t="s">
        <v>1932</v>
      </c>
      <c r="Y13" s="145" t="s">
        <v>1933</v>
      </c>
      <c r="Z13" s="627" t="s">
        <v>1934</v>
      </c>
    </row>
    <row r="14" spans="1:26" ht="13">
      <c r="A14" s="560" t="s">
        <v>2176</v>
      </c>
      <c r="B14" s="124" t="s">
        <v>2177</v>
      </c>
      <c r="C14" s="125">
        <v>1</v>
      </c>
      <c r="D14" s="126" t="s">
        <v>2178</v>
      </c>
      <c r="E14" s="152" t="s">
        <v>2176</v>
      </c>
      <c r="F14" s="126">
        <v>125</v>
      </c>
      <c r="G14" s="107"/>
      <c r="H14" s="126">
        <f t="shared" si="0"/>
        <v>125</v>
      </c>
      <c r="I14" s="160"/>
      <c r="J14" s="150"/>
      <c r="K14" s="144" t="s">
        <v>1932</v>
      </c>
      <c r="L14" s="145" t="s">
        <v>1933</v>
      </c>
      <c r="M14" s="182" t="s">
        <v>1934</v>
      </c>
      <c r="N14" s="560" t="s">
        <v>2176</v>
      </c>
      <c r="O14" s="124" t="s">
        <v>2177</v>
      </c>
      <c r="P14" s="125">
        <v>1</v>
      </c>
      <c r="Q14" s="126" t="s">
        <v>2178</v>
      </c>
      <c r="R14" s="152" t="s">
        <v>2176</v>
      </c>
      <c r="S14" s="126">
        <v>125</v>
      </c>
      <c r="T14" s="107"/>
      <c r="U14" s="126">
        <v>125</v>
      </c>
      <c r="V14" s="160"/>
      <c r="W14" s="150"/>
      <c r="X14" s="144" t="s">
        <v>1932</v>
      </c>
      <c r="Y14" s="145" t="s">
        <v>1933</v>
      </c>
      <c r="Z14" s="627" t="s">
        <v>1934</v>
      </c>
    </row>
    <row r="15" spans="1:26" ht="13">
      <c r="A15" s="560" t="s">
        <v>2179</v>
      </c>
      <c r="B15" s="124" t="s">
        <v>2180</v>
      </c>
      <c r="C15" s="125">
        <v>1</v>
      </c>
      <c r="D15" s="126" t="s">
        <v>2178</v>
      </c>
      <c r="E15" s="152" t="s">
        <v>2179</v>
      </c>
      <c r="F15" s="126">
        <v>265</v>
      </c>
      <c r="G15" s="107"/>
      <c r="H15" s="126">
        <f t="shared" si="0"/>
        <v>265</v>
      </c>
      <c r="I15" s="160"/>
      <c r="J15" s="150"/>
      <c r="K15" s="144" t="s">
        <v>1932</v>
      </c>
      <c r="L15" s="145" t="s">
        <v>1933</v>
      </c>
      <c r="M15" s="182" t="s">
        <v>1934</v>
      </c>
      <c r="N15" s="560" t="s">
        <v>2179</v>
      </c>
      <c r="O15" s="124" t="s">
        <v>2180</v>
      </c>
      <c r="P15" s="125">
        <v>1</v>
      </c>
      <c r="Q15" s="126" t="s">
        <v>2178</v>
      </c>
      <c r="R15" s="152" t="s">
        <v>2179</v>
      </c>
      <c r="S15" s="126">
        <v>265</v>
      </c>
      <c r="T15" s="107"/>
      <c r="U15" s="126">
        <v>265</v>
      </c>
      <c r="V15" s="160"/>
      <c r="W15" s="150"/>
      <c r="X15" s="144" t="s">
        <v>1932</v>
      </c>
      <c r="Y15" s="145" t="s">
        <v>1933</v>
      </c>
      <c r="Z15" s="627" t="s">
        <v>1934</v>
      </c>
    </row>
    <row r="16" spans="1:26" ht="13">
      <c r="A16" s="560" t="s">
        <v>2181</v>
      </c>
      <c r="B16" s="124" t="s">
        <v>2182</v>
      </c>
      <c r="C16" s="125">
        <v>1</v>
      </c>
      <c r="D16" s="126" t="s">
        <v>2178</v>
      </c>
      <c r="E16" s="152" t="s">
        <v>2181</v>
      </c>
      <c r="F16" s="126">
        <v>565</v>
      </c>
      <c r="G16" s="107"/>
      <c r="H16" s="126">
        <f t="shared" si="0"/>
        <v>565</v>
      </c>
      <c r="I16" s="160"/>
      <c r="J16" s="150"/>
      <c r="K16" s="144" t="s">
        <v>1932</v>
      </c>
      <c r="L16" s="145" t="s">
        <v>1933</v>
      </c>
      <c r="M16" s="182" t="s">
        <v>1934</v>
      </c>
      <c r="N16" s="560" t="s">
        <v>2181</v>
      </c>
      <c r="O16" s="124" t="s">
        <v>2182</v>
      </c>
      <c r="P16" s="125">
        <v>1</v>
      </c>
      <c r="Q16" s="126" t="s">
        <v>2178</v>
      </c>
      <c r="R16" s="152" t="s">
        <v>2181</v>
      </c>
      <c r="S16" s="126">
        <v>565</v>
      </c>
      <c r="T16" s="107"/>
      <c r="U16" s="126">
        <v>565</v>
      </c>
      <c r="V16" s="160"/>
      <c r="W16" s="150"/>
      <c r="X16" s="144" t="s">
        <v>1932</v>
      </c>
      <c r="Y16" s="145" t="s">
        <v>1933</v>
      </c>
      <c r="Z16" s="627" t="s">
        <v>1934</v>
      </c>
    </row>
    <row r="17" spans="1:26" ht="13">
      <c r="A17" s="560" t="s">
        <v>2183</v>
      </c>
      <c r="B17" s="124" t="s">
        <v>2184</v>
      </c>
      <c r="C17" s="125">
        <v>1</v>
      </c>
      <c r="D17" s="126" t="s">
        <v>2178</v>
      </c>
      <c r="E17" s="152" t="s">
        <v>2185</v>
      </c>
      <c r="F17" s="126">
        <v>655</v>
      </c>
      <c r="G17" s="107"/>
      <c r="H17" s="126">
        <f t="shared" si="0"/>
        <v>655</v>
      </c>
      <c r="I17" s="160"/>
      <c r="J17" s="150"/>
      <c r="K17" s="144" t="s">
        <v>1932</v>
      </c>
      <c r="L17" s="145" t="s">
        <v>1933</v>
      </c>
      <c r="M17" s="182" t="s">
        <v>1934</v>
      </c>
      <c r="N17" s="560" t="s">
        <v>2183</v>
      </c>
      <c r="O17" s="124" t="s">
        <v>2184</v>
      </c>
      <c r="P17" s="125">
        <v>1</v>
      </c>
      <c r="Q17" s="126" t="s">
        <v>2178</v>
      </c>
      <c r="R17" s="152" t="s">
        <v>2185</v>
      </c>
      <c r="S17" s="126">
        <v>655</v>
      </c>
      <c r="T17" s="107"/>
      <c r="U17" s="126">
        <v>655</v>
      </c>
      <c r="V17" s="160"/>
      <c r="W17" s="150"/>
      <c r="X17" s="144" t="s">
        <v>1932</v>
      </c>
      <c r="Y17" s="145" t="s">
        <v>1933</v>
      </c>
      <c r="Z17" s="627" t="s">
        <v>1934</v>
      </c>
    </row>
    <row r="18" spans="1:26" ht="13">
      <c r="A18" s="560" t="s">
        <v>2186</v>
      </c>
      <c r="B18" s="124" t="s">
        <v>2187</v>
      </c>
      <c r="C18" s="125">
        <v>1</v>
      </c>
      <c r="D18" s="126" t="s">
        <v>2178</v>
      </c>
      <c r="E18" s="152" t="s">
        <v>2186</v>
      </c>
      <c r="F18" s="126">
        <v>150</v>
      </c>
      <c r="G18" s="107"/>
      <c r="H18" s="126">
        <f t="shared" si="0"/>
        <v>150</v>
      </c>
      <c r="I18" s="160"/>
      <c r="J18" s="150"/>
      <c r="K18" s="144" t="s">
        <v>1932</v>
      </c>
      <c r="L18" s="145" t="s">
        <v>1933</v>
      </c>
      <c r="M18" s="182" t="s">
        <v>1934</v>
      </c>
      <c r="N18" s="560" t="s">
        <v>2186</v>
      </c>
      <c r="O18" s="124" t="s">
        <v>2187</v>
      </c>
      <c r="P18" s="125">
        <v>1</v>
      </c>
      <c r="Q18" s="126" t="s">
        <v>2178</v>
      </c>
      <c r="R18" s="152" t="s">
        <v>2186</v>
      </c>
      <c r="S18" s="126">
        <v>150</v>
      </c>
      <c r="T18" s="107"/>
      <c r="U18" s="126">
        <v>150</v>
      </c>
      <c r="V18" s="160"/>
      <c r="W18" s="150"/>
      <c r="X18" s="144" t="s">
        <v>1932</v>
      </c>
      <c r="Y18" s="145" t="s">
        <v>1933</v>
      </c>
      <c r="Z18" s="627" t="s">
        <v>1934</v>
      </c>
    </row>
    <row r="19" spans="1:26" ht="13">
      <c r="A19" s="560" t="s">
        <v>2188</v>
      </c>
      <c r="B19" s="124" t="s">
        <v>2189</v>
      </c>
      <c r="C19" s="125">
        <v>1</v>
      </c>
      <c r="D19" s="126" t="s">
        <v>2178</v>
      </c>
      <c r="E19" s="152" t="s">
        <v>2188</v>
      </c>
      <c r="F19" s="126">
        <v>520</v>
      </c>
      <c r="G19" s="107"/>
      <c r="H19" s="126">
        <f t="shared" si="0"/>
        <v>520</v>
      </c>
      <c r="I19" s="160"/>
      <c r="J19" s="150"/>
      <c r="K19" s="144" t="s">
        <v>1932</v>
      </c>
      <c r="L19" s="145" t="s">
        <v>1933</v>
      </c>
      <c r="M19" s="182" t="s">
        <v>1934</v>
      </c>
      <c r="N19" s="560" t="s">
        <v>2188</v>
      </c>
      <c r="O19" s="124" t="s">
        <v>2189</v>
      </c>
      <c r="P19" s="125">
        <v>1</v>
      </c>
      <c r="Q19" s="126" t="s">
        <v>2178</v>
      </c>
      <c r="R19" s="152" t="s">
        <v>2188</v>
      </c>
      <c r="S19" s="126">
        <v>520</v>
      </c>
      <c r="T19" s="107"/>
      <c r="U19" s="126">
        <v>520</v>
      </c>
      <c r="V19" s="160"/>
      <c r="W19" s="150"/>
      <c r="X19" s="144" t="s">
        <v>1932</v>
      </c>
      <c r="Y19" s="145" t="s">
        <v>1933</v>
      </c>
      <c r="Z19" s="627" t="s">
        <v>1934</v>
      </c>
    </row>
    <row r="20" spans="1:26" ht="13">
      <c r="A20" s="560" t="s">
        <v>2190</v>
      </c>
      <c r="B20" s="124" t="s">
        <v>2191</v>
      </c>
      <c r="C20" s="125">
        <v>1</v>
      </c>
      <c r="D20" s="126" t="s">
        <v>2178</v>
      </c>
      <c r="E20" s="152" t="s">
        <v>2190</v>
      </c>
      <c r="F20" s="126">
        <v>1170</v>
      </c>
      <c r="G20" s="107"/>
      <c r="H20" s="126">
        <f t="shared" si="0"/>
        <v>1170</v>
      </c>
      <c r="I20" s="160"/>
      <c r="J20" s="150"/>
      <c r="K20" s="144" t="s">
        <v>1932</v>
      </c>
      <c r="L20" s="145" t="s">
        <v>1933</v>
      </c>
      <c r="M20" s="182" t="s">
        <v>1934</v>
      </c>
      <c r="N20" s="560" t="s">
        <v>2190</v>
      </c>
      <c r="O20" s="124" t="s">
        <v>2191</v>
      </c>
      <c r="P20" s="125">
        <v>1</v>
      </c>
      <c r="Q20" s="126" t="s">
        <v>2178</v>
      </c>
      <c r="R20" s="152" t="s">
        <v>2190</v>
      </c>
      <c r="S20" s="126">
        <v>1170</v>
      </c>
      <c r="T20" s="107"/>
      <c r="U20" s="126">
        <v>1170</v>
      </c>
      <c r="V20" s="160"/>
      <c r="W20" s="150"/>
      <c r="X20" s="144" t="s">
        <v>1932</v>
      </c>
      <c r="Y20" s="145" t="s">
        <v>1933</v>
      </c>
      <c r="Z20" s="627" t="s">
        <v>1934</v>
      </c>
    </row>
    <row r="21" spans="1:26" ht="13">
      <c r="A21" s="560" t="s">
        <v>2192</v>
      </c>
      <c r="B21" s="124" t="s">
        <v>2193</v>
      </c>
      <c r="C21" s="125">
        <v>1</v>
      </c>
      <c r="D21" s="126" t="s">
        <v>2178</v>
      </c>
      <c r="E21" s="152" t="s">
        <v>2192</v>
      </c>
      <c r="F21" s="126">
        <v>1350</v>
      </c>
      <c r="G21" s="107"/>
      <c r="H21" s="126">
        <v>1350</v>
      </c>
      <c r="I21" s="160"/>
      <c r="J21" s="150"/>
      <c r="K21" s="144" t="s">
        <v>1932</v>
      </c>
      <c r="L21" s="145" t="s">
        <v>1933</v>
      </c>
      <c r="M21" s="182" t="s">
        <v>1934</v>
      </c>
      <c r="N21" s="560" t="s">
        <v>2192</v>
      </c>
      <c r="O21" s="124" t="s">
        <v>2193</v>
      </c>
      <c r="P21" s="125">
        <v>1</v>
      </c>
      <c r="Q21" s="126" t="s">
        <v>2178</v>
      </c>
      <c r="R21" s="152" t="s">
        <v>2192</v>
      </c>
      <c r="S21" s="126">
        <v>1350</v>
      </c>
      <c r="T21" s="107"/>
      <c r="U21" s="126">
        <v>1350</v>
      </c>
      <c r="V21" s="160"/>
      <c r="W21" s="150"/>
      <c r="X21" s="144" t="s">
        <v>1932</v>
      </c>
      <c r="Y21" s="145" t="s">
        <v>1933</v>
      </c>
      <c r="Z21" s="627" t="s">
        <v>1934</v>
      </c>
    </row>
    <row r="22" spans="1:26" ht="13">
      <c r="A22" s="560" t="s">
        <v>2194</v>
      </c>
      <c r="B22" s="124" t="s">
        <v>2195</v>
      </c>
      <c r="C22" s="125">
        <v>1</v>
      </c>
      <c r="D22" s="126" t="s">
        <v>2178</v>
      </c>
      <c r="E22" s="152" t="s">
        <v>2194</v>
      </c>
      <c r="F22" s="126">
        <v>65</v>
      </c>
      <c r="G22" s="107"/>
      <c r="H22" s="126">
        <v>65</v>
      </c>
      <c r="I22" s="160"/>
      <c r="J22" s="150"/>
      <c r="K22" s="144" t="s">
        <v>1932</v>
      </c>
      <c r="L22" s="145" t="s">
        <v>1933</v>
      </c>
      <c r="M22" s="182" t="s">
        <v>1934</v>
      </c>
      <c r="N22" s="560" t="s">
        <v>2194</v>
      </c>
      <c r="O22" s="124" t="s">
        <v>2195</v>
      </c>
      <c r="P22" s="125">
        <v>1</v>
      </c>
      <c r="Q22" s="126" t="s">
        <v>2178</v>
      </c>
      <c r="R22" s="152" t="s">
        <v>2194</v>
      </c>
      <c r="S22" s="126">
        <v>65</v>
      </c>
      <c r="T22" s="107"/>
      <c r="U22" s="126">
        <v>65</v>
      </c>
      <c r="V22" s="160"/>
      <c r="W22" s="150"/>
      <c r="X22" s="144" t="s">
        <v>1932</v>
      </c>
      <c r="Y22" s="145" t="s">
        <v>1933</v>
      </c>
      <c r="Z22" s="627" t="s">
        <v>1934</v>
      </c>
    </row>
    <row r="23" spans="1:26" ht="13">
      <c r="A23" s="560" t="s">
        <v>2196</v>
      </c>
      <c r="B23" s="124" t="s">
        <v>2197</v>
      </c>
      <c r="C23" s="125">
        <v>1</v>
      </c>
      <c r="D23" s="126" t="s">
        <v>2178</v>
      </c>
      <c r="E23" s="152" t="s">
        <v>2196</v>
      </c>
      <c r="F23" s="126">
        <v>150</v>
      </c>
      <c r="G23" s="107"/>
      <c r="H23" s="126">
        <v>150</v>
      </c>
      <c r="I23" s="160"/>
      <c r="J23" s="150"/>
      <c r="K23" s="144" t="s">
        <v>1932</v>
      </c>
      <c r="L23" s="145" t="s">
        <v>1933</v>
      </c>
      <c r="M23" s="182" t="s">
        <v>1934</v>
      </c>
      <c r="N23" s="560" t="s">
        <v>2196</v>
      </c>
      <c r="O23" s="124" t="s">
        <v>2197</v>
      </c>
      <c r="P23" s="125">
        <v>1</v>
      </c>
      <c r="Q23" s="126" t="s">
        <v>2178</v>
      </c>
      <c r="R23" s="152" t="s">
        <v>2196</v>
      </c>
      <c r="S23" s="126">
        <v>150</v>
      </c>
      <c r="T23" s="107"/>
      <c r="U23" s="126">
        <v>150</v>
      </c>
      <c r="V23" s="160"/>
      <c r="W23" s="150"/>
      <c r="X23" s="144" t="s">
        <v>1932</v>
      </c>
      <c r="Y23" s="145" t="s">
        <v>1933</v>
      </c>
      <c r="Z23" s="627" t="s">
        <v>1934</v>
      </c>
    </row>
    <row r="24" spans="1:26" ht="13">
      <c r="A24" s="560" t="s">
        <v>2198</v>
      </c>
      <c r="B24" s="124" t="s">
        <v>2199</v>
      </c>
      <c r="C24" s="125">
        <v>1</v>
      </c>
      <c r="D24" s="126" t="s">
        <v>2178</v>
      </c>
      <c r="E24" s="152" t="s">
        <v>2198</v>
      </c>
      <c r="F24" s="126">
        <v>310</v>
      </c>
      <c r="G24" s="107"/>
      <c r="H24" s="126">
        <v>310</v>
      </c>
      <c r="I24" s="160"/>
      <c r="J24" s="150"/>
      <c r="K24" s="144" t="s">
        <v>1932</v>
      </c>
      <c r="L24" s="145" t="s">
        <v>1933</v>
      </c>
      <c r="M24" s="182" t="s">
        <v>1934</v>
      </c>
      <c r="N24" s="560" t="s">
        <v>2198</v>
      </c>
      <c r="O24" s="124" t="s">
        <v>2199</v>
      </c>
      <c r="P24" s="125">
        <v>1</v>
      </c>
      <c r="Q24" s="126" t="s">
        <v>2178</v>
      </c>
      <c r="R24" s="152" t="s">
        <v>2198</v>
      </c>
      <c r="S24" s="126">
        <v>310</v>
      </c>
      <c r="T24" s="107"/>
      <c r="U24" s="126">
        <v>310</v>
      </c>
      <c r="V24" s="160"/>
      <c r="W24" s="150"/>
      <c r="X24" s="144" t="s">
        <v>1932</v>
      </c>
      <c r="Y24" s="145" t="s">
        <v>1933</v>
      </c>
      <c r="Z24" s="627" t="s">
        <v>1934</v>
      </c>
    </row>
    <row r="25" spans="1:26" ht="13">
      <c r="A25" s="560" t="s">
        <v>2200</v>
      </c>
      <c r="B25" s="124" t="s">
        <v>2201</v>
      </c>
      <c r="C25" s="125">
        <v>1</v>
      </c>
      <c r="D25" s="126" t="s">
        <v>2178</v>
      </c>
      <c r="E25" s="152" t="s">
        <v>2200</v>
      </c>
      <c r="F25" s="126">
        <v>380</v>
      </c>
      <c r="G25" s="107"/>
      <c r="H25" s="126">
        <v>380</v>
      </c>
      <c r="I25" s="160"/>
      <c r="J25" s="150"/>
      <c r="K25" s="144" t="s">
        <v>1932</v>
      </c>
      <c r="L25" s="145" t="s">
        <v>1933</v>
      </c>
      <c r="M25" s="182" t="s">
        <v>1934</v>
      </c>
      <c r="N25" s="560" t="s">
        <v>2200</v>
      </c>
      <c r="O25" s="124" t="s">
        <v>2201</v>
      </c>
      <c r="P25" s="125">
        <v>1</v>
      </c>
      <c r="Q25" s="126" t="s">
        <v>2178</v>
      </c>
      <c r="R25" s="152" t="s">
        <v>2200</v>
      </c>
      <c r="S25" s="126">
        <v>380</v>
      </c>
      <c r="T25" s="107"/>
      <c r="U25" s="126">
        <v>380</v>
      </c>
      <c r="V25" s="160"/>
      <c r="W25" s="150"/>
      <c r="X25" s="144" t="s">
        <v>1932</v>
      </c>
      <c r="Y25" s="145" t="s">
        <v>1933</v>
      </c>
      <c r="Z25" s="627" t="s">
        <v>1934</v>
      </c>
    </row>
    <row r="26" spans="1:26" ht="13">
      <c r="A26" s="560" t="s">
        <v>2202</v>
      </c>
      <c r="B26" s="124" t="s">
        <v>2203</v>
      </c>
      <c r="C26" s="125">
        <v>1</v>
      </c>
      <c r="D26" s="126" t="s">
        <v>2178</v>
      </c>
      <c r="E26" s="152" t="s">
        <v>2202</v>
      </c>
      <c r="F26" s="126">
        <v>95</v>
      </c>
      <c r="G26" s="107"/>
      <c r="H26" s="126">
        <v>95</v>
      </c>
      <c r="I26" s="160"/>
      <c r="J26" s="150"/>
      <c r="K26" s="144" t="s">
        <v>1932</v>
      </c>
      <c r="L26" s="145" t="s">
        <v>1933</v>
      </c>
      <c r="M26" s="182" t="s">
        <v>1934</v>
      </c>
      <c r="N26" s="560" t="s">
        <v>2202</v>
      </c>
      <c r="O26" s="124" t="s">
        <v>2203</v>
      </c>
      <c r="P26" s="125">
        <v>1</v>
      </c>
      <c r="Q26" s="126" t="s">
        <v>2178</v>
      </c>
      <c r="R26" s="152" t="s">
        <v>2202</v>
      </c>
      <c r="S26" s="126">
        <v>95</v>
      </c>
      <c r="T26" s="107"/>
      <c r="U26" s="126">
        <v>95</v>
      </c>
      <c r="V26" s="160"/>
      <c r="W26" s="150"/>
      <c r="X26" s="144" t="s">
        <v>1932</v>
      </c>
      <c r="Y26" s="145" t="s">
        <v>1933</v>
      </c>
      <c r="Z26" s="627" t="s">
        <v>1934</v>
      </c>
    </row>
    <row r="27" spans="1:26" ht="13">
      <c r="A27" s="560" t="s">
        <v>2204</v>
      </c>
      <c r="B27" s="124" t="s">
        <v>2205</v>
      </c>
      <c r="C27" s="125">
        <v>1</v>
      </c>
      <c r="D27" s="126" t="s">
        <v>2178</v>
      </c>
      <c r="E27" s="152" t="s">
        <v>2204</v>
      </c>
      <c r="F27" s="126">
        <v>345</v>
      </c>
      <c r="G27" s="107"/>
      <c r="H27" s="126">
        <v>345</v>
      </c>
      <c r="I27" s="160"/>
      <c r="J27" s="150"/>
      <c r="K27" s="144" t="s">
        <v>1932</v>
      </c>
      <c r="L27" s="145" t="s">
        <v>1933</v>
      </c>
      <c r="M27" s="182" t="s">
        <v>1934</v>
      </c>
      <c r="N27" s="560" t="s">
        <v>2204</v>
      </c>
      <c r="O27" s="124" t="s">
        <v>2205</v>
      </c>
      <c r="P27" s="125">
        <v>1</v>
      </c>
      <c r="Q27" s="126" t="s">
        <v>2178</v>
      </c>
      <c r="R27" s="152" t="s">
        <v>2204</v>
      </c>
      <c r="S27" s="126">
        <v>345</v>
      </c>
      <c r="T27" s="107"/>
      <c r="U27" s="126">
        <v>345</v>
      </c>
      <c r="V27" s="160"/>
      <c r="W27" s="150"/>
      <c r="X27" s="144" t="s">
        <v>1932</v>
      </c>
      <c r="Y27" s="145" t="s">
        <v>1933</v>
      </c>
      <c r="Z27" s="627" t="s">
        <v>1934</v>
      </c>
    </row>
    <row r="28" spans="1:26" ht="13">
      <c r="A28" s="560" t="s">
        <v>2206</v>
      </c>
      <c r="B28" s="124" t="s">
        <v>2207</v>
      </c>
      <c r="C28" s="125">
        <v>1</v>
      </c>
      <c r="D28" s="126" t="s">
        <v>2178</v>
      </c>
      <c r="E28" s="152" t="s">
        <v>2206</v>
      </c>
      <c r="F28" s="126">
        <v>750</v>
      </c>
      <c r="G28" s="107"/>
      <c r="H28" s="126">
        <v>750</v>
      </c>
      <c r="I28" s="160"/>
      <c r="J28" s="150"/>
      <c r="K28" s="144" t="s">
        <v>1932</v>
      </c>
      <c r="L28" s="145" t="s">
        <v>1933</v>
      </c>
      <c r="M28" s="182" t="s">
        <v>1934</v>
      </c>
      <c r="N28" s="560" t="s">
        <v>2206</v>
      </c>
      <c r="O28" s="124" t="s">
        <v>2207</v>
      </c>
      <c r="P28" s="125">
        <v>1</v>
      </c>
      <c r="Q28" s="126" t="s">
        <v>2178</v>
      </c>
      <c r="R28" s="152" t="s">
        <v>2206</v>
      </c>
      <c r="S28" s="126">
        <v>750</v>
      </c>
      <c r="T28" s="107"/>
      <c r="U28" s="126">
        <v>750</v>
      </c>
      <c r="V28" s="160"/>
      <c r="W28" s="150"/>
      <c r="X28" s="144" t="s">
        <v>1932</v>
      </c>
      <c r="Y28" s="145" t="s">
        <v>1933</v>
      </c>
      <c r="Z28" s="627" t="s">
        <v>1934</v>
      </c>
    </row>
    <row r="29" spans="1:26" ht="13">
      <c r="A29" s="560" t="s">
        <v>2208</v>
      </c>
      <c r="B29" s="124" t="s">
        <v>2209</v>
      </c>
      <c r="C29" s="125">
        <v>1</v>
      </c>
      <c r="D29" s="126" t="s">
        <v>2178</v>
      </c>
      <c r="E29" s="152" t="s">
        <v>2208</v>
      </c>
      <c r="F29" s="126">
        <v>880</v>
      </c>
      <c r="G29" s="107"/>
      <c r="H29" s="126">
        <v>880</v>
      </c>
      <c r="I29" s="160"/>
      <c r="J29" s="150"/>
      <c r="K29" s="144" t="s">
        <v>1932</v>
      </c>
      <c r="L29" s="145" t="s">
        <v>1933</v>
      </c>
      <c r="M29" s="182" t="s">
        <v>1934</v>
      </c>
      <c r="N29" s="560" t="s">
        <v>2208</v>
      </c>
      <c r="O29" s="124" t="s">
        <v>2209</v>
      </c>
      <c r="P29" s="125">
        <v>1</v>
      </c>
      <c r="Q29" s="126" t="s">
        <v>2178</v>
      </c>
      <c r="R29" s="152" t="s">
        <v>2208</v>
      </c>
      <c r="S29" s="126">
        <v>880</v>
      </c>
      <c r="T29" s="107"/>
      <c r="U29" s="126">
        <v>880</v>
      </c>
      <c r="V29" s="160"/>
      <c r="W29" s="150"/>
      <c r="X29" s="144" t="s">
        <v>1932</v>
      </c>
      <c r="Y29" s="145" t="s">
        <v>1933</v>
      </c>
      <c r="Z29" s="627" t="s">
        <v>1934</v>
      </c>
    </row>
    <row r="30" spans="1:26" ht="13">
      <c r="A30" s="560" t="s">
        <v>2210</v>
      </c>
      <c r="B30" s="124" t="s">
        <v>2211</v>
      </c>
      <c r="C30" s="125">
        <v>1</v>
      </c>
      <c r="D30" s="126" t="s">
        <v>2178</v>
      </c>
      <c r="E30" s="152" t="s">
        <v>2210</v>
      </c>
      <c r="F30" s="126">
        <v>65</v>
      </c>
      <c r="G30" s="107"/>
      <c r="H30" s="126">
        <v>65</v>
      </c>
      <c r="I30" s="160"/>
      <c r="J30" s="150"/>
      <c r="K30" s="144" t="s">
        <v>1932</v>
      </c>
      <c r="L30" s="145" t="s">
        <v>1933</v>
      </c>
      <c r="M30" s="182" t="s">
        <v>1934</v>
      </c>
      <c r="N30" s="560" t="s">
        <v>2210</v>
      </c>
      <c r="O30" s="124" t="s">
        <v>2211</v>
      </c>
      <c r="P30" s="125">
        <v>1</v>
      </c>
      <c r="Q30" s="126" t="s">
        <v>2178</v>
      </c>
      <c r="R30" s="152" t="s">
        <v>2210</v>
      </c>
      <c r="S30" s="126">
        <v>65</v>
      </c>
      <c r="T30" s="107"/>
      <c r="U30" s="126">
        <v>65</v>
      </c>
      <c r="V30" s="160"/>
      <c r="W30" s="150"/>
      <c r="X30" s="144" t="s">
        <v>1932</v>
      </c>
      <c r="Y30" s="145" t="s">
        <v>1933</v>
      </c>
      <c r="Z30" s="627" t="s">
        <v>1934</v>
      </c>
    </row>
    <row r="31" spans="1:26" ht="13">
      <c r="A31" s="560" t="s">
        <v>2212</v>
      </c>
      <c r="B31" s="124" t="s">
        <v>2213</v>
      </c>
      <c r="C31" s="125">
        <v>1</v>
      </c>
      <c r="D31" s="126" t="s">
        <v>2178</v>
      </c>
      <c r="E31" s="152" t="s">
        <v>2212</v>
      </c>
      <c r="F31" s="126">
        <v>50</v>
      </c>
      <c r="G31" s="107"/>
      <c r="H31" s="126">
        <f>F31-(F31*G31)</f>
        <v>50</v>
      </c>
      <c r="I31" s="160"/>
      <c r="J31" s="150"/>
      <c r="K31" s="144" t="s">
        <v>1932</v>
      </c>
      <c r="L31" s="145" t="s">
        <v>1933</v>
      </c>
      <c r="M31" s="182" t="s">
        <v>1934</v>
      </c>
      <c r="N31" s="560" t="s">
        <v>2212</v>
      </c>
      <c r="O31" s="124" t="s">
        <v>2213</v>
      </c>
      <c r="P31" s="125">
        <v>1</v>
      </c>
      <c r="Q31" s="126" t="s">
        <v>2178</v>
      </c>
      <c r="R31" s="152" t="s">
        <v>2212</v>
      </c>
      <c r="S31" s="126">
        <v>50</v>
      </c>
      <c r="T31" s="107"/>
      <c r="U31" s="126">
        <v>50</v>
      </c>
      <c r="V31" s="160"/>
      <c r="W31" s="150"/>
      <c r="X31" s="144" t="s">
        <v>1932</v>
      </c>
      <c r="Y31" s="145" t="s">
        <v>1933</v>
      </c>
      <c r="Z31" s="627" t="s">
        <v>1934</v>
      </c>
    </row>
    <row r="32" spans="1:26" ht="13">
      <c r="A32" s="560" t="s">
        <v>2214</v>
      </c>
      <c r="B32" s="124" t="s">
        <v>2215</v>
      </c>
      <c r="C32" s="125">
        <v>1</v>
      </c>
      <c r="D32" s="126" t="s">
        <v>2178</v>
      </c>
      <c r="E32" s="152" t="s">
        <v>2214</v>
      </c>
      <c r="F32" s="126">
        <v>50</v>
      </c>
      <c r="G32" s="107"/>
      <c r="H32" s="126">
        <f>F32-(F32*G32)</f>
        <v>50</v>
      </c>
      <c r="I32" s="160"/>
      <c r="J32" s="150"/>
      <c r="K32" s="144" t="s">
        <v>1932</v>
      </c>
      <c r="L32" s="145" t="s">
        <v>1933</v>
      </c>
      <c r="M32" s="182" t="s">
        <v>1934</v>
      </c>
      <c r="N32" s="560" t="s">
        <v>2214</v>
      </c>
      <c r="O32" s="124" t="s">
        <v>2215</v>
      </c>
      <c r="P32" s="125">
        <v>1</v>
      </c>
      <c r="Q32" s="126" t="s">
        <v>2178</v>
      </c>
      <c r="R32" s="152" t="s">
        <v>2214</v>
      </c>
      <c r="S32" s="126">
        <v>50</v>
      </c>
      <c r="T32" s="107"/>
      <c r="U32" s="126">
        <v>50</v>
      </c>
      <c r="V32" s="160"/>
      <c r="W32" s="150"/>
      <c r="X32" s="144" t="s">
        <v>1932</v>
      </c>
      <c r="Y32" s="145" t="s">
        <v>1933</v>
      </c>
      <c r="Z32" s="627" t="s">
        <v>1934</v>
      </c>
    </row>
    <row r="33" spans="1:26" ht="13">
      <c r="A33" s="560" t="s">
        <v>2216</v>
      </c>
      <c r="B33" s="124" t="s">
        <v>2217</v>
      </c>
      <c r="C33" s="125">
        <v>1</v>
      </c>
      <c r="D33" s="126" t="s">
        <v>2178</v>
      </c>
      <c r="E33" s="152" t="s">
        <v>2216</v>
      </c>
      <c r="F33" s="126">
        <v>78</v>
      </c>
      <c r="G33" s="107"/>
      <c r="H33" s="126">
        <v>78</v>
      </c>
      <c r="I33" s="160"/>
      <c r="J33" s="150"/>
      <c r="K33" s="144" t="s">
        <v>1932</v>
      </c>
      <c r="L33" s="145" t="s">
        <v>1933</v>
      </c>
      <c r="M33" s="182" t="s">
        <v>1934</v>
      </c>
      <c r="N33" s="560" t="s">
        <v>2216</v>
      </c>
      <c r="O33" s="124" t="s">
        <v>2217</v>
      </c>
      <c r="P33" s="125">
        <v>1</v>
      </c>
      <c r="Q33" s="126" t="s">
        <v>2178</v>
      </c>
      <c r="R33" s="152" t="s">
        <v>2216</v>
      </c>
      <c r="S33" s="126">
        <v>78</v>
      </c>
      <c r="T33" s="107"/>
      <c r="U33" s="126">
        <v>78</v>
      </c>
      <c r="V33" s="160"/>
      <c r="W33" s="150"/>
      <c r="X33" s="144" t="s">
        <v>1932</v>
      </c>
      <c r="Y33" s="145" t="s">
        <v>1933</v>
      </c>
      <c r="Z33" s="627" t="s">
        <v>1934</v>
      </c>
    </row>
    <row r="34" spans="1:26" ht="13">
      <c r="A34" s="560" t="s">
        <v>2218</v>
      </c>
      <c r="B34" s="124" t="s">
        <v>2219</v>
      </c>
      <c r="C34" s="125">
        <v>1</v>
      </c>
      <c r="D34" s="126" t="s">
        <v>2178</v>
      </c>
      <c r="E34" s="152" t="s">
        <v>2218</v>
      </c>
      <c r="F34" s="126">
        <v>115</v>
      </c>
      <c r="G34" s="107"/>
      <c r="H34" s="126">
        <f>F34-(F34*G34)</f>
        <v>115</v>
      </c>
      <c r="I34" s="160"/>
      <c r="J34" s="150"/>
      <c r="K34" s="144" t="s">
        <v>1932</v>
      </c>
      <c r="L34" s="145" t="s">
        <v>1933</v>
      </c>
      <c r="M34" s="182" t="s">
        <v>1934</v>
      </c>
      <c r="N34" s="560" t="s">
        <v>2218</v>
      </c>
      <c r="O34" s="124" t="s">
        <v>2219</v>
      </c>
      <c r="P34" s="125">
        <v>1</v>
      </c>
      <c r="Q34" s="126" t="s">
        <v>2178</v>
      </c>
      <c r="R34" s="152" t="s">
        <v>2218</v>
      </c>
      <c r="S34" s="126">
        <v>115</v>
      </c>
      <c r="T34" s="107"/>
      <c r="U34" s="126">
        <v>115</v>
      </c>
      <c r="V34" s="160"/>
      <c r="W34" s="150"/>
      <c r="X34" s="144" t="s">
        <v>1932</v>
      </c>
      <c r="Y34" s="145" t="s">
        <v>1933</v>
      </c>
      <c r="Z34" s="627" t="s">
        <v>1934</v>
      </c>
    </row>
    <row r="35" spans="1:26" ht="13">
      <c r="A35" s="560" t="s">
        <v>2220</v>
      </c>
      <c r="B35" s="124" t="s">
        <v>2221</v>
      </c>
      <c r="C35" s="125">
        <v>1</v>
      </c>
      <c r="D35" s="126" t="s">
        <v>2178</v>
      </c>
      <c r="E35" s="152" t="s">
        <v>2220</v>
      </c>
      <c r="F35" s="126">
        <v>150</v>
      </c>
      <c r="G35" s="107"/>
      <c r="H35" s="126">
        <v>150</v>
      </c>
      <c r="I35" s="160"/>
      <c r="J35" s="150"/>
      <c r="K35" s="144" t="s">
        <v>1932</v>
      </c>
      <c r="L35" s="145" t="s">
        <v>1933</v>
      </c>
      <c r="M35" s="182" t="s">
        <v>1934</v>
      </c>
      <c r="N35" s="560" t="s">
        <v>2220</v>
      </c>
      <c r="O35" s="124" t="s">
        <v>2221</v>
      </c>
      <c r="P35" s="125">
        <v>1</v>
      </c>
      <c r="Q35" s="126" t="s">
        <v>2178</v>
      </c>
      <c r="R35" s="152" t="s">
        <v>2220</v>
      </c>
      <c r="S35" s="126">
        <v>150</v>
      </c>
      <c r="T35" s="107"/>
      <c r="U35" s="126">
        <v>150</v>
      </c>
      <c r="V35" s="160"/>
      <c r="W35" s="150"/>
      <c r="X35" s="144" t="s">
        <v>1932</v>
      </c>
      <c r="Y35" s="145" t="s">
        <v>1933</v>
      </c>
      <c r="Z35" s="627" t="s">
        <v>1934</v>
      </c>
    </row>
    <row r="36" spans="1:26" ht="13">
      <c r="A36" s="560" t="s">
        <v>2222</v>
      </c>
      <c r="B36" s="124" t="s">
        <v>2223</v>
      </c>
      <c r="C36" s="125">
        <v>1</v>
      </c>
      <c r="D36" s="126" t="s">
        <v>2178</v>
      </c>
      <c r="E36" s="152" t="s">
        <v>2222</v>
      </c>
      <c r="F36" s="126">
        <v>215</v>
      </c>
      <c r="G36" s="107"/>
      <c r="H36" s="126">
        <f t="shared" ref="H36:H69" si="1">F36-(F36*G36)</f>
        <v>215</v>
      </c>
      <c r="I36" s="160"/>
      <c r="J36" s="150"/>
      <c r="K36" s="144" t="s">
        <v>1932</v>
      </c>
      <c r="L36" s="145" t="s">
        <v>1933</v>
      </c>
      <c r="M36" s="182" t="s">
        <v>1934</v>
      </c>
      <c r="N36" s="560" t="s">
        <v>2222</v>
      </c>
      <c r="O36" s="124" t="s">
        <v>2223</v>
      </c>
      <c r="P36" s="125">
        <v>1</v>
      </c>
      <c r="Q36" s="126" t="s">
        <v>2178</v>
      </c>
      <c r="R36" s="152" t="s">
        <v>2222</v>
      </c>
      <c r="S36" s="126">
        <v>215</v>
      </c>
      <c r="T36" s="107"/>
      <c r="U36" s="126">
        <v>215</v>
      </c>
      <c r="V36" s="160"/>
      <c r="W36" s="150"/>
      <c r="X36" s="144" t="s">
        <v>1932</v>
      </c>
      <c r="Y36" s="145" t="s">
        <v>1933</v>
      </c>
      <c r="Z36" s="627" t="s">
        <v>1934</v>
      </c>
    </row>
    <row r="37" spans="1:26" ht="13">
      <c r="A37" s="560" t="s">
        <v>2224</v>
      </c>
      <c r="B37" s="124" t="s">
        <v>2225</v>
      </c>
      <c r="C37" s="125">
        <v>1</v>
      </c>
      <c r="D37" s="126" t="s">
        <v>2178</v>
      </c>
      <c r="E37" s="152" t="s">
        <v>2224</v>
      </c>
      <c r="F37" s="126">
        <v>85</v>
      </c>
      <c r="G37" s="107"/>
      <c r="H37" s="126">
        <f t="shared" si="1"/>
        <v>85</v>
      </c>
      <c r="I37" s="160"/>
      <c r="J37" s="150"/>
      <c r="K37" s="144" t="s">
        <v>1932</v>
      </c>
      <c r="L37" s="145" t="s">
        <v>1933</v>
      </c>
      <c r="M37" s="182" t="s">
        <v>1934</v>
      </c>
      <c r="N37" s="560" t="s">
        <v>2224</v>
      </c>
      <c r="O37" s="124" t="s">
        <v>2225</v>
      </c>
      <c r="P37" s="125">
        <v>1</v>
      </c>
      <c r="Q37" s="126" t="s">
        <v>2178</v>
      </c>
      <c r="R37" s="152" t="s">
        <v>2224</v>
      </c>
      <c r="S37" s="126">
        <v>85</v>
      </c>
      <c r="T37" s="107"/>
      <c r="U37" s="126">
        <v>85</v>
      </c>
      <c r="V37" s="160"/>
      <c r="W37" s="150"/>
      <c r="X37" s="144" t="s">
        <v>1932</v>
      </c>
      <c r="Y37" s="145" t="s">
        <v>1933</v>
      </c>
      <c r="Z37" s="627" t="s">
        <v>1934</v>
      </c>
    </row>
    <row r="38" spans="1:26" ht="13">
      <c r="A38" s="560" t="s">
        <v>2226</v>
      </c>
      <c r="B38" s="124" t="s">
        <v>2227</v>
      </c>
      <c r="C38" s="125">
        <v>1</v>
      </c>
      <c r="D38" s="126" t="s">
        <v>2178</v>
      </c>
      <c r="E38" s="152" t="s">
        <v>2226</v>
      </c>
      <c r="F38" s="126">
        <v>95</v>
      </c>
      <c r="G38" s="107"/>
      <c r="H38" s="126">
        <f t="shared" si="1"/>
        <v>95</v>
      </c>
      <c r="I38" s="160"/>
      <c r="J38" s="150"/>
      <c r="K38" s="144" t="s">
        <v>1932</v>
      </c>
      <c r="L38" s="145" t="s">
        <v>1933</v>
      </c>
      <c r="M38" s="182" t="s">
        <v>1934</v>
      </c>
      <c r="N38" s="560" t="s">
        <v>2226</v>
      </c>
      <c r="O38" s="124" t="s">
        <v>2227</v>
      </c>
      <c r="P38" s="125">
        <v>1</v>
      </c>
      <c r="Q38" s="126" t="s">
        <v>2178</v>
      </c>
      <c r="R38" s="152" t="s">
        <v>2226</v>
      </c>
      <c r="S38" s="126">
        <v>95</v>
      </c>
      <c r="T38" s="107"/>
      <c r="U38" s="126">
        <v>95</v>
      </c>
      <c r="V38" s="160"/>
      <c r="W38" s="150"/>
      <c r="X38" s="144" t="s">
        <v>1932</v>
      </c>
      <c r="Y38" s="145" t="s">
        <v>1933</v>
      </c>
      <c r="Z38" s="627" t="s">
        <v>1934</v>
      </c>
    </row>
    <row r="39" spans="1:26" ht="13">
      <c r="A39" s="562" t="s">
        <v>2228</v>
      </c>
      <c r="B39" s="168" t="s">
        <v>2229</v>
      </c>
      <c r="C39" s="125">
        <v>1</v>
      </c>
      <c r="D39" s="126" t="s">
        <v>2178</v>
      </c>
      <c r="E39" s="171" t="s">
        <v>2228</v>
      </c>
      <c r="F39" s="126">
        <v>0</v>
      </c>
      <c r="G39" s="107"/>
      <c r="H39" s="126">
        <f t="shared" si="1"/>
        <v>0</v>
      </c>
      <c r="I39" s="160"/>
      <c r="J39" s="150"/>
      <c r="K39" s="144" t="s">
        <v>1932</v>
      </c>
      <c r="L39" s="145" t="s">
        <v>1933</v>
      </c>
      <c r="M39" s="182" t="s">
        <v>1934</v>
      </c>
      <c r="N39" s="562" t="s">
        <v>2228</v>
      </c>
      <c r="O39" s="168" t="s">
        <v>2229</v>
      </c>
      <c r="P39" s="125">
        <v>1</v>
      </c>
      <c r="Q39" s="126" t="s">
        <v>2178</v>
      </c>
      <c r="R39" s="171" t="s">
        <v>2228</v>
      </c>
      <c r="S39" s="126">
        <v>0</v>
      </c>
      <c r="T39" s="107"/>
      <c r="U39" s="126">
        <v>0</v>
      </c>
      <c r="V39" s="160"/>
      <c r="W39" s="150"/>
      <c r="X39" s="144" t="s">
        <v>1932</v>
      </c>
      <c r="Y39" s="145" t="s">
        <v>1933</v>
      </c>
      <c r="Z39" s="627" t="s">
        <v>1934</v>
      </c>
    </row>
    <row r="40" spans="1:26" ht="13">
      <c r="A40" s="560" t="s">
        <v>2230</v>
      </c>
      <c r="B40" s="124" t="s">
        <v>2231</v>
      </c>
      <c r="C40" s="125">
        <v>1</v>
      </c>
      <c r="D40" s="126" t="s">
        <v>2178</v>
      </c>
      <c r="E40" s="152" t="s">
        <v>2230</v>
      </c>
      <c r="F40" s="126">
        <v>210</v>
      </c>
      <c r="G40" s="107"/>
      <c r="H40" s="126">
        <f t="shared" si="1"/>
        <v>210</v>
      </c>
      <c r="I40" s="160"/>
      <c r="J40" s="150"/>
      <c r="K40" s="144" t="s">
        <v>1932</v>
      </c>
      <c r="L40" s="145" t="s">
        <v>1933</v>
      </c>
      <c r="M40" s="182" t="s">
        <v>1934</v>
      </c>
      <c r="N40" s="560" t="s">
        <v>2230</v>
      </c>
      <c r="O40" s="124" t="s">
        <v>2231</v>
      </c>
      <c r="P40" s="125">
        <v>1</v>
      </c>
      <c r="Q40" s="126" t="s">
        <v>2178</v>
      </c>
      <c r="R40" s="152" t="s">
        <v>2230</v>
      </c>
      <c r="S40" s="126">
        <v>210</v>
      </c>
      <c r="T40" s="107"/>
      <c r="U40" s="126">
        <v>210</v>
      </c>
      <c r="V40" s="160"/>
      <c r="W40" s="150"/>
      <c r="X40" s="144" t="s">
        <v>1932</v>
      </c>
      <c r="Y40" s="145" t="s">
        <v>1933</v>
      </c>
      <c r="Z40" s="627" t="s">
        <v>1934</v>
      </c>
    </row>
    <row r="41" spans="1:26" ht="13">
      <c r="A41" s="560" t="s">
        <v>2232</v>
      </c>
      <c r="B41" s="124" t="s">
        <v>2233</v>
      </c>
      <c r="C41" s="125">
        <v>1</v>
      </c>
      <c r="D41" s="126" t="s">
        <v>2178</v>
      </c>
      <c r="E41" s="152" t="s">
        <v>2232</v>
      </c>
      <c r="F41" s="126">
        <v>420</v>
      </c>
      <c r="G41" s="107"/>
      <c r="H41" s="126">
        <f t="shared" si="1"/>
        <v>420</v>
      </c>
      <c r="I41" s="160"/>
      <c r="J41" s="150"/>
      <c r="K41" s="144" t="s">
        <v>1932</v>
      </c>
      <c r="L41" s="145" t="s">
        <v>1933</v>
      </c>
      <c r="M41" s="182" t="s">
        <v>1934</v>
      </c>
      <c r="N41" s="560" t="s">
        <v>2232</v>
      </c>
      <c r="O41" s="124" t="s">
        <v>2233</v>
      </c>
      <c r="P41" s="125">
        <v>1</v>
      </c>
      <c r="Q41" s="126" t="s">
        <v>2178</v>
      </c>
      <c r="R41" s="152" t="s">
        <v>2232</v>
      </c>
      <c r="S41" s="126">
        <v>420</v>
      </c>
      <c r="T41" s="107"/>
      <c r="U41" s="126">
        <v>420</v>
      </c>
      <c r="V41" s="160"/>
      <c r="W41" s="150"/>
      <c r="X41" s="144" t="s">
        <v>1932</v>
      </c>
      <c r="Y41" s="145" t="s">
        <v>1933</v>
      </c>
      <c r="Z41" s="627" t="s">
        <v>1934</v>
      </c>
    </row>
    <row r="42" spans="1:26" ht="13">
      <c r="A42" s="560" t="s">
        <v>2234</v>
      </c>
      <c r="B42" s="124" t="s">
        <v>2235</v>
      </c>
      <c r="C42" s="125">
        <v>1</v>
      </c>
      <c r="D42" s="126" t="s">
        <v>2178</v>
      </c>
      <c r="E42" s="152" t="s">
        <v>2234</v>
      </c>
      <c r="F42" s="126">
        <v>735</v>
      </c>
      <c r="G42" s="107"/>
      <c r="H42" s="126">
        <f t="shared" si="1"/>
        <v>735</v>
      </c>
      <c r="I42" s="160"/>
      <c r="J42" s="150"/>
      <c r="K42" s="144" t="s">
        <v>1932</v>
      </c>
      <c r="L42" s="145" t="s">
        <v>1933</v>
      </c>
      <c r="M42" s="182" t="s">
        <v>1934</v>
      </c>
      <c r="N42" s="560" t="s">
        <v>2234</v>
      </c>
      <c r="O42" s="124" t="s">
        <v>2235</v>
      </c>
      <c r="P42" s="125">
        <v>1</v>
      </c>
      <c r="Q42" s="126" t="s">
        <v>2178</v>
      </c>
      <c r="R42" s="152" t="s">
        <v>2234</v>
      </c>
      <c r="S42" s="126">
        <v>735</v>
      </c>
      <c r="T42" s="107"/>
      <c r="U42" s="126">
        <v>735</v>
      </c>
      <c r="V42" s="160"/>
      <c r="W42" s="150"/>
      <c r="X42" s="144" t="s">
        <v>1932</v>
      </c>
      <c r="Y42" s="145" t="s">
        <v>1933</v>
      </c>
      <c r="Z42" s="627" t="s">
        <v>1934</v>
      </c>
    </row>
    <row r="43" spans="1:26" ht="13">
      <c r="A43" s="560" t="s">
        <v>2236</v>
      </c>
      <c r="B43" s="124" t="s">
        <v>2237</v>
      </c>
      <c r="C43" s="125">
        <v>1</v>
      </c>
      <c r="D43" s="126" t="s">
        <v>2178</v>
      </c>
      <c r="E43" s="152" t="s">
        <v>2236</v>
      </c>
      <c r="F43" s="126">
        <v>210</v>
      </c>
      <c r="G43" s="107"/>
      <c r="H43" s="126">
        <f t="shared" si="1"/>
        <v>210</v>
      </c>
      <c r="I43" s="160"/>
      <c r="J43" s="150"/>
      <c r="K43" s="144" t="s">
        <v>1932</v>
      </c>
      <c r="L43" s="145" t="s">
        <v>1933</v>
      </c>
      <c r="M43" s="182" t="s">
        <v>1934</v>
      </c>
      <c r="N43" s="560" t="s">
        <v>2236</v>
      </c>
      <c r="O43" s="124" t="s">
        <v>2237</v>
      </c>
      <c r="P43" s="125">
        <v>1</v>
      </c>
      <c r="Q43" s="126" t="s">
        <v>2178</v>
      </c>
      <c r="R43" s="152" t="s">
        <v>2236</v>
      </c>
      <c r="S43" s="126">
        <v>210</v>
      </c>
      <c r="T43" s="107"/>
      <c r="U43" s="126">
        <v>210</v>
      </c>
      <c r="V43" s="160"/>
      <c r="W43" s="150"/>
      <c r="X43" s="144" t="s">
        <v>1932</v>
      </c>
      <c r="Y43" s="145" t="s">
        <v>1933</v>
      </c>
      <c r="Z43" s="627" t="s">
        <v>1934</v>
      </c>
    </row>
    <row r="44" spans="1:26" ht="13">
      <c r="A44" s="560" t="s">
        <v>2238</v>
      </c>
      <c r="B44" s="124" t="s">
        <v>2239</v>
      </c>
      <c r="C44" s="125">
        <v>1</v>
      </c>
      <c r="D44" s="126" t="s">
        <v>2178</v>
      </c>
      <c r="E44" s="152" t="s">
        <v>2238</v>
      </c>
      <c r="F44" s="126">
        <v>420</v>
      </c>
      <c r="G44" s="107"/>
      <c r="H44" s="126">
        <f t="shared" si="1"/>
        <v>420</v>
      </c>
      <c r="I44" s="160"/>
      <c r="J44" s="150"/>
      <c r="K44" s="144" t="s">
        <v>1932</v>
      </c>
      <c r="L44" s="145" t="s">
        <v>1933</v>
      </c>
      <c r="M44" s="182" t="s">
        <v>1934</v>
      </c>
      <c r="N44" s="560" t="s">
        <v>2238</v>
      </c>
      <c r="O44" s="124" t="s">
        <v>2239</v>
      </c>
      <c r="P44" s="125">
        <v>1</v>
      </c>
      <c r="Q44" s="126" t="s">
        <v>2178</v>
      </c>
      <c r="R44" s="152" t="s">
        <v>2238</v>
      </c>
      <c r="S44" s="126">
        <v>420</v>
      </c>
      <c r="T44" s="107"/>
      <c r="U44" s="126">
        <v>420</v>
      </c>
      <c r="V44" s="160"/>
      <c r="W44" s="150"/>
      <c r="X44" s="144" t="s">
        <v>1932</v>
      </c>
      <c r="Y44" s="145" t="s">
        <v>1933</v>
      </c>
      <c r="Z44" s="627" t="s">
        <v>1934</v>
      </c>
    </row>
    <row r="45" spans="1:26" ht="13">
      <c r="A45" s="560" t="s">
        <v>2240</v>
      </c>
      <c r="B45" s="124" t="s">
        <v>2241</v>
      </c>
      <c r="C45" s="125">
        <v>1</v>
      </c>
      <c r="D45" s="126" t="s">
        <v>2178</v>
      </c>
      <c r="E45" s="152" t="s">
        <v>2240</v>
      </c>
      <c r="F45" s="126">
        <v>735</v>
      </c>
      <c r="G45" s="107"/>
      <c r="H45" s="126">
        <f t="shared" si="1"/>
        <v>735</v>
      </c>
      <c r="I45" s="160"/>
      <c r="J45" s="150"/>
      <c r="K45" s="144" t="s">
        <v>1932</v>
      </c>
      <c r="L45" s="145" t="s">
        <v>1933</v>
      </c>
      <c r="M45" s="182" t="s">
        <v>1934</v>
      </c>
      <c r="N45" s="560" t="s">
        <v>2240</v>
      </c>
      <c r="O45" s="124" t="s">
        <v>2241</v>
      </c>
      <c r="P45" s="125">
        <v>1</v>
      </c>
      <c r="Q45" s="126" t="s">
        <v>2178</v>
      </c>
      <c r="R45" s="152" t="s">
        <v>2240</v>
      </c>
      <c r="S45" s="126">
        <v>735</v>
      </c>
      <c r="T45" s="107"/>
      <c r="U45" s="126">
        <v>735</v>
      </c>
      <c r="V45" s="160"/>
      <c r="W45" s="150"/>
      <c r="X45" s="144" t="s">
        <v>1932</v>
      </c>
      <c r="Y45" s="145" t="s">
        <v>1933</v>
      </c>
      <c r="Z45" s="627" t="s">
        <v>1934</v>
      </c>
    </row>
    <row r="46" spans="1:26" ht="13">
      <c r="A46" s="560" t="s">
        <v>2242</v>
      </c>
      <c r="B46" s="124" t="s">
        <v>2243</v>
      </c>
      <c r="C46" s="125">
        <v>1</v>
      </c>
      <c r="D46" s="126" t="s">
        <v>2178</v>
      </c>
      <c r="E46" s="152" t="s">
        <v>2242</v>
      </c>
      <c r="F46" s="126">
        <v>210</v>
      </c>
      <c r="G46" s="107"/>
      <c r="H46" s="126">
        <f t="shared" si="1"/>
        <v>210</v>
      </c>
      <c r="I46" s="160"/>
      <c r="J46" s="150"/>
      <c r="K46" s="144" t="s">
        <v>1932</v>
      </c>
      <c r="L46" s="145" t="s">
        <v>1933</v>
      </c>
      <c r="M46" s="182" t="s">
        <v>1934</v>
      </c>
      <c r="N46" s="560" t="s">
        <v>2242</v>
      </c>
      <c r="O46" s="124" t="s">
        <v>2243</v>
      </c>
      <c r="P46" s="125">
        <v>1</v>
      </c>
      <c r="Q46" s="126" t="s">
        <v>2178</v>
      </c>
      <c r="R46" s="152" t="s">
        <v>2242</v>
      </c>
      <c r="S46" s="126">
        <v>210</v>
      </c>
      <c r="T46" s="107"/>
      <c r="U46" s="126">
        <v>210</v>
      </c>
      <c r="V46" s="160"/>
      <c r="W46" s="150"/>
      <c r="X46" s="144" t="s">
        <v>1932</v>
      </c>
      <c r="Y46" s="145" t="s">
        <v>1933</v>
      </c>
      <c r="Z46" s="627" t="s">
        <v>1934</v>
      </c>
    </row>
    <row r="47" spans="1:26" ht="13">
      <c r="A47" s="560" t="s">
        <v>2244</v>
      </c>
      <c r="B47" s="124" t="s">
        <v>2245</v>
      </c>
      <c r="C47" s="125">
        <v>1</v>
      </c>
      <c r="D47" s="126" t="s">
        <v>2178</v>
      </c>
      <c r="E47" s="152" t="s">
        <v>2244</v>
      </c>
      <c r="F47" s="126">
        <v>420</v>
      </c>
      <c r="G47" s="107"/>
      <c r="H47" s="126">
        <f t="shared" si="1"/>
        <v>420</v>
      </c>
      <c r="I47" s="160"/>
      <c r="J47" s="150"/>
      <c r="K47" s="144" t="s">
        <v>1932</v>
      </c>
      <c r="L47" s="145" t="s">
        <v>1933</v>
      </c>
      <c r="M47" s="182" t="s">
        <v>1934</v>
      </c>
      <c r="N47" s="560" t="s">
        <v>2244</v>
      </c>
      <c r="O47" s="124" t="s">
        <v>2245</v>
      </c>
      <c r="P47" s="125">
        <v>1</v>
      </c>
      <c r="Q47" s="126" t="s">
        <v>2178</v>
      </c>
      <c r="R47" s="152" t="s">
        <v>2244</v>
      </c>
      <c r="S47" s="126">
        <v>420</v>
      </c>
      <c r="T47" s="107"/>
      <c r="U47" s="126">
        <v>420</v>
      </c>
      <c r="V47" s="160"/>
      <c r="W47" s="150"/>
      <c r="X47" s="144" t="s">
        <v>1932</v>
      </c>
      <c r="Y47" s="145" t="s">
        <v>1933</v>
      </c>
      <c r="Z47" s="627" t="s">
        <v>1934</v>
      </c>
    </row>
    <row r="48" spans="1:26" ht="13">
      <c r="A48" s="560" t="s">
        <v>2246</v>
      </c>
      <c r="B48" s="124" t="s">
        <v>2247</v>
      </c>
      <c r="C48" s="125">
        <v>1</v>
      </c>
      <c r="D48" s="126" t="s">
        <v>2178</v>
      </c>
      <c r="E48" s="152" t="s">
        <v>2246</v>
      </c>
      <c r="F48" s="126">
        <v>735</v>
      </c>
      <c r="G48" s="107"/>
      <c r="H48" s="126">
        <f t="shared" si="1"/>
        <v>735</v>
      </c>
      <c r="I48" s="160"/>
      <c r="J48" s="150"/>
      <c r="K48" s="144" t="s">
        <v>1932</v>
      </c>
      <c r="L48" s="145" t="s">
        <v>1933</v>
      </c>
      <c r="M48" s="182" t="s">
        <v>1934</v>
      </c>
      <c r="N48" s="560" t="s">
        <v>2246</v>
      </c>
      <c r="O48" s="124" t="s">
        <v>2247</v>
      </c>
      <c r="P48" s="125">
        <v>1</v>
      </c>
      <c r="Q48" s="126" t="s">
        <v>2178</v>
      </c>
      <c r="R48" s="152" t="s">
        <v>2246</v>
      </c>
      <c r="S48" s="126">
        <v>735</v>
      </c>
      <c r="T48" s="107"/>
      <c r="U48" s="126">
        <v>735</v>
      </c>
      <c r="V48" s="160"/>
      <c r="W48" s="150"/>
      <c r="X48" s="144" t="s">
        <v>1932</v>
      </c>
      <c r="Y48" s="145" t="s">
        <v>1933</v>
      </c>
      <c r="Z48" s="627" t="s">
        <v>1934</v>
      </c>
    </row>
    <row r="49" spans="1:26" ht="13">
      <c r="A49" s="563" t="s">
        <v>1997</v>
      </c>
      <c r="B49" s="151" t="s">
        <v>1998</v>
      </c>
      <c r="C49" s="149">
        <v>1</v>
      </c>
      <c r="D49" s="148" t="s">
        <v>134</v>
      </c>
      <c r="E49" s="154" t="s">
        <v>1997</v>
      </c>
      <c r="F49" s="153">
        <v>782.67</v>
      </c>
      <c r="G49" s="167"/>
      <c r="H49" s="153">
        <f t="shared" si="1"/>
        <v>782.67</v>
      </c>
      <c r="I49" s="160"/>
      <c r="J49" s="150"/>
      <c r="K49" s="144" t="s">
        <v>1932</v>
      </c>
      <c r="L49" s="145" t="s">
        <v>1933</v>
      </c>
      <c r="M49" s="182" t="s">
        <v>1934</v>
      </c>
      <c r="N49" s="563" t="s">
        <v>1997</v>
      </c>
      <c r="O49" s="151" t="s">
        <v>1998</v>
      </c>
      <c r="P49" s="149">
        <v>1</v>
      </c>
      <c r="Q49" s="148" t="s">
        <v>134</v>
      </c>
      <c r="R49" s="154" t="s">
        <v>1997</v>
      </c>
      <c r="S49" s="153">
        <v>782.67</v>
      </c>
      <c r="T49" s="167"/>
      <c r="U49" s="153">
        <v>782.67</v>
      </c>
      <c r="V49" s="160"/>
      <c r="W49" s="150"/>
      <c r="X49" s="144" t="s">
        <v>1932</v>
      </c>
      <c r="Y49" s="145" t="s">
        <v>1933</v>
      </c>
      <c r="Z49" s="627" t="s">
        <v>1934</v>
      </c>
    </row>
    <row r="50" spans="1:26" ht="13">
      <c r="A50" s="563" t="s">
        <v>2248</v>
      </c>
      <c r="B50" s="151" t="s">
        <v>2002</v>
      </c>
      <c r="C50" s="149">
        <v>1</v>
      </c>
      <c r="D50" s="148" t="s">
        <v>134</v>
      </c>
      <c r="E50" s="154" t="s">
        <v>2248</v>
      </c>
      <c r="F50" s="153">
        <v>86.67</v>
      </c>
      <c r="G50" s="167"/>
      <c r="H50" s="153">
        <f t="shared" si="1"/>
        <v>86.67</v>
      </c>
      <c r="I50" s="160"/>
      <c r="J50" s="150"/>
      <c r="K50" s="144" t="s">
        <v>1932</v>
      </c>
      <c r="L50" s="145" t="s">
        <v>1933</v>
      </c>
      <c r="M50" s="182" t="s">
        <v>1934</v>
      </c>
      <c r="N50" s="563" t="s">
        <v>2248</v>
      </c>
      <c r="O50" s="151" t="s">
        <v>2002</v>
      </c>
      <c r="P50" s="149">
        <v>1</v>
      </c>
      <c r="Q50" s="148" t="s">
        <v>134</v>
      </c>
      <c r="R50" s="154" t="s">
        <v>2248</v>
      </c>
      <c r="S50" s="153">
        <v>86.67</v>
      </c>
      <c r="T50" s="167"/>
      <c r="U50" s="153">
        <v>86.67</v>
      </c>
      <c r="V50" s="160"/>
      <c r="W50" s="150"/>
      <c r="X50" s="144" t="s">
        <v>1932</v>
      </c>
      <c r="Y50" s="145" t="s">
        <v>1933</v>
      </c>
      <c r="Z50" s="627" t="s">
        <v>1934</v>
      </c>
    </row>
    <row r="51" spans="1:26" ht="13">
      <c r="A51" s="563" t="s">
        <v>2003</v>
      </c>
      <c r="B51" s="151" t="s">
        <v>2004</v>
      </c>
      <c r="C51" s="149">
        <v>1</v>
      </c>
      <c r="D51" s="148" t="s">
        <v>134</v>
      </c>
      <c r="E51" s="154" t="s">
        <v>2003</v>
      </c>
      <c r="F51" s="153">
        <v>326.67</v>
      </c>
      <c r="G51" s="167"/>
      <c r="H51" s="153">
        <f t="shared" si="1"/>
        <v>326.67</v>
      </c>
      <c r="I51" s="160"/>
      <c r="J51" s="150"/>
      <c r="K51" s="144" t="s">
        <v>1932</v>
      </c>
      <c r="L51" s="145" t="s">
        <v>1933</v>
      </c>
      <c r="M51" s="182" t="s">
        <v>1934</v>
      </c>
      <c r="N51" s="563" t="s">
        <v>2003</v>
      </c>
      <c r="O51" s="151" t="s">
        <v>2004</v>
      </c>
      <c r="P51" s="149">
        <v>1</v>
      </c>
      <c r="Q51" s="148" t="s">
        <v>134</v>
      </c>
      <c r="R51" s="154" t="s">
        <v>2003</v>
      </c>
      <c r="S51" s="153">
        <v>326.67</v>
      </c>
      <c r="T51" s="167"/>
      <c r="U51" s="153">
        <v>326.67</v>
      </c>
      <c r="V51" s="160"/>
      <c r="W51" s="150"/>
      <c r="X51" s="144" t="s">
        <v>1932</v>
      </c>
      <c r="Y51" s="145" t="s">
        <v>1933</v>
      </c>
      <c r="Z51" s="627" t="s">
        <v>1934</v>
      </c>
    </row>
    <row r="52" spans="1:26" ht="13">
      <c r="A52" s="563" t="s">
        <v>2005</v>
      </c>
      <c r="B52" s="151" t="s">
        <v>2006</v>
      </c>
      <c r="C52" s="149">
        <v>1</v>
      </c>
      <c r="D52" s="148" t="s">
        <v>134</v>
      </c>
      <c r="E52" s="147" t="s">
        <v>2005</v>
      </c>
      <c r="F52" s="146">
        <v>649.33000000000004</v>
      </c>
      <c r="G52" s="167"/>
      <c r="H52" s="153">
        <f t="shared" si="1"/>
        <v>649.33000000000004</v>
      </c>
      <c r="I52" s="160"/>
      <c r="J52" s="150"/>
      <c r="K52" s="144" t="s">
        <v>1932</v>
      </c>
      <c r="L52" s="145" t="s">
        <v>1933</v>
      </c>
      <c r="M52" s="182" t="s">
        <v>1934</v>
      </c>
      <c r="N52" s="563" t="s">
        <v>2005</v>
      </c>
      <c r="O52" s="151" t="s">
        <v>2006</v>
      </c>
      <c r="P52" s="149">
        <v>1</v>
      </c>
      <c r="Q52" s="148" t="s">
        <v>134</v>
      </c>
      <c r="R52" s="147" t="s">
        <v>2005</v>
      </c>
      <c r="S52" s="146">
        <v>649.33000000000004</v>
      </c>
      <c r="T52" s="167"/>
      <c r="U52" s="153">
        <v>649.33000000000004</v>
      </c>
      <c r="V52" s="160"/>
      <c r="W52" s="150"/>
      <c r="X52" s="144" t="s">
        <v>1932</v>
      </c>
      <c r="Y52" s="145" t="s">
        <v>1933</v>
      </c>
      <c r="Z52" s="627" t="s">
        <v>1934</v>
      </c>
    </row>
    <row r="53" spans="1:26" ht="13">
      <c r="A53" s="563" t="s">
        <v>2007</v>
      </c>
      <c r="B53" s="151" t="s">
        <v>2008</v>
      </c>
      <c r="C53" s="149">
        <v>1</v>
      </c>
      <c r="D53" s="148" t="s">
        <v>134</v>
      </c>
      <c r="E53" s="154" t="s">
        <v>2007</v>
      </c>
      <c r="F53" s="153">
        <v>173.33</v>
      </c>
      <c r="G53" s="167"/>
      <c r="H53" s="153">
        <f t="shared" si="1"/>
        <v>173.33</v>
      </c>
      <c r="I53" s="160"/>
      <c r="J53" s="150"/>
      <c r="K53" s="144" t="s">
        <v>1932</v>
      </c>
      <c r="L53" s="145" t="s">
        <v>1933</v>
      </c>
      <c r="M53" s="182" t="s">
        <v>1934</v>
      </c>
      <c r="N53" s="563" t="s">
        <v>2007</v>
      </c>
      <c r="O53" s="151" t="s">
        <v>2008</v>
      </c>
      <c r="P53" s="149">
        <v>1</v>
      </c>
      <c r="Q53" s="148" t="s">
        <v>134</v>
      </c>
      <c r="R53" s="154" t="s">
        <v>2007</v>
      </c>
      <c r="S53" s="153">
        <v>173.33</v>
      </c>
      <c r="T53" s="167"/>
      <c r="U53" s="153">
        <v>173.33</v>
      </c>
      <c r="V53" s="160"/>
      <c r="W53" s="150"/>
      <c r="X53" s="144" t="s">
        <v>1932</v>
      </c>
      <c r="Y53" s="145" t="s">
        <v>1933</v>
      </c>
      <c r="Z53" s="627" t="s">
        <v>1934</v>
      </c>
    </row>
    <row r="54" spans="1:26" ht="14">
      <c r="A54" s="563" t="s">
        <v>1999</v>
      </c>
      <c r="B54" s="166" t="s">
        <v>2000</v>
      </c>
      <c r="C54" s="165">
        <v>1</v>
      </c>
      <c r="D54" s="164" t="s">
        <v>134</v>
      </c>
      <c r="E54" s="164" t="s">
        <v>1999</v>
      </c>
      <c r="F54" s="153">
        <v>391.3</v>
      </c>
      <c r="G54" s="163"/>
      <c r="H54" s="146">
        <f t="shared" si="1"/>
        <v>391.3</v>
      </c>
      <c r="I54" s="160"/>
      <c r="J54" s="150"/>
      <c r="K54" s="144" t="s">
        <v>1932</v>
      </c>
      <c r="L54" s="145" t="s">
        <v>1933</v>
      </c>
      <c r="M54" s="182" t="s">
        <v>1934</v>
      </c>
      <c r="N54" s="563" t="s">
        <v>1999</v>
      </c>
      <c r="O54" s="166" t="s">
        <v>2000</v>
      </c>
      <c r="P54" s="165">
        <v>1</v>
      </c>
      <c r="Q54" s="164" t="s">
        <v>134</v>
      </c>
      <c r="R54" s="164" t="s">
        <v>1999</v>
      </c>
      <c r="S54" s="153">
        <v>391.3</v>
      </c>
      <c r="T54" s="163"/>
      <c r="U54" s="146">
        <v>391.3</v>
      </c>
      <c r="V54" s="160"/>
      <c r="W54" s="150"/>
      <c r="X54" s="144" t="s">
        <v>1932</v>
      </c>
      <c r="Y54" s="145" t="s">
        <v>1933</v>
      </c>
      <c r="Z54" s="627" t="s">
        <v>1934</v>
      </c>
    </row>
    <row r="55" spans="1:26" ht="13">
      <c r="A55" s="560" t="s">
        <v>2249</v>
      </c>
      <c r="B55" s="124" t="s">
        <v>2250</v>
      </c>
      <c r="C55" s="125">
        <v>1</v>
      </c>
      <c r="D55" s="126" t="s">
        <v>2178</v>
      </c>
      <c r="E55" s="152" t="s">
        <v>2249</v>
      </c>
      <c r="F55" s="126">
        <v>1035</v>
      </c>
      <c r="G55" s="107"/>
      <c r="H55" s="126">
        <f t="shared" si="1"/>
        <v>1035</v>
      </c>
      <c r="I55" s="160"/>
      <c r="J55" s="150"/>
      <c r="K55" s="144" t="s">
        <v>1932</v>
      </c>
      <c r="L55" s="145" t="s">
        <v>1933</v>
      </c>
      <c r="M55" s="182" t="s">
        <v>1934</v>
      </c>
      <c r="N55" s="560" t="s">
        <v>2249</v>
      </c>
      <c r="O55" s="124" t="s">
        <v>2250</v>
      </c>
      <c r="P55" s="125">
        <v>1</v>
      </c>
      <c r="Q55" s="126" t="s">
        <v>2178</v>
      </c>
      <c r="R55" s="152" t="s">
        <v>2249</v>
      </c>
      <c r="S55" s="126">
        <v>1035</v>
      </c>
      <c r="T55" s="107"/>
      <c r="U55" s="126">
        <v>1035</v>
      </c>
      <c r="V55" s="160"/>
      <c r="W55" s="150"/>
      <c r="X55" s="144" t="s">
        <v>1932</v>
      </c>
      <c r="Y55" s="145" t="s">
        <v>1933</v>
      </c>
      <c r="Z55" s="627" t="s">
        <v>1934</v>
      </c>
    </row>
    <row r="56" spans="1:26" ht="13">
      <c r="A56" s="560" t="s">
        <v>2251</v>
      </c>
      <c r="B56" s="124" t="s">
        <v>2252</v>
      </c>
      <c r="C56" s="125">
        <v>1</v>
      </c>
      <c r="D56" s="126" t="s">
        <v>2178</v>
      </c>
      <c r="E56" s="152" t="s">
        <v>2251</v>
      </c>
      <c r="F56" s="126">
        <v>1075</v>
      </c>
      <c r="G56" s="107"/>
      <c r="H56" s="126">
        <f t="shared" si="1"/>
        <v>1075</v>
      </c>
      <c r="I56" s="160"/>
      <c r="J56" s="150"/>
      <c r="K56" s="144" t="s">
        <v>1932</v>
      </c>
      <c r="L56" s="145" t="s">
        <v>1933</v>
      </c>
      <c r="M56" s="182" t="s">
        <v>1934</v>
      </c>
      <c r="N56" s="560" t="s">
        <v>2251</v>
      </c>
      <c r="O56" s="124" t="s">
        <v>2252</v>
      </c>
      <c r="P56" s="125">
        <v>1</v>
      </c>
      <c r="Q56" s="126" t="s">
        <v>2178</v>
      </c>
      <c r="R56" s="152" t="s">
        <v>2251</v>
      </c>
      <c r="S56" s="126">
        <v>1075</v>
      </c>
      <c r="T56" s="107"/>
      <c r="U56" s="126">
        <v>1075</v>
      </c>
      <c r="V56" s="160"/>
      <c r="W56" s="150"/>
      <c r="X56" s="144" t="s">
        <v>1932</v>
      </c>
      <c r="Y56" s="145" t="s">
        <v>1933</v>
      </c>
      <c r="Z56" s="627" t="s">
        <v>1934</v>
      </c>
    </row>
    <row r="57" spans="1:26" ht="13">
      <c r="A57" s="560" t="s">
        <v>2011</v>
      </c>
      <c r="B57" s="124" t="s">
        <v>2012</v>
      </c>
      <c r="C57" s="125">
        <v>1</v>
      </c>
      <c r="D57" s="126" t="s">
        <v>2178</v>
      </c>
      <c r="E57" s="152" t="s">
        <v>2011</v>
      </c>
      <c r="F57" s="126">
        <v>10</v>
      </c>
      <c r="G57" s="107"/>
      <c r="H57" s="126">
        <f t="shared" si="1"/>
        <v>10</v>
      </c>
      <c r="I57" s="160"/>
      <c r="J57" s="150"/>
      <c r="K57" s="144" t="s">
        <v>1932</v>
      </c>
      <c r="L57" s="145" t="s">
        <v>1933</v>
      </c>
      <c r="M57" s="182" t="s">
        <v>1934</v>
      </c>
      <c r="N57" s="560" t="s">
        <v>2011</v>
      </c>
      <c r="O57" s="124" t="s">
        <v>2012</v>
      </c>
      <c r="P57" s="125">
        <v>1</v>
      </c>
      <c r="Q57" s="126" t="s">
        <v>2178</v>
      </c>
      <c r="R57" s="152" t="s">
        <v>2011</v>
      </c>
      <c r="S57" s="126">
        <v>10</v>
      </c>
      <c r="T57" s="107"/>
      <c r="U57" s="126">
        <v>10</v>
      </c>
      <c r="V57" s="160"/>
      <c r="W57" s="150"/>
      <c r="X57" s="144" t="s">
        <v>1932</v>
      </c>
      <c r="Y57" s="145" t="s">
        <v>1933</v>
      </c>
      <c r="Z57" s="627" t="s">
        <v>1934</v>
      </c>
    </row>
    <row r="58" spans="1:26" ht="13">
      <c r="A58" s="560" t="s">
        <v>2014</v>
      </c>
      <c r="B58" s="124" t="s">
        <v>2015</v>
      </c>
      <c r="C58" s="125">
        <v>1</v>
      </c>
      <c r="D58" s="126" t="s">
        <v>2178</v>
      </c>
      <c r="E58" s="152" t="s">
        <v>2014</v>
      </c>
      <c r="F58" s="126">
        <v>440</v>
      </c>
      <c r="G58" s="107"/>
      <c r="H58" s="126">
        <f t="shared" si="1"/>
        <v>440</v>
      </c>
      <c r="I58" s="160"/>
      <c r="J58" s="150"/>
      <c r="K58" s="144" t="s">
        <v>1932</v>
      </c>
      <c r="L58" s="145" t="s">
        <v>1933</v>
      </c>
      <c r="M58" s="182" t="s">
        <v>1934</v>
      </c>
      <c r="N58" s="560" t="s">
        <v>2014</v>
      </c>
      <c r="O58" s="124" t="s">
        <v>2015</v>
      </c>
      <c r="P58" s="125">
        <v>1</v>
      </c>
      <c r="Q58" s="126" t="s">
        <v>2178</v>
      </c>
      <c r="R58" s="152" t="s">
        <v>2014</v>
      </c>
      <c r="S58" s="126">
        <v>440</v>
      </c>
      <c r="T58" s="107"/>
      <c r="U58" s="126">
        <v>440</v>
      </c>
      <c r="V58" s="160"/>
      <c r="W58" s="150"/>
      <c r="X58" s="144" t="s">
        <v>1932</v>
      </c>
      <c r="Y58" s="145" t="s">
        <v>1933</v>
      </c>
      <c r="Z58" s="627" t="s">
        <v>1934</v>
      </c>
    </row>
    <row r="59" spans="1:26" ht="13">
      <c r="A59" s="560" t="s">
        <v>2016</v>
      </c>
      <c r="B59" s="124" t="s">
        <v>2017</v>
      </c>
      <c r="C59" s="125">
        <v>1</v>
      </c>
      <c r="D59" s="126" t="s">
        <v>2178</v>
      </c>
      <c r="E59" s="152" t="s">
        <v>2016</v>
      </c>
      <c r="F59" s="126">
        <v>600</v>
      </c>
      <c r="G59" s="107"/>
      <c r="H59" s="126">
        <f t="shared" si="1"/>
        <v>600</v>
      </c>
      <c r="I59" s="160"/>
      <c r="J59" s="150"/>
      <c r="K59" s="144" t="s">
        <v>1932</v>
      </c>
      <c r="L59" s="145" t="s">
        <v>1933</v>
      </c>
      <c r="M59" s="182" t="s">
        <v>1934</v>
      </c>
      <c r="N59" s="560" t="s">
        <v>2016</v>
      </c>
      <c r="O59" s="124" t="s">
        <v>2017</v>
      </c>
      <c r="P59" s="125">
        <v>1</v>
      </c>
      <c r="Q59" s="126" t="s">
        <v>2178</v>
      </c>
      <c r="R59" s="152" t="s">
        <v>2016</v>
      </c>
      <c r="S59" s="126">
        <v>600</v>
      </c>
      <c r="T59" s="107"/>
      <c r="U59" s="126">
        <v>600</v>
      </c>
      <c r="V59" s="160"/>
      <c r="W59" s="150"/>
      <c r="X59" s="144" t="s">
        <v>1932</v>
      </c>
      <c r="Y59" s="145" t="s">
        <v>1933</v>
      </c>
      <c r="Z59" s="627" t="s">
        <v>1934</v>
      </c>
    </row>
    <row r="60" spans="1:26" ht="13">
      <c r="A60" s="560" t="s">
        <v>2018</v>
      </c>
      <c r="B60" s="124" t="s">
        <v>2019</v>
      </c>
      <c r="C60" s="125">
        <v>1</v>
      </c>
      <c r="D60" s="126" t="s">
        <v>2178</v>
      </c>
      <c r="E60" s="152" t="s">
        <v>2018</v>
      </c>
      <c r="F60" s="126">
        <v>520</v>
      </c>
      <c r="G60" s="107"/>
      <c r="H60" s="126">
        <f t="shared" si="1"/>
        <v>520</v>
      </c>
      <c r="I60" s="160"/>
      <c r="J60" s="150"/>
      <c r="K60" s="144" t="s">
        <v>1932</v>
      </c>
      <c r="L60" s="145" t="s">
        <v>1933</v>
      </c>
      <c r="M60" s="182" t="s">
        <v>1934</v>
      </c>
      <c r="N60" s="560" t="s">
        <v>2018</v>
      </c>
      <c r="O60" s="124" t="s">
        <v>2019</v>
      </c>
      <c r="P60" s="125">
        <v>1</v>
      </c>
      <c r="Q60" s="126" t="s">
        <v>2178</v>
      </c>
      <c r="R60" s="152" t="s">
        <v>2018</v>
      </c>
      <c r="S60" s="126">
        <v>520</v>
      </c>
      <c r="T60" s="107"/>
      <c r="U60" s="126">
        <v>520</v>
      </c>
      <c r="V60" s="160"/>
      <c r="W60" s="150"/>
      <c r="X60" s="144" t="s">
        <v>1932</v>
      </c>
      <c r="Y60" s="145" t="s">
        <v>1933</v>
      </c>
      <c r="Z60" s="627" t="s">
        <v>1934</v>
      </c>
    </row>
    <row r="61" spans="1:26" ht="13">
      <c r="A61" s="560" t="s">
        <v>2020</v>
      </c>
      <c r="B61" s="124" t="s">
        <v>2021</v>
      </c>
      <c r="C61" s="125">
        <v>1</v>
      </c>
      <c r="D61" s="126" t="s">
        <v>2178</v>
      </c>
      <c r="E61" s="152" t="s">
        <v>2020</v>
      </c>
      <c r="F61" s="126">
        <v>1106.67</v>
      </c>
      <c r="G61" s="107"/>
      <c r="H61" s="126">
        <f t="shared" si="1"/>
        <v>1106.67</v>
      </c>
      <c r="I61" s="160"/>
      <c r="J61" s="150"/>
      <c r="K61" s="144" t="s">
        <v>1932</v>
      </c>
      <c r="L61" s="145" t="s">
        <v>1933</v>
      </c>
      <c r="M61" s="182" t="s">
        <v>1934</v>
      </c>
      <c r="N61" s="560" t="s">
        <v>2020</v>
      </c>
      <c r="O61" s="124" t="s">
        <v>2021</v>
      </c>
      <c r="P61" s="125">
        <v>1</v>
      </c>
      <c r="Q61" s="126" t="s">
        <v>2178</v>
      </c>
      <c r="R61" s="152" t="s">
        <v>2020</v>
      </c>
      <c r="S61" s="126">
        <v>1106.67</v>
      </c>
      <c r="T61" s="107"/>
      <c r="U61" s="126">
        <v>1106.67</v>
      </c>
      <c r="V61" s="160"/>
      <c r="W61" s="150"/>
      <c r="X61" s="144" t="s">
        <v>1932</v>
      </c>
      <c r="Y61" s="145" t="s">
        <v>1933</v>
      </c>
      <c r="Z61" s="627" t="s">
        <v>1934</v>
      </c>
    </row>
    <row r="62" spans="1:26" ht="13">
      <c r="A62" s="562" t="s">
        <v>2022</v>
      </c>
      <c r="B62" s="168" t="s">
        <v>2253</v>
      </c>
      <c r="C62" s="125">
        <v>1</v>
      </c>
      <c r="D62" s="126" t="s">
        <v>2178</v>
      </c>
      <c r="E62" s="152" t="s">
        <v>2022</v>
      </c>
      <c r="F62" s="126"/>
      <c r="G62" s="107"/>
      <c r="H62" s="126" t="s">
        <v>1931</v>
      </c>
      <c r="I62" s="160"/>
      <c r="J62" s="150"/>
      <c r="K62" s="144" t="s">
        <v>1932</v>
      </c>
      <c r="L62" s="145" t="s">
        <v>1933</v>
      </c>
      <c r="M62" s="182" t="s">
        <v>1934</v>
      </c>
      <c r="N62" s="562" t="s">
        <v>2022</v>
      </c>
      <c r="O62" s="168" t="s">
        <v>2253</v>
      </c>
      <c r="P62" s="125">
        <v>1</v>
      </c>
      <c r="Q62" s="126" t="s">
        <v>2178</v>
      </c>
      <c r="R62" s="152" t="s">
        <v>2022</v>
      </c>
      <c r="S62" s="126"/>
      <c r="T62" s="107"/>
      <c r="U62" s="126" t="s">
        <v>1931</v>
      </c>
      <c r="V62" s="160"/>
      <c r="W62" s="150"/>
      <c r="X62" s="144" t="s">
        <v>1932</v>
      </c>
      <c r="Y62" s="145" t="s">
        <v>1933</v>
      </c>
      <c r="Z62" s="627" t="s">
        <v>1934</v>
      </c>
    </row>
    <row r="63" spans="1:26" ht="13">
      <c r="A63" s="560" t="s">
        <v>2042</v>
      </c>
      <c r="B63" s="124" t="s">
        <v>2043</v>
      </c>
      <c r="C63" s="125">
        <v>1</v>
      </c>
      <c r="D63" s="126" t="s">
        <v>134</v>
      </c>
      <c r="E63" s="152" t="s">
        <v>2042</v>
      </c>
      <c r="F63" s="126">
        <v>6666.67</v>
      </c>
      <c r="G63" s="107"/>
      <c r="H63" s="126">
        <f t="shared" si="1"/>
        <v>6666.67</v>
      </c>
      <c r="I63" s="160"/>
      <c r="J63" s="150"/>
      <c r="K63" s="144" t="s">
        <v>1932</v>
      </c>
      <c r="L63" s="145" t="s">
        <v>1933</v>
      </c>
      <c r="M63" s="182" t="s">
        <v>1934</v>
      </c>
      <c r="N63" s="560" t="s">
        <v>2042</v>
      </c>
      <c r="O63" s="124" t="s">
        <v>2043</v>
      </c>
      <c r="P63" s="125">
        <v>1</v>
      </c>
      <c r="Q63" s="126" t="s">
        <v>134</v>
      </c>
      <c r="R63" s="152" t="s">
        <v>2042</v>
      </c>
      <c r="S63" s="126">
        <v>6666.67</v>
      </c>
      <c r="T63" s="107"/>
      <c r="U63" s="126">
        <v>6666.67</v>
      </c>
      <c r="V63" s="160"/>
      <c r="W63" s="150"/>
      <c r="X63" s="144" t="s">
        <v>1932</v>
      </c>
      <c r="Y63" s="145" t="s">
        <v>1933</v>
      </c>
      <c r="Z63" s="627" t="s">
        <v>1934</v>
      </c>
    </row>
    <row r="64" spans="1:26" ht="13">
      <c r="A64" s="560" t="s">
        <v>2044</v>
      </c>
      <c r="B64" s="124" t="s">
        <v>2045</v>
      </c>
      <c r="C64" s="125">
        <v>1</v>
      </c>
      <c r="D64" s="126" t="s">
        <v>134</v>
      </c>
      <c r="E64" s="152" t="s">
        <v>2044</v>
      </c>
      <c r="F64" s="126">
        <v>10666.67</v>
      </c>
      <c r="G64" s="107"/>
      <c r="H64" s="126">
        <f t="shared" si="1"/>
        <v>10666.67</v>
      </c>
      <c r="I64" s="160"/>
      <c r="J64" s="150"/>
      <c r="K64" s="144" t="s">
        <v>1932</v>
      </c>
      <c r="L64" s="145" t="s">
        <v>1933</v>
      </c>
      <c r="M64" s="182" t="s">
        <v>1934</v>
      </c>
      <c r="N64" s="560" t="s">
        <v>2044</v>
      </c>
      <c r="O64" s="124" t="s">
        <v>2045</v>
      </c>
      <c r="P64" s="125">
        <v>1</v>
      </c>
      <c r="Q64" s="126" t="s">
        <v>134</v>
      </c>
      <c r="R64" s="152" t="s">
        <v>2044</v>
      </c>
      <c r="S64" s="126">
        <v>10666.67</v>
      </c>
      <c r="T64" s="107"/>
      <c r="U64" s="126">
        <v>10666.67</v>
      </c>
      <c r="V64" s="160"/>
      <c r="W64" s="150"/>
      <c r="X64" s="144" t="s">
        <v>1932</v>
      </c>
      <c r="Y64" s="145" t="s">
        <v>1933</v>
      </c>
      <c r="Z64" s="627" t="s">
        <v>1934</v>
      </c>
    </row>
    <row r="65" spans="1:26" ht="13">
      <c r="A65" s="560" t="s">
        <v>2046</v>
      </c>
      <c r="B65" s="124" t="s">
        <v>2047</v>
      </c>
      <c r="C65" s="125">
        <v>1</v>
      </c>
      <c r="D65" s="126" t="s">
        <v>134</v>
      </c>
      <c r="E65" s="152" t="s">
        <v>2046</v>
      </c>
      <c r="F65" s="126">
        <v>16000</v>
      </c>
      <c r="G65" s="107"/>
      <c r="H65" s="126">
        <f t="shared" si="1"/>
        <v>16000</v>
      </c>
      <c r="I65" s="160"/>
      <c r="J65" s="150"/>
      <c r="K65" s="144" t="s">
        <v>1932</v>
      </c>
      <c r="L65" s="145" t="s">
        <v>1933</v>
      </c>
      <c r="M65" s="182" t="s">
        <v>1934</v>
      </c>
      <c r="N65" s="560" t="s">
        <v>2046</v>
      </c>
      <c r="O65" s="124" t="s">
        <v>2047</v>
      </c>
      <c r="P65" s="125">
        <v>1</v>
      </c>
      <c r="Q65" s="126" t="s">
        <v>134</v>
      </c>
      <c r="R65" s="152" t="s">
        <v>2046</v>
      </c>
      <c r="S65" s="126">
        <v>16000</v>
      </c>
      <c r="T65" s="107"/>
      <c r="U65" s="126">
        <v>16000</v>
      </c>
      <c r="V65" s="160"/>
      <c r="W65" s="150"/>
      <c r="X65" s="144" t="s">
        <v>1932</v>
      </c>
      <c r="Y65" s="145" t="s">
        <v>1933</v>
      </c>
      <c r="Z65" s="627" t="s">
        <v>1934</v>
      </c>
    </row>
    <row r="66" spans="1:26" ht="13">
      <c r="A66" s="560" t="s">
        <v>2048</v>
      </c>
      <c r="B66" s="124" t="s">
        <v>2049</v>
      </c>
      <c r="C66" s="125">
        <v>1</v>
      </c>
      <c r="D66" s="126" t="s">
        <v>134</v>
      </c>
      <c r="E66" s="152" t="s">
        <v>2048</v>
      </c>
      <c r="F66" s="126">
        <v>20000</v>
      </c>
      <c r="G66" s="107"/>
      <c r="H66" s="126">
        <f t="shared" si="1"/>
        <v>20000</v>
      </c>
      <c r="I66" s="160"/>
      <c r="J66" s="150"/>
      <c r="K66" s="144" t="s">
        <v>1932</v>
      </c>
      <c r="L66" s="145" t="s">
        <v>1933</v>
      </c>
      <c r="M66" s="182" t="s">
        <v>1934</v>
      </c>
      <c r="N66" s="560" t="s">
        <v>2048</v>
      </c>
      <c r="O66" s="124" t="s">
        <v>2049</v>
      </c>
      <c r="P66" s="125">
        <v>1</v>
      </c>
      <c r="Q66" s="126" t="s">
        <v>134</v>
      </c>
      <c r="R66" s="152" t="s">
        <v>2048</v>
      </c>
      <c r="S66" s="126">
        <v>20000</v>
      </c>
      <c r="T66" s="107"/>
      <c r="U66" s="126">
        <v>20000</v>
      </c>
      <c r="V66" s="160"/>
      <c r="W66" s="150"/>
      <c r="X66" s="144" t="s">
        <v>1932</v>
      </c>
      <c r="Y66" s="145" t="s">
        <v>1933</v>
      </c>
      <c r="Z66" s="627" t="s">
        <v>1934</v>
      </c>
    </row>
    <row r="67" spans="1:26" ht="13">
      <c r="A67" s="560" t="s">
        <v>2050</v>
      </c>
      <c r="B67" s="124" t="s">
        <v>2051</v>
      </c>
      <c r="C67" s="125">
        <v>1</v>
      </c>
      <c r="D67" s="126" t="s">
        <v>134</v>
      </c>
      <c r="E67" s="152" t="s">
        <v>2050</v>
      </c>
      <c r="F67" s="126">
        <v>26666.67</v>
      </c>
      <c r="G67" s="107"/>
      <c r="H67" s="126">
        <f t="shared" si="1"/>
        <v>26666.67</v>
      </c>
      <c r="I67" s="160"/>
      <c r="J67" s="150"/>
      <c r="K67" s="144" t="s">
        <v>1932</v>
      </c>
      <c r="L67" s="145" t="s">
        <v>1933</v>
      </c>
      <c r="M67" s="182" t="s">
        <v>1934</v>
      </c>
      <c r="N67" s="560" t="s">
        <v>2050</v>
      </c>
      <c r="O67" s="124" t="s">
        <v>2051</v>
      </c>
      <c r="P67" s="125">
        <v>1</v>
      </c>
      <c r="Q67" s="126" t="s">
        <v>134</v>
      </c>
      <c r="R67" s="152" t="s">
        <v>2050</v>
      </c>
      <c r="S67" s="126">
        <v>26666.67</v>
      </c>
      <c r="T67" s="107"/>
      <c r="U67" s="126">
        <v>26666.67</v>
      </c>
      <c r="V67" s="160"/>
      <c r="W67" s="150"/>
      <c r="X67" s="144" t="s">
        <v>1932</v>
      </c>
      <c r="Y67" s="145" t="s">
        <v>1933</v>
      </c>
      <c r="Z67" s="627" t="s">
        <v>1934</v>
      </c>
    </row>
    <row r="68" spans="1:26" ht="13">
      <c r="A68" s="560" t="s">
        <v>2052</v>
      </c>
      <c r="B68" s="124" t="s">
        <v>2053</v>
      </c>
      <c r="C68" s="125">
        <v>1</v>
      </c>
      <c r="D68" s="126" t="s">
        <v>134</v>
      </c>
      <c r="E68" s="152" t="s">
        <v>2052</v>
      </c>
      <c r="F68" s="126">
        <v>1600</v>
      </c>
      <c r="G68" s="107"/>
      <c r="H68" s="126">
        <f t="shared" si="1"/>
        <v>1600</v>
      </c>
      <c r="I68" s="160"/>
      <c r="J68" s="150"/>
      <c r="K68" s="144" t="s">
        <v>1932</v>
      </c>
      <c r="L68" s="145" t="s">
        <v>1933</v>
      </c>
      <c r="M68" s="182" t="s">
        <v>1934</v>
      </c>
      <c r="N68" s="560" t="s">
        <v>2052</v>
      </c>
      <c r="O68" s="124" t="s">
        <v>2053</v>
      </c>
      <c r="P68" s="125">
        <v>1</v>
      </c>
      <c r="Q68" s="126" t="s">
        <v>134</v>
      </c>
      <c r="R68" s="152" t="s">
        <v>2052</v>
      </c>
      <c r="S68" s="126">
        <v>1600</v>
      </c>
      <c r="T68" s="107"/>
      <c r="U68" s="126">
        <v>1600</v>
      </c>
      <c r="V68" s="160"/>
      <c r="W68" s="150"/>
      <c r="X68" s="144" t="s">
        <v>1932</v>
      </c>
      <c r="Y68" s="145" t="s">
        <v>1933</v>
      </c>
      <c r="Z68" s="627" t="s">
        <v>1934</v>
      </c>
    </row>
    <row r="69" spans="1:26" ht="13">
      <c r="A69" s="560" t="s">
        <v>2054</v>
      </c>
      <c r="B69" s="124" t="s">
        <v>2055</v>
      </c>
      <c r="C69" s="125">
        <v>1</v>
      </c>
      <c r="D69" s="126" t="s">
        <v>134</v>
      </c>
      <c r="E69" s="152" t="s">
        <v>2054</v>
      </c>
      <c r="F69" s="126">
        <v>3866.67</v>
      </c>
      <c r="G69" s="107"/>
      <c r="H69" s="126">
        <f t="shared" si="1"/>
        <v>3866.67</v>
      </c>
      <c r="I69" s="160"/>
      <c r="J69" s="150"/>
      <c r="K69" s="144" t="s">
        <v>1932</v>
      </c>
      <c r="L69" s="145" t="s">
        <v>1933</v>
      </c>
      <c r="M69" s="182" t="s">
        <v>1934</v>
      </c>
      <c r="N69" s="560" t="s">
        <v>2054</v>
      </c>
      <c r="O69" s="124" t="s">
        <v>2055</v>
      </c>
      <c r="P69" s="125">
        <v>1</v>
      </c>
      <c r="Q69" s="126" t="s">
        <v>134</v>
      </c>
      <c r="R69" s="152" t="s">
        <v>2054</v>
      </c>
      <c r="S69" s="126">
        <v>3866.67</v>
      </c>
      <c r="T69" s="107"/>
      <c r="U69" s="126">
        <v>3866.67</v>
      </c>
      <c r="V69" s="160"/>
      <c r="W69" s="150"/>
      <c r="X69" s="144" t="s">
        <v>1932</v>
      </c>
      <c r="Y69" s="145" t="s">
        <v>1933</v>
      </c>
      <c r="Z69" s="627" t="s">
        <v>1934</v>
      </c>
    </row>
    <row r="70" spans="1:26" ht="13">
      <c r="A70" s="564" t="s">
        <v>2056</v>
      </c>
      <c r="B70" s="103"/>
      <c r="C70" s="125"/>
      <c r="D70" s="126"/>
      <c r="E70" s="106"/>
      <c r="F70" s="106"/>
      <c r="G70" s="107"/>
      <c r="H70" s="106"/>
      <c r="I70" s="160"/>
      <c r="J70" s="150"/>
      <c r="K70" s="105"/>
      <c r="L70" s="145"/>
      <c r="M70" s="182"/>
      <c r="N70" s="564" t="s">
        <v>2056</v>
      </c>
      <c r="O70" s="103"/>
      <c r="P70" s="125"/>
      <c r="Q70" s="126"/>
      <c r="R70" s="106"/>
      <c r="S70" s="106"/>
      <c r="T70" s="107"/>
      <c r="U70" s="106"/>
      <c r="V70" s="160"/>
      <c r="W70" s="150"/>
      <c r="X70" s="105"/>
      <c r="Y70" s="145"/>
      <c r="Z70" s="627"/>
    </row>
    <row r="71" spans="1:26" ht="13">
      <c r="A71" s="560" t="s">
        <v>2057</v>
      </c>
      <c r="B71" s="124" t="s">
        <v>2058</v>
      </c>
      <c r="C71" s="125">
        <v>1</v>
      </c>
      <c r="D71" s="126" t="s">
        <v>126</v>
      </c>
      <c r="E71" s="152" t="s">
        <v>2057</v>
      </c>
      <c r="F71" s="128">
        <v>17665.830000000002</v>
      </c>
      <c r="G71" s="129" cm="1">
        <f t="array" ref="G71">rv_30</f>
        <v>0.3</v>
      </c>
      <c r="H71" s="128">
        <f t="shared" ref="H71:H82" si="2">F71-(F71*G71)</f>
        <v>12366.081000000002</v>
      </c>
      <c r="I71" s="160"/>
      <c r="J71" s="104">
        <v>0</v>
      </c>
      <c r="K71" s="144" t="s">
        <v>2059</v>
      </c>
      <c r="L71" s="145" t="s">
        <v>1933</v>
      </c>
      <c r="M71" s="182" t="s">
        <v>1934</v>
      </c>
      <c r="N71" s="560" t="s">
        <v>2057</v>
      </c>
      <c r="O71" s="124" t="s">
        <v>2058</v>
      </c>
      <c r="P71" s="125">
        <v>1</v>
      </c>
      <c r="Q71" s="126" t="s">
        <v>126</v>
      </c>
      <c r="R71" s="152" t="s">
        <v>2057</v>
      </c>
      <c r="S71" s="128">
        <v>17665.830000000002</v>
      </c>
      <c r="T71" s="129">
        <v>0.3</v>
      </c>
      <c r="U71" s="128">
        <v>12366.081000000002</v>
      </c>
      <c r="V71" s="160"/>
      <c r="W71" s="104">
        <v>0</v>
      </c>
      <c r="X71" s="144" t="s">
        <v>2059</v>
      </c>
      <c r="Y71" s="145" t="s">
        <v>1933</v>
      </c>
      <c r="Z71" s="627" t="s">
        <v>1934</v>
      </c>
    </row>
    <row r="72" spans="1:26" ht="13">
      <c r="A72" s="560" t="s">
        <v>2060</v>
      </c>
      <c r="B72" s="124" t="s">
        <v>2061</v>
      </c>
      <c r="C72" s="125">
        <v>1</v>
      </c>
      <c r="D72" s="126" t="s">
        <v>126</v>
      </c>
      <c r="E72" s="152" t="s">
        <v>2060</v>
      </c>
      <c r="F72" s="128">
        <v>35331.67</v>
      </c>
      <c r="G72" s="129" cm="1">
        <f t="array" ref="G72">rv_30</f>
        <v>0.3</v>
      </c>
      <c r="H72" s="128">
        <f t="shared" si="2"/>
        <v>24732.169000000002</v>
      </c>
      <c r="I72" s="160"/>
      <c r="J72" s="104">
        <v>0</v>
      </c>
      <c r="K72" s="144" t="s">
        <v>669</v>
      </c>
      <c r="L72" s="145" t="s">
        <v>1933</v>
      </c>
      <c r="M72" s="182" t="s">
        <v>1934</v>
      </c>
      <c r="N72" s="560" t="s">
        <v>2060</v>
      </c>
      <c r="O72" s="124" t="s">
        <v>2061</v>
      </c>
      <c r="P72" s="125">
        <v>1</v>
      </c>
      <c r="Q72" s="126" t="s">
        <v>126</v>
      </c>
      <c r="R72" s="152" t="s">
        <v>2060</v>
      </c>
      <c r="S72" s="128">
        <v>35331.67</v>
      </c>
      <c r="T72" s="129">
        <v>0.3</v>
      </c>
      <c r="U72" s="128">
        <v>24732.169000000002</v>
      </c>
      <c r="V72" s="160"/>
      <c r="W72" s="104">
        <v>0</v>
      </c>
      <c r="X72" s="144" t="s">
        <v>669</v>
      </c>
      <c r="Y72" s="145" t="s">
        <v>1933</v>
      </c>
      <c r="Z72" s="627" t="s">
        <v>1934</v>
      </c>
    </row>
    <row r="73" spans="1:26" ht="13">
      <c r="A73" s="560" t="s">
        <v>2062</v>
      </c>
      <c r="B73" s="124" t="s">
        <v>2063</v>
      </c>
      <c r="C73" s="125">
        <v>1</v>
      </c>
      <c r="D73" s="126" t="s">
        <v>126</v>
      </c>
      <c r="E73" s="152" t="s">
        <v>2062</v>
      </c>
      <c r="F73" s="128">
        <v>52997.5</v>
      </c>
      <c r="G73" s="129" cm="1">
        <f t="array" ref="G73">rv_30</f>
        <v>0.3</v>
      </c>
      <c r="H73" s="128">
        <f t="shared" si="2"/>
        <v>37098.25</v>
      </c>
      <c r="I73" s="160"/>
      <c r="J73" s="104">
        <v>0</v>
      </c>
      <c r="K73" s="144" t="s">
        <v>669</v>
      </c>
      <c r="L73" s="145" t="s">
        <v>1933</v>
      </c>
      <c r="M73" s="182" t="s">
        <v>1934</v>
      </c>
      <c r="N73" s="560" t="s">
        <v>2062</v>
      </c>
      <c r="O73" s="124" t="s">
        <v>2063</v>
      </c>
      <c r="P73" s="125">
        <v>1</v>
      </c>
      <c r="Q73" s="126" t="s">
        <v>126</v>
      </c>
      <c r="R73" s="152" t="s">
        <v>2062</v>
      </c>
      <c r="S73" s="128">
        <v>52997.5</v>
      </c>
      <c r="T73" s="129">
        <v>0.3</v>
      </c>
      <c r="U73" s="128">
        <v>37098.25</v>
      </c>
      <c r="V73" s="160"/>
      <c r="W73" s="104">
        <v>0</v>
      </c>
      <c r="X73" s="144" t="s">
        <v>669</v>
      </c>
      <c r="Y73" s="145" t="s">
        <v>1933</v>
      </c>
      <c r="Z73" s="627" t="s">
        <v>1934</v>
      </c>
    </row>
    <row r="74" spans="1:26" ht="13">
      <c r="A74" s="560" t="s">
        <v>2064</v>
      </c>
      <c r="B74" s="124" t="s">
        <v>2065</v>
      </c>
      <c r="C74" s="125">
        <v>1</v>
      </c>
      <c r="D74" s="126" t="s">
        <v>126</v>
      </c>
      <c r="E74" s="152" t="s">
        <v>2064</v>
      </c>
      <c r="F74" s="128">
        <v>5332.5</v>
      </c>
      <c r="G74" s="129" cm="1">
        <f t="array" ref="G74">rv_30</f>
        <v>0.3</v>
      </c>
      <c r="H74" s="128">
        <f t="shared" si="2"/>
        <v>3732.75</v>
      </c>
      <c r="I74" s="160"/>
      <c r="J74" s="104">
        <v>0</v>
      </c>
      <c r="K74" s="144" t="s">
        <v>669</v>
      </c>
      <c r="L74" s="145" t="s">
        <v>1933</v>
      </c>
      <c r="M74" s="182" t="s">
        <v>1934</v>
      </c>
      <c r="N74" s="560" t="s">
        <v>2064</v>
      </c>
      <c r="O74" s="124" t="s">
        <v>2065</v>
      </c>
      <c r="P74" s="125">
        <v>1</v>
      </c>
      <c r="Q74" s="126" t="s">
        <v>126</v>
      </c>
      <c r="R74" s="152" t="s">
        <v>2064</v>
      </c>
      <c r="S74" s="128">
        <v>5332.5</v>
      </c>
      <c r="T74" s="129">
        <v>0.3</v>
      </c>
      <c r="U74" s="128">
        <v>3732.75</v>
      </c>
      <c r="V74" s="160"/>
      <c r="W74" s="104">
        <v>0</v>
      </c>
      <c r="X74" s="144" t="s">
        <v>669</v>
      </c>
      <c r="Y74" s="145" t="s">
        <v>1933</v>
      </c>
      <c r="Z74" s="627" t="s">
        <v>1934</v>
      </c>
    </row>
    <row r="75" spans="1:26" ht="13">
      <c r="A75" s="560" t="s">
        <v>2066</v>
      </c>
      <c r="B75" s="124" t="s">
        <v>2067</v>
      </c>
      <c r="C75" s="125">
        <v>1</v>
      </c>
      <c r="D75" s="126" t="s">
        <v>126</v>
      </c>
      <c r="E75" s="152" t="s">
        <v>2066</v>
      </c>
      <c r="F75" s="128">
        <v>10665</v>
      </c>
      <c r="G75" s="129" cm="1">
        <f t="array" ref="G75">rv_30</f>
        <v>0.3</v>
      </c>
      <c r="H75" s="128">
        <f t="shared" si="2"/>
        <v>7465.5</v>
      </c>
      <c r="I75" s="160"/>
      <c r="J75" s="104">
        <v>0</v>
      </c>
      <c r="K75" s="144" t="s">
        <v>669</v>
      </c>
      <c r="L75" s="145" t="s">
        <v>1933</v>
      </c>
      <c r="M75" s="182" t="s">
        <v>1934</v>
      </c>
      <c r="N75" s="560" t="s">
        <v>2066</v>
      </c>
      <c r="O75" s="124" t="s">
        <v>2067</v>
      </c>
      <c r="P75" s="125">
        <v>1</v>
      </c>
      <c r="Q75" s="126" t="s">
        <v>126</v>
      </c>
      <c r="R75" s="152" t="s">
        <v>2066</v>
      </c>
      <c r="S75" s="128">
        <v>10665</v>
      </c>
      <c r="T75" s="129">
        <v>0.3</v>
      </c>
      <c r="U75" s="128">
        <v>7465.5</v>
      </c>
      <c r="V75" s="160"/>
      <c r="W75" s="104">
        <v>0</v>
      </c>
      <c r="X75" s="144" t="s">
        <v>669</v>
      </c>
      <c r="Y75" s="145" t="s">
        <v>1933</v>
      </c>
      <c r="Z75" s="627" t="s">
        <v>1934</v>
      </c>
    </row>
    <row r="76" spans="1:26" ht="13">
      <c r="A76" s="560" t="s">
        <v>2068</v>
      </c>
      <c r="B76" s="124" t="s">
        <v>2069</v>
      </c>
      <c r="C76" s="125">
        <v>1</v>
      </c>
      <c r="D76" s="126" t="s">
        <v>126</v>
      </c>
      <c r="E76" s="152" t="s">
        <v>2068</v>
      </c>
      <c r="F76" s="128">
        <v>15997.5</v>
      </c>
      <c r="G76" s="129" cm="1">
        <f t="array" ref="G76">rv_30</f>
        <v>0.3</v>
      </c>
      <c r="H76" s="128">
        <f t="shared" si="2"/>
        <v>11198.25</v>
      </c>
      <c r="I76" s="160"/>
      <c r="J76" s="104">
        <v>0</v>
      </c>
      <c r="K76" s="144" t="s">
        <v>669</v>
      </c>
      <c r="L76" s="145" t="s">
        <v>1933</v>
      </c>
      <c r="M76" s="182" t="s">
        <v>1934</v>
      </c>
      <c r="N76" s="560" t="s">
        <v>2068</v>
      </c>
      <c r="O76" s="124" t="s">
        <v>2069</v>
      </c>
      <c r="P76" s="125">
        <v>1</v>
      </c>
      <c r="Q76" s="126" t="s">
        <v>126</v>
      </c>
      <c r="R76" s="152" t="s">
        <v>2068</v>
      </c>
      <c r="S76" s="128">
        <v>15997.5</v>
      </c>
      <c r="T76" s="129">
        <v>0.3</v>
      </c>
      <c r="U76" s="128">
        <v>11198.25</v>
      </c>
      <c r="V76" s="160"/>
      <c r="W76" s="104">
        <v>0</v>
      </c>
      <c r="X76" s="144" t="s">
        <v>669</v>
      </c>
      <c r="Y76" s="145" t="s">
        <v>1933</v>
      </c>
      <c r="Z76" s="627" t="s">
        <v>1934</v>
      </c>
    </row>
    <row r="77" spans="1:26" ht="13">
      <c r="A77" s="560" t="s">
        <v>2070</v>
      </c>
      <c r="B77" s="124" t="s">
        <v>2071</v>
      </c>
      <c r="C77" s="125">
        <v>1</v>
      </c>
      <c r="D77" s="126" t="s">
        <v>126</v>
      </c>
      <c r="E77" s="152" t="s">
        <v>2070</v>
      </c>
      <c r="F77" s="128">
        <v>44165.83</v>
      </c>
      <c r="G77" s="129" cm="1">
        <f t="array" ref="G77">rv_30</f>
        <v>0.3</v>
      </c>
      <c r="H77" s="128">
        <f t="shared" si="2"/>
        <v>30916.081000000002</v>
      </c>
      <c r="I77" s="160"/>
      <c r="J77" s="104">
        <v>0</v>
      </c>
      <c r="K77" s="144" t="s">
        <v>669</v>
      </c>
      <c r="L77" s="145" t="s">
        <v>1933</v>
      </c>
      <c r="M77" s="182" t="s">
        <v>1934</v>
      </c>
      <c r="N77" s="560" t="s">
        <v>2070</v>
      </c>
      <c r="O77" s="124" t="s">
        <v>2071</v>
      </c>
      <c r="P77" s="125">
        <v>1</v>
      </c>
      <c r="Q77" s="126" t="s">
        <v>126</v>
      </c>
      <c r="R77" s="152" t="s">
        <v>2070</v>
      </c>
      <c r="S77" s="128">
        <v>44165.83</v>
      </c>
      <c r="T77" s="129">
        <v>0.3</v>
      </c>
      <c r="U77" s="128">
        <v>30916.081000000002</v>
      </c>
      <c r="V77" s="160"/>
      <c r="W77" s="104">
        <v>0</v>
      </c>
      <c r="X77" s="144" t="s">
        <v>669</v>
      </c>
      <c r="Y77" s="145" t="s">
        <v>1933</v>
      </c>
      <c r="Z77" s="627" t="s">
        <v>1934</v>
      </c>
    </row>
    <row r="78" spans="1:26" ht="13">
      <c r="A78" s="560" t="s">
        <v>2072</v>
      </c>
      <c r="B78" s="124" t="s">
        <v>2073</v>
      </c>
      <c r="C78" s="125">
        <v>1</v>
      </c>
      <c r="D78" s="126" t="s">
        <v>126</v>
      </c>
      <c r="E78" s="152" t="s">
        <v>2072</v>
      </c>
      <c r="F78" s="128">
        <v>88331.67</v>
      </c>
      <c r="G78" s="129" cm="1">
        <f t="array" ref="G78">rv_30</f>
        <v>0.3</v>
      </c>
      <c r="H78" s="128">
        <f t="shared" si="2"/>
        <v>61832.168999999994</v>
      </c>
      <c r="I78" s="160"/>
      <c r="J78" s="104">
        <v>0</v>
      </c>
      <c r="K78" s="144" t="s">
        <v>669</v>
      </c>
      <c r="L78" s="145" t="s">
        <v>1933</v>
      </c>
      <c r="M78" s="182" t="s">
        <v>1934</v>
      </c>
      <c r="N78" s="560" t="s">
        <v>2072</v>
      </c>
      <c r="O78" s="124" t="s">
        <v>2073</v>
      </c>
      <c r="P78" s="125">
        <v>1</v>
      </c>
      <c r="Q78" s="126" t="s">
        <v>126</v>
      </c>
      <c r="R78" s="152" t="s">
        <v>2072</v>
      </c>
      <c r="S78" s="128">
        <v>88331.67</v>
      </c>
      <c r="T78" s="129">
        <v>0.3</v>
      </c>
      <c r="U78" s="128">
        <v>61832.168999999994</v>
      </c>
      <c r="V78" s="160"/>
      <c r="W78" s="104">
        <v>0</v>
      </c>
      <c r="X78" s="144" t="s">
        <v>669</v>
      </c>
      <c r="Y78" s="145" t="s">
        <v>1933</v>
      </c>
      <c r="Z78" s="627" t="s">
        <v>1934</v>
      </c>
    </row>
    <row r="79" spans="1:26" ht="13">
      <c r="A79" s="560" t="s">
        <v>2074</v>
      </c>
      <c r="B79" s="124" t="s">
        <v>2075</v>
      </c>
      <c r="C79" s="125">
        <v>1</v>
      </c>
      <c r="D79" s="126" t="s">
        <v>126</v>
      </c>
      <c r="E79" s="152" t="s">
        <v>2074</v>
      </c>
      <c r="F79" s="128">
        <v>132497.5</v>
      </c>
      <c r="G79" s="129" cm="1">
        <f t="array" ref="G79">rv_30</f>
        <v>0.3</v>
      </c>
      <c r="H79" s="128">
        <f t="shared" si="2"/>
        <v>92748.25</v>
      </c>
      <c r="I79" s="160"/>
      <c r="J79" s="104">
        <v>0</v>
      </c>
      <c r="K79" s="144" t="s">
        <v>669</v>
      </c>
      <c r="L79" s="145" t="s">
        <v>1933</v>
      </c>
      <c r="M79" s="182" t="s">
        <v>1934</v>
      </c>
      <c r="N79" s="560" t="s">
        <v>2074</v>
      </c>
      <c r="O79" s="124" t="s">
        <v>2075</v>
      </c>
      <c r="P79" s="125">
        <v>1</v>
      </c>
      <c r="Q79" s="126" t="s">
        <v>126</v>
      </c>
      <c r="R79" s="152" t="s">
        <v>2074</v>
      </c>
      <c r="S79" s="128">
        <v>132497.5</v>
      </c>
      <c r="T79" s="129">
        <v>0.3</v>
      </c>
      <c r="U79" s="128">
        <v>92748.25</v>
      </c>
      <c r="V79" s="160"/>
      <c r="W79" s="104">
        <v>0</v>
      </c>
      <c r="X79" s="144" t="s">
        <v>669</v>
      </c>
      <c r="Y79" s="145" t="s">
        <v>1933</v>
      </c>
      <c r="Z79" s="627" t="s">
        <v>1934</v>
      </c>
    </row>
    <row r="80" spans="1:26" ht="13">
      <c r="A80" s="560" t="s">
        <v>2076</v>
      </c>
      <c r="B80" s="124" t="s">
        <v>2077</v>
      </c>
      <c r="C80" s="125">
        <v>1</v>
      </c>
      <c r="D80" s="126" t="s">
        <v>126</v>
      </c>
      <c r="E80" s="152" t="s">
        <v>2076</v>
      </c>
      <c r="F80" s="128">
        <v>440.83</v>
      </c>
      <c r="G80" s="129" cm="1">
        <f t="array" ref="G80">rv_30</f>
        <v>0.3</v>
      </c>
      <c r="H80" s="128">
        <f t="shared" si="2"/>
        <v>308.58100000000002</v>
      </c>
      <c r="I80" s="160"/>
      <c r="J80" s="104">
        <v>0</v>
      </c>
      <c r="K80" s="144" t="s">
        <v>669</v>
      </c>
      <c r="L80" s="145" t="s">
        <v>1933</v>
      </c>
      <c r="M80" s="182" t="s">
        <v>1934</v>
      </c>
      <c r="N80" s="560" t="s">
        <v>2076</v>
      </c>
      <c r="O80" s="124" t="s">
        <v>2077</v>
      </c>
      <c r="P80" s="125">
        <v>1</v>
      </c>
      <c r="Q80" s="126" t="s">
        <v>126</v>
      </c>
      <c r="R80" s="152" t="s">
        <v>2076</v>
      </c>
      <c r="S80" s="128">
        <v>440.83</v>
      </c>
      <c r="T80" s="129">
        <v>0.3</v>
      </c>
      <c r="U80" s="128">
        <v>308.58100000000002</v>
      </c>
      <c r="V80" s="160"/>
      <c r="W80" s="104">
        <v>0</v>
      </c>
      <c r="X80" s="144" t="s">
        <v>669</v>
      </c>
      <c r="Y80" s="145" t="s">
        <v>1933</v>
      </c>
      <c r="Z80" s="627" t="s">
        <v>1934</v>
      </c>
    </row>
    <row r="81" spans="1:26" ht="13">
      <c r="A81" s="560" t="s">
        <v>2078</v>
      </c>
      <c r="B81" s="124" t="s">
        <v>2079</v>
      </c>
      <c r="C81" s="125">
        <v>1</v>
      </c>
      <c r="D81" s="126" t="s">
        <v>126</v>
      </c>
      <c r="E81" s="152" t="s">
        <v>2078</v>
      </c>
      <c r="F81" s="128">
        <v>881.67</v>
      </c>
      <c r="G81" s="129" cm="1">
        <f t="array" ref="G81">rv_30</f>
        <v>0.3</v>
      </c>
      <c r="H81" s="128">
        <f t="shared" si="2"/>
        <v>617.16899999999998</v>
      </c>
      <c r="I81" s="160"/>
      <c r="J81" s="104">
        <v>0</v>
      </c>
      <c r="K81" s="144" t="s">
        <v>669</v>
      </c>
      <c r="L81" s="145" t="s">
        <v>1933</v>
      </c>
      <c r="M81" s="182" t="s">
        <v>1934</v>
      </c>
      <c r="N81" s="560" t="s">
        <v>2078</v>
      </c>
      <c r="O81" s="124" t="s">
        <v>2079</v>
      </c>
      <c r="P81" s="125">
        <v>1</v>
      </c>
      <c r="Q81" s="126" t="s">
        <v>126</v>
      </c>
      <c r="R81" s="152" t="s">
        <v>2078</v>
      </c>
      <c r="S81" s="128">
        <v>881.67</v>
      </c>
      <c r="T81" s="129">
        <v>0.3</v>
      </c>
      <c r="U81" s="128">
        <v>617.16899999999998</v>
      </c>
      <c r="V81" s="160"/>
      <c r="W81" s="104">
        <v>0</v>
      </c>
      <c r="X81" s="144" t="s">
        <v>669</v>
      </c>
      <c r="Y81" s="145" t="s">
        <v>1933</v>
      </c>
      <c r="Z81" s="627" t="s">
        <v>1934</v>
      </c>
    </row>
    <row r="82" spans="1:26" ht="13.5" thickBot="1">
      <c r="A82" s="612" t="s">
        <v>2080</v>
      </c>
      <c r="B82" s="613" t="s">
        <v>2081</v>
      </c>
      <c r="C82" s="614">
        <v>1</v>
      </c>
      <c r="D82" s="615" t="s">
        <v>126</v>
      </c>
      <c r="E82" s="616" t="s">
        <v>2080</v>
      </c>
      <c r="F82" s="617">
        <v>1322.5</v>
      </c>
      <c r="G82" s="618" cm="1">
        <f t="array" ref="G82">rv_30</f>
        <v>0.3</v>
      </c>
      <c r="H82" s="617">
        <f t="shared" si="2"/>
        <v>925.75</v>
      </c>
      <c r="I82" s="619"/>
      <c r="J82" s="620">
        <v>0</v>
      </c>
      <c r="K82" s="621" t="s">
        <v>669</v>
      </c>
      <c r="L82" s="622" t="s">
        <v>1933</v>
      </c>
      <c r="M82" s="623" t="s">
        <v>1934</v>
      </c>
      <c r="N82" s="612" t="s">
        <v>2080</v>
      </c>
      <c r="O82" s="613" t="s">
        <v>2081</v>
      </c>
      <c r="P82" s="614">
        <v>1</v>
      </c>
      <c r="Q82" s="615" t="s">
        <v>126</v>
      </c>
      <c r="R82" s="616" t="s">
        <v>2080</v>
      </c>
      <c r="S82" s="617">
        <v>1322.5</v>
      </c>
      <c r="T82" s="618">
        <v>0.3</v>
      </c>
      <c r="U82" s="617">
        <v>925.75</v>
      </c>
      <c r="V82" s="619"/>
      <c r="W82" s="620">
        <v>0</v>
      </c>
      <c r="X82" s="621" t="s">
        <v>669</v>
      </c>
      <c r="Y82" s="622" t="s">
        <v>1933</v>
      </c>
      <c r="Z82" s="628" t="s">
        <v>1934</v>
      </c>
    </row>
    <row r="83" spans="1:26" ht="19" thickTop="1">
      <c r="A83" s="610" t="s">
        <v>2254</v>
      </c>
      <c r="B83" s="611"/>
      <c r="N83" s="610" t="s">
        <v>2254</v>
      </c>
      <c r="O83" s="611"/>
    </row>
  </sheetData>
  <mergeCells count="2">
    <mergeCell ref="A3:J3"/>
    <mergeCell ref="N3:W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8">
    <tabColor rgb="FFFFFF00"/>
  </sheetPr>
  <dimension ref="A2:E68"/>
  <sheetViews>
    <sheetView showRuler="0" zoomScaleNormal="100" zoomScalePageLayoutView="115" workbookViewId="0">
      <selection activeCell="A2" sqref="A2"/>
    </sheetView>
  </sheetViews>
  <sheetFormatPr baseColWidth="10" defaultColWidth="10.7265625" defaultRowHeight="13"/>
  <cols>
    <col min="1" max="1" width="51.81640625" style="1" bestFit="1" customWidth="1"/>
    <col min="2" max="2" width="50" style="1" bestFit="1" customWidth="1"/>
    <col min="3" max="3" width="54.54296875" style="1" customWidth="1"/>
    <col min="4" max="4" width="51.81640625" style="1" bestFit="1" customWidth="1"/>
    <col min="5" max="5" width="35" style="1" customWidth="1"/>
    <col min="6" max="16384" width="10.7265625" style="1"/>
  </cols>
  <sheetData>
    <row r="2" spans="1:5" ht="31">
      <c r="A2" s="15" t="s">
        <v>2255</v>
      </c>
      <c r="B2" s="2"/>
      <c r="C2" s="2"/>
      <c r="D2" s="2"/>
    </row>
    <row r="3" spans="1:5" ht="8" customHeight="1">
      <c r="A3" s="14"/>
    </row>
    <row r="4" spans="1:5" ht="28.5">
      <c r="A4" s="16" t="s">
        <v>2256</v>
      </c>
      <c r="B4" s="8"/>
      <c r="C4" s="8"/>
      <c r="D4" s="8"/>
      <c r="E4" s="17"/>
    </row>
    <row r="5" spans="1:5" ht="20" customHeight="1">
      <c r="A5" s="6"/>
      <c r="B5" s="36" t="s">
        <v>2257</v>
      </c>
      <c r="C5" s="36" t="s">
        <v>2258</v>
      </c>
      <c r="D5" s="175" t="s">
        <v>2259</v>
      </c>
    </row>
    <row r="6" spans="1:5" ht="19" customHeight="1">
      <c r="A6" s="7"/>
      <c r="B6" s="26">
        <v>0.17599999999999999</v>
      </c>
      <c r="C6" s="26">
        <v>0.17599999999999999</v>
      </c>
      <c r="D6" s="26">
        <v>0.17599999999999999</v>
      </c>
    </row>
    <row r="7" spans="1:5" ht="18" customHeight="1">
      <c r="A7" s="4"/>
    </row>
    <row r="8" spans="1:5" ht="20" customHeight="1">
      <c r="A8" s="6"/>
      <c r="B8" s="36" t="s">
        <v>2260</v>
      </c>
      <c r="C8" s="36" t="s">
        <v>2261</v>
      </c>
    </row>
    <row r="9" spans="1:5" ht="18.5">
      <c r="A9" s="7"/>
      <c r="B9" s="26">
        <v>0.17599999999999999</v>
      </c>
      <c r="C9" s="26">
        <v>0.17599999999999999</v>
      </c>
    </row>
    <row r="10" spans="1:5" ht="18" customHeight="1">
      <c r="A10" s="4"/>
      <c r="B10" s="4"/>
      <c r="C10" s="4"/>
    </row>
    <row r="11" spans="1:5" ht="20" customHeight="1">
      <c r="A11" s="48" t="s">
        <v>2262</v>
      </c>
      <c r="B11" s="48" t="s">
        <v>2263</v>
      </c>
      <c r="C11" s="48" t="s">
        <v>2264</v>
      </c>
      <c r="D11" s="48" t="s">
        <v>2265</v>
      </c>
      <c r="E11" s="176" t="s">
        <v>2266</v>
      </c>
    </row>
    <row r="12" spans="1:5" ht="18.5">
      <c r="A12" s="26">
        <v>0.17599999999999999</v>
      </c>
      <c r="B12" s="26">
        <v>0.17599999999999999</v>
      </c>
      <c r="C12" s="26">
        <v>0.17599999999999999</v>
      </c>
      <c r="D12" s="26">
        <v>0.17599999999999999</v>
      </c>
      <c r="E12" s="26">
        <v>0.17599999999999999</v>
      </c>
    </row>
    <row r="13" spans="1:5" ht="9" customHeight="1">
      <c r="A13" s="4"/>
      <c r="B13" s="4"/>
      <c r="C13" s="4"/>
      <c r="D13" s="4"/>
    </row>
    <row r="14" spans="1:5" ht="20" customHeight="1">
      <c r="A14" s="48" t="s">
        <v>2267</v>
      </c>
      <c r="B14" s="48" t="s">
        <v>2268</v>
      </c>
      <c r="C14" s="48" t="s">
        <v>2269</v>
      </c>
      <c r="D14" s="48" t="s">
        <v>2270</v>
      </c>
    </row>
    <row r="15" spans="1:5" ht="18.5">
      <c r="A15" s="26">
        <v>0.17599999999999999</v>
      </c>
      <c r="B15" s="26">
        <v>0.17599999999999999</v>
      </c>
      <c r="C15" s="26">
        <v>0.17599999999999999</v>
      </c>
      <c r="D15" s="26">
        <v>0.17599999999999999</v>
      </c>
    </row>
    <row r="17" spans="1:5" ht="23" customHeight="1">
      <c r="A17" s="130" t="s">
        <v>2271</v>
      </c>
      <c r="B17" s="130" t="s">
        <v>2272</v>
      </c>
      <c r="C17" s="130" t="s">
        <v>2273</v>
      </c>
      <c r="D17" s="130" t="s">
        <v>2274</v>
      </c>
      <c r="E17" s="177" t="s">
        <v>2275</v>
      </c>
    </row>
    <row r="18" spans="1:5" ht="19" customHeight="1">
      <c r="A18" s="29">
        <v>0.17599999999999999</v>
      </c>
      <c r="B18" s="29">
        <v>0.17599999999999999</v>
      </c>
      <c r="C18" s="132">
        <v>0.17599999999999999</v>
      </c>
      <c r="D18" s="132">
        <v>0.17599999999999999</v>
      </c>
      <c r="E18" s="132">
        <v>0.17599999999999999</v>
      </c>
    </row>
    <row r="19" spans="1:5" ht="16" customHeight="1">
      <c r="A19" s="4"/>
      <c r="B19" s="4"/>
      <c r="C19" s="4"/>
    </row>
    <row r="20" spans="1:5" ht="20" customHeight="1">
      <c r="A20" s="37" t="s">
        <v>2276</v>
      </c>
      <c r="B20" s="37" t="s">
        <v>2277</v>
      </c>
      <c r="C20" s="39" t="s">
        <v>2278</v>
      </c>
      <c r="D20" s="39" t="s">
        <v>2279</v>
      </c>
      <c r="E20" s="178" t="s">
        <v>2280</v>
      </c>
    </row>
    <row r="21" spans="1:5" ht="18" customHeight="1">
      <c r="A21" s="26">
        <v>0.17599999999999999</v>
      </c>
      <c r="B21" s="26">
        <v>0.17599999999999999</v>
      </c>
      <c r="C21" s="26">
        <v>0.16500000000000001</v>
      </c>
      <c r="D21" s="26">
        <v>0.16500000000000001</v>
      </c>
      <c r="E21" s="26">
        <v>0.16500000000000001</v>
      </c>
    </row>
    <row r="22" spans="1:5" ht="19" customHeight="1">
      <c r="A22" s="4"/>
      <c r="B22" s="4"/>
      <c r="C22" s="4"/>
    </row>
    <row r="23" spans="1:5" ht="20" customHeight="1">
      <c r="A23" s="37" t="s">
        <v>2281</v>
      </c>
      <c r="B23" s="37" t="s">
        <v>2282</v>
      </c>
      <c r="C23" s="39" t="s">
        <v>2283</v>
      </c>
      <c r="D23" s="39" t="s">
        <v>2284</v>
      </c>
    </row>
    <row r="24" spans="1:5" ht="18.5">
      <c r="A24" s="26">
        <v>0.17599999999999999</v>
      </c>
      <c r="B24" s="26">
        <v>0.17599999999999999</v>
      </c>
      <c r="C24" s="26">
        <v>0.16500000000000001</v>
      </c>
      <c r="D24" s="26">
        <v>0.16500000000000001</v>
      </c>
    </row>
    <row r="25" spans="1:5" ht="18.5">
      <c r="A25" s="26"/>
      <c r="B25" s="26"/>
      <c r="C25" s="26"/>
      <c r="D25" s="26"/>
    </row>
    <row r="26" spans="1:5" ht="18.5">
      <c r="A26" s="37" t="s">
        <v>2285</v>
      </c>
      <c r="B26" s="37" t="s">
        <v>2286</v>
      </c>
      <c r="C26" s="26"/>
      <c r="D26" s="26"/>
    </row>
    <row r="27" spans="1:5" ht="18.5">
      <c r="A27" s="26">
        <v>0.17599999999999999</v>
      </c>
      <c r="B27" s="26">
        <v>0.17599999999999999</v>
      </c>
      <c r="C27" s="26"/>
      <c r="D27" s="26"/>
    </row>
    <row r="28" spans="1:5" ht="18.5">
      <c r="A28" s="26"/>
      <c r="B28" s="26"/>
      <c r="C28" s="26"/>
      <c r="D28" s="26"/>
    </row>
    <row r="29" spans="1:5" ht="18.5">
      <c r="A29" s="37" t="s">
        <v>2285</v>
      </c>
      <c r="B29" s="26"/>
      <c r="C29" s="26"/>
      <c r="D29" s="26"/>
    </row>
    <row r="30" spans="1:5" ht="18.5">
      <c r="A30" s="26">
        <v>0.17599999999999999</v>
      </c>
      <c r="B30" s="26"/>
      <c r="C30" s="26"/>
      <c r="D30" s="26"/>
    </row>
    <row r="31" spans="1:5" ht="18" customHeight="1">
      <c r="A31" s="4"/>
      <c r="B31" s="4"/>
      <c r="C31" s="4"/>
    </row>
    <row r="32" spans="1:5" ht="20" customHeight="1">
      <c r="A32" s="38" t="s">
        <v>2287</v>
      </c>
      <c r="B32" s="38" t="s">
        <v>2288</v>
      </c>
      <c r="C32" s="38" t="s">
        <v>2289</v>
      </c>
      <c r="D32" s="38" t="s">
        <v>2290</v>
      </c>
      <c r="E32" s="179" t="s">
        <v>2291</v>
      </c>
    </row>
    <row r="33" spans="1:5" ht="18.5">
      <c r="A33" s="26">
        <v>0.17199999999999999</v>
      </c>
      <c r="B33" s="26">
        <v>0.17199999999999999</v>
      </c>
      <c r="C33" s="26">
        <v>0.17199999999999999</v>
      </c>
      <c r="D33" s="26">
        <v>0.17199999999999999</v>
      </c>
      <c r="E33" s="26">
        <v>0.17199999999999999</v>
      </c>
    </row>
    <row r="34" spans="1:5" ht="20" customHeight="1">
      <c r="A34" s="4"/>
      <c r="B34" s="4"/>
    </row>
    <row r="35" spans="1:5" ht="20" customHeight="1">
      <c r="A35" s="38" t="s">
        <v>2292</v>
      </c>
      <c r="B35" s="38" t="s">
        <v>2293</v>
      </c>
      <c r="C35" s="38" t="s">
        <v>2294</v>
      </c>
      <c r="D35" s="38" t="s">
        <v>2295</v>
      </c>
    </row>
    <row r="36" spans="1:5" ht="18.5">
      <c r="A36" s="26">
        <v>0.17199999999999999</v>
      </c>
      <c r="B36" s="26">
        <v>0.17199999999999999</v>
      </c>
      <c r="C36" s="26">
        <v>0.17199999999999999</v>
      </c>
      <c r="D36" s="26">
        <v>0.17199999999999999</v>
      </c>
    </row>
    <row r="37" spans="1:5" ht="16" customHeight="1">
      <c r="B37" s="4"/>
      <c r="C37" s="6"/>
      <c r="D37" s="6"/>
    </row>
    <row r="38" spans="1:5" ht="20" customHeight="1">
      <c r="A38" s="40" t="s">
        <v>2296</v>
      </c>
      <c r="B38" s="40" t="s">
        <v>2297</v>
      </c>
      <c r="C38" s="136" t="s">
        <v>2298</v>
      </c>
      <c r="D38" s="136" t="s">
        <v>2299</v>
      </c>
      <c r="E38" s="180" t="s">
        <v>2300</v>
      </c>
    </row>
    <row r="39" spans="1:5" ht="20" customHeight="1">
      <c r="A39" s="26">
        <v>0.17199999999999999</v>
      </c>
      <c r="B39" s="26">
        <v>0.17199999999999999</v>
      </c>
      <c r="C39" s="29">
        <v>0.17199999999999999</v>
      </c>
      <c r="D39" s="29">
        <v>0.17199999999999999</v>
      </c>
      <c r="E39" s="29">
        <v>0.17199999999999999</v>
      </c>
    </row>
    <row r="40" spans="1:5" ht="19" customHeight="1">
      <c r="A40" s="4"/>
      <c r="B40" s="4"/>
    </row>
    <row r="41" spans="1:5" ht="20" customHeight="1">
      <c r="A41" s="40" t="s">
        <v>2301</v>
      </c>
      <c r="B41" s="40" t="s">
        <v>2302</v>
      </c>
      <c r="C41" s="136" t="s">
        <v>2303</v>
      </c>
      <c r="D41" s="136" t="s">
        <v>2304</v>
      </c>
      <c r="E41" s="40" t="s">
        <v>2305</v>
      </c>
    </row>
    <row r="42" spans="1:5" ht="20" customHeight="1">
      <c r="A42" s="26">
        <v>0.17199999999999999</v>
      </c>
      <c r="B42" s="26">
        <v>0.17199999999999999</v>
      </c>
      <c r="C42" s="26">
        <v>0.17199999999999999</v>
      </c>
      <c r="D42" s="26">
        <v>0.17199999999999999</v>
      </c>
      <c r="E42" s="26">
        <v>0.17199999999999999</v>
      </c>
    </row>
    <row r="43" spans="1:5" ht="18" customHeight="1">
      <c r="B43" s="4"/>
      <c r="C43" s="4"/>
    </row>
    <row r="44" spans="1:5" ht="20" customHeight="1">
      <c r="A44" s="46" t="s">
        <v>2306</v>
      </c>
      <c r="B44" s="43" t="s">
        <v>2307</v>
      </c>
      <c r="C44" s="43" t="s">
        <v>2308</v>
      </c>
      <c r="D44" s="181" t="s">
        <v>2309</v>
      </c>
    </row>
    <row r="45" spans="1:5" ht="20" customHeight="1">
      <c r="A45" s="26">
        <v>0.1065</v>
      </c>
      <c r="B45" s="26">
        <v>0.1065</v>
      </c>
      <c r="C45" s="26">
        <v>0.1065</v>
      </c>
      <c r="D45" s="26">
        <v>0.1065</v>
      </c>
    </row>
    <row r="46" spans="1:5" ht="17" customHeight="1">
      <c r="B46" s="4"/>
      <c r="C46" s="4"/>
    </row>
    <row r="47" spans="1:5" ht="20" customHeight="1">
      <c r="A47" s="47" t="s">
        <v>2310</v>
      </c>
      <c r="B47" s="44" t="s">
        <v>2311</v>
      </c>
      <c r="C47" s="44" t="s">
        <v>2312</v>
      </c>
    </row>
    <row r="48" spans="1:5" ht="20" customHeight="1">
      <c r="A48" s="26">
        <v>0.1065</v>
      </c>
      <c r="B48" s="26">
        <v>0.1065</v>
      </c>
      <c r="C48" s="26">
        <v>0.1065</v>
      </c>
    </row>
    <row r="50" spans="1:5" ht="20" customHeight="1">
      <c r="A50" s="41" t="s">
        <v>2313</v>
      </c>
      <c r="B50" s="42" t="s">
        <v>2314</v>
      </c>
      <c r="C50" s="6" t="s">
        <v>2315</v>
      </c>
      <c r="D50" s="6" t="s">
        <v>2316</v>
      </c>
    </row>
    <row r="51" spans="1:5" ht="18.5">
      <c r="A51" s="7">
        <v>0.09</v>
      </c>
      <c r="B51" s="7">
        <v>0.15</v>
      </c>
      <c r="C51" s="7">
        <v>0</v>
      </c>
      <c r="D51" s="7">
        <v>0.05</v>
      </c>
    </row>
    <row r="52" spans="1:5" ht="18.5">
      <c r="A52" s="7"/>
      <c r="B52" s="7"/>
      <c r="C52" s="7"/>
      <c r="D52" s="7"/>
    </row>
    <row r="53" spans="1:5" ht="18.5">
      <c r="A53" s="7"/>
      <c r="B53" s="42" t="s">
        <v>2314</v>
      </c>
      <c r="C53" s="45" t="s">
        <v>2317</v>
      </c>
      <c r="D53" s="45" t="s">
        <v>2318</v>
      </c>
    </row>
    <row r="54" spans="1:5" ht="18.5">
      <c r="A54" s="7"/>
      <c r="B54" s="7">
        <v>0.11</v>
      </c>
      <c r="C54" s="7">
        <v>0.02</v>
      </c>
      <c r="D54" s="7">
        <v>0.02</v>
      </c>
    </row>
    <row r="55" spans="1:5" ht="18.5">
      <c r="A55" s="4"/>
      <c r="B55" s="7"/>
      <c r="C55" s="7"/>
      <c r="D55" s="7"/>
    </row>
    <row r="56" spans="1:5" ht="22" customHeight="1">
      <c r="A56" s="3" t="s">
        <v>2319</v>
      </c>
      <c r="B56" s="4"/>
      <c r="C56" s="4"/>
    </row>
    <row r="57" spans="1:5" ht="20" customHeight="1">
      <c r="A57" s="7">
        <v>0.1</v>
      </c>
      <c r="B57" s="3" t="s">
        <v>2320</v>
      </c>
      <c r="C57" s="6" t="s">
        <v>2321</v>
      </c>
      <c r="D57" s="6" t="s">
        <v>2322</v>
      </c>
    </row>
    <row r="58" spans="1:5" ht="18.5">
      <c r="A58" s="4"/>
      <c r="B58" s="7">
        <v>0.1</v>
      </c>
      <c r="C58" s="7">
        <v>0.02</v>
      </c>
      <c r="D58" s="7">
        <v>0.1</v>
      </c>
    </row>
    <row r="59" spans="1:5" ht="25" customHeight="1">
      <c r="A59" s="16" t="s">
        <v>2323</v>
      </c>
      <c r="B59" s="73"/>
      <c r="C59" s="73"/>
      <c r="D59" s="74"/>
      <c r="E59" s="74"/>
    </row>
    <row r="60" spans="1:5" ht="26" customHeight="1">
      <c r="A60" s="6" t="s">
        <v>2324</v>
      </c>
      <c r="B60" s="17"/>
      <c r="C60" s="17"/>
      <c r="D60" s="17"/>
      <c r="E60" s="17"/>
    </row>
    <row r="61" spans="1:5" ht="20" customHeight="1">
      <c r="A61" s="4">
        <v>0.2</v>
      </c>
      <c r="B61" s="5" t="s">
        <v>2325</v>
      </c>
      <c r="C61" s="5" t="s">
        <v>2326</v>
      </c>
      <c r="D61" s="6" t="s">
        <v>2327</v>
      </c>
      <c r="E61" s="6"/>
    </row>
    <row r="62" spans="1:5" ht="18.5">
      <c r="A62" s="4"/>
      <c r="B62" s="4">
        <v>0.1</v>
      </c>
      <c r="C62" s="4">
        <v>0.3</v>
      </c>
      <c r="D62" s="4">
        <v>0.32</v>
      </c>
      <c r="E62" s="4"/>
    </row>
    <row r="63" spans="1:5" ht="17" customHeight="1">
      <c r="A63" s="6" t="s">
        <v>2328</v>
      </c>
      <c r="B63" s="4"/>
      <c r="C63" s="4"/>
    </row>
    <row r="64" spans="1:5" ht="20" customHeight="1">
      <c r="A64" s="4">
        <v>0.2</v>
      </c>
      <c r="B64" s="5" t="s">
        <v>2329</v>
      </c>
      <c r="C64" s="6" t="s">
        <v>2330</v>
      </c>
      <c r="D64" s="6" t="s">
        <v>2331</v>
      </c>
      <c r="E64" s="6" t="s">
        <v>2332</v>
      </c>
    </row>
    <row r="65" spans="1:5" ht="18.5">
      <c r="A65" s="4"/>
      <c r="B65" s="4">
        <f>rv_30</f>
        <v>0.3</v>
      </c>
      <c r="C65" s="4">
        <v>0.2</v>
      </c>
      <c r="D65" s="4">
        <v>0.2</v>
      </c>
      <c r="E65" s="7">
        <v>0.1</v>
      </c>
    </row>
    <row r="66" spans="1:5" ht="19" customHeight="1">
      <c r="A66" s="5" t="s">
        <v>2333</v>
      </c>
      <c r="B66" s="4"/>
      <c r="C66" s="4"/>
    </row>
    <row r="67" spans="1:5" ht="20" customHeight="1">
      <c r="A67" s="4">
        <v>0.03</v>
      </c>
      <c r="B67" s="5" t="s">
        <v>2334</v>
      </c>
      <c r="C67" s="5" t="s">
        <v>2335</v>
      </c>
      <c r="D67" s="6" t="s">
        <v>2336</v>
      </c>
      <c r="E67" s="6" t="s">
        <v>2337</v>
      </c>
    </row>
    <row r="68" spans="1:5" ht="18.5">
      <c r="A68" s="4"/>
      <c r="B68" s="4">
        <v>7.0000000000000007E-2</v>
      </c>
      <c r="C68" s="4">
        <v>0.2</v>
      </c>
      <c r="D68" s="29">
        <v>0.11600000000000001</v>
      </c>
      <c r="E68" s="4">
        <v>0.2</v>
      </c>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C082FA-0222-4AB4-905C-A7DC1EEBD5F7}">
  <ds:schemaRefs>
    <ds:schemaRef ds:uri="http://purl.org/dc/dcmitype/"/>
    <ds:schemaRef ds:uri="http://purl.org/dc/elements/1.1/"/>
    <ds:schemaRef ds:uri="210df9dd-0b4e-4ef9-b5fb-77d5280d969d"/>
    <ds:schemaRef ds:uri="http://schemas.microsoft.com/office/2006/metadata/properties"/>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8e90354a-00cd-4c2c-933c-cac8cad32b0a"/>
    <ds:schemaRef ds:uri="http://schemas.microsoft.com/sharepoint/v3"/>
  </ds:schemaRefs>
</ds:datastoreItem>
</file>

<file path=customXml/itemProps2.xml><?xml version="1.0" encoding="utf-8"?>
<ds:datastoreItem xmlns:ds="http://schemas.openxmlformats.org/officeDocument/2006/customXml" ds:itemID="{7BEE08E3-92C5-46E1-ACCC-B06F6DAC65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F1A09F-3AA7-4413-8361-9AED901734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94</vt:i4>
      </vt:variant>
    </vt:vector>
  </HeadingPairs>
  <TitlesOfParts>
    <vt:vector size="102" baseType="lpstr">
      <vt:lpstr>1 - Page de garde</vt:lpstr>
      <vt:lpstr>2 - Tarif normalisé n°14 Lot 5</vt:lpstr>
      <vt:lpstr>3 - Accessoires et logiciels</vt:lpstr>
      <vt:lpstr>4 - Services</vt:lpstr>
      <vt:lpstr>5 - Extensions garantie MI4</vt:lpstr>
      <vt:lpstr>6 - Location</vt:lpstr>
      <vt:lpstr>7 - Services DROM-COM</vt:lpstr>
      <vt:lpstr>Récapitulatif remises</vt:lpstr>
      <vt:lpstr>im24_5pl</vt:lpstr>
      <vt:lpstr>ipm_5pl</vt:lpstr>
      <vt:lpstr>mbp13_5pl</vt:lpstr>
      <vt:lpstr>mbp14_5pl</vt:lpstr>
      <vt:lpstr>mm_5pl</vt:lpstr>
      <vt:lpstr>mp_5pl</vt:lpstr>
      <vt:lpstr>ms_5pl</vt:lpstr>
      <vt:lpstr>pv_garantie_ipad</vt:lpstr>
      <vt:lpstr>pv_garantie_ipad_Air11</vt:lpstr>
      <vt:lpstr>pv_garantie_ipad_Air13</vt:lpstr>
      <vt:lpstr>pv_garantie_ipad_mini</vt:lpstr>
      <vt:lpstr>pv_garantie_ipad_Pro11</vt:lpstr>
      <vt:lpstr>pv_garantie_ipad_pro13</vt:lpstr>
      <vt:lpstr>rv_10</vt:lpstr>
      <vt:lpstr>rv_20</vt:lpstr>
      <vt:lpstr>rv_3</vt:lpstr>
      <vt:lpstr>rv_30</vt:lpstr>
      <vt:lpstr>rv_32</vt:lpstr>
      <vt:lpstr>rv_7</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Laëtitia Goënse</cp:lastModifiedBy>
  <cp:revision/>
  <dcterms:created xsi:type="dcterms:W3CDTF">1999-02-15T11:54:48Z</dcterms:created>
  <dcterms:modified xsi:type="dcterms:W3CDTF">2025-02-07T08:50:12Z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