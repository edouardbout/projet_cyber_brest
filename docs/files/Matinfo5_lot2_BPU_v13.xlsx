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Y:\1-Marchés-contrat IMT\Marchés 2021\21 IMT 066 à 070 M - Matinfo 5 (AMUE)\Matinfo 5\21 IMT 067 MS - Lot 2 Postes de travail portables et leurs extensions\BPU\"/>
    </mc:Choice>
  </mc:AlternateContent>
  <xr:revisionPtr revIDLastSave="0" documentId="8_{EE29870E-FC3B-4F51-847F-C8AC19A29DFE}" xr6:coauthVersionLast="47" xr6:coauthVersionMax="47" xr10:uidLastSave="{00000000-0000-0000-0000-000000000000}"/>
  <bookViews>
    <workbookView xWindow="-108" yWindow="-108" windowWidth="30936" windowHeight="17040" tabRatio="617"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6" r:id="rId6"/>
    <sheet name="Extensions Communes LOCATION" sheetId="27" r:id="rId7"/>
    <sheet name="Clients Légers LOCATION" sheetId="28" r:id="rId8"/>
    <sheet name="LOT 2 DROM COM" sheetId="29" r:id="rId9"/>
    <sheet name="Extensions Communes DROM COM" sheetId="30" r:id="rId10"/>
    <sheet name="Clients Légers DROM COM" sheetId="31"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Communes'!$A$46:$C$69</definedName>
    <definedName name="_xlnm._FilterDatabase" localSheetId="9" hidden="1">'Extensions Communes DROM COM'!$A$46:$C$69</definedName>
    <definedName name="_xlnm._FilterDatabase" localSheetId="6" hidden="1">'Extensions Communes LOCATION'!$A$46:$C$69</definedName>
    <definedName name="_xlnm._FilterDatabase" localSheetId="2" hidden="1">'LOT 2'!$A$11:$K$11</definedName>
    <definedName name="_xlnm._FilterDatabase" localSheetId="8" hidden="1">'LOT 2 DROM COM'!$A$22:$AQ$22</definedName>
    <definedName name="_xlnm._FilterDatabase" localSheetId="5" hidden="1">'LOT 2 LOCATION'!$A$11:$K$11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5" i="29" l="1"/>
  <c r="M355" i="29"/>
  <c r="N355" i="29"/>
  <c r="O355" i="29"/>
  <c r="P355" i="29"/>
  <c r="Q355" i="29"/>
  <c r="R355" i="29"/>
  <c r="L355" i="26"/>
  <c r="M355" i="26"/>
  <c r="N355" i="26"/>
  <c r="O355" i="26"/>
  <c r="L12" i="29"/>
  <c r="F14" i="27"/>
  <c r="G14" i="27"/>
  <c r="F15" i="27"/>
  <c r="G15" i="27"/>
  <c r="F16" i="27"/>
  <c r="G16" i="27"/>
  <c r="F19" i="27"/>
  <c r="G19" i="27"/>
  <c r="F20" i="27"/>
  <c r="G20" i="27"/>
  <c r="F21" i="27"/>
  <c r="G21" i="27"/>
  <c r="F24" i="27"/>
  <c r="G24" i="27"/>
  <c r="F25" i="27"/>
  <c r="G25" i="27"/>
  <c r="F26" i="27"/>
  <c r="G26" i="27"/>
  <c r="F27" i="27"/>
  <c r="G27" i="27"/>
  <c r="F28" i="27"/>
  <c r="G28" i="27"/>
  <c r="F29" i="27"/>
  <c r="G29" i="27"/>
  <c r="F30" i="27"/>
  <c r="G30" i="27"/>
  <c r="F31" i="27"/>
  <c r="G31" i="27"/>
  <c r="F34" i="27"/>
  <c r="G34" i="27"/>
  <c r="F35" i="27"/>
  <c r="G35" i="27"/>
  <c r="F36" i="27"/>
  <c r="G36" i="27"/>
  <c r="F37" i="27"/>
  <c r="G37" i="27"/>
  <c r="F38" i="27"/>
  <c r="G38" i="27"/>
  <c r="F39" i="27"/>
  <c r="G39" i="27"/>
  <c r="F40" i="27"/>
  <c r="G40" i="27"/>
  <c r="F41" i="27"/>
  <c r="G41" i="27"/>
  <c r="F42" i="27"/>
  <c r="G42" i="27"/>
  <c r="F43" i="27"/>
  <c r="G43" i="27"/>
  <c r="F44" i="27"/>
  <c r="G44" i="27"/>
  <c r="F45" i="27"/>
  <c r="G45" i="27"/>
  <c r="F48" i="27"/>
  <c r="G48" i="27"/>
  <c r="F49" i="27"/>
  <c r="G49"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5" i="27"/>
  <c r="G65" i="27"/>
  <c r="F66" i="27"/>
  <c r="G66" i="27"/>
  <c r="F67" i="27"/>
  <c r="G67" i="27"/>
  <c r="F68" i="27"/>
  <c r="G68" i="27"/>
  <c r="F69" i="27"/>
  <c r="G69" i="27"/>
  <c r="F70" i="27"/>
  <c r="G70" i="27"/>
  <c r="F71" i="27"/>
  <c r="G71" i="27"/>
  <c r="F72" i="27"/>
  <c r="G72" i="27"/>
  <c r="F73" i="27"/>
  <c r="G73" i="27"/>
  <c r="F76" i="27"/>
  <c r="G76" i="27"/>
  <c r="F77" i="27"/>
  <c r="G77" i="27"/>
  <c r="F78" i="27"/>
  <c r="G78" i="27"/>
  <c r="F79" i="27"/>
  <c r="G79" i="27"/>
  <c r="F80" i="27"/>
  <c r="G80" i="27"/>
  <c r="F81" i="27"/>
  <c r="G81" i="27"/>
  <c r="F84" i="27"/>
  <c r="G84" i="27"/>
  <c r="F85" i="27"/>
  <c r="G85" i="27"/>
  <c r="F86" i="27"/>
  <c r="G86" i="27"/>
  <c r="F87" i="27"/>
  <c r="G87" i="27"/>
  <c r="F90" i="27"/>
  <c r="G90" i="27"/>
  <c r="F91" i="27"/>
  <c r="G91" i="27"/>
  <c r="F92" i="27"/>
  <c r="G92" i="27"/>
  <c r="F93" i="27"/>
  <c r="G93" i="27"/>
  <c r="F94" i="27"/>
  <c r="G94" i="27"/>
  <c r="F95" i="27"/>
  <c r="G95" i="27"/>
  <c r="F96" i="27"/>
  <c r="G96" i="27"/>
  <c r="F97" i="27"/>
  <c r="G97" i="27"/>
  <c r="F98" i="27"/>
  <c r="G98" i="27"/>
  <c r="F99" i="27"/>
  <c r="G99" i="27"/>
  <c r="F100" i="27"/>
  <c r="G100" i="27"/>
  <c r="F101" i="27"/>
  <c r="G101" i="27"/>
  <c r="F104" i="27"/>
  <c r="G104" i="27"/>
  <c r="F105" i="27"/>
  <c r="G105" i="27"/>
  <c r="F106" i="27"/>
  <c r="G106" i="27"/>
  <c r="F107" i="27"/>
  <c r="G107" i="27"/>
  <c r="F108" i="27"/>
  <c r="G108" i="27"/>
  <c r="F109" i="27"/>
  <c r="G109" i="27"/>
  <c r="F110" i="27"/>
  <c r="G110" i="27"/>
  <c r="F111" i="27"/>
  <c r="G111" i="27"/>
  <c r="F112" i="27"/>
  <c r="G112" i="27"/>
  <c r="F113" i="27"/>
  <c r="G113" i="27"/>
  <c r="F116" i="27"/>
  <c r="G116" i="27"/>
  <c r="F117" i="27"/>
  <c r="G117" i="27"/>
  <c r="F118" i="27"/>
  <c r="G118" i="27"/>
  <c r="F119" i="27"/>
  <c r="G119" i="27"/>
  <c r="F120" i="27"/>
  <c r="G120" i="27"/>
  <c r="F121" i="27"/>
  <c r="G121" i="27"/>
  <c r="F122" i="27"/>
  <c r="G122" i="27"/>
  <c r="F125" i="27"/>
  <c r="G125" i="27"/>
  <c r="F126" i="27"/>
  <c r="G126" i="27"/>
  <c r="F127" i="27"/>
  <c r="G127" i="27"/>
  <c r="F128" i="27"/>
  <c r="G128" i="27"/>
  <c r="F131" i="27"/>
  <c r="G131" i="27"/>
  <c r="F132" i="27"/>
  <c r="G132" i="27"/>
  <c r="F133" i="27"/>
  <c r="G133" i="27"/>
  <c r="F134" i="27"/>
  <c r="G134" i="27"/>
  <c r="F135" i="27"/>
  <c r="G135" i="27"/>
  <c r="F136" i="27"/>
  <c r="G136" i="27"/>
  <c r="F137" i="27"/>
  <c r="G137" i="27"/>
  <c r="F138" i="27"/>
  <c r="G138" i="27"/>
  <c r="F139" i="27"/>
  <c r="G139" i="27"/>
  <c r="F140" i="27"/>
  <c r="G140" i="27"/>
  <c r="F141" i="27"/>
  <c r="G141" i="27"/>
  <c r="F142" i="27"/>
  <c r="G142" i="27"/>
  <c r="F143" i="27"/>
  <c r="G143" i="27"/>
  <c r="F144" i="27"/>
  <c r="G144" i="27"/>
  <c r="F145" i="27"/>
  <c r="G145" i="27"/>
  <c r="F146" i="27"/>
  <c r="G146" i="27"/>
  <c r="F149" i="27"/>
  <c r="G149" i="27"/>
  <c r="F150" i="27"/>
  <c r="G150" i="27"/>
  <c r="F153" i="27"/>
  <c r="G153" i="27"/>
  <c r="F154" i="27"/>
  <c r="G154" i="27"/>
  <c r="F155" i="27"/>
  <c r="G155" i="27"/>
  <c r="F156" i="27"/>
  <c r="G156" i="27"/>
  <c r="F157" i="27"/>
  <c r="G157" i="27"/>
  <c r="F160" i="27"/>
  <c r="G160" i="27"/>
  <c r="F161" i="27"/>
  <c r="G161" i="27"/>
  <c r="F162" i="27"/>
  <c r="G162" i="27"/>
  <c r="F163" i="27"/>
  <c r="G163" i="27"/>
  <c r="F164" i="27"/>
  <c r="G164" i="27"/>
  <c r="F165" i="27"/>
  <c r="G165" i="27"/>
  <c r="F166" i="27"/>
  <c r="G166" i="27"/>
  <c r="F167" i="27"/>
  <c r="G167" i="27"/>
  <c r="F168" i="27"/>
  <c r="G168" i="27"/>
  <c r="F169" i="27"/>
  <c r="G169" i="27"/>
  <c r="F170" i="27"/>
  <c r="G170" i="27"/>
  <c r="F171" i="27"/>
  <c r="G171" i="27"/>
  <c r="F172" i="27"/>
  <c r="G172" i="27"/>
  <c r="F173" i="27"/>
  <c r="G173" i="27"/>
  <c r="F174" i="27"/>
  <c r="G174" i="27"/>
  <c r="F175" i="27"/>
  <c r="G175" i="27"/>
  <c r="F176" i="27"/>
  <c r="G176" i="27"/>
  <c r="F177" i="27"/>
  <c r="G177" i="27"/>
  <c r="F178" i="27"/>
  <c r="G178" i="27"/>
  <c r="F179" i="27"/>
  <c r="G179" i="27"/>
  <c r="F180" i="27"/>
  <c r="G180" i="27"/>
  <c r="F181" i="27"/>
  <c r="G181" i="27"/>
  <c r="F182" i="27"/>
  <c r="G182" i="27"/>
  <c r="F183" i="27"/>
  <c r="G183" i="27"/>
  <c r="F184" i="27"/>
  <c r="G184" i="27"/>
  <c r="F185" i="27"/>
  <c r="G185" i="27"/>
  <c r="F188" i="27"/>
  <c r="G188" i="27"/>
  <c r="H14" i="27"/>
  <c r="I14" i="27"/>
  <c r="H15" i="27"/>
  <c r="I15" i="27"/>
  <c r="H16" i="27"/>
  <c r="I16" i="27"/>
  <c r="H19" i="27"/>
  <c r="I19" i="27"/>
  <c r="H20" i="27"/>
  <c r="I20" i="27"/>
  <c r="H21" i="27"/>
  <c r="I21" i="27"/>
  <c r="H24" i="27"/>
  <c r="I24" i="27"/>
  <c r="H25" i="27"/>
  <c r="I25" i="27"/>
  <c r="H26" i="27"/>
  <c r="I26" i="27"/>
  <c r="H27" i="27"/>
  <c r="I27" i="27"/>
  <c r="H28" i="27"/>
  <c r="I28" i="27"/>
  <c r="H29" i="27"/>
  <c r="I29" i="27"/>
  <c r="H30" i="27"/>
  <c r="I30" i="27"/>
  <c r="H31" i="27"/>
  <c r="I31" i="27"/>
  <c r="H34" i="27"/>
  <c r="I34" i="27"/>
  <c r="H35" i="27"/>
  <c r="I35" i="27"/>
  <c r="H36" i="27"/>
  <c r="I36" i="27"/>
  <c r="H37" i="27"/>
  <c r="I37" i="27"/>
  <c r="H38" i="27"/>
  <c r="I38" i="27"/>
  <c r="H39" i="27"/>
  <c r="I39" i="27"/>
  <c r="H40" i="27"/>
  <c r="I40" i="27"/>
  <c r="H41" i="27"/>
  <c r="I41" i="27"/>
  <c r="H42" i="27"/>
  <c r="I42" i="27"/>
  <c r="H43" i="27"/>
  <c r="I43" i="27"/>
  <c r="H44" i="27"/>
  <c r="I44" i="27"/>
  <c r="H45" i="27"/>
  <c r="I45" i="27"/>
  <c r="H48" i="27"/>
  <c r="I48" i="27"/>
  <c r="H49" i="27"/>
  <c r="I49"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6" i="27"/>
  <c r="I76" i="27"/>
  <c r="H77" i="27"/>
  <c r="I77" i="27"/>
  <c r="H78" i="27"/>
  <c r="I78" i="27"/>
  <c r="H79" i="27"/>
  <c r="I79" i="27"/>
  <c r="H80" i="27"/>
  <c r="I80" i="27"/>
  <c r="H81" i="27"/>
  <c r="I81" i="27"/>
  <c r="H84" i="27"/>
  <c r="I84" i="27"/>
  <c r="H85" i="27"/>
  <c r="I85" i="27"/>
  <c r="H86" i="27"/>
  <c r="I86" i="27"/>
  <c r="H87" i="27"/>
  <c r="I87" i="27"/>
  <c r="H90" i="27"/>
  <c r="I90" i="27"/>
  <c r="H91" i="27"/>
  <c r="I91" i="27"/>
  <c r="H92" i="27"/>
  <c r="I92" i="27"/>
  <c r="H93" i="27"/>
  <c r="I93" i="27"/>
  <c r="H94" i="27"/>
  <c r="I94" i="27"/>
  <c r="H95" i="27"/>
  <c r="I95" i="27"/>
  <c r="H96" i="27"/>
  <c r="I96" i="27"/>
  <c r="H97" i="27"/>
  <c r="I97" i="27"/>
  <c r="H98" i="27"/>
  <c r="I98" i="27"/>
  <c r="H99" i="27"/>
  <c r="I99" i="27"/>
  <c r="H100" i="27"/>
  <c r="I100" i="27"/>
  <c r="H101" i="27"/>
  <c r="I101" i="27"/>
  <c r="H104" i="27"/>
  <c r="I104" i="27"/>
  <c r="H105" i="27"/>
  <c r="I105" i="27"/>
  <c r="H106" i="27"/>
  <c r="I106" i="27"/>
  <c r="H107" i="27"/>
  <c r="I107" i="27"/>
  <c r="H108" i="27"/>
  <c r="I108" i="27"/>
  <c r="H109" i="27"/>
  <c r="I109" i="27"/>
  <c r="H110" i="27"/>
  <c r="I110" i="27"/>
  <c r="H111" i="27"/>
  <c r="I111" i="27"/>
  <c r="H112" i="27"/>
  <c r="I112" i="27"/>
  <c r="H113" i="27"/>
  <c r="I113" i="27"/>
  <c r="H116" i="27"/>
  <c r="I116" i="27"/>
  <c r="H117" i="27"/>
  <c r="I117" i="27"/>
  <c r="H118" i="27"/>
  <c r="I118" i="27"/>
  <c r="H119" i="27"/>
  <c r="I119" i="27"/>
  <c r="H120" i="27"/>
  <c r="I120" i="27"/>
  <c r="H121" i="27"/>
  <c r="I121" i="27"/>
  <c r="H122" i="27"/>
  <c r="I122" i="27"/>
  <c r="H125" i="27"/>
  <c r="I125" i="27"/>
  <c r="H126" i="27"/>
  <c r="I126" i="27"/>
  <c r="H127" i="27"/>
  <c r="I127" i="27"/>
  <c r="H128" i="27"/>
  <c r="I128"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9" i="27"/>
  <c r="I149" i="27"/>
  <c r="H150" i="27"/>
  <c r="I150" i="27"/>
  <c r="H153" i="27"/>
  <c r="I153" i="27"/>
  <c r="H154" i="27"/>
  <c r="I154" i="27"/>
  <c r="H155" i="27"/>
  <c r="I155" i="27"/>
  <c r="H156" i="27"/>
  <c r="I156" i="27"/>
  <c r="H157" i="27"/>
  <c r="I157"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8" i="27"/>
  <c r="I188" i="27"/>
  <c r="I13" i="27"/>
  <c r="H13" i="27"/>
  <c r="G13" i="27"/>
  <c r="F13" i="27"/>
  <c r="F195" i="27"/>
  <c r="S14" i="31"/>
  <c r="S13" i="31"/>
  <c r="R14" i="31"/>
  <c r="R13" i="31"/>
  <c r="Q14" i="31"/>
  <c r="Q13" i="31"/>
  <c r="P14" i="31"/>
  <c r="P13" i="31"/>
  <c r="O14" i="31"/>
  <c r="O13" i="31"/>
  <c r="N14" i="31"/>
  <c r="N13" i="31"/>
  <c r="M14" i="31"/>
  <c r="M13" i="31"/>
  <c r="F14" i="30"/>
  <c r="G14" i="30"/>
  <c r="H14" i="30"/>
  <c r="I14" i="30"/>
  <c r="J14" i="30"/>
  <c r="K14" i="30"/>
  <c r="L14" i="30"/>
  <c r="F15" i="30"/>
  <c r="G15" i="30"/>
  <c r="H15" i="30"/>
  <c r="I15" i="30"/>
  <c r="J15" i="30"/>
  <c r="K15" i="30"/>
  <c r="L15" i="30"/>
  <c r="F16" i="30"/>
  <c r="G16" i="30"/>
  <c r="H16" i="30"/>
  <c r="I16" i="30"/>
  <c r="J16" i="30"/>
  <c r="K16" i="30"/>
  <c r="L16" i="30"/>
  <c r="F19" i="30"/>
  <c r="G19" i="30"/>
  <c r="H19" i="30"/>
  <c r="I19" i="30"/>
  <c r="J19" i="30"/>
  <c r="K19" i="30"/>
  <c r="L19" i="30"/>
  <c r="F20" i="30"/>
  <c r="G20" i="30"/>
  <c r="H20" i="30"/>
  <c r="I20" i="30"/>
  <c r="J20" i="30"/>
  <c r="K20" i="30"/>
  <c r="L20" i="30"/>
  <c r="F21" i="30"/>
  <c r="G21" i="30"/>
  <c r="H21" i="30"/>
  <c r="I21" i="30"/>
  <c r="J21" i="30"/>
  <c r="K21" i="30"/>
  <c r="L21" i="30"/>
  <c r="F24" i="30"/>
  <c r="G24" i="30"/>
  <c r="H24" i="30"/>
  <c r="I24" i="30"/>
  <c r="J24" i="30"/>
  <c r="K24" i="30"/>
  <c r="L24" i="30"/>
  <c r="F25" i="30"/>
  <c r="G25" i="30"/>
  <c r="H25" i="30"/>
  <c r="I25" i="30"/>
  <c r="J25" i="30"/>
  <c r="K25" i="30"/>
  <c r="L25" i="30"/>
  <c r="F26" i="30"/>
  <c r="G26" i="30"/>
  <c r="H26" i="30"/>
  <c r="I26" i="30"/>
  <c r="J26" i="30"/>
  <c r="K26" i="30"/>
  <c r="L26" i="30"/>
  <c r="F27" i="30"/>
  <c r="G27" i="30"/>
  <c r="H27" i="30"/>
  <c r="I27" i="30"/>
  <c r="J27" i="30"/>
  <c r="K27" i="30"/>
  <c r="L27" i="30"/>
  <c r="F28" i="30"/>
  <c r="G28" i="30"/>
  <c r="H28" i="30"/>
  <c r="I28" i="30"/>
  <c r="J28" i="30"/>
  <c r="K28" i="30"/>
  <c r="L28" i="30"/>
  <c r="F29" i="30"/>
  <c r="G29" i="30"/>
  <c r="H29" i="30"/>
  <c r="I29" i="30"/>
  <c r="J29" i="30"/>
  <c r="K29" i="30"/>
  <c r="L29" i="30"/>
  <c r="F30" i="30"/>
  <c r="G30" i="30"/>
  <c r="H30" i="30"/>
  <c r="I30" i="30"/>
  <c r="J30" i="30"/>
  <c r="K30" i="30"/>
  <c r="L30" i="30"/>
  <c r="F31" i="30"/>
  <c r="G31" i="30"/>
  <c r="H31" i="30"/>
  <c r="I31" i="30"/>
  <c r="J31" i="30"/>
  <c r="K31" i="30"/>
  <c r="L31" i="30"/>
  <c r="F34" i="30"/>
  <c r="G34" i="30"/>
  <c r="H34" i="30"/>
  <c r="I34" i="30"/>
  <c r="J34" i="30"/>
  <c r="K34" i="30"/>
  <c r="L34" i="30"/>
  <c r="F35" i="30"/>
  <c r="G35" i="30"/>
  <c r="H35" i="30"/>
  <c r="I35" i="30"/>
  <c r="J35" i="30"/>
  <c r="K35" i="30"/>
  <c r="L35" i="30"/>
  <c r="F36" i="30"/>
  <c r="G36" i="30"/>
  <c r="H36" i="30"/>
  <c r="I36" i="30"/>
  <c r="J36" i="30"/>
  <c r="K36" i="30"/>
  <c r="L36" i="30"/>
  <c r="F37" i="30"/>
  <c r="G37" i="30"/>
  <c r="H37" i="30"/>
  <c r="I37" i="30"/>
  <c r="J37" i="30"/>
  <c r="K37" i="30"/>
  <c r="L37" i="30"/>
  <c r="F38" i="30"/>
  <c r="G38" i="30"/>
  <c r="H38" i="30"/>
  <c r="I38" i="30"/>
  <c r="J38" i="30"/>
  <c r="K38" i="30"/>
  <c r="L38" i="30"/>
  <c r="F39" i="30"/>
  <c r="G39" i="30"/>
  <c r="H39" i="30"/>
  <c r="I39" i="30"/>
  <c r="J39" i="30"/>
  <c r="K39" i="30"/>
  <c r="L39" i="30"/>
  <c r="F40" i="30"/>
  <c r="G40" i="30"/>
  <c r="H40" i="30"/>
  <c r="I40" i="30"/>
  <c r="J40" i="30"/>
  <c r="K40" i="30"/>
  <c r="L40" i="30"/>
  <c r="F41" i="30"/>
  <c r="G41" i="30"/>
  <c r="H41" i="30"/>
  <c r="I41" i="30"/>
  <c r="J41" i="30"/>
  <c r="K41" i="30"/>
  <c r="L41" i="30"/>
  <c r="F42" i="30"/>
  <c r="G42" i="30"/>
  <c r="H42" i="30"/>
  <c r="I42" i="30"/>
  <c r="J42" i="30"/>
  <c r="K42" i="30"/>
  <c r="L42" i="30"/>
  <c r="F43" i="30"/>
  <c r="G43" i="30"/>
  <c r="H43" i="30"/>
  <c r="I43" i="30"/>
  <c r="J43" i="30"/>
  <c r="K43" i="30"/>
  <c r="L43" i="30"/>
  <c r="F44" i="30"/>
  <c r="G44" i="30"/>
  <c r="H44" i="30"/>
  <c r="I44" i="30"/>
  <c r="J44" i="30"/>
  <c r="K44" i="30"/>
  <c r="L44" i="30"/>
  <c r="F45" i="30"/>
  <c r="G45" i="30"/>
  <c r="H45" i="30"/>
  <c r="I45" i="30"/>
  <c r="J45" i="30"/>
  <c r="K45" i="30"/>
  <c r="L45" i="30"/>
  <c r="F48" i="30"/>
  <c r="G48" i="30"/>
  <c r="H48" i="30"/>
  <c r="I48" i="30"/>
  <c r="J48" i="30"/>
  <c r="K48" i="30"/>
  <c r="L48" i="30"/>
  <c r="F49" i="30"/>
  <c r="G49" i="30"/>
  <c r="H49" i="30"/>
  <c r="I49" i="30"/>
  <c r="J49" i="30"/>
  <c r="K49" i="30"/>
  <c r="L49" i="30"/>
  <c r="F52" i="30"/>
  <c r="G52" i="30"/>
  <c r="H52" i="30"/>
  <c r="I52" i="30"/>
  <c r="J52" i="30"/>
  <c r="K52" i="30"/>
  <c r="L52" i="30"/>
  <c r="F53" i="30"/>
  <c r="G53" i="30"/>
  <c r="H53" i="30"/>
  <c r="I53" i="30"/>
  <c r="J53" i="30"/>
  <c r="K53" i="30"/>
  <c r="L53" i="30"/>
  <c r="F54" i="30"/>
  <c r="G54" i="30"/>
  <c r="H54" i="30"/>
  <c r="I54" i="30"/>
  <c r="J54" i="30"/>
  <c r="K54" i="30"/>
  <c r="L54" i="30"/>
  <c r="F55" i="30"/>
  <c r="G55" i="30"/>
  <c r="H55" i="30"/>
  <c r="I55" i="30"/>
  <c r="J55" i="30"/>
  <c r="K55" i="30"/>
  <c r="L55" i="30"/>
  <c r="F56" i="30"/>
  <c r="G56" i="30"/>
  <c r="H56" i="30"/>
  <c r="I56" i="30"/>
  <c r="J56" i="30"/>
  <c r="K56" i="30"/>
  <c r="L56" i="30"/>
  <c r="F57" i="30"/>
  <c r="G57" i="30"/>
  <c r="H57" i="30"/>
  <c r="I57" i="30"/>
  <c r="J57" i="30"/>
  <c r="K57" i="30"/>
  <c r="L57" i="30"/>
  <c r="F58" i="30"/>
  <c r="G58" i="30"/>
  <c r="H58" i="30"/>
  <c r="I58" i="30"/>
  <c r="J58" i="30"/>
  <c r="K58" i="30"/>
  <c r="L58" i="30"/>
  <c r="F59" i="30"/>
  <c r="G59" i="30"/>
  <c r="H59" i="30"/>
  <c r="I59" i="30"/>
  <c r="J59" i="30"/>
  <c r="K59" i="30"/>
  <c r="L59" i="30"/>
  <c r="F60" i="30"/>
  <c r="G60" i="30"/>
  <c r="H60" i="30"/>
  <c r="I60" i="30"/>
  <c r="J60" i="30"/>
  <c r="K60" i="30"/>
  <c r="L60" i="30"/>
  <c r="F61" i="30"/>
  <c r="G61" i="30"/>
  <c r="H61" i="30"/>
  <c r="I61" i="30"/>
  <c r="J61" i="30"/>
  <c r="K61" i="30"/>
  <c r="L61" i="30"/>
  <c r="F62" i="30"/>
  <c r="G62" i="30"/>
  <c r="H62" i="30"/>
  <c r="I62" i="30"/>
  <c r="J62" i="30"/>
  <c r="K62" i="30"/>
  <c r="L62" i="30"/>
  <c r="F63" i="30"/>
  <c r="G63" i="30"/>
  <c r="H63" i="30"/>
  <c r="I63" i="30"/>
  <c r="J63" i="30"/>
  <c r="K63" i="30"/>
  <c r="L63" i="30"/>
  <c r="F64" i="30"/>
  <c r="G64" i="30"/>
  <c r="H64" i="30"/>
  <c r="I64" i="30"/>
  <c r="J64" i="30"/>
  <c r="K64" i="30"/>
  <c r="L64" i="30"/>
  <c r="F65" i="30"/>
  <c r="G65" i="30"/>
  <c r="H65" i="30"/>
  <c r="I65" i="30"/>
  <c r="J65" i="30"/>
  <c r="K65" i="30"/>
  <c r="L65" i="30"/>
  <c r="F66" i="30"/>
  <c r="G66" i="30"/>
  <c r="H66" i="30"/>
  <c r="I66" i="30"/>
  <c r="J66" i="30"/>
  <c r="K66" i="30"/>
  <c r="L66" i="30"/>
  <c r="F67" i="30"/>
  <c r="G67" i="30"/>
  <c r="H67" i="30"/>
  <c r="I67" i="30"/>
  <c r="J67" i="30"/>
  <c r="K67" i="30"/>
  <c r="L67" i="30"/>
  <c r="F68" i="30"/>
  <c r="G68" i="30"/>
  <c r="H68" i="30"/>
  <c r="I68" i="30"/>
  <c r="J68" i="30"/>
  <c r="K68" i="30"/>
  <c r="L68" i="30"/>
  <c r="F69" i="30"/>
  <c r="G69" i="30"/>
  <c r="H69" i="30"/>
  <c r="I69" i="30"/>
  <c r="J69" i="30"/>
  <c r="K69" i="30"/>
  <c r="L69" i="30"/>
  <c r="F70" i="30"/>
  <c r="G70" i="30"/>
  <c r="H70" i="30"/>
  <c r="I70" i="30"/>
  <c r="J70" i="30"/>
  <c r="K70" i="30"/>
  <c r="L70" i="30"/>
  <c r="F71" i="30"/>
  <c r="G71" i="30"/>
  <c r="H71" i="30"/>
  <c r="I71" i="30"/>
  <c r="J71" i="30"/>
  <c r="K71" i="30"/>
  <c r="L71" i="30"/>
  <c r="F72" i="30"/>
  <c r="G72" i="30"/>
  <c r="H72" i="30"/>
  <c r="I72" i="30"/>
  <c r="J72" i="30"/>
  <c r="K72" i="30"/>
  <c r="L72" i="30"/>
  <c r="F73" i="30"/>
  <c r="G73" i="30"/>
  <c r="H73" i="30"/>
  <c r="I73" i="30"/>
  <c r="J73" i="30"/>
  <c r="K73" i="30"/>
  <c r="L73" i="30"/>
  <c r="F76" i="30"/>
  <c r="G76" i="30"/>
  <c r="H76" i="30"/>
  <c r="I76" i="30"/>
  <c r="J76" i="30"/>
  <c r="K76" i="30"/>
  <c r="L76" i="30"/>
  <c r="F77" i="30"/>
  <c r="G77" i="30"/>
  <c r="H77" i="30"/>
  <c r="I77" i="30"/>
  <c r="J77" i="30"/>
  <c r="K77" i="30"/>
  <c r="L77" i="30"/>
  <c r="F78" i="30"/>
  <c r="G78" i="30"/>
  <c r="H78" i="30"/>
  <c r="I78" i="30"/>
  <c r="J78" i="30"/>
  <c r="K78" i="30"/>
  <c r="L78" i="30"/>
  <c r="F79" i="30"/>
  <c r="G79" i="30"/>
  <c r="H79" i="30"/>
  <c r="I79" i="30"/>
  <c r="J79" i="30"/>
  <c r="K79" i="30"/>
  <c r="L79" i="30"/>
  <c r="F80" i="30"/>
  <c r="G80" i="30"/>
  <c r="H80" i="30"/>
  <c r="I80" i="30"/>
  <c r="J80" i="30"/>
  <c r="K80" i="30"/>
  <c r="L80" i="30"/>
  <c r="F81" i="30"/>
  <c r="G81" i="30"/>
  <c r="H81" i="30"/>
  <c r="I81" i="30"/>
  <c r="J81" i="30"/>
  <c r="K81" i="30"/>
  <c r="L81" i="30"/>
  <c r="F84" i="30"/>
  <c r="G84" i="30"/>
  <c r="H84" i="30"/>
  <c r="I84" i="30"/>
  <c r="J84" i="30"/>
  <c r="K84" i="30"/>
  <c r="L84" i="30"/>
  <c r="F85" i="30"/>
  <c r="G85" i="30"/>
  <c r="H85" i="30"/>
  <c r="I85" i="30"/>
  <c r="J85" i="30"/>
  <c r="K85" i="30"/>
  <c r="L85" i="30"/>
  <c r="F86" i="30"/>
  <c r="G86" i="30"/>
  <c r="H86" i="30"/>
  <c r="I86" i="30"/>
  <c r="J86" i="30"/>
  <c r="K86" i="30"/>
  <c r="L86" i="30"/>
  <c r="F87" i="30"/>
  <c r="G87" i="30"/>
  <c r="H87" i="30"/>
  <c r="I87" i="30"/>
  <c r="J87" i="30"/>
  <c r="K87" i="30"/>
  <c r="L87" i="30"/>
  <c r="F90" i="30"/>
  <c r="G90" i="30"/>
  <c r="H90" i="30"/>
  <c r="I90" i="30"/>
  <c r="J90" i="30"/>
  <c r="K90" i="30"/>
  <c r="L90" i="30"/>
  <c r="F91" i="30"/>
  <c r="G91" i="30"/>
  <c r="H91" i="30"/>
  <c r="I91" i="30"/>
  <c r="J91" i="30"/>
  <c r="K91" i="30"/>
  <c r="L91" i="30"/>
  <c r="F92" i="30"/>
  <c r="G92" i="30"/>
  <c r="H92" i="30"/>
  <c r="I92" i="30"/>
  <c r="J92" i="30"/>
  <c r="K92" i="30"/>
  <c r="L92" i="30"/>
  <c r="F93" i="30"/>
  <c r="G93" i="30"/>
  <c r="H93" i="30"/>
  <c r="I93" i="30"/>
  <c r="J93" i="30"/>
  <c r="K93" i="30"/>
  <c r="L93" i="30"/>
  <c r="F94" i="30"/>
  <c r="G94" i="30"/>
  <c r="H94" i="30"/>
  <c r="I94" i="30"/>
  <c r="J94" i="30"/>
  <c r="K94" i="30"/>
  <c r="L94" i="30"/>
  <c r="F95" i="30"/>
  <c r="G95" i="30"/>
  <c r="H95" i="30"/>
  <c r="I95" i="30"/>
  <c r="J95" i="30"/>
  <c r="K95" i="30"/>
  <c r="L95" i="30"/>
  <c r="F96" i="30"/>
  <c r="G96" i="30"/>
  <c r="H96" i="30"/>
  <c r="I96" i="30"/>
  <c r="J96" i="30"/>
  <c r="K96" i="30"/>
  <c r="L96" i="30"/>
  <c r="F97" i="30"/>
  <c r="G97" i="30"/>
  <c r="H97" i="30"/>
  <c r="I97" i="30"/>
  <c r="J97" i="30"/>
  <c r="K97" i="30"/>
  <c r="L97" i="30"/>
  <c r="F98" i="30"/>
  <c r="G98" i="30"/>
  <c r="H98" i="30"/>
  <c r="I98" i="30"/>
  <c r="J98" i="30"/>
  <c r="K98" i="30"/>
  <c r="L98" i="30"/>
  <c r="F99" i="30"/>
  <c r="G99" i="30"/>
  <c r="H99" i="30"/>
  <c r="I99" i="30"/>
  <c r="J99" i="30"/>
  <c r="K99" i="30"/>
  <c r="L99" i="30"/>
  <c r="F100" i="30"/>
  <c r="G100" i="30"/>
  <c r="H100" i="30"/>
  <c r="I100" i="30"/>
  <c r="J100" i="30"/>
  <c r="K100" i="30"/>
  <c r="L100" i="30"/>
  <c r="F101" i="30"/>
  <c r="G101" i="30"/>
  <c r="H101" i="30"/>
  <c r="I101" i="30"/>
  <c r="J101" i="30"/>
  <c r="K101" i="30"/>
  <c r="L101" i="30"/>
  <c r="F104" i="30"/>
  <c r="G104" i="30"/>
  <c r="H104" i="30"/>
  <c r="I104" i="30"/>
  <c r="J104" i="30"/>
  <c r="K104" i="30"/>
  <c r="L104" i="30"/>
  <c r="F105" i="30"/>
  <c r="G105" i="30"/>
  <c r="H105" i="30"/>
  <c r="I105" i="30"/>
  <c r="J105" i="30"/>
  <c r="K105" i="30"/>
  <c r="L105" i="30"/>
  <c r="F106" i="30"/>
  <c r="G106" i="30"/>
  <c r="H106" i="30"/>
  <c r="I106" i="30"/>
  <c r="J106" i="30"/>
  <c r="K106" i="30"/>
  <c r="L106" i="30"/>
  <c r="F107" i="30"/>
  <c r="G107" i="30"/>
  <c r="H107" i="30"/>
  <c r="I107" i="30"/>
  <c r="J107" i="30"/>
  <c r="K107" i="30"/>
  <c r="L107" i="30"/>
  <c r="F108" i="30"/>
  <c r="G108" i="30"/>
  <c r="H108" i="30"/>
  <c r="I108" i="30"/>
  <c r="J108" i="30"/>
  <c r="K108" i="30"/>
  <c r="L108" i="30"/>
  <c r="F109" i="30"/>
  <c r="G109" i="30"/>
  <c r="H109" i="30"/>
  <c r="I109" i="30"/>
  <c r="J109" i="30"/>
  <c r="K109" i="30"/>
  <c r="L109" i="30"/>
  <c r="F110" i="30"/>
  <c r="G110" i="30"/>
  <c r="H110" i="30"/>
  <c r="I110" i="30"/>
  <c r="J110" i="30"/>
  <c r="K110" i="30"/>
  <c r="L110" i="30"/>
  <c r="F111" i="30"/>
  <c r="G111" i="30"/>
  <c r="H111" i="30"/>
  <c r="I111" i="30"/>
  <c r="J111" i="30"/>
  <c r="K111" i="30"/>
  <c r="L111" i="30"/>
  <c r="F112" i="30"/>
  <c r="G112" i="30"/>
  <c r="H112" i="30"/>
  <c r="I112" i="30"/>
  <c r="J112" i="30"/>
  <c r="K112" i="30"/>
  <c r="L112" i="30"/>
  <c r="F113" i="30"/>
  <c r="G113" i="30"/>
  <c r="H113" i="30"/>
  <c r="I113" i="30"/>
  <c r="J113" i="30"/>
  <c r="K113" i="30"/>
  <c r="L113" i="30"/>
  <c r="F116" i="30"/>
  <c r="G116" i="30"/>
  <c r="H116" i="30"/>
  <c r="I116" i="30"/>
  <c r="J116" i="30"/>
  <c r="K116" i="30"/>
  <c r="L116" i="30"/>
  <c r="F117" i="30"/>
  <c r="G117" i="30"/>
  <c r="H117" i="30"/>
  <c r="I117" i="30"/>
  <c r="J117" i="30"/>
  <c r="K117" i="30"/>
  <c r="L117" i="30"/>
  <c r="F118" i="30"/>
  <c r="G118" i="30"/>
  <c r="H118" i="30"/>
  <c r="I118" i="30"/>
  <c r="J118" i="30"/>
  <c r="K118" i="30"/>
  <c r="L118" i="30"/>
  <c r="F119" i="30"/>
  <c r="G119" i="30"/>
  <c r="H119" i="30"/>
  <c r="I119" i="30"/>
  <c r="J119" i="30"/>
  <c r="K119" i="30"/>
  <c r="L119" i="30"/>
  <c r="F120" i="30"/>
  <c r="G120" i="30"/>
  <c r="H120" i="30"/>
  <c r="I120" i="30"/>
  <c r="J120" i="30"/>
  <c r="K120" i="30"/>
  <c r="L120" i="30"/>
  <c r="F121" i="30"/>
  <c r="G121" i="30"/>
  <c r="H121" i="30"/>
  <c r="I121" i="30"/>
  <c r="J121" i="30"/>
  <c r="K121" i="30"/>
  <c r="L121" i="30"/>
  <c r="F122" i="30"/>
  <c r="G122" i="30"/>
  <c r="H122" i="30"/>
  <c r="I122" i="30"/>
  <c r="J122" i="30"/>
  <c r="K122" i="30"/>
  <c r="L122" i="30"/>
  <c r="F125" i="30"/>
  <c r="G125" i="30"/>
  <c r="H125" i="30"/>
  <c r="I125" i="30"/>
  <c r="J125" i="30"/>
  <c r="K125" i="30"/>
  <c r="L125" i="30"/>
  <c r="F126" i="30"/>
  <c r="G126" i="30"/>
  <c r="H126" i="30"/>
  <c r="I126" i="30"/>
  <c r="J126" i="30"/>
  <c r="K126" i="30"/>
  <c r="L126" i="30"/>
  <c r="F127" i="30"/>
  <c r="G127" i="30"/>
  <c r="H127" i="30"/>
  <c r="I127" i="30"/>
  <c r="J127" i="30"/>
  <c r="K127" i="30"/>
  <c r="L127" i="30"/>
  <c r="F128" i="30"/>
  <c r="G128" i="30"/>
  <c r="H128" i="30"/>
  <c r="I128" i="30"/>
  <c r="J128" i="30"/>
  <c r="K128" i="30"/>
  <c r="L128" i="30"/>
  <c r="F131" i="30"/>
  <c r="G131" i="30"/>
  <c r="H131" i="30"/>
  <c r="I131" i="30"/>
  <c r="J131" i="30"/>
  <c r="K131" i="30"/>
  <c r="L131" i="30"/>
  <c r="F132" i="30"/>
  <c r="G132" i="30"/>
  <c r="H132" i="30"/>
  <c r="I132" i="30"/>
  <c r="J132" i="30"/>
  <c r="K132" i="30"/>
  <c r="L132" i="30"/>
  <c r="F133" i="30"/>
  <c r="G133" i="30"/>
  <c r="H133" i="30"/>
  <c r="I133" i="30"/>
  <c r="J133" i="30"/>
  <c r="K133" i="30"/>
  <c r="L133" i="30"/>
  <c r="F134" i="30"/>
  <c r="G134" i="30"/>
  <c r="H134" i="30"/>
  <c r="I134" i="30"/>
  <c r="J134" i="30"/>
  <c r="K134" i="30"/>
  <c r="L134" i="30"/>
  <c r="F135" i="30"/>
  <c r="G135" i="30"/>
  <c r="H135" i="30"/>
  <c r="I135" i="30"/>
  <c r="J135" i="30"/>
  <c r="K135" i="30"/>
  <c r="L135" i="30"/>
  <c r="F136" i="30"/>
  <c r="G136" i="30"/>
  <c r="H136" i="30"/>
  <c r="I136" i="30"/>
  <c r="J136" i="30"/>
  <c r="K136" i="30"/>
  <c r="L136" i="30"/>
  <c r="F137" i="30"/>
  <c r="G137" i="30"/>
  <c r="H137" i="30"/>
  <c r="I137" i="30"/>
  <c r="J137" i="30"/>
  <c r="K137" i="30"/>
  <c r="L137" i="30"/>
  <c r="F138" i="30"/>
  <c r="G138" i="30"/>
  <c r="H138" i="30"/>
  <c r="I138" i="30"/>
  <c r="J138" i="30"/>
  <c r="K138" i="30"/>
  <c r="L138" i="30"/>
  <c r="F139" i="30"/>
  <c r="G139" i="30"/>
  <c r="H139" i="30"/>
  <c r="I139" i="30"/>
  <c r="J139" i="30"/>
  <c r="K139" i="30"/>
  <c r="L139" i="30"/>
  <c r="F140" i="30"/>
  <c r="G140" i="30"/>
  <c r="H140" i="30"/>
  <c r="I140" i="30"/>
  <c r="J140" i="30"/>
  <c r="K140" i="30"/>
  <c r="L140" i="30"/>
  <c r="F141" i="30"/>
  <c r="G141" i="30"/>
  <c r="H141" i="30"/>
  <c r="I141" i="30"/>
  <c r="J141" i="30"/>
  <c r="K141" i="30"/>
  <c r="L141" i="30"/>
  <c r="F142" i="30"/>
  <c r="G142" i="30"/>
  <c r="H142" i="30"/>
  <c r="I142" i="30"/>
  <c r="J142" i="30"/>
  <c r="K142" i="30"/>
  <c r="L142" i="30"/>
  <c r="F143" i="30"/>
  <c r="G143" i="30"/>
  <c r="H143" i="30"/>
  <c r="I143" i="30"/>
  <c r="J143" i="30"/>
  <c r="K143" i="30"/>
  <c r="L143" i="30"/>
  <c r="F144" i="30"/>
  <c r="G144" i="30"/>
  <c r="H144" i="30"/>
  <c r="I144" i="30"/>
  <c r="J144" i="30"/>
  <c r="K144" i="30"/>
  <c r="L144" i="30"/>
  <c r="F145" i="30"/>
  <c r="G145" i="30"/>
  <c r="H145" i="30"/>
  <c r="I145" i="30"/>
  <c r="J145" i="30"/>
  <c r="K145" i="30"/>
  <c r="L145" i="30"/>
  <c r="F146" i="30"/>
  <c r="G146" i="30"/>
  <c r="H146" i="30"/>
  <c r="I146" i="30"/>
  <c r="J146" i="30"/>
  <c r="K146" i="30"/>
  <c r="L146" i="30"/>
  <c r="F149" i="30"/>
  <c r="G149" i="30"/>
  <c r="H149" i="30"/>
  <c r="I149" i="30"/>
  <c r="J149" i="30"/>
  <c r="K149" i="30"/>
  <c r="L149" i="30"/>
  <c r="F150" i="30"/>
  <c r="G150" i="30"/>
  <c r="H150" i="30"/>
  <c r="I150" i="30"/>
  <c r="J150" i="30"/>
  <c r="K150" i="30"/>
  <c r="L150" i="30"/>
  <c r="F153" i="30"/>
  <c r="G153" i="30"/>
  <c r="H153" i="30"/>
  <c r="I153" i="30"/>
  <c r="J153" i="30"/>
  <c r="K153" i="30"/>
  <c r="L153" i="30"/>
  <c r="F154" i="30"/>
  <c r="G154" i="30"/>
  <c r="H154" i="30"/>
  <c r="I154" i="30"/>
  <c r="J154" i="30"/>
  <c r="K154" i="30"/>
  <c r="L154" i="30"/>
  <c r="F155" i="30"/>
  <c r="G155" i="30"/>
  <c r="H155" i="30"/>
  <c r="I155" i="30"/>
  <c r="J155" i="30"/>
  <c r="K155" i="30"/>
  <c r="L155" i="30"/>
  <c r="F156" i="30"/>
  <c r="G156" i="30"/>
  <c r="H156" i="30"/>
  <c r="I156" i="30"/>
  <c r="J156" i="30"/>
  <c r="K156" i="30"/>
  <c r="L156" i="30"/>
  <c r="F157" i="30"/>
  <c r="G157" i="30"/>
  <c r="H157" i="30"/>
  <c r="I157" i="30"/>
  <c r="J157" i="30"/>
  <c r="K157" i="30"/>
  <c r="L157" i="30"/>
  <c r="F160" i="30"/>
  <c r="G160" i="30"/>
  <c r="H160" i="30"/>
  <c r="I160" i="30"/>
  <c r="J160" i="30"/>
  <c r="K160" i="30"/>
  <c r="L160" i="30"/>
  <c r="F161" i="30"/>
  <c r="G161" i="30"/>
  <c r="H161" i="30"/>
  <c r="I161" i="30"/>
  <c r="J161" i="30"/>
  <c r="K161" i="30"/>
  <c r="L161" i="30"/>
  <c r="F162" i="30"/>
  <c r="G162" i="30"/>
  <c r="H162" i="30"/>
  <c r="I162" i="30"/>
  <c r="J162" i="30"/>
  <c r="K162" i="30"/>
  <c r="L162" i="30"/>
  <c r="F163" i="30"/>
  <c r="G163" i="30"/>
  <c r="H163" i="30"/>
  <c r="I163" i="30"/>
  <c r="J163" i="30"/>
  <c r="K163" i="30"/>
  <c r="L163" i="30"/>
  <c r="F164" i="30"/>
  <c r="G164" i="30"/>
  <c r="H164" i="30"/>
  <c r="I164" i="30"/>
  <c r="J164" i="30"/>
  <c r="K164" i="30"/>
  <c r="L164" i="30"/>
  <c r="F165" i="30"/>
  <c r="G165" i="30"/>
  <c r="H165" i="30"/>
  <c r="I165" i="30"/>
  <c r="J165" i="30"/>
  <c r="K165" i="30"/>
  <c r="L165" i="30"/>
  <c r="F166" i="30"/>
  <c r="G166" i="30"/>
  <c r="H166" i="30"/>
  <c r="I166" i="30"/>
  <c r="J166" i="30"/>
  <c r="K166" i="30"/>
  <c r="L166" i="30"/>
  <c r="F167" i="30"/>
  <c r="G167" i="30"/>
  <c r="H167" i="30"/>
  <c r="I167" i="30"/>
  <c r="J167" i="30"/>
  <c r="K167" i="30"/>
  <c r="L167" i="30"/>
  <c r="F168" i="30"/>
  <c r="G168" i="30"/>
  <c r="H168" i="30"/>
  <c r="I168" i="30"/>
  <c r="J168" i="30"/>
  <c r="K168" i="30"/>
  <c r="L168" i="30"/>
  <c r="F169" i="30"/>
  <c r="G169" i="30"/>
  <c r="H169" i="30"/>
  <c r="I169" i="30"/>
  <c r="J169" i="30"/>
  <c r="K169" i="30"/>
  <c r="L169" i="30"/>
  <c r="F170" i="30"/>
  <c r="G170" i="30"/>
  <c r="H170" i="30"/>
  <c r="I170" i="30"/>
  <c r="J170" i="30"/>
  <c r="K170" i="30"/>
  <c r="L170" i="30"/>
  <c r="F171" i="30"/>
  <c r="G171" i="30"/>
  <c r="H171" i="30"/>
  <c r="I171" i="30"/>
  <c r="J171" i="30"/>
  <c r="K171" i="30"/>
  <c r="L171" i="30"/>
  <c r="F172" i="30"/>
  <c r="G172" i="30"/>
  <c r="H172" i="30"/>
  <c r="I172" i="30"/>
  <c r="J172" i="30"/>
  <c r="K172" i="30"/>
  <c r="L172" i="30"/>
  <c r="F173" i="30"/>
  <c r="G173" i="30"/>
  <c r="H173" i="30"/>
  <c r="I173" i="30"/>
  <c r="J173" i="30"/>
  <c r="K173" i="30"/>
  <c r="L173" i="30"/>
  <c r="F174" i="30"/>
  <c r="G174" i="30"/>
  <c r="H174" i="30"/>
  <c r="I174" i="30"/>
  <c r="J174" i="30"/>
  <c r="K174" i="30"/>
  <c r="L174" i="30"/>
  <c r="F175" i="30"/>
  <c r="G175" i="30"/>
  <c r="H175" i="30"/>
  <c r="I175" i="30"/>
  <c r="J175" i="30"/>
  <c r="K175" i="30"/>
  <c r="L175" i="30"/>
  <c r="F176" i="30"/>
  <c r="G176" i="30"/>
  <c r="H176" i="30"/>
  <c r="I176" i="30"/>
  <c r="J176" i="30"/>
  <c r="K176" i="30"/>
  <c r="L176" i="30"/>
  <c r="F177" i="30"/>
  <c r="G177" i="30"/>
  <c r="H177" i="30"/>
  <c r="I177" i="30"/>
  <c r="J177" i="30"/>
  <c r="K177" i="30"/>
  <c r="L177" i="30"/>
  <c r="F178" i="30"/>
  <c r="G178" i="30"/>
  <c r="H178" i="30"/>
  <c r="I178" i="30"/>
  <c r="J178" i="30"/>
  <c r="K178" i="30"/>
  <c r="L178" i="30"/>
  <c r="F179" i="30"/>
  <c r="G179" i="30"/>
  <c r="H179" i="30"/>
  <c r="I179" i="30"/>
  <c r="J179" i="30"/>
  <c r="K179" i="30"/>
  <c r="L179" i="30"/>
  <c r="F180" i="30"/>
  <c r="G180" i="30"/>
  <c r="H180" i="30"/>
  <c r="I180" i="30"/>
  <c r="J180" i="30"/>
  <c r="K180" i="30"/>
  <c r="L180" i="30"/>
  <c r="F181" i="30"/>
  <c r="G181" i="30"/>
  <c r="H181" i="30"/>
  <c r="I181" i="30"/>
  <c r="J181" i="30"/>
  <c r="K181" i="30"/>
  <c r="L181" i="30"/>
  <c r="F182" i="30"/>
  <c r="G182" i="30"/>
  <c r="H182" i="30"/>
  <c r="I182" i="30"/>
  <c r="J182" i="30"/>
  <c r="K182" i="30"/>
  <c r="L182" i="30"/>
  <c r="F183" i="30"/>
  <c r="G183" i="30"/>
  <c r="H183" i="30"/>
  <c r="I183" i="30"/>
  <c r="J183" i="30"/>
  <c r="K183" i="30"/>
  <c r="L183" i="30"/>
  <c r="F184" i="30"/>
  <c r="G184" i="30"/>
  <c r="H184" i="30"/>
  <c r="I184" i="30"/>
  <c r="J184" i="30"/>
  <c r="K184" i="30"/>
  <c r="L184" i="30"/>
  <c r="F185" i="30"/>
  <c r="G185" i="30"/>
  <c r="H185" i="30"/>
  <c r="I185" i="30"/>
  <c r="J185" i="30"/>
  <c r="K185" i="30"/>
  <c r="L185" i="30"/>
  <c r="F188" i="30"/>
  <c r="G188" i="30"/>
  <c r="H188" i="30"/>
  <c r="I188" i="30"/>
  <c r="J188" i="30"/>
  <c r="K188" i="30"/>
  <c r="L188" i="30"/>
  <c r="F191" i="30"/>
  <c r="G191" i="30"/>
  <c r="H191" i="30"/>
  <c r="I191" i="30"/>
  <c r="J191" i="30"/>
  <c r="K191" i="30"/>
  <c r="L191" i="30"/>
  <c r="F192" i="30"/>
  <c r="G192" i="30"/>
  <c r="H192" i="30"/>
  <c r="I192" i="30"/>
  <c r="J192" i="30"/>
  <c r="K192" i="30"/>
  <c r="L192" i="30"/>
  <c r="F193" i="30"/>
  <c r="G193" i="30"/>
  <c r="H193" i="30"/>
  <c r="I193" i="30"/>
  <c r="J193" i="30"/>
  <c r="K193" i="30"/>
  <c r="L193" i="30"/>
  <c r="F194" i="30"/>
  <c r="G194" i="30"/>
  <c r="H194" i="30"/>
  <c r="I194" i="30"/>
  <c r="J194" i="30"/>
  <c r="K194" i="30"/>
  <c r="L194" i="30"/>
  <c r="F195" i="30"/>
  <c r="G195" i="30"/>
  <c r="H195" i="30"/>
  <c r="I195" i="30"/>
  <c r="J195" i="30"/>
  <c r="K195" i="30"/>
  <c r="L195" i="30"/>
  <c r="F196" i="30"/>
  <c r="G196" i="30"/>
  <c r="H196" i="30"/>
  <c r="I196" i="30"/>
  <c r="J196" i="30"/>
  <c r="K196" i="30"/>
  <c r="L196" i="30"/>
  <c r="F197" i="30"/>
  <c r="G197" i="30"/>
  <c r="H197" i="30"/>
  <c r="I197" i="30"/>
  <c r="J197" i="30"/>
  <c r="K197" i="30"/>
  <c r="L197" i="30"/>
  <c r="F198" i="30"/>
  <c r="G198" i="30"/>
  <c r="H198" i="30"/>
  <c r="I198" i="30"/>
  <c r="J198" i="30"/>
  <c r="K198" i="30"/>
  <c r="L198" i="30"/>
  <c r="F199" i="30"/>
  <c r="G199" i="30"/>
  <c r="H199" i="30"/>
  <c r="I199" i="30"/>
  <c r="J199" i="30"/>
  <c r="K199" i="30"/>
  <c r="L199" i="30"/>
  <c r="F200" i="30"/>
  <c r="G200" i="30"/>
  <c r="H200" i="30"/>
  <c r="I200" i="30"/>
  <c r="J200" i="30"/>
  <c r="K200" i="30"/>
  <c r="L200" i="30"/>
  <c r="F201" i="30"/>
  <c r="G201" i="30"/>
  <c r="H201" i="30"/>
  <c r="I201" i="30"/>
  <c r="J201" i="30"/>
  <c r="K201" i="30"/>
  <c r="L201" i="30"/>
  <c r="F204" i="30"/>
  <c r="G204" i="30"/>
  <c r="H204" i="30"/>
  <c r="I204" i="30"/>
  <c r="J204" i="30"/>
  <c r="K204" i="30"/>
  <c r="L204" i="30"/>
  <c r="F205" i="30"/>
  <c r="G205" i="30"/>
  <c r="H205" i="30"/>
  <c r="I205" i="30"/>
  <c r="J205" i="30"/>
  <c r="K205" i="30"/>
  <c r="L205" i="30"/>
  <c r="F206" i="30"/>
  <c r="G206" i="30"/>
  <c r="H206" i="30"/>
  <c r="I206" i="30"/>
  <c r="J206" i="30"/>
  <c r="K206" i="30"/>
  <c r="L206" i="30"/>
  <c r="F209" i="30"/>
  <c r="G209" i="30"/>
  <c r="H209" i="30"/>
  <c r="I209" i="30"/>
  <c r="J209" i="30"/>
  <c r="K209" i="30"/>
  <c r="L209" i="30"/>
  <c r="F210" i="30"/>
  <c r="G210" i="30"/>
  <c r="H210" i="30"/>
  <c r="I210" i="30"/>
  <c r="J210" i="30"/>
  <c r="K210" i="30"/>
  <c r="L210" i="30"/>
  <c r="F211" i="30"/>
  <c r="G211" i="30"/>
  <c r="H211" i="30"/>
  <c r="I211" i="30"/>
  <c r="J211" i="30"/>
  <c r="K211" i="30"/>
  <c r="L211" i="30"/>
  <c r="F212" i="30"/>
  <c r="G212" i="30"/>
  <c r="H212" i="30"/>
  <c r="I212" i="30"/>
  <c r="J212" i="30"/>
  <c r="K212" i="30"/>
  <c r="L212" i="30"/>
  <c r="F215" i="30"/>
  <c r="G215" i="30"/>
  <c r="H215" i="30"/>
  <c r="I215" i="30"/>
  <c r="J215" i="30"/>
  <c r="K215" i="30"/>
  <c r="L215" i="30"/>
  <c r="F216" i="30"/>
  <c r="G216" i="30"/>
  <c r="H216" i="30"/>
  <c r="I216" i="30"/>
  <c r="J216" i="30"/>
  <c r="K216" i="30"/>
  <c r="L216" i="30"/>
  <c r="F217" i="30"/>
  <c r="G217" i="30"/>
  <c r="H217" i="30"/>
  <c r="I217" i="30"/>
  <c r="J217" i="30"/>
  <c r="K217" i="30"/>
  <c r="L217" i="30"/>
  <c r="F218" i="30"/>
  <c r="G218" i="30"/>
  <c r="H218" i="30"/>
  <c r="I218" i="30"/>
  <c r="J218" i="30"/>
  <c r="K218" i="30"/>
  <c r="L218" i="30"/>
  <c r="F219" i="30"/>
  <c r="G219" i="30"/>
  <c r="H219" i="30"/>
  <c r="I219" i="30"/>
  <c r="J219" i="30"/>
  <c r="K219" i="30"/>
  <c r="L219" i="30"/>
  <c r="F220" i="30"/>
  <c r="G220" i="30"/>
  <c r="H220" i="30"/>
  <c r="I220" i="30"/>
  <c r="J220" i="30"/>
  <c r="K220" i="30"/>
  <c r="L220" i="30"/>
  <c r="F221" i="30"/>
  <c r="G221" i="30"/>
  <c r="H221" i="30"/>
  <c r="I221" i="30"/>
  <c r="J221" i="30"/>
  <c r="K221" i="30"/>
  <c r="L221" i="30"/>
  <c r="F222" i="30"/>
  <c r="G222" i="30"/>
  <c r="H222" i="30"/>
  <c r="I222" i="30"/>
  <c r="J222" i="30"/>
  <c r="K222" i="30"/>
  <c r="L222" i="30"/>
  <c r="F223" i="30"/>
  <c r="G223" i="30"/>
  <c r="H223" i="30"/>
  <c r="I223" i="30"/>
  <c r="J223" i="30"/>
  <c r="K223" i="30"/>
  <c r="L223" i="30"/>
  <c r="F224" i="30"/>
  <c r="G224" i="30"/>
  <c r="H224" i="30"/>
  <c r="I224" i="30"/>
  <c r="J224" i="30"/>
  <c r="K224" i="30"/>
  <c r="L224" i="30"/>
  <c r="F225" i="30"/>
  <c r="G225" i="30"/>
  <c r="H225" i="30"/>
  <c r="I225" i="30"/>
  <c r="J225" i="30"/>
  <c r="K225" i="30"/>
  <c r="L225" i="30"/>
  <c r="F228" i="30"/>
  <c r="G228" i="30"/>
  <c r="H228" i="30"/>
  <c r="I228" i="30"/>
  <c r="J228" i="30"/>
  <c r="K228" i="30"/>
  <c r="L228" i="30"/>
  <c r="F229" i="30"/>
  <c r="G229" i="30"/>
  <c r="H229" i="30"/>
  <c r="I229" i="30"/>
  <c r="J229" i="30"/>
  <c r="K229" i="30"/>
  <c r="L229" i="30"/>
  <c r="F230" i="30"/>
  <c r="G230" i="30"/>
  <c r="H230" i="30"/>
  <c r="I230" i="30"/>
  <c r="J230" i="30"/>
  <c r="K230" i="30"/>
  <c r="L230" i="30"/>
  <c r="F233" i="30"/>
  <c r="G233" i="30"/>
  <c r="H233" i="30"/>
  <c r="I233" i="30"/>
  <c r="J233" i="30"/>
  <c r="K233" i="30"/>
  <c r="L233" i="30"/>
  <c r="F234" i="30"/>
  <c r="G234" i="30"/>
  <c r="H234" i="30"/>
  <c r="I234" i="30"/>
  <c r="J234" i="30"/>
  <c r="K234" i="30"/>
  <c r="L234" i="30"/>
  <c r="F235" i="30"/>
  <c r="G235" i="30"/>
  <c r="H235" i="30"/>
  <c r="I235" i="30"/>
  <c r="J235" i="30"/>
  <c r="K235" i="30"/>
  <c r="L235" i="30"/>
  <c r="F238" i="30"/>
  <c r="G238" i="30"/>
  <c r="H238" i="30"/>
  <c r="I238" i="30"/>
  <c r="J238" i="30"/>
  <c r="K238" i="30"/>
  <c r="L238" i="30"/>
  <c r="F239" i="30"/>
  <c r="G239" i="30"/>
  <c r="H239" i="30"/>
  <c r="I239" i="30"/>
  <c r="J239" i="30"/>
  <c r="K239" i="30"/>
  <c r="L239" i="30"/>
  <c r="F240" i="30"/>
  <c r="G240" i="30"/>
  <c r="H240" i="30"/>
  <c r="I240" i="30"/>
  <c r="J240" i="30"/>
  <c r="K240" i="30"/>
  <c r="L240" i="30"/>
  <c r="F243" i="30"/>
  <c r="G243" i="30"/>
  <c r="H243" i="30"/>
  <c r="I243" i="30"/>
  <c r="J243" i="30"/>
  <c r="K243" i="30"/>
  <c r="L243" i="30"/>
  <c r="F244" i="30"/>
  <c r="G244" i="30"/>
  <c r="H244" i="30"/>
  <c r="I244" i="30"/>
  <c r="J244" i="30"/>
  <c r="K244" i="30"/>
  <c r="L244" i="30"/>
  <c r="F245" i="30"/>
  <c r="G245" i="30"/>
  <c r="H245" i="30"/>
  <c r="I245" i="30"/>
  <c r="J245" i="30"/>
  <c r="K245" i="30"/>
  <c r="L245" i="30"/>
  <c r="F246" i="30"/>
  <c r="G246" i="30"/>
  <c r="H246" i="30"/>
  <c r="I246" i="30"/>
  <c r="J246" i="30"/>
  <c r="K246" i="30"/>
  <c r="L246" i="30"/>
  <c r="F247" i="30"/>
  <c r="G247" i="30"/>
  <c r="H247" i="30"/>
  <c r="I247" i="30"/>
  <c r="J247" i="30"/>
  <c r="K247" i="30"/>
  <c r="L247" i="30"/>
  <c r="F248" i="30"/>
  <c r="G248" i="30"/>
  <c r="H248" i="30"/>
  <c r="I248" i="30"/>
  <c r="J248" i="30"/>
  <c r="K248" i="30"/>
  <c r="L248" i="30"/>
  <c r="F249" i="30"/>
  <c r="G249" i="30"/>
  <c r="H249" i="30"/>
  <c r="I249" i="30"/>
  <c r="J249" i="30"/>
  <c r="K249" i="30"/>
  <c r="L249" i="30"/>
  <c r="F250" i="30"/>
  <c r="G250" i="30"/>
  <c r="H250" i="30"/>
  <c r="I250" i="30"/>
  <c r="J250" i="30"/>
  <c r="K250" i="30"/>
  <c r="L250" i="30"/>
  <c r="F251" i="30"/>
  <c r="G251" i="30"/>
  <c r="H251" i="30"/>
  <c r="I251" i="30"/>
  <c r="J251" i="30"/>
  <c r="K251" i="30"/>
  <c r="L251" i="30"/>
  <c r="F252" i="30"/>
  <c r="G252" i="30"/>
  <c r="H252" i="30"/>
  <c r="I252" i="30"/>
  <c r="J252" i="30"/>
  <c r="K252" i="30"/>
  <c r="L252" i="30"/>
  <c r="F253" i="30"/>
  <c r="G253" i="30"/>
  <c r="H253" i="30"/>
  <c r="I253" i="30"/>
  <c r="J253" i="30"/>
  <c r="K253" i="30"/>
  <c r="L253" i="30"/>
  <c r="F254" i="30"/>
  <c r="G254" i="30"/>
  <c r="H254" i="30"/>
  <c r="I254" i="30"/>
  <c r="J254" i="30"/>
  <c r="K254" i="30"/>
  <c r="L254" i="30"/>
  <c r="F255" i="30"/>
  <c r="G255" i="30"/>
  <c r="H255" i="30"/>
  <c r="I255" i="30"/>
  <c r="J255" i="30"/>
  <c r="K255" i="30"/>
  <c r="L255" i="30"/>
  <c r="F256" i="30"/>
  <c r="G256" i="30"/>
  <c r="H256" i="30"/>
  <c r="I256" i="30"/>
  <c r="J256" i="30"/>
  <c r="K256" i="30"/>
  <c r="L256" i="30"/>
  <c r="F257" i="30"/>
  <c r="G257" i="30"/>
  <c r="H257" i="30"/>
  <c r="I257" i="30"/>
  <c r="J257" i="30"/>
  <c r="K257" i="30"/>
  <c r="L257" i="30"/>
  <c r="F258" i="30"/>
  <c r="G258" i="30"/>
  <c r="H258" i="30"/>
  <c r="I258" i="30"/>
  <c r="J258" i="30"/>
  <c r="K258" i="30"/>
  <c r="L258" i="30"/>
  <c r="F259" i="30"/>
  <c r="G259" i="30"/>
  <c r="H259" i="30"/>
  <c r="I259" i="30"/>
  <c r="J259" i="30"/>
  <c r="K259" i="30"/>
  <c r="L259" i="30"/>
  <c r="F260" i="30"/>
  <c r="G260" i="30"/>
  <c r="H260" i="30"/>
  <c r="I260" i="30"/>
  <c r="J260" i="30"/>
  <c r="K260" i="30"/>
  <c r="L260" i="30"/>
  <c r="F261" i="30"/>
  <c r="G261" i="30"/>
  <c r="H261" i="30"/>
  <c r="I261" i="30"/>
  <c r="J261" i="30"/>
  <c r="K261" i="30"/>
  <c r="L261" i="30"/>
  <c r="F262" i="30"/>
  <c r="G262" i="30"/>
  <c r="H262" i="30"/>
  <c r="I262" i="30"/>
  <c r="J262" i="30"/>
  <c r="K262" i="30"/>
  <c r="L262" i="30"/>
  <c r="F263" i="30"/>
  <c r="G263" i="30"/>
  <c r="H263" i="30"/>
  <c r="I263" i="30"/>
  <c r="J263" i="30"/>
  <c r="K263" i="30"/>
  <c r="L263" i="30"/>
  <c r="F264" i="30"/>
  <c r="G264" i="30"/>
  <c r="H264" i="30"/>
  <c r="I264" i="30"/>
  <c r="J264" i="30"/>
  <c r="K264" i="30"/>
  <c r="L264" i="30"/>
  <c r="F265" i="30"/>
  <c r="G265" i="30"/>
  <c r="H265" i="30"/>
  <c r="I265" i="30"/>
  <c r="J265" i="30"/>
  <c r="K265" i="30"/>
  <c r="L265" i="30"/>
  <c r="F266" i="30"/>
  <c r="G266" i="30"/>
  <c r="H266" i="30"/>
  <c r="I266" i="30"/>
  <c r="J266" i="30"/>
  <c r="K266" i="30"/>
  <c r="L266" i="30"/>
  <c r="F267" i="30"/>
  <c r="G267" i="30"/>
  <c r="H267" i="30"/>
  <c r="I267" i="30"/>
  <c r="J267" i="30"/>
  <c r="K267" i="30"/>
  <c r="L267" i="30"/>
  <c r="F268" i="30"/>
  <c r="G268" i="30"/>
  <c r="H268" i="30"/>
  <c r="I268" i="30"/>
  <c r="J268" i="30"/>
  <c r="K268" i="30"/>
  <c r="L268" i="30"/>
  <c r="F269" i="30"/>
  <c r="G269" i="30"/>
  <c r="H269" i="30"/>
  <c r="I269" i="30"/>
  <c r="J269" i="30"/>
  <c r="K269" i="30"/>
  <c r="L269" i="30"/>
  <c r="F270" i="30"/>
  <c r="G270" i="30"/>
  <c r="H270" i="30"/>
  <c r="I270" i="30"/>
  <c r="J270" i="30"/>
  <c r="K270" i="30"/>
  <c r="L270" i="30"/>
  <c r="F271" i="30"/>
  <c r="G271" i="30"/>
  <c r="H271" i="30"/>
  <c r="I271" i="30"/>
  <c r="J271" i="30"/>
  <c r="K271" i="30"/>
  <c r="L271" i="30"/>
  <c r="K13" i="30"/>
  <c r="L13" i="30"/>
  <c r="J13" i="30"/>
  <c r="I13" i="30"/>
  <c r="H13" i="30"/>
  <c r="G13" i="30"/>
  <c r="F13" i="30"/>
  <c r="P14" i="29"/>
  <c r="Q14" i="29"/>
  <c r="R14" i="29"/>
  <c r="P16" i="29"/>
  <c r="Q16" i="29"/>
  <c r="R16" i="29"/>
  <c r="P18" i="29"/>
  <c r="Q18" i="29"/>
  <c r="R18" i="29"/>
  <c r="P20" i="29"/>
  <c r="Q20" i="29"/>
  <c r="R20" i="29"/>
  <c r="P24" i="29"/>
  <c r="Q24" i="29"/>
  <c r="R24" i="29"/>
  <c r="P25" i="29"/>
  <c r="Q25" i="29"/>
  <c r="R25" i="29"/>
  <c r="P26" i="29"/>
  <c r="Q26" i="29"/>
  <c r="R26" i="29"/>
  <c r="P27" i="29"/>
  <c r="Q27" i="29"/>
  <c r="R27" i="29"/>
  <c r="P28" i="29"/>
  <c r="Q28" i="29"/>
  <c r="R28" i="29"/>
  <c r="P31" i="29"/>
  <c r="Q31" i="29"/>
  <c r="R31" i="29"/>
  <c r="P32" i="29"/>
  <c r="Q32" i="29"/>
  <c r="R32" i="29"/>
  <c r="P35" i="29"/>
  <c r="Q35" i="29"/>
  <c r="R35" i="29"/>
  <c r="P36" i="29"/>
  <c r="Q36" i="29"/>
  <c r="R36" i="29"/>
  <c r="P37" i="29"/>
  <c r="Q37" i="29"/>
  <c r="R37" i="29"/>
  <c r="P38" i="29"/>
  <c r="Q38" i="29"/>
  <c r="R38" i="29"/>
  <c r="P41" i="29"/>
  <c r="Q41" i="29"/>
  <c r="R41" i="29"/>
  <c r="P42" i="29"/>
  <c r="Q42" i="29"/>
  <c r="R42" i="29"/>
  <c r="P43" i="29"/>
  <c r="Q43" i="29"/>
  <c r="R43" i="29"/>
  <c r="P44" i="29"/>
  <c r="Q44" i="29"/>
  <c r="R44" i="29"/>
  <c r="P45" i="29"/>
  <c r="Q45" i="29"/>
  <c r="R45" i="29"/>
  <c r="P48" i="29"/>
  <c r="Q48" i="29"/>
  <c r="R48" i="29"/>
  <c r="P49" i="29"/>
  <c r="Q49" i="29"/>
  <c r="R49" i="29"/>
  <c r="P50" i="29"/>
  <c r="Q50" i="29"/>
  <c r="R50" i="29"/>
  <c r="P51" i="29"/>
  <c r="Q51" i="29"/>
  <c r="R51" i="29"/>
  <c r="P54" i="29"/>
  <c r="Q54" i="29"/>
  <c r="R54" i="29"/>
  <c r="P55" i="29"/>
  <c r="Q55" i="29"/>
  <c r="R55" i="29"/>
  <c r="P56" i="29"/>
  <c r="Q56" i="29"/>
  <c r="R56" i="29"/>
  <c r="P59" i="29"/>
  <c r="Q59" i="29"/>
  <c r="R59" i="29"/>
  <c r="P62" i="29"/>
  <c r="Q62" i="29"/>
  <c r="R62" i="29"/>
  <c r="P63" i="29"/>
  <c r="Q63" i="29"/>
  <c r="R63" i="29"/>
  <c r="P66" i="29"/>
  <c r="Q66" i="29"/>
  <c r="R66" i="29"/>
  <c r="P69" i="29"/>
  <c r="Q69" i="29"/>
  <c r="R69" i="29"/>
  <c r="P70" i="29"/>
  <c r="Q70" i="29"/>
  <c r="R70" i="29"/>
  <c r="P73" i="29"/>
  <c r="Q73" i="29"/>
  <c r="R73" i="29"/>
  <c r="P76" i="29"/>
  <c r="Q76" i="29"/>
  <c r="R76" i="29"/>
  <c r="P79" i="29"/>
  <c r="Q79" i="29"/>
  <c r="R79" i="29"/>
  <c r="P82" i="29"/>
  <c r="Q82" i="29"/>
  <c r="R82" i="29"/>
  <c r="P83" i="29"/>
  <c r="Q83" i="29"/>
  <c r="R83" i="29"/>
  <c r="P84" i="29"/>
  <c r="Q84" i="29"/>
  <c r="R84" i="29"/>
  <c r="P85" i="29"/>
  <c r="Q85" i="29"/>
  <c r="R85" i="29"/>
  <c r="P86" i="29"/>
  <c r="Q86" i="29"/>
  <c r="R86" i="29"/>
  <c r="P91" i="29"/>
  <c r="Q91" i="29"/>
  <c r="R91" i="29"/>
  <c r="P93" i="29"/>
  <c r="Q93" i="29"/>
  <c r="R93" i="29"/>
  <c r="P95" i="29"/>
  <c r="Q95" i="29"/>
  <c r="R95" i="29"/>
  <c r="P97" i="29"/>
  <c r="Q97" i="29"/>
  <c r="R97" i="29"/>
  <c r="P99" i="29"/>
  <c r="Q99" i="29"/>
  <c r="R99" i="29"/>
  <c r="P103" i="29"/>
  <c r="Q103" i="29"/>
  <c r="R103" i="29"/>
  <c r="P104" i="29"/>
  <c r="Q104" i="29"/>
  <c r="R104" i="29"/>
  <c r="P105" i="29"/>
  <c r="Q105" i="29"/>
  <c r="R105" i="29"/>
  <c r="P106" i="29"/>
  <c r="Q106" i="29"/>
  <c r="R106" i="29"/>
  <c r="P107" i="29"/>
  <c r="Q107" i="29"/>
  <c r="R107" i="29"/>
  <c r="P108" i="29"/>
  <c r="Q108" i="29"/>
  <c r="R108" i="29"/>
  <c r="P109" i="29"/>
  <c r="Q109" i="29"/>
  <c r="R109" i="29"/>
  <c r="P110" i="29"/>
  <c r="Q110" i="29"/>
  <c r="R110" i="29"/>
  <c r="P111" i="29"/>
  <c r="Q111" i="29"/>
  <c r="R111" i="29"/>
  <c r="P112" i="29"/>
  <c r="Q112" i="29"/>
  <c r="R112" i="29"/>
  <c r="P113" i="29"/>
  <c r="Q113" i="29"/>
  <c r="R113" i="29"/>
  <c r="P114" i="29"/>
  <c r="Q114" i="29"/>
  <c r="R114" i="29"/>
  <c r="P115" i="29"/>
  <c r="Q115" i="29"/>
  <c r="R115" i="29"/>
  <c r="P116" i="29"/>
  <c r="Q116" i="29"/>
  <c r="R116" i="29"/>
  <c r="P117" i="29"/>
  <c r="Q117" i="29"/>
  <c r="R117" i="29"/>
  <c r="P118" i="29"/>
  <c r="Q118" i="29"/>
  <c r="R118" i="29"/>
  <c r="P119" i="29"/>
  <c r="Q119" i="29"/>
  <c r="R119" i="29"/>
  <c r="P120" i="29"/>
  <c r="Q120" i="29"/>
  <c r="R120" i="29"/>
  <c r="P121" i="29"/>
  <c r="Q121" i="29"/>
  <c r="R121" i="29"/>
  <c r="P124" i="29"/>
  <c r="Q124" i="29"/>
  <c r="R124" i="29"/>
  <c r="P125" i="29"/>
  <c r="Q125" i="29"/>
  <c r="R125" i="29"/>
  <c r="P126" i="29"/>
  <c r="Q126" i="29"/>
  <c r="R126" i="29"/>
  <c r="P129" i="29"/>
  <c r="Q129" i="29"/>
  <c r="R129" i="29"/>
  <c r="P130" i="29"/>
  <c r="Q130" i="29"/>
  <c r="R130" i="29"/>
  <c r="P131" i="29"/>
  <c r="Q131" i="29"/>
  <c r="R131" i="29"/>
  <c r="P132" i="29"/>
  <c r="Q132" i="29"/>
  <c r="R132" i="29"/>
  <c r="P133" i="29"/>
  <c r="Q133" i="29"/>
  <c r="R133" i="29"/>
  <c r="P134" i="29"/>
  <c r="Q134" i="29"/>
  <c r="R134" i="29"/>
  <c r="P135" i="29"/>
  <c r="Q135" i="29"/>
  <c r="R135" i="29"/>
  <c r="P136" i="29"/>
  <c r="Q136" i="29"/>
  <c r="R136" i="29"/>
  <c r="P137" i="29"/>
  <c r="Q137" i="29"/>
  <c r="R137" i="29"/>
  <c r="P138" i="29"/>
  <c r="Q138" i="29"/>
  <c r="R138" i="29"/>
  <c r="P141" i="29"/>
  <c r="Q141" i="29"/>
  <c r="R141" i="29"/>
  <c r="P142" i="29"/>
  <c r="Q142" i="29"/>
  <c r="R142" i="29"/>
  <c r="P143" i="29"/>
  <c r="Q143" i="29"/>
  <c r="R143" i="29"/>
  <c r="P144" i="29"/>
  <c r="Q144" i="29"/>
  <c r="R144" i="29"/>
  <c r="P145" i="29"/>
  <c r="Q145" i="29"/>
  <c r="R145" i="29"/>
  <c r="P146" i="29"/>
  <c r="Q146" i="29"/>
  <c r="R146" i="29"/>
  <c r="P147" i="29"/>
  <c r="Q147" i="29"/>
  <c r="R147" i="29"/>
  <c r="P148" i="29"/>
  <c r="Q148" i="29"/>
  <c r="R148" i="29"/>
  <c r="P149" i="29"/>
  <c r="Q149" i="29"/>
  <c r="R149" i="29"/>
  <c r="P150" i="29"/>
  <c r="Q150" i="29"/>
  <c r="R150" i="29"/>
  <c r="P153" i="29"/>
  <c r="Q153" i="29"/>
  <c r="R153" i="29"/>
  <c r="P154" i="29"/>
  <c r="Q154" i="29"/>
  <c r="R154" i="29"/>
  <c r="P155" i="29"/>
  <c r="Q155" i="29"/>
  <c r="R155" i="29"/>
  <c r="P156" i="29"/>
  <c r="Q156" i="29"/>
  <c r="R156" i="29"/>
  <c r="P157" i="29"/>
  <c r="Q157" i="29"/>
  <c r="R157" i="29"/>
  <c r="P158" i="29"/>
  <c r="Q158" i="29"/>
  <c r="R158" i="29"/>
  <c r="P159" i="29"/>
  <c r="Q159" i="29"/>
  <c r="R159" i="29"/>
  <c r="P160" i="29"/>
  <c r="Q160" i="29"/>
  <c r="R160" i="29"/>
  <c r="P161" i="29"/>
  <c r="Q161" i="29"/>
  <c r="R161" i="29"/>
  <c r="P164" i="29"/>
  <c r="Q164" i="29"/>
  <c r="R164" i="29"/>
  <c r="P165" i="29"/>
  <c r="Q165" i="29"/>
  <c r="R165" i="29"/>
  <c r="P168" i="29"/>
  <c r="Q168" i="29"/>
  <c r="R168" i="29"/>
  <c r="P171" i="29"/>
  <c r="Q171" i="29"/>
  <c r="R171" i="29"/>
  <c r="P172" i="29"/>
  <c r="Q172" i="29"/>
  <c r="R172" i="29"/>
  <c r="P173" i="29"/>
  <c r="Q173" i="29"/>
  <c r="R173" i="29"/>
  <c r="P174" i="29"/>
  <c r="Q174" i="29"/>
  <c r="R174" i="29"/>
  <c r="P175" i="29"/>
  <c r="Q175" i="29"/>
  <c r="R175" i="29"/>
  <c r="P176" i="29"/>
  <c r="Q176" i="29"/>
  <c r="R176" i="29"/>
  <c r="P179" i="29"/>
  <c r="Q179" i="29"/>
  <c r="R179" i="29"/>
  <c r="P180" i="29"/>
  <c r="Q180" i="29"/>
  <c r="R180" i="29"/>
  <c r="P183" i="29"/>
  <c r="Q183" i="29"/>
  <c r="R183" i="29"/>
  <c r="P184" i="29"/>
  <c r="Q184" i="29"/>
  <c r="R184" i="29"/>
  <c r="P185" i="29"/>
  <c r="Q185" i="29"/>
  <c r="R185" i="29"/>
  <c r="P188" i="29"/>
  <c r="Q188" i="29"/>
  <c r="R188" i="29"/>
  <c r="P191" i="29"/>
  <c r="Q191" i="29"/>
  <c r="R191" i="29"/>
  <c r="P192" i="29"/>
  <c r="Q192" i="29"/>
  <c r="R192" i="29"/>
  <c r="P193" i="29"/>
  <c r="Q193" i="29"/>
  <c r="R193" i="29"/>
  <c r="P194" i="29"/>
  <c r="Q194" i="29"/>
  <c r="R194" i="29"/>
  <c r="P195" i="29"/>
  <c r="Q195" i="29"/>
  <c r="R195" i="29"/>
  <c r="P196" i="29"/>
  <c r="Q196" i="29"/>
  <c r="R196" i="29"/>
  <c r="P197" i="29"/>
  <c r="Q197" i="29"/>
  <c r="R197" i="29"/>
  <c r="P202" i="29"/>
  <c r="Q202" i="29"/>
  <c r="R202" i="29"/>
  <c r="P204" i="29"/>
  <c r="Q204" i="29"/>
  <c r="R204" i="29"/>
  <c r="P206" i="29"/>
  <c r="Q206" i="29"/>
  <c r="R206" i="29"/>
  <c r="P208" i="29"/>
  <c r="Q208" i="29"/>
  <c r="R208" i="29"/>
  <c r="P210" i="29"/>
  <c r="Q210" i="29"/>
  <c r="R210" i="29"/>
  <c r="P212" i="29"/>
  <c r="Q212" i="29"/>
  <c r="R212" i="29"/>
  <c r="P216" i="29"/>
  <c r="Q216" i="29"/>
  <c r="R216" i="29"/>
  <c r="P217" i="29"/>
  <c r="Q217" i="29"/>
  <c r="R217" i="29"/>
  <c r="P218" i="29"/>
  <c r="Q218" i="29"/>
  <c r="R218" i="29"/>
  <c r="P219" i="29"/>
  <c r="Q219" i="29"/>
  <c r="R219" i="29"/>
  <c r="P220" i="29"/>
  <c r="Q220" i="29"/>
  <c r="R220" i="29"/>
  <c r="P221" i="29"/>
  <c r="Q221" i="29"/>
  <c r="R221" i="29"/>
  <c r="P222" i="29"/>
  <c r="Q222" i="29"/>
  <c r="R222" i="29"/>
  <c r="P223" i="29"/>
  <c r="Q223" i="29"/>
  <c r="R223" i="29"/>
  <c r="P224" i="29"/>
  <c r="Q224" i="29"/>
  <c r="R224" i="29"/>
  <c r="P227" i="29"/>
  <c r="Q227" i="29"/>
  <c r="R227" i="29"/>
  <c r="P228" i="29"/>
  <c r="Q228" i="29"/>
  <c r="R228" i="29"/>
  <c r="P229" i="29"/>
  <c r="Q229" i="29"/>
  <c r="R229" i="29"/>
  <c r="P232" i="29"/>
  <c r="Q232" i="29"/>
  <c r="R232" i="29"/>
  <c r="P233" i="29"/>
  <c r="Q233" i="29"/>
  <c r="R233" i="29"/>
  <c r="P234" i="29"/>
  <c r="Q234" i="29"/>
  <c r="R234" i="29"/>
  <c r="P235" i="29"/>
  <c r="Q235" i="29"/>
  <c r="R235" i="29"/>
  <c r="P238" i="29"/>
  <c r="Q238" i="29"/>
  <c r="R238" i="29"/>
  <c r="P239" i="29"/>
  <c r="Q239" i="29"/>
  <c r="R239" i="29"/>
  <c r="P240" i="29"/>
  <c r="Q240" i="29"/>
  <c r="R240" i="29"/>
  <c r="P241" i="29"/>
  <c r="Q241" i="29"/>
  <c r="R241" i="29"/>
  <c r="P242" i="29"/>
  <c r="Q242" i="29"/>
  <c r="R242" i="29"/>
  <c r="P243" i="29"/>
  <c r="Q243" i="29"/>
  <c r="R243" i="29"/>
  <c r="P244" i="29"/>
  <c r="Q244" i="29"/>
  <c r="R244" i="29"/>
  <c r="P245" i="29"/>
  <c r="Q245" i="29"/>
  <c r="R245" i="29"/>
  <c r="P246" i="29"/>
  <c r="Q246" i="29"/>
  <c r="R246" i="29"/>
  <c r="P247" i="29"/>
  <c r="Q247" i="29"/>
  <c r="R247" i="29"/>
  <c r="P250" i="29"/>
  <c r="Q250" i="29"/>
  <c r="R250" i="29"/>
  <c r="P251" i="29"/>
  <c r="Q251" i="29"/>
  <c r="R251" i="29"/>
  <c r="P252" i="29"/>
  <c r="Q252" i="29"/>
  <c r="R252" i="29"/>
  <c r="P253" i="29"/>
  <c r="Q253" i="29"/>
  <c r="R253" i="29"/>
  <c r="P254" i="29"/>
  <c r="Q254" i="29"/>
  <c r="R254" i="29"/>
  <c r="P255" i="29"/>
  <c r="Q255" i="29"/>
  <c r="R255" i="29"/>
  <c r="P256" i="29"/>
  <c r="Q256" i="29"/>
  <c r="R256" i="29"/>
  <c r="P257" i="29"/>
  <c r="Q257" i="29"/>
  <c r="R257" i="29"/>
  <c r="P258" i="29"/>
  <c r="Q258" i="29"/>
  <c r="R258" i="29"/>
  <c r="P259" i="29"/>
  <c r="Q259" i="29"/>
  <c r="R259" i="29"/>
  <c r="P260" i="29"/>
  <c r="Q260" i="29"/>
  <c r="R260" i="29"/>
  <c r="P263" i="29"/>
  <c r="Q263" i="29"/>
  <c r="R263" i="29"/>
  <c r="P264" i="29"/>
  <c r="Q264" i="29"/>
  <c r="R264" i="29"/>
  <c r="P265" i="29"/>
  <c r="Q265" i="29"/>
  <c r="R265" i="29"/>
  <c r="P266" i="29"/>
  <c r="Q266" i="29"/>
  <c r="R266" i="29"/>
  <c r="P267" i="29"/>
  <c r="Q267" i="29"/>
  <c r="R267" i="29"/>
  <c r="P268" i="29"/>
  <c r="Q268" i="29"/>
  <c r="R268" i="29"/>
  <c r="P269" i="29"/>
  <c r="Q269" i="29"/>
  <c r="R269" i="29"/>
  <c r="P270" i="29"/>
  <c r="Q270" i="29"/>
  <c r="R270" i="29"/>
  <c r="P271" i="29"/>
  <c r="Q271" i="29"/>
  <c r="R271" i="29"/>
  <c r="P272" i="29"/>
  <c r="Q272" i="29"/>
  <c r="R272" i="29"/>
  <c r="P273" i="29"/>
  <c r="Q273" i="29"/>
  <c r="R273" i="29"/>
  <c r="P274" i="29"/>
  <c r="Q274" i="29"/>
  <c r="R274" i="29"/>
  <c r="P275" i="29"/>
  <c r="Q275" i="29"/>
  <c r="R275" i="29"/>
  <c r="P276" i="29"/>
  <c r="Q276" i="29"/>
  <c r="R276" i="29"/>
  <c r="P279" i="29"/>
  <c r="Q279" i="29"/>
  <c r="R279" i="29"/>
  <c r="P282" i="29"/>
  <c r="Q282" i="29"/>
  <c r="R282" i="29"/>
  <c r="P285" i="29"/>
  <c r="Q285" i="29"/>
  <c r="R285" i="29"/>
  <c r="P288" i="29"/>
  <c r="Q288" i="29"/>
  <c r="R288" i="29"/>
  <c r="P289" i="29"/>
  <c r="Q289" i="29"/>
  <c r="R289" i="29"/>
  <c r="P292" i="29"/>
  <c r="Q292" i="29"/>
  <c r="R292" i="29"/>
  <c r="P293" i="29"/>
  <c r="Q293" i="29"/>
  <c r="R293" i="29"/>
  <c r="P296" i="29"/>
  <c r="Q296" i="29"/>
  <c r="R296" i="29"/>
  <c r="P297" i="29"/>
  <c r="Q297" i="29"/>
  <c r="R297" i="29"/>
  <c r="P298" i="29"/>
  <c r="Q298" i="29"/>
  <c r="R298" i="29"/>
  <c r="P299" i="29"/>
  <c r="Q299" i="29"/>
  <c r="R299" i="29"/>
  <c r="P300" i="29"/>
  <c r="Q300" i="29"/>
  <c r="R300" i="29"/>
  <c r="P303" i="29"/>
  <c r="Q303" i="29"/>
  <c r="R303" i="29"/>
  <c r="P304" i="29"/>
  <c r="Q304" i="29"/>
  <c r="R304" i="29"/>
  <c r="P305" i="29"/>
  <c r="Q305" i="29"/>
  <c r="R305" i="29"/>
  <c r="P308" i="29"/>
  <c r="Q308" i="29"/>
  <c r="R308" i="29"/>
  <c r="P309" i="29"/>
  <c r="Q309" i="29"/>
  <c r="R309" i="29"/>
  <c r="P310" i="29"/>
  <c r="Q310" i="29"/>
  <c r="R310" i="29"/>
  <c r="P311" i="29"/>
  <c r="Q311" i="29"/>
  <c r="R311" i="29"/>
  <c r="P312" i="29"/>
  <c r="Q312" i="29"/>
  <c r="R312" i="29"/>
  <c r="P313" i="29"/>
  <c r="Q313" i="29"/>
  <c r="R313" i="29"/>
  <c r="P314" i="29"/>
  <c r="Q314" i="29"/>
  <c r="R314" i="29"/>
  <c r="P319" i="29"/>
  <c r="Q319" i="29"/>
  <c r="R319" i="29"/>
  <c r="P321" i="29"/>
  <c r="Q321" i="29"/>
  <c r="R321" i="29"/>
  <c r="P325" i="29"/>
  <c r="Q325" i="29"/>
  <c r="R325" i="29"/>
  <c r="P326" i="29"/>
  <c r="Q326" i="29"/>
  <c r="R326" i="29"/>
  <c r="P327" i="29"/>
  <c r="Q327" i="29"/>
  <c r="R327" i="29"/>
  <c r="P328" i="29"/>
  <c r="Q328" i="29"/>
  <c r="R328" i="29"/>
  <c r="P331" i="29"/>
  <c r="Q331" i="29"/>
  <c r="R331" i="29"/>
  <c r="P332" i="29"/>
  <c r="Q332" i="29"/>
  <c r="R332" i="29"/>
  <c r="P333" i="29"/>
  <c r="Q333" i="29"/>
  <c r="R333" i="29"/>
  <c r="P336" i="29"/>
  <c r="Q336" i="29"/>
  <c r="R336" i="29"/>
  <c r="P339" i="29"/>
  <c r="Q339" i="29"/>
  <c r="R339" i="29"/>
  <c r="P342" i="29"/>
  <c r="Q342" i="29"/>
  <c r="R342" i="29"/>
  <c r="P343" i="29"/>
  <c r="Q343" i="29"/>
  <c r="R343" i="29"/>
  <c r="P346" i="29"/>
  <c r="Q346" i="29"/>
  <c r="R346" i="29"/>
  <c r="P347" i="29"/>
  <c r="Q347" i="29"/>
  <c r="R347" i="29"/>
  <c r="P348" i="29"/>
  <c r="Q348" i="29"/>
  <c r="R348" i="29"/>
  <c r="P349" i="29"/>
  <c r="Q349" i="29"/>
  <c r="R349" i="29"/>
  <c r="P350" i="29"/>
  <c r="Q350" i="29"/>
  <c r="R350" i="29"/>
  <c r="P351" i="29"/>
  <c r="Q351" i="29"/>
  <c r="R351" i="29"/>
  <c r="P354" i="29"/>
  <c r="Q354" i="29"/>
  <c r="R354" i="29"/>
  <c r="P358" i="29"/>
  <c r="Q358" i="29"/>
  <c r="R358" i="29"/>
  <c r="P359" i="29"/>
  <c r="Q359" i="29"/>
  <c r="R359" i="29"/>
  <c r="P360" i="29"/>
  <c r="Q360" i="29"/>
  <c r="R360" i="29"/>
  <c r="P361" i="29"/>
  <c r="Q361" i="29"/>
  <c r="R361" i="29"/>
  <c r="P362" i="29"/>
  <c r="Q362" i="29"/>
  <c r="R362" i="29"/>
  <c r="P363" i="29"/>
  <c r="Q363" i="29"/>
  <c r="R363" i="29"/>
  <c r="P364" i="29"/>
  <c r="Q364" i="29"/>
  <c r="R364" i="29"/>
  <c r="P365" i="29"/>
  <c r="Q365" i="29"/>
  <c r="R365" i="29"/>
  <c r="P368" i="29"/>
  <c r="Q368" i="29"/>
  <c r="R368" i="29"/>
  <c r="P369" i="29"/>
  <c r="Q369" i="29"/>
  <c r="R369" i="29"/>
  <c r="P370" i="29"/>
  <c r="Q370" i="29"/>
  <c r="R370" i="29"/>
  <c r="P373" i="29"/>
  <c r="Q373" i="29"/>
  <c r="R373" i="29"/>
  <c r="P376" i="29"/>
  <c r="Q376" i="29"/>
  <c r="R376" i="29"/>
  <c r="P377" i="29"/>
  <c r="Q377" i="29"/>
  <c r="R377" i="29"/>
  <c r="P378" i="29"/>
  <c r="Q378" i="29"/>
  <c r="R378" i="29"/>
  <c r="P379" i="29"/>
  <c r="Q379" i="29"/>
  <c r="R379" i="29"/>
  <c r="P380" i="29"/>
  <c r="Q380" i="29"/>
  <c r="R380" i="29"/>
  <c r="P381" i="29"/>
  <c r="Q381" i="29"/>
  <c r="R381" i="29"/>
  <c r="P382" i="29"/>
  <c r="Q382" i="29"/>
  <c r="R382" i="29"/>
  <c r="P383" i="29"/>
  <c r="Q383" i="29"/>
  <c r="R383" i="29"/>
  <c r="P384" i="29"/>
  <c r="Q384" i="29"/>
  <c r="R384" i="29"/>
  <c r="P385" i="29"/>
  <c r="Q385" i="29"/>
  <c r="R385" i="29"/>
  <c r="R12" i="29"/>
  <c r="Q12" i="29"/>
  <c r="P12" i="29"/>
  <c r="O12" i="29"/>
  <c r="O385" i="29"/>
  <c r="N385" i="29"/>
  <c r="M385" i="29"/>
  <c r="L385" i="29"/>
  <c r="O384" i="29"/>
  <c r="N384" i="29"/>
  <c r="M384" i="29"/>
  <c r="L384" i="29"/>
  <c r="O383" i="29"/>
  <c r="N383" i="29"/>
  <c r="M383" i="29"/>
  <c r="L383" i="29"/>
  <c r="O382" i="29"/>
  <c r="N382" i="29"/>
  <c r="M382" i="29"/>
  <c r="L382" i="29"/>
  <c r="O381" i="29"/>
  <c r="N381" i="29"/>
  <c r="M381" i="29"/>
  <c r="L381" i="29"/>
  <c r="O380" i="29"/>
  <c r="N380" i="29"/>
  <c r="M380" i="29"/>
  <c r="L380" i="29"/>
  <c r="O379" i="29"/>
  <c r="N379" i="29"/>
  <c r="M379" i="29"/>
  <c r="L379" i="29"/>
  <c r="O378" i="29"/>
  <c r="N378" i="29"/>
  <c r="M378" i="29"/>
  <c r="L378" i="29"/>
  <c r="O377" i="29"/>
  <c r="N377" i="29"/>
  <c r="M377" i="29"/>
  <c r="L377" i="29"/>
  <c r="O376" i="29"/>
  <c r="N376" i="29"/>
  <c r="M376" i="29"/>
  <c r="L376" i="29"/>
  <c r="O373" i="29"/>
  <c r="N373" i="29"/>
  <c r="M373" i="29"/>
  <c r="L373" i="29"/>
  <c r="O370" i="29"/>
  <c r="N370" i="29"/>
  <c r="M370" i="29"/>
  <c r="L370" i="29"/>
  <c r="O369" i="29"/>
  <c r="N369" i="29"/>
  <c r="M369" i="29"/>
  <c r="L369" i="29"/>
  <c r="O368" i="29"/>
  <c r="N368" i="29"/>
  <c r="M368" i="29"/>
  <c r="L368" i="29"/>
  <c r="O365" i="29"/>
  <c r="N365" i="29"/>
  <c r="M365" i="29"/>
  <c r="L365" i="29"/>
  <c r="O364" i="29"/>
  <c r="N364" i="29"/>
  <c r="M364" i="29"/>
  <c r="L364" i="29"/>
  <c r="O363" i="29"/>
  <c r="N363" i="29"/>
  <c r="M363" i="29"/>
  <c r="L363" i="29"/>
  <c r="O362" i="29"/>
  <c r="N362" i="29"/>
  <c r="M362" i="29"/>
  <c r="L362" i="29"/>
  <c r="O361" i="29"/>
  <c r="N361" i="29"/>
  <c r="M361" i="29"/>
  <c r="L361" i="29"/>
  <c r="O360" i="29"/>
  <c r="N360" i="29"/>
  <c r="M360" i="29"/>
  <c r="L360" i="29"/>
  <c r="O359" i="29"/>
  <c r="N359" i="29"/>
  <c r="M359" i="29"/>
  <c r="L359" i="29"/>
  <c r="O358" i="29"/>
  <c r="N358" i="29"/>
  <c r="M358" i="29"/>
  <c r="L358" i="29"/>
  <c r="O354" i="29"/>
  <c r="N354" i="29"/>
  <c r="M354" i="29"/>
  <c r="L354" i="29"/>
  <c r="O351" i="29"/>
  <c r="N351" i="29"/>
  <c r="M351" i="29"/>
  <c r="L351" i="29"/>
  <c r="O350" i="29"/>
  <c r="N350" i="29"/>
  <c r="M350" i="29"/>
  <c r="L350" i="29"/>
  <c r="O349" i="29"/>
  <c r="N349" i="29"/>
  <c r="M349" i="29"/>
  <c r="L349" i="29"/>
  <c r="O348" i="29"/>
  <c r="N348" i="29"/>
  <c r="M348" i="29"/>
  <c r="L348" i="29"/>
  <c r="O347" i="29"/>
  <c r="N347" i="29"/>
  <c r="M347" i="29"/>
  <c r="L347" i="29"/>
  <c r="O346" i="29"/>
  <c r="N346" i="29"/>
  <c r="M346" i="29"/>
  <c r="L346" i="29"/>
  <c r="O343" i="29"/>
  <c r="N343" i="29"/>
  <c r="M343" i="29"/>
  <c r="L343" i="29"/>
  <c r="O342" i="29"/>
  <c r="N342" i="29"/>
  <c r="M342" i="29"/>
  <c r="L342" i="29"/>
  <c r="O339" i="29"/>
  <c r="N339" i="29"/>
  <c r="M339" i="29"/>
  <c r="L339" i="29"/>
  <c r="O336" i="29"/>
  <c r="N336" i="29"/>
  <c r="M336" i="29"/>
  <c r="L336" i="29"/>
  <c r="O333" i="29"/>
  <c r="N333" i="29"/>
  <c r="M333" i="29"/>
  <c r="L333" i="29"/>
  <c r="O332" i="29"/>
  <c r="N332" i="29"/>
  <c r="M332" i="29"/>
  <c r="L332" i="29"/>
  <c r="O331" i="29"/>
  <c r="N331" i="29"/>
  <c r="M331" i="29"/>
  <c r="L331" i="29"/>
  <c r="O329" i="29"/>
  <c r="N329" i="29"/>
  <c r="M329" i="29"/>
  <c r="L329" i="29"/>
  <c r="O328" i="29"/>
  <c r="N328" i="29"/>
  <c r="M328" i="29"/>
  <c r="L328" i="29"/>
  <c r="O327" i="29"/>
  <c r="N327" i="29"/>
  <c r="M327" i="29"/>
  <c r="L327" i="29"/>
  <c r="O326" i="29"/>
  <c r="N326" i="29"/>
  <c r="M326" i="29"/>
  <c r="L326" i="29"/>
  <c r="O325" i="29"/>
  <c r="N325" i="29"/>
  <c r="M325" i="29"/>
  <c r="L325" i="29"/>
  <c r="O321" i="29"/>
  <c r="N321" i="29"/>
  <c r="M321" i="29"/>
  <c r="L321" i="29"/>
  <c r="O319" i="29"/>
  <c r="N319" i="29"/>
  <c r="M319" i="29"/>
  <c r="L319" i="29"/>
  <c r="O314" i="29"/>
  <c r="N314" i="29"/>
  <c r="M314" i="29"/>
  <c r="L314" i="29"/>
  <c r="O313" i="29"/>
  <c r="N313" i="29"/>
  <c r="M313" i="29"/>
  <c r="L313" i="29"/>
  <c r="O312" i="29"/>
  <c r="N312" i="29"/>
  <c r="M312" i="29"/>
  <c r="L312" i="29"/>
  <c r="O311" i="29"/>
  <c r="N311" i="29"/>
  <c r="M311" i="29"/>
  <c r="L311" i="29"/>
  <c r="O310" i="29"/>
  <c r="N310" i="29"/>
  <c r="M310" i="29"/>
  <c r="L310" i="29"/>
  <c r="O309" i="29"/>
  <c r="N309" i="29"/>
  <c r="M309" i="29"/>
  <c r="L309" i="29"/>
  <c r="O308" i="29"/>
  <c r="N308" i="29"/>
  <c r="M308" i="29"/>
  <c r="L308" i="29"/>
  <c r="O305" i="29"/>
  <c r="N305" i="29"/>
  <c r="M305" i="29"/>
  <c r="L305" i="29"/>
  <c r="O304" i="29"/>
  <c r="N304" i="29"/>
  <c r="M304" i="29"/>
  <c r="L304" i="29"/>
  <c r="O303" i="29"/>
  <c r="N303" i="29"/>
  <c r="M303" i="29"/>
  <c r="L303" i="29"/>
  <c r="O300" i="29"/>
  <c r="N300" i="29"/>
  <c r="M300" i="29"/>
  <c r="L300" i="29"/>
  <c r="O299" i="29"/>
  <c r="N299" i="29"/>
  <c r="M299" i="29"/>
  <c r="L299" i="29"/>
  <c r="O298" i="29"/>
  <c r="N298" i="29"/>
  <c r="M298" i="29"/>
  <c r="L298" i="29"/>
  <c r="O297" i="29"/>
  <c r="N297" i="29"/>
  <c r="M297" i="29"/>
  <c r="L297" i="29"/>
  <c r="O296" i="29"/>
  <c r="N296" i="29"/>
  <c r="M296" i="29"/>
  <c r="L296" i="29"/>
  <c r="O293" i="29"/>
  <c r="N293" i="29"/>
  <c r="M293" i="29"/>
  <c r="L293" i="29"/>
  <c r="O292" i="29"/>
  <c r="N292" i="29"/>
  <c r="M292" i="29"/>
  <c r="L292" i="29"/>
  <c r="O289" i="29"/>
  <c r="N289" i="29"/>
  <c r="M289" i="29"/>
  <c r="L289" i="29"/>
  <c r="O288" i="29"/>
  <c r="N288" i="29"/>
  <c r="M288" i="29"/>
  <c r="L288" i="29"/>
  <c r="O285" i="29"/>
  <c r="N285" i="29"/>
  <c r="M285" i="29"/>
  <c r="L285" i="29"/>
  <c r="O282" i="29"/>
  <c r="N282" i="29"/>
  <c r="M282" i="29"/>
  <c r="L282" i="29"/>
  <c r="O279" i="29"/>
  <c r="N279" i="29"/>
  <c r="M279" i="29"/>
  <c r="L279" i="29"/>
  <c r="O276" i="29"/>
  <c r="N276" i="29"/>
  <c r="M276" i="29"/>
  <c r="L276" i="29"/>
  <c r="O275" i="29"/>
  <c r="N275" i="29"/>
  <c r="M275" i="29"/>
  <c r="L275" i="29"/>
  <c r="O274" i="29"/>
  <c r="N274" i="29"/>
  <c r="M274" i="29"/>
  <c r="L274" i="29"/>
  <c r="O273" i="29"/>
  <c r="N273" i="29"/>
  <c r="M273" i="29"/>
  <c r="L273" i="29"/>
  <c r="O272" i="29"/>
  <c r="N272" i="29"/>
  <c r="M272" i="29"/>
  <c r="L272" i="29"/>
  <c r="O271" i="29"/>
  <c r="N271" i="29"/>
  <c r="M271" i="29"/>
  <c r="L271" i="29"/>
  <c r="O270" i="29"/>
  <c r="N270" i="29"/>
  <c r="M270" i="29"/>
  <c r="L270" i="29"/>
  <c r="O269" i="29"/>
  <c r="N269" i="29"/>
  <c r="M269" i="29"/>
  <c r="L269" i="29"/>
  <c r="O268" i="29"/>
  <c r="N268" i="29"/>
  <c r="M268" i="29"/>
  <c r="L268" i="29"/>
  <c r="O267" i="29"/>
  <c r="N267" i="29"/>
  <c r="M267" i="29"/>
  <c r="L267" i="29"/>
  <c r="O266" i="29"/>
  <c r="N266" i="29"/>
  <c r="M266" i="29"/>
  <c r="L266" i="29"/>
  <c r="O265" i="29"/>
  <c r="N265" i="29"/>
  <c r="M265" i="29"/>
  <c r="L265" i="29"/>
  <c r="O264" i="29"/>
  <c r="N264" i="29"/>
  <c r="M264" i="29"/>
  <c r="L264" i="29"/>
  <c r="O263" i="29"/>
  <c r="N263" i="29"/>
  <c r="M263" i="29"/>
  <c r="L263" i="29"/>
  <c r="O260" i="29"/>
  <c r="N260" i="29"/>
  <c r="M260" i="29"/>
  <c r="L260" i="29"/>
  <c r="O259" i="29"/>
  <c r="N259" i="29"/>
  <c r="M259" i="29"/>
  <c r="L259" i="29"/>
  <c r="O258" i="29"/>
  <c r="N258" i="29"/>
  <c r="M258" i="29"/>
  <c r="L258" i="29"/>
  <c r="O257" i="29"/>
  <c r="N257" i="29"/>
  <c r="M257" i="29"/>
  <c r="L257" i="29"/>
  <c r="O256" i="29"/>
  <c r="N256" i="29"/>
  <c r="M256" i="29"/>
  <c r="L256" i="29"/>
  <c r="O255" i="29"/>
  <c r="N255" i="29"/>
  <c r="M255" i="29"/>
  <c r="L255" i="29"/>
  <c r="O254" i="29"/>
  <c r="N254" i="29"/>
  <c r="M254" i="29"/>
  <c r="L254" i="29"/>
  <c r="O253" i="29"/>
  <c r="N253" i="29"/>
  <c r="M253" i="29"/>
  <c r="L253" i="29"/>
  <c r="O252" i="29"/>
  <c r="N252" i="29"/>
  <c r="M252" i="29"/>
  <c r="L252" i="29"/>
  <c r="O251" i="29"/>
  <c r="N251" i="29"/>
  <c r="M251" i="29"/>
  <c r="L251" i="29"/>
  <c r="O250" i="29"/>
  <c r="N250" i="29"/>
  <c r="M250" i="29"/>
  <c r="L250" i="29"/>
  <c r="O247" i="29"/>
  <c r="N247" i="29"/>
  <c r="M247" i="29"/>
  <c r="L247" i="29"/>
  <c r="O246" i="29"/>
  <c r="N246" i="29"/>
  <c r="M246" i="29"/>
  <c r="L246" i="29"/>
  <c r="O245" i="29"/>
  <c r="N245" i="29"/>
  <c r="M245" i="29"/>
  <c r="L245" i="29"/>
  <c r="O244" i="29"/>
  <c r="N244" i="29"/>
  <c r="M244" i="29"/>
  <c r="L244" i="29"/>
  <c r="O243" i="29"/>
  <c r="N243" i="29"/>
  <c r="M243" i="29"/>
  <c r="L243" i="29"/>
  <c r="O242" i="29"/>
  <c r="N242" i="29"/>
  <c r="M242" i="29"/>
  <c r="L242" i="29"/>
  <c r="O241" i="29"/>
  <c r="N241" i="29"/>
  <c r="M241" i="29"/>
  <c r="L241" i="29"/>
  <c r="O240" i="29"/>
  <c r="N240" i="29"/>
  <c r="M240" i="29"/>
  <c r="L240" i="29"/>
  <c r="O239" i="29"/>
  <c r="N239" i="29"/>
  <c r="M239" i="29"/>
  <c r="L239" i="29"/>
  <c r="O238" i="29"/>
  <c r="N238" i="29"/>
  <c r="M238" i="29"/>
  <c r="L238" i="29"/>
  <c r="O235" i="29"/>
  <c r="N235" i="29"/>
  <c r="M235" i="29"/>
  <c r="L235" i="29"/>
  <c r="O234" i="29"/>
  <c r="N234" i="29"/>
  <c r="M234" i="29"/>
  <c r="L234" i="29"/>
  <c r="O233" i="29"/>
  <c r="N233" i="29"/>
  <c r="M233" i="29"/>
  <c r="L233" i="29"/>
  <c r="O232" i="29"/>
  <c r="N232" i="29"/>
  <c r="M232" i="29"/>
  <c r="L232" i="29"/>
  <c r="O229" i="29"/>
  <c r="N229" i="29"/>
  <c r="M229" i="29"/>
  <c r="L229" i="29"/>
  <c r="O228" i="29"/>
  <c r="N228" i="29"/>
  <c r="M228" i="29"/>
  <c r="L228" i="29"/>
  <c r="O227" i="29"/>
  <c r="N227" i="29"/>
  <c r="M227" i="29"/>
  <c r="L227" i="29"/>
  <c r="O224" i="29"/>
  <c r="N224" i="29"/>
  <c r="M224" i="29"/>
  <c r="L224" i="29"/>
  <c r="O223" i="29"/>
  <c r="N223" i="29"/>
  <c r="M223" i="29"/>
  <c r="L223" i="29"/>
  <c r="O222" i="29"/>
  <c r="N222" i="29"/>
  <c r="M222" i="29"/>
  <c r="L222" i="29"/>
  <c r="O221" i="29"/>
  <c r="N221" i="29"/>
  <c r="M221" i="29"/>
  <c r="L221" i="29"/>
  <c r="O220" i="29"/>
  <c r="N220" i="29"/>
  <c r="M220" i="29"/>
  <c r="L220" i="29"/>
  <c r="O219" i="29"/>
  <c r="N219" i="29"/>
  <c r="M219" i="29"/>
  <c r="L219" i="29"/>
  <c r="O218" i="29"/>
  <c r="N218" i="29"/>
  <c r="M218" i="29"/>
  <c r="L218" i="29"/>
  <c r="O217" i="29"/>
  <c r="N217" i="29"/>
  <c r="M217" i="29"/>
  <c r="L217" i="29"/>
  <c r="O216" i="29"/>
  <c r="N216" i="29"/>
  <c r="M216" i="29"/>
  <c r="L216" i="29"/>
  <c r="O212" i="29"/>
  <c r="N212" i="29"/>
  <c r="M212" i="29"/>
  <c r="L212" i="29"/>
  <c r="O210" i="29"/>
  <c r="N210" i="29"/>
  <c r="M210" i="29"/>
  <c r="L210" i="29"/>
  <c r="O208" i="29"/>
  <c r="N208" i="29"/>
  <c r="M208" i="29"/>
  <c r="L208" i="29"/>
  <c r="O206" i="29"/>
  <c r="N206" i="29"/>
  <c r="M206" i="29"/>
  <c r="L206" i="29"/>
  <c r="O204" i="29"/>
  <c r="N204" i="29"/>
  <c r="M204" i="29"/>
  <c r="L204" i="29"/>
  <c r="O202" i="29"/>
  <c r="N202" i="29"/>
  <c r="M202" i="29"/>
  <c r="L202" i="29"/>
  <c r="O197" i="29"/>
  <c r="N197" i="29"/>
  <c r="M197" i="29"/>
  <c r="L197" i="29"/>
  <c r="O196" i="29"/>
  <c r="N196" i="29"/>
  <c r="M196" i="29"/>
  <c r="L196" i="29"/>
  <c r="O195" i="29"/>
  <c r="N195" i="29"/>
  <c r="M195" i="29"/>
  <c r="L195" i="29"/>
  <c r="O194" i="29"/>
  <c r="N194" i="29"/>
  <c r="M194" i="29"/>
  <c r="L194" i="29"/>
  <c r="O193" i="29"/>
  <c r="N193" i="29"/>
  <c r="M193" i="29"/>
  <c r="L193" i="29"/>
  <c r="O192" i="29"/>
  <c r="N192" i="29"/>
  <c r="M192" i="29"/>
  <c r="L192" i="29"/>
  <c r="O191" i="29"/>
  <c r="N191" i="29"/>
  <c r="M191" i="29"/>
  <c r="L191" i="29"/>
  <c r="O188" i="29"/>
  <c r="N188" i="29"/>
  <c r="M188" i="29"/>
  <c r="L188" i="29"/>
  <c r="O185" i="29"/>
  <c r="N185" i="29"/>
  <c r="M185" i="29"/>
  <c r="L185" i="29"/>
  <c r="O184" i="29"/>
  <c r="N184" i="29"/>
  <c r="M184" i="29"/>
  <c r="L184" i="29"/>
  <c r="O183" i="29"/>
  <c r="N183" i="29"/>
  <c r="M183" i="29"/>
  <c r="L183" i="29"/>
  <c r="O180" i="29"/>
  <c r="N180" i="29"/>
  <c r="M180" i="29"/>
  <c r="L180" i="29"/>
  <c r="O179" i="29"/>
  <c r="N179" i="29"/>
  <c r="M179" i="29"/>
  <c r="L179" i="29"/>
  <c r="O176" i="29"/>
  <c r="N176" i="29"/>
  <c r="M176" i="29"/>
  <c r="L176" i="29"/>
  <c r="O175" i="29"/>
  <c r="N175" i="29"/>
  <c r="M175" i="29"/>
  <c r="L175" i="29"/>
  <c r="O174" i="29"/>
  <c r="N174" i="29"/>
  <c r="M174" i="29"/>
  <c r="L174" i="29"/>
  <c r="O173" i="29"/>
  <c r="N173" i="29"/>
  <c r="M173" i="29"/>
  <c r="L173" i="29"/>
  <c r="O172" i="29"/>
  <c r="N172" i="29"/>
  <c r="M172" i="29"/>
  <c r="L172" i="29"/>
  <c r="O171" i="29"/>
  <c r="N171" i="29"/>
  <c r="M171" i="29"/>
  <c r="L171" i="29"/>
  <c r="O168" i="29"/>
  <c r="N168" i="29"/>
  <c r="M168" i="29"/>
  <c r="L168" i="29"/>
  <c r="O166" i="29"/>
  <c r="N166" i="29"/>
  <c r="M166" i="29"/>
  <c r="L166" i="29"/>
  <c r="O165" i="29"/>
  <c r="N165" i="29"/>
  <c r="M165" i="29"/>
  <c r="L165" i="29"/>
  <c r="O164" i="29"/>
  <c r="N164" i="29"/>
  <c r="M164" i="29"/>
  <c r="L164" i="29"/>
  <c r="O161" i="29"/>
  <c r="N161" i="29"/>
  <c r="M161" i="29"/>
  <c r="L161" i="29"/>
  <c r="O160" i="29"/>
  <c r="N160" i="29"/>
  <c r="M160" i="29"/>
  <c r="L160" i="29"/>
  <c r="O159" i="29"/>
  <c r="N159" i="29"/>
  <c r="M159" i="29"/>
  <c r="L159" i="29"/>
  <c r="O158" i="29"/>
  <c r="N158" i="29"/>
  <c r="M158" i="29"/>
  <c r="L158" i="29"/>
  <c r="O157" i="29"/>
  <c r="N157" i="29"/>
  <c r="M157" i="29"/>
  <c r="L157" i="29"/>
  <c r="O156" i="29"/>
  <c r="N156" i="29"/>
  <c r="M156" i="29"/>
  <c r="L156" i="29"/>
  <c r="O155" i="29"/>
  <c r="N155" i="29"/>
  <c r="M155" i="29"/>
  <c r="L155" i="29"/>
  <c r="O154" i="29"/>
  <c r="N154" i="29"/>
  <c r="M154" i="29"/>
  <c r="L154" i="29"/>
  <c r="O153" i="29"/>
  <c r="N153" i="29"/>
  <c r="M153" i="29"/>
  <c r="L153" i="29"/>
  <c r="O150" i="29"/>
  <c r="N150" i="29"/>
  <c r="M150" i="29"/>
  <c r="L150" i="29"/>
  <c r="O149" i="29"/>
  <c r="N149" i="29"/>
  <c r="M149" i="29"/>
  <c r="L149" i="29"/>
  <c r="O148" i="29"/>
  <c r="N148" i="29"/>
  <c r="M148" i="29"/>
  <c r="L148" i="29"/>
  <c r="O147" i="29"/>
  <c r="N147" i="29"/>
  <c r="M147" i="29"/>
  <c r="L147" i="29"/>
  <c r="O146" i="29"/>
  <c r="N146" i="29"/>
  <c r="M146" i="29"/>
  <c r="L146" i="29"/>
  <c r="O145" i="29"/>
  <c r="N145" i="29"/>
  <c r="M145" i="29"/>
  <c r="L145" i="29"/>
  <c r="O144" i="29"/>
  <c r="N144" i="29"/>
  <c r="M144" i="29"/>
  <c r="L144" i="29"/>
  <c r="O143" i="29"/>
  <c r="N143" i="29"/>
  <c r="M143" i="29"/>
  <c r="L143" i="29"/>
  <c r="O142" i="29"/>
  <c r="N142" i="29"/>
  <c r="M142" i="29"/>
  <c r="L142" i="29"/>
  <c r="O141" i="29"/>
  <c r="N141" i="29"/>
  <c r="M141" i="29"/>
  <c r="L141" i="29"/>
  <c r="O138" i="29"/>
  <c r="N138" i="29"/>
  <c r="M138" i="29"/>
  <c r="L138" i="29"/>
  <c r="O137" i="29"/>
  <c r="N137" i="29"/>
  <c r="M137" i="29"/>
  <c r="L137" i="29"/>
  <c r="O136" i="29"/>
  <c r="N136" i="29"/>
  <c r="M136" i="29"/>
  <c r="L136" i="29"/>
  <c r="O135" i="29"/>
  <c r="N135" i="29"/>
  <c r="M135" i="29"/>
  <c r="L135" i="29"/>
  <c r="O134" i="29"/>
  <c r="N134" i="29"/>
  <c r="M134" i="29"/>
  <c r="L134" i="29"/>
  <c r="O133" i="29"/>
  <c r="N133" i="29"/>
  <c r="M133" i="29"/>
  <c r="L133" i="29"/>
  <c r="O132" i="29"/>
  <c r="N132" i="29"/>
  <c r="M132" i="29"/>
  <c r="L132" i="29"/>
  <c r="O131" i="29"/>
  <c r="N131" i="29"/>
  <c r="M131" i="29"/>
  <c r="L131" i="29"/>
  <c r="O130" i="29"/>
  <c r="N130" i="29"/>
  <c r="M130" i="29"/>
  <c r="L130" i="29"/>
  <c r="O129" i="29"/>
  <c r="N129" i="29"/>
  <c r="M129" i="29"/>
  <c r="L129" i="29"/>
  <c r="O126" i="29"/>
  <c r="N126" i="29"/>
  <c r="M126" i="29"/>
  <c r="L126" i="29"/>
  <c r="O125" i="29"/>
  <c r="N125" i="29"/>
  <c r="M125" i="29"/>
  <c r="L125" i="29"/>
  <c r="O124" i="29"/>
  <c r="N124" i="29"/>
  <c r="M124" i="29"/>
  <c r="L124" i="29"/>
  <c r="O121" i="29"/>
  <c r="N121" i="29"/>
  <c r="M121" i="29"/>
  <c r="L121" i="29"/>
  <c r="O120" i="29"/>
  <c r="N120" i="29"/>
  <c r="M120" i="29"/>
  <c r="L120" i="29"/>
  <c r="O119" i="29"/>
  <c r="N119" i="29"/>
  <c r="M119" i="29"/>
  <c r="L119" i="29"/>
  <c r="O118" i="29"/>
  <c r="N118" i="29"/>
  <c r="M118" i="29"/>
  <c r="L118" i="29"/>
  <c r="O117" i="29"/>
  <c r="N117" i="29"/>
  <c r="M117" i="29"/>
  <c r="L117" i="29"/>
  <c r="O116" i="29"/>
  <c r="N116" i="29"/>
  <c r="M116" i="29"/>
  <c r="L116" i="29"/>
  <c r="O115" i="29"/>
  <c r="N115" i="29"/>
  <c r="M115" i="29"/>
  <c r="L115" i="29"/>
  <c r="O114" i="29"/>
  <c r="N114" i="29"/>
  <c r="M114" i="29"/>
  <c r="L114" i="29"/>
  <c r="O113" i="29"/>
  <c r="N113" i="29"/>
  <c r="M113" i="29"/>
  <c r="L113" i="29"/>
  <c r="O112" i="29"/>
  <c r="N112" i="29"/>
  <c r="M112" i="29"/>
  <c r="L112" i="29"/>
  <c r="O111" i="29"/>
  <c r="N111" i="29"/>
  <c r="M111" i="29"/>
  <c r="L111" i="29"/>
  <c r="O110" i="29"/>
  <c r="N110" i="29"/>
  <c r="M110" i="29"/>
  <c r="L110" i="29"/>
  <c r="O109" i="29"/>
  <c r="N109" i="29"/>
  <c r="M109" i="29"/>
  <c r="L109" i="29"/>
  <c r="O108" i="29"/>
  <c r="N108" i="29"/>
  <c r="M108" i="29"/>
  <c r="L108" i="29"/>
  <c r="O107" i="29"/>
  <c r="N107" i="29"/>
  <c r="M107" i="29"/>
  <c r="L107" i="29"/>
  <c r="O106" i="29"/>
  <c r="N106" i="29"/>
  <c r="M106" i="29"/>
  <c r="L106" i="29"/>
  <c r="O105" i="29"/>
  <c r="N105" i="29"/>
  <c r="M105" i="29"/>
  <c r="L105" i="29"/>
  <c r="O104" i="29"/>
  <c r="N104" i="29"/>
  <c r="M104" i="29"/>
  <c r="L104" i="29"/>
  <c r="O103" i="29"/>
  <c r="N103" i="29"/>
  <c r="M103" i="29"/>
  <c r="L103" i="29"/>
  <c r="O99" i="29"/>
  <c r="N99" i="29"/>
  <c r="M99" i="29"/>
  <c r="L99" i="29"/>
  <c r="O97" i="29"/>
  <c r="N97" i="29"/>
  <c r="M97" i="29"/>
  <c r="L97" i="29"/>
  <c r="O95" i="29"/>
  <c r="N95" i="29"/>
  <c r="M95" i="29"/>
  <c r="L95" i="29"/>
  <c r="O93" i="29"/>
  <c r="N93" i="29"/>
  <c r="M93" i="29"/>
  <c r="L93" i="29"/>
  <c r="O91" i="29"/>
  <c r="N91" i="29"/>
  <c r="M91" i="29"/>
  <c r="L91" i="29"/>
  <c r="O86" i="29"/>
  <c r="N86" i="29"/>
  <c r="M86" i="29"/>
  <c r="L86" i="29"/>
  <c r="O85" i="29"/>
  <c r="N85" i="29"/>
  <c r="M85" i="29"/>
  <c r="L85" i="29"/>
  <c r="O84" i="29"/>
  <c r="N84" i="29"/>
  <c r="M84" i="29"/>
  <c r="L84" i="29"/>
  <c r="O83" i="29"/>
  <c r="N83" i="29"/>
  <c r="M83" i="29"/>
  <c r="L83" i="29"/>
  <c r="O82" i="29"/>
  <c r="N82" i="29"/>
  <c r="M82" i="29"/>
  <c r="L82" i="29"/>
  <c r="O79" i="29"/>
  <c r="N79" i="29"/>
  <c r="M79" i="29"/>
  <c r="L79" i="29"/>
  <c r="O76" i="29"/>
  <c r="N76" i="29"/>
  <c r="M76" i="29"/>
  <c r="L76" i="29"/>
  <c r="O73" i="29"/>
  <c r="N73" i="29"/>
  <c r="M73" i="29"/>
  <c r="L73" i="29"/>
  <c r="O70" i="29"/>
  <c r="N70" i="29"/>
  <c r="M70" i="29"/>
  <c r="L70" i="29"/>
  <c r="O69" i="29"/>
  <c r="N69" i="29"/>
  <c r="M69" i="29"/>
  <c r="L69" i="29"/>
  <c r="O66" i="29"/>
  <c r="N66" i="29"/>
  <c r="M66" i="29"/>
  <c r="L66" i="29"/>
  <c r="O63" i="29"/>
  <c r="N63" i="29"/>
  <c r="M63" i="29"/>
  <c r="L63" i="29"/>
  <c r="O62" i="29"/>
  <c r="N62" i="29"/>
  <c r="M62" i="29"/>
  <c r="L62" i="29"/>
  <c r="O59" i="29"/>
  <c r="N59" i="29"/>
  <c r="M59" i="29"/>
  <c r="L59" i="29"/>
  <c r="O56" i="29"/>
  <c r="N56" i="29"/>
  <c r="M56" i="29"/>
  <c r="L56" i="29"/>
  <c r="O55" i="29"/>
  <c r="N55" i="29"/>
  <c r="M55" i="29"/>
  <c r="L55" i="29"/>
  <c r="O54" i="29"/>
  <c r="N54" i="29"/>
  <c r="M54" i="29"/>
  <c r="L54" i="29"/>
  <c r="O51" i="29"/>
  <c r="N51" i="29"/>
  <c r="M51" i="29"/>
  <c r="L51" i="29"/>
  <c r="O50" i="29"/>
  <c r="N50" i="29"/>
  <c r="M50" i="29"/>
  <c r="L50" i="29"/>
  <c r="O49" i="29"/>
  <c r="N49" i="29"/>
  <c r="M49" i="29"/>
  <c r="L49" i="29"/>
  <c r="O48" i="29"/>
  <c r="N48" i="29"/>
  <c r="M48" i="29"/>
  <c r="L48" i="29"/>
  <c r="O45" i="29"/>
  <c r="N45" i="29"/>
  <c r="M45" i="29"/>
  <c r="L45" i="29"/>
  <c r="O44" i="29"/>
  <c r="N44" i="29"/>
  <c r="M44" i="29"/>
  <c r="L44" i="29"/>
  <c r="O43" i="29"/>
  <c r="N43" i="29"/>
  <c r="M43" i="29"/>
  <c r="L43" i="29"/>
  <c r="O42" i="29"/>
  <c r="N42" i="29"/>
  <c r="M42" i="29"/>
  <c r="L42" i="29"/>
  <c r="O41" i="29"/>
  <c r="N41" i="29"/>
  <c r="M41" i="29"/>
  <c r="L41" i="29"/>
  <c r="O38" i="29"/>
  <c r="N38" i="29"/>
  <c r="M38" i="29"/>
  <c r="L38" i="29"/>
  <c r="O37" i="29"/>
  <c r="N37" i="29"/>
  <c r="M37" i="29"/>
  <c r="L37" i="29"/>
  <c r="O36" i="29"/>
  <c r="N36" i="29"/>
  <c r="M36" i="29"/>
  <c r="L36" i="29"/>
  <c r="O35" i="29"/>
  <c r="N35" i="29"/>
  <c r="M35" i="29"/>
  <c r="L35" i="29"/>
  <c r="O32" i="29"/>
  <c r="N32" i="29"/>
  <c r="M32" i="29"/>
  <c r="L32" i="29"/>
  <c r="O31" i="29"/>
  <c r="N31" i="29"/>
  <c r="M31" i="29"/>
  <c r="L31" i="29"/>
  <c r="O28" i="29"/>
  <c r="N28" i="29"/>
  <c r="M28" i="29"/>
  <c r="L28" i="29"/>
  <c r="O27" i="29"/>
  <c r="N27" i="29"/>
  <c r="M27" i="29"/>
  <c r="L27" i="29"/>
  <c r="O26" i="29"/>
  <c r="N26" i="29"/>
  <c r="M26" i="29"/>
  <c r="L26" i="29"/>
  <c r="O25" i="29"/>
  <c r="N25" i="29"/>
  <c r="M25" i="29"/>
  <c r="L25" i="29"/>
  <c r="O24" i="29"/>
  <c r="N24" i="29"/>
  <c r="M24" i="29"/>
  <c r="L24" i="29"/>
  <c r="O20" i="29"/>
  <c r="N20" i="29"/>
  <c r="M20" i="29"/>
  <c r="L20" i="29"/>
  <c r="O18" i="29"/>
  <c r="N18" i="29"/>
  <c r="M18" i="29"/>
  <c r="L18" i="29"/>
  <c r="O16" i="29"/>
  <c r="N16" i="29"/>
  <c r="M16" i="29"/>
  <c r="L16" i="29"/>
  <c r="O14" i="29"/>
  <c r="N14" i="29"/>
  <c r="M14" i="29"/>
  <c r="L14" i="29"/>
  <c r="N12" i="29"/>
  <c r="M12" i="29"/>
  <c r="O14" i="28"/>
  <c r="O13" i="28"/>
  <c r="N14" i="28"/>
  <c r="N13" i="28"/>
  <c r="M14" i="28"/>
  <c r="M13" i="28"/>
  <c r="L14" i="28"/>
  <c r="L13" i="28"/>
  <c r="G195" i="27"/>
  <c r="F196" i="27"/>
  <c r="G196" i="27"/>
  <c r="F197" i="27"/>
  <c r="G197" i="27"/>
  <c r="F198" i="27"/>
  <c r="G198" i="27"/>
  <c r="F199" i="27"/>
  <c r="G199" i="27"/>
  <c r="F200" i="27"/>
  <c r="G200" i="27"/>
  <c r="F201" i="27"/>
  <c r="G201" i="27"/>
  <c r="F202" i="27"/>
  <c r="G202" i="27"/>
  <c r="F203" i="27"/>
  <c r="G203" i="27"/>
  <c r="F204" i="27"/>
  <c r="G204" i="27"/>
  <c r="F205" i="27"/>
  <c r="G205" i="27"/>
  <c r="F208" i="27"/>
  <c r="G208" i="27"/>
  <c r="F209" i="27"/>
  <c r="G209" i="27"/>
  <c r="F210" i="27"/>
  <c r="G210" i="27"/>
  <c r="F213" i="27"/>
  <c r="G213" i="27"/>
  <c r="F214" i="27"/>
  <c r="G214" i="27"/>
  <c r="F215" i="27"/>
  <c r="G215" i="27"/>
  <c r="F216" i="27"/>
  <c r="G216" i="27"/>
  <c r="F219" i="27"/>
  <c r="G219" i="27"/>
  <c r="F220" i="27"/>
  <c r="G220" i="27"/>
  <c r="F221" i="27"/>
  <c r="G221" i="27"/>
  <c r="F222" i="27"/>
  <c r="G222" i="27"/>
  <c r="F223" i="27"/>
  <c r="G223" i="27"/>
  <c r="F224" i="27"/>
  <c r="G224" i="27"/>
  <c r="F225" i="27"/>
  <c r="G225" i="27"/>
  <c r="F226" i="27"/>
  <c r="G226" i="27"/>
  <c r="F227" i="27"/>
  <c r="G227" i="27"/>
  <c r="F228" i="27"/>
  <c r="G228" i="27"/>
  <c r="F229" i="27"/>
  <c r="G229" i="27"/>
  <c r="F232" i="27"/>
  <c r="G232" i="27"/>
  <c r="F233" i="27"/>
  <c r="G233" i="27"/>
  <c r="F234" i="27"/>
  <c r="G234" i="27"/>
  <c r="F237" i="27"/>
  <c r="G237" i="27"/>
  <c r="F238" i="27"/>
  <c r="G238" i="27"/>
  <c r="F239" i="27"/>
  <c r="G239" i="27"/>
  <c r="F242" i="27"/>
  <c r="G242" i="27"/>
  <c r="F243" i="27"/>
  <c r="G243" i="27"/>
  <c r="F244" i="27"/>
  <c r="G244" i="27"/>
  <c r="F247" i="27"/>
  <c r="G247" i="27"/>
  <c r="F248" i="27"/>
  <c r="G248" i="27"/>
  <c r="F249" i="27"/>
  <c r="G249" i="27"/>
  <c r="F250" i="27"/>
  <c r="G250" i="27"/>
  <c r="F251" i="27"/>
  <c r="G251" i="27"/>
  <c r="F252" i="27"/>
  <c r="G252" i="27"/>
  <c r="F253" i="27"/>
  <c r="G253" i="27"/>
  <c r="F254" i="27"/>
  <c r="G254" i="27"/>
  <c r="F255" i="27"/>
  <c r="G255" i="27"/>
  <c r="F256" i="27"/>
  <c r="G256" i="27"/>
  <c r="F257" i="27"/>
  <c r="G257" i="27"/>
  <c r="F258" i="27"/>
  <c r="G258" i="27"/>
  <c r="F259" i="27"/>
  <c r="G259" i="27"/>
  <c r="F260" i="27"/>
  <c r="G260" i="27"/>
  <c r="F261" i="27"/>
  <c r="G261" i="27"/>
  <c r="F262" i="27"/>
  <c r="G262" i="27"/>
  <c r="F263" i="27"/>
  <c r="G263" i="27"/>
  <c r="F264" i="27"/>
  <c r="G264" i="27"/>
  <c r="F265" i="27"/>
  <c r="G265" i="27"/>
  <c r="F266" i="27"/>
  <c r="G266" i="27"/>
  <c r="F267" i="27"/>
  <c r="G267" i="27"/>
  <c r="F268" i="27"/>
  <c r="G268" i="27"/>
  <c r="F269" i="27"/>
  <c r="G269" i="27"/>
  <c r="F270" i="27"/>
  <c r="G270" i="27"/>
  <c r="F271" i="27"/>
  <c r="G271" i="27"/>
  <c r="F272" i="27"/>
  <c r="G272" i="27"/>
  <c r="F273" i="27"/>
  <c r="G273" i="27"/>
  <c r="F274" i="27"/>
  <c r="G274" i="27"/>
  <c r="F275" i="27"/>
  <c r="G275" i="27"/>
  <c r="L373" i="26"/>
  <c r="M373" i="26"/>
  <c r="N373" i="26"/>
  <c r="O373" i="26"/>
  <c r="N381" i="26"/>
  <c r="M247" i="26"/>
  <c r="L14" i="26"/>
  <c r="M14" i="26"/>
  <c r="N14" i="26"/>
  <c r="O14" i="26"/>
  <c r="L16" i="26"/>
  <c r="M16" i="26"/>
  <c r="N16" i="26"/>
  <c r="O16" i="26"/>
  <c r="L18" i="26"/>
  <c r="M18" i="26"/>
  <c r="N18" i="26"/>
  <c r="O18" i="26"/>
  <c r="L20" i="26"/>
  <c r="M20" i="26"/>
  <c r="N20" i="26"/>
  <c r="O20" i="26"/>
  <c r="L24" i="26"/>
  <c r="M24" i="26"/>
  <c r="N24" i="26"/>
  <c r="O24" i="26"/>
  <c r="L25" i="26"/>
  <c r="M25" i="26"/>
  <c r="N25" i="26"/>
  <c r="O25" i="26"/>
  <c r="L26" i="26"/>
  <c r="M26" i="26"/>
  <c r="N26" i="26"/>
  <c r="O26" i="26"/>
  <c r="L27" i="26"/>
  <c r="M27" i="26"/>
  <c r="N27" i="26"/>
  <c r="O27" i="26"/>
  <c r="L28" i="26"/>
  <c r="M28" i="26"/>
  <c r="N28" i="26"/>
  <c r="O28" i="26"/>
  <c r="L31" i="26"/>
  <c r="M31" i="26"/>
  <c r="N31" i="26"/>
  <c r="O31" i="26"/>
  <c r="L32" i="26"/>
  <c r="M32" i="26"/>
  <c r="N32" i="26"/>
  <c r="O32" i="26"/>
  <c r="L35" i="26"/>
  <c r="M35" i="26"/>
  <c r="N35" i="26"/>
  <c r="O35" i="26"/>
  <c r="L36" i="26"/>
  <c r="M36" i="26"/>
  <c r="N36" i="26"/>
  <c r="O36" i="26"/>
  <c r="L37" i="26"/>
  <c r="M37" i="26"/>
  <c r="N37" i="26"/>
  <c r="O37" i="26"/>
  <c r="L38" i="26"/>
  <c r="M38" i="26"/>
  <c r="N38" i="26"/>
  <c r="O38" i="26"/>
  <c r="L41" i="26"/>
  <c r="M41" i="26"/>
  <c r="N41" i="26"/>
  <c r="O41" i="26"/>
  <c r="L42" i="26"/>
  <c r="M42" i="26"/>
  <c r="N42" i="26"/>
  <c r="O42" i="26"/>
  <c r="L43" i="26"/>
  <c r="M43" i="26"/>
  <c r="N43" i="26"/>
  <c r="O43" i="26"/>
  <c r="L44" i="26"/>
  <c r="M44" i="26"/>
  <c r="N44" i="26"/>
  <c r="O44" i="26"/>
  <c r="L45" i="26"/>
  <c r="M45" i="26"/>
  <c r="N45" i="26"/>
  <c r="O45" i="26"/>
  <c r="L48" i="26"/>
  <c r="M48" i="26"/>
  <c r="N48" i="26"/>
  <c r="O48" i="26"/>
  <c r="L49" i="26"/>
  <c r="M49" i="26"/>
  <c r="N49" i="26"/>
  <c r="O49" i="26"/>
  <c r="L50" i="26"/>
  <c r="M50" i="26"/>
  <c r="N50" i="26"/>
  <c r="O50" i="26"/>
  <c r="L51" i="26"/>
  <c r="M51" i="26"/>
  <c r="N51" i="26"/>
  <c r="O51" i="26"/>
  <c r="L54" i="26"/>
  <c r="M54" i="26"/>
  <c r="N54" i="26"/>
  <c r="O54" i="26"/>
  <c r="L55" i="26"/>
  <c r="M55" i="26"/>
  <c r="N55" i="26"/>
  <c r="O55" i="26"/>
  <c r="L56" i="26"/>
  <c r="M56" i="26"/>
  <c r="N56" i="26"/>
  <c r="O56" i="26"/>
  <c r="L59" i="26"/>
  <c r="M59" i="26"/>
  <c r="N59" i="26"/>
  <c r="O59" i="26"/>
  <c r="L62" i="26"/>
  <c r="M62" i="26"/>
  <c r="N62" i="26"/>
  <c r="O62" i="26"/>
  <c r="L63" i="26"/>
  <c r="M63" i="26"/>
  <c r="N63" i="26"/>
  <c r="O63" i="26"/>
  <c r="L66" i="26"/>
  <c r="M66" i="26"/>
  <c r="N66" i="26"/>
  <c r="O66" i="26"/>
  <c r="L69" i="26"/>
  <c r="M69" i="26"/>
  <c r="N69" i="26"/>
  <c r="O69" i="26"/>
  <c r="L70" i="26"/>
  <c r="M70" i="26"/>
  <c r="N70" i="26"/>
  <c r="O70" i="26"/>
  <c r="L73" i="26"/>
  <c r="M73" i="26"/>
  <c r="N73" i="26"/>
  <c r="O73" i="26"/>
  <c r="L76" i="26"/>
  <c r="M76" i="26"/>
  <c r="N76" i="26"/>
  <c r="O76" i="26"/>
  <c r="L79" i="26"/>
  <c r="M79" i="26"/>
  <c r="N79" i="26"/>
  <c r="O79" i="26"/>
  <c r="L82" i="26"/>
  <c r="M82" i="26"/>
  <c r="N82" i="26"/>
  <c r="O82" i="26"/>
  <c r="L83" i="26"/>
  <c r="M83" i="26"/>
  <c r="N83" i="26"/>
  <c r="O83" i="26"/>
  <c r="L84" i="26"/>
  <c r="M84" i="26"/>
  <c r="N84" i="26"/>
  <c r="O84" i="26"/>
  <c r="L85" i="26"/>
  <c r="M85" i="26"/>
  <c r="N85" i="26"/>
  <c r="O85" i="26"/>
  <c r="L86" i="26"/>
  <c r="M86" i="26"/>
  <c r="N86" i="26"/>
  <c r="O86" i="26"/>
  <c r="L91" i="26"/>
  <c r="M91" i="26"/>
  <c r="N91" i="26"/>
  <c r="O91" i="26"/>
  <c r="L93" i="26"/>
  <c r="M93" i="26"/>
  <c r="N93" i="26"/>
  <c r="O93" i="26"/>
  <c r="L95" i="26"/>
  <c r="M95" i="26"/>
  <c r="N95" i="26"/>
  <c r="O95" i="26"/>
  <c r="L97" i="26"/>
  <c r="M97" i="26"/>
  <c r="N97" i="26"/>
  <c r="O97" i="26"/>
  <c r="L99" i="26"/>
  <c r="M99" i="26"/>
  <c r="N99" i="26"/>
  <c r="O99" i="26"/>
  <c r="L103" i="26"/>
  <c r="M103" i="26"/>
  <c r="N103" i="26"/>
  <c r="O103" i="26"/>
  <c r="L104" i="26"/>
  <c r="M104" i="26"/>
  <c r="N104" i="26"/>
  <c r="O104" i="26"/>
  <c r="L105" i="26"/>
  <c r="M105" i="26"/>
  <c r="N105" i="26"/>
  <c r="O105" i="26"/>
  <c r="L106" i="26"/>
  <c r="M106" i="26"/>
  <c r="N106" i="26"/>
  <c r="O106" i="26"/>
  <c r="L107" i="26"/>
  <c r="M107" i="26"/>
  <c r="N107" i="26"/>
  <c r="O107" i="26"/>
  <c r="L108" i="26"/>
  <c r="M108" i="26"/>
  <c r="N108" i="26"/>
  <c r="O108" i="26"/>
  <c r="L109" i="26"/>
  <c r="M109" i="26"/>
  <c r="N109" i="26"/>
  <c r="O109" i="26"/>
  <c r="L110" i="26"/>
  <c r="M110" i="26"/>
  <c r="N110" i="26"/>
  <c r="O110" i="26"/>
  <c r="L111" i="26"/>
  <c r="M111" i="26"/>
  <c r="N111" i="26"/>
  <c r="O111" i="26"/>
  <c r="L112" i="26"/>
  <c r="M112" i="26"/>
  <c r="N112" i="26"/>
  <c r="O112" i="26"/>
  <c r="L113" i="26"/>
  <c r="M113" i="26"/>
  <c r="N113" i="26"/>
  <c r="O113" i="26"/>
  <c r="L114" i="26"/>
  <c r="M114" i="26"/>
  <c r="N114" i="26"/>
  <c r="O114" i="26"/>
  <c r="L115" i="26"/>
  <c r="M115" i="26"/>
  <c r="N115" i="26"/>
  <c r="O115" i="26"/>
  <c r="L116" i="26"/>
  <c r="M116" i="26"/>
  <c r="N116" i="26"/>
  <c r="O116" i="26"/>
  <c r="L117" i="26"/>
  <c r="M117" i="26"/>
  <c r="N117" i="26"/>
  <c r="O117" i="26"/>
  <c r="L118" i="26"/>
  <c r="M118" i="26"/>
  <c r="N118" i="26"/>
  <c r="O118" i="26"/>
  <c r="L119" i="26"/>
  <c r="M119" i="26"/>
  <c r="N119" i="26"/>
  <c r="O119" i="26"/>
  <c r="L120" i="26"/>
  <c r="M120" i="26"/>
  <c r="N120" i="26"/>
  <c r="O120" i="26"/>
  <c r="L121" i="26"/>
  <c r="M121" i="26"/>
  <c r="N121" i="26"/>
  <c r="O121" i="26"/>
  <c r="L124" i="26"/>
  <c r="M124" i="26"/>
  <c r="N124" i="26"/>
  <c r="O124" i="26"/>
  <c r="L125" i="26"/>
  <c r="M125" i="26"/>
  <c r="N125" i="26"/>
  <c r="O125" i="26"/>
  <c r="L126" i="26"/>
  <c r="M126" i="26"/>
  <c r="N126" i="26"/>
  <c r="O126" i="26"/>
  <c r="L129" i="26"/>
  <c r="M129" i="26"/>
  <c r="N129" i="26"/>
  <c r="O129" i="26"/>
  <c r="L130" i="26"/>
  <c r="M130" i="26"/>
  <c r="N130" i="26"/>
  <c r="O130" i="26"/>
  <c r="L131" i="26"/>
  <c r="M131" i="26"/>
  <c r="N131" i="26"/>
  <c r="O131" i="26"/>
  <c r="L132" i="26"/>
  <c r="M132" i="26"/>
  <c r="N132" i="26"/>
  <c r="O132" i="26"/>
  <c r="L133" i="26"/>
  <c r="M133" i="26"/>
  <c r="N133" i="26"/>
  <c r="O133" i="26"/>
  <c r="L134" i="26"/>
  <c r="M134" i="26"/>
  <c r="N134" i="26"/>
  <c r="O134" i="26"/>
  <c r="L135" i="26"/>
  <c r="M135" i="26"/>
  <c r="N135" i="26"/>
  <c r="O135" i="26"/>
  <c r="L136" i="26"/>
  <c r="M136" i="26"/>
  <c r="N136" i="26"/>
  <c r="O136" i="26"/>
  <c r="L137" i="26"/>
  <c r="M137" i="26"/>
  <c r="N137" i="26"/>
  <c r="O137" i="26"/>
  <c r="L138" i="26"/>
  <c r="M138" i="26"/>
  <c r="N138" i="26"/>
  <c r="O138" i="26"/>
  <c r="L141" i="26"/>
  <c r="M141" i="26"/>
  <c r="N141" i="26"/>
  <c r="O141" i="26"/>
  <c r="L142" i="26"/>
  <c r="M142" i="26"/>
  <c r="N142" i="26"/>
  <c r="O142" i="26"/>
  <c r="L143" i="26"/>
  <c r="M143" i="26"/>
  <c r="N143" i="26"/>
  <c r="O143" i="26"/>
  <c r="L144" i="26"/>
  <c r="M144" i="26"/>
  <c r="N144" i="26"/>
  <c r="O144" i="26"/>
  <c r="L145" i="26"/>
  <c r="M145" i="26"/>
  <c r="N145" i="26"/>
  <c r="O145" i="26"/>
  <c r="L146" i="26"/>
  <c r="M146" i="26"/>
  <c r="N146" i="26"/>
  <c r="O146" i="26"/>
  <c r="L147" i="26"/>
  <c r="M147" i="26"/>
  <c r="N147" i="26"/>
  <c r="O147" i="26"/>
  <c r="L148" i="26"/>
  <c r="M148" i="26"/>
  <c r="N148" i="26"/>
  <c r="O148" i="26"/>
  <c r="L149" i="26"/>
  <c r="M149" i="26"/>
  <c r="N149" i="26"/>
  <c r="O149" i="26"/>
  <c r="L150" i="26"/>
  <c r="M150" i="26"/>
  <c r="N150" i="26"/>
  <c r="O150" i="26"/>
  <c r="L153" i="26"/>
  <c r="M153" i="26"/>
  <c r="N153" i="26"/>
  <c r="O153" i="26"/>
  <c r="L154" i="26"/>
  <c r="M154" i="26"/>
  <c r="N154" i="26"/>
  <c r="O154" i="26"/>
  <c r="L155" i="26"/>
  <c r="M155" i="26"/>
  <c r="N155" i="26"/>
  <c r="O155" i="26"/>
  <c r="L156" i="26"/>
  <c r="M156" i="26"/>
  <c r="N156" i="26"/>
  <c r="O156" i="26"/>
  <c r="L157" i="26"/>
  <c r="M157" i="26"/>
  <c r="N157" i="26"/>
  <c r="O157" i="26"/>
  <c r="L158" i="26"/>
  <c r="M158" i="26"/>
  <c r="N158" i="26"/>
  <c r="O158" i="26"/>
  <c r="L159" i="26"/>
  <c r="M159" i="26"/>
  <c r="N159" i="26"/>
  <c r="O159" i="26"/>
  <c r="L160" i="26"/>
  <c r="M160" i="26"/>
  <c r="N160" i="26"/>
  <c r="O160" i="26"/>
  <c r="L161" i="26"/>
  <c r="M161" i="26"/>
  <c r="N161" i="26"/>
  <c r="O161" i="26"/>
  <c r="L164" i="26"/>
  <c r="M164" i="26"/>
  <c r="N164" i="26"/>
  <c r="O164" i="26"/>
  <c r="L165" i="26"/>
  <c r="M165" i="26"/>
  <c r="N165" i="26"/>
  <c r="O165" i="26"/>
  <c r="L166" i="26"/>
  <c r="M166" i="26"/>
  <c r="N166" i="26"/>
  <c r="O166" i="26"/>
  <c r="L168" i="26"/>
  <c r="M168" i="26"/>
  <c r="N168" i="26"/>
  <c r="O168" i="26"/>
  <c r="L171" i="26"/>
  <c r="M171" i="26"/>
  <c r="N171" i="26"/>
  <c r="O171" i="26"/>
  <c r="L172" i="26"/>
  <c r="M172" i="26"/>
  <c r="N172" i="26"/>
  <c r="O172" i="26"/>
  <c r="L173" i="26"/>
  <c r="M173" i="26"/>
  <c r="N173" i="26"/>
  <c r="O173" i="26"/>
  <c r="L174" i="26"/>
  <c r="M174" i="26"/>
  <c r="N174" i="26"/>
  <c r="O174" i="26"/>
  <c r="L175" i="26"/>
  <c r="M175" i="26"/>
  <c r="N175" i="26"/>
  <c r="O175" i="26"/>
  <c r="L176" i="26"/>
  <c r="M176" i="26"/>
  <c r="N176" i="26"/>
  <c r="O176" i="26"/>
  <c r="L179" i="26"/>
  <c r="M179" i="26"/>
  <c r="N179" i="26"/>
  <c r="O179" i="26"/>
  <c r="L180" i="26"/>
  <c r="M180" i="26"/>
  <c r="N180" i="26"/>
  <c r="O180" i="26"/>
  <c r="L183" i="26"/>
  <c r="M183" i="26"/>
  <c r="N183" i="26"/>
  <c r="O183" i="26"/>
  <c r="L184" i="26"/>
  <c r="M184" i="26"/>
  <c r="N184" i="26"/>
  <c r="O184" i="26"/>
  <c r="L185" i="26"/>
  <c r="M185" i="26"/>
  <c r="N185" i="26"/>
  <c r="O185" i="26"/>
  <c r="L188" i="26"/>
  <c r="M188" i="26"/>
  <c r="N188" i="26"/>
  <c r="O188" i="26"/>
  <c r="L191" i="26"/>
  <c r="M191" i="26"/>
  <c r="N191" i="26"/>
  <c r="O191" i="26"/>
  <c r="L192" i="26"/>
  <c r="M192" i="26"/>
  <c r="N192" i="26"/>
  <c r="O192" i="26"/>
  <c r="L193" i="26"/>
  <c r="M193" i="26"/>
  <c r="N193" i="26"/>
  <c r="O193" i="26"/>
  <c r="L194" i="26"/>
  <c r="M194" i="26"/>
  <c r="N194" i="26"/>
  <c r="O194" i="26"/>
  <c r="L195" i="26"/>
  <c r="M195" i="26"/>
  <c r="N195" i="26"/>
  <c r="O195" i="26"/>
  <c r="L196" i="26"/>
  <c r="M196" i="26"/>
  <c r="N196" i="26"/>
  <c r="O196" i="26"/>
  <c r="L197" i="26"/>
  <c r="M197" i="26"/>
  <c r="N197" i="26"/>
  <c r="O197" i="26"/>
  <c r="L202" i="26"/>
  <c r="M202" i="26"/>
  <c r="N202" i="26"/>
  <c r="O202" i="26"/>
  <c r="L204" i="26"/>
  <c r="M204" i="26"/>
  <c r="N204" i="26"/>
  <c r="O204" i="26"/>
  <c r="L206" i="26"/>
  <c r="M206" i="26"/>
  <c r="N206" i="26"/>
  <c r="O206" i="26"/>
  <c r="L208" i="26"/>
  <c r="M208" i="26"/>
  <c r="N208" i="26"/>
  <c r="O208" i="26"/>
  <c r="L210" i="26"/>
  <c r="M210" i="26"/>
  <c r="N210" i="26"/>
  <c r="O210" i="26"/>
  <c r="L212" i="26"/>
  <c r="M212" i="26"/>
  <c r="N212" i="26"/>
  <c r="O212" i="26"/>
  <c r="L216" i="26"/>
  <c r="M216" i="26"/>
  <c r="N216" i="26"/>
  <c r="O216" i="26"/>
  <c r="L217" i="26"/>
  <c r="M217" i="26"/>
  <c r="N217" i="26"/>
  <c r="O217" i="26"/>
  <c r="L218" i="26"/>
  <c r="M218" i="26"/>
  <c r="N218" i="26"/>
  <c r="O218" i="26"/>
  <c r="L219" i="26"/>
  <c r="M219" i="26"/>
  <c r="N219" i="26"/>
  <c r="O219" i="26"/>
  <c r="L220" i="26"/>
  <c r="M220" i="26"/>
  <c r="N220" i="26"/>
  <c r="O220" i="26"/>
  <c r="L221" i="26"/>
  <c r="M221" i="26"/>
  <c r="N221" i="26"/>
  <c r="O221" i="26"/>
  <c r="L222" i="26"/>
  <c r="M222" i="26"/>
  <c r="N222" i="26"/>
  <c r="O222" i="26"/>
  <c r="L223" i="26"/>
  <c r="M223" i="26"/>
  <c r="N223" i="26"/>
  <c r="O223" i="26"/>
  <c r="L224" i="26"/>
  <c r="M224" i="26"/>
  <c r="N224" i="26"/>
  <c r="O224" i="26"/>
  <c r="L227" i="26"/>
  <c r="M227" i="26"/>
  <c r="N227" i="26"/>
  <c r="O227" i="26"/>
  <c r="L228" i="26"/>
  <c r="M228" i="26"/>
  <c r="N228" i="26"/>
  <c r="O228" i="26"/>
  <c r="L229" i="26"/>
  <c r="M229" i="26"/>
  <c r="N229" i="26"/>
  <c r="O229" i="26"/>
  <c r="L232" i="26"/>
  <c r="M232" i="26"/>
  <c r="N232" i="26"/>
  <c r="O232" i="26"/>
  <c r="L233" i="26"/>
  <c r="M233" i="26"/>
  <c r="N233" i="26"/>
  <c r="O233" i="26"/>
  <c r="L234" i="26"/>
  <c r="M234" i="26"/>
  <c r="N234" i="26"/>
  <c r="O234" i="26"/>
  <c r="L235" i="26"/>
  <c r="M235" i="26"/>
  <c r="N235" i="26"/>
  <c r="O235" i="26"/>
  <c r="L238" i="26"/>
  <c r="M238" i="26"/>
  <c r="N238" i="26"/>
  <c r="O238" i="26"/>
  <c r="L239" i="26"/>
  <c r="M239" i="26"/>
  <c r="N239" i="26"/>
  <c r="O239" i="26"/>
  <c r="L240" i="26"/>
  <c r="M240" i="26"/>
  <c r="N240" i="26"/>
  <c r="O240" i="26"/>
  <c r="L241" i="26"/>
  <c r="M241" i="26"/>
  <c r="N241" i="26"/>
  <c r="O241" i="26"/>
  <c r="L242" i="26"/>
  <c r="M242" i="26"/>
  <c r="N242" i="26"/>
  <c r="O242" i="26"/>
  <c r="L243" i="26"/>
  <c r="M243" i="26"/>
  <c r="N243" i="26"/>
  <c r="O243" i="26"/>
  <c r="L244" i="26"/>
  <c r="M244" i="26"/>
  <c r="N244" i="26"/>
  <c r="O244" i="26"/>
  <c r="L245" i="26"/>
  <c r="M245" i="26"/>
  <c r="N245" i="26"/>
  <c r="O245" i="26"/>
  <c r="L246" i="26"/>
  <c r="M246" i="26"/>
  <c r="N246" i="26"/>
  <c r="O246" i="26"/>
  <c r="L247" i="26"/>
  <c r="N247" i="26"/>
  <c r="O247" i="26"/>
  <c r="L250" i="26"/>
  <c r="M250" i="26"/>
  <c r="N250" i="26"/>
  <c r="O250" i="26"/>
  <c r="L251" i="26"/>
  <c r="M251" i="26"/>
  <c r="N251" i="26"/>
  <c r="O251" i="26"/>
  <c r="L252" i="26"/>
  <c r="M252" i="26"/>
  <c r="N252" i="26"/>
  <c r="O252" i="26"/>
  <c r="L253" i="26"/>
  <c r="M253" i="26"/>
  <c r="N253" i="26"/>
  <c r="O253" i="26"/>
  <c r="L254" i="26"/>
  <c r="M254" i="26"/>
  <c r="N254" i="26"/>
  <c r="O254" i="26"/>
  <c r="L255" i="26"/>
  <c r="M255" i="26"/>
  <c r="N255" i="26"/>
  <c r="O255" i="26"/>
  <c r="L256" i="26"/>
  <c r="M256" i="26"/>
  <c r="N256" i="26"/>
  <c r="O256" i="26"/>
  <c r="L257" i="26"/>
  <c r="M257" i="26"/>
  <c r="N257" i="26"/>
  <c r="O257" i="26"/>
  <c r="L258" i="26"/>
  <c r="M258" i="26"/>
  <c r="N258" i="26"/>
  <c r="O258" i="26"/>
  <c r="L259" i="26"/>
  <c r="M259" i="26"/>
  <c r="N259" i="26"/>
  <c r="O259" i="26"/>
  <c r="L260" i="26"/>
  <c r="M260" i="26"/>
  <c r="N260" i="26"/>
  <c r="O260" i="26"/>
  <c r="L263" i="26"/>
  <c r="M263" i="26"/>
  <c r="N263" i="26"/>
  <c r="O263" i="26"/>
  <c r="L264" i="26"/>
  <c r="M264" i="26"/>
  <c r="N264" i="26"/>
  <c r="O264" i="26"/>
  <c r="L265" i="26"/>
  <c r="M265" i="26"/>
  <c r="N265" i="26"/>
  <c r="O265" i="26"/>
  <c r="L266" i="26"/>
  <c r="M266" i="26"/>
  <c r="N266" i="26"/>
  <c r="O266" i="26"/>
  <c r="L267" i="26"/>
  <c r="M267" i="26"/>
  <c r="N267" i="26"/>
  <c r="O267" i="26"/>
  <c r="L268" i="26"/>
  <c r="M268" i="26"/>
  <c r="N268" i="26"/>
  <c r="O268" i="26"/>
  <c r="L269" i="26"/>
  <c r="M269" i="26"/>
  <c r="N269" i="26"/>
  <c r="O269" i="26"/>
  <c r="L270" i="26"/>
  <c r="M270" i="26"/>
  <c r="N270" i="26"/>
  <c r="O270" i="26"/>
  <c r="L271" i="26"/>
  <c r="M271" i="26"/>
  <c r="N271" i="26"/>
  <c r="O271" i="26"/>
  <c r="L272" i="26"/>
  <c r="M272" i="26"/>
  <c r="N272" i="26"/>
  <c r="O272" i="26"/>
  <c r="L273" i="26"/>
  <c r="M273" i="26"/>
  <c r="N273" i="26"/>
  <c r="O273" i="26"/>
  <c r="L274" i="26"/>
  <c r="M274" i="26"/>
  <c r="N274" i="26"/>
  <c r="O274" i="26"/>
  <c r="L275" i="26"/>
  <c r="M275" i="26"/>
  <c r="N275" i="26"/>
  <c r="O275" i="26"/>
  <c r="L276" i="26"/>
  <c r="M276" i="26"/>
  <c r="N276" i="26"/>
  <c r="O276" i="26"/>
  <c r="L279" i="26"/>
  <c r="M279" i="26"/>
  <c r="N279" i="26"/>
  <c r="O279" i="26"/>
  <c r="L282" i="26"/>
  <c r="M282" i="26"/>
  <c r="N282" i="26"/>
  <c r="O282" i="26"/>
  <c r="L285" i="26"/>
  <c r="M285" i="26"/>
  <c r="N285" i="26"/>
  <c r="O285" i="26"/>
  <c r="L288" i="26"/>
  <c r="M288" i="26"/>
  <c r="N288" i="26"/>
  <c r="O288" i="26"/>
  <c r="L289" i="26"/>
  <c r="M289" i="26"/>
  <c r="N289" i="26"/>
  <c r="O289" i="26"/>
  <c r="L292" i="26"/>
  <c r="M292" i="26"/>
  <c r="N292" i="26"/>
  <c r="O292" i="26"/>
  <c r="L293" i="26"/>
  <c r="M293" i="26"/>
  <c r="N293" i="26"/>
  <c r="O293" i="26"/>
  <c r="L296" i="26"/>
  <c r="M296" i="26"/>
  <c r="N296" i="26"/>
  <c r="O296" i="26"/>
  <c r="L297" i="26"/>
  <c r="M297" i="26"/>
  <c r="N297" i="26"/>
  <c r="O297" i="26"/>
  <c r="L298" i="26"/>
  <c r="M298" i="26"/>
  <c r="N298" i="26"/>
  <c r="O298" i="26"/>
  <c r="L299" i="26"/>
  <c r="M299" i="26"/>
  <c r="N299" i="26"/>
  <c r="O299" i="26"/>
  <c r="L300" i="26"/>
  <c r="M300" i="26"/>
  <c r="N300" i="26"/>
  <c r="O300" i="26"/>
  <c r="L303" i="26"/>
  <c r="M303" i="26"/>
  <c r="N303" i="26"/>
  <c r="O303" i="26"/>
  <c r="L304" i="26"/>
  <c r="M304" i="26"/>
  <c r="N304" i="26"/>
  <c r="O304" i="26"/>
  <c r="L305" i="26"/>
  <c r="M305" i="26"/>
  <c r="N305" i="26"/>
  <c r="O305" i="26"/>
  <c r="L308" i="26"/>
  <c r="M308" i="26"/>
  <c r="N308" i="26"/>
  <c r="O308" i="26"/>
  <c r="L309" i="26"/>
  <c r="M309" i="26"/>
  <c r="N309" i="26"/>
  <c r="O309" i="26"/>
  <c r="L310" i="26"/>
  <c r="M310" i="26"/>
  <c r="N310" i="26"/>
  <c r="O310" i="26"/>
  <c r="L311" i="26"/>
  <c r="M311" i="26"/>
  <c r="N311" i="26"/>
  <c r="O311" i="26"/>
  <c r="L312" i="26"/>
  <c r="M312" i="26"/>
  <c r="N312" i="26"/>
  <c r="O312" i="26"/>
  <c r="L313" i="26"/>
  <c r="M313" i="26"/>
  <c r="N313" i="26"/>
  <c r="O313" i="26"/>
  <c r="L314" i="26"/>
  <c r="M314" i="26"/>
  <c r="N314" i="26"/>
  <c r="O314" i="26"/>
  <c r="L319" i="26"/>
  <c r="M319" i="26"/>
  <c r="N319" i="26"/>
  <c r="O319" i="26"/>
  <c r="L321" i="26"/>
  <c r="M321" i="26"/>
  <c r="N321" i="26"/>
  <c r="O321" i="26"/>
  <c r="L325" i="26"/>
  <c r="M325" i="26"/>
  <c r="N325" i="26"/>
  <c r="O325" i="26"/>
  <c r="L326" i="26"/>
  <c r="M326" i="26"/>
  <c r="N326" i="26"/>
  <c r="O326" i="26"/>
  <c r="L327" i="26"/>
  <c r="M327" i="26"/>
  <c r="N327" i="26"/>
  <c r="O327" i="26"/>
  <c r="L328" i="26"/>
  <c r="M328" i="26"/>
  <c r="N328" i="26"/>
  <c r="O328" i="26"/>
  <c r="L329" i="26"/>
  <c r="M329" i="26"/>
  <c r="N329" i="26"/>
  <c r="O329" i="26"/>
  <c r="L331" i="26"/>
  <c r="M331" i="26"/>
  <c r="N331" i="26"/>
  <c r="O331" i="26"/>
  <c r="L332" i="26"/>
  <c r="M332" i="26"/>
  <c r="N332" i="26"/>
  <c r="O332" i="26"/>
  <c r="L333" i="26"/>
  <c r="M333" i="26"/>
  <c r="N333" i="26"/>
  <c r="O333" i="26"/>
  <c r="L336" i="26"/>
  <c r="M336" i="26"/>
  <c r="N336" i="26"/>
  <c r="O336" i="26"/>
  <c r="L339" i="26"/>
  <c r="M339" i="26"/>
  <c r="N339" i="26"/>
  <c r="O339" i="26"/>
  <c r="L342" i="26"/>
  <c r="M342" i="26"/>
  <c r="N342" i="26"/>
  <c r="O342" i="26"/>
  <c r="L343" i="26"/>
  <c r="M343" i="26"/>
  <c r="N343" i="26"/>
  <c r="O343" i="26"/>
  <c r="L346" i="26"/>
  <c r="M346" i="26"/>
  <c r="N346" i="26"/>
  <c r="O346" i="26"/>
  <c r="L347" i="26"/>
  <c r="M347" i="26"/>
  <c r="N347" i="26"/>
  <c r="O347" i="26"/>
  <c r="L348" i="26"/>
  <c r="M348" i="26"/>
  <c r="N348" i="26"/>
  <c r="O348" i="26"/>
  <c r="L349" i="26"/>
  <c r="M349" i="26"/>
  <c r="N349" i="26"/>
  <c r="O349" i="26"/>
  <c r="L350" i="26"/>
  <c r="M350" i="26"/>
  <c r="N350" i="26"/>
  <c r="O350" i="26"/>
  <c r="L351" i="26"/>
  <c r="M351" i="26"/>
  <c r="N351" i="26"/>
  <c r="O351" i="26"/>
  <c r="L354" i="26"/>
  <c r="M354" i="26"/>
  <c r="N354" i="26"/>
  <c r="O354" i="26"/>
  <c r="L358" i="26"/>
  <c r="M358" i="26"/>
  <c r="N358" i="26"/>
  <c r="O358" i="26"/>
  <c r="L359" i="26"/>
  <c r="M359" i="26"/>
  <c r="N359" i="26"/>
  <c r="O359" i="26"/>
  <c r="L360" i="26"/>
  <c r="M360" i="26"/>
  <c r="N360" i="26"/>
  <c r="O360" i="26"/>
  <c r="L361" i="26"/>
  <c r="M361" i="26"/>
  <c r="N361" i="26"/>
  <c r="O361" i="26"/>
  <c r="L362" i="26"/>
  <c r="M362" i="26"/>
  <c r="N362" i="26"/>
  <c r="O362" i="26"/>
  <c r="L363" i="26"/>
  <c r="M363" i="26"/>
  <c r="N363" i="26"/>
  <c r="O363" i="26"/>
  <c r="L364" i="26"/>
  <c r="M364" i="26"/>
  <c r="N364" i="26"/>
  <c r="O364" i="26"/>
  <c r="L365" i="26"/>
  <c r="M365" i="26"/>
  <c r="N365" i="26"/>
  <c r="O365" i="26"/>
  <c r="L368" i="26"/>
  <c r="M368" i="26"/>
  <c r="N368" i="26"/>
  <c r="O368" i="26"/>
  <c r="L369" i="26"/>
  <c r="M369" i="26"/>
  <c r="N369" i="26"/>
  <c r="O369" i="26"/>
  <c r="L370" i="26"/>
  <c r="M370" i="26"/>
  <c r="N370" i="26"/>
  <c r="O370" i="26"/>
  <c r="L376" i="26"/>
  <c r="M376" i="26"/>
  <c r="N376" i="26"/>
  <c r="O376" i="26"/>
  <c r="L377" i="26"/>
  <c r="M377" i="26"/>
  <c r="N377" i="26"/>
  <c r="O377" i="26"/>
  <c r="L378" i="26"/>
  <c r="M378" i="26"/>
  <c r="N378" i="26"/>
  <c r="O378" i="26"/>
  <c r="L379" i="26"/>
  <c r="M379" i="26"/>
  <c r="N379" i="26"/>
  <c r="O379" i="26"/>
  <c r="L380" i="26"/>
  <c r="M380" i="26"/>
  <c r="N380" i="26"/>
  <c r="O380" i="26"/>
  <c r="L381" i="26"/>
  <c r="M381" i="26"/>
  <c r="O381" i="26"/>
  <c r="L382" i="26"/>
  <c r="M382" i="26"/>
  <c r="N382" i="26"/>
  <c r="O382" i="26"/>
  <c r="L383" i="26"/>
  <c r="M383" i="26"/>
  <c r="N383" i="26"/>
  <c r="O383" i="26"/>
  <c r="L384" i="26"/>
  <c r="M384" i="26"/>
  <c r="N384" i="26"/>
  <c r="O384" i="26"/>
  <c r="L385" i="26"/>
  <c r="M385" i="26"/>
  <c r="N385" i="26"/>
  <c r="O385" i="26"/>
  <c r="L12" i="26"/>
  <c r="O12" i="26"/>
  <c r="N12" i="26"/>
  <c r="M12" i="26"/>
  <c r="H40" i="2" l="1"/>
  <c r="H43" i="2" l="1"/>
  <c r="H42" i="2"/>
  <c r="H41" i="2"/>
</calcChain>
</file>

<file path=xl/sharedStrings.xml><?xml version="1.0" encoding="utf-8"?>
<sst xmlns="http://schemas.openxmlformats.org/spreadsheetml/2006/main" count="6020" uniqueCount="1738">
  <si>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</si>
  <si>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</si>
  <si>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</si>
  <si>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</si>
  <si>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</si>
  <si>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</si>
  <si>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</si>
  <si>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</si>
  <si>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</si>
  <si>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</si>
  <si>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</si>
  <si>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</si>
  <si>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</si>
  <si>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</si>
  <si>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</si>
  <si>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</si>
  <si>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</si>
  <si>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</si>
  <si>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</si>
  <si>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</si>
  <si>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</si>
  <si>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</si>
  <si>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</si>
  <si>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</si>
  <si>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</si>
  <si>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</si>
  <si>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</si>
  <si>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</si>
  <si>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</si>
  <si>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</si>
  <si>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</si>
  <si>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</si>
  <si>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</si>
  <si>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</si>
  <si>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</si>
  <si>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</si>
  <si>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</si>
  <si>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</si>
  <si>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</si>
  <si>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</si>
  <si>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</si>
  <si>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</si>
  <si>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</si>
  <si>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</si>
  <si>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</si>
  <si>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</si>
  <si>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</si>
  <si>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</si>
  <si>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</si>
  <si>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</si>
  <si>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</si>
  <si>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</si>
  <si>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</si>
  <si>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</si>
  <si>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V10</t>
  </si>
  <si>
    <t>Hausse de prix +50€ license Microsft Windows 11 Pro Downgrade 10 
Mise à jour références accessoires</t>
  </si>
  <si>
    <t>Retrait des références plus disponibles dans les extensions pour la catégorie 4</t>
  </si>
  <si>
    <t>Correction des réferences pour le EB 640 G10 et le EB 840 G10 Linux</t>
  </si>
  <si>
    <t>Retrait des références plus disponibles dans les extensions communes</t>
  </si>
  <si>
    <t>Mise a jour du fichier Récapitulatif</t>
  </si>
  <si>
    <t>V11</t>
  </si>
  <si>
    <t xml:space="preserve">Hausse de prix contractuelle 2,5% hors logiciels, garanties et services
Ajout de l'option NFC pour les modèles 600 
Retrait des 2 SKUs Linux - Ajout du service usine pour les plateformes certifiées dans l'onglet "extensions communes" 
Ajout dans le configurateur l'option 7 ans et 7 ans DMR dans les configurations de base 5 ans - Retrait des configurations 7 ans 
Retrait et remplacement des références écrans et accessoires fin de vie 
Ajout des filtres de confidentialité plastiques 
Retrait Windows 11 Pro Downgrade le 29 février 2024 - fin de vie </t>
  </si>
  <si>
    <t>V12</t>
  </si>
  <si>
    <t xml:space="preserve">Transition des plateformes en G11 pour les catégories 2 et 3 - Dalle d'écran 300 nits en configuration de base 
Upgrade de la configuration de base en U5 ou Ryzen 5 pour la catégorie 2
Retrait option carte graphique discrète pour 640 G11 disponible pour le 660 G11 et 440 et 450 G10
Ajout de l'option carte à puce pour le EliteBook 1040 x360 G10 
Remplacement des écrans Z38c, Z32 et Z27q 
Retrait et remplacement des références écrans et accessoires fin de vie 
Ajout des mémoires DDR5 en standalone 
Baisse significative des prix des références Poly + ajout de 5 nouvelles références entrée de gamme 
Mise à jour des coefficients locatifs </t>
  </si>
  <si>
    <t>V13</t>
  </si>
  <si>
    <t>Pc portable</t>
  </si>
  <si>
    <t>Extensions CAT1</t>
  </si>
  <si>
    <t>Extensions CAT2</t>
  </si>
  <si>
    <t>Extensions CAT3</t>
  </si>
  <si>
    <t>Extensions CAT4</t>
  </si>
  <si>
    <t>Processeur Intel</t>
  </si>
  <si>
    <t>Passage à i5-1335U</t>
  </si>
  <si>
    <t>Passage à U5-135U</t>
  </si>
  <si>
    <t xml:space="preserve"> Passage à U5-135U compatible vPro pour 830 G11 (mémoire soudée) </t>
  </si>
  <si>
    <t xml:space="preserve">Passage à i7-1355U </t>
  </si>
  <si>
    <t xml:space="preserve">Passage à U7-155U </t>
  </si>
  <si>
    <t>Passage à i7-1365U</t>
  </si>
  <si>
    <t>Passage à U7-165U</t>
  </si>
  <si>
    <t xml:space="preserve">Passage à U7-165U compatible vPro pour 830 G11 (mémoire soudée) </t>
  </si>
  <si>
    <t>Passage à U7-165H</t>
  </si>
  <si>
    <t>Processeur AMD</t>
  </si>
  <si>
    <t>Passage à Ryzen 5 7530U</t>
  </si>
  <si>
    <t>Passage Ryzen 5 PRO 7535U</t>
  </si>
  <si>
    <t>Passage à Ryzen 7 7730U</t>
  </si>
  <si>
    <t>Passage à Ryzen 7 7735U</t>
  </si>
  <si>
    <t>Passage à Ryzen 7 PRO 7735U</t>
  </si>
  <si>
    <t>AMD  Ryzen 7 PRO 8840U 32GB 835 G11  (mémoire soudée)</t>
  </si>
  <si>
    <t>RAM</t>
  </si>
  <si>
    <t>Passage à 16GB</t>
  </si>
  <si>
    <t>Passage à 32GB</t>
  </si>
  <si>
    <t xml:space="preserve">passage à 64GB </t>
  </si>
  <si>
    <t>Disque Dur</t>
  </si>
  <si>
    <t>Passage à 512GB SSD</t>
  </si>
  <si>
    <t>Passage à 1TB SSD</t>
  </si>
  <si>
    <t>Ecrans</t>
  </si>
  <si>
    <t>Passage au 400 nits</t>
  </si>
  <si>
    <t>Passage au 1000 nits</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</si>
  <si>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</si>
  <si>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</si>
  <si>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</si>
  <si>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</si>
  <si>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</si>
  <si>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</si>
  <si>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</si>
  <si>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</si>
  <si>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</si>
  <si>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</si>
  <si>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 et 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</si>
  <si>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</si>
  <si>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</si>
  <si>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</si>
  <si>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</si>
  <si>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</si>
  <si>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</si>
  <si>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</si>
  <si>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</si>
  <si>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</si>
  <si>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</si>
  <si>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</si>
  <si>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</si>
  <si>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</si>
  <si>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</si>
  <si>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</si>
  <si>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</si>
  <si>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</si>
  <si>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</si>
  <si>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</si>
  <si>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</si>
  <si>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NPU</t>
  </si>
  <si>
    <t>Référence</t>
  </si>
  <si>
    <t xml:space="preserve">Tarif HT avec garantie 5 ans 
intervention sur site J+1 en France métropolitaine </t>
  </si>
  <si>
    <t>HP ProBook 440 G10</t>
  </si>
  <si>
    <t>HP ProBook 445 G10</t>
  </si>
  <si>
    <t>HP ProBook 450 G10</t>
  </si>
  <si>
    <t>HP ProBook 455 G10</t>
  </si>
  <si>
    <t>HP ProBook X360 435 G10</t>
  </si>
  <si>
    <t xml:space="preserve">Extensions Catégorie 1 </t>
  </si>
  <si>
    <t>440 G10</t>
  </si>
  <si>
    <t>445 G10</t>
  </si>
  <si>
    <t>450 G10</t>
  </si>
  <si>
    <t>455 G10</t>
  </si>
  <si>
    <t>X360 435 G10</t>
  </si>
  <si>
    <t>Tarif HT</t>
  </si>
  <si>
    <t>Processeurs (passages)</t>
  </si>
  <si>
    <t>HP IDS UMA R5 7530U RTK USBC 445/455 G10 BNBPC</t>
  </si>
  <si>
    <t>70Z74AV</t>
  </si>
  <si>
    <t>719F6AV</t>
  </si>
  <si>
    <t>71C20AV</t>
  </si>
  <si>
    <t>HP IDS UMA R5 7530U f5MP Cam IR RTK USBC 445/ 455 G10BN</t>
  </si>
  <si>
    <t>70Z75AV</t>
  </si>
  <si>
    <t>719F8AV</t>
  </si>
  <si>
    <t>HP IDS UMA R5 PRO 7530U  fHDC IR RTK USBC x360 435G</t>
  </si>
  <si>
    <t>71C23AV</t>
  </si>
  <si>
    <t>HP IDS UMA i5-1335U RTK USBC 440 G10BNBPC</t>
  </si>
  <si>
    <t>717Q3AV</t>
  </si>
  <si>
    <t>71H58AV</t>
  </si>
  <si>
    <t>HP IDS UMA i7-1355U RTKUSBC 440 G10BNBPC</t>
  </si>
  <si>
    <t>717Q6AV</t>
  </si>
  <si>
    <t>Mémoire (passages)</t>
  </si>
  <si>
    <t>16GB (1x16GB) DDR4 3200</t>
  </si>
  <si>
    <t>717V7AV</t>
  </si>
  <si>
    <t>70W39AV</t>
  </si>
  <si>
    <t>726W2AV</t>
  </si>
  <si>
    <t>719L2AV</t>
  </si>
  <si>
    <t>71C56AV</t>
  </si>
  <si>
    <t>32GB (2x16GB) DDR4 3200</t>
  </si>
  <si>
    <t>717V9AV</t>
  </si>
  <si>
    <t>726W4AV</t>
  </si>
  <si>
    <t>71C58AV</t>
  </si>
  <si>
    <t>Ecrans 13'' (passages)</t>
  </si>
  <si>
    <t>13.3 FHD BV LED UWVA 250 fHDC IR slim TS</t>
  </si>
  <si>
    <t>71C41AV</t>
  </si>
  <si>
    <t>13.3 FHD BV LED UWVA 400 wHDC uslim TSLP</t>
  </si>
  <si>
    <t>71C42AV</t>
  </si>
  <si>
    <t>13.3 FHD BV LED UWVA 400 wHDCIRuslimTSLP</t>
  </si>
  <si>
    <t>71C43AV</t>
  </si>
  <si>
    <t>13.3BVFHDUWVALwBluLt1000fHDCIRTouchPVG4P</t>
  </si>
  <si>
    <t>71C44AV</t>
  </si>
  <si>
    <t>Ecrans 14'' (passages)</t>
  </si>
  <si>
    <t>14 FHD AG LED UWVA 250 fHDC NWBZ bent</t>
  </si>
  <si>
    <t>717T5AV</t>
  </si>
  <si>
    <t>70W23AV</t>
  </si>
  <si>
    <t>14 AG FHD UWVA LED 250 f5MP IR bnt LCD Panel</t>
  </si>
  <si>
    <t>717U3AV</t>
  </si>
  <si>
    <t>70W31AV</t>
  </si>
  <si>
    <t>14 FHD AG LED UWVA 250 fHDC TOP NWBZbent</t>
  </si>
  <si>
    <t>717T7AV</t>
  </si>
  <si>
    <t>LCD 14 FHD AG LwBluLt 400 UWVA f5MP IR bnt</t>
  </si>
  <si>
    <t>717T8AV</t>
  </si>
  <si>
    <t>14 AG FHD UWVA LwBluLt 400 fHD CbntLCDPanel</t>
  </si>
  <si>
    <t>717T9AV</t>
  </si>
  <si>
    <t>70W27AV</t>
  </si>
  <si>
    <t>Ecrans 15.6'' (passages)</t>
  </si>
  <si>
    <t>15.6 FHD AG LED UWVA 250 fHDC NWBZ bent</t>
  </si>
  <si>
    <t>726U8AV</t>
  </si>
  <si>
    <t>719J3AV</t>
  </si>
  <si>
    <t>15.6 AG FHD UWVA LED 250 f5MP IR bntLCDPanel</t>
  </si>
  <si>
    <t>726U6AV</t>
  </si>
  <si>
    <t>719J5AV</t>
  </si>
  <si>
    <t>15.6 FHD AG LED UWVA 250 fHDC TOP NWBZ bent</t>
  </si>
  <si>
    <t>726V1AV</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</si>
  <si>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</si>
  <si>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</si>
  <si>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</si>
  <si>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</si>
  <si>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</si>
  <si>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</si>
  <si>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</si>
  <si>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</si>
  <si>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</si>
  <si>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</si>
  <si>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</si>
  <si>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</si>
  <si>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</si>
  <si>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</si>
  <si>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</si>
  <si>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</si>
  <si>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</si>
  <si>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</si>
  <si>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256GB PCIe 2230 NVMe Val 2nd SSD</t>
  </si>
  <si>
    <t>71K02AV</t>
  </si>
  <si>
    <t>Webcam (passages)</t>
  </si>
  <si>
    <t>DM 5MP USB2 IR WFOV Intgrtd Cam</t>
  </si>
  <si>
    <t>711K8AV</t>
  </si>
  <si>
    <t>726V7AV</t>
  </si>
  <si>
    <t>719K4AV</t>
  </si>
  <si>
    <t>Changement de la localisation du clavier (étrangers) et rétroéclairage</t>
  </si>
  <si>
    <t> </t>
  </si>
  <si>
    <t>Clickpad BL SR</t>
  </si>
  <si>
    <t>718B0AV</t>
  </si>
  <si>
    <t>71J51AV</t>
  </si>
  <si>
    <t>72M12AV</t>
  </si>
  <si>
    <t>719R3AV</t>
  </si>
  <si>
    <t>Clickpad BL SR Premium KBD PVCY</t>
  </si>
  <si>
    <t>71D02AV</t>
  </si>
  <si>
    <t>Module de sécurité (biométrique …)</t>
  </si>
  <si>
    <t>Fingerprint Sensor</t>
  </si>
  <si>
    <t>717U6AV</t>
  </si>
  <si>
    <t>716L7AV</t>
  </si>
  <si>
    <t>71K01AV</t>
  </si>
  <si>
    <t>719K1AV</t>
  </si>
  <si>
    <t>71C46AV</t>
  </si>
  <si>
    <t>Communication (wifi, 4G ...) - Configuration Intel</t>
  </si>
  <si>
    <t>Intel LTE-AP WWAN</t>
  </si>
  <si>
    <t>718A3AV</t>
  </si>
  <si>
    <t>72F55AV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</si>
  <si>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</si>
  <si>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</si>
  <si>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</si>
  <si>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</si>
  <si>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</si>
  <si>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</si>
  <si>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</si>
  <si>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</si>
  <si>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</si>
  <si>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</si>
  <si>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</si>
  <si>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</si>
  <si>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G9</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</si>
  <si>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</si>
  <si>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</si>
  <si>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</si>
  <si>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</si>
  <si>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</si>
  <si>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</si>
  <si>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</si>
  <si>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</si>
  <si>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</si>
  <si>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</si>
  <si>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 xml:space="preserve">Passage en garantie 5 ans sur site J+1 Internationale + DMR avec conservation du disque de données défectueux </t>
  </si>
  <si>
    <t>HP 5y Travel Nbd Onsite/DMR NB Only SVC</t>
  </si>
  <si>
    <t>Ajout Protection Dommages Accidentels pendant 5 ans (ADP)</t>
  </si>
  <si>
    <t>HP 5yrADP Select EU Direct Only SVC</t>
  </si>
  <si>
    <t>U7D35E</t>
  </si>
  <si>
    <t xml:space="preserve">Passage en garantie 7 ans sur site J+1 </t>
  </si>
  <si>
    <t>HP 7y NextBusDay Onsite NB Only SVC</t>
  </si>
  <si>
    <t>U73VQB</t>
  </si>
  <si>
    <t>U73VMB</t>
  </si>
  <si>
    <t>Passage en garantie 7 ans sur site J+1 DMR avec conservation du disque de données défectueux en France Métropolitaine</t>
  </si>
  <si>
    <t>HP 7y NextBusDay OnsiteDMR NB Only SVC</t>
  </si>
  <si>
    <t>CATEGORIE 2 : Portable Bureautique</t>
  </si>
  <si>
    <t xml:space="preserve">HP EliteBook 630 G11 </t>
  </si>
  <si>
    <t>HP EliteBook 640 G11</t>
  </si>
  <si>
    <t>HP EliteBook 645 G11</t>
  </si>
  <si>
    <t>HP EliteBook 660 G11</t>
  </si>
  <si>
    <t>HP EliteBook 665 G11</t>
  </si>
  <si>
    <t>Extensions Catégorie 2</t>
  </si>
  <si>
    <t>Référence constructeur
(le cas échéant)</t>
  </si>
  <si>
    <t>630 G11</t>
  </si>
  <si>
    <t>640 G11</t>
  </si>
  <si>
    <t>645 G11</t>
  </si>
  <si>
    <t>660 G11</t>
  </si>
  <si>
    <t>665 G11</t>
  </si>
  <si>
    <t>New</t>
  </si>
  <si>
    <t>X</t>
  </si>
  <si>
    <t>900X4AV</t>
  </si>
  <si>
    <t>901C9AV</t>
  </si>
  <si>
    <t>900X7AV</t>
  </si>
  <si>
    <t>900X6AV</t>
  </si>
  <si>
    <t>900X9AV</t>
  </si>
  <si>
    <t>900X8AV</t>
  </si>
  <si>
    <t>900Y1AV</t>
  </si>
  <si>
    <t>900Y0AV</t>
  </si>
  <si>
    <t>901D5AV</t>
  </si>
  <si>
    <t>901D4AV</t>
  </si>
  <si>
    <t>901D8AV</t>
  </si>
  <si>
    <t>901D7AV</t>
  </si>
  <si>
    <t>901F0AV</t>
  </si>
  <si>
    <t>901F1AV</t>
  </si>
  <si>
    <t>HP EliteBook 640 14 inch G11 (U7-165H, UMA, f/WWAN, TI PD IC) IDS Base NB PC</t>
  </si>
  <si>
    <t xml:space="preserve">901F2AV </t>
  </si>
  <si>
    <t>902D7AV</t>
  </si>
  <si>
    <t>902F1AV</t>
  </si>
  <si>
    <t>902F0AV</t>
  </si>
  <si>
    <t>HP IDS DSC RTX 2050 4GB U5-135H RT USBC 660 G11 Base NB PC</t>
  </si>
  <si>
    <t>902G2AV</t>
  </si>
  <si>
    <t>HP IDS DSC RTX 2050 4GB U5-135H for WWAN RT USBC 660 G11 Base NB PC</t>
  </si>
  <si>
    <t>902G1AV</t>
  </si>
  <si>
    <t>902F5AV</t>
  </si>
  <si>
    <t>902F4AV</t>
  </si>
  <si>
    <t>HP IDS DSC RTX 2050 4GB U7-155H RT USBC 660 G11 Base NB PC</t>
  </si>
  <si>
    <t>902G3AV</t>
  </si>
  <si>
    <t>902F7AV</t>
  </si>
  <si>
    <t>902F6AV</t>
  </si>
  <si>
    <t>HP EliteBook 660 16 inch G11 (U7-165H, RTX 2050 4GB, f/WWAN, RT USBC) IDS Base NB PC</t>
  </si>
  <si>
    <t>902G4AV</t>
  </si>
  <si>
    <t>HP IDS DSC RTX 2050 4GB U7-165H RT USBC 660 G11 Base NB PC</t>
  </si>
  <si>
    <t>902G5AV</t>
  </si>
  <si>
    <t>8Z3M7AV</t>
  </si>
  <si>
    <t>8Z3N0AV</t>
  </si>
  <si>
    <t>8Z3M9AV</t>
  </si>
  <si>
    <t>8Z713AV</t>
  </si>
  <si>
    <t xml:space="preserve">8Z716AV </t>
  </si>
  <si>
    <t>8Z715AV</t>
  </si>
  <si>
    <t>8Z3N2AV</t>
  </si>
  <si>
    <t>8Z3N3AV</t>
  </si>
  <si>
    <t>8Z717AV</t>
  </si>
  <si>
    <t>8Z718AV</t>
  </si>
  <si>
    <t>8Z3N1AV</t>
  </si>
  <si>
    <t xml:space="preserve">8Z719AV </t>
  </si>
  <si>
    <t>Mémoires (passages)</t>
  </si>
  <si>
    <t>32GB (2x16GB) DDR5 5600 SODIMM Memory</t>
  </si>
  <si>
    <t>909T8AV</t>
  </si>
  <si>
    <t>90C65AV</t>
  </si>
  <si>
    <t>8Z453AV</t>
  </si>
  <si>
    <t>90G95AV</t>
  </si>
  <si>
    <t>8Z7C9AV</t>
  </si>
  <si>
    <t>64GB (2x32GB) DDR5 5600 SODIMM Memory</t>
  </si>
  <si>
    <t>909U1AV</t>
  </si>
  <si>
    <t>90C68AV</t>
  </si>
  <si>
    <t>8Z456AV</t>
  </si>
  <si>
    <t>90G98AV</t>
  </si>
  <si>
    <t>8Z7D2AV</t>
  </si>
  <si>
    <t>Ecrans 13.3'' (passages)</t>
  </si>
  <si>
    <t>13.3 inch AG WUXGA (1920x1200) LED UWVA 300 for WWAN fFHDC 60Hz bnt LCD Panel</t>
  </si>
  <si>
    <t>909P5AV</t>
  </si>
  <si>
    <t>13.3 inch AG WUXGA (1920x1200) LED UWVA 300 f5MP IR bnt LCD Panel</t>
  </si>
  <si>
    <t>909P0AV</t>
  </si>
  <si>
    <t>13.3 inch AG WUXGA (1920x1200) LED UWVA 300 for WWAN f5MP IR 60Hz bnt LCD Panel</t>
  </si>
  <si>
    <t>909P3AV</t>
  </si>
  <si>
    <t>13.3 inch AG WUXGA (1920x1200) LED UWVA 300 fFHDC 60Hz Touchscreen bnt LCD Panel</t>
  </si>
  <si>
    <t>909P2AV</t>
  </si>
  <si>
    <t>909P4AV</t>
  </si>
  <si>
    <t>13.3 inch AG WUXGA (1920x1200) WLED+LBL UWVA 400 fFHDC 60Hz bnt LCD Panel</t>
  </si>
  <si>
    <t>909P9AV</t>
  </si>
  <si>
    <t>13.3 inch AG WUXGA (1920x1200) WLED+LBL UWVA 400 f5MP IR 60Hz bnt LCD Panel</t>
  </si>
  <si>
    <t>13.3 inch AG WUXGA (1920x1200) WLED+LBL UWVA 400 for WWAN f5MP IR 60Hz bnt LCD Panel</t>
  </si>
  <si>
    <t>909Q0AV</t>
  </si>
  <si>
    <t>13.3 inch AG WUXGA (1920x1200) WLED+LBL UWVA 1000 f5MP IR 60Hz PVG4P bnt LCD Panel</t>
  </si>
  <si>
    <t>909P6AV</t>
  </si>
  <si>
    <t>13.3 inch AG WUXGA (1920x1200) WLED+LBL UWVA 1000 for WWAN f5MP IR 60Hz PVG4P bnt LCD Panel</t>
  </si>
  <si>
    <t>909P7AV</t>
  </si>
  <si>
    <t>90C19AV</t>
  </si>
  <si>
    <t>8Z3R9AV</t>
  </si>
  <si>
    <t>14.0 inch AG WUXGA (1920x1200) LED UWVA 300 f5MP IR 60Hz bnt LCD Panel</t>
  </si>
  <si>
    <t>90C16AV</t>
  </si>
  <si>
    <t>8Z3R6AV</t>
  </si>
  <si>
    <t>90C17AV</t>
  </si>
  <si>
    <t>8Z3R7AV</t>
  </si>
  <si>
    <t>90C13AV</t>
  </si>
  <si>
    <t>8Z3R3AV</t>
  </si>
  <si>
    <t>90C18AV</t>
  </si>
  <si>
    <t>8Z3R8AV</t>
  </si>
  <si>
    <t>90C25AV</t>
  </si>
  <si>
    <t>8Z3S5AV</t>
  </si>
  <si>
    <t>14.0 inch AG WUXGA (1920x1200) WLED+LBL UWVA 400 f5MP IR 60Hz bnt LCD Panel</t>
  </si>
  <si>
    <t>90C24AV</t>
  </si>
  <si>
    <t>8Z3S4AV</t>
  </si>
  <si>
    <t>90C26AV</t>
  </si>
  <si>
    <t>8Z3S6AV</t>
  </si>
  <si>
    <t>14.0 inch AG WUXGA (1920x1200) WLED+LBL UWVA 1000 f5MP IR 60Hz PVG4P bnt LCD Panel</t>
  </si>
  <si>
    <t>90C22AV</t>
  </si>
  <si>
    <t>8Z3S2AV</t>
  </si>
  <si>
    <t>90C23AV</t>
  </si>
  <si>
    <t>8Z3S3AV</t>
  </si>
  <si>
    <t>Ecrans 16'' (passages)</t>
  </si>
  <si>
    <t>16.0 inch AG WUXGA (1920x1200) LED UWVA 300 for WWAN fFHDC 60Hz bnt LCD Panel</t>
  </si>
  <si>
    <t>90G49AV</t>
  </si>
  <si>
    <t>8Z5P1AV</t>
  </si>
  <si>
    <t>16.0 inch AG WUXGA (1920x1200) LED UWVA 300 f5MP IR bnt LCD Panel</t>
  </si>
  <si>
    <t>90G45AV</t>
  </si>
  <si>
    <t>8Z5N7AV</t>
  </si>
  <si>
    <t>16.0 inch AG WUXGA (1920x1200) LED UWVA 300 for WWAN f5MP IR 60Hz bnt LCD Panel</t>
  </si>
  <si>
    <t>90G47AV</t>
  </si>
  <si>
    <t>8Z5N9AV</t>
  </si>
  <si>
    <t>16.0 inch AG WUXGA (1920x1200) LED UWVA 300 f5MP IR Touchscreen bnt LCD Panel</t>
  </si>
  <si>
    <t>90G43AV</t>
  </si>
  <si>
    <t>8Z5N5AV</t>
  </si>
  <si>
    <t>16.0 inch AG WUXGA (1920x1200) LED UWVA 300 for WWAN f5MP IR 60Hz Touchscreen bnt LCD Panel</t>
  </si>
  <si>
    <t>90G48AV</t>
  </si>
  <si>
    <t>8Z5P0AV</t>
  </si>
  <si>
    <t>16.0 inch AG WUXGA (1920x1200) WLED+LBL UWVA 400 f5MP IR 60Hz bnt LCD Panel</t>
  </si>
  <si>
    <t>90G53AV</t>
  </si>
  <si>
    <t>8Z5P4AV</t>
  </si>
  <si>
    <t>6.0 inch AG WUXGA (1920x1200) WLED+LBL UWVA 400 for WWAN f5MP IR 60Hz bnt LCD Panel</t>
  </si>
  <si>
    <t>90G54AV</t>
  </si>
  <si>
    <t>8Z5P5AV</t>
  </si>
  <si>
    <t>16.0 inch AG WUXGA (1920x1200) WLED+LBL UWVA 1000 f5MP IR 60Hz PVG4P bnt LCD Panel</t>
  </si>
  <si>
    <t>90G51AV</t>
  </si>
  <si>
    <t>8Z5P2AV</t>
  </si>
  <si>
    <t>16.0 inch AG WUXGA (1920x1200) WLED+LBL UWVA 1000 for WWAN f5MP IR 60Hz PVG4P bnt LCD Panel</t>
  </si>
  <si>
    <t>90G52AV</t>
  </si>
  <si>
    <t>8Z5P3AV</t>
  </si>
  <si>
    <t>512GB PCIe NVMe Value Solid State Drive</t>
  </si>
  <si>
    <t>909V9AV</t>
  </si>
  <si>
    <t>90C86AV</t>
  </si>
  <si>
    <t>8Z408AV</t>
  </si>
  <si>
    <t>90H16AV</t>
  </si>
  <si>
    <t>8Z782AV</t>
  </si>
  <si>
    <t>1TB PCIe-4x4 2280 NVMe TLC Solid State Drive</t>
  </si>
  <si>
    <t>909U8AV</t>
  </si>
  <si>
    <t>90C75AV</t>
  </si>
  <si>
    <t>8Z3Z6AV</t>
  </si>
  <si>
    <t>90H05AV</t>
  </si>
  <si>
    <t>8Z770AV</t>
  </si>
  <si>
    <t xml:space="preserve"> Webcam Infrarouge 5MP</t>
  </si>
  <si>
    <t>Dual AryMic 5MP USB2 IR WFOV Integrated Camera</t>
  </si>
  <si>
    <t>909N0AV</t>
  </si>
  <si>
    <t>90C03AV</t>
  </si>
  <si>
    <t>8Z4W2AV</t>
  </si>
  <si>
    <t>90G35AV</t>
  </si>
  <si>
    <t>903M5AV</t>
  </si>
  <si>
    <t>for TBT Clickpad for NFC Backlit spill-resistant KBD</t>
  </si>
  <si>
    <t>910Y3AV</t>
  </si>
  <si>
    <t>911J2AV</t>
  </si>
  <si>
    <t>8Z4K8AV</t>
  </si>
  <si>
    <t>for TBT Clickpad Backlit spill-resistant Privacy KBD</t>
  </si>
  <si>
    <t>911A8AV</t>
  </si>
  <si>
    <t>911J3AV</t>
  </si>
  <si>
    <t>8Z4K3AV</t>
  </si>
  <si>
    <t>for TBT Clickpad for NFC Backlit spill-resistant Privacy KBD</t>
  </si>
  <si>
    <t>910Y7AV</t>
  </si>
  <si>
    <t>911J1AV</t>
  </si>
  <si>
    <t>8Z4K9AV</t>
  </si>
  <si>
    <t>for TBT Clickpad for NFC Backlit num kypd spill-resistant KBD</t>
  </si>
  <si>
    <t>914P3AV</t>
  </si>
  <si>
    <t>901C0AV</t>
  </si>
  <si>
    <t>for TBT Clickpad Backlit num kypd spill-resistant Privacy KBD</t>
  </si>
  <si>
    <t>953N2AV</t>
  </si>
  <si>
    <t>9Q7H9AV</t>
  </si>
  <si>
    <t>for TBT Clickpad for NFC Backlit num kypd spill-resistant Privacy KBD</t>
  </si>
  <si>
    <t>953N1AV</t>
  </si>
  <si>
    <t>9Q7J0AV</t>
  </si>
  <si>
    <t>Lecteur de carte à puce</t>
  </si>
  <si>
    <t>Active SmartCard</t>
  </si>
  <si>
    <t>909U5AV</t>
  </si>
  <si>
    <t>90C72AV</t>
  </si>
  <si>
    <t>8Z5D4AV</t>
  </si>
  <si>
    <t>90H02AV</t>
  </si>
  <si>
    <t>903N4AV</t>
  </si>
  <si>
    <t>909U6AV</t>
  </si>
  <si>
    <t>90C73AV</t>
  </si>
  <si>
    <t>8Z5C0AV</t>
  </si>
  <si>
    <t>90H03AV</t>
  </si>
  <si>
    <t>903Q7AV</t>
  </si>
  <si>
    <t>Communication (wifi, 4G ...)</t>
  </si>
  <si>
    <t>Lecteur NFC</t>
  </si>
  <si>
    <t>WNC XRAV-1 NFC</t>
  </si>
  <si>
    <t>909R0AV</t>
  </si>
  <si>
    <t>90C36AV</t>
  </si>
  <si>
    <t>8Z5K5AV</t>
  </si>
  <si>
    <t>90G64AV</t>
  </si>
  <si>
    <t>903N3AV</t>
  </si>
  <si>
    <t>Intel AX211 Wi-Fi 6E vPro 160 MHz +Bluetooth 5.3 WW WLAN</t>
  </si>
  <si>
    <t>909X4AV</t>
  </si>
  <si>
    <t>90D01AV</t>
  </si>
  <si>
    <t>90H31AV</t>
  </si>
  <si>
    <t>HP 4000 4G LTE-Advanced Pro WWAN</t>
  </si>
  <si>
    <t>90D03AV</t>
  </si>
  <si>
    <t>90H33AV</t>
  </si>
  <si>
    <t>8Z5F9AV</t>
  </si>
  <si>
    <t>903N7AV</t>
  </si>
  <si>
    <t>909X6AV</t>
  </si>
  <si>
    <t>Alimentations (passages)</t>
  </si>
  <si>
    <t>Alimentation 100 Watt connecteur USB-C</t>
  </si>
  <si>
    <t>HP 100W Slim USB-C AC Adapter</t>
  </si>
  <si>
    <t>90G27AV</t>
  </si>
  <si>
    <t>HP 5y Premium Onsite w/TRV Notebook</t>
  </si>
  <si>
    <t>U85H0E</t>
  </si>
  <si>
    <t>HP 5y Premium Onsite w/DMR Notebook</t>
  </si>
  <si>
    <t>U85GTE</t>
  </si>
  <si>
    <t>HP 5y Premium+ Onsite w/Telemetry/DMR/TRV Notebook</t>
  </si>
  <si>
    <t>U85YLE</t>
  </si>
  <si>
    <t xml:space="preserve">Passage en garantie 5 ans sur site J+1 Active Care et Protect and Trace </t>
  </si>
  <si>
    <t xml:space="preserve">HP 5y Active Care/Wolf Protect and Trace Next Bus Day Response Onsite </t>
  </si>
  <si>
    <t>U05GFE</t>
  </si>
  <si>
    <t>U73VRB</t>
  </si>
  <si>
    <t>CATEGORIE 3 : Mobilité et performance</t>
  </si>
  <si>
    <t>HP EliteBook 830 G11</t>
  </si>
  <si>
    <t>HP EliteBook 835 G11</t>
  </si>
  <si>
    <t>HP EliteBook 840 G11</t>
  </si>
  <si>
    <t>HP EliteBook 845 G11</t>
  </si>
  <si>
    <t>HP EliteBook 860 G11</t>
  </si>
  <si>
    <t>HP EliteBook 865 G11</t>
  </si>
  <si>
    <t>Extensions catégorie 3</t>
  </si>
  <si>
    <t>830 G11</t>
  </si>
  <si>
    <t>835 G11</t>
  </si>
  <si>
    <t>840 G11</t>
  </si>
  <si>
    <t>845 G11</t>
  </si>
  <si>
    <t>860 G11</t>
  </si>
  <si>
    <t>865 G11</t>
  </si>
  <si>
    <t>Processeurs Intel (passages)</t>
  </si>
  <si>
    <t>Intel Core U5-125U compatible 4G</t>
  </si>
  <si>
    <t>91F09AV</t>
  </si>
  <si>
    <t>91D90AV</t>
  </si>
  <si>
    <t>91F23AV</t>
  </si>
  <si>
    <t>8M2W7AV</t>
  </si>
  <si>
    <t>8M4W7AV</t>
  </si>
  <si>
    <t>8N361AV</t>
  </si>
  <si>
    <t>91F10AV</t>
  </si>
  <si>
    <t>91D91AV</t>
  </si>
  <si>
    <t>91F24AV</t>
  </si>
  <si>
    <t xml:space="preserve"> Intel Core U7-165U compatible vPro </t>
  </si>
  <si>
    <t>8M2Y4AV</t>
  </si>
  <si>
    <t>8M4Y0AV</t>
  </si>
  <si>
    <t>8N374AV</t>
  </si>
  <si>
    <t xml:space="preserve"> Intel Core U7-165U compatible 4G et compatible vPro </t>
  </si>
  <si>
    <t>91D92AV</t>
  </si>
  <si>
    <t>91F25AV</t>
  </si>
  <si>
    <t xml:space="preserve"> Intel Core U7-165H compatible vPro </t>
  </si>
  <si>
    <t>8M4Y4AV</t>
  </si>
  <si>
    <t>8N377AV</t>
  </si>
  <si>
    <t>HP EliteBook 830 13 inch G11 (U5-125U  UMA  TI PD IC  32GB) IDS  Base NB PC</t>
  </si>
  <si>
    <t>8M2W1AV</t>
  </si>
  <si>
    <t>HP EliteBook 830 13 inch G11 (U5-135U, UMA, TI PD IC, 32GB) IDS, Base NB PC</t>
  </si>
  <si>
    <t>8M2X0AV</t>
  </si>
  <si>
    <t>HP EliteBook 830 13 inch G11 (U7-165U, UMA, TI PD IC, 32GB) IDS, Base NB PC</t>
  </si>
  <si>
    <t>8M2Y6AV</t>
  </si>
  <si>
    <t>Processeurs AMD (passages)</t>
  </si>
  <si>
    <t>8Q5V9AV</t>
  </si>
  <si>
    <t>8R636AV</t>
  </si>
  <si>
    <t>8T647AV</t>
  </si>
  <si>
    <t>HP EliteBook 835 13 inch G11 (Ryzen 7 PRO 8840U, UMA, TI PD IC, 32GB) IDS, Base NB PC</t>
  </si>
  <si>
    <t>8Q5W0AV</t>
  </si>
  <si>
    <t>HP EliteBook 835 13 inch G11 (Ryzen 5 PRO 8540U  UMA  TI PD IC  32GB) IDS  Base NB PC</t>
  </si>
  <si>
    <t>8Q5V4AV</t>
  </si>
  <si>
    <t>16GB (2x8GB) DDR5 5600</t>
  </si>
  <si>
    <t>16GB (2x8GB) DDR5 5600 SODIMM Memory</t>
  </si>
  <si>
    <t>8M545AV</t>
  </si>
  <si>
    <t>8R6A4AV</t>
  </si>
  <si>
    <t>8N3D4AV</t>
  </si>
  <si>
    <t>8T6A8AV</t>
  </si>
  <si>
    <t xml:space="preserve">32GB (2x16GB) DDR5 5600 </t>
  </si>
  <si>
    <t>8M547AV</t>
  </si>
  <si>
    <t>8R6A6AV</t>
  </si>
  <si>
    <t>8N3D6AV</t>
  </si>
  <si>
    <t>8T6B0AV</t>
  </si>
  <si>
    <t>64GB (2x32GB) DDR5 5600</t>
  </si>
  <si>
    <t>8M548AV</t>
  </si>
  <si>
    <t>8R6A7AV</t>
  </si>
  <si>
    <t>8N3D7AV</t>
  </si>
  <si>
    <t>8T6B1AV</t>
  </si>
  <si>
    <t>9P8B1AV</t>
  </si>
  <si>
    <t>9P127AV</t>
  </si>
  <si>
    <t>13.3 inch AG WUXGA (1920x1200) WLED+LBL UWVA 1000 for WWAN f5MP IR Sure View Reflect bnt LCD Panel</t>
  </si>
  <si>
    <t>8M307AV</t>
  </si>
  <si>
    <t>13.3 inch AG WUXGA (1920x1200) LED UWVA 300 for WWAN f5MP bnt LCD Panel</t>
  </si>
  <si>
    <t>9P8B3AV</t>
  </si>
  <si>
    <t>9P129AV</t>
  </si>
  <si>
    <t>9P8B4AV</t>
  </si>
  <si>
    <t>9P130AV</t>
  </si>
  <si>
    <t>9P8B2AV</t>
  </si>
  <si>
    <t>8M308AV</t>
  </si>
  <si>
    <t>8Q5Y5AV</t>
  </si>
  <si>
    <t>13.3 inch AG WUXGA (1920x1200) LED UWVA 300 f5MP IR Touchscreen bnt LCD Panel</t>
  </si>
  <si>
    <t>9P128AV</t>
  </si>
  <si>
    <t>9P8B5AV</t>
  </si>
  <si>
    <t>9P131AV</t>
  </si>
  <si>
    <t>8M310AV</t>
  </si>
  <si>
    <t>8Q5Y7AV</t>
  </si>
  <si>
    <t>8M305AV</t>
  </si>
  <si>
    <t>8Q5Y2AV</t>
  </si>
  <si>
    <t>13.3 inch AG WUXGA (1920x1200) WLED+LBL UWVA 1000 f5MP Sure View Reflect bnt LCD Panel</t>
  </si>
  <si>
    <t>8M306AV</t>
  </si>
  <si>
    <t>8Q5Y3AV</t>
  </si>
  <si>
    <t>8Q5Y4AV</t>
  </si>
  <si>
    <t>9Q7C1AV</t>
  </si>
  <si>
    <t>9P147AV</t>
  </si>
  <si>
    <t>9Q7C3AV</t>
  </si>
  <si>
    <t>9P149AV</t>
  </si>
  <si>
    <t>9Q7C4AV</t>
  </si>
  <si>
    <t>9P150AV</t>
  </si>
  <si>
    <t>9Q7C2AV</t>
  </si>
  <si>
    <t>9P148AV</t>
  </si>
  <si>
    <t>9Q7C5AV</t>
  </si>
  <si>
    <t>9P151AV</t>
  </si>
  <si>
    <t>8M506AV</t>
  </si>
  <si>
    <t>8R665AV</t>
  </si>
  <si>
    <t>8M508AV</t>
  </si>
  <si>
    <t>8R667AV</t>
  </si>
  <si>
    <t>14.0 inch AG WUXGA (1920x1200) WLED+LBL UWVA 800 f5MP Sure View 5 bnt LCD Panel</t>
  </si>
  <si>
    <t>9Z758AV</t>
  </si>
  <si>
    <t>9Z756AV</t>
  </si>
  <si>
    <t>9W7P7AV</t>
  </si>
  <si>
    <t>9Z760AV</t>
  </si>
  <si>
    <t>9W7P8AV</t>
  </si>
  <si>
    <t>14.0 inch AG WUXGA (1920x1200) WLED+LBL UWVA 800 for WWAN f5MP IR Sure View 5 TouchscreenbntLCDPanel</t>
  </si>
  <si>
    <t>9Z1Q4AV</t>
  </si>
  <si>
    <t>Ecrans 16.0'' (passages)</t>
  </si>
  <si>
    <t>9P893AV</t>
  </si>
  <si>
    <t>9R0F6AV</t>
  </si>
  <si>
    <t>16.0 inch AG WUXGA (1920x1200) LED UWVA 300 for WWAN f5MP IR bnt LCD Panel</t>
  </si>
  <si>
    <t>9P896AV</t>
  </si>
  <si>
    <t>16.0 inch AG WUXGA (1920x1200) LED UWVA 300 for WWAN f5MP bnt LCD Panel</t>
  </si>
  <si>
    <t>9P895AV</t>
  </si>
  <si>
    <t>9R0F8AV</t>
  </si>
  <si>
    <t>9R0F9AV</t>
  </si>
  <si>
    <t>9P894AV</t>
  </si>
  <si>
    <t>16.0 inch AG WUXGA (1920x1200) LED UWVA 300 for WWAN f5MP IR Touchscreen bnt LCD Panel</t>
  </si>
  <si>
    <t>9P897AV</t>
  </si>
  <si>
    <t>9R0F7AV</t>
  </si>
  <si>
    <t>9R0G0AV</t>
  </si>
  <si>
    <t>16.0 inch AG WUXGA (1920x1200) WLED+LBL UWVA 400 f5MP IR bnt LCD Panel</t>
  </si>
  <si>
    <t>8N398AV</t>
  </si>
  <si>
    <t>8N399AV</t>
  </si>
  <si>
    <t>8T672AV</t>
  </si>
  <si>
    <t>16.0 inch AG WUXGA (1920x1200) WLED+LBL UWVA 400 for WWAN f5MP IR bnt LCD Panel</t>
  </si>
  <si>
    <t>8T673AV</t>
  </si>
  <si>
    <t>16.0 inch AG WUXGA (1920x1200) WLED+LBL UWVA 1000 f5MP IR Sure View Reflect bnt LCD Panel</t>
  </si>
  <si>
    <t>8N395AV</t>
  </si>
  <si>
    <t>16.0 inch AG WUXGA (1920x1200) WLED+LBL UWVA 1000 f5MP Sure View Reflect bnt LCD Panel</t>
  </si>
  <si>
    <t>8N396AV</t>
  </si>
  <si>
    <t>8N397AV</t>
  </si>
  <si>
    <t>8T670AV</t>
  </si>
  <si>
    <t>16.0 inch AG WUXGA (1920x1200) WLED+LBL UWVA 1000 for WWAN f5MP IR Sure View Reflect bnt LCD Panel</t>
  </si>
  <si>
    <t>8T671AV</t>
  </si>
  <si>
    <t>1TB PCIe NVMe Value Solid State Drive</t>
  </si>
  <si>
    <t>8M346AV</t>
  </si>
  <si>
    <t>8Q621AV</t>
  </si>
  <si>
    <t>8M552AV</t>
  </si>
  <si>
    <t>8R6B1AV</t>
  </si>
  <si>
    <t>8N3E1AV</t>
  </si>
  <si>
    <t>8T6B5AV</t>
  </si>
  <si>
    <t>Batteries (passages)</t>
  </si>
  <si>
    <t>Batterie Long Life 76Whr Fast Charge 6 cell</t>
  </si>
  <si>
    <t>Long Life 76Whr Fast Charge 6 cell Battery</t>
  </si>
  <si>
    <t>8N401AV</t>
  </si>
  <si>
    <t>92U22AV</t>
  </si>
  <si>
    <t xml:space="preserve">Webcam (passages) </t>
  </si>
  <si>
    <t>8M2Z2AV</t>
  </si>
  <si>
    <t>8Q5W9AV</t>
  </si>
  <si>
    <t>8M4Y9AV</t>
  </si>
  <si>
    <t>8R647AV</t>
  </si>
  <si>
    <t>8N382AV</t>
  </si>
  <si>
    <t>8T656AV</t>
  </si>
  <si>
    <t>Clickpad Backlit spill-resistant Premium Keyboard Privacy</t>
  </si>
  <si>
    <t>8M367AV</t>
  </si>
  <si>
    <t>8Q647AV</t>
  </si>
  <si>
    <t>8M579AV</t>
  </si>
  <si>
    <t>8R6D7AV</t>
  </si>
  <si>
    <t>8N3G5AV</t>
  </si>
  <si>
    <t>8T6E1AV</t>
  </si>
  <si>
    <t>8M343AV</t>
  </si>
  <si>
    <t>8Q618AV</t>
  </si>
  <si>
    <t>8M550AV</t>
  </si>
  <si>
    <t>8R6A9AV</t>
  </si>
  <si>
    <t>8N3D9AV</t>
  </si>
  <si>
    <t>8T6B3AV</t>
  </si>
  <si>
    <t>8M344AV</t>
  </si>
  <si>
    <t>8Q619AV</t>
  </si>
  <si>
    <t>8M551AV</t>
  </si>
  <si>
    <t>8R6B0AV</t>
  </si>
  <si>
    <t>8N3E0AV</t>
  </si>
  <si>
    <t>8T6B4AV</t>
  </si>
  <si>
    <t>8M320AV</t>
  </si>
  <si>
    <t>8Q5Z6AV</t>
  </si>
  <si>
    <t>8M521AV</t>
  </si>
  <si>
    <t>8R679AV</t>
  </si>
  <si>
    <t>8N3A9AV</t>
  </si>
  <si>
    <t>8T682AV</t>
  </si>
  <si>
    <t>Mediatek RZ616 Wi-Fi 6E AIM-T 160 MHz +Bluetooth 5.3 WW WLAN</t>
  </si>
  <si>
    <t>8Q639AV</t>
  </si>
  <si>
    <t>8R6D1AV</t>
  </si>
  <si>
    <t>8T6D4AV</t>
  </si>
  <si>
    <t>8M365AV</t>
  </si>
  <si>
    <t>8M572AV</t>
  </si>
  <si>
    <t>8N3G1AV</t>
  </si>
  <si>
    <t>Module Données Mobiles  4G</t>
  </si>
  <si>
    <t>8V8E1AV</t>
  </si>
  <si>
    <t>8T5D0AV</t>
  </si>
  <si>
    <t>8V868AV</t>
  </si>
  <si>
    <t>8R6D3AV</t>
  </si>
  <si>
    <t>8V875AV</t>
  </si>
  <si>
    <t>8T6D6AV</t>
  </si>
  <si>
    <t>Module Données Mobiles 5G</t>
  </si>
  <si>
    <t>HP 5000 5G Solution WWAN</t>
  </si>
  <si>
    <t>8V8E2AV</t>
  </si>
  <si>
    <t>8Y2M9AV</t>
  </si>
  <si>
    <t>8V869AV</t>
  </si>
  <si>
    <t>8Y2N5AV</t>
  </si>
  <si>
    <t>8V876AV</t>
  </si>
  <si>
    <t>8Y2P1AV</t>
  </si>
  <si>
    <t>Cordon d'alimentation 1 mètre Premium</t>
  </si>
  <si>
    <t>C5 1.0m Sticker Premium Power Cord</t>
  </si>
  <si>
    <t>6B664AV</t>
  </si>
  <si>
    <t>Alimentation 65 Watt Connecteur USB-C Slim</t>
  </si>
  <si>
    <t>HP 65W Slim USB-C AC Adapter</t>
  </si>
  <si>
    <t>8M2V2AV</t>
  </si>
  <si>
    <t>8Q5U2AV</t>
  </si>
  <si>
    <t>8M4V5AV</t>
  </si>
  <si>
    <t>8R624AV</t>
  </si>
  <si>
    <t>8N347AV</t>
  </si>
  <si>
    <t>8T634AV</t>
  </si>
  <si>
    <t>Alimentation 110 Watt Connecteur USB-C Slim</t>
  </si>
  <si>
    <t>8N350AV</t>
  </si>
  <si>
    <t>8T637AV</t>
  </si>
  <si>
    <t>Extensions de garantie acquises lors de l'achat initial pour série 800</t>
  </si>
  <si>
    <t>U85C5E</t>
  </si>
  <si>
    <t>U85BZE</t>
  </si>
  <si>
    <t>U85X6E</t>
  </si>
  <si>
    <t>U05G7E</t>
  </si>
  <si>
    <t>U73VNB</t>
  </si>
  <si>
    <t>CATEGORIE 4 : Usager VIP</t>
  </si>
  <si>
    <t>Dragonfly G4</t>
  </si>
  <si>
    <t xml:space="preserve">Extensions Catégorie 4 </t>
  </si>
  <si>
    <t>X360 1040 G11</t>
  </si>
  <si>
    <t>6Q258AV</t>
  </si>
  <si>
    <t>HP Elite x360 1040 14 inch G11 (U7-165H, UMA, TI PD IC, 16GB) IDS, Base NB PC</t>
  </si>
  <si>
    <t>8Y1Q1AV</t>
  </si>
  <si>
    <t>HP Elite x360 1040 14 inch G11 (U7-165H, UMA, TI PD IC, 32GB) IDS, Base NB PC</t>
  </si>
  <si>
    <t>8Y1Q2AV</t>
  </si>
  <si>
    <t>HP IDS UMA i7-1365U 32GB Dfly G4 BNBPC</t>
  </si>
  <si>
    <t>6Q261AV</t>
  </si>
  <si>
    <t>14.0 inch BV WUXGA (1920x1200) LED UWVA 1000forWWANf5MPIRTimeofFlight60HzPVG4PTouchscreenbntLCDPanel</t>
  </si>
  <si>
    <t>8Y281AV</t>
  </si>
  <si>
    <t>14.0 inch AG WUXGA (1920x1200) LED UWVA 1000 for WWAN f5MP IRTimeofFlightPVG4PTouchscreenbntLCDPanel</t>
  </si>
  <si>
    <t>8Y277AV</t>
  </si>
  <si>
    <t>14.0 inch BV WUXGA (1920x1200) WLED+LBL UWVA 400 for WWAN f5MP IR TimeofFlightTouchscreenbntLCDPanel</t>
  </si>
  <si>
    <t>8Y283AV</t>
  </si>
  <si>
    <t>Ecrans 13.5'' (passages) - Dragonfly G4</t>
  </si>
  <si>
    <t>13.5 BV WUXGA + UWVA WLED + LBL 1000 Touch SVR bntL</t>
  </si>
  <si>
    <t>6Q280AV</t>
  </si>
  <si>
    <t>Wacom AES 2.0 Pen with App Launch Button G3</t>
  </si>
  <si>
    <t>8Y292AV</t>
  </si>
  <si>
    <t>Passage au clavier Rétro-éclairé Anti-éclaboussures Premium HP SureView (AZERTY &amp; QWERTY)</t>
  </si>
  <si>
    <t>6Y8D7AV</t>
  </si>
  <si>
    <t>Passage au clavier gris Rétro-éclairé Anti-éclaboussures Premium HP SureView (AZERTY &amp; QWERTY)</t>
  </si>
  <si>
    <t>Soft Grey Clickpad Backlit spill-resistant Privacy Premium Keyboard</t>
  </si>
  <si>
    <t>8Y2G0AV</t>
  </si>
  <si>
    <t>6Q2B5AV</t>
  </si>
  <si>
    <t>512GB PCIe-4x4 2280 NVME SED OPAL2 TLC SSD</t>
  </si>
  <si>
    <t>8Y2C2AV</t>
  </si>
  <si>
    <t>6Q2B7AV</t>
  </si>
  <si>
    <t>512GB PCIe-4x4 NVMe TLC Solid State Drive</t>
  </si>
  <si>
    <t>8Y2C4AV</t>
  </si>
  <si>
    <t>6Q2B2AV</t>
  </si>
  <si>
    <t>8Y2B8AV</t>
  </si>
  <si>
    <t>Batterie Longue Durée 6 cellules 68 WHr</t>
  </si>
  <si>
    <t>SS Long Life 68Whr FstCrg 6 cell Batt</t>
  </si>
  <si>
    <t>6V2G8AV</t>
  </si>
  <si>
    <t>6Q291AV</t>
  </si>
  <si>
    <t>8Y293AV</t>
  </si>
  <si>
    <t>Intel AX211 Wi-Fi 6EvPro160MHz+BT5.3WLAN</t>
  </si>
  <si>
    <t>6Q2D0AV</t>
  </si>
  <si>
    <t>8Y2D7AV</t>
  </si>
  <si>
    <t>Module Données Mobiles 4G</t>
  </si>
  <si>
    <t>6Q2D3AV 6Q2D4AV</t>
  </si>
  <si>
    <t>8Y2E1AV</t>
  </si>
  <si>
    <t>Intel 5G Solution WWAN</t>
  </si>
  <si>
    <t>6Q2D1AV 6Q2D2AV</t>
  </si>
  <si>
    <t>8Y2E2AV</t>
  </si>
  <si>
    <t>8Y266AV</t>
  </si>
  <si>
    <t>C5 1.0m stkr PRM Power Cord</t>
  </si>
  <si>
    <t>68V61AV</t>
  </si>
  <si>
    <t>8Y2B6AV</t>
  </si>
  <si>
    <t xml:space="preserve">Extensions de garantie acquises lors de l'achat initial - X360 1040 et Dragonfly </t>
  </si>
  <si>
    <t>UA9Z3E</t>
  </si>
  <si>
    <t>UA7A5E</t>
  </si>
  <si>
    <t>U80MXE</t>
  </si>
  <si>
    <t xml:space="preserve">UA9Z7E </t>
  </si>
  <si>
    <t>U85VTE</t>
  </si>
  <si>
    <t>U04U4E</t>
  </si>
  <si>
    <t>Extensions communes</t>
  </si>
  <si>
    <t>Libellé</t>
  </si>
  <si>
    <t>Description</t>
  </si>
  <si>
    <t xml:space="preserve">Barettes mémoire achetées dans la boîte </t>
  </si>
  <si>
    <t>Barette mémoire 8GB 3200MHz DDR4</t>
  </si>
  <si>
    <t>HP 8GB 3200MHz DDR4 Memory</t>
  </si>
  <si>
    <t>286H8AA</t>
  </si>
  <si>
    <t xml:space="preserve">Barette mémoire 16GB 3200MHz DDR4 </t>
  </si>
  <si>
    <t>HP 16GB 3200MHz DDR4 Memory</t>
  </si>
  <si>
    <t>286J1AA</t>
  </si>
  <si>
    <t>Barette mémoire 16GB 5600MHz DDR5</t>
  </si>
  <si>
    <t>HP 16GB DDR5 (1x16GB) 5600 SODIMM Memory</t>
  </si>
  <si>
    <t>83P91AA</t>
  </si>
  <si>
    <t>Barette mémoire 32GB 5600MHz DDR5</t>
  </si>
  <si>
    <t>HP 32GB DDR5 (1x32GB) 5600 SODIMM Memory</t>
  </si>
  <si>
    <t>83P92AA</t>
  </si>
  <si>
    <t>Stockages internes en remplacement et graveurs externes</t>
  </si>
  <si>
    <t>Disque dur HP 1TB TLC PCIe3x4 NVMe M2 SSD</t>
  </si>
  <si>
    <t>HP 1TB TLC PCIe3x4 NVMe M2 SSD</t>
  </si>
  <si>
    <t>5R8Y0AA</t>
  </si>
  <si>
    <t>HP Lecteur/graveur Externe USB DVDRW</t>
  </si>
  <si>
    <t>F2B56AA</t>
  </si>
  <si>
    <t>Disque dur HP 2TB TLC PCIe3x4 NVMe M2 SSD</t>
  </si>
  <si>
    <t>HP 2TB TLC PCIe3x4 NVMe M2 SSD</t>
  </si>
  <si>
    <t>6D8L6AA</t>
  </si>
  <si>
    <t>Claviers et combos</t>
  </si>
  <si>
    <t>HP 320K Wired KBD</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</si>
  <si>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</si>
  <si>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</si>
  <si>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</si>
  <si>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</si>
  <si>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</si>
  <si>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</si>
  <si>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</si>
  <si>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</si>
  <si>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</si>
  <si>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</si>
  <si>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655 Clavier et souris sans fil </t>
  </si>
  <si>
    <t>HP 655 Wireless Keyboard and Mouse Combo-FR</t>
  </si>
  <si>
    <t>4R009AA</t>
  </si>
  <si>
    <t xml:space="preserve">HP 455 Clavier sans fil </t>
  </si>
  <si>
    <t xml:space="preserve"> HP 455 Programmable Wireless Keyboard-FR</t>
  </si>
  <si>
    <t>4R177AA</t>
  </si>
  <si>
    <t>Clavier HP USB Slim avec lecteur de carte à puce</t>
  </si>
  <si>
    <t>HP USB Bus Slim CCID SmartCard Kyd</t>
  </si>
  <si>
    <t>Z9H48AA</t>
  </si>
  <si>
    <t>HP 435 Pavé numérique programmable Bluetooth sans fil</t>
  </si>
  <si>
    <t>HP 435 Programmable Bluetooth Wireless Keypad</t>
  </si>
  <si>
    <t>7N7C3AA</t>
  </si>
  <si>
    <t>Périphérique de pointage 2D/3D et dispositif complémentaire associés (tapis. repose main. ...)</t>
  </si>
  <si>
    <t>HP 320M Souris</t>
  </si>
  <si>
    <t>HP Wired 320M souris</t>
  </si>
  <si>
    <t>9VA80AA</t>
  </si>
  <si>
    <t xml:space="preserve">HP 435 souris sans fil multi-périphériques </t>
  </si>
  <si>
    <t>HP 435 Multi-Device Wireless Mouse</t>
  </si>
  <si>
    <t>3B4Q5AA</t>
  </si>
  <si>
    <t>HP 425 souris programmable sans fil</t>
  </si>
  <si>
    <t>HP 425 Programmable Wireless</t>
  </si>
  <si>
    <t>7M1D5AA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</si>
  <si>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</si>
  <si>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</si>
  <si>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</si>
  <si>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</si>
  <si>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</si>
  <si>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</si>
  <si>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</si>
  <si>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</si>
  <si>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</si>
  <si>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</si>
  <si>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</si>
  <si>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</si>
  <si>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</si>
  <si>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</si>
  <si>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</si>
  <si>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</si>
  <si>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</si>
  <si>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</si>
  <si>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</si>
  <si>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</si>
  <si>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</si>
  <si>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HP 205 Tapis de souris</t>
  </si>
  <si>
    <t>HP 205 Sanitizable Desk Mat</t>
  </si>
  <si>
    <t>8X597AA</t>
  </si>
  <si>
    <t>Webcams</t>
  </si>
  <si>
    <t>Webcam HP 325</t>
  </si>
  <si>
    <t>HP 325</t>
  </si>
  <si>
    <t>53X27AA</t>
  </si>
  <si>
    <t>Webcam HP 625</t>
  </si>
  <si>
    <t>HP 625</t>
  </si>
  <si>
    <t>6Y7L1AA</t>
  </si>
  <si>
    <t>Hauts-parleurs. Microphones et Casques audio</t>
  </si>
  <si>
    <t>HP S101 barre de son pour EliteDisplay</t>
  </si>
  <si>
    <t>5UU40AA</t>
  </si>
  <si>
    <t>HP S100 barre de son pour Zdisplay</t>
  </si>
  <si>
    <t>32C42AA</t>
  </si>
  <si>
    <t xml:space="preserve">Casque Poly filaire Poly 3220 Stereo USB-C  + USB-C/A Adapter </t>
  </si>
  <si>
    <t xml:space="preserve">Poly filaire Poly 3220 Stereo USB-C  + USB-C/A </t>
  </si>
  <si>
    <t>8X228AA</t>
  </si>
  <si>
    <t xml:space="preserve">Casque Poly Filaire Mono - Blackwire 3310 - USB C/A </t>
  </si>
  <si>
    <t>Poly Blackwire 3310 Monaural USB-C Headset +USB-C/A Adapter</t>
  </si>
  <si>
    <t>8X216AA</t>
  </si>
  <si>
    <t>Casque Poly Filaire Stereo - Blackwire 3320 - USB C/A</t>
  </si>
  <si>
    <t>Poly Blackwire 3320 Stereo USB-C Headset +USB-C/A Adapter</t>
  </si>
  <si>
    <t>8X220AA</t>
  </si>
  <si>
    <t xml:space="preserve">Casque Poly Filaire Mono - Blackwire 3315-M usb A </t>
  </si>
  <si>
    <t>Blackwire 3315-M usb A</t>
  </si>
  <si>
    <t xml:space="preserve">8X218AA </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</si>
  <si>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</si>
  <si>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</si>
  <si>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</si>
  <si>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</si>
  <si>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</si>
  <si>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</si>
  <si>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</si>
  <si>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</si>
  <si>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</si>
  <si>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</si>
  <si>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Voyager 4310 UC M - usb A</t>
  </si>
  <si>
    <t xml:space="preserve"> 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</si>
  <si>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</si>
  <si>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</si>
  <si>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</si>
  <si>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</si>
  <si>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</si>
  <si>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</si>
  <si>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</si>
  <si>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</si>
  <si>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</si>
  <si>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</si>
  <si>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</si>
  <si>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</si>
  <si>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Jabra Evolve 20 MS Stereo - micro-casque Stereo 4999-823-109</t>
  </si>
  <si>
    <t>JABRA EVOLVE 20 MS Stereo - micro-casque Stereo 4999-823-109</t>
  </si>
  <si>
    <t>3VM08AA</t>
  </si>
  <si>
    <t>Jabra Evolve 40 MS - casque audio Stereo</t>
  </si>
  <si>
    <t>3PO-C Jab Evolve40MS Stereo 6399-823-109</t>
  </si>
  <si>
    <t>V9H78AA</t>
  </si>
  <si>
    <t xml:space="preserve">Jabra Evolve 65 MS stereo - micro-casque Duo 6599-823-309 </t>
  </si>
  <si>
    <t>Jabra Evolve 65 MS stereo - micro-casque Duo 6599-823-309</t>
  </si>
  <si>
    <t>V9H80AA</t>
  </si>
  <si>
    <t xml:space="preserve">Jabra Evolve 75 MS Stereo - micro-casque 7599-832-109 </t>
  </si>
  <si>
    <t>Jabra Evolve 75 MS Stereo - micro-casque 7599-832-109</t>
  </si>
  <si>
    <t>3VM09AA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</si>
  <si>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</si>
  <si>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</si>
  <si>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</si>
  <si>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</si>
  <si>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</si>
  <si>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</si>
  <si>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</si>
  <si>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</si>
  <si>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</si>
  <si>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</si>
  <si>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</si>
  <si>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</si>
  <si>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Filtres de confidentialité</t>
  </si>
  <si>
    <t xml:space="preserve">Mobilis HP 16.0 NB Privacy Filter </t>
  </si>
  <si>
    <t>9U401E3</t>
  </si>
  <si>
    <t>HP 15.6 NB Privacy Filter</t>
  </si>
  <si>
    <t>J7H71AA</t>
  </si>
  <si>
    <t>Mobilis HP 14.0 NB Privacy Filter</t>
  </si>
  <si>
    <t>9U403E3</t>
  </si>
  <si>
    <t>HP 14.0 NB Privacy Filter</t>
  </si>
  <si>
    <t>J6E65AA</t>
  </si>
  <si>
    <t xml:space="preserve">Mobilis HP 13.3 NB Privacy Filter </t>
  </si>
  <si>
    <t>9U402E3</t>
  </si>
  <si>
    <t>9U404E3</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</si>
  <si>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</si>
  <si>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</si>
  <si>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</si>
  <si>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</si>
  <si>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</si>
  <si>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</si>
  <si>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</si>
  <si>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</si>
  <si>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</si>
  <si>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</si>
  <si>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</si>
  <si>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</si>
  <si>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</si>
  <si>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</si>
  <si>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738pu incurvé 37,5" WQHD 3840 × 1600 - 1 TB4 + 4 USBC + 1 HDMI + 1 DP + 1 RJ45</t>
  </si>
  <si>
    <t xml:space="preserve">HP 738pu WQHD+ Garantie 5 ans sur site en J+1 </t>
  </si>
  <si>
    <t>HP 732pk 31,5" UHD 4K 3840 x 2160 - 1 TB4 + 1 HDMI + 1 DP in and out</t>
  </si>
  <si>
    <t xml:space="preserve"> 48918/ 8Y2K9AA</t>
  </si>
  <si>
    <t>HP 727pq 27" QHD 2560 x 1440 - 1 HDMI + 1 DP in and out + 1 USBC</t>
  </si>
  <si>
    <t xml:space="preserve">48722/ 8J4D8AA </t>
  </si>
  <si>
    <t>HP E27q G5 27" - QHD 2560 x 1440 -  1 DP + 1 HDMI + 1 VGA + 5 USB</t>
  </si>
  <si>
    <t>MNTR HP E27q G5 QHD Garantie 5 ans sur site en J+1</t>
  </si>
  <si>
    <t>482511 / 6N6F2AA</t>
  </si>
  <si>
    <t>HP 527pq  QHD  2560 x 1440  1 DP + 1 HDMI + 4 USB- A +1 USB-B -Produit disponible a partir de Septembre 2024</t>
  </si>
  <si>
    <t xml:space="preserve">HP 527pq QHD  Garantie 5 ans </t>
  </si>
  <si>
    <t>TBC/9D9S0AA</t>
  </si>
  <si>
    <t>HP E27 G5 27" -  Full HD 1920 x 1080  -  1 DP + 1 HDMI + 1 VGA + 5 USB</t>
  </si>
  <si>
    <t>HP E27 G5 FHD Moniteur Garantie 5 ans sur site en J+1</t>
  </si>
  <si>
    <t>482514 / 6N4E2AA</t>
  </si>
  <si>
    <t>HP E24q G5 24" - QHD  2560 x 1440  -  1 DP + 1 HDMI + 1 VGA + 5 USB</t>
  </si>
  <si>
    <t>MNTR HP E24q G5 QHD Garantie 5 ans sur site en J+1</t>
  </si>
  <si>
    <t>482516 / 6N4F1AA</t>
  </si>
  <si>
    <t>HP E24i G4 24'' - WUXGA 1920 x 1200 - 1 DP + 1 HDMI + 1 VGA + 5 USB</t>
  </si>
  <si>
    <t>HP E24i G4 WUXGA Moniteur Garantie 5 ans sur site en J+1</t>
  </si>
  <si>
    <t>482507 / 9VJ40AA</t>
  </si>
  <si>
    <t>HP 524pn -WUXGA 1920 x 1200 - 1DP + 1 HDMI + 4 USB-A +1 USB-B- Produit disponible à partir de septembre 2024</t>
  </si>
  <si>
    <t>HP 524pn Garantie 5 ans sur site en J+1</t>
  </si>
  <si>
    <t>TBC/9D9A7AA</t>
  </si>
  <si>
    <t>HP E24 G5 23,8" - Full HD 1920 x 1080  -  1 DP + 1 HDMI + 1 VGA + 5 USB</t>
  </si>
  <si>
    <t>HP E24 G5 FHD Moniteur Garantie 5 ans sur site en J+1</t>
  </si>
  <si>
    <t>482517 / 6N6E9AA</t>
  </si>
  <si>
    <t>HP 524pf Full HD 1920 x 1200 - 1 DP + 1 HDMI + 4 USB-A + 1 USB-B Produit disponible a partir de septembre 2024</t>
  </si>
  <si>
    <t>HP 524pf Garantie 5 ans sur site en J+1</t>
  </si>
  <si>
    <t>TBC/9D9L6AA</t>
  </si>
  <si>
    <t>HP E22 G5 21,5'' - Full HD 1920 x 1080  -  1 DP + 1 HDMI + 1 VGA + 1 USB-C + 4 USB-A</t>
  </si>
  <si>
    <t>MNTR HP E22 G5 FHD Garantie 5 ans sur site en J+1</t>
  </si>
  <si>
    <t>484121 / 6N4E8AA</t>
  </si>
  <si>
    <t>Moniteurs avancés (multimédia, station d'accueil ...) Maximum 50 pouces</t>
  </si>
  <si>
    <t xml:space="preserve">HP E45c G5  incurvé 44,5" Dual QHD 5120x1440 - 1xHDMI + 1 DP + 1RJ45 +2 USBC + 4 USB </t>
  </si>
  <si>
    <t>HP E45C G5 + garantie 5 ans sur site J+1</t>
  </si>
  <si>
    <t>TBC/6N4C1AA</t>
  </si>
  <si>
    <t>Ecran Docking HP E27m G4 27" -  QHD 2560 x 1440  -   1 DP + 1 HDMI + 1 RJ45 + 4 USB + 1 USB-C</t>
  </si>
  <si>
    <t>HP Écran E27m G4 Moniteur Garantie 5 ans sur site en J+1</t>
  </si>
  <si>
    <t>482508 / 40Z29AA</t>
  </si>
  <si>
    <t>HP 527pm G5 QHD 2560 x 1440 1 USB-C(DP1.4 Alt mode ,100W PD ) 1 USB-C + 1DP + 4 USB + 1 RJ 45  - Produit disponible à partir de décembre 2024</t>
  </si>
  <si>
    <t>HP 527pm G5 Moniteur Garantie 5ans sur site en J+1</t>
  </si>
  <si>
    <t>9E0Y9AA</t>
  </si>
  <si>
    <t xml:space="preserve">Ecran Multimédia HP Elite E24mv G4 23,8" - Full HD 1920 x 1080  -  1 DP + 1 HDMI + 1 VGA </t>
  </si>
  <si>
    <t>HP Écran Elite E24mv G4 Moniteur Garantie 5 ans sur site en J+1</t>
  </si>
  <si>
    <t xml:space="preserve">482510 / 169L0AA </t>
  </si>
  <si>
    <t xml:space="preserve">Ecran Docking HP  E24m G4 23,8" - Full HD 1920 x 1080  -  1 DP + 1 HDMI + 1 RJ45 + 4 USB + 1 USB-C </t>
  </si>
  <si>
    <t>HP Écran E24m G4 Moniteur Garantie 5 ans sur site en J+1</t>
  </si>
  <si>
    <t>482509 / 40Z32AA</t>
  </si>
  <si>
    <t xml:space="preserve">HP 524pm G5 Moniteur  Garantie 5 ans sur site en J+1 </t>
  </si>
  <si>
    <t>9E0G9AA</t>
  </si>
  <si>
    <t>Ecran tactile HP E24t G5  23,8" - Full HD 1920 x 1080  -  1 DP + 1 HDMI + 1 VGA + 5 USB</t>
  </si>
  <si>
    <t>MNTR HP E24t G5 FHD Touch Garantie 5 ans sur site en J+1</t>
  </si>
  <si>
    <t>482515 / 6N6E6AA</t>
  </si>
  <si>
    <t>Ecran Multimédia HP P27h G5 27" - Full HD 1920 x 1080 - 1 HDMI + 1 VGA + 1 DP</t>
  </si>
  <si>
    <t>HP P27h G5 FHD Moniteur HE Garantie 5 ans sur site en J+1</t>
  </si>
  <si>
    <t>482513 /64W41AA</t>
  </si>
  <si>
    <t>Ecran Multimédia HP P24h G5 23,8" - Full HD 1920 x 1080 - 1 HDMI + 1 VGA + 1 DP</t>
  </si>
  <si>
    <t>HP P24h G5 FHD Moniteur EURO Garantie 5 ans sur site en J+1</t>
  </si>
  <si>
    <t>482512 /64W34AA</t>
  </si>
  <si>
    <t>Ecran Multimédia HP P22h G5 21,5" - Full HD 1920 x 1080 - 1 HDMI + 1 VGA + 1 DP</t>
  </si>
  <si>
    <t>HP P22h G5 FHD Moniteur EURO Garantie 5 ans sur site en J+1</t>
  </si>
  <si>
    <t xml:space="preserve">482505 /64W30AA </t>
  </si>
  <si>
    <t>Supports de fixation, multi-écrans et bras articulés</t>
  </si>
  <si>
    <t>HP B550 Z Display PC Mounting Bracket</t>
  </si>
  <si>
    <t>16U00AA</t>
  </si>
  <si>
    <t>HP B560 E Display PC Mounting Bracket</t>
  </si>
  <si>
    <t>763U8AA</t>
  </si>
  <si>
    <t>HP B200 E Display PC Mounting Bracket</t>
  </si>
  <si>
    <t>762T5AA</t>
  </si>
  <si>
    <t>HP B300 PC Mounting Bracket</t>
  </si>
  <si>
    <t>2DW53AA</t>
    <phoneticPr fontId="0" type="noConversion"/>
  </si>
  <si>
    <t>HP B500/600 PC Mounting Bracket</t>
  </si>
  <si>
    <t>529H3AA</t>
  </si>
  <si>
    <t>Bras pour écran HP simple</t>
  </si>
  <si>
    <t>HP Single Monitor Arm</t>
  </si>
  <si>
    <t>762U0AA</t>
  </si>
  <si>
    <t>Support de montage pour ordinateurs HP B250 - écrans P</t>
  </si>
  <si>
    <t>HP B250 PC Mounting Bracket</t>
  </si>
  <si>
    <t>8RA46AA</t>
  </si>
  <si>
    <t xml:space="preserve">Station d'accueil </t>
  </si>
  <si>
    <t>Station d'accueil HP Thunderbolt 120 W G4</t>
  </si>
  <si>
    <t>HP Thunderbolt Dock 120W G4</t>
  </si>
  <si>
    <t>4J0A2AA / 482533</t>
  </si>
  <si>
    <t>Station d'accueil HP USB-C Dock G5</t>
  </si>
  <si>
    <t xml:space="preserve">HP USB-C Dock G5 EURO </t>
  </si>
  <si>
    <t>5TW10AA / 482532</t>
  </si>
  <si>
    <t>Station d'accueil universelle HP USB-C/A G2</t>
  </si>
  <si>
    <t xml:space="preserve">HP USB-C/A Universal Dock G2 </t>
  </si>
  <si>
    <t>5TW13AA / 482535</t>
  </si>
  <si>
    <t>Station d'accueil mini USB-C</t>
  </si>
  <si>
    <t>HP Universal USB-C Multiport Hub</t>
  </si>
  <si>
    <t>50H55AA / 320659</t>
  </si>
  <si>
    <t>Adaptateurs et câbles vidéo</t>
  </si>
  <si>
    <t>HP USB-C to VGA Adapter</t>
  </si>
  <si>
    <t>N9K76AA</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</si>
  <si>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</si>
  <si>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</si>
  <si>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</si>
  <si>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</si>
  <si>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</si>
  <si>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</si>
  <si>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</si>
  <si>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</si>
  <si>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</si>
  <si>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</si>
  <si>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</si>
  <si>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</si>
  <si>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</si>
  <si>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</si>
  <si>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HP USB-C to DisplayPort Adapter</t>
  </si>
  <si>
    <t>N9K78AA</t>
  </si>
  <si>
    <t>Hub HP USB-C to USB-A</t>
  </si>
  <si>
    <t>HP USB-C to USB-A Hub</t>
  </si>
  <si>
    <t>Z6A00AA</t>
  </si>
  <si>
    <t>Station d'accueil HP USB-C Travel Hub G3</t>
  </si>
  <si>
    <t>HP USB-C Travel Hub G3</t>
  </si>
  <si>
    <t>86S97AA</t>
  </si>
  <si>
    <t>Adaptateur HP HDMI to VGA</t>
  </si>
  <si>
    <t>HP HDMI to VGA Adapter</t>
  </si>
  <si>
    <t xml:space="preserve">H4F02AA </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</si>
  <si>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</si>
  <si>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</si>
  <si>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</si>
  <si>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</si>
  <si>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</si>
  <si>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</si>
  <si>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</si>
  <si>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</si>
  <si>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</si>
  <si>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</si>
  <si>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</si>
  <si>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</si>
  <si>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Câble Display Port Mâle vers Display Port Mâle - 2 mètres</t>
  </si>
  <si>
    <t>HP DisplayPort Cable Kit</t>
  </si>
  <si>
    <t>VN567AA</t>
  </si>
  <si>
    <t>Câble HDMI Mâle vers HDMI Mâle - 1,8 mètre</t>
  </si>
  <si>
    <t>HP HDMI Standard Cable Kit</t>
  </si>
  <si>
    <t>T6F94AA</t>
  </si>
  <si>
    <t>Adaptateurs et câbles réseau</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</si>
  <si>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</si>
  <si>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</si>
  <si>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</si>
  <si>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</si>
  <si>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</si>
  <si>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</si>
  <si>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</si>
  <si>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</si>
  <si>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</si>
  <si>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</si>
  <si>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</si>
  <si>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t>
  </si>
  <si>
    <t>Adaptateur secteur intelligent 65 Watt</t>
  </si>
  <si>
    <t xml:space="preserve">HP 65W Smart AC Adapter </t>
  </si>
  <si>
    <t>H6Y89AA</t>
  </si>
  <si>
    <t>Adaptateur voyage  USB-C 65 Watt</t>
  </si>
  <si>
    <t xml:space="preserve">HP 65W USB-C Slim Power Adapter </t>
  </si>
  <si>
    <t>600Q8AA</t>
  </si>
  <si>
    <t>Adaptateur secteur USB-C - 65 Watt</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</si>
  <si>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</si>
  <si>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</si>
  <si>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</si>
  <si>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</si>
  <si>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</si>
  <si>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</si>
  <si>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</si>
  <si>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</si>
  <si>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</si>
  <si>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</si>
  <si>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</si>
  <si>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</si>
  <si>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</si>
  <si>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</si>
  <si>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</si>
  <si>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</si>
  <si>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</si>
  <si>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</si>
  <si>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</si>
  <si>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</si>
  <si>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</si>
  <si>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</si>
  <si>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</si>
  <si>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</si>
  <si>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</si>
  <si>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</si>
  <si>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</si>
  <si>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</si>
  <si>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</si>
  <si>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</si>
  <si>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</si>
  <si>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</si>
  <si>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</si>
  <si>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</si>
  <si>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</si>
  <si>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</si>
  <si>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</si>
  <si>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</si>
  <si>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</si>
  <si>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</si>
  <si>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</si>
  <si>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</si>
  <si>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</si>
  <si>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</si>
  <si>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</si>
  <si>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</si>
  <si>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</si>
  <si>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</si>
  <si>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</si>
  <si>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</si>
  <si>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</si>
  <si>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</si>
  <si>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</si>
  <si>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</si>
  <si>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</si>
  <si>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</si>
  <si>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</si>
  <si>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</si>
  <si>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</si>
  <si>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</si>
  <si>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</si>
  <si>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</si>
  <si>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</si>
  <si>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</si>
  <si>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</si>
  <si>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</si>
  <si>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</si>
  <si>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</si>
  <si>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</si>
  <si>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</si>
  <si>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</si>
  <si>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</si>
  <si>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</si>
  <si>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</si>
  <si>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</si>
  <si>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</si>
  <si>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</si>
  <si>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</si>
  <si>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</si>
  <si>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</si>
  <si>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</si>
  <si>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</si>
  <si>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</si>
  <si>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</si>
  <si>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</si>
  <si>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</si>
  <si>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</si>
  <si>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</si>
  <si>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</si>
  <si>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</si>
  <si>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HP Customer-Supplied Asset Tagging SVC</t>
  </si>
  <si>
    <t>AY112AV</t>
  </si>
  <si>
    <t xml:space="preserve">Service de marquage de sécurité prédéfini HP (Asset tag security) : marquage antivol pré-défini réalisé par https://stoptrack.com/ </t>
  </si>
  <si>
    <t>HP Security Tagging Service</t>
  </si>
  <si>
    <t>AY131AV</t>
  </si>
  <si>
    <t>HP Custom Security Tagging Service</t>
  </si>
  <si>
    <t>AY114AV</t>
  </si>
  <si>
    <t>HP Chassis Tagging SN+MAC1+UUID service</t>
  </si>
  <si>
    <t>AY128AV + YT924AV</t>
  </si>
  <si>
    <t>HP Chassis Tagging SN+MAC1+MAC2 service</t>
  </si>
  <si>
    <t>AY129AV + YT925AV</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</si>
  <si>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</si>
  <si>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</si>
  <si>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</si>
  <si>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</si>
  <si>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</si>
  <si>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</si>
  <si>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</si>
  <si>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AY158AV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</si>
  <si>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</si>
  <si>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</si>
  <si>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</si>
  <si>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</si>
  <si>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</si>
  <si>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</si>
  <si>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</si>
  <si>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</si>
  <si>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</si>
  <si>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</si>
  <si>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</si>
  <si>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</si>
  <si>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</si>
  <si>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</si>
  <si>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</si>
  <si>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</si>
  <si>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</si>
  <si>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</si>
  <si>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</si>
  <si>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</si>
  <si>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</si>
  <si>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</si>
  <si>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</si>
  <si>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</si>
  <si>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</si>
  <si>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</si>
  <si>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</si>
  <si>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</si>
  <si>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</si>
  <si>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</si>
  <si>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</si>
  <si>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</si>
  <si>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</si>
  <si>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</si>
  <si>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</si>
  <si>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</si>
  <si>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</si>
  <si>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</si>
  <si>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</si>
  <si>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</si>
  <si>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</si>
  <si>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</si>
  <si>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</si>
  <si>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</si>
  <si>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</si>
  <si>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</si>
  <si>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</si>
  <si>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</si>
  <si>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</si>
  <si>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</si>
  <si>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 xml:space="preserve">Chargement de l'image Linux Ubuntu version 22.04 pour les plateformes certifiées </t>
  </si>
  <si>
    <t>Chargement de l'image Linux Ubuntu 22.04</t>
  </si>
  <si>
    <t xml:space="preserve">AY802AV </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</si>
  <si>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</si>
  <si>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</si>
  <si>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</si>
  <si>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</si>
  <si>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</si>
  <si>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</si>
  <si>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</si>
  <si>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</si>
  <si>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</si>
  <si>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</si>
  <si>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</si>
  <si>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</si>
  <si>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</si>
  <si>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</si>
  <si>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</si>
  <si>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</si>
  <si>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</si>
  <si>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</si>
  <si>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</si>
  <si>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</si>
  <si>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</si>
  <si>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</si>
  <si>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</si>
  <si>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</si>
  <si>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</si>
  <si>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</si>
  <si>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</si>
  <si>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</si>
  <si>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</si>
  <si>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</si>
  <si>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</si>
  <si>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</si>
  <si>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</si>
  <si>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</si>
  <si>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</si>
  <si>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</si>
  <si>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</si>
  <si>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</si>
  <si>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</si>
  <si>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</si>
  <si>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</si>
  <si>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</si>
  <si>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</si>
  <si>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</si>
  <si>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</si>
  <si>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</si>
  <si>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</si>
  <si>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</si>
  <si>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</si>
  <si>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</si>
  <si>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</si>
  <si>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</si>
  <si>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</si>
  <si>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</si>
  <si>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</si>
  <si>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</si>
  <si>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</si>
  <si>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</si>
  <si>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</si>
  <si>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</si>
  <si>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</si>
  <si>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</si>
  <si>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</si>
  <si>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</si>
  <si>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</si>
  <si>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</si>
  <si>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</si>
  <si>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</si>
  <si>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</si>
  <si>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</si>
  <si>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</si>
  <si>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</si>
  <si>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</si>
  <si>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</si>
  <si>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</si>
  <si>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</si>
  <si>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</si>
  <si>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</si>
  <si>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</si>
  <si>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</si>
  <si>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</si>
  <si>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</si>
  <si>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</si>
  <si>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</si>
  <si>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</si>
  <si>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</si>
  <si>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</si>
  <si>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</si>
  <si>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</si>
  <si>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</si>
  <si>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</si>
  <si>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</si>
  <si>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</si>
  <si>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</si>
  <si>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</si>
  <si>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</si>
  <si>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</si>
  <si>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</si>
  <si>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</si>
  <si>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</si>
  <si>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</si>
  <si>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Logiciels d'exploitation</t>
  </si>
  <si>
    <t>Système d'exploitation Windows 11 Professionnel (à commander obligatoirement avec la machine. OS OEM)</t>
  </si>
  <si>
    <t>Windows 11 Pro 64</t>
  </si>
  <si>
    <t>8Z4F0AV</t>
  </si>
  <si>
    <t>8Z7N8AV</t>
  </si>
  <si>
    <t xml:space="preserve">8M339AV </t>
  </si>
  <si>
    <t>8Q614AV</t>
  </si>
  <si>
    <t>8M540AV</t>
  </si>
  <si>
    <t>8N3C9AV</t>
  </si>
  <si>
    <t>8T6A1AV</t>
  </si>
  <si>
    <t>6Q2A3AV</t>
  </si>
  <si>
    <t>CATEGORIE : CLIENTS LEGERS</t>
  </si>
  <si>
    <t>Plateforme</t>
  </si>
  <si>
    <t>Format</t>
  </si>
  <si>
    <t>Processeur</t>
  </si>
  <si>
    <t>Mémoire</t>
  </si>
  <si>
    <t>Stockage</t>
  </si>
  <si>
    <t>WiFi</t>
  </si>
  <si>
    <t>Support</t>
  </si>
  <si>
    <t>8 Go</t>
  </si>
  <si>
    <t>Wifi</t>
  </si>
  <si>
    <t>5 ans J+1  sur site</t>
  </si>
  <si>
    <t xml:space="preserve">14  FHD (1920x1080) AG LED UWVA 250  HD  NarrowBezel bent </t>
  </si>
  <si>
    <t>x</t>
  </si>
  <si>
    <t>11D37EA</t>
  </si>
  <si>
    <t>HP Thin Pro</t>
  </si>
  <si>
    <t>Tarif HT
avec garantie 5 ans intervention sur site J+1 en France Métropolitaine</t>
  </si>
  <si>
    <t>Coefficient 
locatif</t>
  </si>
  <si>
    <t>Loyer trimestriel HT terme à échoir sans assurance</t>
  </si>
  <si>
    <t>Loyer trimestriel HT terme à échoir avec assurance</t>
  </si>
  <si>
    <t>4 trimestres</t>
  </si>
  <si>
    <t>8 trimestres</t>
  </si>
  <si>
    <t>Loyer trimestriel HT terme à échoir</t>
  </si>
  <si>
    <t>Les tarifs indiqués ci-après sont des prix plafonds et sont dégressifs selon les quantités approvisionnées sur une même commande. Le tarif indiqué correspond à un prix de transport DDP maritime.</t>
  </si>
  <si>
    <t>Guadeloupe</t>
  </si>
  <si>
    <t>Martinique</t>
  </si>
  <si>
    <t>Guyane</t>
  </si>
  <si>
    <t>Réunion</t>
  </si>
  <si>
    <t>Mayotte</t>
  </si>
  <si>
    <t>Polynésie</t>
  </si>
  <si>
    <t>Nouvelle Calédonie</t>
  </si>
  <si>
    <t>Frais Transport + Frais de Douane + Assurance</t>
  </si>
  <si>
    <t>Surcout HT 
en €</t>
  </si>
  <si>
    <t>Surcout HT</t>
  </si>
  <si>
    <t>Nouvelle 
Calédonie</t>
  </si>
  <si>
    <t>Nouvelle</t>
  </si>
  <si>
    <t>Calédonie</t>
  </si>
  <si>
    <t>en €</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</si>
  <si>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</si>
  <si>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</si>
  <si>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</si>
  <si>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</si>
  <si>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</si>
  <si>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</si>
  <si>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</si>
  <si>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</si>
  <si>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</si>
  <si>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</si>
  <si>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</si>
  <si>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</si>
  <si>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</si>
  <si>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</si>
  <si>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</si>
  <si>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</si>
  <si>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</si>
  <si>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</si>
  <si>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</si>
  <si>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</si>
  <si>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</si>
  <si>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</si>
  <si>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</si>
  <si>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</si>
  <si>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</si>
  <si>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</si>
  <si>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</si>
  <si>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</si>
  <si>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</si>
  <si>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 xml:space="preserve">Ecran 13,3" Très Haute-Définition Tactile 250 nits pour Caméra HD Infrarouge </t>
  </si>
  <si>
    <t xml:space="preserve">Ecran 14" Très Haute-Définition Anti-reflets LED 250 nits pour Caméra HD </t>
  </si>
  <si>
    <t>Ecran 14" Très Haute-Définition Anti-reflets LED Tactile 250 nits pour Caméra HD</t>
  </si>
  <si>
    <t>Ecran 15,6" Très Haute-Définition Anti-reflets LED 250 nits pour Caméra HD</t>
  </si>
  <si>
    <t>Ecran 15,6" Très Haute-Définition Anti-reflets LED 250 nits pour Caméra HD Infrarouge 5MP</t>
  </si>
  <si>
    <t>Ecran 15,6" Très Haute-Définition Anti-reflets LED Tactile 250 nits pour Caméra HD</t>
  </si>
  <si>
    <t>Ecran 14" Très Haute-Définition Anti-reflets LED 400 nits pour Caméra 5MP Infrarouge</t>
  </si>
  <si>
    <t xml:space="preserve"> Intel Core U5-135U compatible 4G et compatible vPro </t>
  </si>
  <si>
    <t>AMD Ryzen 3 5425U</t>
  </si>
  <si>
    <t>256GB PCIe NVMe</t>
  </si>
  <si>
    <t>Windows 10IoT 64 Enterprise 2021</t>
  </si>
  <si>
    <t>5 ans J+1 sur site</t>
  </si>
  <si>
    <t>HP Elite mt645</t>
  </si>
  <si>
    <t>4X8E4AV</t>
  </si>
  <si>
    <t xml:space="preserve">13.3 pouces 92€
</t>
  </si>
  <si>
    <t>14 pouces 82€
15 pouces 92€</t>
  </si>
  <si>
    <t>13.3 pouces 58€
14 pouces 117€
16 pouces 147€</t>
  </si>
  <si>
    <t>13.3 pouces 36€
14 pouces 71€
16 pouces 76€ Intel / 82€ AMD</t>
  </si>
  <si>
    <t>13.5 pouces 58€
14 pouces 47€</t>
  </si>
  <si>
    <t>122€ (avec 16GB)
250€ (avec 32GB)</t>
  </si>
  <si>
    <t>13.3 pouces 92€
14 pouces 117€
16 pouces 151€</t>
  </si>
  <si>
    <t>48901/ 8K167AA/</t>
  </si>
  <si>
    <t>HP EliteBook x360 1040 G11</t>
  </si>
  <si>
    <t>HP IDS UMA U5-125U for WWAN RT USBC 630 G11 Base NB PC
HP EliteBook 640 14 inch G11 (U5-125U, UMA, f/WWAN, TI PD IC) IDS Base NB PC
HP IDS UMA U5-125U for WWAN RT USBC 660 G11 Base NB PC</t>
  </si>
  <si>
    <t>Intel Core U5-135U non compatible 4G et compatible vPro</t>
  </si>
  <si>
    <t>Intel Core U5-135U compatible 4G et compatible vPro</t>
  </si>
  <si>
    <t>Intel Core U7-155U non compatible 4G</t>
  </si>
  <si>
    <t>Intel Core U7-155U compatible 4G</t>
  </si>
  <si>
    <t>Intel Core U7-165U non compatible 4G et compatible vPro</t>
  </si>
  <si>
    <t>Intel Core U7-165U compatible 4G et compatible vPro</t>
  </si>
  <si>
    <t>Intel Core U7-165H compatible 4G et compatible vPro</t>
  </si>
  <si>
    <t>HP EliteBook 630 13.3 inch G11 (U5-135U, UMA, RT USBC) IDS Base NB PC
HP EliteBook 640 14 inch G11 (U5-135U, UMA, TI PD IC) IDS Base NB PC
HP EliteBook 660 16 inch G11 (U5-135U, UMA, RT USBC) IDS Base NB PC</t>
  </si>
  <si>
    <t>HP IDS UMA U5-135U for WWAN RT USBC 630 G11 Base NB PC
HP EliteBook 640 14 inch G11 (U5-135U, UMA, f/WWAN, TI PD IC) IDS Base NB PC
HP IDS UMA U5-135U for WWAN RT USBC 660 G11 Base NB PC</t>
  </si>
  <si>
    <t>HP EliteBook 630 13.3 inch G11 (U7-155U, UMA, RT USBC) IDS Base NB PC
HP EliteBook 640 14 inch G11 (U7-155U, UMA, TI PD IC) IDS Base NB PC
HP IDS UMA U7-155U  RT USBC 660 G11 Base NB PC</t>
  </si>
  <si>
    <t>HP IDS UMA U7-155U  for WWAN RT USBC 630 G11 Base NB PC
HP IDS UMA U7-155U  for WWAN TI PD IC 640 G11 Base NB PC
HP IDS UMA U7-155U  for WWAN RT USBC 660 G11 Base NB PC</t>
  </si>
  <si>
    <t>HP IDS UMA U7-165U RT USBC 630 G11 Base NB PC
HP IDS UMA U7-165U TI PD IC 640 G11 Base NB PC
HP IDS UMA U7-165U RT USBC 660 G11 Base NB PC</t>
  </si>
  <si>
    <t>HP IDS UMA U7-165U for WWAN RT USBC 630 G11 Base NB PC
HP EliteBook 640 14 inch G11 (U7-165U, UMA, f/WWAN, TI PD IC) IDS Base NB PC
HP IDS UMA U7-165U for WWAN RT USBC 660 G11 Base NB PC</t>
  </si>
  <si>
    <t>HP IDS UMA Ryzen 5 7535U for WWAN TI PD IC 645 G11 Base NB PC
HP IDS UMA Ryzen 5 7535U for WWAN TI PD IC 665 G11 Base NB PC</t>
  </si>
  <si>
    <t>HP IDS UMA Ryzen 5 PRO 7535U TI PD IC 645 G11 Base NB PC
HP IDS UMA Ryzen 5 PRO 7535U TI PD IC 665 G11 Base NB PC</t>
  </si>
  <si>
    <t>AMD Ryzen 5 PRO 7535U non compatible 4G</t>
  </si>
  <si>
    <t>AMD Ryzen 5 7535U compatible 4G</t>
  </si>
  <si>
    <t>HP IDS UMA Ryzen 5 PRO 7535U for WWAN TI PD IC 645 G11 Base NB PC
HP IDS UMA Ryzen 5 PRO 7535U for WWAN TI PD IC 665 G11 Base NB PC</t>
  </si>
  <si>
    <t>AMD  Ryzen 5 PRO 7535U compatible 4G</t>
  </si>
  <si>
    <t>HP IDS UMA Ryzen 7 7735U TI PD IC 645 G11 Base NB PC
HP IDS UMA Ryzen 7 7735U TI PD IC 665 G11 Base NB PC</t>
  </si>
  <si>
    <t>HP IDS UMA Ryzen 7 7735U for WWAN TI PD IC 645 G11 Base NB PC
HP IDS UMA Ryzen 7 7735U for WWAN TI PD IC 665 G11 Base NB PC</t>
  </si>
  <si>
    <t>AMD  Ryzen 7 7735U non compatible 4G</t>
  </si>
  <si>
    <t>AMD  Ryzen 7 7735U compatible 4G</t>
  </si>
  <si>
    <t>HP IDS UMA Ryzen 7 PRO 7735U for WWAN TI PD IC 645 G11 Base NB PC
HP IDS UMA Ryzen 7 PRO 7735U for WWAN TI PD IC 665 G11 Base NB PC</t>
  </si>
  <si>
    <t>AMD  Ryzen 7 PRO 7735U compatible 4G</t>
  </si>
  <si>
    <t>HP EliteBook 830 13 inch G11 (U5-135U, UMA, TI PD IC, 16GB) IDS Base NB PC
HP EliteBook 840 14 inch G11 (U5-135U, UMA, RT USBC) IDS Base NB PC
HP EliteBook 860 16 inch G11 (U5-135U, UMA, TI PD IC) IDS, Base NB PC</t>
  </si>
  <si>
    <t>HP EliteBook 830 13 inch G11 (U7-165U, UMA, TI PD IC, 16GB) IDS Base NB PC
HP EliteBook 840 14 inch G11 (U7-165U, UMA, RT USBC) IDS Base NB PC
HP EliteBook 860 16 inch G11 (U7-165U, UMA, TI PD IC) IDS, Base NB PC</t>
  </si>
  <si>
    <t xml:space="preserve"> Intel Core U5-125U - mémoire soudée 1x32GB</t>
  </si>
  <si>
    <t xml:space="preserve"> Intel Core U5-135U compatible vPro - mémoire soudée 1x32GB</t>
  </si>
  <si>
    <t xml:space="preserve"> Intel Core U7-165U compatible vPro - mémoire soudée 1x32GB</t>
  </si>
  <si>
    <t>AMD Ryzen 5 PRO 8540U - mémoire soudée 1x32GB</t>
  </si>
  <si>
    <t>AMD  Ryzen 7 PRO 8840U</t>
  </si>
  <si>
    <t>HP EliteBook 835 13 inch G11 (Ryzen 7 PRO 8840U, UMA, TI PD IC, 16GB) IDS Base NB PC
HP EliteBook 845 14 inch G11 (Ryzen 7 PRO 8840U, UMA, TI PD IC) IDS Base NB PC
HP EliteBook 865 16 inch G11 (Ryzen 7 PRO 8840U, UMA, TI PD IC) IDS Base NB PC</t>
  </si>
  <si>
    <t>AMD  Ryzen 7 PRO 8840U - mémoire soudée 1x32GB</t>
  </si>
  <si>
    <t xml:space="preserve"> 14.0 inch AG WUXGA (1920x1200) LED UWVA 300 f5MP IR bnt LCD Panel</t>
  </si>
  <si>
    <t>9Z759AV</t>
  </si>
  <si>
    <t>9W7P9AV</t>
  </si>
  <si>
    <t>32GB (1x32GB) DDR5 5600 SODIMM Memory</t>
  </si>
  <si>
    <t>909T6AV</t>
  </si>
  <si>
    <t>90C63AV</t>
  </si>
  <si>
    <t>8Z451AV</t>
  </si>
  <si>
    <t>90G93AV</t>
  </si>
  <si>
    <t>8Z7C7AV</t>
  </si>
  <si>
    <t>32GB (1x32GB) DDR5 5600</t>
  </si>
  <si>
    <t>8M546AV</t>
  </si>
  <si>
    <t>8R6A5AV</t>
  </si>
  <si>
    <t>8N3D5AV</t>
  </si>
  <si>
    <t>8T6A9AV</t>
  </si>
  <si>
    <t>Stylets (ajouts) - X360 1040</t>
  </si>
  <si>
    <t>Ecrans 14'' (passages) - X360 1040</t>
  </si>
  <si>
    <t>13.3 pouces 47€
14 pouces 76€
16 pouces 76€</t>
  </si>
  <si>
    <t>14 pouces 104€</t>
  </si>
  <si>
    <t>Ecran 14" Très Haute-Définition Anti-reflets LED 250 nits pour Caméra 5MP Infrarouge</t>
  </si>
  <si>
    <t>717U9AV</t>
  </si>
  <si>
    <t>U73VYB</t>
  </si>
  <si>
    <t>U73VWB</t>
  </si>
  <si>
    <t>U73VZB</t>
  </si>
  <si>
    <t>U73VXB</t>
  </si>
  <si>
    <t>13.3 inch AG WUXGA (1920x1200) LED UWVA 300 for WWAN f5MP IR 60Hz Touchscreen bnt LC Panel</t>
  </si>
  <si>
    <t>HP 5y Active Care/Wolf Protect and Trace Next Bus Day Response Onsite</t>
  </si>
  <si>
    <t>14.0 inch AG WUXGA (1920x1200) LED UWVA 300 for WWAN f5MP bnt LCD Panel</t>
  </si>
  <si>
    <t>14.0 inch AG WUXGA (1920x1200) LED UWVA 300 for WWAN f5MP IR bnt LCD Panel</t>
  </si>
  <si>
    <t>14.0 inch AG WUXGA (1920x1200) LED UWVA 300 f5MP IR Touchscreen bnt LCD Panel</t>
  </si>
  <si>
    <t>14.0 inch AG WUXGA (1920x1200) LED UWVA 300 for WWAN f5MP IR Touchscreen bnt LCD Panel</t>
  </si>
  <si>
    <t>14.0 inch AG WUXGA (1920x1200) WLED+LBL UWVA 400 f5MP IR bnt LCD Panel</t>
  </si>
  <si>
    <t>14.0 inch AG WUXGA (1920x1200) WLED+LBL UWVA 400 for WWAN f5MP IR bnt LCD Panel</t>
  </si>
  <si>
    <t>14.0 inch AG WUXGA (1920x1200) WLED+LBL UWVA 800 f5MP IR Sure View 5 bnt LCD Panel</t>
  </si>
  <si>
    <t>14.0 inch AG WUXGA (1920x1200) WLED+LBL UWVA 800 for WWAN f5MP IR Sure View 5 bnt LCD Panel</t>
  </si>
  <si>
    <t>13.3 inch AG WUXGA (1920x1200) LED UWVA 300 for WWAN f5MP IR bnt LCD Panel</t>
  </si>
  <si>
    <t>13.3 inch AG WUXGA (1920x1200) WLED+LBL UWVA 400 f5MP IR bnt LCD Panel</t>
  </si>
  <si>
    <t>13.3 inch AG WUXGA (1920x1200) LED UWVA 300 for WWAN f5MP IR Touchscreen bnt LCD Panel</t>
  </si>
  <si>
    <t>13.3 inch AG WUXGA (1920x1200) WLED+LBL UWVA 400 for WWAN f5MP IR bnt LCD Panel</t>
  </si>
  <si>
    <t>13.3 inch AG WUXGA (1920x1200) WLED+LBL UWVA 1000 f5MP IR Sure View Reflect bnt LCD Panel</t>
  </si>
  <si>
    <t>HP EliteBook 840 14 inch G11 (U7-165H, UMA, RT USBC) IDS Base NB PC
HP EliteBook 860 16 inch G11 (U7-165H, UMA, TI PD IC) IDS, Base NB PC</t>
  </si>
  <si>
    <t>HP EliteBook 830 13 inch G11 (U5-125U  UMA  f/WLAN  TI PD IC  16G) IDS  Base NB PC
HP EliteBook 840 14 inch G11 (U5-125U  UMA  f/WLAN  RT USBC) IDS  Base NB PC
HP EliteBook 860 16 inch G11 (U5-125U  UMA  f/WLAN  TI PD IC) IDS  Base NB PC</t>
  </si>
  <si>
    <t xml:space="preserve">HP EliteBook 830 13 inch G11 (U5-135U  UMA  f/WLAN  TI PD IC  16GB) IDS  Base NB PC
HP EliteBook 840 14 inch G11 (U5-135U  UMA  f/WLAN  RT USBC) IDS  Base NB PC 
HP EliteBook 860 16 inch G11 (U5-135U  UMA  f/WLAN  TI PD IC) IDS  Base NB PC           </t>
  </si>
  <si>
    <t>HP EliteBook 840 14 inch G11 (U7-165U  UMA  f/WLAN  RT USBC) IDS  Base NB PC
HP EliteBook 860 16 inch G11 (U7-165U  UMA  f/WLAN  TI PD IC) IDS  Base NB PC</t>
  </si>
  <si>
    <t>14.0 inch AG WUXGA (1920x1200) LED UWVA 300 for WWAN fFHDC 60Hz bnt LCD Panel</t>
  </si>
  <si>
    <t xml:space="preserve">14.0 inch AG WUXGA (1920x1200) LED UWVA 300 for WWAN f5MP IR 60Hz bnt LCD Panel	</t>
  </si>
  <si>
    <t>14.0 inch AG WUXGA (1920x1200) LED UWVA 300 for WWAN f5MP IR 60Hz Touchscreen bnt LCD Panel</t>
  </si>
  <si>
    <t>14.0 inch AG WUXGA (1920x1200) WLED+LBL UWVA 400 fFHDC 60Hz bnt LCD Panel</t>
  </si>
  <si>
    <t>14.0 inch AG WUXGA (1920x1200) WLED+LBL UWVA 400 for WWAN f5MP IR 60Hz bnt LCD Panel</t>
  </si>
  <si>
    <t>14.0 inch AG WUXGA (1920x1200) WLED+LBL UWVA 1000 for WWAN f5MP IR 60Hz PVG4P bnt LCD Panel</t>
  </si>
  <si>
    <t>14  FHD (1920x1080) AG LED UWVA 250  HD  NarrowBezel bent</t>
  </si>
  <si>
    <t>11D35EA</t>
  </si>
  <si>
    <t>HP USB A External DVDRW Drive</t>
  </si>
  <si>
    <t>HP Multi-Device 635 Black Wireless Mouse</t>
  </si>
  <si>
    <t>Souris noire bluetooth multi surface</t>
  </si>
  <si>
    <t>HP 732pk UHD 4K Garantie 5 ans sur site en J+1</t>
  </si>
  <si>
    <t>HP 727pq  QHD Garantie 5 ans sur site en J+1</t>
  </si>
  <si>
    <t>HP 524pm  G5 Full HD 1920 x 1080  - 1x USB-C(DP1.4 Alt mode ,100W PD )+ 1 DP + 1 HDMI + 1 RJ45 + 4 USB + 1 USB-C -Produit disponible à partir de décembre 2024</t>
  </si>
  <si>
    <t>Support de montage ordinateur B550 ( Pour écran 732pk)</t>
  </si>
  <si>
    <t>Support de montage   ordinateurs B560 (pour écrans :   738 pu, 727 pq et serie E G5)</t>
  </si>
  <si>
    <t>Support de montage pour écran HP P Display (pour écrans P27h G5, P24h G5 et P22h G5)</t>
  </si>
  <si>
    <t>Support de montage   ordinateurs HP B300 ( Uniquement pour   les E24m G4, E27m G4 et E24mv G4 )</t>
  </si>
  <si>
    <t>Support de montage   ordinateurs B600</t>
  </si>
  <si>
    <t>Adaptateur USB-C vers VGA</t>
  </si>
  <si>
    <t>Adaptateur USB-C vers USB 3.0</t>
  </si>
  <si>
    <t>Adaptateur USB-C vers  DisplayPort</t>
  </si>
  <si>
    <t>Adaptateur HP USB-C vers RJ45 G2</t>
  </si>
  <si>
    <t>Service d'étiquetage des actifs HP PC BIOS (HP PC BIOS Asset Tagging Service)</t>
  </si>
  <si>
    <t>Service d’étiquetage des actifs avec étiquettes fournies par les clients (Asset tag customer supplied)</t>
  </si>
  <si>
    <t>Service de marquage de sécurité personnalisé HP (Asset tag custom security)</t>
  </si>
  <si>
    <t>Service de marquage Chassis SN+MAC1+UUID</t>
  </si>
  <si>
    <t>Service de marquage Chassis SN+MAC1+MAC2 service</t>
  </si>
  <si>
    <t>Service de marquage emballage SN+MAC1+MAC2+UUID SVC</t>
  </si>
  <si>
    <t>Livraison à domicile  moniteur</t>
  </si>
  <si>
    <t>Système d'exploitation</t>
  </si>
  <si>
    <t xml:space="preserve">Client léger mobile mt645 </t>
  </si>
  <si>
    <t>8R697AV</t>
  </si>
  <si>
    <t>909P8AV</t>
  </si>
  <si>
    <r>
      <rPr>
        <b/>
        <sz val="11"/>
        <color rgb="FF000000"/>
        <rFont val="Arial"/>
        <family val="2"/>
      </rPr>
      <t xml:space="preserve">Cat1conf1A_440G10_14-HD-250n_i3-8Go-256Go
Intel Core i3-1315U (2 cores - jusqu'à 4,4Ghz TurboBoost, 10MB L3 cache)
</t>
    </r>
    <r>
      <rPr>
        <sz val="11"/>
        <color rgb="FF000000"/>
        <rFont val="Arial"/>
        <family val="2"/>
      </rPr>
      <t>Écran non tactile, 14' (35,56cm),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</si>
  <si>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r>
      <rPr>
        <b/>
        <sz val="11"/>
        <color theme="1"/>
        <rFont val="Arial"/>
        <family val="2"/>
      </rPr>
      <t xml:space="preserve">Cat1conf1B_445G10_14-HD-250n_r3-8Go-256Go
AMD Ryzen 3 7330U (4 Cores / 8 Threads, 2,7Ghz - 4 Ghz, L3 8MB)
</t>
    </r>
    <r>
      <rPr>
        <sz val="11"/>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</si>
  <si>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r>
      <rPr>
        <b/>
        <sz val="11"/>
        <color rgb="FF000000"/>
        <rFont val="Arial"/>
        <family val="2"/>
      </rPr>
      <t xml:space="preserve">Cat1conf2A_450G10_15-HD-250n_i3-8Go-256Go
Intel Core i3-1315U (2 cores - jusqu'à 4,4Ghz TurboBoost, 10MB L3 cache)
</t>
    </r>
    <r>
      <rPr>
        <sz val="11"/>
        <color rgb="FF000000"/>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</si>
  <si>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r>
      <rPr>
        <b/>
        <sz val="11"/>
        <color theme="1"/>
        <rFont val="Arial"/>
        <family val="2"/>
      </rPr>
      <t xml:space="preserve">Cat1conf2B_455G10_15-HD-250n_r3-8Go-256Go
AMD Ryzen 3 7330U (4 Cores / 8 Threads, 2,7Ghz - 4 Ghz, L3 8MB)
</t>
    </r>
    <r>
      <rPr>
        <sz val="11"/>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</si>
  <si>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r>
      <t>Cat1Conf3B_X360435G10_13-FHD-250n_r3-8Go-256Go
AMD Ryzen 3 7330U (4 Cores / 8 Threads, 2,7Ghz - 4 Ghz, L3 8MB)
Écran tactile, 13,3" (33,8cm), FHD (1920 x 1080), 16/9, IPS Mat, 250 cd/m²</t>
    </r>
    <r>
      <rPr>
        <sz val="11"/>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51 Whr, HP Long Life 1000 Cycles
Chargeur 65W USB-C
FreeDOS</t>
    </r>
  </si>
  <si>
    <r>
      <rPr>
        <b/>
        <sz val="11"/>
        <color theme="1"/>
        <rFont val="Arial"/>
        <family val="2"/>
      </rPr>
      <t>Cat2Conf1A_630G11_13-FHD-300n_U5-16Go-256Go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13,3" (33,8cm), FHD (1920 x 1200), 16/10, IPS Mat, 300 cd/m²
16Go 5600 SODIMM DDR5 (1x16Go)
SSD 256Go M.2 PCIe
Intel Wifi6 Ax211 (2x2 antennes), Bluetooth 5.3
Clavier rétro éclairé - Sans lecteur d‘empreintes digitales et sans lecteur de cartes à puce
Camera 720p Cache Mécanique
Batterie 3 cellules 56 Whr, HP Long Life 1000 Cycles
Chargeur 65W USB-C
FreeDOS</t>
    </r>
  </si>
  <si>
    <r>
      <rPr>
        <b/>
        <sz val="11"/>
        <color theme="1"/>
        <rFont val="Arial"/>
        <family val="2"/>
      </rPr>
      <t>Cat2Conf2A_640G11_14-FHD-300n_U5-16Go-256Go</t>
    </r>
    <r>
      <rPr>
        <sz val="11"/>
        <color theme="1"/>
        <rFont val="Arial"/>
        <family val="2"/>
      </rPr>
      <t xml:space="preserve">
</t>
    </r>
    <r>
      <rPr>
        <b/>
        <sz val="11"/>
        <color theme="1"/>
        <rFont val="Arial"/>
        <family val="2"/>
      </rPr>
      <t xml:space="preserve">Intel U5-125U (12 cores - jusqu'à 4,3Ghz TurboBoost, 12MB L3 cache)
</t>
    </r>
    <r>
      <rPr>
        <sz val="11"/>
        <color theme="1"/>
        <rFont val="Arial"/>
        <family val="2"/>
      </rPr>
      <t>Écran non tactile, 14' (35,56 cm), FHD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</si>
  <si>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r>
      <rPr>
        <b/>
        <sz val="11"/>
        <color theme="1"/>
        <rFont val="Arial"/>
        <family val="2"/>
      </rPr>
      <t>Cat2Conf2B_645G11_14-FHD-300n_</t>
    </r>
    <r>
      <rPr>
        <b/>
        <sz val="11"/>
        <rFont val="Arial"/>
        <family val="2"/>
      </rPr>
      <t>r5</t>
    </r>
    <r>
      <rPr>
        <b/>
        <sz val="11"/>
        <color theme="1"/>
        <rFont val="Arial"/>
        <family val="2"/>
      </rPr>
      <t>-16Go-256Go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14' (35,56 cm), FHD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</si>
  <si>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r>
      <rPr>
        <b/>
        <sz val="11"/>
        <color rgb="FF000000"/>
        <rFont val="Arial"/>
        <family val="2"/>
      </rPr>
      <t xml:space="preserve">Cat2Conf3A_660G11_15-FHD-300n_U5-16Go-256Go
Intel U5-125U (12 cores - jusqu'à 4,3Ghz TurboBoost, 12MB L3 cache)
</t>
    </r>
    <r>
      <rPr>
        <sz val="11"/>
        <color rgb="FF000000"/>
        <rFont val="Arial"/>
        <family val="2"/>
      </rPr>
      <t>Écran non tactile, 16.0' (40,6cm), FHD (1920 x 1200), 16/10, IPS Mat, 300 cd/m²
16Go 5600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</si>
  <si>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r>
      <rPr>
        <b/>
        <sz val="11"/>
        <color theme="1"/>
        <rFont val="Arial"/>
        <family val="2"/>
      </rPr>
      <t>Cat2Conf3B_665G11_14-FHD-300n_r5-16Go-256Go</t>
    </r>
    <r>
      <rPr>
        <sz val="11"/>
        <color theme="1"/>
        <rFont val="Arial"/>
        <family val="2"/>
      </rPr>
      <t xml:space="preserve">
</t>
    </r>
    <r>
      <rPr>
        <b/>
        <sz val="11"/>
        <color theme="1"/>
        <rFont val="Arial"/>
        <family val="2"/>
      </rPr>
      <t xml:space="preserve">AMD Ryzen 5 7535U  (6 Cores / 12 Threads, 2,9 Ghz - 4,55 Ghz, L3 16 MB)                                                                              
</t>
    </r>
    <r>
      <rPr>
        <sz val="11"/>
        <color theme="1"/>
        <rFont val="Arial"/>
        <family val="2"/>
      </rPr>
      <t>Écran non tactile, 16.0" (40,6 cm), FHD (1920 x 1200), 16/10, IPS Mat, 300 cd/m²
16Go 4800 SODIMM DDR5 (1x16Go)
SSD 256Go M.2 PCIe
Intel Wifi6 Ax211 (2x2 antennes), Bluetooth 5.3
Clavier rétro éclairé - Sans lecteur d‘empreintes digitales et sans lecteur de cartes à puce
Camera 720p Cache Physique
Batterie 3 cellules 56 Whr, HP Long Life 1000 Cycles
Chargeur 65W USB-C
FreeDOS</t>
    </r>
  </si>
  <si>
    <r>
      <rPr>
        <b/>
        <sz val="11"/>
        <color theme="1"/>
        <rFont val="Arial"/>
        <family val="2"/>
      </rPr>
      <t xml:space="preserve">Cat3Conf1A_830G11_13-FHD-300n_U5-16Go-512Go
Intel core U5-125U (12 cores - L3 cache 12MB - jusqu'à 4.3 Ghz) 
</t>
    </r>
    <r>
      <rPr>
        <sz val="11"/>
        <color theme="1"/>
        <rFont val="Arial"/>
        <family val="2"/>
      </rPr>
      <t>Écran non tactile, 13,3" (33,8cm), FHD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</si>
  <si>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rgb="FF000000"/>
        <rFont val="Arial"/>
        <family val="2"/>
      </rPr>
      <t xml:space="preserve">Cat3conf1B_835G11_13-FHD-300n_r5-16Go-512Go
AMD Ryzen 5 PRO 8540U (6 Cores / 12 Threads, 2,3Ghz - 4,5 Ghz, L3 16MB)                                                                                            
</t>
    </r>
    <r>
      <rPr>
        <sz val="11"/>
        <color rgb="FF000000"/>
        <rFont val="Arial"/>
        <family val="2"/>
      </rPr>
      <t>Écran non tactile, 13,3" (33,8cm), FHD (1920 x 1200), 16/10, IPS Mat, 300cd/m²
16Go 5600 SODIMM DDR5 (1x16Go) soudé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</si>
  <si>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theme="1"/>
        <rFont val="Arial"/>
        <family val="2"/>
      </rPr>
      <t xml:space="preserve">Cat3Conf2A_840G11_14-FHD-300n_U5-16Go-512Go
Intel core U5-125U (12 cores - L3 cache 12MB - jusqu'à 4.3 Ghz) 
</t>
    </r>
    <r>
      <rPr>
        <sz val="11"/>
        <color theme="1"/>
        <rFont val="Arial"/>
        <family val="2"/>
      </rPr>
      <t>Écran non tactile, 14" (35,56cm, FHD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</si>
  <si>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theme="1"/>
        <rFont val="Arial"/>
        <family val="2"/>
      </rPr>
      <t xml:space="preserve">Cat3conf1B_845G11_14-FHD-300n_r5-16Go-512Go
AMD Ryzen 5 PRO 8540U (6 Cores / 12 Threads, 2,3Ghz - 4,5 Ghz, L3 16MB)                                                                                            
</t>
    </r>
    <r>
      <rPr>
        <sz val="11"/>
        <color theme="1"/>
        <rFont val="Arial"/>
        <family val="2"/>
      </rPr>
      <t>Écran non tactile, 14" (35,56cm) FHD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</si>
  <si>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theme="1"/>
        <rFont val="Arial"/>
        <family val="2"/>
      </rPr>
      <t xml:space="preserve">Cat3Conf3A_860G11_16-FHD-300n_U5-16Go-512Go
Intel core U5-125U (12 cores - L3 cache 12MB - jusqu'à 4.3 Ghz) 
</t>
    </r>
    <r>
      <rPr>
        <sz val="11"/>
        <color theme="1"/>
        <rFont val="Arial"/>
        <family val="2"/>
      </rPr>
      <t>Écran non tactile, 16.0" (40,6 cm),, FHD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Cyc16.0" (40,6 cm),les
Chargeur 65W USB-C
FreeDOS</t>
    </r>
  </si>
  <si>
    <r>
      <rPr>
        <b/>
        <sz val="11"/>
        <color rgb="FF000000"/>
        <rFont val="Arial"/>
        <family val="2"/>
      </rPr>
      <t xml:space="preserve">Cat3conf1B_865G11_16-FHD-300n_r5-16Go-512Go
AMD Ryzen 5 PRO 8540U (6 Cores / 12 Threads, 2,3Ghz - 4,5 Ghz, L3 16MB)                                                                                            
</t>
    </r>
    <r>
      <rPr>
        <sz val="11"/>
        <color rgb="FF000000"/>
        <rFont val="Arial"/>
        <family val="2"/>
      </rPr>
      <t>Écran non tactile, 16.0" (40,6 cm), FHD (1920 x 1200), 16/10, IPS Mat, 300cd/m²
16Go 5600 SODIMM DDR5 (1x16Go) 
SSD 512Go M.2 TLC
Intel Wifi6 Ax211 (2x2 antennes), Bluetooth 5.3
Clavier rétro éclairé - Sans lecteur d‘empreintes digitales et sans lecteur de cartes à puce
Camera 5MP Cache Mécanique
Batterie 3 cellules 56 Whr, HP Long Life 1000 Cycles
Chargeur 65W USB-C
FreeDOS</t>
    </r>
  </si>
  <si>
    <r>
      <rPr>
        <b/>
        <sz val="11"/>
        <color theme="1"/>
        <rFont val="Arial"/>
        <family val="2"/>
      </rPr>
      <t xml:space="preserve">Cat4Conf1A_X360_1040G11_14-FHD-400n_U5-16Go-512Go
Intel Core U5-125H (14 cores - jusqu'à 4,5Ghz TurboBoost, 18MB L3 cache)
</t>
    </r>
    <r>
      <rPr>
        <sz val="11"/>
        <color theme="1"/>
        <rFont val="Arial"/>
        <family val="2"/>
      </rPr>
      <t>FreeDos
Écran tactile réversible à 360°, 14" (35,6cm), WUXGA (1920 x 1200), 16/10, IPS MAT, 400 cd/m²
16Go LPDDR5X-7467 MT/s soudé
SSD 512Go M.2 TLC
Intel Wifi6 Ax211 (2x2 antennes), Bluetooth 5.3
Clavier premium rétro éclairé - Sans lecteur d‘empreintes digitales et sans lecteur de cartes à puce
Camera 5MP
65W nPFC USB-C
Batterie 3 cellules 56 Whr, HP Long Life 1000 Cycles</t>
    </r>
  </si>
  <si>
    <r>
      <rPr>
        <b/>
        <sz val="11"/>
        <color rgb="FF000000"/>
        <rFont val="Arial"/>
        <family val="2"/>
      </rPr>
      <t xml:space="preserve">Cat4Conf2A_DragonflyG4_13-FHD-400n_i5-16Go-512Go
Intel Core i5-1335U (2 cores - jusqu'à 4,4Ghz TurboBoost, 12MB L3 cache)
</t>
    </r>
    <r>
      <rPr>
        <sz val="11"/>
        <color rgb="FF000000"/>
        <rFont val="Arial"/>
        <family val="2"/>
      </rPr>
      <t>Écran tactile, 13,5" (34,3cm), FHD (1920 x 1080),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</si>
  <si>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r>
      <t xml:space="preserve">Stylet Wacom AES 2.0 Pen wApp Btn </t>
    </r>
    <r>
      <rPr>
        <sz val="11"/>
        <rFont val="Arial"/>
        <family val="2"/>
      </rPr>
      <t>G3</t>
    </r>
  </si>
  <si>
    <t>Acquisition de matériel informatique - MATINFO 5 LOT 2 - Postes de travail portables et leurs extensions</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</si>
  <si>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</si>
  <si>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ER Long Life 68Whr Fast Charge 6 cell Battery</t>
  </si>
  <si>
    <t>903W0AV</t>
  </si>
  <si>
    <t>Transition de l'EliteBook 1040 G10 vers l'EliteBook x360 1040 G11
Retrait de l'option ajout de lecteur smart card pour l'EliteBook x360 1040 G11
Suppression de certaines options sur les ProBook 440/445/450/455 G10 (4G, carte graphique et R7)
Ajout adaptateur 100W sur l'EliteBook 660 G11 pour compatibilité carte graphique RTX 2050
Ajout de l'option 4G sur l'EliteBook 630 G11
Ajout de l'option filtre de confidentialité sur l'EliteBook 660 G11
Ajout batterie 68Whr pour l'EliteBook x360 1040 G11
Ajout des écrans série 5 (disponibles à partir de décembre 2024)
Ajout de la webcam Poly R30
Ajout de l'écran E45c G5
Transition des client légers mobiles
Hausse de prix contractuelle de 2,5% hors logiciels, garanties et services
Alignement des prix et références sur extensions communes avec le lot 1</t>
  </si>
  <si>
    <t>HP IDS UMA i7-1365U 16GB Dfly G4 Base NB PC</t>
  </si>
  <si>
    <t xml:space="preserve"> Intel Core i7-1365U compatible vPro - mémoire soudée 16GB</t>
  </si>
  <si>
    <t xml:space="preserve"> Intel Core U7-165H compatible vPro - mémoire soudée 16GB</t>
  </si>
  <si>
    <t xml:space="preserve"> Intel Core U7-165H compatible vPro - mémoire soudée 32GB</t>
  </si>
  <si>
    <t xml:space="preserve"> Intel Core i7-1365U compatible vPro - mémoire soudée 32GB</t>
  </si>
  <si>
    <t>Module Wi-Fi Intel AX211 Wi-Fi 6E vPro 160 MHz et Bluetooth 5.3</t>
  </si>
  <si>
    <t xml:space="preserve">Module Wifi Mediatek RZ616 Wi-Fi 6E AIM-T 160 MHz et Bluetooth 5.3 </t>
  </si>
  <si>
    <t xml:space="preserve"> Intel Core U5-135U compatible vPro </t>
  </si>
  <si>
    <t xml:space="preserve"> 1To PCIe NVMe SSD</t>
  </si>
  <si>
    <t>Clavier Rétro-éclairé Anti-éclaboussures compatible NFC</t>
  </si>
  <si>
    <t>Clavier numérique Rétro-éclairé Anti-éclaboussures compatible NFC</t>
  </si>
  <si>
    <t>Clavier Rétro-éclairé Anti-éclaboussures compatbile filtre de confidentialité intégré</t>
  </si>
  <si>
    <t>Clavier numérique Rétro-éclairé Anti-éclaboussures compatbile filtre de confidentialité intégré</t>
  </si>
  <si>
    <t>Clavier Rétro-éclairé Anti-éclaboussures compatible filtre de confidentialité intégré</t>
  </si>
  <si>
    <t>Clavier Rétro-éclairé Anti-éclaboussures compatible NFC et filtre de confidentialité intégré</t>
  </si>
  <si>
    <t>Clavier numérique Rétro-éclairé Anti-éclaboussures compatible filtre de confidentialité intégré</t>
  </si>
  <si>
    <t>Clavier numérique Rétro-éclairé Anti-éclaboussures compatible NFC et filtre de confidentialité intégré</t>
  </si>
  <si>
    <t>Intel Core U7-165H NVIDIA® GeForce® RTX 2050 4GB compatible 4G et compatible vPro</t>
  </si>
  <si>
    <t>Intel Core U7-165H NVIDIA® GeForce® RTX 2050 4GB non compatible 4G et compatible vPro</t>
  </si>
  <si>
    <t>Intel Core U5-135H NVIDIA® GeForce® RTX 2050 4GB non compatible 4G et compatible vPro</t>
  </si>
  <si>
    <t>Intel Core U5-135H NVIDIA® GeForce® RTX 2050 4GB compatible 4G et compatible vPro</t>
  </si>
  <si>
    <t>Intel Core U7-155H NVIDIA® GeForce® RTX 2050 4GB non compatible 4G</t>
  </si>
  <si>
    <t>Intel U5-125U compatible 4G</t>
  </si>
  <si>
    <t>Passage au clavier Rétro-éclairé Anti-éclaboussures compatible filtre de confidentialité intégré</t>
  </si>
  <si>
    <t>AMD Ryzen5 7530U</t>
  </si>
  <si>
    <t>Intel Core i5-1335U non compatible 4G</t>
  </si>
  <si>
    <t>Intel Core i7-1355U non compatible 4G</t>
  </si>
  <si>
    <t>AMD Ryzen5 PRO 7530U compatible caméra HD infrarouge</t>
  </si>
  <si>
    <t>AMD Ryzen5 7530U compatible caméra 5MP infrarouge</t>
  </si>
  <si>
    <t>Ecran 13,3" Très Haute-Définition Tactile 400 nits pour Caméra HD</t>
  </si>
  <si>
    <t>Ecran 13,3" Très Haute-Définition Tactile 400 nits pour Caméra HD Infrarouge</t>
  </si>
  <si>
    <t>Ecran 13,3" Très Haute-Définition Anti-reflets Tactile 1000 nits pour Caméra HD Infrarouge filtre de confidentialité intégré</t>
  </si>
  <si>
    <t>Ecran 14" Très Haute-Définition Anti-reflets LED 400 nits pour Caméra HD</t>
  </si>
  <si>
    <t>Ecran 15.6" Très Haute-Définition Anti-reflets LED 400 nits pour Caméra HD</t>
  </si>
  <si>
    <t>Ajout second disque 256GB PCIe 2230 NVMe Value SSD</t>
  </si>
  <si>
    <t>Ecran 13,3" WUXGA Anti-reflets LED 300 nits compatible 4G pour caméra FHD</t>
  </si>
  <si>
    <t>Ecran 13,3" WUXGA Anti-reflets LED 300 nits pour Caméra 5MP Infrarouge</t>
  </si>
  <si>
    <t>Ecran 13,3" WUXGA Anti-reflets LED 300 nits compatible 4G pour Caméra 5MP Infrarouge</t>
  </si>
  <si>
    <t>Ecran 13,3" WUXGA Anti-reflets tactile LED 300 nits pour Caméra FHD</t>
  </si>
  <si>
    <t>Ecran 13,3" WUXGA Anti-reflets tactile LED 300 nits compatible 4G pour Caméra 5MP Infrarouge</t>
  </si>
  <si>
    <t xml:space="preserve">Ecran 13,3" WUXGA Anti-reflets LED Tactile 400 nits pour Caméra FHD  </t>
  </si>
  <si>
    <t>Ecran 13,3" WUXGA Anti-reflets LED 400 nits pour Caméra 5MP Infrarouge</t>
  </si>
  <si>
    <t xml:space="preserve">Ecran 13,3" WUXGA Anti-reflets LED 400 nits compatible 4G pour Caméra 5MP Infrarouge </t>
  </si>
  <si>
    <t xml:space="preserve">Ecran 13,3" WUXGA Anti-reflets LED 1000 nits pour Caméra 5MP Infrarouge avec filtre de confidentalité intégré </t>
  </si>
  <si>
    <t>Ecran 13,3" WUXGA Anti-reflets LED 1000 nits compatible 4G pour Caméra 5MP Infrarouge avec filtre de confidentalité intégré</t>
  </si>
  <si>
    <t>Ecran 14" WUXGA Anti-reflets LED 300 nits Compatible 4G pour Caméra FHD</t>
  </si>
  <si>
    <t>Ecran 14" WUXGA Anti-reflets LED 300 nits pour Caméra 5MP Infrarouge</t>
  </si>
  <si>
    <t>Ecran 14" WUXGA Anti-reflets  LED 300 nits Compatible 4G pour Caméra 5MP Infrarouge</t>
  </si>
  <si>
    <t>Ecran 14" WUXGA Anti-reflets LED Tactile 300 nits pour Caméra 5MP Infrarouge</t>
  </si>
  <si>
    <t>Ecran 14" WUXGA Anti-reflets LED Tactile 300 nits Compatible 4G pour Caméra 5MP Infrarouge</t>
  </si>
  <si>
    <t xml:space="preserve">Ecran 14" WUXGA Anti-reflets LED 400 nits pour Caméra FHD </t>
  </si>
  <si>
    <t>Ecran 14" WUXGA Anti-reflets LED 400 nits pour Caméra 5MP Infrarouge</t>
  </si>
  <si>
    <t>Ecran 14" WUXGA Anti-reflets LED 400 nits Compatible 4G pour Caméra 5MP Infrarouge</t>
  </si>
  <si>
    <t xml:space="preserve">Ecran 14" WUXGA Anti-reflets LED 1000 nits pour Caméra 5MP Infrarouge avec filtre de confidentialité intégré </t>
  </si>
  <si>
    <t xml:space="preserve">Ecran 14" WUXGA Anti-reflets LED 1000 nits Compatible 4G pour Caméra 5MP Infrarouge avec filtre de confidentialité intégré </t>
  </si>
  <si>
    <t>Ecran 16" WUXGA Anti-reflets LED 300 nits Compatible 4G pour Caméra 5MP Infrarouge</t>
  </si>
  <si>
    <t>Ecran 16" WUXGA Anti-reflets LED 300 nits pour Caméra 5MP Infrarouge</t>
  </si>
  <si>
    <t>Ecran 16" WUXGA Anti-reflets LED Tactile 300 nits pour Caméra 5MP Infrarouge</t>
  </si>
  <si>
    <t>Ecran 16" WUXGA Anti-reflets LED Tactile 300 nits Compatible 4G pour Caméra 5MP Infrarouge</t>
  </si>
  <si>
    <t>Ecran 16" WUXGA Anti-reflets LED Tactile 400 nits pour Caméra 5MP Infrarouge</t>
  </si>
  <si>
    <t>Ecran 16" WUXGA Anti-reflets LED 400 nits Compatible 4G pour Caméra 5MP Infrarouge</t>
  </si>
  <si>
    <t>Ecran 16" WUXGA Anti-reflets LED 1000 nits pour Caméra 5MP Infrarouge avec filtre de confidentialité intégré</t>
  </si>
  <si>
    <t>Ecran 16" WUXGA Anti-reflets LED 1000 nits Compatible 4G pour Caméra 5MP Infrarouge avec filtre de confidentialité intégré</t>
  </si>
  <si>
    <t xml:space="preserve">Ecran 13,3" WUXGA Anti-reflets LED 300 nits pour Caméra 5MP Infrarouge </t>
  </si>
  <si>
    <t xml:space="preserve">Ecran 13,3" WUXGA Anti-reflets LED 300 nits Compatible 4G/5G pour Caméra 5MP  </t>
  </si>
  <si>
    <t xml:space="preserve">Ecran 13,3" WUXGA Anti-reflets LED 300 nits Compatible 4G/5G pour Caméra 5MP Infrarouge </t>
  </si>
  <si>
    <t xml:space="preserve">Ecran 13,3" WUXGA Anti-reflets LED Tactile 300 nits pour Caméra 5MP Infrarouge </t>
  </si>
  <si>
    <t xml:space="preserve">Ecran 13,3" WUXGA Anti-reflets LED 400 nits pour Caméra 5MP Infrarouge </t>
  </si>
  <si>
    <t xml:space="preserve">Ecran 13,3" WUXGA Anti-reflets LED Tactile 300 nits Compatible 4G/5G pour Caméra 5MP Infrarouge </t>
  </si>
  <si>
    <t xml:space="preserve">Ecran 13,3" WUXGA Anti-reflets LED 400 nits Compatible 4G et 5G pour Caméra 5MP Infrarouge </t>
  </si>
  <si>
    <t>Ecran 13,3" WUXGA Anti-reflets LED 1000 nits pour Caméra 5MP avec filtre de confidentialité intégré</t>
  </si>
  <si>
    <t>Ecran 13,3" WUXGA Anti-reflets LED 1000 nits pour Caméra 5MP Infrarouge avec filtre de confidentialité intégré</t>
  </si>
  <si>
    <t>Ecran 13,3" WUXGA Anti-reflets LED 1000 nits Compatible 4G et 5G pour Caméra 5MP Infrarouge avec filtre de confidentialité intégré</t>
  </si>
  <si>
    <t xml:space="preserve">Ecran 14" WUXGA Anti-reflets LED 300 nits Compatible 4G/5G pour Caméra 5MP </t>
  </si>
  <si>
    <t>Ecran 14" WUXGA Anti-reflets LED 300 nits Compatible 4G/5G pour Caméra 5MP Infrarouge</t>
  </si>
  <si>
    <t>Ecran 14" WUXGA Anti-reflets LED Tactile 300 nits Compatible 4G/5G pour Caméra 5MP Infrarouge</t>
  </si>
  <si>
    <t>Ecran 14" WUXGA Anti-reflets LED 400 nits Compatible 4G/5G pour Caméra 5MP Infrarouge</t>
  </si>
  <si>
    <t>Ecran 14" WUXGA Anti-reflets LED 800 nits pour Caméra 5MP avec filtre de confidentialité intégré</t>
  </si>
  <si>
    <t>Ecran 14" WUXGA Anti-reflets LED 800 nits pour Caméra 5MP Infrarouge avec filtre de confidentialité intégré</t>
  </si>
  <si>
    <t>Ecran 14" WUXGA Anti-reflets LED 800 nits Compatible 4G/5G pour Caméra 5MP Infrarouge avec filtre de confidentialité intégré</t>
  </si>
  <si>
    <t>Ecran 14" WUXGA Anti-reflets LED 800 nits Tactile Compatible 4G/5G pour Caméra 5MP Infrarouge avec filtre de confidentialité intégré</t>
  </si>
  <si>
    <t>Ecran 16,0" WUXGA Anti-reflets LED 300 nits pour Caméra 5MP Infrarouge</t>
  </si>
  <si>
    <t>Ecran 16,0" WUXGA Anti-reflets LED 300 nits Compatible 4G/5G pour Caméra 5MP Infrarouge</t>
  </si>
  <si>
    <t xml:space="preserve">Ecran 16,0" WUXGA Anti-reflets LED 300 nits Compatible 4G/5G pour Caméra 5MP </t>
  </si>
  <si>
    <t>Ecran 16,0" WUXGA Anti-reflets LED Tactile 300 nits pour Caméra 5MP Infrarouge</t>
  </si>
  <si>
    <t>Ecran 16,0" WUXGA Anti-reflets LED Tactile 300 nits Compatible 4G/5G pour Caméra 5MP Infrarouge</t>
  </si>
  <si>
    <t>Ecran 16,0" WUXGA Anti-reflets LED 400 nits pour Caméra 5MP Infrarouge</t>
  </si>
  <si>
    <t>Ecran 16,0" WUXGA Anti-reflets LED 400 nits Compatible 4G/5G pour Caméra 5MP Infrarouge</t>
  </si>
  <si>
    <t>Ecran 16,0" WUXGA Anti-reflets LED 1000 nits pour Caméra 5MP Infrarouge avec filtre de confidentialité intégré</t>
  </si>
  <si>
    <t>Ecran 16,0" WUXGA Anti-reflets LED 1000 nits pour Caméra 5MP avec filtre de confidentialité intégré</t>
  </si>
  <si>
    <t>Ecran 16,0" WUXGA Anti-reflets LED 1000 nits Compatible 4G/5G pour Caméra 5MP Infrarouge SureView Capteur de luminosité ambiante</t>
  </si>
  <si>
    <t>Ecran 14'' WUXGA Brillant Tactile 1000 nits compatible 4G/5G Caméra 5MP IR filtre de confidentialité</t>
  </si>
  <si>
    <t>Ecran 14'' WUXGA Anti-Reflets Tactile 1000 nits compatible 4G/5G Caméra 5MP IR filtre de confidentialité</t>
  </si>
  <si>
    <t xml:space="preserve">Ecran 14'' WUXGA Brillant Tactile 400 nits compatible 4G et 5G pour Caméra 5MP IR </t>
  </si>
  <si>
    <t>Ecran 13,5" WUXGA+ Brillant Tactile 1000 nits filtre de confidentialité intégré</t>
  </si>
  <si>
    <t>512GB PCIe-4x4 NVMe TLC SSD</t>
  </si>
  <si>
    <t>1TB PCIe NVMe Value SSD</t>
  </si>
  <si>
    <t>512GB PCIe-4x4  NVMe TLC SSD</t>
  </si>
  <si>
    <t>1TB PCIe-4x4 2280 NVMe TLC SSD</t>
  </si>
  <si>
    <t>Module Wi-Fi Intel AX211 Wi-Fi 6E vPro 160 MHz +Bluetooth 5.3</t>
  </si>
  <si>
    <t>Filtre de confidentialité HP 16 pouces pour dalle 16:10</t>
  </si>
  <si>
    <t>Filtre de confidentialité HP 15.6 pouces pour dalle 16:9</t>
  </si>
  <si>
    <t>Filtre de confidentialité HP 14 pouces pour dalle 16:10</t>
  </si>
  <si>
    <t>Filtre de confidentialité HP 14 pouces pour dalle 16:9</t>
  </si>
  <si>
    <t>Filtre de confidentialité HP 13.3 pouces dalle 16:10</t>
  </si>
  <si>
    <t>Filtre de confidentialité HP 13.3 pouces pour dalle 16:9</t>
  </si>
  <si>
    <t>U80N3E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</si>
</sst>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6" formatCode="#,##0\ &quot;€&quot;;[Red]\-#,##0\ &quot;€&quot;"/>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dd/mm/yy;@"/>
    <numFmt numFmtId="167" formatCode="0.000%"/>
    <numFmt numFmtId="168" formatCode="0.0000"/>
    <numFmt numFmtId="169" formatCode="#,##0.00\ [$€-40C]"/>
    <numFmt numFmtId="170" formatCode="_-* #,##0.00\ [$€-40C]_-;\-* #,##0.00\ [$€-40C]_-;_-* &quot;-&quot;??\ [$€-40C]_-;_-@_-"/>
    <numFmt numFmtId="171" formatCode="_(&quot;€&quot;* #,##0.00_);_(&quot;€&quot;* \(#,##0.00\);_(&quot;€&quot;* &quot;-&quot;??_);_(@_)"/>
    <numFmt numFmtId="172" formatCode="[$$-409]#,##0.00;[Red]\-[$$-409]#,##0.00"/>
    <numFmt numFmtId="173" formatCode="#,##0\ [$€-1];[Red]\-#,##0\ [$€-1]"/>
    <numFmt numFmtId="174" formatCode="#,##0.00\ [$€-1];[Red]\-#,##0.00\ [$€-1]"/>
    <numFmt numFmtId="175" formatCode="#,##0\ &quot;€&quot;"/>
    <numFmt numFmtId="176" formatCode="_([$€-2]\ * #,##0.00_);_([$€-2]\ * \(#,##0.00\);_([$€-2]\ * &quot;-&quot;??_);_(@_)"/>
  </numFmts>
  <fonts count="62" x14ac:knownFonts="1">
    <font>
      <sz val="11"/>
      <color theme="1"/>
      <name val="Calibri"/>
      <family val="2"/>
      <scheme val="minor"/>
    </font>
    <font>
      <sz val="11"/>
      <color theme="1"/>
      <name val="Calibri"/>
      <family val="2"/>
      <scheme val="minor"/>
    </font>
    <font>
      <sz val="11"/>
      <color theme="1"/>
      <name val="Arial"/>
      <family val="2"/>
    </font>
    <font>
      <b/>
      <sz val="10"/>
      <name val="Arial"/>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sz val="10"/>
      <color rgb="FF000000"/>
      <name val="Arial"/>
      <family val="2"/>
    </font>
    <font>
      <sz val="10"/>
      <color rgb="FFFF0000"/>
      <name val="Arial"/>
      <family val="2"/>
    </font>
    <font>
      <sz val="11"/>
      <color rgb="FF9C6500"/>
      <name val="Calibri"/>
      <family val="2"/>
      <scheme val="minor"/>
    </font>
    <font>
      <b/>
      <sz val="10"/>
      <color theme="0"/>
      <name val="Arial"/>
      <family val="2"/>
    </font>
    <font>
      <b/>
      <sz val="12"/>
      <color indexed="12"/>
      <name val="Arial"/>
      <family val="2"/>
    </font>
    <font>
      <sz val="28"/>
      <color theme="1"/>
      <name val="Calibri"/>
      <family val="2"/>
      <scheme val="minor"/>
    </font>
    <font>
      <sz val="8"/>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0"/>
      <name val="Arial"/>
      <family val="2"/>
    </font>
    <font>
      <sz val="11"/>
      <color rgb="FF000000"/>
      <name val="Arial"/>
      <family val="2"/>
    </font>
    <font>
      <b/>
      <sz val="11"/>
      <name val="Arial"/>
      <family val="2"/>
    </font>
    <font>
      <sz val="11"/>
      <color theme="9"/>
      <name val="Arial"/>
      <family val="2"/>
    </font>
    <font>
      <b/>
      <sz val="11"/>
      <color indexed="12"/>
      <name val="Arial"/>
      <family val="2"/>
    </font>
    <font>
      <b/>
      <sz val="11"/>
      <color rgb="FF000000"/>
      <name val="Arial"/>
      <family val="2"/>
    </font>
    <font>
      <b/>
      <sz val="11"/>
      <color indexed="64"/>
      <name val="Arial"/>
      <family val="2"/>
    </font>
    <font>
      <sz val="11"/>
      <color indexed="64"/>
      <name val="Arial"/>
      <family val="2"/>
    </font>
    <font>
      <sz val="11"/>
      <color rgb="FFFF0000"/>
      <name val="Arial"/>
      <family val="2"/>
    </font>
    <font>
      <b/>
      <sz val="11"/>
      <color rgb="FFFF0000"/>
      <name val="Arial"/>
      <family val="2"/>
    </font>
    <font>
      <sz val="11"/>
      <color rgb="FF9C6500"/>
      <name val="Arial"/>
      <family val="2"/>
    </font>
    <font>
      <b/>
      <sz val="11"/>
      <color theme="0"/>
      <name val="Arial"/>
      <family val="2"/>
    </font>
    <font>
      <b/>
      <sz val="11"/>
      <color rgb="FF0000FF"/>
      <name val="Arial"/>
      <family val="2"/>
    </font>
    <font>
      <sz val="11"/>
      <color rgb="FF000000"/>
      <name val="Calibri"/>
      <family val="2"/>
    </font>
  </fonts>
  <fills count="77">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rgb="FFA6A6A6"/>
        <bgColor rgb="FF000000"/>
      </patternFill>
    </fill>
    <fill>
      <patternFill patternType="solid">
        <fgColor theme="2" tint="-0.249977111117893"/>
        <bgColor indexed="64"/>
      </patternFill>
    </fill>
    <fill>
      <patternFill patternType="solid">
        <fgColor rgb="FFD8D8D8"/>
        <bgColor rgb="FF000000"/>
      </patternFill>
    </fill>
    <fill>
      <patternFill patternType="solid">
        <fgColor rgb="FFFFE699"/>
        <bgColor rgb="FF000000"/>
      </patternFill>
    </fill>
    <fill>
      <patternFill patternType="solid">
        <fgColor rgb="FFFFE699"/>
        <bgColor rgb="FFC0C0C0"/>
      </patternFill>
    </fill>
    <fill>
      <patternFill patternType="solid">
        <fgColor rgb="FFFF0000"/>
        <bgColor indexed="64"/>
      </patternFill>
    </fill>
    <fill>
      <patternFill patternType="solid">
        <fgColor rgb="FF92D050"/>
        <bgColor indexed="64"/>
      </patternFill>
    </fill>
    <fill>
      <patternFill patternType="solid">
        <fgColor rgb="FFDBDBDB"/>
        <bgColor rgb="FF000000"/>
      </patternFill>
    </fill>
  </fills>
  <borders count="3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D3D3D3"/>
      </right>
      <top/>
      <bottom style="thin">
        <color rgb="FFD3D3D3"/>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01">
    <xf numFmtId="0" fontId="0" fillId="0" borderId="0"/>
    <xf numFmtId="0" fontId="6" fillId="0" borderId="0"/>
    <xf numFmtId="0" fontId="5" fillId="0" borderId="0"/>
    <xf numFmtId="0" fontId="11" fillId="2" borderId="0" applyNumberFormat="0" applyBorder="0" applyAlignment="0" applyProtection="0"/>
    <xf numFmtId="0" fontId="11"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18" fillId="0" borderId="0"/>
    <xf numFmtId="0" fontId="6" fillId="0" borderId="0"/>
    <xf numFmtId="0" fontId="6" fillId="0" borderId="0"/>
    <xf numFmtId="0" fontId="6" fillId="0" borderId="0"/>
    <xf numFmtId="0" fontId="6" fillId="0" borderId="0"/>
    <xf numFmtId="0" fontId="6" fillId="0" borderId="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3"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19" fillId="35"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3" fillId="45" borderId="16" applyNumberFormat="0" applyAlignment="0" applyProtection="0"/>
    <xf numFmtId="0" fontId="23" fillId="45" borderId="16" applyNumberFormat="0" applyAlignment="0" applyProtection="0"/>
    <xf numFmtId="0" fontId="23" fillId="45" borderId="16"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0" fillId="31" borderId="15" applyNumberFormat="0" applyAlignment="0" applyProtection="0"/>
    <xf numFmtId="0" fontId="30" fillId="31" borderId="15" applyNumberFormat="0" applyAlignment="0" applyProtection="0"/>
    <xf numFmtId="0" fontId="30" fillId="31" borderId="15" applyNumberFormat="0" applyAlignment="0" applyProtection="0"/>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22" fillId="44" borderId="15" applyNumberFormat="0" applyAlignment="0" applyProtection="0"/>
    <xf numFmtId="0" fontId="22" fillId="44" borderId="15" applyNumberFormat="0" applyAlignment="0" applyProtection="0"/>
    <xf numFmtId="0" fontId="22" fillId="44" borderId="15" applyNumberFormat="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6" fillId="0" borderId="17" applyNumberFormat="0" applyFill="0" applyAlignment="0" applyProtection="0"/>
    <xf numFmtId="0" fontId="26" fillId="0" borderId="17" applyNumberFormat="0" applyFill="0" applyAlignment="0" applyProtection="0"/>
    <xf numFmtId="0" fontId="26" fillId="0" borderId="17"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1" fillId="0" borderId="20" applyNumberFormat="0" applyFill="0" applyAlignment="0" applyProtection="0"/>
    <xf numFmtId="0" fontId="31" fillId="0" borderId="20" applyNumberFormat="0" applyFill="0" applyAlignment="0" applyProtection="0"/>
    <xf numFmtId="0" fontId="31" fillId="0" borderId="20" applyNumberFormat="0" applyFill="0" applyAlignment="0" applyProtection="0"/>
    <xf numFmtId="0" fontId="6" fillId="0" borderId="0"/>
    <xf numFmtId="0" fontId="6" fillId="0" borderId="0"/>
    <xf numFmtId="0" fontId="1" fillId="0" borderId="0"/>
    <xf numFmtId="0" fontId="6" fillId="47" borderId="21" applyNumberFormat="0" applyFont="0" applyAlignment="0" applyProtection="0"/>
    <xf numFmtId="0" fontId="6" fillId="47" borderId="21" applyNumberFormat="0" applyFont="0" applyAlignment="0" applyProtection="0"/>
    <xf numFmtId="0" fontId="33" fillId="44" borderId="22" applyNumberFormat="0" applyAlignment="0" applyProtection="0"/>
    <xf numFmtId="0" fontId="33" fillId="44" borderId="22" applyNumberFormat="0" applyAlignment="0" applyProtection="0"/>
    <xf numFmtId="0" fontId="33" fillId="44" borderId="22" applyNumberFormat="0" applyAlignment="0" applyProtection="0"/>
    <xf numFmtId="0" fontId="34"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23" applyNumberFormat="0" applyFill="0" applyAlignment="0" applyProtection="0"/>
    <xf numFmtId="0" fontId="36" fillId="0" borderId="23" applyNumberFormat="0" applyFill="0" applyAlignment="0" applyProtection="0"/>
    <xf numFmtId="0" fontId="36" fillId="0" borderId="2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164" fontId="18" fillId="0" borderId="0" applyFont="0" applyFill="0" applyBorder="0" applyAlignment="0" applyProtection="0"/>
    <xf numFmtId="0" fontId="40" fillId="48" borderId="24" applyAlignment="0">
      <alignment horizontal="center" vertical="top" wrapText="1"/>
    </xf>
    <xf numFmtId="0" fontId="39" fillId="0" borderId="0" applyNumberFormat="0" applyFill="0" applyBorder="0" applyAlignment="0" applyProtection="0"/>
    <xf numFmtId="172" fontId="6"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1" fillId="49" borderId="0" applyNumberFormat="0" applyBorder="0"/>
    <xf numFmtId="0" fontId="41" fillId="50" borderId="0" applyNumberFormat="0" applyBorder="0"/>
    <xf numFmtId="0" fontId="41" fillId="51" borderId="0" applyNumberFormat="0" applyBorder="0"/>
    <xf numFmtId="0" fontId="41" fillId="52" borderId="0" applyNumberFormat="0" applyBorder="0"/>
    <xf numFmtId="0" fontId="41" fillId="53" borderId="0" applyNumberFormat="0" applyBorder="0"/>
    <xf numFmtId="0" fontId="41" fillId="54" borderId="0" applyNumberFormat="0" applyBorder="0"/>
    <xf numFmtId="0" fontId="41" fillId="55" borderId="0" applyNumberFormat="0" applyBorder="0"/>
    <xf numFmtId="0" fontId="41" fillId="56" borderId="0" applyNumberFormat="0" applyBorder="0"/>
    <xf numFmtId="0" fontId="41" fillId="57" borderId="0" applyNumberFormat="0" applyBorder="0"/>
    <xf numFmtId="0" fontId="41" fillId="52" borderId="0" applyNumberFormat="0" applyBorder="0"/>
    <xf numFmtId="0" fontId="41" fillId="55" borderId="0" applyNumberFormat="0" applyBorder="0"/>
    <xf numFmtId="0" fontId="41" fillId="58" borderId="0" applyNumberFormat="0" applyBorder="0"/>
    <xf numFmtId="0" fontId="42" fillId="59" borderId="0" applyNumberFormat="0" applyBorder="0"/>
    <xf numFmtId="0" fontId="42" fillId="56" borderId="0" applyNumberFormat="0" applyBorder="0"/>
    <xf numFmtId="0" fontId="42" fillId="57" borderId="0" applyNumberFormat="0" applyBorder="0"/>
    <xf numFmtId="0" fontId="42" fillId="60" borderId="0" applyNumberFormat="0" applyBorder="0"/>
    <xf numFmtId="0" fontId="42" fillId="61" borderId="0" applyNumberFormat="0" applyBorder="0"/>
    <xf numFmtId="0" fontId="42" fillId="62" borderId="0" applyNumberFormat="0" applyBorder="0"/>
    <xf numFmtId="0" fontId="42" fillId="63" borderId="0" applyNumberFormat="0" applyBorder="0"/>
    <xf numFmtId="0" fontId="42" fillId="64" borderId="0" applyNumberFormat="0" applyBorder="0"/>
    <xf numFmtId="0" fontId="42" fillId="65" borderId="0" applyNumberFormat="0" applyBorder="0"/>
    <xf numFmtId="0" fontId="42" fillId="60" borderId="0" applyNumberFormat="0" applyBorder="0"/>
    <xf numFmtId="0" fontId="42" fillId="61" borderId="0" applyNumberFormat="0" applyBorder="0"/>
    <xf numFmtId="0" fontId="42" fillId="66" borderId="0" applyNumberFormat="0" applyBorder="0"/>
    <xf numFmtId="0" fontId="22" fillId="67" borderId="15" applyNumberFormat="0"/>
    <xf numFmtId="0" fontId="30" fillId="54" borderId="15" applyNumberFormat="0"/>
    <xf numFmtId="0" fontId="43" fillId="0" borderId="0" applyNumberFormat="0" applyFill="0" applyBorder="0"/>
    <xf numFmtId="0" fontId="21" fillId="50" borderId="0" applyNumberFormat="0" applyBorder="0"/>
    <xf numFmtId="0" fontId="44" fillId="0" borderId="0" applyNumberFormat="0" applyFill="0" applyBorder="0">
      <alignment vertical="top"/>
    </xf>
    <xf numFmtId="0" fontId="32" fillId="68" borderId="0" applyNumberFormat="0" applyBorder="0"/>
    <xf numFmtId="0" fontId="1" fillId="0" borderId="0"/>
    <xf numFmtId="0" fontId="25" fillId="51" borderId="0" applyNumberFormat="0" applyBorder="0"/>
    <xf numFmtId="0" fontId="33" fillId="67" borderId="22" applyNumberFormat="0"/>
    <xf numFmtId="0" fontId="45" fillId="0" borderId="0" applyNumberFormat="0" applyFill="0" applyBorder="0"/>
    <xf numFmtId="0" fontId="46" fillId="0" borderId="0" applyFont="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7" fillId="0" borderId="0"/>
    <xf numFmtId="0" fontId="6" fillId="0" borderId="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43" borderId="0" applyNumberFormat="0" applyBorder="0" applyAlignment="0" applyProtection="0"/>
    <xf numFmtId="0" fontId="29" fillId="0" borderId="0" applyNumberFormat="0" applyFill="0" applyBorder="0" applyAlignment="0" applyProtection="0">
      <alignment vertical="top"/>
      <protection locked="0"/>
    </xf>
    <xf numFmtId="0" fontId="34" fillId="0" borderId="0"/>
    <xf numFmtId="0" fontId="35" fillId="0" borderId="0" applyNumberForma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1" fillId="0" borderId="0" applyBorder="0"/>
    <xf numFmtId="0" fontId="6" fillId="0" borderId="0"/>
    <xf numFmtId="0" fontId="6" fillId="0" borderId="0"/>
  </cellStyleXfs>
  <cellXfs count="432">
    <xf numFmtId="0" fontId="0" fillId="0" borderId="0" xfId="0"/>
    <xf numFmtId="0" fontId="13"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5" applyFont="1" applyBorder="1" applyAlignment="1">
      <alignment vertical="center"/>
    </xf>
    <xf numFmtId="9" fontId="0" fillId="0" borderId="2" xfId="0" applyNumberFormat="1" applyBorder="1" applyAlignment="1">
      <alignment horizontal="center"/>
    </xf>
    <xf numFmtId="176" fontId="49" fillId="76" borderId="2" xfId="0" applyNumberFormat="1" applyFont="1" applyFill="1" applyBorder="1" applyAlignment="1">
      <alignment wrapText="1"/>
    </xf>
    <xf numFmtId="0" fontId="3" fillId="6" borderId="2"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8" fillId="0" borderId="2" xfId="0" applyFont="1" applyFill="1" applyBorder="1" applyAlignment="1">
      <alignment horizontal="center" vertical="center" wrapText="1"/>
    </xf>
    <xf numFmtId="0" fontId="5" fillId="0" borderId="2" xfId="0" quotePrefix="1" applyFont="1" applyFill="1" applyBorder="1" applyAlignment="1">
      <alignment horizontal="center" vertical="center" wrapText="1"/>
    </xf>
    <xf numFmtId="0" fontId="16" fillId="6" borderId="0" xfId="0" applyFont="1" applyFill="1" applyAlignment="1">
      <alignment horizontal="center" vertical="center" wrapText="1" readingOrder="1"/>
    </xf>
    <xf numFmtId="0" fontId="16" fillId="0" borderId="0" xfId="0" applyFont="1" applyAlignment="1">
      <alignment horizontal="center" vertical="center" wrapText="1" readingOrder="1"/>
    </xf>
    <xf numFmtId="176" fontId="16" fillId="9" borderId="2" xfId="0" applyNumberFormat="1" applyFont="1" applyFill="1" applyBorder="1" applyAlignment="1">
      <alignment horizontal="center" vertical="center"/>
    </xf>
    <xf numFmtId="0" fontId="16" fillId="6" borderId="0" xfId="0" applyFont="1" applyFill="1" applyAlignment="1">
      <alignment horizontal="center" vertical="center"/>
    </xf>
    <xf numFmtId="0" fontId="16" fillId="0" borderId="0" xfId="0" applyFont="1" applyAlignment="1">
      <alignment horizontal="center" vertical="center"/>
    </xf>
    <xf numFmtId="176" fontId="16" fillId="13" borderId="2" xfId="0" applyNumberFormat="1" applyFont="1" applyFill="1" applyBorder="1" applyAlignment="1">
      <alignment horizontal="center" vertical="center"/>
    </xf>
    <xf numFmtId="176" fontId="16" fillId="16" borderId="2" xfId="0" applyNumberFormat="1" applyFont="1" applyFill="1" applyBorder="1" applyAlignment="1">
      <alignment horizontal="center" vertical="center"/>
    </xf>
    <xf numFmtId="176" fontId="50" fillId="19" borderId="2" xfId="0" applyNumberFormat="1" applyFont="1" applyFill="1" applyBorder="1" applyAlignment="1">
      <alignment horizontal="center" vertical="center"/>
    </xf>
    <xf numFmtId="0" fontId="51" fillId="69" borderId="2" xfId="0" applyFont="1" applyFill="1" applyBorder="1" applyAlignment="1">
      <alignment vertical="center"/>
    </xf>
    <xf numFmtId="0" fontId="54" fillId="10" borderId="2" xfId="0" applyFont="1" applyFill="1" applyBorder="1" applyAlignment="1">
      <alignment horizontal="left" vertical="center" wrapText="1"/>
    </xf>
    <xf numFmtId="0" fontId="50" fillId="8" borderId="2" xfId="1" applyFont="1" applyFill="1" applyBorder="1" applyAlignment="1">
      <alignment horizontal="center" vertical="center" wrapText="1"/>
    </xf>
    <xf numFmtId="10" fontId="16" fillId="9" borderId="6" xfId="0" applyNumberFormat="1" applyFont="1" applyFill="1" applyBorder="1" applyAlignment="1">
      <alignment horizontal="center" vertical="center"/>
    </xf>
    <xf numFmtId="170" fontId="2" fillId="0" borderId="3" xfId="0" applyNumberFormat="1" applyFont="1" applyBorder="1" applyAlignment="1">
      <alignment vertical="center"/>
    </xf>
    <xf numFmtId="0" fontId="47" fillId="0" borderId="2" xfId="1" applyFont="1" applyFill="1" applyBorder="1" applyAlignment="1">
      <alignment vertical="center" wrapText="1"/>
    </xf>
    <xf numFmtId="0" fontId="53" fillId="13" borderId="2" xfId="0" applyFont="1" applyFill="1" applyBorder="1" applyAlignment="1">
      <alignment horizontal="center" vertical="center" wrapText="1"/>
    </xf>
    <xf numFmtId="0" fontId="51" fillId="5" borderId="3" xfId="0" applyFont="1" applyFill="1" applyBorder="1" applyAlignment="1">
      <alignment horizontal="center" vertical="center"/>
    </xf>
    <xf numFmtId="0" fontId="47" fillId="0" borderId="13" xfId="2" applyFont="1" applyFill="1" applyBorder="1" applyAlignment="1">
      <alignment vertical="center" wrapText="1"/>
    </xf>
    <xf numFmtId="0" fontId="2" fillId="6" borderId="2" xfId="0" applyFont="1" applyFill="1" applyBorder="1" applyAlignment="1">
      <alignment vertical="center"/>
    </xf>
    <xf numFmtId="0" fontId="49" fillId="20" borderId="2" xfId="0" applyFont="1" applyFill="1" applyBorder="1" applyAlignment="1">
      <alignment horizontal="center" vertical="center" wrapText="1"/>
    </xf>
    <xf numFmtId="176" fontId="50" fillId="0" borderId="2" xfId="1" applyNumberFormat="1" applyFont="1" applyFill="1" applyBorder="1" applyAlignment="1">
      <alignment horizontal="right" vertical="center"/>
    </xf>
    <xf numFmtId="2" fontId="58" fillId="0" borderId="0" xfId="3" applyNumberFormat="1" applyFont="1" applyFill="1" applyBorder="1" applyAlignment="1">
      <alignment horizontal="right" vertical="center" wrapText="1"/>
    </xf>
    <xf numFmtId="6" fontId="51" fillId="70" borderId="2" xfId="0" applyNumberFormat="1" applyFont="1" applyFill="1" applyBorder="1" applyAlignment="1">
      <alignment horizontal="center" vertical="center" wrapText="1"/>
    </xf>
    <xf numFmtId="0" fontId="47" fillId="6" borderId="2" xfId="1" applyFont="1" applyFill="1" applyBorder="1" applyAlignment="1">
      <alignment horizontal="left" vertical="center" wrapText="1"/>
    </xf>
    <xf numFmtId="0" fontId="2" fillId="0" borderId="2" xfId="0" applyFont="1" applyBorder="1" applyAlignment="1">
      <alignment horizontal="center" wrapText="1"/>
    </xf>
    <xf numFmtId="0" fontId="50" fillId="18" borderId="2" xfId="1" applyFont="1" applyFill="1" applyBorder="1" applyAlignment="1">
      <alignment horizontal="center" vertical="center" wrapText="1"/>
    </xf>
    <xf numFmtId="176" fontId="50" fillId="6" borderId="2" xfId="1" applyNumberFormat="1" applyFont="1" applyFill="1" applyBorder="1" applyAlignment="1">
      <alignment horizontal="right" vertical="center"/>
    </xf>
    <xf numFmtId="0" fontId="49" fillId="0" borderId="1" xfId="0" applyFont="1" applyBorder="1" applyAlignment="1">
      <alignment vertical="center" wrapText="1"/>
    </xf>
    <xf numFmtId="0" fontId="53" fillId="0" borderId="2" xfId="0" applyFont="1" applyFill="1" applyBorder="1" applyAlignment="1">
      <alignment horizontal="left" vertical="center" wrapText="1"/>
    </xf>
    <xf numFmtId="0" fontId="50" fillId="7" borderId="4" xfId="1" applyFont="1" applyFill="1" applyBorder="1" applyAlignment="1">
      <alignment vertical="center" wrapText="1"/>
    </xf>
    <xf numFmtId="0" fontId="50" fillId="17" borderId="2" xfId="1" applyFont="1" applyFill="1" applyBorder="1" applyAlignment="1">
      <alignment horizontal="left" vertical="center"/>
    </xf>
    <xf numFmtId="0" fontId="2" fillId="75" borderId="0" xfId="0" applyFont="1" applyFill="1" applyAlignment="1">
      <alignment vertical="center" wrapText="1"/>
    </xf>
    <xf numFmtId="2" fontId="49" fillId="6" borderId="2" xfId="0" applyNumberFormat="1" applyFont="1" applyFill="1" applyBorder="1" applyAlignment="1">
      <alignment horizontal="center" vertical="center" wrapText="1"/>
    </xf>
    <xf numFmtId="176" fontId="50" fillId="6" borderId="2" xfId="0" applyNumberFormat="1" applyFont="1" applyFill="1" applyBorder="1" applyAlignment="1">
      <alignment horizontal="right" vertical="center"/>
    </xf>
    <xf numFmtId="0" fontId="47" fillId="3" borderId="2" xfId="0" applyFont="1" applyFill="1" applyBorder="1" applyAlignment="1">
      <alignment vertical="center"/>
    </xf>
    <xf numFmtId="0" fontId="49" fillId="0" borderId="1" xfId="0" applyFont="1" applyBorder="1" applyAlignment="1">
      <alignment horizontal="left" vertical="center" wrapText="1"/>
    </xf>
    <xf numFmtId="0" fontId="52" fillId="0" borderId="0" xfId="0" applyFont="1" applyAlignment="1">
      <alignment horizontal="center" vertical="center" wrapText="1"/>
    </xf>
    <xf numFmtId="0" fontId="50" fillId="14" borderId="2" xfId="1" applyFont="1" applyFill="1" applyBorder="1" applyAlignment="1">
      <alignment horizontal="center" vertical="center"/>
    </xf>
    <xf numFmtId="0" fontId="49" fillId="0" borderId="2" xfId="0" applyFont="1" applyBorder="1" applyAlignment="1">
      <alignment horizontal="center" vertical="center" wrapText="1"/>
    </xf>
    <xf numFmtId="0" fontId="54" fillId="10" borderId="2" xfId="0" applyFont="1" applyFill="1" applyBorder="1" applyAlignment="1">
      <alignment horizontal="center" vertical="center" wrapText="1"/>
    </xf>
    <xf numFmtId="0" fontId="49" fillId="0" borderId="2" xfId="2" applyFont="1" applyBorder="1" applyAlignment="1">
      <alignment vertical="center" wrapText="1"/>
    </xf>
    <xf numFmtId="0" fontId="2" fillId="0" borderId="2" xfId="2" applyFont="1" applyBorder="1" applyAlignment="1">
      <alignment vertical="center" wrapText="1"/>
    </xf>
    <xf numFmtId="0" fontId="2" fillId="0" borderId="0" xfId="0" applyFont="1" applyAlignment="1">
      <alignment horizontal="center" vertical="center" wrapText="1"/>
    </xf>
    <xf numFmtId="49" fontId="50" fillId="6" borderId="2" xfId="1" applyNumberFormat="1" applyFont="1" applyFill="1" applyBorder="1" applyAlignment="1">
      <alignment horizontal="left" vertical="center"/>
    </xf>
    <xf numFmtId="0" fontId="2" fillId="6" borderId="2" xfId="0" applyFont="1" applyFill="1" applyBorder="1" applyAlignment="1">
      <alignment horizontal="center" vertical="center" wrapText="1"/>
    </xf>
    <xf numFmtId="176" fontId="2" fillId="0" borderId="2" xfId="0" applyNumberFormat="1" applyFont="1" applyBorder="1" applyAlignment="1">
      <alignment vertical="center" wrapText="1"/>
    </xf>
    <xf numFmtId="0" fontId="49" fillId="0" borderId="2" xfId="0" applyFont="1" applyFill="1" applyBorder="1" applyAlignment="1">
      <alignment horizontal="left" vertical="center" wrapText="1"/>
    </xf>
    <xf numFmtId="0" fontId="49" fillId="0" borderId="7" xfId="0" applyFont="1" applyBorder="1" applyAlignment="1">
      <alignment horizontal="center" vertical="center" wrapText="1"/>
    </xf>
    <xf numFmtId="0" fontId="16" fillId="0" borderId="2" xfId="0" applyFont="1" applyBorder="1" applyAlignment="1">
      <alignment horizontal="center" vertical="center" wrapText="1"/>
    </xf>
    <xf numFmtId="176" fontId="2" fillId="0" borderId="5" xfId="0" applyNumberFormat="1" applyFont="1" applyBorder="1" applyAlignment="1">
      <alignment vertical="center" wrapText="1"/>
    </xf>
    <xf numFmtId="0" fontId="49" fillId="0" borderId="3" xfId="0" applyFont="1" applyBorder="1" applyAlignment="1">
      <alignment horizontal="center" vertical="center" wrapText="1"/>
    </xf>
    <xf numFmtId="0" fontId="50" fillId="0" borderId="2" xfId="1" applyFont="1" applyFill="1" applyBorder="1" applyAlignment="1">
      <alignment vertical="center" wrapText="1"/>
    </xf>
    <xf numFmtId="49" fontId="47" fillId="6" borderId="2" xfId="1" applyNumberFormat="1" applyFont="1" applyFill="1" applyBorder="1" applyAlignment="1">
      <alignment horizontal="left" vertical="center"/>
    </xf>
    <xf numFmtId="0" fontId="16" fillId="0" borderId="2" xfId="0" applyFont="1" applyFill="1" applyBorder="1" applyAlignment="1">
      <alignment horizontal="left" vertical="center" wrapText="1" readingOrder="1"/>
    </xf>
    <xf numFmtId="0" fontId="2" fillId="0" borderId="13" xfId="2" applyFont="1" applyBorder="1" applyAlignment="1">
      <alignment vertical="center" wrapText="1"/>
    </xf>
    <xf numFmtId="0" fontId="47" fillId="5" borderId="3" xfId="0" applyFont="1" applyFill="1" applyBorder="1" applyAlignment="1">
      <alignment vertical="center"/>
    </xf>
    <xf numFmtId="0" fontId="49" fillId="20" borderId="2" xfId="2" applyFont="1" applyFill="1" applyBorder="1" applyAlignment="1">
      <alignment vertical="center" wrapText="1"/>
    </xf>
    <xf numFmtId="0" fontId="50" fillId="24" borderId="28" xfId="0" applyFont="1" applyFill="1" applyBorder="1" applyAlignment="1">
      <alignment horizontal="center" vertical="center"/>
    </xf>
    <xf numFmtId="0" fontId="49" fillId="0" borderId="0" xfId="0" applyFont="1" applyAlignment="1">
      <alignment horizontal="left" vertical="center" wrapText="1"/>
    </xf>
    <xf numFmtId="0" fontId="50" fillId="6" borderId="2" xfId="0" applyFont="1" applyFill="1" applyBorder="1" applyAlignment="1">
      <alignment horizontal="center" vertical="center" wrapText="1"/>
    </xf>
    <xf numFmtId="176" fontId="50" fillId="0" borderId="2" xfId="0" applyNumberFormat="1" applyFont="1" applyBorder="1" applyAlignment="1">
      <alignment horizontal="right" vertical="center"/>
    </xf>
    <xf numFmtId="6" fontId="47" fillId="0" borderId="5" xfId="0" applyNumberFormat="1" applyFont="1" applyFill="1" applyBorder="1" applyAlignment="1">
      <alignment horizontal="center" vertical="center" wrapText="1"/>
    </xf>
    <xf numFmtId="0" fontId="57" fillId="0" borderId="2" xfId="0" applyFont="1" applyFill="1" applyBorder="1" applyAlignment="1">
      <alignment horizontal="left" vertical="center" wrapText="1"/>
    </xf>
    <xf numFmtId="0" fontId="50" fillId="4" borderId="2" xfId="0" applyFont="1" applyFill="1" applyBorder="1" applyAlignment="1">
      <alignment vertical="center" wrapText="1"/>
    </xf>
    <xf numFmtId="0" fontId="16" fillId="6" borderId="2" xfId="0" applyFont="1" applyFill="1" applyBorder="1" applyAlignment="1">
      <alignment horizontal="left" vertical="center"/>
    </xf>
    <xf numFmtId="176" fontId="49" fillId="0" borderId="2" xfId="0" applyNumberFormat="1" applyFont="1" applyBorder="1"/>
    <xf numFmtId="0" fontId="47" fillId="0" borderId="0" xfId="2" applyFont="1" applyFill="1" applyBorder="1" applyAlignment="1">
      <alignment vertical="center" wrapText="1"/>
    </xf>
    <xf numFmtId="0" fontId="2" fillId="6" borderId="0" xfId="0" applyFont="1" applyFill="1" applyAlignment="1">
      <alignment horizontal="left" vertical="center"/>
    </xf>
    <xf numFmtId="0" fontId="2" fillId="0" borderId="2" xfId="0" applyFont="1" applyFill="1" applyBorder="1" applyAlignment="1">
      <alignment horizontal="left" vertical="center" wrapText="1" readingOrder="1"/>
    </xf>
    <xf numFmtId="0" fontId="2" fillId="0" borderId="2" xfId="0" applyFont="1" applyBorder="1" applyAlignment="1">
      <alignment vertical="center"/>
    </xf>
    <xf numFmtId="0" fontId="47" fillId="0" borderId="2" xfId="0" applyFont="1" applyBorder="1" applyAlignment="1">
      <alignment horizontal="left" vertical="center" wrapText="1"/>
    </xf>
    <xf numFmtId="0" fontId="49" fillId="0" borderId="2" xfId="0" applyFont="1" applyFill="1" applyBorder="1" applyAlignment="1">
      <alignment vertical="center" wrapText="1"/>
    </xf>
    <xf numFmtId="0" fontId="50" fillId="24" borderId="29" xfId="0" applyFont="1" applyFill="1" applyBorder="1" applyAlignment="1">
      <alignment horizontal="center" vertical="center"/>
    </xf>
    <xf numFmtId="0" fontId="2" fillId="0" borderId="2" xfId="0" applyFont="1" applyFill="1" applyBorder="1" applyAlignment="1">
      <alignment vertical="center" wrapText="1"/>
    </xf>
    <xf numFmtId="0" fontId="53" fillId="6" borderId="2" xfId="0" applyFont="1" applyFill="1" applyBorder="1" applyAlignment="1">
      <alignment horizontal="left" vertical="center" wrapText="1"/>
    </xf>
    <xf numFmtId="176" fontId="50" fillId="12" borderId="2" xfId="1" applyNumberFormat="1" applyFont="1" applyFill="1" applyBorder="1" applyAlignment="1">
      <alignment horizontal="center" vertical="center" wrapText="1"/>
    </xf>
    <xf numFmtId="0" fontId="49" fillId="0" borderId="2" xfId="0" applyFont="1" applyFill="1" applyBorder="1" applyAlignment="1">
      <alignment wrapText="1"/>
    </xf>
    <xf numFmtId="0" fontId="47" fillId="8" borderId="2" xfId="1" applyFont="1" applyFill="1" applyBorder="1" applyAlignment="1">
      <alignment horizontal="center" vertical="center" wrapText="1"/>
    </xf>
    <xf numFmtId="0" fontId="47" fillId="0" borderId="2" xfId="0" applyFont="1" applyBorder="1" applyAlignment="1">
      <alignment wrapText="1"/>
    </xf>
    <xf numFmtId="176" fontId="2" fillId="0" borderId="2" xfId="5" applyNumberFormat="1" applyFont="1" applyFill="1" applyBorder="1" applyAlignment="1">
      <alignment wrapText="1"/>
    </xf>
    <xf numFmtId="0" fontId="47" fillId="0" borderId="2" xfId="2" applyFont="1" applyBorder="1" applyAlignment="1">
      <alignment vertical="center" wrapText="1"/>
    </xf>
    <xf numFmtId="0" fontId="53" fillId="9" borderId="2" xfId="0" applyFont="1" applyFill="1" applyBorder="1" applyAlignment="1">
      <alignment vertical="center" wrapText="1"/>
    </xf>
    <xf numFmtId="0" fontId="49" fillId="0" borderId="1" xfId="0" applyFont="1" applyBorder="1" applyAlignment="1">
      <alignment horizontal="center" vertical="center" wrapText="1"/>
    </xf>
    <xf numFmtId="0" fontId="50" fillId="24" borderId="10" xfId="0" applyFont="1" applyFill="1" applyBorder="1" applyAlignment="1">
      <alignment horizontal="center" vertical="center"/>
    </xf>
    <xf numFmtId="0" fontId="16" fillId="9" borderId="6" xfId="0" applyFont="1" applyFill="1" applyBorder="1" applyAlignment="1">
      <alignment horizontal="center" vertical="center"/>
    </xf>
    <xf numFmtId="10" fontId="16" fillId="9" borderId="2" xfId="0" applyNumberFormat="1" applyFont="1" applyFill="1" applyBorder="1" applyAlignment="1">
      <alignment horizontal="center" vertical="center"/>
    </xf>
    <xf numFmtId="0" fontId="49" fillId="0" borderId="2" xfId="2" applyFont="1" applyBorder="1" applyAlignment="1">
      <alignment horizontal="left" vertical="center" wrapText="1"/>
    </xf>
    <xf numFmtId="0" fontId="50" fillId="11" borderId="2" xfId="1" applyFont="1" applyFill="1" applyBorder="1" applyAlignment="1">
      <alignment horizontal="center" vertical="center"/>
    </xf>
    <xf numFmtId="0" fontId="49" fillId="20" borderId="2" xfId="0" applyFont="1" applyFill="1" applyBorder="1" applyAlignment="1">
      <alignment horizontal="left" vertical="center" wrapText="1"/>
    </xf>
    <xf numFmtId="0" fontId="50" fillId="7" borderId="4" xfId="1" applyFont="1" applyFill="1" applyBorder="1" applyAlignment="1">
      <alignment horizontal="center" vertical="center" wrapText="1"/>
    </xf>
    <xf numFmtId="0" fontId="2" fillId="0" borderId="2" xfId="0" applyFont="1" applyBorder="1" applyAlignment="1">
      <alignment horizontal="center" vertical="center" wrapText="1"/>
    </xf>
    <xf numFmtId="0" fontId="16" fillId="9" borderId="1" xfId="0" applyFont="1" applyFill="1" applyBorder="1" applyAlignment="1">
      <alignment horizontal="center" vertical="center"/>
    </xf>
    <xf numFmtId="0" fontId="2" fillId="0" borderId="14" xfId="2" applyFont="1" applyBorder="1" applyAlignment="1">
      <alignment vertical="center" wrapText="1"/>
    </xf>
    <xf numFmtId="0" fontId="16" fillId="22" borderId="3" xfId="0" applyFont="1" applyFill="1" applyBorder="1" applyAlignment="1">
      <alignment horizontal="left" vertical="center"/>
    </xf>
    <xf numFmtId="170" fontId="2" fillId="0" borderId="2" xfId="0" applyNumberFormat="1" applyFont="1" applyBorder="1" applyAlignment="1">
      <alignment vertical="center"/>
    </xf>
    <xf numFmtId="0" fontId="50" fillId="0" borderId="28" xfId="0" applyFont="1" applyBorder="1" applyAlignment="1">
      <alignment horizontal="center" vertical="center"/>
    </xf>
    <xf numFmtId="0" fontId="50" fillId="4" borderId="2" xfId="0" applyFont="1" applyFill="1" applyBorder="1" applyAlignment="1">
      <alignment vertical="center"/>
    </xf>
    <xf numFmtId="0" fontId="2" fillId="0" borderId="2" xfId="0" applyFont="1" applyFill="1" applyBorder="1" applyAlignment="1">
      <alignment horizontal="left" vertical="center"/>
    </xf>
    <xf numFmtId="0" fontId="2" fillId="6" borderId="2" xfId="0" applyFont="1" applyFill="1" applyBorder="1" applyAlignment="1">
      <alignment wrapText="1"/>
    </xf>
    <xf numFmtId="6" fontId="47" fillId="5" borderId="3" xfId="0" applyNumberFormat="1" applyFont="1" applyFill="1" applyBorder="1" applyAlignment="1">
      <alignment horizontal="center" vertical="center" wrapText="1"/>
    </xf>
    <xf numFmtId="0" fontId="47" fillId="0" borderId="2" xfId="1" applyFont="1" applyFill="1" applyBorder="1" applyAlignment="1">
      <alignment horizontal="center" vertical="center" wrapText="1"/>
    </xf>
    <xf numFmtId="0" fontId="54" fillId="10" borderId="2" xfId="0" applyFont="1" applyFill="1" applyBorder="1" applyAlignment="1">
      <alignment vertical="center"/>
    </xf>
    <xf numFmtId="0" fontId="47" fillId="6" borderId="2" xfId="0" applyFont="1" applyFill="1" applyBorder="1" applyAlignment="1">
      <alignment vertical="center" wrapText="1"/>
    </xf>
    <xf numFmtId="0" fontId="50" fillId="12" borderId="2" xfId="1" applyFont="1" applyFill="1" applyBorder="1" applyAlignment="1">
      <alignment horizontal="center" vertical="center" wrapText="1"/>
    </xf>
    <xf numFmtId="0" fontId="50" fillId="0" borderId="10" xfId="0" applyFont="1" applyBorder="1" applyAlignment="1">
      <alignment horizontal="center" vertical="center"/>
    </xf>
    <xf numFmtId="0" fontId="58" fillId="0" borderId="0" xfId="3" applyFont="1" applyFill="1" applyBorder="1" applyAlignment="1">
      <alignment horizontal="center" vertical="center" wrapText="1"/>
    </xf>
    <xf numFmtId="0" fontId="52" fillId="0" borderId="0" xfId="0" applyFont="1" applyAlignment="1">
      <alignment vertical="center"/>
    </xf>
    <xf numFmtId="0" fontId="2" fillId="0" borderId="3" xfId="0" applyFont="1" applyFill="1" applyBorder="1" applyAlignment="1">
      <alignment horizontal="center" vertical="center" wrapText="1"/>
    </xf>
    <xf numFmtId="0" fontId="54" fillId="10" borderId="2" xfId="0" applyFont="1" applyFill="1" applyBorder="1" applyAlignment="1">
      <alignment horizontal="center" vertical="center"/>
    </xf>
    <xf numFmtId="49" fontId="50" fillId="0" borderId="2" xfId="1" applyNumberFormat="1" applyFont="1" applyFill="1" applyBorder="1" applyAlignment="1">
      <alignment horizontal="left" vertical="center"/>
    </xf>
    <xf numFmtId="0" fontId="2" fillId="6" borderId="2" xfId="0" applyFont="1" applyFill="1" applyBorder="1" applyAlignment="1">
      <alignment horizontal="center" wrapText="1"/>
    </xf>
    <xf numFmtId="6" fontId="51" fillId="5" borderId="3" xfId="0" applyNumberFormat="1" applyFont="1" applyFill="1" applyBorder="1" applyAlignment="1">
      <alignment horizontal="center" vertical="center"/>
    </xf>
    <xf numFmtId="0" fontId="49" fillId="6" borderId="2" xfId="0" applyFont="1" applyFill="1" applyBorder="1" applyAlignment="1">
      <alignment horizontal="center" vertical="center" wrapText="1"/>
    </xf>
    <xf numFmtId="0" fontId="55" fillId="10" borderId="2" xfId="0" applyFont="1" applyFill="1" applyBorder="1" applyAlignment="1">
      <alignment horizontal="center" vertical="center"/>
    </xf>
    <xf numFmtId="49" fontId="16" fillId="6" borderId="2" xfId="0" applyNumberFormat="1" applyFont="1" applyFill="1" applyBorder="1" applyAlignment="1">
      <alignment vertical="center" wrapText="1"/>
    </xf>
    <xf numFmtId="0" fontId="50" fillId="7" borderId="3" xfId="1" applyFont="1" applyFill="1" applyBorder="1" applyAlignment="1">
      <alignment vertical="center" wrapText="1"/>
    </xf>
    <xf numFmtId="0" fontId="2" fillId="0" borderId="2" xfId="0" applyFont="1" applyFill="1" applyBorder="1" applyAlignment="1">
      <alignment horizontal="center" vertical="center" wrapText="1"/>
    </xf>
    <xf numFmtId="0" fontId="2" fillId="0" borderId="2" xfId="0" applyFont="1" applyBorder="1" applyAlignment="1">
      <alignment vertical="center" wrapText="1"/>
    </xf>
    <xf numFmtId="0" fontId="16" fillId="22" borderId="4" xfId="0" applyFont="1" applyFill="1" applyBorder="1" applyAlignment="1">
      <alignment wrapText="1"/>
    </xf>
    <xf numFmtId="0" fontId="50" fillId="22" borderId="2" xfId="0" applyFont="1" applyFill="1" applyBorder="1" applyAlignment="1">
      <alignment horizontal="center" vertical="center" wrapText="1"/>
    </xf>
    <xf numFmtId="176" fontId="50" fillId="10" borderId="2" xfId="0" applyNumberFormat="1" applyFont="1" applyFill="1" applyBorder="1" applyAlignment="1">
      <alignment horizontal="right" vertical="center"/>
    </xf>
    <xf numFmtId="0" fontId="54" fillId="4" borderId="2" xfId="0" applyFont="1" applyFill="1" applyBorder="1" applyAlignment="1">
      <alignment vertical="center"/>
    </xf>
    <xf numFmtId="176" fontId="2" fillId="0" borderId="2" xfId="239" applyNumberFormat="1" applyFont="1" applyBorder="1" applyAlignment="1">
      <alignment wrapText="1"/>
    </xf>
    <xf numFmtId="0" fontId="2" fillId="0" borderId="1" xfId="0" applyFont="1" applyBorder="1" applyAlignment="1">
      <alignment horizontal="center" vertical="center" wrapText="1"/>
    </xf>
    <xf numFmtId="0" fontId="2" fillId="6" borderId="0" xfId="0" applyFont="1" applyFill="1" applyBorder="1" applyAlignment="1">
      <alignment horizontal="center" vertical="center" wrapText="1"/>
    </xf>
    <xf numFmtId="0" fontId="50" fillId="0" borderId="2" xfId="0" applyFont="1" applyBorder="1" applyAlignment="1">
      <alignment horizontal="center" vertical="center" wrapText="1"/>
    </xf>
    <xf numFmtId="6" fontId="51" fillId="5" borderId="2" xfId="0" applyNumberFormat="1" applyFont="1" applyFill="1" applyBorder="1" applyAlignment="1">
      <alignment vertical="center"/>
    </xf>
    <xf numFmtId="2" fontId="54" fillId="10" borderId="2" xfId="0" applyNumberFormat="1" applyFont="1" applyFill="1" applyBorder="1" applyAlignment="1">
      <alignment horizontal="center" vertical="center"/>
    </xf>
    <xf numFmtId="167" fontId="56" fillId="0" borderId="7" xfId="0" applyNumberFormat="1" applyFont="1" applyBorder="1" applyAlignment="1">
      <alignment horizontal="center" vertical="center"/>
    </xf>
    <xf numFmtId="0" fontId="47" fillId="0" borderId="25" xfId="2" applyFont="1" applyFill="1" applyBorder="1" applyAlignment="1">
      <alignment vertical="center" wrapText="1"/>
    </xf>
    <xf numFmtId="0" fontId="47" fillId="0" borderId="2" xfId="1" applyFont="1" applyFill="1" applyBorder="1" applyAlignment="1">
      <alignment horizontal="left" vertical="center" wrapText="1"/>
    </xf>
    <xf numFmtId="0" fontId="54" fillId="4" borderId="2" xfId="0" applyFont="1" applyFill="1" applyBorder="1" applyAlignment="1">
      <alignment horizontal="center" vertical="center"/>
    </xf>
    <xf numFmtId="176" fontId="16" fillId="6" borderId="2" xfId="1" applyNumberFormat="1" applyFont="1" applyFill="1" applyBorder="1" applyAlignment="1">
      <alignment horizontal="right" vertical="center"/>
    </xf>
    <xf numFmtId="176" fontId="49" fillId="0" borderId="2" xfId="0" applyNumberFormat="1" applyFont="1" applyBorder="1" applyAlignment="1">
      <alignment horizontal="right" vertical="center" wrapText="1"/>
    </xf>
    <xf numFmtId="0" fontId="8" fillId="9" borderId="2" xfId="0" applyFont="1" applyFill="1" applyBorder="1" applyAlignment="1">
      <alignment horizontal="center" vertical="center" wrapText="1"/>
    </xf>
    <xf numFmtId="0" fontId="47" fillId="0" borderId="1" xfId="0" applyFont="1" applyBorder="1" applyAlignment="1">
      <alignment vertical="center"/>
    </xf>
    <xf numFmtId="176" fontId="54" fillId="10" borderId="2" xfId="0" applyNumberFormat="1" applyFont="1" applyFill="1" applyBorder="1" applyAlignment="1">
      <alignment horizontal="center" vertical="center" wrapText="1"/>
    </xf>
    <xf numFmtId="176" fontId="47" fillId="10" borderId="2" xfId="0" applyNumberFormat="1" applyFont="1" applyFill="1" applyBorder="1" applyAlignment="1">
      <alignment horizontal="right" vertical="center"/>
    </xf>
    <xf numFmtId="0" fontId="58" fillId="0" borderId="0" xfId="3" applyFont="1" applyFill="1" applyBorder="1" applyAlignment="1">
      <alignment horizontal="left" vertical="center" wrapText="1"/>
    </xf>
    <xf numFmtId="0" fontId="52" fillId="0" borderId="0" xfId="0" applyFont="1" applyAlignment="1">
      <alignment horizontal="left" vertical="center" wrapText="1"/>
    </xf>
    <xf numFmtId="0" fontId="13" fillId="0" borderId="0" xfId="0" applyFont="1" applyAlignment="1">
      <alignment vertical="center" wrapText="1"/>
    </xf>
    <xf numFmtId="0" fontId="2" fillId="0" borderId="2" xfId="0" applyFont="1" applyFill="1" applyBorder="1" applyAlignment="1">
      <alignment wrapText="1"/>
    </xf>
    <xf numFmtId="0" fontId="2" fillId="0" borderId="3" xfId="0" applyFont="1" applyBorder="1" applyAlignment="1">
      <alignment horizontal="center" vertical="center" wrapText="1"/>
    </xf>
    <xf numFmtId="176" fontId="55" fillId="10" borderId="2" xfId="0" applyNumberFormat="1" applyFont="1" applyFill="1" applyBorder="1" applyAlignment="1">
      <alignment horizontal="right" vertical="center"/>
    </xf>
    <xf numFmtId="0" fontId="47" fillId="0" borderId="3" xfId="0" applyFont="1" applyFill="1" applyBorder="1" applyAlignment="1">
      <alignment horizontal="center" wrapText="1"/>
    </xf>
    <xf numFmtId="0" fontId="49" fillId="6" borderId="2" xfId="0" applyFont="1" applyFill="1" applyBorder="1" applyAlignment="1">
      <alignment vertical="center" wrapText="1"/>
    </xf>
    <xf numFmtId="0" fontId="51" fillId="5" borderId="0" xfId="0" applyFont="1" applyFill="1" applyAlignment="1">
      <alignment horizontal="center" vertical="center"/>
    </xf>
    <xf numFmtId="176" fontId="49" fillId="25" borderId="2" xfId="0" applyNumberFormat="1" applyFont="1" applyFill="1" applyBorder="1" applyAlignment="1">
      <alignment horizontal="right" vertical="center" wrapText="1"/>
    </xf>
    <xf numFmtId="0" fontId="50" fillId="6" borderId="2" xfId="1" applyFont="1" applyFill="1" applyBorder="1" applyAlignment="1">
      <alignment horizontal="center" vertical="center" wrapText="1"/>
    </xf>
    <xf numFmtId="0" fontId="49" fillId="0" borderId="2" xfId="0" applyFont="1" applyFill="1" applyBorder="1" applyAlignment="1">
      <alignment horizontal="center" vertical="center" wrapText="1"/>
    </xf>
    <xf numFmtId="2" fontId="49" fillId="0" borderId="2" xfId="0" applyNumberFormat="1" applyFont="1" applyBorder="1" applyAlignment="1">
      <alignment horizontal="center" vertical="center" wrapText="1"/>
    </xf>
    <xf numFmtId="0" fontId="16" fillId="0" borderId="2" xfId="0" applyFont="1" applyBorder="1" applyAlignment="1">
      <alignment horizontal="center" wrapText="1"/>
    </xf>
    <xf numFmtId="0" fontId="47" fillId="0" borderId="3" xfId="0" applyFont="1" applyFill="1" applyBorder="1" applyAlignment="1">
      <alignment horizontal="center" vertical="center" wrapText="1"/>
    </xf>
    <xf numFmtId="0" fontId="53" fillId="71" borderId="2" xfId="0" applyFont="1" applyFill="1" applyBorder="1" applyAlignment="1">
      <alignment horizontal="center" vertical="center" wrapText="1"/>
    </xf>
    <xf numFmtId="0" fontId="16" fillId="22" borderId="5" xfId="0" applyFont="1" applyFill="1" applyBorder="1" applyAlignment="1">
      <alignment wrapText="1"/>
    </xf>
    <xf numFmtId="49" fontId="47" fillId="0" borderId="2" xfId="1" applyNumberFormat="1" applyFont="1" applyBorder="1" applyAlignment="1">
      <alignment horizontal="left" vertical="center"/>
    </xf>
    <xf numFmtId="0" fontId="16" fillId="0" borderId="2" xfId="0" applyFont="1" applyFill="1" applyBorder="1" applyAlignment="1">
      <alignment horizontal="left" vertical="center"/>
    </xf>
    <xf numFmtId="0" fontId="50" fillId="6" borderId="2" xfId="1" applyFont="1" applyFill="1" applyBorder="1" applyAlignment="1">
      <alignment vertical="center" wrapText="1"/>
    </xf>
    <xf numFmtId="0" fontId="53" fillId="19" borderId="2" xfId="0" applyFont="1" applyFill="1" applyBorder="1" applyAlignment="1">
      <alignment horizontal="center" vertical="center" wrapText="1"/>
    </xf>
    <xf numFmtId="0" fontId="2" fillId="0" borderId="0" xfId="0" applyFont="1" applyAlignment="1">
      <alignment horizontal="left" vertical="center" wrapText="1"/>
    </xf>
    <xf numFmtId="0" fontId="47" fillId="0" borderId="2" xfId="0" applyFont="1" applyBorder="1" applyAlignment="1">
      <alignment vertical="center" wrapText="1"/>
    </xf>
    <xf numFmtId="176" fontId="2" fillId="0" borderId="2" xfId="239" applyNumberFormat="1" applyFont="1" applyFill="1" applyBorder="1" applyAlignment="1">
      <alignment wrapText="1"/>
    </xf>
    <xf numFmtId="49" fontId="2" fillId="0" borderId="2" xfId="0" applyNumberFormat="1" applyFont="1" applyBorder="1" applyAlignment="1">
      <alignment vertical="center" wrapText="1"/>
    </xf>
    <xf numFmtId="176" fontId="50" fillId="15" borderId="2" xfId="1" applyNumberFormat="1" applyFont="1" applyFill="1" applyBorder="1" applyAlignment="1">
      <alignment horizontal="center" vertical="center" wrapText="1"/>
    </xf>
    <xf numFmtId="49" fontId="47" fillId="0" borderId="2" xfId="1" applyNumberFormat="1" applyFont="1" applyFill="1" applyBorder="1" applyAlignment="1">
      <alignment horizontal="left" vertical="center"/>
    </xf>
    <xf numFmtId="176" fontId="49" fillId="21" borderId="2" xfId="0" applyNumberFormat="1" applyFont="1" applyFill="1" applyBorder="1" applyAlignment="1">
      <alignment horizontal="right" vertical="center" wrapText="1"/>
    </xf>
    <xf numFmtId="176" fontId="49" fillId="6" borderId="2" xfId="0" applyNumberFormat="1" applyFont="1" applyFill="1" applyBorder="1" applyAlignment="1">
      <alignment horizontal="right" vertical="center" wrapText="1"/>
    </xf>
    <xf numFmtId="0" fontId="53" fillId="0" borderId="0" xfId="0" applyFont="1" applyAlignment="1">
      <alignment vertical="center" wrapText="1"/>
    </xf>
    <xf numFmtId="0" fontId="51" fillId="5" borderId="1" xfId="0" applyFont="1" applyFill="1" applyBorder="1" applyAlignment="1">
      <alignment horizontal="center" vertical="center"/>
    </xf>
    <xf numFmtId="0" fontId="58" fillId="0" borderId="8" xfId="3" applyFont="1" applyFill="1" applyBorder="1" applyAlignment="1">
      <alignment horizontal="left" vertical="center" wrapText="1"/>
    </xf>
    <xf numFmtId="6" fontId="47" fillId="0" borderId="2" xfId="0" applyNumberFormat="1" applyFont="1" applyFill="1" applyBorder="1" applyAlignment="1">
      <alignment horizontal="center" vertical="center" wrapText="1"/>
    </xf>
    <xf numFmtId="0" fontId="50" fillId="0" borderId="2" xfId="1" applyFont="1" applyFill="1" applyBorder="1" applyAlignment="1">
      <alignment horizontal="center" vertical="center" wrapText="1"/>
    </xf>
    <xf numFmtId="0" fontId="49" fillId="0" borderId="3" xfId="0" applyFont="1" applyBorder="1" applyAlignment="1">
      <alignment horizontal="left" vertical="center" wrapText="1"/>
    </xf>
    <xf numFmtId="10" fontId="16" fillId="9" borderId="1" xfId="0" applyNumberFormat="1" applyFont="1" applyFill="1" applyBorder="1" applyAlignment="1">
      <alignment horizontal="center" vertical="center"/>
    </xf>
    <xf numFmtId="0" fontId="50" fillId="0" borderId="9" xfId="0" applyFont="1" applyBorder="1" applyAlignment="1">
      <alignment horizontal="center" vertical="center"/>
    </xf>
    <xf numFmtId="0" fontId="53" fillId="16" borderId="2" xfId="0" applyFont="1" applyFill="1" applyBorder="1" applyAlignment="1">
      <alignment horizontal="center" vertical="center" wrapText="1"/>
    </xf>
    <xf numFmtId="0" fontId="50" fillId="0" borderId="2" xfId="1" applyFont="1" applyBorder="1" applyAlignment="1">
      <alignment vertical="center" wrapText="1"/>
    </xf>
    <xf numFmtId="0" fontId="2" fillId="6" borderId="2" xfId="0" applyFont="1" applyFill="1" applyBorder="1" applyAlignment="1">
      <alignment horizontal="left" vertical="center"/>
    </xf>
    <xf numFmtId="0" fontId="51" fillId="5" borderId="0" xfId="0" applyFont="1" applyFill="1" applyAlignment="1">
      <alignment vertical="center"/>
    </xf>
    <xf numFmtId="0" fontId="47" fillId="0" borderId="14" xfId="2" applyFont="1" applyFill="1" applyBorder="1" applyAlignment="1">
      <alignment vertical="center" wrapText="1"/>
    </xf>
    <xf numFmtId="176" fontId="50" fillId="18" borderId="2" xfId="1" applyNumberFormat="1" applyFont="1" applyFill="1" applyBorder="1" applyAlignment="1">
      <alignment horizontal="center" vertical="center" wrapText="1"/>
    </xf>
    <xf numFmtId="0" fontId="51" fillId="69" borderId="2" xfId="0" applyFont="1" applyFill="1" applyBorder="1" applyAlignment="1">
      <alignment horizontal="center" vertical="center"/>
    </xf>
    <xf numFmtId="0" fontId="50" fillId="15" borderId="2" xfId="1" applyFont="1" applyFill="1" applyBorder="1" applyAlignment="1">
      <alignment horizontal="center" vertical="center" wrapText="1"/>
    </xf>
    <xf numFmtId="6" fontId="51" fillId="5" borderId="0" xfId="0" applyNumberFormat="1" applyFont="1" applyFill="1" applyAlignment="1">
      <alignment horizontal="center" vertical="center"/>
    </xf>
    <xf numFmtId="0" fontId="2" fillId="6" borderId="0" xfId="0" applyFont="1" applyFill="1" applyAlignment="1">
      <alignment wrapText="1"/>
    </xf>
    <xf numFmtId="173" fontId="47" fillId="0" borderId="2" xfId="0" applyNumberFormat="1" applyFont="1" applyFill="1" applyBorder="1" applyAlignment="1">
      <alignment horizontal="center" vertical="center"/>
    </xf>
    <xf numFmtId="0" fontId="50" fillId="17" borderId="2" xfId="1" applyFont="1" applyFill="1" applyBorder="1" applyAlignment="1">
      <alignment horizontal="center" vertical="center"/>
    </xf>
    <xf numFmtId="0" fontId="16" fillId="0" borderId="0" xfId="0" applyFont="1" applyAlignment="1">
      <alignment horizontal="left" vertical="center"/>
    </xf>
    <xf numFmtId="0" fontId="2" fillId="0" borderId="0" xfId="0" applyFont="1" applyAlignment="1">
      <alignment vertical="top" wrapText="1" readingOrder="1"/>
    </xf>
    <xf numFmtId="0" fontId="5"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13" fillId="0" borderId="2" xfId="0" applyFont="1" applyBorder="1" applyAlignment="1">
      <alignment horizontal="center" vertical="center" wrapText="1"/>
    </xf>
    <xf numFmtId="168" fontId="10" fillId="0" borderId="2" xfId="0" applyNumberFormat="1" applyFont="1" applyBorder="1" applyAlignment="1">
      <alignment horizontal="center" vertical="center"/>
    </xf>
    <xf numFmtId="0" fontId="8" fillId="0" borderId="2" xfId="0" applyFont="1" applyBorder="1" applyAlignment="1">
      <alignment horizontal="center" vertical="center" wrapText="1"/>
    </xf>
    <xf numFmtId="169" fontId="5" fillId="0" borderId="2" xfId="0" applyNumberFormat="1" applyFont="1" applyBorder="1"/>
    <xf numFmtId="0" fontId="2" fillId="75" borderId="0" xfId="0" applyFont="1" applyFill="1" applyAlignment="1">
      <alignment vertical="center"/>
    </xf>
    <xf numFmtId="0" fontId="2" fillId="74" borderId="0" xfId="0" applyFont="1" applyFill="1" applyAlignment="1">
      <alignment vertical="center" wrapText="1"/>
    </xf>
    <xf numFmtId="0" fontId="2" fillId="6" borderId="0" xfId="0" applyFont="1" applyFill="1" applyAlignment="1">
      <alignment vertical="center" wrapText="1"/>
    </xf>
    <xf numFmtId="0" fontId="5" fillId="0" borderId="0" xfId="0" applyFont="1" applyAlignment="1">
      <alignment horizontal="center" vertical="center" wrapText="1"/>
    </xf>
    <xf numFmtId="0" fontId="2" fillId="0" borderId="0" xfId="0" applyFont="1" applyAlignment="1">
      <alignment horizontal="right" vertical="center"/>
    </xf>
    <xf numFmtId="2" fontId="47" fillId="0" borderId="0" xfId="0" applyNumberFormat="1" applyFont="1" applyAlignment="1">
      <alignment vertical="center"/>
    </xf>
    <xf numFmtId="0" fontId="2" fillId="6" borderId="0" xfId="0" applyFont="1" applyFill="1" applyAlignment="1">
      <alignment horizontal="center" vertical="center"/>
    </xf>
    <xf numFmtId="0" fontId="47" fillId="0" borderId="0" xfId="0" applyFont="1" applyAlignment="1">
      <alignment horizontal="right" vertical="center"/>
    </xf>
    <xf numFmtId="0" fontId="9" fillId="0" borderId="2" xfId="0" applyFont="1" applyFill="1" applyBorder="1" applyAlignment="1">
      <alignment horizontal="center" vertical="center" wrapText="1"/>
    </xf>
    <xf numFmtId="0" fontId="2" fillId="0" borderId="0" xfId="0" applyFont="1" applyFill="1" applyAlignment="1">
      <alignment vertical="center"/>
    </xf>
    <xf numFmtId="0" fontId="5" fillId="0" borderId="0" xfId="0" applyFont="1" applyFill="1" applyAlignment="1">
      <alignment vertical="center" wrapText="1"/>
    </xf>
    <xf numFmtId="0" fontId="6" fillId="0" borderId="2" xfId="0" applyFont="1" applyFill="1" applyBorder="1" applyAlignment="1">
      <alignment horizontal="center" vertical="center" wrapText="1"/>
    </xf>
    <xf numFmtId="0" fontId="2" fillId="0" borderId="0" xfId="0" applyFont="1" applyFill="1" applyAlignment="1">
      <alignment vertical="center" wrapText="1"/>
    </xf>
    <xf numFmtId="0" fontId="2" fillId="0" borderId="2" xfId="0" applyFont="1" applyFill="1" applyBorder="1" applyAlignment="1">
      <alignment vertical="center"/>
    </xf>
    <xf numFmtId="0" fontId="2" fillId="6" borderId="0" xfId="0" applyFont="1" applyFill="1" applyAlignment="1">
      <alignment vertical="center" wrapText="1" readingOrder="1"/>
    </xf>
    <xf numFmtId="0" fontId="2" fillId="0" borderId="0" xfId="0" applyFont="1" applyAlignment="1">
      <alignment horizontal="right" vertical="center" wrapText="1" readingOrder="1"/>
    </xf>
    <xf numFmtId="0" fontId="2" fillId="6"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2" fillId="75" borderId="0" xfId="0" applyFont="1" applyFill="1" applyAlignment="1">
      <alignment vertical="center" wrapText="1" readingOrder="1"/>
    </xf>
    <xf numFmtId="0" fontId="2" fillId="0" borderId="0" xfId="0" applyFont="1" applyFill="1" applyAlignment="1">
      <alignment vertical="center" wrapText="1" readingOrder="1"/>
    </xf>
    <xf numFmtId="0" fontId="2" fillId="0" borderId="2" xfId="0" applyFont="1" applyFill="1" applyBorder="1" applyAlignment="1">
      <alignment horizontal="center" vertical="center"/>
    </xf>
    <xf numFmtId="0" fontId="2" fillId="74" borderId="0" xfId="0" applyFont="1" applyFill="1" applyAlignment="1">
      <alignment vertical="center" wrapText="1" readingOrder="1"/>
    </xf>
    <xf numFmtId="0" fontId="2" fillId="6"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0" xfId="0" applyFont="1" applyFill="1" applyAlignment="1">
      <alignment horizontal="center" vertical="center" wrapText="1"/>
    </xf>
    <xf numFmtId="176" fontId="5" fillId="0" borderId="2" xfId="0" applyNumberFormat="1" applyFont="1" applyFill="1" applyBorder="1" applyAlignment="1">
      <alignment horizontal="right" vertical="center" wrapText="1"/>
    </xf>
    <xf numFmtId="176" fontId="2" fillId="0" borderId="2" xfId="0" applyNumberFormat="1" applyFont="1" applyBorder="1" applyAlignment="1">
      <alignment horizontal="right" vertical="center" wrapText="1" readingOrder="1"/>
    </xf>
    <xf numFmtId="176" fontId="2" fillId="0" borderId="2" xfId="0" applyNumberFormat="1" applyFont="1" applyBorder="1" applyAlignment="1">
      <alignment horizontal="right" vertical="center"/>
    </xf>
    <xf numFmtId="176" fontId="2" fillId="4" borderId="2" xfId="0" applyNumberFormat="1" applyFont="1" applyFill="1" applyBorder="1" applyAlignment="1">
      <alignment horizontal="right" vertical="center"/>
    </xf>
    <xf numFmtId="176" fontId="2" fillId="6" borderId="2" xfId="0" applyNumberFormat="1" applyFont="1" applyFill="1" applyBorder="1" applyAlignment="1">
      <alignment horizontal="right" vertical="center"/>
    </xf>
    <xf numFmtId="176" fontId="2" fillId="0" borderId="2" xfId="0" applyNumberFormat="1" applyFont="1" applyFill="1" applyBorder="1" applyAlignment="1">
      <alignment horizontal="right" vertical="center"/>
    </xf>
    <xf numFmtId="176" fontId="2" fillId="13" borderId="2" xfId="0" applyNumberFormat="1" applyFont="1" applyFill="1" applyBorder="1" applyAlignment="1">
      <alignment horizontal="center" vertical="center"/>
    </xf>
    <xf numFmtId="176" fontId="47" fillId="4" borderId="2" xfId="0" applyNumberFormat="1" applyFont="1" applyFill="1" applyBorder="1" applyAlignment="1">
      <alignment horizontal="right" vertical="center"/>
    </xf>
    <xf numFmtId="176" fontId="47" fillId="0" borderId="2" xfId="0" applyNumberFormat="1" applyFont="1" applyBorder="1" applyAlignment="1">
      <alignment horizontal="right" vertical="center"/>
    </xf>
    <xf numFmtId="176" fontId="2" fillId="16" borderId="2" xfId="0" applyNumberFormat="1" applyFont="1" applyFill="1" applyBorder="1" applyAlignment="1">
      <alignment horizontal="center" vertical="center"/>
    </xf>
    <xf numFmtId="176" fontId="47" fillId="19" borderId="2" xfId="0" applyNumberFormat="1" applyFont="1" applyFill="1" applyBorder="1" applyAlignment="1">
      <alignment horizontal="center" vertical="center"/>
    </xf>
    <xf numFmtId="0" fontId="0" fillId="0" borderId="0" xfId="0" applyAlignment="1">
      <alignment wrapText="1"/>
    </xf>
    <xf numFmtId="0" fontId="53" fillId="0" borderId="2" xfId="0" applyFont="1" applyBorder="1" applyAlignment="1">
      <alignment horizontal="left" vertical="center" wrapText="1"/>
    </xf>
    <xf numFmtId="0" fontId="2" fillId="0" borderId="0" xfId="0" applyFont="1" applyFill="1" applyAlignment="1">
      <alignment wrapText="1"/>
    </xf>
    <xf numFmtId="0" fontId="50" fillId="18" borderId="2" xfId="1" applyFont="1" applyFill="1" applyBorder="1" applyAlignment="1">
      <alignment horizontal="left" vertical="center" wrapText="1"/>
    </xf>
    <xf numFmtId="0" fontId="47" fillId="0" borderId="2" xfId="0" applyFont="1" applyFill="1" applyBorder="1" applyAlignment="1">
      <alignment horizontal="center" vertical="center" wrapText="1"/>
    </xf>
    <xf numFmtId="6" fontId="47" fillId="0" borderId="2" xfId="0" applyNumberFormat="1" applyFont="1" applyFill="1" applyBorder="1" applyAlignment="1">
      <alignment horizontal="center" vertical="center"/>
    </xf>
    <xf numFmtId="173" fontId="47" fillId="0" borderId="3" xfId="0" applyNumberFormat="1" applyFont="1" applyFill="1" applyBorder="1" applyAlignment="1">
      <alignment horizontal="center" vertical="center"/>
    </xf>
    <xf numFmtId="176" fontId="2" fillId="0" borderId="2" xfId="0" applyNumberFormat="1" applyFont="1" applyBorder="1" applyAlignment="1">
      <alignment wrapText="1"/>
    </xf>
    <xf numFmtId="0" fontId="47" fillId="0" borderId="2" xfId="0" applyFont="1" applyFill="1" applyBorder="1" applyAlignment="1">
      <alignment horizontal="left" vertical="center" wrapText="1"/>
    </xf>
    <xf numFmtId="173" fontId="47" fillId="5" borderId="5" xfId="0" applyNumberFormat="1" applyFont="1" applyFill="1" applyBorder="1" applyAlignment="1">
      <alignment vertical="center"/>
    </xf>
    <xf numFmtId="6" fontId="51" fillId="5" borderId="2" xfId="0" applyNumberFormat="1" applyFont="1" applyFill="1" applyBorder="1" applyAlignment="1">
      <alignment horizontal="center" vertical="center"/>
    </xf>
    <xf numFmtId="0" fontId="51" fillId="5" borderId="2" xfId="0" applyFont="1" applyFill="1" applyBorder="1" applyAlignment="1">
      <alignment horizontal="center" vertical="center"/>
    </xf>
    <xf numFmtId="175" fontId="16" fillId="0" borderId="0" xfId="0" applyNumberFormat="1" applyFont="1" applyAlignment="1">
      <alignment horizontal="center" vertical="center" wrapText="1"/>
    </xf>
    <xf numFmtId="176" fontId="2" fillId="0" borderId="2" xfId="0" applyNumberFormat="1" applyFont="1" applyBorder="1" applyAlignment="1">
      <alignment horizontal="right" vertical="center" wrapText="1"/>
    </xf>
    <xf numFmtId="0" fontId="47" fillId="0" borderId="26" xfId="2" applyFont="1" applyFill="1" applyBorder="1" applyAlignment="1">
      <alignment vertical="center" wrapText="1"/>
    </xf>
    <xf numFmtId="176" fontId="2" fillId="0" borderId="2" xfId="0" applyNumberFormat="1" applyFont="1" applyFill="1" applyBorder="1" applyAlignment="1">
      <alignment vertical="center" wrapText="1"/>
    </xf>
    <xf numFmtId="0" fontId="47" fillId="6" borderId="2" xfId="0" applyFont="1" applyFill="1" applyBorder="1" applyAlignment="1">
      <alignment wrapText="1"/>
    </xf>
    <xf numFmtId="0" fontId="58" fillId="0" borderId="8" xfId="3" applyFont="1" applyFill="1" applyBorder="1" applyAlignment="1">
      <alignment horizontal="center" vertical="center" wrapText="1"/>
    </xf>
    <xf numFmtId="167" fontId="56" fillId="6" borderId="2" xfId="0" applyNumberFormat="1" applyFont="1" applyFill="1" applyBorder="1" applyAlignment="1">
      <alignment horizontal="center" vertical="center"/>
    </xf>
    <xf numFmtId="0" fontId="47" fillId="6" borderId="2" xfId="1" applyFont="1" applyFill="1" applyBorder="1" applyAlignment="1">
      <alignment vertical="center" wrapText="1"/>
    </xf>
    <xf numFmtId="49" fontId="50" fillId="0" borderId="2" xfId="1" applyNumberFormat="1" applyFont="1" applyBorder="1" applyAlignment="1">
      <alignment horizontal="left" vertical="center"/>
    </xf>
    <xf numFmtId="2" fontId="50" fillId="8" borderId="2" xfId="1" applyNumberFormat="1" applyFont="1" applyFill="1" applyBorder="1" applyAlignment="1">
      <alignment horizontal="center" vertical="center" wrapText="1"/>
    </xf>
    <xf numFmtId="0" fontId="2" fillId="0" borderId="0" xfId="0" applyFont="1" applyAlignment="1">
      <alignment horizontal="left" vertical="center"/>
    </xf>
    <xf numFmtId="175" fontId="16" fillId="7" borderId="2" xfId="1" applyNumberFormat="1" applyFont="1" applyFill="1" applyBorder="1" applyAlignment="1">
      <alignment horizontal="center" vertical="center"/>
    </xf>
    <xf numFmtId="6" fontId="51" fillId="70" borderId="2" xfId="0" applyNumberFormat="1" applyFont="1" applyFill="1" applyBorder="1" applyAlignment="1">
      <alignment horizontal="center" vertical="center"/>
    </xf>
    <xf numFmtId="0" fontId="54" fillId="4" borderId="2" xfId="0" applyFont="1" applyFill="1" applyBorder="1" applyAlignment="1">
      <alignment horizontal="left" vertical="center"/>
    </xf>
    <xf numFmtId="0" fontId="49" fillId="0" borderId="2" xfId="0" applyFont="1" applyBorder="1" applyAlignment="1">
      <alignment vertical="center" wrapText="1"/>
    </xf>
    <xf numFmtId="49" fontId="2" fillId="6" borderId="2" xfId="0" applyNumberFormat="1" applyFont="1" applyFill="1" applyBorder="1" applyAlignment="1">
      <alignment vertical="center" wrapText="1"/>
    </xf>
    <xf numFmtId="0" fontId="50" fillId="7" borderId="2" xfId="1" applyFont="1" applyFill="1" applyBorder="1" applyAlignment="1">
      <alignment horizontal="center" vertical="center"/>
    </xf>
    <xf numFmtId="0" fontId="51" fillId="5" borderId="5" xfId="0" applyFont="1" applyFill="1" applyBorder="1" applyAlignment="1">
      <alignment horizontal="center" vertical="center"/>
    </xf>
    <xf numFmtId="0" fontId="55" fillId="4" borderId="2" xfId="0" applyFont="1" applyFill="1" applyBorder="1" applyAlignment="1">
      <alignment horizontal="left" vertical="center"/>
    </xf>
    <xf numFmtId="0" fontId="50" fillId="0" borderId="2" xfId="0" applyFont="1" applyBorder="1" applyAlignment="1">
      <alignment vertical="center"/>
    </xf>
    <xf numFmtId="0" fontId="50" fillId="0" borderId="2" xfId="1" applyFont="1" applyBorder="1" applyAlignment="1">
      <alignment horizontal="center" vertical="center" wrapText="1"/>
    </xf>
    <xf numFmtId="0" fontId="53" fillId="9" borderId="2" xfId="0" applyFont="1" applyFill="1" applyBorder="1" applyAlignment="1">
      <alignment horizontal="center" vertical="center" wrapText="1"/>
    </xf>
    <xf numFmtId="0" fontId="50" fillId="3" borderId="2" xfId="0" applyFont="1" applyFill="1" applyBorder="1" applyAlignment="1">
      <alignment vertical="center"/>
    </xf>
    <xf numFmtId="6" fontId="47" fillId="5" borderId="2" xfId="0" applyNumberFormat="1" applyFont="1" applyFill="1" applyBorder="1" applyAlignment="1">
      <alignment horizontal="center" vertical="center"/>
    </xf>
    <xf numFmtId="0" fontId="58" fillId="0" borderId="27" xfId="3" applyFont="1" applyFill="1" applyBorder="1" applyAlignment="1">
      <alignment horizontal="center" vertical="center" wrapText="1"/>
    </xf>
    <xf numFmtId="176" fontId="2" fillId="6" borderId="2" xfId="0" applyNumberFormat="1" applyFont="1" applyFill="1" applyBorder="1" applyAlignment="1">
      <alignment vertical="center" wrapText="1"/>
    </xf>
    <xf numFmtId="0" fontId="49" fillId="0" borderId="2" xfId="0" applyFont="1" applyBorder="1" applyAlignment="1">
      <alignment horizontal="left" vertical="center" wrapText="1"/>
    </xf>
    <xf numFmtId="0" fontId="2" fillId="0" borderId="2" xfId="0" applyFont="1" applyBorder="1" applyAlignment="1">
      <alignment wrapText="1"/>
    </xf>
    <xf numFmtId="0" fontId="16" fillId="9" borderId="2" xfId="0" applyFont="1" applyFill="1" applyBorder="1" applyAlignment="1">
      <alignment horizontal="center" vertical="center"/>
    </xf>
    <xf numFmtId="2" fontId="54" fillId="10" borderId="3" xfId="0" applyNumberFormat="1" applyFont="1" applyFill="1" applyBorder="1" applyAlignment="1">
      <alignment horizontal="center" vertical="center"/>
    </xf>
    <xf numFmtId="2" fontId="58" fillId="0" borderId="8" xfId="3" applyNumberFormat="1" applyFont="1" applyFill="1" applyBorder="1" applyAlignment="1">
      <alignment horizontal="right" vertical="center" wrapText="1"/>
    </xf>
    <xf numFmtId="0" fontId="52" fillId="0" borderId="0" xfId="0" applyFont="1" applyAlignment="1">
      <alignment vertical="center" wrapText="1"/>
    </xf>
    <xf numFmtId="0" fontId="47" fillId="73"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55" fillId="10" borderId="2" xfId="0" applyFont="1" applyFill="1" applyBorder="1" applyAlignment="1">
      <alignment horizontal="left" vertical="center"/>
    </xf>
    <xf numFmtId="0" fontId="47" fillId="0" borderId="2" xfId="0" applyFont="1" applyFill="1" applyBorder="1" applyAlignment="1">
      <alignment vertical="center" wrapText="1"/>
    </xf>
    <xf numFmtId="6" fontId="47" fillId="0" borderId="3" xfId="0" applyNumberFormat="1" applyFont="1" applyFill="1" applyBorder="1" applyAlignment="1">
      <alignment horizontal="center" vertical="center" wrapText="1"/>
    </xf>
    <xf numFmtId="176" fontId="47" fillId="8" borderId="2" xfId="1" applyNumberFormat="1" applyFont="1" applyFill="1" applyBorder="1" applyAlignment="1">
      <alignment horizontal="center" vertical="center" wrapText="1"/>
    </xf>
    <xf numFmtId="0" fontId="54" fillId="10" borderId="2" xfId="0" applyFont="1" applyFill="1" applyBorder="1" applyAlignment="1">
      <alignment horizontal="left" vertical="center"/>
    </xf>
    <xf numFmtId="6" fontId="51" fillId="0" borderId="2" xfId="0" applyNumberFormat="1" applyFont="1" applyBorder="1" applyAlignment="1">
      <alignment horizontal="center" vertical="center"/>
    </xf>
    <xf numFmtId="0" fontId="51" fillId="5" borderId="2" xfId="0" applyFont="1" applyFill="1" applyBorder="1" applyAlignment="1">
      <alignment vertical="center"/>
    </xf>
    <xf numFmtId="176" fontId="16" fillId="0" borderId="2" xfId="1" applyNumberFormat="1" applyFont="1" applyFill="1" applyBorder="1" applyAlignment="1">
      <alignment horizontal="right" vertical="center"/>
    </xf>
    <xf numFmtId="0" fontId="50" fillId="7" borderId="5" xfId="1" applyFont="1" applyFill="1" applyBorder="1" applyAlignment="1">
      <alignment horizontal="center" vertical="center" wrapText="1"/>
    </xf>
    <xf numFmtId="0" fontId="49" fillId="6" borderId="2" xfId="0" applyFont="1" applyFill="1" applyBorder="1" applyAlignment="1">
      <alignment horizontal="left" vertical="center" wrapText="1"/>
    </xf>
    <xf numFmtId="6" fontId="47" fillId="0" borderId="3" xfId="0" applyNumberFormat="1" applyFont="1" applyFill="1" applyBorder="1" applyAlignment="1">
      <alignment horizontal="center" vertical="center"/>
    </xf>
    <xf numFmtId="0" fontId="55" fillId="4" borderId="2" xfId="0" applyFont="1" applyFill="1" applyBorder="1" applyAlignment="1">
      <alignment horizontal="center" vertical="center"/>
    </xf>
    <xf numFmtId="0" fontId="47" fillId="0" borderId="2" xfId="0" applyFont="1" applyBorder="1" applyAlignment="1">
      <alignment horizontal="left" vertical="center"/>
    </xf>
    <xf numFmtId="0" fontId="47" fillId="8" borderId="2" xfId="1" applyFont="1" applyFill="1" applyBorder="1" applyAlignment="1">
      <alignment vertical="center" wrapText="1"/>
    </xf>
    <xf numFmtId="0" fontId="2" fillId="6" borderId="2" xfId="0" applyFont="1" applyFill="1" applyBorder="1" applyAlignment="1">
      <alignment vertical="center" wrapText="1"/>
    </xf>
    <xf numFmtId="0" fontId="2" fillId="0" borderId="0" xfId="0" applyFont="1"/>
    <xf numFmtId="0" fontId="4" fillId="0" borderId="0" xfId="0" applyFont="1" applyAlignment="1">
      <alignment vertical="center" wrapText="1"/>
    </xf>
    <xf numFmtId="0" fontId="2" fillId="0" borderId="0" xfId="0" applyFont="1" applyAlignment="1">
      <alignment vertical="top" wrapText="1" readingOrder="1"/>
    </xf>
    <xf numFmtId="0" fontId="2" fillId="0" borderId="0" xfId="0" applyFont="1" applyAlignment="1">
      <alignment vertical="center"/>
    </xf>
    <xf numFmtId="0" fontId="2" fillId="0" borderId="0" xfId="0" applyFont="1" applyAlignment="1">
      <alignment horizontal="center" vertical="center"/>
    </xf>
    <xf numFmtId="0" fontId="5"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6" fillId="0" borderId="2" xfId="0" applyFont="1" applyBorder="1" applyAlignment="1">
      <alignment vertical="center" wrapText="1"/>
    </xf>
    <xf numFmtId="0" fontId="2" fillId="0" borderId="2" xfId="0" applyFont="1" applyBorder="1" applyAlignment="1">
      <alignment horizontal="left" vertical="center" wrapText="1"/>
    </xf>
    <xf numFmtId="0" fontId="38" fillId="0" borderId="0" xfId="0" applyFont="1" applyAlignment="1">
      <alignment vertical="center"/>
    </xf>
    <xf numFmtId="0" fontId="38" fillId="0" borderId="0" xfId="0" applyFont="1"/>
    <xf numFmtId="0" fontId="47" fillId="0" borderId="0" xfId="0" applyFont="1"/>
    <xf numFmtId="0" fontId="47" fillId="0" borderId="2" xfId="0" applyFont="1" applyBorder="1" applyAlignment="1">
      <alignment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6" fontId="47" fillId="0" borderId="2" xfId="0" applyNumberFormat="1" applyFont="1" applyBorder="1" applyAlignment="1">
      <alignment vertical="center"/>
    </xf>
    <xf numFmtId="0" fontId="47" fillId="0" borderId="0" xfId="0" applyFont="1" applyAlignment="1">
      <alignment vertical="center"/>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6" borderId="0" xfId="0" applyFont="1" applyFill="1" applyAlignment="1">
      <alignment vertical="center"/>
    </xf>
    <xf numFmtId="0" fontId="2" fillId="0" borderId="0" xfId="0" applyFont="1" applyAlignment="1">
      <alignment vertical="center" wrapText="1" readingOrder="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60" fillId="0" borderId="2" xfId="0" applyFont="1" applyBorder="1" applyAlignment="1">
      <alignment horizontal="center" vertical="center" wrapText="1"/>
    </xf>
    <xf numFmtId="0" fontId="56" fillId="0" borderId="2" xfId="0" applyFont="1" applyBorder="1" applyAlignment="1">
      <alignment horizontal="center" vertical="center"/>
    </xf>
    <xf numFmtId="0" fontId="53" fillId="72" borderId="7" xfId="0" applyFont="1" applyFill="1" applyBorder="1" applyAlignment="1">
      <alignment horizontal="center" vertical="center" wrapText="1"/>
    </xf>
    <xf numFmtId="0" fontId="2" fillId="0" borderId="0" xfId="0" applyFont="1" applyFill="1" applyBorder="1" applyAlignment="1">
      <alignment vertical="center" wrapText="1"/>
    </xf>
    <xf numFmtId="0" fontId="2" fillId="6" borderId="0" xfId="0" applyFont="1" applyFill="1" applyBorder="1" applyAlignment="1">
      <alignment vertical="center" wrapText="1"/>
    </xf>
    <xf numFmtId="0" fontId="2" fillId="0" borderId="0" xfId="0" applyFont="1" applyBorder="1" applyAlignment="1">
      <alignment vertical="center" wrapText="1"/>
    </xf>
    <xf numFmtId="0" fontId="49" fillId="0" borderId="1" xfId="0" applyFont="1" applyFill="1" applyBorder="1" applyAlignment="1">
      <alignment vertical="center" wrapText="1"/>
    </xf>
    <xf numFmtId="176" fontId="50" fillId="6" borderId="1" xfId="1" applyNumberFormat="1" applyFont="1" applyFill="1" applyBorder="1" applyAlignment="1">
      <alignment horizontal="right" vertical="center"/>
    </xf>
    <xf numFmtId="176" fontId="2" fillId="0" borderId="1" xfId="0" applyNumberFormat="1" applyFont="1" applyBorder="1" applyAlignment="1">
      <alignment horizontal="right" vertical="center"/>
    </xf>
    <xf numFmtId="0" fontId="52" fillId="0" borderId="2" xfId="0" applyFont="1" applyBorder="1" applyAlignment="1">
      <alignment horizontal="center" vertical="center" wrapText="1"/>
    </xf>
    <xf numFmtId="168" fontId="56" fillId="0" borderId="2" xfId="0" applyNumberFormat="1" applyFont="1" applyBorder="1" applyAlignment="1">
      <alignment horizontal="center" vertical="center"/>
    </xf>
    <xf numFmtId="0" fontId="16" fillId="9" borderId="2" xfId="0" applyFont="1" applyFill="1" applyBorder="1" applyAlignment="1">
      <alignment horizontal="center" vertical="center" wrapText="1"/>
    </xf>
    <xf numFmtId="176" fontId="54" fillId="10" borderId="2" xfId="0" applyNumberFormat="1" applyFont="1" applyFill="1" applyBorder="1" applyAlignment="1">
      <alignment horizontal="center" vertical="center"/>
    </xf>
    <xf numFmtId="176" fontId="2" fillId="0" borderId="2" xfId="0" applyNumberFormat="1" applyFont="1" applyBorder="1" applyAlignment="1">
      <alignment vertical="center"/>
    </xf>
    <xf numFmtId="176" fontId="2" fillId="0" borderId="2" xfId="0" applyNumberFormat="1" applyFont="1" applyFill="1" applyBorder="1" applyAlignment="1">
      <alignment wrapText="1"/>
    </xf>
    <xf numFmtId="176" fontId="49" fillId="0" borderId="2" xfId="0" applyNumberFormat="1" applyFont="1" applyBorder="1" applyAlignment="1">
      <alignment horizontal="left" vertical="center" wrapText="1"/>
    </xf>
    <xf numFmtId="176" fontId="58" fillId="0" borderId="2" xfId="3" applyNumberFormat="1" applyFont="1" applyFill="1" applyBorder="1" applyAlignment="1">
      <alignment horizontal="left" vertical="center" wrapText="1"/>
    </xf>
    <xf numFmtId="176" fontId="58" fillId="0" borderId="2" xfId="3" applyNumberFormat="1" applyFont="1" applyFill="1" applyBorder="1" applyAlignment="1">
      <alignment horizontal="center" vertical="center" wrapText="1"/>
    </xf>
    <xf numFmtId="176" fontId="58" fillId="0" borderId="2" xfId="3" applyNumberFormat="1" applyFont="1" applyFill="1" applyBorder="1" applyAlignment="1">
      <alignment horizontal="right" vertical="center" wrapText="1"/>
    </xf>
    <xf numFmtId="0" fontId="60" fillId="0" borderId="7" xfId="0" applyFont="1" applyBorder="1" applyAlignment="1">
      <alignment horizontal="center" vertical="center" wrapText="1"/>
    </xf>
    <xf numFmtId="0" fontId="60" fillId="0" borderId="1" xfId="0" applyFont="1" applyBorder="1" applyAlignment="1">
      <alignment horizontal="center" vertical="center" wrapText="1"/>
    </xf>
    <xf numFmtId="0" fontId="53" fillId="72" borderId="6" xfId="0" applyFont="1" applyFill="1" applyBorder="1" applyAlignment="1">
      <alignment horizontal="center" vertical="center" wrapText="1"/>
    </xf>
    <xf numFmtId="174" fontId="49" fillId="0" borderId="2" xfId="0" applyNumberFormat="1" applyFont="1" applyBorder="1"/>
    <xf numFmtId="0" fontId="13" fillId="0" borderId="0" xfId="0" applyFont="1" applyAlignment="1">
      <alignment vertical="center"/>
    </xf>
    <xf numFmtId="0" fontId="47" fillId="0" borderId="2" xfId="0" applyFont="1" applyFill="1" applyBorder="1" applyAlignment="1">
      <alignment horizontal="center" vertical="center"/>
    </xf>
    <xf numFmtId="0" fontId="49" fillId="0" borderId="2" xfId="0" applyFont="1" applyFill="1" applyBorder="1" applyAlignment="1">
      <alignment horizontal="center" vertical="center"/>
    </xf>
    <xf numFmtId="0" fontId="2" fillId="0" borderId="0" xfId="0" applyFont="1" applyFill="1" applyAlignment="1">
      <alignment horizontal="center" vertical="center"/>
    </xf>
    <xf numFmtId="0" fontId="2" fillId="0" borderId="2" xfId="0" quotePrefix="1" applyFont="1" applyFill="1" applyBorder="1" applyAlignment="1">
      <alignment horizontal="center" vertical="center"/>
    </xf>
    <xf numFmtId="169" fontId="2" fillId="0" borderId="2" xfId="0" applyNumberFormat="1" applyFont="1" applyBorder="1" applyAlignment="1">
      <alignment horizontal="right" vertical="center"/>
    </xf>
    <xf numFmtId="14" fontId="2" fillId="0" borderId="2" xfId="0" applyNumberFormat="1" applyFont="1" applyBorder="1" applyAlignment="1">
      <alignment horizontal="center" vertical="center"/>
    </xf>
    <xf numFmtId="0" fontId="16" fillId="9" borderId="2" xfId="0" applyFont="1" applyFill="1" applyBorder="1" applyAlignment="1">
      <alignment horizontal="center" vertical="center"/>
    </xf>
    <xf numFmtId="0" fontId="49" fillId="0" borderId="0" xfId="0" applyFont="1" applyBorder="1" applyAlignment="1">
      <alignment vertical="center" wrapText="1"/>
    </xf>
    <xf numFmtId="0" fontId="49" fillId="0" borderId="0" xfId="0" applyFont="1" applyBorder="1" applyAlignment="1">
      <alignment horizontal="left" vertical="center" wrapText="1"/>
    </xf>
    <xf numFmtId="0" fontId="49" fillId="0" borderId="0" xfId="0" applyFont="1" applyBorder="1" applyAlignment="1">
      <alignment horizontal="center" vertical="center" wrapText="1"/>
    </xf>
    <xf numFmtId="176" fontId="2" fillId="0" borderId="0" xfId="0" applyNumberFormat="1" applyFont="1" applyBorder="1" applyAlignment="1">
      <alignment vertical="center" wrapText="1"/>
    </xf>
    <xf numFmtId="0" fontId="2" fillId="0" borderId="0" xfId="0" applyFont="1" applyBorder="1" applyAlignment="1">
      <alignment wrapText="1"/>
    </xf>
    <xf numFmtId="170" fontId="2" fillId="0" borderId="0" xfId="0" applyNumberFormat="1" applyFont="1" applyBorder="1" applyAlignment="1">
      <alignment vertical="center"/>
    </xf>
    <xf numFmtId="0" fontId="16" fillId="9" borderId="2" xfId="0" applyFont="1" applyFill="1" applyBorder="1" applyAlignment="1">
      <alignment horizontal="center" vertical="center"/>
    </xf>
    <xf numFmtId="0" fontId="56" fillId="0" borderId="2" xfId="0" applyFont="1" applyFill="1" applyBorder="1" applyAlignment="1">
      <alignment horizontal="left"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6" fontId="47" fillId="5" borderId="7" xfId="0" applyNumberFormat="1" applyFont="1" applyFill="1" applyBorder="1" applyAlignment="1">
      <alignment horizontal="center" vertical="center"/>
    </xf>
    <xf numFmtId="6" fontId="47" fillId="5" borderId="1" xfId="0" applyNumberFormat="1" applyFont="1" applyFill="1" applyBorder="1" applyAlignment="1">
      <alignment horizontal="center" vertical="center"/>
    </xf>
    <xf numFmtId="6" fontId="47" fillId="0" borderId="3" xfId="0" applyNumberFormat="1" applyFont="1" applyFill="1" applyBorder="1" applyAlignment="1">
      <alignment horizontal="center" vertical="center"/>
    </xf>
    <xf numFmtId="6" fontId="47" fillId="0" borderId="4" xfId="0" applyNumberFormat="1" applyFont="1" applyFill="1" applyBorder="1" applyAlignment="1">
      <alignment horizontal="center" vertical="center"/>
    </xf>
    <xf numFmtId="6" fontId="47" fillId="0" borderId="5" xfId="0" applyNumberFormat="1" applyFont="1" applyFill="1" applyBorder="1" applyAlignment="1">
      <alignment horizontal="center" vertical="center"/>
    </xf>
    <xf numFmtId="0" fontId="51" fillId="5" borderId="3" xfId="0" applyFont="1" applyFill="1" applyBorder="1" applyAlignment="1">
      <alignment horizontal="center" vertical="center"/>
    </xf>
    <xf numFmtId="0" fontId="51" fillId="5" borderId="4" xfId="0" applyFont="1" applyFill="1" applyBorder="1" applyAlignment="1">
      <alignment horizontal="center" vertical="center"/>
    </xf>
    <xf numFmtId="0" fontId="51" fillId="5" borderId="5" xfId="0" applyFont="1" applyFill="1" applyBorder="1" applyAlignment="1">
      <alignment horizontal="center" vertical="center"/>
    </xf>
    <xf numFmtId="0" fontId="50" fillId="4" borderId="3" xfId="0" applyFont="1" applyFill="1" applyBorder="1" applyAlignment="1">
      <alignment horizontal="left" vertical="center"/>
    </xf>
    <xf numFmtId="0" fontId="50" fillId="4" borderId="4" xfId="0" applyFont="1" applyFill="1" applyBorder="1" applyAlignment="1">
      <alignment horizontal="left" vertical="center"/>
    </xf>
    <xf numFmtId="0" fontId="50" fillId="4" borderId="5" xfId="0" applyFont="1" applyFill="1" applyBorder="1" applyAlignment="1">
      <alignment horizontal="left" vertical="center"/>
    </xf>
    <xf numFmtId="6" fontId="47" fillId="0" borderId="2" xfId="0" applyNumberFormat="1" applyFont="1" applyFill="1" applyBorder="1" applyAlignment="1">
      <alignment horizontal="center" vertical="center"/>
    </xf>
    <xf numFmtId="0" fontId="50" fillId="4" borderId="12" xfId="0" applyFont="1" applyFill="1" applyBorder="1" applyAlignment="1">
      <alignment horizontal="left" vertical="center"/>
    </xf>
    <xf numFmtId="0" fontId="50" fillId="4" borderId="11" xfId="0" applyFont="1" applyFill="1" applyBorder="1" applyAlignment="1">
      <alignment horizontal="left" vertical="center"/>
    </xf>
    <xf numFmtId="0" fontId="51" fillId="5" borderId="7" xfId="0" applyFont="1" applyFill="1" applyBorder="1" applyAlignment="1">
      <alignment horizontal="center" vertical="center"/>
    </xf>
    <xf numFmtId="0" fontId="51" fillId="5" borderId="1" xfId="0" applyFont="1" applyFill="1" applyBorder="1" applyAlignment="1">
      <alignment horizontal="center" vertical="center"/>
    </xf>
    <xf numFmtId="6" fontId="51" fillId="70" borderId="3" xfId="0" applyNumberFormat="1" applyFont="1" applyFill="1" applyBorder="1" applyAlignment="1">
      <alignment horizontal="center" vertical="center" wrapText="1"/>
    </xf>
    <xf numFmtId="6" fontId="51" fillId="70" borderId="4" xfId="0" applyNumberFormat="1" applyFont="1" applyFill="1" applyBorder="1" applyAlignment="1">
      <alignment horizontal="center" vertical="center" wrapText="1"/>
    </xf>
    <xf numFmtId="6" fontId="51" fillId="70" borderId="5" xfId="0" applyNumberFormat="1" applyFont="1" applyFill="1" applyBorder="1" applyAlignment="1">
      <alignment horizontal="center" vertical="center" wrapText="1"/>
    </xf>
    <xf numFmtId="6" fontId="51" fillId="5" borderId="3" xfId="0" applyNumberFormat="1" applyFont="1" applyFill="1" applyBorder="1" applyAlignment="1">
      <alignment horizontal="center" vertical="center"/>
    </xf>
    <xf numFmtId="6" fontId="51" fillId="5" borderId="5" xfId="0" applyNumberFormat="1" applyFont="1" applyFill="1" applyBorder="1" applyAlignment="1">
      <alignment horizontal="center" vertical="center"/>
    </xf>
    <xf numFmtId="0" fontId="59" fillId="23" borderId="3" xfId="0" applyFont="1" applyFill="1" applyBorder="1" applyAlignment="1">
      <alignment horizontal="left" vertical="center" wrapText="1"/>
    </xf>
    <xf numFmtId="0" fontId="59" fillId="23" borderId="4" xfId="0" applyFont="1" applyFill="1" applyBorder="1" applyAlignment="1">
      <alignment horizontal="left" vertical="center" wrapText="1"/>
    </xf>
    <xf numFmtId="0" fontId="59" fillId="23" borderId="5" xfId="0" applyFont="1" applyFill="1" applyBorder="1" applyAlignment="1">
      <alignment horizontal="left" vertical="center" wrapText="1"/>
    </xf>
    <xf numFmtId="0" fontId="50" fillId="17" borderId="3" xfId="1" applyFont="1" applyFill="1" applyBorder="1" applyAlignment="1">
      <alignment horizontal="center" vertical="center" wrapText="1"/>
    </xf>
    <xf numFmtId="0" fontId="50" fillId="17" borderId="4" xfId="1" applyFont="1" applyFill="1" applyBorder="1" applyAlignment="1">
      <alignment horizontal="center" vertical="center" wrapText="1"/>
    </xf>
    <xf numFmtId="0" fontId="50" fillId="17" borderId="5" xfId="1" applyFont="1" applyFill="1" applyBorder="1" applyAlignment="1">
      <alignment horizontal="center" vertical="center" wrapText="1"/>
    </xf>
    <xf numFmtId="0" fontId="16" fillId="9" borderId="3" xfId="0" applyFont="1" applyFill="1" applyBorder="1" applyAlignment="1">
      <alignment horizontal="center" vertical="center"/>
    </xf>
    <xf numFmtId="0" fontId="16" fillId="9" borderId="5" xfId="0" applyFont="1" applyFill="1" applyBorder="1" applyAlignment="1">
      <alignment horizontal="center" vertical="center"/>
    </xf>
    <xf numFmtId="0" fontId="16" fillId="22" borderId="3" xfId="0" applyFont="1" applyFill="1" applyBorder="1" applyAlignment="1">
      <alignment horizontal="center" vertical="center"/>
    </xf>
    <xf numFmtId="0" fontId="16" fillId="22" borderId="4" xfId="0" applyFont="1" applyFill="1" applyBorder="1" applyAlignment="1">
      <alignment horizontal="center" vertical="center"/>
    </xf>
    <xf numFmtId="0" fontId="16" fillId="22" borderId="5" xfId="0" applyFont="1" applyFill="1" applyBorder="1" applyAlignment="1">
      <alignment horizontal="center" vertical="center"/>
    </xf>
    <xf numFmtId="0" fontId="16" fillId="9" borderId="2" xfId="0" applyFont="1" applyFill="1" applyBorder="1" applyAlignment="1">
      <alignment horizontal="center" vertical="center"/>
    </xf>
    <xf numFmtId="0" fontId="56" fillId="0" borderId="2" xfId="0" applyFont="1" applyBorder="1" applyAlignment="1">
      <alignment horizontal="center" vertical="center" wrapText="1"/>
    </xf>
    <xf numFmtId="0" fontId="16" fillId="9" borderId="4" xfId="0" applyFont="1" applyFill="1" applyBorder="1" applyAlignment="1">
      <alignment horizontal="center" vertical="center"/>
    </xf>
    <xf numFmtId="0" fontId="60" fillId="0" borderId="7" xfId="0" applyFont="1" applyBorder="1" applyAlignment="1">
      <alignment horizontal="center" vertical="center" wrapText="1"/>
    </xf>
    <xf numFmtId="0" fontId="60" fillId="0" borderId="1" xfId="0" applyFont="1" applyBorder="1" applyAlignment="1">
      <alignment horizontal="center" vertical="center" wrapText="1"/>
    </xf>
    <xf numFmtId="0" fontId="53" fillId="72" borderId="3" xfId="0" applyFont="1" applyFill="1" applyBorder="1" applyAlignment="1">
      <alignment horizontal="center" vertical="center"/>
    </xf>
    <xf numFmtId="0" fontId="53" fillId="72" borderId="4" xfId="0" applyFont="1" applyFill="1" applyBorder="1" applyAlignment="1">
      <alignment horizontal="center" vertical="center"/>
    </xf>
    <xf numFmtId="0" fontId="53" fillId="72" borderId="5" xfId="0" applyFont="1" applyFill="1" applyBorder="1" applyAlignment="1">
      <alignment horizontal="center" vertical="center"/>
    </xf>
    <xf numFmtId="0" fontId="56" fillId="0" borderId="3"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5" xfId="0" applyFont="1" applyBorder="1" applyAlignment="1">
      <alignment horizontal="center" vertical="center" wrapText="1"/>
    </xf>
    <xf numFmtId="168" fontId="16" fillId="9" borderId="2" xfId="0" applyNumberFormat="1" applyFont="1" applyFill="1" applyBorder="1" applyAlignment="1">
      <alignment horizontal="center" vertical="center"/>
    </xf>
    <xf numFmtId="0" fontId="12" fillId="23" borderId="3" xfId="0" applyFont="1" applyFill="1" applyBorder="1" applyAlignment="1">
      <alignment horizontal="left" vertical="center" wrapText="1"/>
    </xf>
    <xf numFmtId="0" fontId="12" fillId="23" borderId="4" xfId="0" applyFont="1" applyFill="1" applyBorder="1" applyAlignment="1">
      <alignment horizontal="left" vertical="center" wrapText="1"/>
    </xf>
    <xf numFmtId="0" fontId="12" fillId="23" borderId="5" xfId="0" applyFont="1" applyFill="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8" fontId="8" fillId="9" borderId="2" xfId="0" applyNumberFormat="1" applyFont="1" applyFill="1" applyBorder="1" applyAlignment="1">
      <alignment horizontal="center" vertical="center"/>
    </xf>
    <xf numFmtId="0" fontId="7" fillId="17" borderId="3" xfId="1" applyFont="1" applyFill="1" applyBorder="1" applyAlignment="1">
      <alignment horizontal="center" vertical="center" wrapText="1"/>
    </xf>
    <xf numFmtId="0" fontId="7" fillId="17" borderId="4" xfId="1" applyFont="1" applyFill="1" applyBorder="1" applyAlignment="1">
      <alignment horizontal="center" vertical="center" wrapText="1"/>
    </xf>
    <xf numFmtId="0" fontId="7" fillId="17" borderId="5" xfId="1" applyFont="1" applyFill="1" applyBorder="1" applyAlignment="1">
      <alignment horizontal="center" vertical="center" wrapText="1"/>
    </xf>
    <xf numFmtId="0" fontId="14" fillId="0" borderId="0" xfId="0" applyFont="1" applyAlignment="1">
      <alignment horizontal="center"/>
    </xf>
    <xf numFmtId="0" fontId="0" fillId="0" borderId="2" xfId="0" applyBorder="1" applyAlignment="1">
      <alignment horizontal="center" vertical="center"/>
    </xf>
  </cellXfs>
  <cellStyles count="301">
    <cellStyle name="%" xfId="10" xr:uid="{00000000-0005-0000-0000-000000000000}"/>
    <cellStyle name="% 2" xfId="11" xr:uid="{00000000-0005-0000-0000-000001000000}"/>
    <cellStyle name="% 2 2" xfId="148" xr:uid="{00000000-0005-0000-0000-000002000000}"/>
    <cellStyle name="% 3" xfId="147" xr:uid="{00000000-0005-0000-0000-000003000000}"/>
    <cellStyle name="%_GF Tab" xfId="12" xr:uid="{00000000-0005-0000-0000-000004000000}"/>
    <cellStyle name="%_GF Tab (2)" xfId="13" xr:uid="{00000000-0005-0000-0000-000005000000}"/>
    <cellStyle name="%_GF Tab (2) 2" xfId="150" xr:uid="{00000000-0005-0000-0000-000006000000}"/>
    <cellStyle name="%_GF Tab 2" xfId="149" xr:uid="{00000000-0005-0000-0000-000007000000}"/>
    <cellStyle name="%_Suitability &amp; Availability" xfId="14" xr:uid="{00000000-0005-0000-0000-000008000000}"/>
    <cellStyle name="%_Suitability &amp; Availability 2" xfId="151" xr:uid="{00000000-0005-0000-0000-000009000000}"/>
    <cellStyle name="20 % - Accent1 2" xfId="201" xr:uid="{00000000-0005-0000-0000-00000A000000}"/>
    <cellStyle name="20 % - Accent2 2" xfId="202" xr:uid="{00000000-0005-0000-0000-00000B000000}"/>
    <cellStyle name="20 % - Accent3 2" xfId="203" xr:uid="{00000000-0005-0000-0000-00000C000000}"/>
    <cellStyle name="20 % - Accent4 2" xfId="204" xr:uid="{00000000-0005-0000-0000-00000D000000}"/>
    <cellStyle name="20 % - Accent5 2" xfId="205" xr:uid="{00000000-0005-0000-0000-00000E000000}"/>
    <cellStyle name="20 % - Accent6 2" xfId="206" xr:uid="{00000000-0005-0000-0000-00000F000000}"/>
    <cellStyle name="20% - Accent1 2" xfId="16" xr:uid="{00000000-0005-0000-0000-000010000000}"/>
    <cellStyle name="20% - Accent1 3" xfId="17" xr:uid="{00000000-0005-0000-0000-000011000000}"/>
    <cellStyle name="20% - Accent1 4" xfId="15" xr:uid="{00000000-0005-0000-0000-000012000000}"/>
    <cellStyle name="20% - Accent2 2" xfId="19" xr:uid="{00000000-0005-0000-0000-000013000000}"/>
    <cellStyle name="20% - Accent2 3" xfId="20" xr:uid="{00000000-0005-0000-0000-000014000000}"/>
    <cellStyle name="20% - Accent2 4" xfId="18" xr:uid="{00000000-0005-0000-0000-000015000000}"/>
    <cellStyle name="20% - Accent3 2" xfId="22" xr:uid="{00000000-0005-0000-0000-000016000000}"/>
    <cellStyle name="20% - Accent3 3" xfId="23" xr:uid="{00000000-0005-0000-0000-000017000000}"/>
    <cellStyle name="20% - Accent3 4" xfId="21" xr:uid="{00000000-0005-0000-0000-000018000000}"/>
    <cellStyle name="20% - Accent4 2" xfId="25" xr:uid="{00000000-0005-0000-0000-000019000000}"/>
    <cellStyle name="20% - Accent4 3" xfId="26" xr:uid="{00000000-0005-0000-0000-00001A000000}"/>
    <cellStyle name="20% - Accent4 4" xfId="24" xr:uid="{00000000-0005-0000-0000-00001B000000}"/>
    <cellStyle name="20% - Accent5 2" xfId="28" xr:uid="{00000000-0005-0000-0000-00001C000000}"/>
    <cellStyle name="20% - Accent5 3" xfId="29" xr:uid="{00000000-0005-0000-0000-00001D000000}"/>
    <cellStyle name="20% - Accent5 4" xfId="27" xr:uid="{00000000-0005-0000-0000-00001E000000}"/>
    <cellStyle name="20% - Accent6 2" xfId="31" xr:uid="{00000000-0005-0000-0000-00001F000000}"/>
    <cellStyle name="20% - Accent6 3" xfId="32" xr:uid="{00000000-0005-0000-0000-000020000000}"/>
    <cellStyle name="20% - Accent6 4" xfId="30" xr:uid="{00000000-0005-0000-0000-000021000000}"/>
    <cellStyle name="40 % - Accent1 2" xfId="207" xr:uid="{00000000-0005-0000-0000-000022000000}"/>
    <cellStyle name="40 % - Accent2 2" xfId="208" xr:uid="{00000000-0005-0000-0000-000023000000}"/>
    <cellStyle name="40 % - Accent3 2" xfId="209" xr:uid="{00000000-0005-0000-0000-000024000000}"/>
    <cellStyle name="40 % - Accent4 2" xfId="210" xr:uid="{00000000-0005-0000-0000-000025000000}"/>
    <cellStyle name="40 % - Accent5 2" xfId="211" xr:uid="{00000000-0005-0000-0000-000026000000}"/>
    <cellStyle name="40 % - Accent6 2" xfId="212" xr:uid="{00000000-0005-0000-0000-000027000000}"/>
    <cellStyle name="40% - Accent1 2" xfId="34" xr:uid="{00000000-0005-0000-0000-000028000000}"/>
    <cellStyle name="40% - Accent1 3" xfId="35" xr:uid="{00000000-0005-0000-0000-000029000000}"/>
    <cellStyle name="40% - Accent1 4" xfId="33" xr:uid="{00000000-0005-0000-0000-00002A000000}"/>
    <cellStyle name="40% - Accent2 2" xfId="37" xr:uid="{00000000-0005-0000-0000-00002B000000}"/>
    <cellStyle name="40% - Accent2 3" xfId="38" xr:uid="{00000000-0005-0000-0000-00002C000000}"/>
    <cellStyle name="40% - Accent2 4" xfId="36" xr:uid="{00000000-0005-0000-0000-00002D000000}"/>
    <cellStyle name="40% - Accent3 2" xfId="40" xr:uid="{00000000-0005-0000-0000-00002E000000}"/>
    <cellStyle name="40% - Accent3 3" xfId="41" xr:uid="{00000000-0005-0000-0000-00002F000000}"/>
    <cellStyle name="40% - Accent3 4" xfId="39" xr:uid="{00000000-0005-0000-0000-000030000000}"/>
    <cellStyle name="40% - Accent4 2" xfId="43" xr:uid="{00000000-0005-0000-0000-000031000000}"/>
    <cellStyle name="40% - Accent4 3" xfId="44" xr:uid="{00000000-0005-0000-0000-000032000000}"/>
    <cellStyle name="40% - Accent4 4" xfId="42" xr:uid="{00000000-0005-0000-0000-000033000000}"/>
    <cellStyle name="40% - Accent5 2" xfId="46" xr:uid="{00000000-0005-0000-0000-000034000000}"/>
    <cellStyle name="40% - Accent5 3" xfId="47" xr:uid="{00000000-0005-0000-0000-000035000000}"/>
    <cellStyle name="40% - Accent5 4" xfId="45" xr:uid="{00000000-0005-0000-0000-000036000000}"/>
    <cellStyle name="40% - Accent6 2" xfId="49" xr:uid="{00000000-0005-0000-0000-000037000000}"/>
    <cellStyle name="40% - Accent6 3" xfId="50" xr:uid="{00000000-0005-0000-0000-000038000000}"/>
    <cellStyle name="40% - Accent6 4" xfId="48" xr:uid="{00000000-0005-0000-0000-000039000000}"/>
    <cellStyle name="60 % - Accent1 2" xfId="213" xr:uid="{00000000-0005-0000-0000-00003A000000}"/>
    <cellStyle name="60 % - Accent2 2" xfId="214" xr:uid="{00000000-0005-0000-0000-00003B000000}"/>
    <cellStyle name="60 % - Accent3 2" xfId="215" xr:uid="{00000000-0005-0000-0000-00003C000000}"/>
    <cellStyle name="60 % - Accent4 2" xfId="216" xr:uid="{00000000-0005-0000-0000-00003D000000}"/>
    <cellStyle name="60 % - Accent5 2" xfId="217" xr:uid="{00000000-0005-0000-0000-00003E000000}"/>
    <cellStyle name="60 % - Accent6 2" xfId="218" xr:uid="{00000000-0005-0000-0000-00003F000000}"/>
    <cellStyle name="60% - Accent1 2" xfId="52" xr:uid="{00000000-0005-0000-0000-000040000000}"/>
    <cellStyle name="60% - Accent1 3" xfId="53" xr:uid="{00000000-0005-0000-0000-000041000000}"/>
    <cellStyle name="60% - Accent1 4" xfId="51" xr:uid="{00000000-0005-0000-0000-000042000000}"/>
    <cellStyle name="60% - Accent2 2" xfId="55" xr:uid="{00000000-0005-0000-0000-000043000000}"/>
    <cellStyle name="60% - Accent2 3" xfId="56" xr:uid="{00000000-0005-0000-0000-000044000000}"/>
    <cellStyle name="60% - Accent2 4" xfId="54" xr:uid="{00000000-0005-0000-0000-000045000000}"/>
    <cellStyle name="60% - Accent3 2" xfId="58" xr:uid="{00000000-0005-0000-0000-000046000000}"/>
    <cellStyle name="60% - Accent3 3" xfId="59" xr:uid="{00000000-0005-0000-0000-000047000000}"/>
    <cellStyle name="60% - Accent3 4" xfId="57" xr:uid="{00000000-0005-0000-0000-000048000000}"/>
    <cellStyle name="60% - Accent4 2" xfId="61" xr:uid="{00000000-0005-0000-0000-000049000000}"/>
    <cellStyle name="60% - Accent4 3" xfId="62" xr:uid="{00000000-0005-0000-0000-00004A000000}"/>
    <cellStyle name="60% - Accent4 4" xfId="60" xr:uid="{00000000-0005-0000-0000-00004B000000}"/>
    <cellStyle name="60% - Accent5 2" xfId="64" xr:uid="{00000000-0005-0000-0000-00004C000000}"/>
    <cellStyle name="60% - Accent5 3" xfId="65" xr:uid="{00000000-0005-0000-0000-00004D000000}"/>
    <cellStyle name="60% - Accent5 4" xfId="63" xr:uid="{00000000-0005-0000-0000-00004E000000}"/>
    <cellStyle name="60% - Accent6 2" xfId="67" xr:uid="{00000000-0005-0000-0000-00004F000000}"/>
    <cellStyle name="60% - Accent6 3" xfId="68" xr:uid="{00000000-0005-0000-0000-000050000000}"/>
    <cellStyle name="60% - Accent6 4" xfId="66" xr:uid="{00000000-0005-0000-0000-000051000000}"/>
    <cellStyle name="Accent1 2" xfId="70" xr:uid="{00000000-0005-0000-0000-000052000000}"/>
    <cellStyle name="Accent1 2 2" xfId="261" xr:uid="{00000000-0005-0000-0000-000053000000}"/>
    <cellStyle name="Accent1 2 3" xfId="219" xr:uid="{00000000-0005-0000-0000-000054000000}"/>
    <cellStyle name="Accent1 3" xfId="71" xr:uid="{00000000-0005-0000-0000-000055000000}"/>
    <cellStyle name="Accent1 4" xfId="69" xr:uid="{00000000-0005-0000-0000-000056000000}"/>
    <cellStyle name="Accent2 2" xfId="73" xr:uid="{00000000-0005-0000-0000-000057000000}"/>
    <cellStyle name="Accent2 2 2" xfId="262" xr:uid="{00000000-0005-0000-0000-000058000000}"/>
    <cellStyle name="Accent2 2 3" xfId="220" xr:uid="{00000000-0005-0000-0000-000059000000}"/>
    <cellStyle name="Accent2 3" xfId="74" xr:uid="{00000000-0005-0000-0000-00005A000000}"/>
    <cellStyle name="Accent2 4" xfId="72" xr:uid="{00000000-0005-0000-0000-00005B000000}"/>
    <cellStyle name="Accent3 2" xfId="76" xr:uid="{00000000-0005-0000-0000-00005C000000}"/>
    <cellStyle name="Accent3 2 2" xfId="263" xr:uid="{00000000-0005-0000-0000-00005D000000}"/>
    <cellStyle name="Accent3 2 3" xfId="221" xr:uid="{00000000-0005-0000-0000-00005E000000}"/>
    <cellStyle name="Accent3 3" xfId="77" xr:uid="{00000000-0005-0000-0000-00005F000000}"/>
    <cellStyle name="Accent3 4" xfId="75" xr:uid="{00000000-0005-0000-0000-000060000000}"/>
    <cellStyle name="Accent4 2" xfId="79" xr:uid="{00000000-0005-0000-0000-000061000000}"/>
    <cellStyle name="Accent4 2 2" xfId="264" xr:uid="{00000000-0005-0000-0000-000062000000}"/>
    <cellStyle name="Accent4 2 3" xfId="222" xr:uid="{00000000-0005-0000-0000-000063000000}"/>
    <cellStyle name="Accent4 3" xfId="80" xr:uid="{00000000-0005-0000-0000-000064000000}"/>
    <cellStyle name="Accent4 4" xfId="78" xr:uid="{00000000-0005-0000-0000-000065000000}"/>
    <cellStyle name="Accent5 2" xfId="82" xr:uid="{00000000-0005-0000-0000-000066000000}"/>
    <cellStyle name="Accent5 2 2" xfId="265" xr:uid="{00000000-0005-0000-0000-000067000000}"/>
    <cellStyle name="Accent5 2 3" xfId="223" xr:uid="{00000000-0005-0000-0000-000068000000}"/>
    <cellStyle name="Accent5 3" xfId="83" xr:uid="{00000000-0005-0000-0000-000069000000}"/>
    <cellStyle name="Accent5 4" xfId="81" xr:uid="{00000000-0005-0000-0000-00006A000000}"/>
    <cellStyle name="Accent6 2" xfId="85" xr:uid="{00000000-0005-0000-0000-00006B000000}"/>
    <cellStyle name="Accent6 2 2" xfId="266" xr:uid="{00000000-0005-0000-0000-00006C000000}"/>
    <cellStyle name="Accent6 2 3" xfId="224" xr:uid="{00000000-0005-0000-0000-00006D000000}"/>
    <cellStyle name="Accent6 3" xfId="86" xr:uid="{00000000-0005-0000-0000-00006E000000}"/>
    <cellStyle name="Accent6 4" xfId="84" xr:uid="{00000000-0005-0000-0000-00006F000000}"/>
    <cellStyle name="Bad 2" xfId="88" xr:uid="{00000000-0005-0000-0000-000070000000}"/>
    <cellStyle name="Bad 3" xfId="89" xr:uid="{00000000-0005-0000-0000-000071000000}"/>
    <cellStyle name="Bad 4" xfId="87" xr:uid="{00000000-0005-0000-0000-000072000000}"/>
    <cellStyle name="Calcul 2" xfId="225" xr:uid="{00000000-0005-0000-0000-000073000000}"/>
    <cellStyle name="Calculation 2" xfId="91" xr:uid="{00000000-0005-0000-0000-000074000000}"/>
    <cellStyle name="Calculation 2 2" xfId="153" xr:uid="{00000000-0005-0000-0000-000075000000}"/>
    <cellStyle name="Calculation 3" xfId="92" xr:uid="{00000000-0005-0000-0000-000076000000}"/>
    <cellStyle name="Calculation 3 2" xfId="154" xr:uid="{00000000-0005-0000-0000-000077000000}"/>
    <cellStyle name="Calculation 4" xfId="152" xr:uid="{00000000-0005-0000-0000-000078000000}"/>
    <cellStyle name="Calculation 5" xfId="90" xr:uid="{00000000-0005-0000-0000-000079000000}"/>
    <cellStyle name="Check Cell 2" xfId="94" xr:uid="{00000000-0005-0000-0000-00007A000000}"/>
    <cellStyle name="Check Cell 3" xfId="95" xr:uid="{00000000-0005-0000-0000-00007B000000}"/>
    <cellStyle name="Check Cell 4" xfId="93" xr:uid="{00000000-0005-0000-0000-00007C000000}"/>
    <cellStyle name="Comma 2" xfId="199" xr:uid="{00000000-0005-0000-0000-00007D000000}"/>
    <cellStyle name="Comma 2 2" xfId="200" xr:uid="{00000000-0005-0000-0000-00007E000000}"/>
    <cellStyle name="Comma 2 2 2" xfId="238" xr:uid="{00000000-0005-0000-0000-00007F000000}"/>
    <cellStyle name="Comma 2 2 2 2" xfId="246" xr:uid="{00000000-0005-0000-0000-000080000000}"/>
    <cellStyle name="Comma 2 2 2 2 2" xfId="253" xr:uid="{00000000-0005-0000-0000-000081000000}"/>
    <cellStyle name="Comma 2 2 2 2 2 2" xfId="297" xr:uid="{00000000-0005-0000-0000-000082000000}"/>
    <cellStyle name="Comma 2 2 2 2 2 3" xfId="285" xr:uid="{00000000-0005-0000-0000-000083000000}"/>
    <cellStyle name="Comma 2 2 2 2 3" xfId="291" xr:uid="{00000000-0005-0000-0000-000084000000}"/>
    <cellStyle name="Comma 2 2 2 2 4" xfId="279" xr:uid="{00000000-0005-0000-0000-000085000000}"/>
    <cellStyle name="Comma 2 2 3" xfId="243" xr:uid="{00000000-0005-0000-0000-000086000000}"/>
    <cellStyle name="Comma 2 2 3 2" xfId="250" xr:uid="{00000000-0005-0000-0000-000087000000}"/>
    <cellStyle name="Comma 2 2 3 2 2" xfId="294" xr:uid="{00000000-0005-0000-0000-000088000000}"/>
    <cellStyle name="Comma 2 2 3 2 3" xfId="282" xr:uid="{00000000-0005-0000-0000-000089000000}"/>
    <cellStyle name="Comma 2 2 3 3" xfId="288" xr:uid="{00000000-0005-0000-0000-00008A000000}"/>
    <cellStyle name="Comma 2 2 3 4" xfId="276" xr:uid="{00000000-0005-0000-0000-00008B000000}"/>
    <cellStyle name="Comma 2 3" xfId="237" xr:uid="{00000000-0005-0000-0000-00008C000000}"/>
    <cellStyle name="Comma 2 3 2" xfId="245" xr:uid="{00000000-0005-0000-0000-00008D000000}"/>
    <cellStyle name="Comma 2 3 2 2" xfId="252" xr:uid="{00000000-0005-0000-0000-00008E000000}"/>
    <cellStyle name="Comma 2 3 2 2 2" xfId="296" xr:uid="{00000000-0005-0000-0000-00008F000000}"/>
    <cellStyle name="Comma 2 3 2 2 3" xfId="284" xr:uid="{00000000-0005-0000-0000-000090000000}"/>
    <cellStyle name="Comma 2 3 2 3" xfId="290" xr:uid="{00000000-0005-0000-0000-000091000000}"/>
    <cellStyle name="Comma 2 3 2 4" xfId="278" xr:uid="{00000000-0005-0000-0000-000092000000}"/>
    <cellStyle name="Comma 2 4" xfId="242" xr:uid="{00000000-0005-0000-0000-000093000000}"/>
    <cellStyle name="Comma 2 4 2" xfId="249" xr:uid="{00000000-0005-0000-0000-000094000000}"/>
    <cellStyle name="Comma 2 4 2 2" xfId="293" xr:uid="{00000000-0005-0000-0000-000095000000}"/>
    <cellStyle name="Comma 2 4 2 3" xfId="281" xr:uid="{00000000-0005-0000-0000-000096000000}"/>
    <cellStyle name="Comma 2 4 3" xfId="287" xr:uid="{00000000-0005-0000-0000-000097000000}"/>
    <cellStyle name="Comma 2 4 4" xfId="275" xr:uid="{00000000-0005-0000-0000-000098000000}"/>
    <cellStyle name="Comma 3" xfId="198" xr:uid="{00000000-0005-0000-0000-000099000000}"/>
    <cellStyle name="Comma 3 2" xfId="236" xr:uid="{00000000-0005-0000-0000-00009A000000}"/>
    <cellStyle name="Comma 3 2 2" xfId="244" xr:uid="{00000000-0005-0000-0000-00009B000000}"/>
    <cellStyle name="Comma 3 2 2 2" xfId="251" xr:uid="{00000000-0005-0000-0000-00009C000000}"/>
    <cellStyle name="Comma 3 2 2 2 2" xfId="295" xr:uid="{00000000-0005-0000-0000-00009D000000}"/>
    <cellStyle name="Comma 3 2 2 2 3" xfId="283" xr:uid="{00000000-0005-0000-0000-00009E000000}"/>
    <cellStyle name="Comma 3 2 2 3" xfId="289" xr:uid="{00000000-0005-0000-0000-00009F000000}"/>
    <cellStyle name="Comma 3 2 2 4" xfId="277" xr:uid="{00000000-0005-0000-0000-0000A0000000}"/>
    <cellStyle name="Comma 3 3" xfId="241" xr:uid="{00000000-0005-0000-0000-0000A1000000}"/>
    <cellStyle name="Comma 3 3 2" xfId="248" xr:uid="{00000000-0005-0000-0000-0000A2000000}"/>
    <cellStyle name="Comma 3 3 2 2" xfId="292" xr:uid="{00000000-0005-0000-0000-0000A3000000}"/>
    <cellStyle name="Comma 3 3 2 3" xfId="280" xr:uid="{00000000-0005-0000-0000-0000A4000000}"/>
    <cellStyle name="Comma 3 3 3" xfId="286" xr:uid="{00000000-0005-0000-0000-0000A5000000}"/>
    <cellStyle name="Comma 3 3 4" xfId="274" xr:uid="{00000000-0005-0000-0000-0000A6000000}"/>
    <cellStyle name="Currency 2" xfId="5" xr:uid="{00000000-0005-0000-0000-0000A7000000}"/>
    <cellStyle name="Currency 2 2" xfId="6" xr:uid="{00000000-0005-0000-0000-0000A8000000}"/>
    <cellStyle name="Currency 2 2 2" xfId="254" xr:uid="{00000000-0005-0000-0000-0000A9000000}"/>
    <cellStyle name="Currency 2 2 3" xfId="257" xr:uid="{00000000-0005-0000-0000-0000AA000000}"/>
    <cellStyle name="Currency 2 3" xfId="7" xr:uid="{00000000-0005-0000-0000-0000AB000000}"/>
    <cellStyle name="Currency 2 3 2" xfId="258" xr:uid="{00000000-0005-0000-0000-0000AC000000}"/>
    <cellStyle name="Currency 2 4" xfId="256" xr:uid="{00000000-0005-0000-0000-0000AD000000}"/>
    <cellStyle name="Currency 2 5" xfId="239" xr:uid="{00000000-0005-0000-0000-0000AE000000}"/>
    <cellStyle name="Currency 3" xfId="194" xr:uid="{00000000-0005-0000-0000-0000AF000000}"/>
    <cellStyle name="Currency 3 2" xfId="255" xr:uid="{00000000-0005-0000-0000-0000B0000000}"/>
    <cellStyle name="Currency 3 3" xfId="271" xr:uid="{00000000-0005-0000-0000-0000B1000000}"/>
    <cellStyle name="Currency 3 4" xfId="273" xr:uid="{00000000-0005-0000-0000-0000B2000000}"/>
    <cellStyle name="Currency 3 5" xfId="247" xr:uid="{00000000-0005-0000-0000-0000B3000000}"/>
    <cellStyle name="Currency 4" xfId="240" xr:uid="{00000000-0005-0000-0000-0000B4000000}"/>
    <cellStyle name="Entrée 2" xfId="226" xr:uid="{00000000-0005-0000-0000-0000B5000000}"/>
    <cellStyle name="Explanatory Text 2" xfId="97" xr:uid="{00000000-0005-0000-0000-0000B6000000}"/>
    <cellStyle name="Explanatory Text 2 2" xfId="156" xr:uid="{00000000-0005-0000-0000-0000B7000000}"/>
    <cellStyle name="Explanatory Text 3" xfId="98" xr:uid="{00000000-0005-0000-0000-0000B8000000}"/>
    <cellStyle name="Explanatory Text 3 2" xfId="157" xr:uid="{00000000-0005-0000-0000-0000B9000000}"/>
    <cellStyle name="Explanatory Text 4" xfId="155" xr:uid="{00000000-0005-0000-0000-0000BA000000}"/>
    <cellStyle name="Explanatory Text 5" xfId="96" xr:uid="{00000000-0005-0000-0000-0000BB000000}"/>
    <cellStyle name="Good 2" xfId="100" xr:uid="{00000000-0005-0000-0000-0000BC000000}"/>
    <cellStyle name="Good 3" xfId="101" xr:uid="{00000000-0005-0000-0000-0000BD000000}"/>
    <cellStyle name="Good 4" xfId="99" xr:uid="{00000000-0005-0000-0000-0000BE000000}"/>
    <cellStyle name="Heading 1 2" xfId="103" xr:uid="{00000000-0005-0000-0000-0000BF000000}"/>
    <cellStyle name="Heading 1 2 2" xfId="159" xr:uid="{00000000-0005-0000-0000-0000C0000000}"/>
    <cellStyle name="Heading 1 3" xfId="104" xr:uid="{00000000-0005-0000-0000-0000C1000000}"/>
    <cellStyle name="Heading 1 3 2" xfId="160" xr:uid="{00000000-0005-0000-0000-0000C2000000}"/>
    <cellStyle name="Heading 1 4" xfId="158" xr:uid="{00000000-0005-0000-0000-0000C3000000}"/>
    <cellStyle name="Heading 1 5" xfId="102" xr:uid="{00000000-0005-0000-0000-0000C4000000}"/>
    <cellStyle name="Heading 2 2" xfId="106" xr:uid="{00000000-0005-0000-0000-0000C5000000}"/>
    <cellStyle name="Heading 2 2 2" xfId="162" xr:uid="{00000000-0005-0000-0000-0000C6000000}"/>
    <cellStyle name="Heading 2 3" xfId="107" xr:uid="{00000000-0005-0000-0000-0000C7000000}"/>
    <cellStyle name="Heading 2 3 2" xfId="163" xr:uid="{00000000-0005-0000-0000-0000C8000000}"/>
    <cellStyle name="Heading 2 4" xfId="161" xr:uid="{00000000-0005-0000-0000-0000C9000000}"/>
    <cellStyle name="Heading 2 5" xfId="105" xr:uid="{00000000-0005-0000-0000-0000CA000000}"/>
    <cellStyle name="Heading 3 2" xfId="109" xr:uid="{00000000-0005-0000-0000-0000CB000000}"/>
    <cellStyle name="Heading 3 2 2" xfId="165" xr:uid="{00000000-0005-0000-0000-0000CC000000}"/>
    <cellStyle name="Heading 3 3" xfId="110" xr:uid="{00000000-0005-0000-0000-0000CD000000}"/>
    <cellStyle name="Heading 3 3 2" xfId="166" xr:uid="{00000000-0005-0000-0000-0000CE000000}"/>
    <cellStyle name="Heading 3 4" xfId="164" xr:uid="{00000000-0005-0000-0000-0000CF000000}"/>
    <cellStyle name="Heading 3 5" xfId="108" xr:uid="{00000000-0005-0000-0000-0000D0000000}"/>
    <cellStyle name="Heading 4 2" xfId="112" xr:uid="{00000000-0005-0000-0000-0000D1000000}"/>
    <cellStyle name="Heading 4 2 2" xfId="168" xr:uid="{00000000-0005-0000-0000-0000D2000000}"/>
    <cellStyle name="Heading 4 3" xfId="113" xr:uid="{00000000-0005-0000-0000-0000D3000000}"/>
    <cellStyle name="Heading 4 3 2" xfId="169" xr:uid="{00000000-0005-0000-0000-0000D4000000}"/>
    <cellStyle name="Heading 4 4" xfId="167" xr:uid="{00000000-0005-0000-0000-0000D5000000}"/>
    <cellStyle name="Heading 4 5" xfId="111" xr:uid="{00000000-0005-0000-0000-0000D6000000}"/>
    <cellStyle name="Hyperlink 2" xfId="115" xr:uid="{00000000-0005-0000-0000-0000D7000000}"/>
    <cellStyle name="Hyperlink 2 2" xfId="171" xr:uid="{00000000-0005-0000-0000-0000D8000000}"/>
    <cellStyle name="Hyperlink 2 3" xfId="267" xr:uid="{00000000-0005-0000-0000-0000D9000000}"/>
    <cellStyle name="Hyperlink 2 4" xfId="227" xr:uid="{00000000-0005-0000-0000-0000DA000000}"/>
    <cellStyle name="Hyperlink 3" xfId="170" xr:uid="{00000000-0005-0000-0000-0000DB000000}"/>
    <cellStyle name="Hyperlink 4" xfId="114" xr:uid="{00000000-0005-0000-0000-0000DC000000}"/>
    <cellStyle name="Input 2" xfId="117" xr:uid="{00000000-0005-0000-0000-0000DD000000}"/>
    <cellStyle name="Input 3" xfId="118" xr:uid="{00000000-0005-0000-0000-0000DE000000}"/>
    <cellStyle name="Input 4" xfId="116" xr:uid="{00000000-0005-0000-0000-0000DF000000}"/>
    <cellStyle name="Insatisfaisant 2" xfId="228" xr:uid="{00000000-0005-0000-0000-0000E0000000}"/>
    <cellStyle name="Lien hypertexte 2" xfId="229" xr:uid="{00000000-0005-0000-0000-0000E1000000}"/>
    <cellStyle name="Linked Cell 2" xfId="120" xr:uid="{00000000-0005-0000-0000-0000E2000000}"/>
    <cellStyle name="Linked Cell 2 2" xfId="173" xr:uid="{00000000-0005-0000-0000-0000E3000000}"/>
    <cellStyle name="Linked Cell 3" xfId="121" xr:uid="{00000000-0005-0000-0000-0000E4000000}"/>
    <cellStyle name="Linked Cell 3 2" xfId="174" xr:uid="{00000000-0005-0000-0000-0000E5000000}"/>
    <cellStyle name="Linked Cell 4" xfId="172" xr:uid="{00000000-0005-0000-0000-0000E6000000}"/>
    <cellStyle name="Linked Cell 5" xfId="119" xr:uid="{00000000-0005-0000-0000-0000E7000000}"/>
    <cellStyle name="Neutral 2" xfId="4" xr:uid="{00000000-0005-0000-0000-0000E8000000}"/>
    <cellStyle name="Neutral 2 2" xfId="123" xr:uid="{00000000-0005-0000-0000-0000E9000000}"/>
    <cellStyle name="Neutral 3" xfId="124" xr:uid="{00000000-0005-0000-0000-0000EA000000}"/>
    <cellStyle name="Neutral 4" xfId="122" xr:uid="{00000000-0005-0000-0000-0000EB000000}"/>
    <cellStyle name="Neutre 2" xfId="230" xr:uid="{00000000-0005-0000-0000-0000EC000000}"/>
    <cellStyle name="Neutre 3 2" xfId="3" xr:uid="{00000000-0005-0000-0000-0000ED000000}"/>
    <cellStyle name="Normal" xfId="0" builtinId="0"/>
    <cellStyle name="Normal 2" xfId="8" xr:uid="{00000000-0005-0000-0000-0000EF000000}"/>
    <cellStyle name="Normal 2 2" xfId="175" xr:uid="{00000000-0005-0000-0000-0000F0000000}"/>
    <cellStyle name="Normal 2 3" xfId="125" xr:uid="{00000000-0005-0000-0000-0000F1000000}"/>
    <cellStyle name="Normal 2 4" xfId="259" xr:uid="{00000000-0005-0000-0000-0000F2000000}"/>
    <cellStyle name="Normal 3" xfId="126" xr:uid="{00000000-0005-0000-0000-0000F3000000}"/>
    <cellStyle name="Normal 3 2" xfId="176" xr:uid="{00000000-0005-0000-0000-0000F4000000}"/>
    <cellStyle name="Normal 3 2 2" xfId="270" xr:uid="{00000000-0005-0000-0000-0000F5000000}"/>
    <cellStyle name="Normal 3 2 3" xfId="231" xr:uid="{00000000-0005-0000-0000-0000F6000000}"/>
    <cellStyle name="Normal 4" xfId="2" xr:uid="{00000000-0005-0000-0000-0000F7000000}"/>
    <cellStyle name="Normal 4 2" xfId="144" xr:uid="{00000000-0005-0000-0000-0000F8000000}"/>
    <cellStyle name="Normal 4 2 2" xfId="193" xr:uid="{00000000-0005-0000-0000-0000F9000000}"/>
    <cellStyle name="Normal 4 3" xfId="177" xr:uid="{00000000-0005-0000-0000-0000FA000000}"/>
    <cellStyle name="Normal 4 4" xfId="127" xr:uid="{00000000-0005-0000-0000-0000FB000000}"/>
    <cellStyle name="Normal 5" xfId="145" xr:uid="{00000000-0005-0000-0000-0000FC000000}"/>
    <cellStyle name="Normal 57" xfId="298" xr:uid="{AF117D0B-E8C3-4D8A-9F08-DAA3F1870190}"/>
    <cellStyle name="Normal 6" xfId="146" xr:uid="{00000000-0005-0000-0000-0000FD000000}"/>
    <cellStyle name="Normal 7" xfId="9" xr:uid="{00000000-0005-0000-0000-0000FE000000}"/>
    <cellStyle name="Normal 7 2" xfId="272" xr:uid="{00000000-0005-0000-0000-0000FF000000}"/>
    <cellStyle name="Normal 7 3" xfId="260" xr:uid="{00000000-0005-0000-0000-000000010000}"/>
    <cellStyle name="Normal 9" xfId="299" xr:uid="{C44CC91C-8082-47DF-9A48-C7FB50D29FBB}"/>
    <cellStyle name="Normal 9 10" xfId="300" xr:uid="{19334119-9A1C-4CCC-948A-2D2446CE38CB}"/>
    <cellStyle name="Normal_Matinfo 2 Lot3macV_3" xfId="1" xr:uid="{00000000-0005-0000-0000-000001010000}"/>
    <cellStyle name="Note 2" xfId="129" xr:uid="{00000000-0005-0000-0000-000002010000}"/>
    <cellStyle name="Note 2 2" xfId="178" xr:uid="{00000000-0005-0000-0000-000003010000}"/>
    <cellStyle name="Note 3" xfId="130" xr:uid="{00000000-0005-0000-0000-000004010000}"/>
    <cellStyle name="Note 3 2" xfId="179" xr:uid="{00000000-0005-0000-0000-000005010000}"/>
    <cellStyle name="Note 4" xfId="128" xr:uid="{00000000-0005-0000-0000-000006010000}"/>
    <cellStyle name="Output 2" xfId="132" xr:uid="{00000000-0005-0000-0000-000007010000}"/>
    <cellStyle name="Output 2 2" xfId="181" xr:uid="{00000000-0005-0000-0000-000008010000}"/>
    <cellStyle name="Output 3" xfId="133" xr:uid="{00000000-0005-0000-0000-000009010000}"/>
    <cellStyle name="Output 3 2" xfId="182" xr:uid="{00000000-0005-0000-0000-00000A010000}"/>
    <cellStyle name="Output 4" xfId="180" xr:uid="{00000000-0005-0000-0000-00000B010000}"/>
    <cellStyle name="Output 5" xfId="131" xr:uid="{00000000-0005-0000-0000-00000C010000}"/>
    <cellStyle name="Satisfaisant 2" xfId="232" xr:uid="{00000000-0005-0000-0000-00000D010000}"/>
    <cellStyle name="Sortie 2" xfId="233" xr:uid="{00000000-0005-0000-0000-00000E010000}"/>
    <cellStyle name="Style 1" xfId="134" xr:uid="{00000000-0005-0000-0000-00000F010000}"/>
    <cellStyle name="Style 1 2" xfId="183" xr:uid="{00000000-0005-0000-0000-000010010000}"/>
    <cellStyle name="Style 1 3" xfId="268" xr:uid="{00000000-0005-0000-0000-000011010000}"/>
    <cellStyle name="Style 1 4" xfId="195" xr:uid="{00000000-0005-0000-0000-000012010000}"/>
    <cellStyle name="Title 2" xfId="136" xr:uid="{00000000-0005-0000-0000-000013010000}"/>
    <cellStyle name="Title 2 2" xfId="185" xr:uid="{00000000-0005-0000-0000-000014010000}"/>
    <cellStyle name="Title 2 3" xfId="269" xr:uid="{00000000-0005-0000-0000-000015010000}"/>
    <cellStyle name="Title 2 4" xfId="196" xr:uid="{00000000-0005-0000-0000-000016010000}"/>
    <cellStyle name="Title 3" xfId="137" xr:uid="{00000000-0005-0000-0000-000017010000}"/>
    <cellStyle name="Title 3 2" xfId="186" xr:uid="{00000000-0005-0000-0000-000018010000}"/>
    <cellStyle name="Title 4" xfId="184" xr:uid="{00000000-0005-0000-0000-000019010000}"/>
    <cellStyle name="Title 5" xfId="135" xr:uid="{00000000-0005-0000-0000-00001A010000}"/>
    <cellStyle name="Titre 1" xfId="234" xr:uid="{00000000-0005-0000-0000-00001B010000}"/>
    <cellStyle name="Total 2" xfId="139" xr:uid="{00000000-0005-0000-0000-00001C010000}"/>
    <cellStyle name="Total 2 2" xfId="188" xr:uid="{00000000-0005-0000-0000-00001D010000}"/>
    <cellStyle name="Total 3" xfId="140" xr:uid="{00000000-0005-0000-0000-00001E010000}"/>
    <cellStyle name="Total 3 2" xfId="189" xr:uid="{00000000-0005-0000-0000-00001F010000}"/>
    <cellStyle name="Total 4" xfId="187" xr:uid="{00000000-0005-0000-0000-000020010000}"/>
    <cellStyle name="Total 5" xfId="138" xr:uid="{00000000-0005-0000-0000-000021010000}"/>
    <cellStyle name="Vérification 2" xfId="235" xr:uid="{00000000-0005-0000-0000-000022010000}"/>
    <cellStyle name="Warning Text 2" xfId="142" xr:uid="{00000000-0005-0000-0000-000023010000}"/>
    <cellStyle name="Warning Text 2 2" xfId="191" xr:uid="{00000000-0005-0000-0000-000024010000}"/>
    <cellStyle name="Warning Text 3" xfId="143" xr:uid="{00000000-0005-0000-0000-000025010000}"/>
    <cellStyle name="Warning Text 3 2" xfId="192" xr:uid="{00000000-0005-0000-0000-000026010000}"/>
    <cellStyle name="Warning Text 4" xfId="190" xr:uid="{00000000-0005-0000-0000-000027010000}"/>
    <cellStyle name="Warning Text 5" xfId="141" xr:uid="{00000000-0005-0000-0000-000028010000}"/>
    <cellStyle name="一般_Crockett 2.0 &amp; Boone 1.1" xfId="197" xr:uid="{00000000-0005-0000-0000-00002901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13"/>
      <tableStyleElement type="headerRow" dxfId="12"/>
    </tableStyle>
    <tableStyle name="Table Style 1" pivot="0" count="0" xr9:uid="{00000000-0011-0000-FFFF-FFFF01000000}"/>
  </tableStyles>
  <colors>
    <mruColors>
      <color rgb="FFFF66FF"/>
      <color rgb="FFC53AE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5" name="Image 2" descr="C:\Users\nma\AppData\Local\Microsoft\Windows\INetCache\Content.Outlook\K4E67URS\matinfo-logo.png">
          <a:extLst>
            <a:ext uri="{FF2B5EF4-FFF2-40B4-BE49-F238E27FC236}">
              <a16:creationId xmlns:a16="http://schemas.microsoft.com/office/drawing/2014/main" id="{C64A5EDE-581E-4FFE-962B-0C1292B94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D27434F4-77DD-4961-888C-BA4E8E10E8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C59B729-343E-491E-8FE8-A3F00C7C8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937B72C3-E1C2-4ED6-B946-A0F4630D9F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4D65D39-52F8-4CF8-8505-7072F05643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164024C1-0E5F-49D0-91CB-BF48460D8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077D6A13-68FB-4C37-8E0D-310E28D0E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D9D62C2-C3E3-4C57-AB5D-3857B643EC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47"/>
  <sheetViews>
    <sheetView tabSelected="1" topLeftCell="A40" zoomScale="80" zoomScaleNormal="80" workbookViewId="0">
      <selection activeCell="D60" sqref="D60"/>
    </sheetView>
  </sheetViews>
  <sheetFormatPr baseColWidth="10" defaultColWidth="9.33203125" defaultRowHeight="13.8" x14ac:dyDescent="0.25"/>
  <cols>
    <col min="1" max="1" width="29.6640625" style="304" customWidth="1"/>
    <col min="2" max="2" width="20.33203125" style="304" customWidth="1"/>
    <col min="3" max="3" width="9.33203125" style="304"/>
    <col min="4" max="4" width="100.44140625" style="304" customWidth="1"/>
    <col min="5" max="16384" width="9.33203125" style="304"/>
  </cols>
  <sheetData>
    <row r="2" spans="1:4" ht="27.6" x14ac:dyDescent="0.25">
      <c r="A2" s="316" t="s">
        <v>0</v>
      </c>
      <c r="B2" s="316" t="s">
        <v>1</v>
      </c>
      <c r="C2" s="274" t="s">
        <v>2</v>
      </c>
      <c r="D2" s="274" t="s">
        <v>3</v>
      </c>
    </row>
    <row r="3" spans="1:4" x14ac:dyDescent="0.25">
      <c r="A3" s="315"/>
      <c r="B3" s="314">
        <v>44440</v>
      </c>
      <c r="C3" s="312" t="s">
        <v>4</v>
      </c>
      <c r="D3" s="313" t="s">
        <v>5</v>
      </c>
    </row>
    <row r="4" spans="1:4" x14ac:dyDescent="0.25">
      <c r="A4" s="374">
        <v>44477</v>
      </c>
      <c r="B4" s="375" t="s">
        <v>6</v>
      </c>
      <c r="C4" s="373" t="s">
        <v>7</v>
      </c>
      <c r="D4" s="313" t="s">
        <v>8</v>
      </c>
    </row>
    <row r="5" spans="1:4" x14ac:dyDescent="0.25">
      <c r="A5" s="374"/>
      <c r="B5" s="375"/>
      <c r="C5" s="373"/>
      <c r="D5" s="313" t="s">
        <v>9</v>
      </c>
    </row>
    <row r="6" spans="1:4" x14ac:dyDescent="0.25">
      <c r="A6" s="374">
        <v>44558</v>
      </c>
      <c r="B6" s="375" t="s">
        <v>10</v>
      </c>
      <c r="C6" s="373" t="s">
        <v>11</v>
      </c>
      <c r="D6" s="317" t="s">
        <v>12</v>
      </c>
    </row>
    <row r="7" spans="1:4" x14ac:dyDescent="0.25">
      <c r="A7" s="374"/>
      <c r="B7" s="375"/>
      <c r="C7" s="373"/>
      <c r="D7" s="317" t="s">
        <v>13</v>
      </c>
    </row>
    <row r="8" spans="1:4" x14ac:dyDescent="0.25">
      <c r="A8" s="374"/>
      <c r="B8" s="375"/>
      <c r="C8" s="373"/>
      <c r="D8" s="317" t="s">
        <v>14</v>
      </c>
    </row>
    <row r="9" spans="1:4" x14ac:dyDescent="0.25">
      <c r="A9" s="374"/>
      <c r="B9" s="375"/>
      <c r="C9" s="373"/>
      <c r="D9" s="317" t="s">
        <v>15</v>
      </c>
    </row>
    <row r="10" spans="1:4" x14ac:dyDescent="0.25">
      <c r="A10" s="374"/>
      <c r="B10" s="375"/>
      <c r="C10" s="373"/>
      <c r="D10" s="317" t="s">
        <v>16</v>
      </c>
    </row>
    <row r="11" spans="1:4" x14ac:dyDescent="0.25">
      <c r="A11" s="374"/>
      <c r="B11" s="375"/>
      <c r="C11" s="373"/>
      <c r="D11" s="317" t="s">
        <v>17</v>
      </c>
    </row>
    <row r="12" spans="1:4" x14ac:dyDescent="0.25">
      <c r="A12" s="374"/>
      <c r="B12" s="375"/>
      <c r="C12" s="373"/>
      <c r="D12" s="317" t="s">
        <v>18</v>
      </c>
    </row>
    <row r="13" spans="1:4" x14ac:dyDescent="0.25">
      <c r="A13" s="374"/>
      <c r="B13" s="375"/>
      <c r="C13" s="373"/>
      <c r="D13" s="317" t="s">
        <v>19</v>
      </c>
    </row>
    <row r="14" spans="1:4" ht="43.2" customHeight="1" x14ac:dyDescent="0.25">
      <c r="A14" s="374">
        <v>44630</v>
      </c>
      <c r="B14" s="374" t="s">
        <v>20</v>
      </c>
      <c r="C14" s="373" t="s">
        <v>21</v>
      </c>
      <c r="D14" s="317" t="s">
        <v>22</v>
      </c>
    </row>
    <row r="15" spans="1:4" x14ac:dyDescent="0.25">
      <c r="A15" s="374"/>
      <c r="B15" s="374"/>
      <c r="C15" s="373"/>
      <c r="D15" s="317" t="s">
        <v>23</v>
      </c>
    </row>
    <row r="16" spans="1:4" x14ac:dyDescent="0.25">
      <c r="A16" s="374"/>
      <c r="B16" s="374"/>
      <c r="C16" s="373"/>
      <c r="D16" s="317" t="s">
        <v>24</v>
      </c>
    </row>
    <row r="17" spans="1:4" x14ac:dyDescent="0.25">
      <c r="A17" s="374"/>
      <c r="B17" s="374"/>
      <c r="C17" s="373"/>
      <c r="D17" s="317" t="s">
        <v>25</v>
      </c>
    </row>
    <row r="18" spans="1:4" x14ac:dyDescent="0.25">
      <c r="A18" s="374"/>
      <c r="B18" s="374"/>
      <c r="C18" s="373"/>
      <c r="D18" s="317" t="s">
        <v>26</v>
      </c>
    </row>
    <row r="19" spans="1:4" x14ac:dyDescent="0.25">
      <c r="A19" s="374"/>
      <c r="B19" s="374"/>
      <c r="C19" s="373"/>
      <c r="D19" s="317" t="s">
        <v>27</v>
      </c>
    </row>
    <row r="20" spans="1:4" x14ac:dyDescent="0.25">
      <c r="A20" s="374">
        <v>44686</v>
      </c>
      <c r="B20" s="374" t="s">
        <v>28</v>
      </c>
      <c r="C20" s="373" t="s">
        <v>29</v>
      </c>
      <c r="D20" s="317" t="s">
        <v>30</v>
      </c>
    </row>
    <row r="21" spans="1:4" x14ac:dyDescent="0.25">
      <c r="A21" s="374"/>
      <c r="B21" s="374"/>
      <c r="C21" s="373"/>
      <c r="D21" s="317" t="s">
        <v>31</v>
      </c>
    </row>
    <row r="22" spans="1:4" x14ac:dyDescent="0.25">
      <c r="A22" s="374"/>
      <c r="B22" s="374"/>
      <c r="C22" s="373"/>
      <c r="D22" s="317" t="s">
        <v>32</v>
      </c>
    </row>
    <row r="23" spans="1:4" x14ac:dyDescent="0.25">
      <c r="A23" s="374"/>
      <c r="B23" s="374"/>
      <c r="C23" s="373"/>
      <c r="D23" s="317" t="s">
        <v>33</v>
      </c>
    </row>
    <row r="24" spans="1:4" x14ac:dyDescent="0.25">
      <c r="A24" s="374"/>
      <c r="B24" s="374"/>
      <c r="C24" s="373"/>
      <c r="D24" s="317" t="s">
        <v>34</v>
      </c>
    </row>
    <row r="25" spans="1:4" x14ac:dyDescent="0.25">
      <c r="A25" s="374">
        <v>44795</v>
      </c>
      <c r="B25" s="374">
        <v>44824</v>
      </c>
      <c r="C25" s="373" t="s">
        <v>35</v>
      </c>
      <c r="D25" s="317" t="s">
        <v>36</v>
      </c>
    </row>
    <row r="26" spans="1:4" x14ac:dyDescent="0.25">
      <c r="A26" s="374"/>
      <c r="B26" s="374"/>
      <c r="C26" s="373"/>
      <c r="D26" s="317" t="s">
        <v>37</v>
      </c>
    </row>
    <row r="27" spans="1:4" x14ac:dyDescent="0.25">
      <c r="A27" s="374"/>
      <c r="B27" s="374"/>
      <c r="C27" s="373"/>
      <c r="D27" s="317" t="s">
        <v>38</v>
      </c>
    </row>
    <row r="28" spans="1:4" ht="27.6" x14ac:dyDescent="0.25">
      <c r="A28" s="374"/>
      <c r="B28" s="374"/>
      <c r="C28" s="373"/>
      <c r="D28" s="317" t="s">
        <v>39</v>
      </c>
    </row>
    <row r="29" spans="1:4" x14ac:dyDescent="0.25">
      <c r="A29" s="374"/>
      <c r="B29" s="374"/>
      <c r="C29" s="373"/>
      <c r="D29" s="317" t="s">
        <v>40</v>
      </c>
    </row>
    <row r="30" spans="1:4" x14ac:dyDescent="0.25">
      <c r="A30" s="374"/>
      <c r="B30" s="374"/>
      <c r="C30" s="373"/>
      <c r="D30" s="317" t="s">
        <v>41</v>
      </c>
    </row>
    <row r="31" spans="1:4" x14ac:dyDescent="0.25">
      <c r="A31" s="374"/>
      <c r="B31" s="374"/>
      <c r="C31" s="373"/>
      <c r="D31" s="317" t="s">
        <v>42</v>
      </c>
    </row>
    <row r="32" spans="1:4" ht="41.4" x14ac:dyDescent="0.25">
      <c r="A32" s="374">
        <v>44917</v>
      </c>
      <c r="B32" s="374">
        <v>44963</v>
      </c>
      <c r="C32" s="373" t="s">
        <v>43</v>
      </c>
      <c r="D32" s="317" t="s">
        <v>44</v>
      </c>
    </row>
    <row r="33" spans="1:4" x14ac:dyDescent="0.25">
      <c r="A33" s="374"/>
      <c r="B33" s="374"/>
      <c r="C33" s="373"/>
      <c r="D33" s="317" t="s">
        <v>45</v>
      </c>
    </row>
    <row r="34" spans="1:4" x14ac:dyDescent="0.25">
      <c r="A34" s="374"/>
      <c r="B34" s="374"/>
      <c r="C34" s="373"/>
      <c r="D34" s="317" t="s">
        <v>46</v>
      </c>
    </row>
    <row r="35" spans="1:4" ht="27.6" x14ac:dyDescent="0.25">
      <c r="A35" s="374"/>
      <c r="B35" s="374"/>
      <c r="C35" s="373"/>
      <c r="D35" s="317" t="s">
        <v>47</v>
      </c>
    </row>
    <row r="36" spans="1:4" x14ac:dyDescent="0.25">
      <c r="A36" s="374"/>
      <c r="B36" s="374"/>
      <c r="C36" s="373"/>
      <c r="D36" s="317" t="s">
        <v>48</v>
      </c>
    </row>
    <row r="37" spans="1:4" x14ac:dyDescent="0.25">
      <c r="A37" s="374"/>
      <c r="B37" s="374"/>
      <c r="C37" s="373"/>
      <c r="D37" s="317" t="s">
        <v>49</v>
      </c>
    </row>
    <row r="38" spans="1:4" ht="163.19999999999999" customHeight="1" x14ac:dyDescent="0.25">
      <c r="A38" s="314">
        <v>45015</v>
      </c>
      <c r="B38" s="314">
        <v>45047</v>
      </c>
      <c r="C38" s="312" t="s">
        <v>50</v>
      </c>
      <c r="D38" s="317" t="s">
        <v>51</v>
      </c>
    </row>
    <row r="39" spans="1:4" ht="82.8" x14ac:dyDescent="0.25">
      <c r="A39" s="322">
        <v>45078</v>
      </c>
      <c r="B39" s="322">
        <v>45089</v>
      </c>
      <c r="C39" s="328" t="s">
        <v>52</v>
      </c>
      <c r="D39" s="326" t="s">
        <v>53</v>
      </c>
    </row>
    <row r="40" spans="1:4" ht="27.6" x14ac:dyDescent="0.25">
      <c r="A40" s="374">
        <v>45128</v>
      </c>
      <c r="B40" s="374">
        <v>45173</v>
      </c>
      <c r="C40" s="373" t="s">
        <v>54</v>
      </c>
      <c r="D40" s="323" t="s">
        <v>55</v>
      </c>
    </row>
    <row r="41" spans="1:4" x14ac:dyDescent="0.25">
      <c r="A41" s="374"/>
      <c r="B41" s="374"/>
      <c r="C41" s="373"/>
      <c r="D41" s="327" t="s">
        <v>56</v>
      </c>
    </row>
    <row r="42" spans="1:4" x14ac:dyDescent="0.25">
      <c r="A42" s="374"/>
      <c r="B42" s="374"/>
      <c r="C42" s="373"/>
      <c r="D42" s="323" t="s">
        <v>57</v>
      </c>
    </row>
    <row r="43" spans="1:4" x14ac:dyDescent="0.25">
      <c r="A43" s="374"/>
      <c r="B43" s="374"/>
      <c r="C43" s="373"/>
      <c r="D43" s="323" t="s">
        <v>58</v>
      </c>
    </row>
    <row r="44" spans="1:4" x14ac:dyDescent="0.25">
      <c r="A44" s="374"/>
      <c r="B44" s="374"/>
      <c r="C44" s="373"/>
      <c r="D44" s="317" t="s">
        <v>59</v>
      </c>
    </row>
    <row r="45" spans="1:4" ht="130.5" customHeight="1" x14ac:dyDescent="0.25">
      <c r="A45" s="314">
        <v>45271</v>
      </c>
      <c r="B45" s="314">
        <v>45306</v>
      </c>
      <c r="C45" s="312" t="s">
        <v>60</v>
      </c>
      <c r="D45" s="317" t="s">
        <v>61</v>
      </c>
    </row>
    <row r="46" spans="1:4" ht="124.2" x14ac:dyDescent="0.25">
      <c r="A46" s="314">
        <v>45448</v>
      </c>
      <c r="B46" s="314">
        <v>45474</v>
      </c>
      <c r="C46" s="312" t="s">
        <v>62</v>
      </c>
      <c r="D46" s="317" t="s">
        <v>63</v>
      </c>
    </row>
    <row r="47" spans="1:4" ht="179.4" x14ac:dyDescent="0.25">
      <c r="A47" s="314">
        <v>45484</v>
      </c>
      <c r="B47" s="363">
        <v>45331</v>
      </c>
      <c r="C47" s="312" t="s">
        <v>64</v>
      </c>
      <c r="D47" s="317" t="s">
        <v>1630</v>
      </c>
    </row>
  </sheetData>
  <mergeCells count="21">
    <mergeCell ref="C14:C19"/>
    <mergeCell ref="B14:B19"/>
    <mergeCell ref="A14:A19"/>
    <mergeCell ref="A6:A13"/>
    <mergeCell ref="B4:B5"/>
    <mergeCell ref="A4:A5"/>
    <mergeCell ref="C4:C5"/>
    <mergeCell ref="C6:C13"/>
    <mergeCell ref="B6:B13"/>
    <mergeCell ref="A20:A24"/>
    <mergeCell ref="C20:C24"/>
    <mergeCell ref="B20:B24"/>
    <mergeCell ref="C25:C31"/>
    <mergeCell ref="B25:B31"/>
    <mergeCell ref="C40:C44"/>
    <mergeCell ref="B40:B44"/>
    <mergeCell ref="A40:A44"/>
    <mergeCell ref="A32:A37"/>
    <mergeCell ref="A25:A31"/>
    <mergeCell ref="C32:C37"/>
    <mergeCell ref="B32:B3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55"/>
  <sheetViews>
    <sheetView zoomScale="80" zoomScaleNormal="80" workbookViewId="0">
      <selection activeCell="G23" sqref="G23"/>
    </sheetView>
  </sheetViews>
  <sheetFormatPr baseColWidth="10" defaultColWidth="69.5546875" defaultRowHeight="13.8" x14ac:dyDescent="0.25"/>
  <cols>
    <col min="1" max="1" width="101.33203125" style="318" bestFit="1" customWidth="1"/>
    <col min="2" max="3" width="17.6640625" style="318" bestFit="1" customWidth="1"/>
    <col min="4" max="4" width="30.6640625" style="318" bestFit="1" customWidth="1"/>
    <col min="5" max="5" width="18.5546875" style="318" bestFit="1" customWidth="1"/>
    <col min="6" max="6" width="35.21875" style="318" bestFit="1" customWidth="1"/>
    <col min="7" max="7" width="17.88671875" style="318" bestFit="1" customWidth="1"/>
    <col min="8" max="8" width="23.44140625" style="319" bestFit="1" customWidth="1"/>
    <col min="9" max="16384" width="69.5546875" style="319"/>
  </cols>
  <sheetData>
    <row r="1" spans="1:8" x14ac:dyDescent="0.25">
      <c r="A1" s="277" t="s">
        <v>65</v>
      </c>
      <c r="B1" s="45" t="s">
        <v>66</v>
      </c>
      <c r="C1" s="45" t="s">
        <v>67</v>
      </c>
      <c r="D1" s="45" t="s">
        <v>68</v>
      </c>
      <c r="E1" s="45" t="s">
        <v>69</v>
      </c>
      <c r="F1" s="325"/>
      <c r="G1" s="325"/>
      <c r="H1" s="325"/>
    </row>
    <row r="2" spans="1:8" x14ac:dyDescent="0.25">
      <c r="A2" s="384" t="s">
        <v>70</v>
      </c>
      <c r="B2" s="385"/>
      <c r="C2" s="385"/>
      <c r="D2" s="385"/>
      <c r="E2" s="386"/>
      <c r="F2" s="325"/>
      <c r="G2" s="325"/>
      <c r="H2" s="325"/>
    </row>
    <row r="3" spans="1:8" x14ac:dyDescent="0.25">
      <c r="A3" s="321" t="s">
        <v>71</v>
      </c>
      <c r="B3" s="248">
        <v>82</v>
      </c>
      <c r="C3" s="392"/>
      <c r="D3" s="393"/>
      <c r="E3" s="394"/>
      <c r="F3" s="325"/>
      <c r="G3" s="325"/>
      <c r="H3" s="212"/>
    </row>
    <row r="4" spans="1:8" x14ac:dyDescent="0.25">
      <c r="A4" s="301" t="s">
        <v>72</v>
      </c>
      <c r="B4" s="253"/>
      <c r="C4" s="291">
        <v>156</v>
      </c>
      <c r="D4" s="249">
        <v>111</v>
      </c>
      <c r="E4" s="272"/>
      <c r="F4" s="325"/>
      <c r="G4" s="325"/>
      <c r="H4" s="212"/>
    </row>
    <row r="5" spans="1:8" x14ac:dyDescent="0.25">
      <c r="A5" s="81" t="s">
        <v>73</v>
      </c>
      <c r="B5" s="395"/>
      <c r="C5" s="396"/>
      <c r="D5" s="249">
        <v>193</v>
      </c>
      <c r="E5" s="272"/>
      <c r="F5" s="325"/>
      <c r="G5" s="325"/>
      <c r="H5" s="212"/>
    </row>
    <row r="6" spans="1:8" x14ac:dyDescent="0.25">
      <c r="A6" s="321" t="s">
        <v>74</v>
      </c>
      <c r="B6" s="248">
        <v>209</v>
      </c>
      <c r="C6" s="381"/>
      <c r="D6" s="382"/>
      <c r="E6" s="383"/>
      <c r="F6" s="325"/>
      <c r="G6" s="325"/>
      <c r="H6" s="212"/>
    </row>
    <row r="7" spans="1:8" x14ac:dyDescent="0.25">
      <c r="A7" s="301" t="s">
        <v>75</v>
      </c>
      <c r="B7" s="267"/>
      <c r="C7" s="291">
        <v>150</v>
      </c>
      <c r="D7" s="27"/>
      <c r="E7" s="272"/>
      <c r="F7" s="325"/>
      <c r="G7" s="325"/>
      <c r="H7" s="212"/>
    </row>
    <row r="8" spans="1:8" ht="27.6" x14ac:dyDescent="0.25">
      <c r="A8" s="171" t="s">
        <v>76</v>
      </c>
      <c r="B8" s="253"/>
      <c r="C8" s="27"/>
      <c r="D8" s="272"/>
      <c r="E8" s="181" t="s">
        <v>1491</v>
      </c>
      <c r="F8" s="325"/>
      <c r="G8" s="325"/>
      <c r="H8" s="212"/>
    </row>
    <row r="9" spans="1:8" x14ac:dyDescent="0.25">
      <c r="A9" s="81" t="s">
        <v>77</v>
      </c>
      <c r="B9" s="253"/>
      <c r="C9" s="291">
        <v>150</v>
      </c>
      <c r="D9" s="299">
        <v>122</v>
      </c>
      <c r="E9" s="33"/>
      <c r="F9" s="325"/>
      <c r="G9" s="325"/>
      <c r="H9" s="212"/>
    </row>
    <row r="10" spans="1:8" x14ac:dyDescent="0.25">
      <c r="A10" s="81" t="s">
        <v>78</v>
      </c>
      <c r="B10" s="395"/>
      <c r="C10" s="396"/>
      <c r="D10" s="299">
        <v>204</v>
      </c>
      <c r="E10" s="33"/>
      <c r="F10" s="325"/>
      <c r="G10" s="325"/>
      <c r="H10" s="212"/>
    </row>
    <row r="11" spans="1:8" x14ac:dyDescent="0.25">
      <c r="A11" s="301" t="s">
        <v>79</v>
      </c>
      <c r="B11" s="253"/>
      <c r="C11" s="181">
        <v>335</v>
      </c>
      <c r="D11" s="299">
        <v>260</v>
      </c>
      <c r="E11" s="33"/>
      <c r="F11" s="325"/>
      <c r="G11" s="325"/>
      <c r="H11" s="212"/>
    </row>
    <row r="12" spans="1:8" x14ac:dyDescent="0.25">
      <c r="A12" s="325"/>
      <c r="B12" s="325"/>
      <c r="C12" s="325"/>
      <c r="D12" s="325"/>
      <c r="E12" s="325"/>
      <c r="F12" s="325"/>
      <c r="G12" s="212"/>
      <c r="H12" s="212"/>
    </row>
    <row r="13" spans="1:8" x14ac:dyDescent="0.25">
      <c r="A13" s="384" t="s">
        <v>80</v>
      </c>
      <c r="B13" s="385"/>
      <c r="C13" s="388"/>
      <c r="D13" s="388"/>
      <c r="E13" s="389"/>
      <c r="F13" s="325"/>
      <c r="G13" s="212"/>
      <c r="H13" s="212"/>
    </row>
    <row r="14" spans="1:8" x14ac:dyDescent="0.25">
      <c r="A14" s="321" t="s">
        <v>81</v>
      </c>
      <c r="B14" s="299">
        <v>64</v>
      </c>
      <c r="C14" s="179"/>
      <c r="D14" s="254"/>
      <c r="E14" s="390"/>
      <c r="F14" s="325"/>
      <c r="G14" s="325"/>
      <c r="H14" s="212"/>
    </row>
    <row r="15" spans="1:8" x14ac:dyDescent="0.25">
      <c r="A15" s="321" t="s">
        <v>82</v>
      </c>
      <c r="B15" s="122"/>
      <c r="C15" s="299">
        <v>36</v>
      </c>
      <c r="D15" s="294"/>
      <c r="E15" s="391"/>
      <c r="F15" s="325"/>
      <c r="G15" s="325"/>
      <c r="H15" s="212"/>
    </row>
    <row r="16" spans="1:8" x14ac:dyDescent="0.25">
      <c r="A16" s="321" t="s">
        <v>83</v>
      </c>
      <c r="B16" s="291">
        <v>156</v>
      </c>
      <c r="C16" s="179"/>
      <c r="D16" s="294"/>
      <c r="E16" s="179"/>
      <c r="F16" s="325"/>
      <c r="G16" s="325"/>
      <c r="H16" s="212"/>
    </row>
    <row r="17" spans="1:8" x14ac:dyDescent="0.25">
      <c r="A17" s="321" t="s">
        <v>84</v>
      </c>
      <c r="B17" s="253"/>
      <c r="C17" s="299">
        <v>99</v>
      </c>
      <c r="D17" s="294"/>
      <c r="E17" s="254"/>
      <c r="F17" s="325"/>
      <c r="G17" s="325"/>
      <c r="H17" s="212"/>
    </row>
    <row r="18" spans="1:8" x14ac:dyDescent="0.25">
      <c r="A18" s="321" t="s">
        <v>85</v>
      </c>
      <c r="B18" s="194"/>
      <c r="C18" s="189"/>
      <c r="D18" s="248">
        <v>97</v>
      </c>
      <c r="E18" s="157"/>
      <c r="F18" s="325"/>
      <c r="G18" s="325"/>
      <c r="H18" s="212"/>
    </row>
    <row r="19" spans="1:8" x14ac:dyDescent="0.25">
      <c r="A19" s="171" t="s">
        <v>86</v>
      </c>
      <c r="B19" s="192"/>
      <c r="C19" s="20"/>
      <c r="D19" s="196">
        <v>179</v>
      </c>
      <c r="E19" s="192"/>
      <c r="F19" s="325"/>
      <c r="G19" s="325"/>
      <c r="H19" s="212"/>
    </row>
    <row r="20" spans="1:8" x14ac:dyDescent="0.25">
      <c r="A20" s="325"/>
      <c r="B20" s="325"/>
      <c r="C20" s="325"/>
      <c r="D20" s="325"/>
      <c r="E20" s="325"/>
      <c r="F20" s="325"/>
      <c r="G20" s="325"/>
      <c r="H20" s="212"/>
    </row>
    <row r="21" spans="1:8" x14ac:dyDescent="0.25">
      <c r="A21" s="384" t="s">
        <v>87</v>
      </c>
      <c r="B21" s="385"/>
      <c r="C21" s="385"/>
      <c r="D21" s="385"/>
      <c r="E21" s="386"/>
      <c r="F21" s="325"/>
      <c r="G21" s="325"/>
      <c r="H21" s="212"/>
    </row>
    <row r="22" spans="1:8" x14ac:dyDescent="0.25">
      <c r="A22" s="321" t="s">
        <v>88</v>
      </c>
      <c r="B22" s="248">
        <v>41</v>
      </c>
      <c r="C22" s="381"/>
      <c r="D22" s="382"/>
      <c r="E22" s="383"/>
      <c r="F22" s="325"/>
      <c r="G22" s="325"/>
      <c r="H22" s="212"/>
    </row>
    <row r="23" spans="1:8" x14ac:dyDescent="0.25">
      <c r="A23" s="321" t="s">
        <v>89</v>
      </c>
      <c r="B23" s="248">
        <v>128</v>
      </c>
      <c r="C23" s="387">
        <v>82</v>
      </c>
      <c r="D23" s="387"/>
      <c r="E23" s="137"/>
      <c r="F23" s="325"/>
      <c r="G23" s="325"/>
      <c r="H23" s="212"/>
    </row>
    <row r="24" spans="1:8" x14ac:dyDescent="0.25">
      <c r="A24" s="321" t="s">
        <v>90</v>
      </c>
      <c r="B24" s="295"/>
      <c r="C24" s="248">
        <v>183</v>
      </c>
      <c r="D24" s="248">
        <v>183</v>
      </c>
      <c r="E24" s="254"/>
      <c r="F24" s="325"/>
      <c r="G24" s="325"/>
      <c r="H24" s="212"/>
    </row>
    <row r="25" spans="1:8" x14ac:dyDescent="0.25">
      <c r="A25" s="325"/>
      <c r="B25" s="325"/>
      <c r="C25" s="325"/>
      <c r="D25" s="325"/>
      <c r="E25" s="325"/>
      <c r="F25" s="325"/>
      <c r="G25" s="325"/>
      <c r="H25" s="325"/>
    </row>
    <row r="26" spans="1:8" x14ac:dyDescent="0.25">
      <c r="A26" s="384" t="s">
        <v>91</v>
      </c>
      <c r="B26" s="385"/>
      <c r="C26" s="385"/>
      <c r="D26" s="385"/>
      <c r="E26" s="386"/>
      <c r="F26" s="325"/>
      <c r="G26" s="325"/>
      <c r="H26" s="325"/>
    </row>
    <row r="27" spans="1:8" x14ac:dyDescent="0.25">
      <c r="A27" s="321" t="s">
        <v>92</v>
      </c>
      <c r="B27" s="378">
        <v>30</v>
      </c>
      <c r="C27" s="380"/>
      <c r="D27" s="66"/>
      <c r="E27" s="252"/>
      <c r="F27" s="325"/>
      <c r="G27" s="325"/>
      <c r="H27" s="325"/>
    </row>
    <row r="28" spans="1:8" x14ac:dyDescent="0.25">
      <c r="A28" s="321" t="s">
        <v>93</v>
      </c>
      <c r="B28" s="378">
        <v>104</v>
      </c>
      <c r="C28" s="380"/>
      <c r="D28" s="248">
        <v>82</v>
      </c>
      <c r="E28" s="248">
        <v>82</v>
      </c>
      <c r="F28" s="325"/>
      <c r="G28" s="325"/>
      <c r="H28" s="325"/>
    </row>
    <row r="29" spans="1:8" x14ac:dyDescent="0.25">
      <c r="A29" s="325"/>
      <c r="B29" s="325"/>
      <c r="C29" s="325"/>
      <c r="D29" s="325"/>
      <c r="E29" s="325"/>
      <c r="F29" s="325"/>
      <c r="G29" s="325"/>
      <c r="H29" s="325"/>
    </row>
    <row r="30" spans="1:8" x14ac:dyDescent="0.25">
      <c r="A30" s="384" t="s">
        <v>94</v>
      </c>
      <c r="B30" s="385"/>
      <c r="C30" s="385"/>
      <c r="D30" s="385"/>
      <c r="E30" s="386"/>
      <c r="F30" s="325"/>
      <c r="G30" s="325"/>
      <c r="H30" s="325"/>
    </row>
    <row r="31" spans="1:8" ht="41.4" x14ac:dyDescent="0.25">
      <c r="A31" s="171" t="s">
        <v>95</v>
      </c>
      <c r="B31" s="181" t="s">
        <v>1487</v>
      </c>
      <c r="C31" s="181" t="s">
        <v>1546</v>
      </c>
      <c r="D31" s="181" t="s">
        <v>1489</v>
      </c>
      <c r="E31" s="72" t="s">
        <v>1547</v>
      </c>
      <c r="F31" s="325"/>
      <c r="G31" s="325"/>
      <c r="H31" s="325"/>
    </row>
    <row r="32" spans="1:8" ht="41.4" x14ac:dyDescent="0.25">
      <c r="A32" s="321" t="s">
        <v>96</v>
      </c>
      <c r="B32" s="291" t="s">
        <v>1486</v>
      </c>
      <c r="C32" s="181" t="s">
        <v>1488</v>
      </c>
      <c r="D32" s="181" t="s">
        <v>1492</v>
      </c>
      <c r="E32" s="72" t="s">
        <v>1490</v>
      </c>
      <c r="F32" s="325"/>
      <c r="G32" s="325"/>
    </row>
    <row r="33" spans="1:8" x14ac:dyDescent="0.25">
      <c r="A33" s="107" t="s">
        <v>97</v>
      </c>
      <c r="B33" s="387">
        <v>6</v>
      </c>
      <c r="C33" s="387"/>
      <c r="D33" s="387"/>
      <c r="E33" s="376"/>
      <c r="F33" s="325"/>
      <c r="G33" s="325"/>
    </row>
    <row r="34" spans="1:8" x14ac:dyDescent="0.25">
      <c r="A34" s="107" t="s">
        <v>98</v>
      </c>
      <c r="B34" s="378">
        <v>7</v>
      </c>
      <c r="C34" s="379"/>
      <c r="D34" s="380"/>
      <c r="E34" s="377"/>
      <c r="F34" s="325"/>
      <c r="G34" s="325"/>
    </row>
    <row r="35" spans="1:8" x14ac:dyDescent="0.25">
      <c r="A35" s="74" t="s">
        <v>99</v>
      </c>
      <c r="B35" s="110"/>
      <c r="C35" s="248">
        <v>88</v>
      </c>
      <c r="D35" s="248">
        <v>88</v>
      </c>
      <c r="E35" s="248">
        <v>88</v>
      </c>
      <c r="F35" s="325"/>
      <c r="G35" s="325"/>
    </row>
    <row r="36" spans="1:8" x14ac:dyDescent="0.25">
      <c r="A36" s="74" t="s">
        <v>100</v>
      </c>
      <c r="B36" s="110"/>
      <c r="C36" s="278"/>
      <c r="D36" s="248">
        <v>267</v>
      </c>
      <c r="E36" s="248">
        <v>267</v>
      </c>
      <c r="F36" s="325"/>
      <c r="G36" s="325"/>
    </row>
    <row r="37" spans="1:8" ht="14.4" thickBot="1" x14ac:dyDescent="0.3">
      <c r="A37" s="325"/>
      <c r="B37" s="325"/>
      <c r="C37" s="325"/>
      <c r="D37" s="325"/>
      <c r="E37" s="325"/>
      <c r="F37" s="325"/>
      <c r="G37" s="325"/>
      <c r="H37" s="325"/>
    </row>
    <row r="38" spans="1:8" ht="14.4" thickBot="1" x14ac:dyDescent="0.3">
      <c r="A38" s="83" t="s">
        <v>101</v>
      </c>
      <c r="B38" s="94"/>
      <c r="C38" s="94"/>
      <c r="D38" s="94"/>
      <c r="E38" s="68"/>
      <c r="F38" s="325"/>
      <c r="G38" s="325"/>
      <c r="H38" s="325"/>
    </row>
    <row r="39" spans="1:8" x14ac:dyDescent="0.25">
      <c r="A39" s="146" t="s">
        <v>102</v>
      </c>
      <c r="B39" s="146" t="s">
        <v>103</v>
      </c>
      <c r="C39" s="146" t="s">
        <v>104</v>
      </c>
      <c r="D39" s="146" t="s">
        <v>105</v>
      </c>
      <c r="E39" s="146" t="s">
        <v>106</v>
      </c>
      <c r="F39" s="321" t="s">
        <v>107</v>
      </c>
      <c r="G39" s="321" t="s">
        <v>108</v>
      </c>
      <c r="H39" s="321" t="s">
        <v>109</v>
      </c>
    </row>
    <row r="40" spans="1:8" x14ac:dyDescent="0.25">
      <c r="A40" s="321" t="s">
        <v>110</v>
      </c>
      <c r="B40" s="324">
        <v>30</v>
      </c>
      <c r="C40" s="324">
        <v>10</v>
      </c>
      <c r="D40" s="278"/>
      <c r="E40" s="324">
        <v>158</v>
      </c>
      <c r="F40" s="278"/>
      <c r="G40" s="324">
        <v>22</v>
      </c>
      <c r="H40" s="324">
        <f>B40+G40</f>
        <v>52</v>
      </c>
    </row>
    <row r="41" spans="1:8" x14ac:dyDescent="0.25">
      <c r="A41" s="321" t="s">
        <v>111</v>
      </c>
      <c r="B41" s="324">
        <v>30</v>
      </c>
      <c r="C41" s="324">
        <v>20</v>
      </c>
      <c r="D41" s="324">
        <v>50</v>
      </c>
      <c r="E41" s="324">
        <v>158</v>
      </c>
      <c r="F41" s="324">
        <v>20</v>
      </c>
      <c r="G41" s="324">
        <v>22</v>
      </c>
      <c r="H41" s="324">
        <f>B41+G41</f>
        <v>52</v>
      </c>
    </row>
    <row r="42" spans="1:8" x14ac:dyDescent="0.25">
      <c r="A42" s="321" t="s">
        <v>112</v>
      </c>
      <c r="B42" s="324">
        <v>60</v>
      </c>
      <c r="C42" s="324">
        <v>20</v>
      </c>
      <c r="D42" s="324">
        <v>80</v>
      </c>
      <c r="E42" s="324">
        <v>158</v>
      </c>
      <c r="F42" s="324">
        <v>20</v>
      </c>
      <c r="G42" s="324">
        <v>22</v>
      </c>
      <c r="H42" s="324">
        <f>B42+G42</f>
        <v>82</v>
      </c>
    </row>
    <row r="43" spans="1:8" x14ac:dyDescent="0.25">
      <c r="A43" s="321" t="s">
        <v>113</v>
      </c>
      <c r="B43" s="324">
        <v>30</v>
      </c>
      <c r="C43" s="324">
        <v>10</v>
      </c>
      <c r="D43" s="324">
        <v>60</v>
      </c>
      <c r="E43" s="324">
        <v>158</v>
      </c>
      <c r="F43" s="324">
        <v>20</v>
      </c>
      <c r="G43" s="324">
        <v>22</v>
      </c>
      <c r="H43" s="324">
        <f>B43+G43</f>
        <v>52</v>
      </c>
    </row>
    <row r="44" spans="1:8" x14ac:dyDescent="0.25">
      <c r="A44" s="325"/>
      <c r="B44" s="325"/>
      <c r="C44" s="325"/>
      <c r="D44" s="325"/>
      <c r="E44" s="325"/>
      <c r="F44" s="325"/>
      <c r="G44" s="325"/>
      <c r="H44" s="325"/>
    </row>
    <row r="45" spans="1:8" x14ac:dyDescent="0.25">
      <c r="A45" s="325" t="s">
        <v>114</v>
      </c>
      <c r="B45" s="325"/>
      <c r="C45" s="325"/>
      <c r="D45" s="325"/>
      <c r="E45" s="325"/>
      <c r="F45" s="325"/>
      <c r="G45" s="325"/>
      <c r="H45" s="325"/>
    </row>
    <row r="46" spans="1:8" x14ac:dyDescent="0.25">
      <c r="A46" s="325" t="s">
        <v>115</v>
      </c>
      <c r="B46" s="325"/>
      <c r="C46" s="325"/>
      <c r="D46" s="325"/>
      <c r="E46" s="325"/>
      <c r="F46" s="325"/>
      <c r="G46" s="325"/>
      <c r="H46" s="320"/>
    </row>
    <row r="47" spans="1:8" x14ac:dyDescent="0.25">
      <c r="A47" s="325" t="s">
        <v>116</v>
      </c>
      <c r="B47" s="325"/>
      <c r="C47" s="325"/>
      <c r="D47" s="325"/>
      <c r="E47" s="325"/>
      <c r="F47" s="325"/>
      <c r="G47" s="325"/>
      <c r="H47" s="320"/>
    </row>
    <row r="48" spans="1:8" ht="14.4" thickBot="1" x14ac:dyDescent="0.3">
      <c r="A48" s="325"/>
      <c r="B48" s="325"/>
      <c r="C48" s="325"/>
      <c r="D48" s="325"/>
      <c r="E48" s="325"/>
      <c r="F48" s="325"/>
      <c r="G48" s="325"/>
      <c r="H48" s="320"/>
    </row>
    <row r="49" spans="1:5" ht="14.4" thickBot="1" x14ac:dyDescent="0.3">
      <c r="A49" s="185" t="s">
        <v>117</v>
      </c>
      <c r="B49" s="115"/>
      <c r="C49" s="115"/>
      <c r="D49" s="115"/>
      <c r="E49" s="106"/>
    </row>
    <row r="50" spans="1:5" x14ac:dyDescent="0.25">
      <c r="A50" s="325" t="s">
        <v>118</v>
      </c>
      <c r="B50" s="325"/>
      <c r="C50" s="325"/>
      <c r="D50" s="325"/>
      <c r="E50" s="325"/>
    </row>
    <row r="51" spans="1:5" x14ac:dyDescent="0.25">
      <c r="A51" s="325" t="s">
        <v>119</v>
      </c>
      <c r="B51" s="325"/>
      <c r="C51" s="325"/>
      <c r="D51" s="325"/>
      <c r="E51" s="325"/>
    </row>
    <row r="52" spans="1:5" x14ac:dyDescent="0.25">
      <c r="A52" s="325" t="s">
        <v>120</v>
      </c>
      <c r="B52" s="325"/>
      <c r="C52" s="325"/>
      <c r="D52" s="325"/>
      <c r="E52" s="325"/>
    </row>
    <row r="53" spans="1:5" x14ac:dyDescent="0.25">
      <c r="A53" s="325"/>
      <c r="B53" s="325"/>
      <c r="C53" s="325"/>
      <c r="D53" s="325"/>
      <c r="E53" s="325"/>
    </row>
    <row r="54" spans="1:5" x14ac:dyDescent="0.25">
      <c r="A54" s="325"/>
      <c r="B54" s="325"/>
      <c r="C54" s="325"/>
      <c r="D54" s="325"/>
      <c r="E54" s="325"/>
    </row>
    <row r="55" spans="1:5" x14ac:dyDescent="0.25">
      <c r="A55" s="325"/>
      <c r="B55" s="325"/>
      <c r="C55" s="325"/>
      <c r="D55" s="325"/>
      <c r="E55" s="325"/>
    </row>
  </sheetData>
  <mergeCells count="17">
    <mergeCell ref="A2:E2"/>
    <mergeCell ref="A13:E13"/>
    <mergeCell ref="A21:E21"/>
    <mergeCell ref="E14:E15"/>
    <mergeCell ref="C3:E3"/>
    <mergeCell ref="B5:C5"/>
    <mergeCell ref="C6:E6"/>
    <mergeCell ref="B10:C10"/>
    <mergeCell ref="E33:E34"/>
    <mergeCell ref="B34:D34"/>
    <mergeCell ref="C22:E22"/>
    <mergeCell ref="A26:E26"/>
    <mergeCell ref="B28:C28"/>
    <mergeCell ref="C23:D23"/>
    <mergeCell ref="B27:C27"/>
    <mergeCell ref="A30:E30"/>
    <mergeCell ref="B33:D33"/>
  </mergeCells>
  <phoneticPr fontId="1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402"/>
  <sheetViews>
    <sheetView zoomScale="80" zoomScaleNormal="80" workbookViewId="0">
      <selection activeCell="E377" sqref="E377"/>
    </sheetView>
  </sheetViews>
  <sheetFormatPr baseColWidth="10" defaultColWidth="51.33203125" defaultRowHeight="13.8" x14ac:dyDescent="0.3"/>
  <cols>
    <col min="1" max="1" width="145.109375" style="307" bestFit="1" customWidth="1"/>
    <col min="2" max="2" width="112.88671875" style="307" bestFit="1" customWidth="1"/>
    <col min="3" max="3" width="5.5546875" style="308" bestFit="1" customWidth="1"/>
    <col min="4" max="4" width="4.6640625" style="308" bestFit="1" customWidth="1"/>
    <col min="5" max="5" width="13.77734375" style="265" bestFit="1" customWidth="1"/>
    <col min="6" max="6" width="18.88671875" style="265" bestFit="1" customWidth="1"/>
    <col min="7" max="7" width="11" style="265" bestFit="1" customWidth="1"/>
    <col min="8" max="8" width="10" style="265" bestFit="1" customWidth="1"/>
    <col min="9" max="9" width="12.6640625" style="265" bestFit="1" customWidth="1"/>
    <col min="10" max="10" width="11.6640625" style="198" bestFit="1" customWidth="1"/>
    <col min="11" max="11" width="15.109375" style="211" bestFit="1" customWidth="1"/>
    <col min="12" max="44" width="51.33203125" style="329"/>
    <col min="45" max="16384" width="51.33203125" style="307"/>
  </cols>
  <sheetData>
    <row r="1" spans="1:44" x14ac:dyDescent="0.3">
      <c r="E1" s="265" t="s">
        <v>121</v>
      </c>
    </row>
    <row r="7" spans="1:44" s="330" customFormat="1" ht="15.6" x14ac:dyDescent="0.3">
      <c r="A7" s="151" t="s">
        <v>122</v>
      </c>
      <c r="B7" s="286"/>
      <c r="C7" s="47"/>
      <c r="D7" s="47"/>
      <c r="E7" s="150"/>
      <c r="F7" s="150"/>
      <c r="G7" s="150"/>
      <c r="H7" s="150"/>
      <c r="I7" s="150"/>
      <c r="J7" s="150"/>
      <c r="K7" s="222"/>
      <c r="L7" s="221"/>
      <c r="M7" s="221"/>
      <c r="N7" s="221"/>
      <c r="O7" s="221"/>
      <c r="P7" s="221"/>
      <c r="Q7" s="221"/>
      <c r="R7" s="221"/>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c r="AQ7" s="221"/>
      <c r="AR7" s="221"/>
    </row>
    <row r="8" spans="1:44" s="330" customFormat="1" ht="31.2" x14ac:dyDescent="0.3">
      <c r="A8" s="151" t="s">
        <v>123</v>
      </c>
      <c r="B8" s="286"/>
      <c r="C8" s="47"/>
      <c r="D8" s="47"/>
      <c r="E8" s="150"/>
      <c r="F8" s="150"/>
      <c r="G8" s="150"/>
      <c r="H8" s="150"/>
      <c r="I8" s="150"/>
      <c r="J8" s="150"/>
      <c r="K8" s="307"/>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row>
    <row r="9" spans="1:44" s="330" customFormat="1" x14ac:dyDescent="0.3">
      <c r="A9" s="47"/>
      <c r="B9" s="47"/>
      <c r="C9" s="47"/>
      <c r="D9" s="47"/>
      <c r="E9" s="150"/>
      <c r="F9" s="150"/>
      <c r="G9" s="150"/>
      <c r="H9" s="150"/>
      <c r="I9" s="150"/>
      <c r="J9" s="150"/>
      <c r="K9" s="255"/>
      <c r="L9" s="221"/>
      <c r="M9" s="221"/>
      <c r="N9" s="221"/>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row>
    <row r="10" spans="1:44" s="224" customFormat="1" x14ac:dyDescent="0.3">
      <c r="A10" s="271" t="s">
        <v>124</v>
      </c>
      <c r="B10" s="271"/>
      <c r="C10" s="271"/>
      <c r="D10" s="271"/>
      <c r="E10" s="271"/>
      <c r="F10" s="271"/>
      <c r="G10" s="271"/>
      <c r="H10" s="271"/>
      <c r="I10" s="271"/>
      <c r="J10" s="271"/>
      <c r="K10" s="266"/>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row>
    <row r="11" spans="1:44" s="13" customFormat="1" ht="82.8" x14ac:dyDescent="0.3">
      <c r="A11" s="22" t="s">
        <v>125</v>
      </c>
      <c r="B11" s="22" t="s">
        <v>126</v>
      </c>
      <c r="C11" s="22" t="s">
        <v>127</v>
      </c>
      <c r="D11" s="22" t="s">
        <v>128</v>
      </c>
      <c r="E11" s="22"/>
      <c r="F11" s="22"/>
      <c r="G11" s="22"/>
      <c r="H11" s="22"/>
      <c r="I11" s="22"/>
      <c r="J11" s="22"/>
      <c r="K11" s="264" t="s">
        <v>130</v>
      </c>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row>
    <row r="12" spans="1:44" s="330" customFormat="1" ht="165.6" x14ac:dyDescent="0.3">
      <c r="A12" s="156" t="s">
        <v>1607</v>
      </c>
      <c r="B12" s="168" t="s">
        <v>131</v>
      </c>
      <c r="C12" s="159"/>
      <c r="D12" s="159"/>
      <c r="E12" s="54"/>
      <c r="F12" s="54"/>
      <c r="G12" s="54"/>
      <c r="H12" s="54"/>
      <c r="I12" s="54"/>
      <c r="J12" s="54"/>
      <c r="K12" s="143">
        <v>361</v>
      </c>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row>
    <row r="13" spans="1:44" s="330" customFormat="1" x14ac:dyDescent="0.3">
      <c r="A13" s="303"/>
      <c r="B13" s="168"/>
      <c r="C13" s="159"/>
      <c r="D13" s="159"/>
      <c r="E13" s="54"/>
      <c r="F13" s="54"/>
      <c r="G13" s="54"/>
      <c r="H13" s="54"/>
      <c r="I13" s="54"/>
      <c r="J13" s="54"/>
      <c r="K13" s="236"/>
      <c r="L13" s="221"/>
      <c r="M13" s="221"/>
      <c r="N13" s="221"/>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row>
    <row r="14" spans="1:44" s="330" customFormat="1" ht="165.6" x14ac:dyDescent="0.3">
      <c r="A14" s="303" t="s">
        <v>1608</v>
      </c>
      <c r="B14" s="168" t="s">
        <v>132</v>
      </c>
      <c r="C14" s="159"/>
      <c r="D14" s="159"/>
      <c r="E14" s="54"/>
      <c r="F14" s="54"/>
      <c r="G14" s="54"/>
      <c r="H14" s="54"/>
      <c r="I14" s="54"/>
      <c r="J14" s="54"/>
      <c r="K14" s="143">
        <v>341</v>
      </c>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row>
    <row r="15" spans="1:44" s="330" customFormat="1" x14ac:dyDescent="0.3">
      <c r="A15" s="303"/>
      <c r="B15" s="168"/>
      <c r="C15" s="159"/>
      <c r="D15" s="159"/>
      <c r="E15" s="54"/>
      <c r="F15" s="54"/>
      <c r="G15" s="54"/>
      <c r="H15" s="54"/>
      <c r="I15" s="54"/>
      <c r="J15" s="54"/>
      <c r="K15" s="233"/>
      <c r="L15" s="221"/>
      <c r="M15" s="221"/>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row>
    <row r="16" spans="1:44" s="330" customFormat="1" ht="165.6" x14ac:dyDescent="0.3">
      <c r="A16" s="156" t="s">
        <v>1609</v>
      </c>
      <c r="B16" s="168" t="s">
        <v>133</v>
      </c>
      <c r="C16" s="159"/>
      <c r="D16" s="159"/>
      <c r="E16" s="54"/>
      <c r="F16" s="54"/>
      <c r="G16" s="54"/>
      <c r="H16" s="54"/>
      <c r="I16" s="54"/>
      <c r="J16" s="54"/>
      <c r="K16" s="143">
        <v>361</v>
      </c>
      <c r="L16" s="221"/>
      <c r="M16" s="221"/>
      <c r="N16" s="221"/>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row>
    <row r="17" spans="1:44" x14ac:dyDescent="0.3">
      <c r="A17" s="303"/>
      <c r="B17" s="168"/>
      <c r="C17" s="159"/>
      <c r="D17" s="159"/>
      <c r="E17" s="54"/>
      <c r="F17" s="54"/>
      <c r="G17" s="54"/>
      <c r="H17" s="54"/>
      <c r="I17" s="54"/>
      <c r="J17" s="54"/>
      <c r="K17" s="234"/>
    </row>
    <row r="18" spans="1:44" ht="165.6" x14ac:dyDescent="0.3">
      <c r="A18" s="270" t="s">
        <v>1610</v>
      </c>
      <c r="B18" s="168" t="s">
        <v>134</v>
      </c>
      <c r="C18" s="159"/>
      <c r="D18" s="159"/>
      <c r="E18" s="54"/>
      <c r="F18" s="54"/>
      <c r="G18" s="54"/>
      <c r="H18" s="54"/>
      <c r="I18" s="54"/>
      <c r="J18" s="54"/>
      <c r="K18" s="143">
        <v>341</v>
      </c>
    </row>
    <row r="19" spans="1:44" x14ac:dyDescent="0.3">
      <c r="A19" s="303"/>
      <c r="B19" s="168"/>
      <c r="C19" s="159"/>
      <c r="D19" s="159"/>
      <c r="E19" s="54"/>
      <c r="F19" s="54"/>
      <c r="G19" s="54"/>
      <c r="H19" s="54"/>
      <c r="I19" s="54"/>
      <c r="J19" s="54"/>
      <c r="K19" s="234"/>
    </row>
    <row r="20" spans="1:44" ht="151.80000000000001" x14ac:dyDescent="0.3">
      <c r="A20" s="125" t="s">
        <v>1611</v>
      </c>
      <c r="B20" s="168" t="s">
        <v>135</v>
      </c>
      <c r="C20" s="159"/>
      <c r="D20" s="159"/>
      <c r="E20" s="54"/>
      <c r="F20" s="54"/>
      <c r="G20" s="54"/>
      <c r="H20" s="54"/>
      <c r="I20" s="54"/>
      <c r="J20" s="54"/>
      <c r="K20" s="143">
        <v>449</v>
      </c>
    </row>
    <row r="21" spans="1:44" x14ac:dyDescent="0.3">
      <c r="A21" s="303"/>
      <c r="B21" s="168"/>
      <c r="C21" s="159"/>
      <c r="D21" s="159"/>
      <c r="E21" s="54"/>
      <c r="F21" s="54"/>
      <c r="G21" s="54"/>
      <c r="H21" s="54"/>
      <c r="I21" s="54"/>
      <c r="J21" s="54"/>
      <c r="K21" s="234"/>
    </row>
    <row r="22" spans="1:44" s="16" customFormat="1" ht="27.6" x14ac:dyDescent="0.3">
      <c r="A22" s="276" t="s">
        <v>136</v>
      </c>
      <c r="B22" s="22" t="s">
        <v>126</v>
      </c>
      <c r="C22" s="22" t="s">
        <v>127</v>
      </c>
      <c r="D22" s="22" t="s">
        <v>128</v>
      </c>
      <c r="E22" s="22" t="s">
        <v>137</v>
      </c>
      <c r="F22" s="22" t="s">
        <v>138</v>
      </c>
      <c r="G22" s="22" t="s">
        <v>139</v>
      </c>
      <c r="H22" s="22" t="s">
        <v>140</v>
      </c>
      <c r="I22" s="22" t="s">
        <v>141</v>
      </c>
      <c r="J22" s="22"/>
      <c r="K22" s="14"/>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row r="23" spans="1:44" x14ac:dyDescent="0.3">
      <c r="A23" s="112" t="s">
        <v>143</v>
      </c>
      <c r="B23" s="124"/>
      <c r="C23" s="124"/>
      <c r="D23" s="124"/>
      <c r="E23" s="289"/>
      <c r="F23" s="289"/>
      <c r="G23" s="289"/>
      <c r="H23" s="289"/>
      <c r="I23" s="289"/>
      <c r="J23" s="293"/>
      <c r="K23" s="235"/>
    </row>
    <row r="24" spans="1:44" x14ac:dyDescent="0.3">
      <c r="A24" s="156" t="s">
        <v>1655</v>
      </c>
      <c r="B24" s="156" t="s">
        <v>144</v>
      </c>
      <c r="C24" s="123"/>
      <c r="D24" s="123"/>
      <c r="E24" s="298"/>
      <c r="F24" s="298" t="s">
        <v>145</v>
      </c>
      <c r="G24" s="298"/>
      <c r="H24" s="298" t="s">
        <v>146</v>
      </c>
      <c r="I24" s="298" t="s">
        <v>147</v>
      </c>
      <c r="J24" s="85"/>
      <c r="K24" s="143">
        <v>64</v>
      </c>
    </row>
    <row r="25" spans="1:44" x14ac:dyDescent="0.3">
      <c r="A25" s="156" t="s">
        <v>1659</v>
      </c>
      <c r="B25" s="156" t="s">
        <v>148</v>
      </c>
      <c r="C25" s="123"/>
      <c r="D25" s="123"/>
      <c r="E25" s="298"/>
      <c r="F25" s="298" t="s">
        <v>149</v>
      </c>
      <c r="G25" s="298"/>
      <c r="H25" s="298" t="s">
        <v>150</v>
      </c>
      <c r="J25" s="85"/>
      <c r="K25" s="143">
        <v>64</v>
      </c>
    </row>
    <row r="26" spans="1:44" x14ac:dyDescent="0.3">
      <c r="A26" s="113" t="s">
        <v>1658</v>
      </c>
      <c r="B26" s="156" t="s">
        <v>151</v>
      </c>
      <c r="C26" s="123"/>
      <c r="D26" s="123"/>
      <c r="E26" s="298"/>
      <c r="F26" s="298"/>
      <c r="G26" s="298"/>
      <c r="H26" s="298"/>
      <c r="I26" s="298" t="s">
        <v>152</v>
      </c>
      <c r="J26" s="85"/>
      <c r="K26" s="143">
        <v>64</v>
      </c>
    </row>
    <row r="27" spans="1:44" x14ac:dyDescent="0.3">
      <c r="A27" s="156" t="s">
        <v>1656</v>
      </c>
      <c r="B27" s="156" t="s">
        <v>153</v>
      </c>
      <c r="C27" s="123"/>
      <c r="D27" s="123"/>
      <c r="E27" s="298" t="s">
        <v>154</v>
      </c>
      <c r="F27" s="298"/>
      <c r="G27" s="298" t="s">
        <v>155</v>
      </c>
      <c r="H27" s="298"/>
      <c r="I27" s="298"/>
      <c r="J27" s="85"/>
      <c r="K27" s="143">
        <v>82</v>
      </c>
    </row>
    <row r="28" spans="1:44" x14ac:dyDescent="0.3">
      <c r="A28" s="156" t="s">
        <v>1657</v>
      </c>
      <c r="B28" s="156" t="s">
        <v>156</v>
      </c>
      <c r="C28" s="123"/>
      <c r="D28" s="123"/>
      <c r="E28" s="57" t="s">
        <v>157</v>
      </c>
      <c r="F28" s="298"/>
      <c r="G28" s="57"/>
      <c r="H28" s="298"/>
      <c r="I28" s="298"/>
      <c r="J28" s="85"/>
      <c r="K28" s="143">
        <v>209</v>
      </c>
    </row>
    <row r="29" spans="1:44" x14ac:dyDescent="0.3">
      <c r="A29" s="303"/>
      <c r="B29" s="168"/>
      <c r="C29" s="159"/>
      <c r="D29" s="159"/>
      <c r="E29" s="54"/>
      <c r="F29" s="54"/>
      <c r="G29" s="54"/>
      <c r="H29" s="54"/>
      <c r="I29" s="54"/>
      <c r="J29" s="54"/>
      <c r="K29" s="143"/>
    </row>
    <row r="30" spans="1:44" x14ac:dyDescent="0.3">
      <c r="A30" s="112" t="s">
        <v>158</v>
      </c>
      <c r="B30" s="124"/>
      <c r="C30" s="124"/>
      <c r="D30" s="124"/>
      <c r="E30" s="289"/>
      <c r="F30" s="289"/>
      <c r="G30" s="289"/>
      <c r="H30" s="289"/>
      <c r="I30" s="289"/>
      <c r="J30" s="293"/>
      <c r="K30" s="235"/>
    </row>
    <row r="31" spans="1:44" x14ac:dyDescent="0.3">
      <c r="A31" s="156" t="s">
        <v>159</v>
      </c>
      <c r="B31" s="156" t="s">
        <v>159</v>
      </c>
      <c r="C31" s="123"/>
      <c r="D31" s="123"/>
      <c r="E31" s="298" t="s">
        <v>160</v>
      </c>
      <c r="F31" s="298" t="s">
        <v>161</v>
      </c>
      <c r="G31" s="298" t="s">
        <v>162</v>
      </c>
      <c r="H31" s="298" t="s">
        <v>163</v>
      </c>
      <c r="I31" s="298" t="s">
        <v>164</v>
      </c>
      <c r="J31" s="85"/>
      <c r="K31" s="143">
        <v>41</v>
      </c>
    </row>
    <row r="32" spans="1:44" x14ac:dyDescent="0.3">
      <c r="A32" s="156" t="s">
        <v>165</v>
      </c>
      <c r="B32" s="156" t="s">
        <v>165</v>
      </c>
      <c r="C32" s="123"/>
      <c r="D32" s="123"/>
      <c r="E32" s="298" t="s">
        <v>166</v>
      </c>
      <c r="F32" s="298"/>
      <c r="G32" s="298" t="s">
        <v>167</v>
      </c>
      <c r="H32" s="298"/>
      <c r="I32" s="298" t="s">
        <v>168</v>
      </c>
      <c r="J32" s="85"/>
      <c r="K32" s="143">
        <v>128</v>
      </c>
    </row>
    <row r="33" spans="1:11" x14ac:dyDescent="0.3">
      <c r="A33" s="303"/>
      <c r="B33" s="168"/>
      <c r="C33" s="159"/>
      <c r="D33" s="159"/>
      <c r="E33" s="54"/>
      <c r="F33" s="54"/>
      <c r="G33" s="54"/>
      <c r="H33" s="54"/>
      <c r="I33" s="54"/>
      <c r="J33" s="54"/>
      <c r="K33" s="143"/>
    </row>
    <row r="34" spans="1:11" x14ac:dyDescent="0.3">
      <c r="A34" s="132" t="s">
        <v>169</v>
      </c>
      <c r="B34" s="300"/>
      <c r="C34" s="300"/>
      <c r="D34" s="300"/>
      <c r="E34" s="268"/>
      <c r="F34" s="268"/>
      <c r="G34" s="268"/>
      <c r="H34" s="268"/>
      <c r="I34" s="268"/>
      <c r="J34" s="268"/>
      <c r="K34" s="235"/>
    </row>
    <row r="35" spans="1:11" x14ac:dyDescent="0.3">
      <c r="A35" s="156" t="s">
        <v>1472</v>
      </c>
      <c r="B35" s="156" t="s">
        <v>170</v>
      </c>
      <c r="C35" s="123"/>
      <c r="D35" s="123"/>
      <c r="E35" s="298"/>
      <c r="F35" s="298"/>
      <c r="G35" s="298"/>
      <c r="H35" s="298"/>
      <c r="I35" s="298" t="s">
        <v>171</v>
      </c>
      <c r="J35" s="85"/>
      <c r="K35" s="143">
        <v>41</v>
      </c>
    </row>
    <row r="36" spans="1:11" x14ac:dyDescent="0.3">
      <c r="A36" s="156" t="s">
        <v>1660</v>
      </c>
      <c r="B36" s="156" t="s">
        <v>172</v>
      </c>
      <c r="C36" s="123"/>
      <c r="D36" s="123"/>
      <c r="E36" s="298"/>
      <c r="F36" s="298"/>
      <c r="G36" s="298"/>
      <c r="H36" s="298"/>
      <c r="I36" s="298" t="s">
        <v>173</v>
      </c>
      <c r="J36" s="85"/>
      <c r="K36" s="143">
        <v>82</v>
      </c>
    </row>
    <row r="37" spans="1:11" x14ac:dyDescent="0.3">
      <c r="A37" s="156" t="s">
        <v>1661</v>
      </c>
      <c r="B37" s="156" t="s">
        <v>174</v>
      </c>
      <c r="C37" s="123"/>
      <c r="D37" s="123"/>
      <c r="E37" s="298"/>
      <c r="F37" s="298"/>
      <c r="G37" s="298"/>
      <c r="H37" s="298"/>
      <c r="I37" s="298" t="s">
        <v>175</v>
      </c>
      <c r="J37" s="85"/>
      <c r="K37" s="143">
        <v>82</v>
      </c>
    </row>
    <row r="38" spans="1:11" x14ac:dyDescent="0.3">
      <c r="A38" s="156" t="s">
        <v>1662</v>
      </c>
      <c r="B38" s="156" t="s">
        <v>176</v>
      </c>
      <c r="C38" s="123"/>
      <c r="D38" s="123"/>
      <c r="E38" s="298"/>
      <c r="F38" s="298"/>
      <c r="G38" s="298"/>
      <c r="H38" s="298"/>
      <c r="I38" s="298" t="s">
        <v>177</v>
      </c>
      <c r="J38" s="85"/>
      <c r="K38" s="143">
        <v>91</v>
      </c>
    </row>
    <row r="39" spans="1:11" x14ac:dyDescent="0.3">
      <c r="A39" s="303"/>
      <c r="B39" s="168"/>
      <c r="C39" s="159"/>
      <c r="D39" s="159"/>
      <c r="E39" s="54"/>
      <c r="F39" s="54"/>
      <c r="G39" s="54"/>
      <c r="H39" s="54"/>
      <c r="I39" s="54"/>
      <c r="J39" s="54"/>
      <c r="K39" s="143"/>
    </row>
    <row r="40" spans="1:11" x14ac:dyDescent="0.3">
      <c r="A40" s="132" t="s">
        <v>178</v>
      </c>
      <c r="B40" s="300"/>
      <c r="C40" s="300"/>
      <c r="D40" s="300"/>
      <c r="E40" s="268"/>
      <c r="F40" s="268"/>
      <c r="G40" s="268"/>
      <c r="H40" s="268"/>
      <c r="I40" s="268"/>
      <c r="J40" s="268"/>
      <c r="K40" s="235"/>
    </row>
    <row r="41" spans="1:11" x14ac:dyDescent="0.3">
      <c r="A41" s="156" t="s">
        <v>1473</v>
      </c>
      <c r="B41" s="156" t="s">
        <v>179</v>
      </c>
      <c r="C41" s="123"/>
      <c r="D41" s="123"/>
      <c r="E41" s="298" t="s">
        <v>180</v>
      </c>
      <c r="F41" s="298" t="s">
        <v>181</v>
      </c>
      <c r="G41" s="298"/>
      <c r="H41" s="298"/>
      <c r="I41" s="298"/>
      <c r="J41" s="85"/>
      <c r="K41" s="143">
        <v>16</v>
      </c>
    </row>
    <row r="42" spans="1:11" x14ac:dyDescent="0.3">
      <c r="A42" s="82" t="s">
        <v>1548</v>
      </c>
      <c r="B42" s="156" t="s">
        <v>182</v>
      </c>
      <c r="C42" s="123"/>
      <c r="D42" s="123"/>
      <c r="E42" s="298" t="s">
        <v>183</v>
      </c>
      <c r="F42" s="298" t="s">
        <v>184</v>
      </c>
      <c r="G42" s="298"/>
      <c r="H42" s="298"/>
      <c r="I42" s="298"/>
      <c r="J42" s="85"/>
      <c r="K42" s="143">
        <v>16</v>
      </c>
    </row>
    <row r="43" spans="1:11" x14ac:dyDescent="0.3">
      <c r="A43" s="156" t="s">
        <v>1474</v>
      </c>
      <c r="B43" s="156" t="s">
        <v>185</v>
      </c>
      <c r="C43" s="123"/>
      <c r="D43" s="123"/>
      <c r="E43" s="298" t="s">
        <v>186</v>
      </c>
      <c r="F43" s="298"/>
      <c r="G43" s="298"/>
      <c r="H43" s="298"/>
      <c r="I43" s="298"/>
      <c r="J43" s="85"/>
      <c r="K43" s="143">
        <v>41</v>
      </c>
    </row>
    <row r="44" spans="1:11" x14ac:dyDescent="0.3">
      <c r="A44" s="156" t="s">
        <v>1478</v>
      </c>
      <c r="B44" s="156" t="s">
        <v>187</v>
      </c>
      <c r="C44" s="123"/>
      <c r="D44" s="123"/>
      <c r="E44" s="298" t="s">
        <v>188</v>
      </c>
      <c r="F44" s="298"/>
      <c r="G44" s="298"/>
      <c r="H44" s="298"/>
      <c r="I44" s="298"/>
      <c r="J44" s="85"/>
      <c r="K44" s="143">
        <v>82</v>
      </c>
    </row>
    <row r="45" spans="1:11" x14ac:dyDescent="0.3">
      <c r="A45" s="156" t="s">
        <v>1663</v>
      </c>
      <c r="B45" s="156" t="s">
        <v>189</v>
      </c>
      <c r="C45" s="123"/>
      <c r="D45" s="123"/>
      <c r="E45" s="298" t="s">
        <v>190</v>
      </c>
      <c r="F45" s="298" t="s">
        <v>191</v>
      </c>
      <c r="G45" s="298"/>
      <c r="H45" s="298"/>
      <c r="I45" s="298"/>
      <c r="J45" s="85"/>
      <c r="K45" s="143">
        <v>82</v>
      </c>
    </row>
    <row r="46" spans="1:11" x14ac:dyDescent="0.3">
      <c r="A46" s="303"/>
      <c r="B46" s="168"/>
      <c r="C46" s="159"/>
      <c r="D46" s="159"/>
      <c r="E46" s="54"/>
      <c r="F46" s="54"/>
      <c r="G46" s="54"/>
      <c r="H46" s="54"/>
      <c r="I46" s="54"/>
      <c r="J46" s="54"/>
      <c r="K46" s="143"/>
    </row>
    <row r="47" spans="1:11" x14ac:dyDescent="0.3">
      <c r="A47" s="132" t="s">
        <v>192</v>
      </c>
      <c r="B47" s="300"/>
      <c r="C47" s="300"/>
      <c r="D47" s="300"/>
      <c r="E47" s="273"/>
      <c r="F47" s="273"/>
      <c r="G47" s="273"/>
      <c r="H47" s="273"/>
      <c r="I47" s="273"/>
      <c r="J47" s="268"/>
      <c r="K47" s="235"/>
    </row>
    <row r="48" spans="1:11" x14ac:dyDescent="0.3">
      <c r="A48" s="156" t="s">
        <v>1475</v>
      </c>
      <c r="B48" s="156" t="s">
        <v>193</v>
      </c>
      <c r="C48" s="123"/>
      <c r="D48" s="123"/>
      <c r="E48" s="298"/>
      <c r="F48" s="298"/>
      <c r="G48" s="298" t="s">
        <v>194</v>
      </c>
      <c r="H48" s="298" t="s">
        <v>195</v>
      </c>
      <c r="I48" s="298"/>
      <c r="J48" s="85"/>
      <c r="K48" s="143">
        <v>13</v>
      </c>
    </row>
    <row r="49" spans="1:44" x14ac:dyDescent="0.3">
      <c r="A49" s="156" t="s">
        <v>1476</v>
      </c>
      <c r="B49" s="156" t="s">
        <v>196</v>
      </c>
      <c r="C49" s="123"/>
      <c r="D49" s="123"/>
      <c r="E49" s="298"/>
      <c r="F49" s="298"/>
      <c r="G49" s="298" t="s">
        <v>197</v>
      </c>
      <c r="H49" s="298" t="s">
        <v>198</v>
      </c>
      <c r="I49" s="298"/>
      <c r="J49" s="85"/>
      <c r="K49" s="143">
        <v>13</v>
      </c>
    </row>
    <row r="50" spans="1:44" x14ac:dyDescent="0.3">
      <c r="A50" s="156" t="s">
        <v>1477</v>
      </c>
      <c r="B50" s="156" t="s">
        <v>199</v>
      </c>
      <c r="C50" s="123"/>
      <c r="D50" s="123"/>
      <c r="E50" s="298"/>
      <c r="F50" s="298"/>
      <c r="G50" s="298" t="s">
        <v>200</v>
      </c>
      <c r="H50" s="298"/>
      <c r="I50" s="298"/>
      <c r="J50" s="85"/>
      <c r="K50" s="143">
        <v>46</v>
      </c>
    </row>
    <row r="51" spans="1:44" x14ac:dyDescent="0.3">
      <c r="A51" s="156" t="s">
        <v>1664</v>
      </c>
      <c r="B51" s="156" t="s">
        <v>201</v>
      </c>
      <c r="C51" s="123"/>
      <c r="D51" s="123"/>
      <c r="E51" s="298"/>
      <c r="F51" s="298"/>
      <c r="G51" s="298" t="s">
        <v>202</v>
      </c>
      <c r="H51" s="298" t="s">
        <v>203</v>
      </c>
      <c r="I51" s="298"/>
      <c r="J51" s="85"/>
      <c r="K51" s="143">
        <v>91</v>
      </c>
    </row>
    <row r="52" spans="1:44" x14ac:dyDescent="0.3">
      <c r="A52" s="303"/>
      <c r="B52" s="168"/>
      <c r="C52" s="159"/>
      <c r="D52" s="159"/>
      <c r="E52" s="54"/>
      <c r="F52" s="54"/>
      <c r="G52" s="54"/>
      <c r="H52" s="54"/>
      <c r="I52" s="54"/>
      <c r="J52" s="54"/>
      <c r="K52" s="143"/>
    </row>
    <row r="53" spans="1:44" x14ac:dyDescent="0.3">
      <c r="A53" s="132" t="s">
        <v>204</v>
      </c>
      <c r="B53" s="300"/>
      <c r="C53" s="300"/>
      <c r="D53" s="300"/>
      <c r="E53" s="268"/>
      <c r="F53" s="268"/>
      <c r="G53" s="268"/>
      <c r="H53" s="268"/>
      <c r="I53" s="268"/>
      <c r="J53" s="268"/>
      <c r="K53" s="235"/>
    </row>
    <row r="54" spans="1:44" x14ac:dyDescent="0.3">
      <c r="A54" s="156" t="s">
        <v>205</v>
      </c>
      <c r="B54" s="156" t="s">
        <v>206</v>
      </c>
      <c r="C54" s="123"/>
      <c r="D54" s="123"/>
      <c r="E54" s="298" t="s">
        <v>207</v>
      </c>
      <c r="F54" s="298" t="s">
        <v>208</v>
      </c>
      <c r="G54" s="298" t="s">
        <v>209</v>
      </c>
      <c r="H54" s="298" t="s">
        <v>210</v>
      </c>
      <c r="I54" s="298" t="s">
        <v>211</v>
      </c>
      <c r="J54" s="85"/>
      <c r="K54" s="143">
        <v>30</v>
      </c>
    </row>
    <row r="55" spans="1:44" x14ac:dyDescent="0.3">
      <c r="A55" s="156" t="s">
        <v>212</v>
      </c>
      <c r="B55" s="156" t="s">
        <v>213</v>
      </c>
      <c r="C55" s="123"/>
      <c r="D55" s="123"/>
      <c r="E55" s="298" t="s">
        <v>214</v>
      </c>
      <c r="F55" s="298" t="s">
        <v>215</v>
      </c>
      <c r="G55" s="298" t="s">
        <v>216</v>
      </c>
      <c r="H55" s="298" t="s">
        <v>217</v>
      </c>
      <c r="I55" s="298" t="s">
        <v>218</v>
      </c>
      <c r="J55" s="85"/>
      <c r="K55" s="143">
        <v>104</v>
      </c>
    </row>
    <row r="56" spans="1:44" s="330" customFormat="1" x14ac:dyDescent="0.3">
      <c r="A56" s="82" t="s">
        <v>1665</v>
      </c>
      <c r="B56" s="156" t="s">
        <v>219</v>
      </c>
      <c r="C56" s="123"/>
      <c r="D56" s="123"/>
      <c r="E56" s="298"/>
      <c r="F56" s="298"/>
      <c r="G56" s="298" t="s">
        <v>220</v>
      </c>
      <c r="H56" s="298"/>
      <c r="I56" s="298"/>
      <c r="J56" s="85"/>
      <c r="K56" s="143">
        <v>40</v>
      </c>
      <c r="L56" s="221"/>
      <c r="M56" s="221"/>
      <c r="N56" s="221"/>
      <c r="O56" s="221"/>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row>
    <row r="57" spans="1:44" s="330" customFormat="1" x14ac:dyDescent="0.3">
      <c r="A57" s="303"/>
      <c r="B57" s="168"/>
      <c r="C57" s="159"/>
      <c r="D57" s="159"/>
      <c r="E57" s="54"/>
      <c r="F57" s="54"/>
      <c r="G57" s="54"/>
      <c r="H57" s="54"/>
      <c r="I57" s="54"/>
      <c r="J57" s="54"/>
      <c r="K57" s="143"/>
      <c r="L57" s="221"/>
      <c r="M57" s="221"/>
      <c r="N57" s="221"/>
      <c r="O57" s="221"/>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row>
    <row r="58" spans="1:44" s="330" customFormat="1" x14ac:dyDescent="0.3">
      <c r="A58" s="132" t="s">
        <v>221</v>
      </c>
      <c r="B58" s="300"/>
      <c r="C58" s="300"/>
      <c r="D58" s="300"/>
      <c r="E58" s="268"/>
      <c r="F58" s="268"/>
      <c r="G58" s="268"/>
      <c r="H58" s="268"/>
      <c r="I58" s="268"/>
      <c r="J58" s="268"/>
      <c r="K58" s="235"/>
      <c r="L58" s="221"/>
      <c r="M58" s="221"/>
      <c r="N58" s="221"/>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row>
    <row r="59" spans="1:44" s="330" customFormat="1" x14ac:dyDescent="0.3">
      <c r="A59" s="82" t="s">
        <v>435</v>
      </c>
      <c r="B59" s="156" t="s">
        <v>222</v>
      </c>
      <c r="C59" s="123"/>
      <c r="D59" s="123"/>
      <c r="E59" s="57" t="s">
        <v>1549</v>
      </c>
      <c r="F59" s="298" t="s">
        <v>223</v>
      </c>
      <c r="G59" s="298" t="s">
        <v>224</v>
      </c>
      <c r="H59" s="298" t="s">
        <v>225</v>
      </c>
      <c r="I59" s="298"/>
      <c r="J59" s="85"/>
      <c r="K59" s="143">
        <v>5</v>
      </c>
      <c r="L59" s="221"/>
      <c r="M59" s="221"/>
      <c r="N59" s="221"/>
      <c r="O59" s="221"/>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row>
    <row r="60" spans="1:44" s="330" customFormat="1" x14ac:dyDescent="0.3">
      <c r="A60" s="303"/>
      <c r="B60" s="168"/>
      <c r="C60" s="159"/>
      <c r="D60" s="159"/>
      <c r="E60" s="54"/>
      <c r="F60" s="54"/>
      <c r="G60" s="54"/>
      <c r="H60" s="54"/>
      <c r="I60" s="54"/>
      <c r="J60" s="54"/>
      <c r="K60" s="143"/>
      <c r="L60" s="221"/>
      <c r="M60" s="221"/>
      <c r="N60" s="221"/>
      <c r="O60" s="221"/>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row>
    <row r="61" spans="1:44" s="330" customFormat="1" x14ac:dyDescent="0.3">
      <c r="A61" s="132" t="s">
        <v>226</v>
      </c>
      <c r="B61" s="300" t="s">
        <v>227</v>
      </c>
      <c r="C61" s="300"/>
      <c r="D61" s="300"/>
      <c r="E61" s="273" t="s">
        <v>227</v>
      </c>
      <c r="F61" s="273"/>
      <c r="G61" s="273"/>
      <c r="H61" s="273"/>
      <c r="I61" s="273"/>
      <c r="J61" s="268"/>
      <c r="K61" s="235"/>
      <c r="L61" s="221"/>
      <c r="M61" s="221"/>
      <c r="N61" s="221"/>
      <c r="O61" s="221"/>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row>
    <row r="62" spans="1:44" s="330" customFormat="1" x14ac:dyDescent="0.3">
      <c r="A62" s="156" t="s">
        <v>1654</v>
      </c>
      <c r="B62" s="156" t="s">
        <v>228</v>
      </c>
      <c r="C62" s="123"/>
      <c r="D62" s="123"/>
      <c r="E62" s="298" t="s">
        <v>229</v>
      </c>
      <c r="F62" s="298" t="s">
        <v>230</v>
      </c>
      <c r="G62" s="298" t="s">
        <v>231</v>
      </c>
      <c r="H62" s="298" t="s">
        <v>232</v>
      </c>
      <c r="I62" s="298"/>
      <c r="J62" s="85"/>
      <c r="K62" s="143">
        <v>15</v>
      </c>
      <c r="L62" s="221"/>
      <c r="M62" s="221"/>
      <c r="N62" s="22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row>
    <row r="63" spans="1:44" s="330" customFormat="1" x14ac:dyDescent="0.3">
      <c r="A63" s="156" t="s">
        <v>1654</v>
      </c>
      <c r="B63" s="156" t="s">
        <v>233</v>
      </c>
      <c r="C63" s="123"/>
      <c r="D63" s="123"/>
      <c r="E63" s="298"/>
      <c r="F63" s="298"/>
      <c r="G63" s="298"/>
      <c r="H63" s="298"/>
      <c r="I63" s="298" t="s">
        <v>234</v>
      </c>
      <c r="J63" s="85"/>
      <c r="K63" s="143">
        <v>0</v>
      </c>
      <c r="L63" s="221"/>
      <c r="M63" s="221"/>
      <c r="N63" s="221"/>
      <c r="O63" s="221"/>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c r="AR63" s="221"/>
    </row>
    <row r="64" spans="1:44" s="330" customFormat="1" x14ac:dyDescent="0.3">
      <c r="A64" s="303"/>
      <c r="B64" s="168"/>
      <c r="C64" s="159"/>
      <c r="D64" s="159"/>
      <c r="E64" s="54"/>
      <c r="F64" s="54"/>
      <c r="G64" s="54"/>
      <c r="H64" s="54"/>
      <c r="I64" s="54"/>
      <c r="J64" s="54"/>
      <c r="K64" s="143"/>
      <c r="L64" s="221"/>
      <c r="M64" s="221"/>
      <c r="N64" s="221"/>
      <c r="O64" s="221"/>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row>
    <row r="65" spans="1:44" s="330" customFormat="1" x14ac:dyDescent="0.3">
      <c r="A65" s="132" t="s">
        <v>235</v>
      </c>
      <c r="B65" s="300"/>
      <c r="C65" s="300"/>
      <c r="D65" s="300"/>
      <c r="E65" s="268"/>
      <c r="F65" s="268"/>
      <c r="G65" s="268"/>
      <c r="H65" s="268"/>
      <c r="I65" s="268"/>
      <c r="J65" s="268"/>
      <c r="K65" s="235"/>
      <c r="L65" s="221"/>
      <c r="M65" s="221"/>
      <c r="N65" s="221"/>
      <c r="O65" s="221"/>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c r="AR65" s="221"/>
    </row>
    <row r="66" spans="1:44" s="330" customFormat="1" x14ac:dyDescent="0.3">
      <c r="A66" s="156" t="s">
        <v>98</v>
      </c>
      <c r="B66" s="156" t="s">
        <v>236</v>
      </c>
      <c r="C66" s="123"/>
      <c r="D66" s="123"/>
      <c r="E66" s="298" t="s">
        <v>237</v>
      </c>
      <c r="F66" s="298" t="s">
        <v>238</v>
      </c>
      <c r="G66" s="298" t="s">
        <v>239</v>
      </c>
      <c r="H66" s="298" t="s">
        <v>240</v>
      </c>
      <c r="I66" s="298" t="s">
        <v>241</v>
      </c>
      <c r="J66" s="85"/>
      <c r="K66" s="143">
        <v>6</v>
      </c>
      <c r="L66" s="221"/>
      <c r="M66" s="221"/>
      <c r="N66" s="221"/>
      <c r="O66" s="221"/>
      <c r="P66" s="221"/>
      <c r="Q66" s="221"/>
      <c r="R66" s="221"/>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c r="AR66" s="221"/>
    </row>
    <row r="67" spans="1:44" s="330" customFormat="1" x14ac:dyDescent="0.3">
      <c r="A67" s="303"/>
      <c r="B67" s="168"/>
      <c r="C67" s="159"/>
      <c r="D67" s="159"/>
      <c r="E67" s="54"/>
      <c r="F67" s="54"/>
      <c r="G67" s="54"/>
      <c r="H67" s="54"/>
      <c r="I67" s="54"/>
      <c r="J67" s="54"/>
      <c r="K67" s="143">
        <v>0</v>
      </c>
      <c r="L67" s="221"/>
      <c r="M67" s="221"/>
      <c r="N67" s="221"/>
      <c r="O67" s="221"/>
      <c r="P67" s="221"/>
      <c r="Q67" s="221"/>
      <c r="R67" s="221"/>
      <c r="S67" s="221"/>
      <c r="T67" s="221"/>
      <c r="U67" s="221"/>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c r="AR67" s="221"/>
    </row>
    <row r="68" spans="1:44" s="330" customFormat="1" x14ac:dyDescent="0.3">
      <c r="A68" s="132" t="s">
        <v>242</v>
      </c>
      <c r="B68" s="300"/>
      <c r="C68" s="300"/>
      <c r="D68" s="300"/>
      <c r="E68" s="268"/>
      <c r="F68" s="268"/>
      <c r="G68" s="268"/>
      <c r="H68" s="268"/>
      <c r="I68" s="268"/>
      <c r="J68" s="268"/>
      <c r="K68" s="235"/>
      <c r="L68" s="221"/>
      <c r="M68" s="221"/>
      <c r="N68" s="221"/>
      <c r="O68" s="221"/>
      <c r="P68" s="221"/>
      <c r="Q68" s="221"/>
      <c r="R68" s="221"/>
      <c r="S68" s="221"/>
      <c r="T68" s="221"/>
      <c r="U68" s="221"/>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row>
    <row r="69" spans="1:44" s="330" customFormat="1" x14ac:dyDescent="0.3">
      <c r="A69" s="156" t="s">
        <v>775</v>
      </c>
      <c r="B69" s="156" t="s">
        <v>243</v>
      </c>
      <c r="C69" s="123"/>
      <c r="D69" s="123"/>
      <c r="E69" s="298" t="s">
        <v>244</v>
      </c>
      <c r="F69" s="298"/>
      <c r="G69" s="298"/>
      <c r="H69" s="298"/>
      <c r="I69" s="298"/>
      <c r="J69" s="85"/>
      <c r="K69" s="143">
        <v>117</v>
      </c>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row>
    <row r="70" spans="1:44" s="330" customFormat="1" x14ac:dyDescent="0.3">
      <c r="A70" s="156" t="s">
        <v>775</v>
      </c>
      <c r="B70" s="156" t="s">
        <v>243</v>
      </c>
      <c r="C70" s="123"/>
      <c r="D70" s="123"/>
      <c r="E70" s="298"/>
      <c r="F70" s="298"/>
      <c r="G70" s="298" t="s">
        <v>245</v>
      </c>
      <c r="H70" s="298"/>
      <c r="I70" s="298"/>
      <c r="J70" s="85"/>
      <c r="K70" s="143">
        <v>112</v>
      </c>
      <c r="L70" s="221"/>
      <c r="M70" s="221"/>
      <c r="N70" s="221"/>
      <c r="O70" s="221"/>
      <c r="P70" s="221"/>
      <c r="Q70" s="221"/>
      <c r="R70" s="221"/>
      <c r="S70" s="221"/>
      <c r="T70" s="221"/>
      <c r="U70" s="221"/>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c r="AR70" s="221"/>
    </row>
    <row r="71" spans="1:44" s="330" customFormat="1" x14ac:dyDescent="0.3">
      <c r="A71" s="303"/>
      <c r="B71" s="168"/>
      <c r="C71" s="159"/>
      <c r="D71" s="159"/>
      <c r="E71" s="54"/>
      <c r="F71" s="54"/>
      <c r="G71" s="54"/>
      <c r="H71" s="54"/>
      <c r="I71" s="54"/>
      <c r="J71" s="54"/>
      <c r="K71" s="143"/>
      <c r="L71" s="221"/>
      <c r="M71" s="221"/>
      <c r="N71" s="221"/>
      <c r="O71" s="221"/>
      <c r="P71" s="221"/>
      <c r="Q71" s="221"/>
      <c r="R71" s="221"/>
      <c r="S71" s="221"/>
      <c r="T71" s="221"/>
      <c r="U71" s="221"/>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row>
    <row r="72" spans="1:44" s="330" customFormat="1" x14ac:dyDescent="0.3">
      <c r="A72" s="132" t="s">
        <v>246</v>
      </c>
      <c r="B72" s="300"/>
      <c r="C72" s="300"/>
      <c r="D72" s="300"/>
      <c r="E72" s="268"/>
      <c r="F72" s="268"/>
      <c r="G72" s="268"/>
      <c r="H72" s="268"/>
      <c r="I72" s="268"/>
      <c r="J72" s="268"/>
      <c r="K72" s="235"/>
      <c r="L72" s="221"/>
      <c r="M72" s="221"/>
      <c r="N72" s="221"/>
      <c r="O72" s="221"/>
      <c r="P72" s="221"/>
      <c r="Q72" s="221"/>
      <c r="R72" s="221"/>
      <c r="S72" s="221"/>
      <c r="T72" s="221"/>
      <c r="U72" s="221"/>
      <c r="V72" s="221"/>
      <c r="W72" s="221"/>
      <c r="X72" s="221"/>
      <c r="Y72" s="221"/>
      <c r="Z72" s="221"/>
      <c r="AA72" s="221"/>
      <c r="AB72" s="221"/>
      <c r="AC72" s="221"/>
      <c r="AD72" s="221"/>
      <c r="AE72" s="221"/>
      <c r="AF72" s="221"/>
      <c r="AG72" s="221"/>
      <c r="AH72" s="221"/>
      <c r="AI72" s="221"/>
      <c r="AJ72" s="221"/>
      <c r="AK72" s="221"/>
      <c r="AL72" s="221"/>
      <c r="AM72" s="221"/>
      <c r="AN72" s="221"/>
      <c r="AO72" s="221"/>
      <c r="AP72" s="221"/>
      <c r="AQ72" s="221"/>
      <c r="AR72" s="221"/>
    </row>
    <row r="73" spans="1:44" s="330" customFormat="1" x14ac:dyDescent="0.3">
      <c r="A73" s="156" t="s">
        <v>247</v>
      </c>
      <c r="B73" s="156" t="s">
        <v>248</v>
      </c>
      <c r="C73" s="123"/>
      <c r="D73" s="123"/>
      <c r="E73" s="298" t="s">
        <v>249</v>
      </c>
      <c r="F73" s="298"/>
      <c r="G73" s="298"/>
      <c r="H73" s="298"/>
      <c r="I73" s="298"/>
      <c r="J73" s="85"/>
      <c r="K73" s="143">
        <v>10</v>
      </c>
      <c r="L73" s="221"/>
      <c r="M73" s="221"/>
      <c r="N73" s="221"/>
      <c r="O73" s="221"/>
      <c r="P73" s="221"/>
      <c r="Q73" s="221"/>
      <c r="R73" s="221"/>
      <c r="S73" s="221"/>
      <c r="T73" s="221"/>
      <c r="U73" s="221"/>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c r="AR73" s="221"/>
    </row>
    <row r="74" spans="1:44" s="330" customFormat="1" x14ac:dyDescent="0.3">
      <c r="A74" s="303"/>
      <c r="B74" s="168"/>
      <c r="C74" s="159"/>
      <c r="D74" s="159"/>
      <c r="E74" s="54"/>
      <c r="F74" s="54"/>
      <c r="G74" s="54"/>
      <c r="H74" s="54"/>
      <c r="I74" s="54"/>
      <c r="J74" s="54"/>
      <c r="K74" s="143"/>
      <c r="L74" s="221"/>
      <c r="M74" s="221"/>
      <c r="N74" s="221"/>
      <c r="O74" s="221"/>
      <c r="P74" s="221"/>
      <c r="Q74" s="221"/>
      <c r="R74" s="221"/>
      <c r="S74" s="221"/>
      <c r="T74" s="221"/>
      <c r="U74" s="221"/>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c r="AR74" s="221"/>
    </row>
    <row r="75" spans="1:44" s="330" customFormat="1" x14ac:dyDescent="0.3">
      <c r="A75" s="132" t="s">
        <v>250</v>
      </c>
      <c r="B75" s="300"/>
      <c r="C75" s="300"/>
      <c r="D75" s="300"/>
      <c r="E75" s="268"/>
      <c r="F75" s="268"/>
      <c r="G75" s="268"/>
      <c r="H75" s="268"/>
      <c r="I75" s="268"/>
      <c r="J75" s="268"/>
      <c r="K75" s="235"/>
      <c r="L75" s="221"/>
      <c r="M75" s="221"/>
      <c r="N75" s="221"/>
      <c r="O75" s="221"/>
      <c r="P75" s="221"/>
      <c r="Q75" s="221"/>
      <c r="R75" s="221"/>
      <c r="S75" s="221"/>
      <c r="T75" s="221"/>
      <c r="U75" s="221"/>
      <c r="V75" s="221"/>
      <c r="W75" s="221"/>
      <c r="X75" s="221"/>
      <c r="Y75" s="221"/>
      <c r="Z75" s="221"/>
      <c r="AA75" s="221"/>
      <c r="AB75" s="221"/>
      <c r="AC75" s="221"/>
      <c r="AD75" s="221"/>
      <c r="AE75" s="221"/>
      <c r="AF75" s="221"/>
      <c r="AG75" s="221"/>
      <c r="AH75" s="221"/>
      <c r="AI75" s="221"/>
      <c r="AJ75" s="221"/>
      <c r="AK75" s="221"/>
      <c r="AL75" s="221"/>
      <c r="AM75" s="221"/>
      <c r="AN75" s="221"/>
      <c r="AO75" s="221"/>
      <c r="AP75" s="221"/>
      <c r="AQ75" s="221"/>
      <c r="AR75" s="221"/>
    </row>
    <row r="76" spans="1:44" s="330" customFormat="1" x14ac:dyDescent="0.3">
      <c r="A76" s="156" t="s">
        <v>251</v>
      </c>
      <c r="B76" s="156" t="s">
        <v>252</v>
      </c>
      <c r="C76" s="123"/>
      <c r="D76" s="123"/>
      <c r="E76" s="298" t="s">
        <v>253</v>
      </c>
      <c r="F76" s="298" t="s">
        <v>254</v>
      </c>
      <c r="G76" s="298" t="s">
        <v>255</v>
      </c>
      <c r="H76" s="298" t="s">
        <v>256</v>
      </c>
      <c r="I76" s="298" t="s">
        <v>257</v>
      </c>
      <c r="J76" s="85"/>
      <c r="K76" s="143">
        <v>0</v>
      </c>
      <c r="L76" s="221"/>
      <c r="M76" s="221"/>
      <c r="N76" s="221"/>
      <c r="O76" s="221"/>
      <c r="P76" s="221"/>
      <c r="Q76" s="221"/>
      <c r="R76" s="221"/>
      <c r="S76" s="221"/>
      <c r="T76" s="221"/>
      <c r="U76" s="221"/>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c r="AR76" s="221"/>
    </row>
    <row r="77" spans="1:44" s="330" customFormat="1" x14ac:dyDescent="0.3">
      <c r="A77" s="303"/>
      <c r="B77" s="168"/>
      <c r="C77" s="159"/>
      <c r="D77" s="159"/>
      <c r="E77" s="54"/>
      <c r="F77" s="54"/>
      <c r="G77" s="54"/>
      <c r="H77" s="54"/>
      <c r="I77" s="54"/>
      <c r="J77" s="54"/>
      <c r="K77" s="143"/>
      <c r="L77" s="221"/>
      <c r="M77" s="221"/>
      <c r="N77" s="221"/>
      <c r="O77" s="221"/>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row>
    <row r="78" spans="1:44" s="330" customFormat="1" x14ac:dyDescent="0.3">
      <c r="A78" s="132" t="s">
        <v>258</v>
      </c>
      <c r="B78" s="300"/>
      <c r="C78" s="300"/>
      <c r="D78" s="300"/>
      <c r="E78" s="268"/>
      <c r="F78" s="268"/>
      <c r="G78" s="268"/>
      <c r="H78" s="268"/>
      <c r="I78" s="268"/>
      <c r="J78" s="268"/>
      <c r="K78" s="235"/>
      <c r="L78" s="221"/>
      <c r="M78" s="221"/>
      <c r="N78" s="221"/>
      <c r="O78" s="221"/>
      <c r="P78" s="221"/>
      <c r="Q78" s="221"/>
      <c r="R78" s="221"/>
      <c r="S78" s="221"/>
      <c r="T78" s="221"/>
      <c r="U78" s="221"/>
      <c r="V78" s="221"/>
      <c r="W78" s="221"/>
      <c r="X78" s="221"/>
      <c r="Y78" s="221"/>
      <c r="Z78" s="221"/>
      <c r="AA78" s="221"/>
      <c r="AB78" s="221"/>
      <c r="AC78" s="221"/>
      <c r="AD78" s="221"/>
      <c r="AE78" s="221"/>
      <c r="AF78" s="221"/>
      <c r="AG78" s="221"/>
      <c r="AH78" s="221"/>
      <c r="AI78" s="221"/>
      <c r="AJ78" s="221"/>
      <c r="AK78" s="221"/>
      <c r="AL78" s="221"/>
      <c r="AM78" s="221"/>
      <c r="AN78" s="221"/>
      <c r="AO78" s="221"/>
      <c r="AP78" s="221"/>
      <c r="AQ78" s="221"/>
      <c r="AR78" s="221"/>
    </row>
    <row r="79" spans="1:44" s="330" customFormat="1" x14ac:dyDescent="0.3">
      <c r="A79" s="156" t="s">
        <v>259</v>
      </c>
      <c r="B79" s="156" t="s">
        <v>260</v>
      </c>
      <c r="C79" s="123"/>
      <c r="D79" s="123"/>
      <c r="E79" s="298"/>
      <c r="F79" s="298"/>
      <c r="G79" s="298"/>
      <c r="H79" s="298"/>
      <c r="I79" s="298" t="s">
        <v>261</v>
      </c>
      <c r="J79" s="85"/>
      <c r="K79" s="143">
        <v>33</v>
      </c>
      <c r="L79" s="221"/>
      <c r="M79" s="221"/>
      <c r="N79" s="221"/>
      <c r="O79" s="221"/>
      <c r="P79" s="221"/>
      <c r="Q79" s="221"/>
      <c r="R79" s="221"/>
      <c r="S79" s="221"/>
      <c r="T79" s="221"/>
      <c r="U79" s="221"/>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c r="AR79" s="221"/>
    </row>
    <row r="80" spans="1:44" x14ac:dyDescent="0.3">
      <c r="A80" s="303"/>
      <c r="B80" s="168"/>
      <c r="C80" s="159"/>
      <c r="D80" s="159"/>
      <c r="E80" s="54"/>
      <c r="F80" s="54"/>
      <c r="G80" s="54"/>
      <c r="H80" s="54"/>
      <c r="I80" s="54"/>
      <c r="J80" s="54"/>
      <c r="K80" s="143"/>
    </row>
    <row r="81" spans="1:44" x14ac:dyDescent="0.3">
      <c r="A81" s="112" t="s">
        <v>262</v>
      </c>
      <c r="B81" s="124"/>
      <c r="C81" s="124"/>
      <c r="D81" s="124"/>
      <c r="E81" s="293"/>
      <c r="F81" s="293"/>
      <c r="G81" s="293"/>
      <c r="H81" s="293"/>
      <c r="I81" s="293"/>
      <c r="J81" s="293"/>
      <c r="K81" s="235"/>
    </row>
    <row r="82" spans="1:44" x14ac:dyDescent="0.3">
      <c r="A82" s="156" t="s">
        <v>263</v>
      </c>
      <c r="B82" s="156" t="s">
        <v>264</v>
      </c>
      <c r="C82" s="123"/>
      <c r="D82" s="123"/>
      <c r="E82" s="298" t="s">
        <v>265</v>
      </c>
      <c r="F82" s="298" t="s">
        <v>265</v>
      </c>
      <c r="G82" s="298" t="s">
        <v>265</v>
      </c>
      <c r="H82" s="298" t="s">
        <v>265</v>
      </c>
      <c r="I82" s="298" t="s">
        <v>265</v>
      </c>
      <c r="J82" s="85"/>
      <c r="K82" s="143">
        <v>10</v>
      </c>
    </row>
    <row r="83" spans="1:44" x14ac:dyDescent="0.3">
      <c r="A83" s="156" t="s">
        <v>266</v>
      </c>
      <c r="B83" s="113" t="s">
        <v>267</v>
      </c>
      <c r="C83" s="288"/>
      <c r="D83" s="288"/>
      <c r="E83" s="298" t="s">
        <v>268</v>
      </c>
      <c r="F83" s="298" t="s">
        <v>268</v>
      </c>
      <c r="G83" s="298" t="s">
        <v>268</v>
      </c>
      <c r="H83" s="298" t="s">
        <v>268</v>
      </c>
      <c r="I83" s="298" t="s">
        <v>268</v>
      </c>
      <c r="J83" s="85"/>
      <c r="K83" s="143">
        <v>30</v>
      </c>
    </row>
    <row r="84" spans="1:44" x14ac:dyDescent="0.3">
      <c r="A84" s="156" t="s">
        <v>271</v>
      </c>
      <c r="B84" s="156" t="s">
        <v>272</v>
      </c>
      <c r="C84" s="123"/>
      <c r="D84" s="123"/>
      <c r="E84" s="298" t="s">
        <v>273</v>
      </c>
      <c r="F84" s="298" t="s">
        <v>273</v>
      </c>
      <c r="G84" s="298" t="s">
        <v>273</v>
      </c>
      <c r="H84" s="298" t="s">
        <v>273</v>
      </c>
      <c r="I84" s="298" t="s">
        <v>273</v>
      </c>
      <c r="J84" s="85"/>
      <c r="K84" s="143">
        <v>158</v>
      </c>
    </row>
    <row r="85" spans="1:44" x14ac:dyDescent="0.3">
      <c r="A85" s="156" t="s">
        <v>274</v>
      </c>
      <c r="B85" s="156" t="s">
        <v>275</v>
      </c>
      <c r="C85" s="123"/>
      <c r="D85" s="123"/>
      <c r="E85" s="298" t="s">
        <v>276</v>
      </c>
      <c r="F85" s="298" t="s">
        <v>276</v>
      </c>
      <c r="G85" s="298" t="s">
        <v>276</v>
      </c>
      <c r="H85" s="298" t="s">
        <v>276</v>
      </c>
      <c r="I85" s="298" t="s">
        <v>277</v>
      </c>
      <c r="J85" s="85"/>
      <c r="K85" s="143">
        <v>22</v>
      </c>
    </row>
    <row r="86" spans="1:44" x14ac:dyDescent="0.3">
      <c r="A86" s="156" t="s">
        <v>278</v>
      </c>
      <c r="B86" s="290" t="s">
        <v>279</v>
      </c>
      <c r="C86" s="123"/>
      <c r="D86" s="123"/>
      <c r="E86" s="57" t="s">
        <v>1550</v>
      </c>
      <c r="F86" s="57" t="s">
        <v>1550</v>
      </c>
      <c r="G86" s="57" t="s">
        <v>1550</v>
      </c>
      <c r="H86" s="57" t="s">
        <v>1550</v>
      </c>
      <c r="I86" s="57" t="s">
        <v>1551</v>
      </c>
      <c r="J86" s="39"/>
      <c r="K86" s="296">
        <v>52</v>
      </c>
    </row>
    <row r="87" spans="1:44" x14ac:dyDescent="0.3">
      <c r="A87" s="303"/>
      <c r="B87" s="168"/>
      <c r="C87" s="159"/>
      <c r="D87" s="159"/>
      <c r="E87" s="54"/>
      <c r="F87" s="54"/>
      <c r="G87" s="54"/>
      <c r="H87" s="54"/>
      <c r="I87" s="54"/>
      <c r="J87" s="54"/>
      <c r="K87" s="234"/>
    </row>
    <row r="88" spans="1:44" s="308" customFormat="1" x14ac:dyDescent="0.3">
      <c r="A88" s="98" t="s">
        <v>280</v>
      </c>
      <c r="B88" s="98"/>
      <c r="C88" s="98"/>
      <c r="D88" s="98"/>
      <c r="E88" s="98"/>
      <c r="F88" s="98"/>
      <c r="G88" s="98"/>
      <c r="H88" s="98"/>
      <c r="I88" s="98"/>
      <c r="J88" s="98"/>
      <c r="K88" s="238"/>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3"/>
    </row>
    <row r="89" spans="1:44" s="16" customFormat="1" ht="82.8" x14ac:dyDescent="0.3">
      <c r="A89" s="114" t="s">
        <v>125</v>
      </c>
      <c r="B89" s="114" t="s">
        <v>126</v>
      </c>
      <c r="C89" s="114" t="s">
        <v>127</v>
      </c>
      <c r="D89" s="114" t="s">
        <v>128</v>
      </c>
      <c r="E89" s="114"/>
      <c r="F89" s="114"/>
      <c r="G89" s="114"/>
      <c r="H89" s="114"/>
      <c r="I89" s="114"/>
      <c r="J89" s="114"/>
      <c r="K89" s="86" t="s">
        <v>130</v>
      </c>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row>
    <row r="90" spans="1:44" x14ac:dyDescent="0.3">
      <c r="A90" s="303"/>
      <c r="B90" s="168"/>
      <c r="C90" s="159"/>
      <c r="D90" s="159"/>
      <c r="E90" s="54"/>
      <c r="F90" s="54"/>
      <c r="G90" s="54"/>
      <c r="H90" s="54"/>
      <c r="I90" s="54"/>
      <c r="J90" s="54"/>
      <c r="K90" s="234"/>
    </row>
    <row r="91" spans="1:44" ht="151.80000000000001" x14ac:dyDescent="0.3">
      <c r="A91" s="128" t="s">
        <v>1612</v>
      </c>
      <c r="B91" s="187" t="s">
        <v>281</v>
      </c>
      <c r="C91" s="275"/>
      <c r="D91" s="275"/>
      <c r="E91" s="263"/>
      <c r="F91" s="263"/>
      <c r="G91" s="263"/>
      <c r="H91" s="263"/>
      <c r="I91" s="263"/>
      <c r="J91" s="263"/>
      <c r="K91" s="143">
        <v>466</v>
      </c>
    </row>
    <row r="92" spans="1:44" x14ac:dyDescent="0.3">
      <c r="A92" s="128"/>
      <c r="B92" s="187"/>
      <c r="C92" s="275"/>
      <c r="D92" s="275"/>
      <c r="E92" s="263"/>
      <c r="F92" s="263"/>
      <c r="G92" s="263"/>
      <c r="H92" s="263"/>
      <c r="I92" s="263"/>
      <c r="J92" s="263"/>
      <c r="K92" s="234"/>
    </row>
    <row r="93" spans="1:44" ht="151.80000000000001" x14ac:dyDescent="0.3">
      <c r="A93" s="128" t="s">
        <v>1613</v>
      </c>
      <c r="B93" s="187" t="s">
        <v>282</v>
      </c>
      <c r="C93" s="275"/>
      <c r="D93" s="275"/>
      <c r="E93" s="263"/>
      <c r="F93" s="263"/>
      <c r="G93" s="263"/>
      <c r="H93" s="263"/>
      <c r="I93" s="263"/>
      <c r="J93" s="263"/>
      <c r="K93" s="143">
        <v>463</v>
      </c>
    </row>
    <row r="94" spans="1:44" x14ac:dyDescent="0.3">
      <c r="A94" s="128"/>
      <c r="B94" s="187"/>
      <c r="C94" s="275"/>
      <c r="D94" s="275"/>
      <c r="E94" s="263"/>
      <c r="F94" s="263"/>
      <c r="G94" s="263"/>
      <c r="H94" s="263"/>
      <c r="I94" s="263"/>
      <c r="J94" s="263"/>
      <c r="K94" s="234"/>
    </row>
    <row r="95" spans="1:44" ht="151.80000000000001" x14ac:dyDescent="0.3">
      <c r="A95" s="84" t="s">
        <v>1614</v>
      </c>
      <c r="B95" s="187" t="s">
        <v>283</v>
      </c>
      <c r="C95" s="275"/>
      <c r="D95" s="275"/>
      <c r="E95" s="263"/>
      <c r="F95" s="263"/>
      <c r="G95" s="263"/>
      <c r="H95" s="263"/>
      <c r="I95" s="263"/>
      <c r="J95" s="263"/>
      <c r="K95" s="143">
        <v>445</v>
      </c>
    </row>
    <row r="96" spans="1:44" x14ac:dyDescent="0.3">
      <c r="A96" s="128"/>
      <c r="B96" s="187"/>
      <c r="C96" s="275"/>
      <c r="D96" s="275"/>
      <c r="E96" s="263"/>
      <c r="F96" s="263"/>
      <c r="G96" s="263"/>
      <c r="H96" s="263"/>
      <c r="I96" s="263"/>
      <c r="J96" s="263"/>
      <c r="K96" s="234"/>
    </row>
    <row r="97" spans="1:44" ht="151.80000000000001" x14ac:dyDescent="0.3">
      <c r="A97" s="269" t="s">
        <v>1615</v>
      </c>
      <c r="B97" s="187" t="s">
        <v>284</v>
      </c>
      <c r="C97" s="275"/>
      <c r="D97" s="275"/>
      <c r="E97" s="263"/>
      <c r="F97" s="263"/>
      <c r="G97" s="263"/>
      <c r="H97" s="263"/>
      <c r="I97" s="263"/>
      <c r="J97" s="263"/>
      <c r="K97" s="143">
        <v>465</v>
      </c>
    </row>
    <row r="98" spans="1:44" x14ac:dyDescent="0.3">
      <c r="A98" s="128"/>
      <c r="B98" s="187"/>
      <c r="C98" s="275"/>
      <c r="D98" s="275"/>
      <c r="E98" s="263"/>
      <c r="F98" s="263"/>
      <c r="G98" s="263"/>
      <c r="H98" s="263"/>
      <c r="I98" s="263"/>
      <c r="J98" s="263"/>
      <c r="K98" s="234"/>
    </row>
    <row r="99" spans="1:44" ht="151.80000000000001" x14ac:dyDescent="0.3">
      <c r="A99" s="84" t="s">
        <v>1616</v>
      </c>
      <c r="B99" s="187" t="s">
        <v>285</v>
      </c>
      <c r="C99" s="275"/>
      <c r="D99" s="275"/>
      <c r="E99" s="263"/>
      <c r="F99" s="263"/>
      <c r="G99" s="263"/>
      <c r="H99" s="263"/>
      <c r="I99" s="263"/>
      <c r="J99" s="263"/>
      <c r="K99" s="143">
        <v>447</v>
      </c>
    </row>
    <row r="100" spans="1:44" s="308" customFormat="1" x14ac:dyDescent="0.3">
      <c r="A100" s="303"/>
      <c r="B100" s="168"/>
      <c r="C100" s="159"/>
      <c r="D100" s="159"/>
      <c r="E100" s="54"/>
      <c r="F100" s="54"/>
      <c r="G100" s="54"/>
      <c r="H100" s="54"/>
      <c r="I100" s="54"/>
      <c r="J100" s="54"/>
      <c r="K100" s="234"/>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row>
    <row r="101" spans="1:44" s="16" customFormat="1" ht="27.6" x14ac:dyDescent="0.3">
      <c r="A101" s="26" t="s">
        <v>286</v>
      </c>
      <c r="B101" s="114" t="s">
        <v>287</v>
      </c>
      <c r="C101" s="114" t="s">
        <v>127</v>
      </c>
      <c r="D101" s="114" t="s">
        <v>128</v>
      </c>
      <c r="E101" s="114" t="s">
        <v>288</v>
      </c>
      <c r="F101" s="114" t="s">
        <v>289</v>
      </c>
      <c r="G101" s="114" t="s">
        <v>290</v>
      </c>
      <c r="H101" s="114" t="s">
        <v>291</v>
      </c>
      <c r="I101" s="114" t="s">
        <v>292</v>
      </c>
      <c r="J101" s="114"/>
      <c r="K101" s="17"/>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row>
    <row r="102" spans="1:44" x14ac:dyDescent="0.3">
      <c r="A102" s="112" t="s">
        <v>143</v>
      </c>
      <c r="B102" s="124" t="s">
        <v>293</v>
      </c>
      <c r="C102" s="124"/>
      <c r="D102" s="124"/>
      <c r="E102" s="289"/>
      <c r="F102" s="289"/>
      <c r="G102" s="289"/>
      <c r="H102" s="289"/>
      <c r="I102" s="289"/>
      <c r="J102" s="293"/>
      <c r="K102" s="235"/>
    </row>
    <row r="103" spans="1:44" s="330" customFormat="1" ht="41.4" x14ac:dyDescent="0.3">
      <c r="A103" s="82" t="s">
        <v>1653</v>
      </c>
      <c r="B103" s="82" t="s">
        <v>1495</v>
      </c>
      <c r="C103" s="160"/>
      <c r="D103" s="160" t="s">
        <v>294</v>
      </c>
      <c r="E103" s="57" t="s">
        <v>295</v>
      </c>
      <c r="F103" s="57" t="s">
        <v>296</v>
      </c>
      <c r="G103" s="57"/>
      <c r="H103" s="57" t="s">
        <v>311</v>
      </c>
      <c r="I103" s="57"/>
      <c r="J103" s="39"/>
      <c r="K103" s="31">
        <v>0</v>
      </c>
      <c r="L103" s="221"/>
      <c r="M103" s="221"/>
      <c r="N103" s="221"/>
      <c r="O103" s="221"/>
      <c r="P103" s="221"/>
      <c r="Q103" s="221"/>
      <c r="R103" s="221"/>
      <c r="S103" s="221"/>
      <c r="T103" s="221"/>
      <c r="U103" s="221"/>
      <c r="V103" s="221"/>
      <c r="W103" s="221"/>
      <c r="X103" s="221"/>
      <c r="Y103" s="221"/>
      <c r="Z103" s="221"/>
      <c r="AA103" s="221"/>
      <c r="AB103" s="221"/>
      <c r="AC103" s="221"/>
      <c r="AD103" s="221"/>
      <c r="AE103" s="221"/>
      <c r="AF103" s="221"/>
      <c r="AG103" s="221"/>
      <c r="AH103" s="221"/>
      <c r="AI103" s="221"/>
      <c r="AJ103" s="221"/>
      <c r="AK103" s="221"/>
      <c r="AL103" s="221"/>
      <c r="AM103" s="221"/>
      <c r="AN103" s="221"/>
      <c r="AO103" s="221"/>
      <c r="AP103" s="221"/>
      <c r="AQ103" s="221"/>
      <c r="AR103" s="221"/>
    </row>
    <row r="104" spans="1:44" s="330" customFormat="1" ht="41.4" x14ac:dyDescent="0.3">
      <c r="A104" s="82" t="s">
        <v>1496</v>
      </c>
      <c r="B104" s="82" t="s">
        <v>1503</v>
      </c>
      <c r="C104" s="160" t="s">
        <v>294</v>
      </c>
      <c r="D104" s="160" t="s">
        <v>294</v>
      </c>
      <c r="E104" s="57" t="s">
        <v>297</v>
      </c>
      <c r="F104" s="57" t="s">
        <v>303</v>
      </c>
      <c r="G104" s="57"/>
      <c r="H104" s="57" t="s">
        <v>312</v>
      </c>
      <c r="I104" s="57"/>
      <c r="J104" s="39"/>
      <c r="K104" s="31">
        <v>156</v>
      </c>
      <c r="L104" s="221"/>
      <c r="M104" s="221"/>
      <c r="N104" s="221"/>
      <c r="O104" s="221"/>
      <c r="P104" s="221"/>
      <c r="Q104" s="221"/>
      <c r="R104" s="221"/>
      <c r="S104" s="221"/>
      <c r="T104" s="221"/>
      <c r="U104" s="221"/>
      <c r="V104" s="221"/>
      <c r="W104" s="221"/>
      <c r="X104" s="221"/>
      <c r="Y104" s="221"/>
      <c r="Z104" s="221"/>
      <c r="AA104" s="221"/>
      <c r="AB104" s="221"/>
      <c r="AC104" s="221"/>
      <c r="AD104" s="221"/>
      <c r="AE104" s="221"/>
      <c r="AF104" s="221"/>
      <c r="AG104" s="221"/>
      <c r="AH104" s="221"/>
      <c r="AI104" s="221"/>
      <c r="AJ104" s="221"/>
      <c r="AK104" s="221"/>
      <c r="AL104" s="221"/>
      <c r="AM104" s="221"/>
      <c r="AN104" s="221"/>
      <c r="AO104" s="221"/>
      <c r="AP104" s="221"/>
      <c r="AQ104" s="221"/>
      <c r="AR104" s="221"/>
    </row>
    <row r="105" spans="1:44" s="330" customFormat="1" ht="41.4" x14ac:dyDescent="0.3">
      <c r="A105" s="82" t="s">
        <v>1497</v>
      </c>
      <c r="B105" s="82" t="s">
        <v>1504</v>
      </c>
      <c r="C105" s="160" t="s">
        <v>294</v>
      </c>
      <c r="D105" s="160" t="s">
        <v>294</v>
      </c>
      <c r="E105" s="57" t="s">
        <v>298</v>
      </c>
      <c r="F105" s="57" t="s">
        <v>304</v>
      </c>
      <c r="G105" s="57"/>
      <c r="H105" s="57" t="s">
        <v>313</v>
      </c>
      <c r="I105" s="57"/>
      <c r="J105" s="39"/>
      <c r="K105" s="31">
        <v>156</v>
      </c>
      <c r="L105" s="221"/>
      <c r="M105" s="221"/>
      <c r="N105" s="221"/>
      <c r="O105" s="221"/>
      <c r="P105" s="221"/>
      <c r="Q105" s="221"/>
      <c r="R105" s="221"/>
      <c r="S105" s="221"/>
      <c r="T105" s="221"/>
      <c r="U105" s="221"/>
      <c r="V105" s="221"/>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c r="AR105" s="221"/>
    </row>
    <row r="106" spans="1:44" s="330" customFormat="1" ht="41.4" x14ac:dyDescent="0.3">
      <c r="A106" s="82" t="s">
        <v>1498</v>
      </c>
      <c r="B106" s="82" t="s">
        <v>1505</v>
      </c>
      <c r="C106" s="160"/>
      <c r="D106" s="160" t="s">
        <v>294</v>
      </c>
      <c r="E106" s="57" t="s">
        <v>299</v>
      </c>
      <c r="F106" s="57" t="s">
        <v>305</v>
      </c>
      <c r="G106" s="57"/>
      <c r="H106" s="57" t="s">
        <v>318</v>
      </c>
      <c r="I106" s="57"/>
      <c r="J106" s="39"/>
      <c r="K106" s="31">
        <v>150</v>
      </c>
      <c r="L106" s="221"/>
      <c r="M106" s="221"/>
      <c r="N106" s="221"/>
      <c r="O106" s="221"/>
      <c r="P106" s="221"/>
      <c r="Q106" s="221"/>
      <c r="R106" s="221"/>
      <c r="S106" s="221"/>
      <c r="T106" s="221"/>
      <c r="U106" s="221"/>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c r="AR106" s="221"/>
    </row>
    <row r="107" spans="1:44" s="225" customFormat="1" ht="41.4" x14ac:dyDescent="0.3">
      <c r="A107" s="82" t="s">
        <v>1499</v>
      </c>
      <c r="B107" s="82" t="s">
        <v>1506</v>
      </c>
      <c r="C107" s="160"/>
      <c r="D107" s="160" t="s">
        <v>294</v>
      </c>
      <c r="E107" s="57" t="s">
        <v>300</v>
      </c>
      <c r="F107" s="57" t="s">
        <v>306</v>
      </c>
      <c r="G107" s="57"/>
      <c r="H107" s="57" t="s">
        <v>319</v>
      </c>
      <c r="I107" s="57"/>
      <c r="J107" s="39"/>
      <c r="K107" s="31">
        <v>150</v>
      </c>
      <c r="L107" s="221"/>
      <c r="M107" s="221"/>
      <c r="N107" s="221"/>
      <c r="O107" s="221"/>
      <c r="P107" s="221"/>
      <c r="Q107" s="221"/>
      <c r="R107" s="221"/>
      <c r="S107" s="221"/>
      <c r="T107" s="221"/>
      <c r="U107" s="221"/>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c r="AR107" s="221"/>
    </row>
    <row r="108" spans="1:44" s="225" customFormat="1" ht="41.4" x14ac:dyDescent="0.3">
      <c r="A108" s="82" t="s">
        <v>1500</v>
      </c>
      <c r="B108" s="82" t="s">
        <v>1507</v>
      </c>
      <c r="C108" s="160" t="s">
        <v>294</v>
      </c>
      <c r="D108" s="160" t="s">
        <v>294</v>
      </c>
      <c r="E108" s="57" t="s">
        <v>301</v>
      </c>
      <c r="F108" s="57" t="s">
        <v>308</v>
      </c>
      <c r="G108" s="57"/>
      <c r="H108" s="57" t="s">
        <v>322</v>
      </c>
      <c r="I108" s="57"/>
      <c r="J108" s="39"/>
      <c r="K108" s="31">
        <v>150</v>
      </c>
      <c r="L108" s="221"/>
      <c r="M108" s="221"/>
      <c r="N108" s="221"/>
      <c r="O108" s="221"/>
      <c r="P108" s="221"/>
      <c r="Q108" s="221"/>
      <c r="R108" s="221"/>
      <c r="S108" s="221"/>
      <c r="T108" s="221"/>
      <c r="U108" s="221"/>
      <c r="V108" s="221"/>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c r="AR108" s="221"/>
    </row>
    <row r="109" spans="1:44" s="225" customFormat="1" ht="41.4" x14ac:dyDescent="0.3">
      <c r="A109" s="82" t="s">
        <v>1501</v>
      </c>
      <c r="B109" s="82" t="s">
        <v>1508</v>
      </c>
      <c r="C109" s="160" t="s">
        <v>294</v>
      </c>
      <c r="D109" s="160" t="s">
        <v>294</v>
      </c>
      <c r="E109" s="57" t="s">
        <v>302</v>
      </c>
      <c r="F109" s="57" t="s">
        <v>307</v>
      </c>
      <c r="G109" s="57"/>
      <c r="H109" s="57" t="s">
        <v>323</v>
      </c>
      <c r="I109" s="57"/>
      <c r="J109" s="39"/>
      <c r="K109" s="31">
        <v>150</v>
      </c>
      <c r="L109" s="221"/>
      <c r="M109" s="221"/>
      <c r="N109" s="221"/>
      <c r="O109" s="221"/>
      <c r="P109" s="221"/>
      <c r="Q109" s="221"/>
      <c r="R109" s="221"/>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c r="AR109" s="221"/>
    </row>
    <row r="110" spans="1:44" s="330" customFormat="1" x14ac:dyDescent="0.3">
      <c r="A110" s="82" t="s">
        <v>1502</v>
      </c>
      <c r="B110" s="82" t="s">
        <v>309</v>
      </c>
      <c r="C110" s="160" t="s">
        <v>294</v>
      </c>
      <c r="D110" s="160" t="s">
        <v>294</v>
      </c>
      <c r="E110" s="57"/>
      <c r="F110" s="57" t="s">
        <v>310</v>
      </c>
      <c r="G110" s="57"/>
      <c r="H110" s="57"/>
      <c r="I110" s="57"/>
      <c r="J110" s="39"/>
      <c r="K110" s="31">
        <v>335</v>
      </c>
      <c r="L110" s="221"/>
      <c r="M110" s="221"/>
      <c r="N110" s="221"/>
      <c r="O110" s="221"/>
      <c r="P110" s="221"/>
      <c r="Q110" s="221"/>
      <c r="R110" s="221"/>
      <c r="S110" s="221"/>
      <c r="T110" s="221"/>
      <c r="U110" s="221"/>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c r="AR110" s="221"/>
    </row>
    <row r="111" spans="1:44" s="330" customFormat="1" x14ac:dyDescent="0.3">
      <c r="A111" s="82" t="s">
        <v>1650</v>
      </c>
      <c r="B111" s="82" t="s">
        <v>314</v>
      </c>
      <c r="C111" s="160" t="s">
        <v>294</v>
      </c>
      <c r="D111" s="160" t="s">
        <v>294</v>
      </c>
      <c r="E111" s="57"/>
      <c r="F111" s="57"/>
      <c r="G111" s="57"/>
      <c r="H111" s="57" t="s">
        <v>315</v>
      </c>
      <c r="I111" s="57"/>
      <c r="J111" s="39"/>
      <c r="K111" s="31">
        <v>156</v>
      </c>
      <c r="L111" s="221"/>
      <c r="M111" s="221"/>
      <c r="N111" s="221"/>
      <c r="O111" s="221"/>
      <c r="P111" s="221"/>
      <c r="Q111" s="221"/>
      <c r="R111" s="221"/>
      <c r="S111" s="221"/>
      <c r="T111" s="221"/>
      <c r="U111" s="221"/>
      <c r="V111" s="221"/>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c r="AR111" s="221"/>
    </row>
    <row r="112" spans="1:44" s="225" customFormat="1" x14ac:dyDescent="0.3">
      <c r="A112" s="82" t="s">
        <v>1651</v>
      </c>
      <c r="B112" s="82" t="s">
        <v>316</v>
      </c>
      <c r="C112" s="111" t="s">
        <v>294</v>
      </c>
      <c r="D112" s="111" t="s">
        <v>294</v>
      </c>
      <c r="E112" s="120"/>
      <c r="F112" s="120"/>
      <c r="G112" s="120"/>
      <c r="H112" s="175" t="s">
        <v>317</v>
      </c>
      <c r="I112" s="120"/>
      <c r="J112" s="120"/>
      <c r="K112" s="31">
        <v>156</v>
      </c>
      <c r="L112" s="221"/>
      <c r="M112" s="221"/>
      <c r="N112" s="221"/>
      <c r="O112" s="221"/>
      <c r="P112" s="221"/>
      <c r="Q112" s="221"/>
      <c r="R112" s="221"/>
      <c r="S112" s="221"/>
      <c r="T112" s="221"/>
      <c r="U112" s="221"/>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c r="AR112" s="221"/>
    </row>
    <row r="113" spans="1:44" s="330" customFormat="1" x14ac:dyDescent="0.3">
      <c r="A113" s="82" t="s">
        <v>1652</v>
      </c>
      <c r="B113" s="82" t="s">
        <v>320</v>
      </c>
      <c r="C113" s="160"/>
      <c r="D113" s="160" t="s">
        <v>294</v>
      </c>
      <c r="E113" s="57"/>
      <c r="F113" s="57"/>
      <c r="G113" s="57"/>
      <c r="H113" s="57" t="s">
        <v>321</v>
      </c>
      <c r="I113" s="57"/>
      <c r="J113" s="39"/>
      <c r="K113" s="31">
        <v>277</v>
      </c>
      <c r="L113" s="221"/>
      <c r="M113" s="221"/>
      <c r="N113" s="221"/>
      <c r="O113" s="221"/>
      <c r="P113" s="221"/>
      <c r="Q113" s="221"/>
      <c r="R113" s="221"/>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c r="AR113" s="221"/>
    </row>
    <row r="114" spans="1:44" s="330" customFormat="1" x14ac:dyDescent="0.3">
      <c r="A114" s="82" t="s">
        <v>1648</v>
      </c>
      <c r="B114" s="82" t="s">
        <v>324</v>
      </c>
      <c r="C114" s="160" t="s">
        <v>294</v>
      </c>
      <c r="D114" s="160" t="s">
        <v>294</v>
      </c>
      <c r="E114" s="57"/>
      <c r="F114" s="57"/>
      <c r="G114" s="57"/>
      <c r="H114" s="57" t="s">
        <v>325</v>
      </c>
      <c r="I114" s="57"/>
      <c r="J114" s="39"/>
      <c r="K114" s="31">
        <v>277</v>
      </c>
      <c r="L114" s="221"/>
      <c r="M114" s="221"/>
      <c r="N114" s="221"/>
      <c r="O114" s="221"/>
      <c r="P114" s="221"/>
      <c r="Q114" s="221"/>
      <c r="R114" s="221"/>
      <c r="S114" s="221"/>
      <c r="T114" s="221"/>
      <c r="U114" s="221"/>
      <c r="V114" s="221"/>
      <c r="W114" s="221"/>
      <c r="X114" s="221"/>
      <c r="Y114" s="221"/>
      <c r="Z114" s="221"/>
      <c r="AA114" s="221"/>
      <c r="AB114" s="221"/>
      <c r="AC114" s="221"/>
      <c r="AD114" s="221"/>
      <c r="AE114" s="221"/>
      <c r="AF114" s="221"/>
      <c r="AG114" s="221"/>
      <c r="AH114" s="221"/>
      <c r="AI114" s="221"/>
      <c r="AJ114" s="221"/>
      <c r="AK114" s="221"/>
      <c r="AL114" s="221"/>
      <c r="AM114" s="221"/>
      <c r="AN114" s="221"/>
      <c r="AO114" s="221"/>
      <c r="AP114" s="221"/>
      <c r="AQ114" s="221"/>
      <c r="AR114" s="221"/>
    </row>
    <row r="115" spans="1:44" s="225" customFormat="1" x14ac:dyDescent="0.3">
      <c r="A115" s="82" t="s">
        <v>1649</v>
      </c>
      <c r="B115" s="82" t="s">
        <v>326</v>
      </c>
      <c r="C115" s="111" t="s">
        <v>294</v>
      </c>
      <c r="D115" s="111" t="s">
        <v>294</v>
      </c>
      <c r="E115" s="120"/>
      <c r="F115" s="120"/>
      <c r="G115" s="120"/>
      <c r="H115" s="175" t="s">
        <v>327</v>
      </c>
      <c r="I115" s="120"/>
      <c r="J115" s="120"/>
      <c r="K115" s="31">
        <v>277</v>
      </c>
      <c r="L115" s="221"/>
      <c r="M115" s="221"/>
      <c r="N115" s="221"/>
      <c r="O115" s="221"/>
      <c r="P115" s="221"/>
      <c r="Q115" s="221"/>
      <c r="R115" s="221"/>
      <c r="S115" s="221"/>
      <c r="T115" s="221"/>
      <c r="U115" s="221"/>
      <c r="V115" s="221"/>
      <c r="W115" s="221"/>
      <c r="X115" s="221"/>
      <c r="Y115" s="221"/>
      <c r="Z115" s="221"/>
      <c r="AA115" s="221"/>
      <c r="AB115" s="221"/>
      <c r="AC115" s="221"/>
      <c r="AD115" s="221"/>
      <c r="AE115" s="221"/>
      <c r="AF115" s="221"/>
      <c r="AG115" s="221"/>
      <c r="AH115" s="221"/>
      <c r="AI115" s="221"/>
      <c r="AJ115" s="221"/>
      <c r="AK115" s="221"/>
      <c r="AL115" s="221"/>
      <c r="AM115" s="221"/>
      <c r="AN115" s="221"/>
      <c r="AO115" s="221"/>
      <c r="AP115" s="221"/>
      <c r="AQ115" s="221"/>
      <c r="AR115" s="221"/>
    </row>
    <row r="116" spans="1:44" s="225" customFormat="1" ht="27.6" x14ac:dyDescent="0.3">
      <c r="A116" s="82" t="s">
        <v>1512</v>
      </c>
      <c r="B116" s="82" t="s">
        <v>1509</v>
      </c>
      <c r="C116" s="160"/>
      <c r="D116" s="160"/>
      <c r="E116" s="57"/>
      <c r="F116" s="57"/>
      <c r="G116" s="57" t="s">
        <v>328</v>
      </c>
      <c r="H116" s="57"/>
      <c r="I116" s="57" t="s">
        <v>331</v>
      </c>
      <c r="J116" s="39"/>
      <c r="K116" s="31">
        <v>0</v>
      </c>
      <c r="L116" s="221"/>
      <c r="M116" s="221"/>
      <c r="N116" s="221"/>
      <c r="O116" s="221"/>
      <c r="P116" s="221"/>
      <c r="Q116" s="221"/>
      <c r="R116" s="221"/>
      <c r="S116" s="221"/>
      <c r="T116" s="221"/>
      <c r="U116" s="221"/>
      <c r="V116" s="221"/>
      <c r="W116" s="221"/>
      <c r="X116" s="221"/>
      <c r="Y116" s="221"/>
      <c r="Z116" s="221"/>
      <c r="AA116" s="221"/>
      <c r="AB116" s="221"/>
      <c r="AC116" s="221"/>
      <c r="AD116" s="221"/>
      <c r="AE116" s="221"/>
      <c r="AF116" s="221"/>
      <c r="AG116" s="221"/>
      <c r="AH116" s="221"/>
      <c r="AI116" s="221"/>
      <c r="AJ116" s="221"/>
      <c r="AK116" s="221"/>
      <c r="AL116" s="221"/>
      <c r="AM116" s="221"/>
      <c r="AN116" s="221"/>
      <c r="AO116" s="221"/>
      <c r="AP116" s="221"/>
      <c r="AQ116" s="221"/>
      <c r="AR116" s="221"/>
    </row>
    <row r="117" spans="1:44" s="330" customFormat="1" ht="27.6" x14ac:dyDescent="0.3">
      <c r="A117" s="82" t="s">
        <v>1511</v>
      </c>
      <c r="B117" s="82" t="s">
        <v>1510</v>
      </c>
      <c r="C117" s="160"/>
      <c r="D117" s="160"/>
      <c r="E117" s="57"/>
      <c r="F117" s="57"/>
      <c r="G117" s="57" t="s">
        <v>329</v>
      </c>
      <c r="H117" s="57"/>
      <c r="I117" s="57" t="s">
        <v>332</v>
      </c>
      <c r="J117" s="39"/>
      <c r="K117" s="31">
        <v>36</v>
      </c>
      <c r="L117" s="221"/>
      <c r="M117" s="221"/>
      <c r="N117" s="221"/>
      <c r="O117" s="221"/>
      <c r="P117" s="221"/>
      <c r="Q117" s="221"/>
      <c r="R117" s="221"/>
      <c r="S117" s="221"/>
      <c r="T117" s="221"/>
      <c r="U117" s="221"/>
      <c r="V117" s="221"/>
      <c r="W117" s="221"/>
      <c r="X117" s="221"/>
      <c r="Y117" s="221"/>
      <c r="Z117" s="221"/>
      <c r="AA117" s="221"/>
      <c r="AB117" s="221"/>
      <c r="AC117" s="221"/>
      <c r="AD117" s="221"/>
      <c r="AE117" s="221"/>
      <c r="AF117" s="221"/>
      <c r="AG117" s="221"/>
      <c r="AH117" s="221"/>
      <c r="AI117" s="221"/>
      <c r="AJ117" s="221"/>
      <c r="AK117" s="221"/>
      <c r="AL117" s="221"/>
      <c r="AM117" s="221"/>
      <c r="AN117" s="221"/>
      <c r="AO117" s="221"/>
      <c r="AP117" s="221"/>
      <c r="AQ117" s="221"/>
      <c r="AR117" s="221"/>
    </row>
    <row r="118" spans="1:44" s="225" customFormat="1" ht="27.6" x14ac:dyDescent="0.3">
      <c r="A118" s="82" t="s">
        <v>1514</v>
      </c>
      <c r="B118" s="82" t="s">
        <v>1513</v>
      </c>
      <c r="C118" s="160"/>
      <c r="D118" s="160"/>
      <c r="E118" s="57"/>
      <c r="F118" s="57"/>
      <c r="G118" s="57" t="s">
        <v>330</v>
      </c>
      <c r="H118" s="57"/>
      <c r="I118" s="57" t="s">
        <v>333</v>
      </c>
      <c r="J118" s="39"/>
      <c r="K118" s="31">
        <v>36</v>
      </c>
      <c r="L118" s="221"/>
      <c r="M118" s="221"/>
      <c r="N118" s="221"/>
      <c r="O118" s="221"/>
      <c r="P118" s="221"/>
      <c r="Q118" s="221"/>
      <c r="R118" s="221"/>
      <c r="S118" s="221"/>
      <c r="T118" s="221"/>
      <c r="U118" s="221"/>
      <c r="V118" s="221"/>
      <c r="W118" s="221"/>
      <c r="X118" s="221"/>
      <c r="Y118" s="221"/>
      <c r="Z118" s="221"/>
      <c r="AA118" s="221"/>
      <c r="AB118" s="221"/>
      <c r="AC118" s="221"/>
      <c r="AD118" s="221"/>
      <c r="AE118" s="221"/>
      <c r="AF118" s="221"/>
      <c r="AG118" s="221"/>
      <c r="AH118" s="221"/>
      <c r="AI118" s="221"/>
      <c r="AJ118" s="221"/>
      <c r="AK118" s="221"/>
      <c r="AL118" s="221"/>
      <c r="AM118" s="221"/>
      <c r="AN118" s="221"/>
      <c r="AO118" s="221"/>
      <c r="AP118" s="221"/>
      <c r="AQ118" s="221"/>
      <c r="AR118" s="221"/>
    </row>
    <row r="119" spans="1:44" s="330" customFormat="1" ht="27.6" x14ac:dyDescent="0.3">
      <c r="A119" s="82" t="s">
        <v>1517</v>
      </c>
      <c r="B119" s="82" t="s">
        <v>1515</v>
      </c>
      <c r="C119" s="160"/>
      <c r="D119" s="160"/>
      <c r="E119" s="57"/>
      <c r="F119" s="57"/>
      <c r="G119" s="57" t="s">
        <v>334</v>
      </c>
      <c r="H119" s="57"/>
      <c r="I119" s="57" t="s">
        <v>337</v>
      </c>
      <c r="J119" s="39"/>
      <c r="K119" s="31">
        <v>99</v>
      </c>
      <c r="L119" s="221"/>
      <c r="M119" s="221"/>
      <c r="N119" s="221"/>
      <c r="O119" s="221"/>
      <c r="P119" s="221"/>
      <c r="Q119" s="221"/>
      <c r="R119" s="221"/>
      <c r="S119" s="221"/>
      <c r="T119" s="221"/>
      <c r="U119" s="221"/>
      <c r="V119" s="221"/>
      <c r="W119" s="221"/>
      <c r="X119" s="221"/>
      <c r="Y119" s="221"/>
      <c r="Z119" s="221"/>
      <c r="AA119" s="221"/>
      <c r="AB119" s="221"/>
      <c r="AC119" s="221"/>
      <c r="AD119" s="221"/>
      <c r="AE119" s="221"/>
      <c r="AF119" s="221"/>
      <c r="AG119" s="221"/>
      <c r="AH119" s="221"/>
      <c r="AI119" s="221"/>
      <c r="AJ119" s="221"/>
      <c r="AK119" s="221"/>
      <c r="AL119" s="221"/>
      <c r="AM119" s="221"/>
      <c r="AN119" s="221"/>
      <c r="AO119" s="221"/>
      <c r="AP119" s="221"/>
      <c r="AQ119" s="221"/>
      <c r="AR119" s="221"/>
    </row>
    <row r="120" spans="1:44" s="330" customFormat="1" ht="27.6" x14ac:dyDescent="0.3">
      <c r="A120" s="82" t="s">
        <v>1518</v>
      </c>
      <c r="B120" s="82" t="s">
        <v>1516</v>
      </c>
      <c r="C120" s="160"/>
      <c r="D120" s="160"/>
      <c r="E120" s="57"/>
      <c r="F120" s="57"/>
      <c r="G120" s="57" t="s">
        <v>338</v>
      </c>
      <c r="H120" s="57"/>
      <c r="I120" s="57" t="s">
        <v>336</v>
      </c>
      <c r="J120" s="39"/>
      <c r="K120" s="31">
        <v>99</v>
      </c>
      <c r="L120" s="221"/>
      <c r="M120" s="221"/>
      <c r="N120" s="221"/>
      <c r="O120" s="221"/>
      <c r="P120" s="221"/>
      <c r="Q120" s="221"/>
      <c r="R120" s="221"/>
      <c r="S120" s="221"/>
      <c r="T120" s="221"/>
      <c r="U120" s="221"/>
      <c r="V120" s="221"/>
      <c r="W120" s="221"/>
      <c r="X120" s="221"/>
      <c r="Y120" s="221"/>
      <c r="Z120" s="221"/>
      <c r="AA120" s="221"/>
      <c r="AB120" s="221"/>
      <c r="AC120" s="221"/>
      <c r="AD120" s="221"/>
      <c r="AE120" s="221"/>
      <c r="AF120" s="221"/>
      <c r="AG120" s="221"/>
      <c r="AH120" s="221"/>
      <c r="AI120" s="221"/>
      <c r="AJ120" s="221"/>
      <c r="AK120" s="221"/>
      <c r="AL120" s="221"/>
      <c r="AM120" s="221"/>
      <c r="AN120" s="221"/>
      <c r="AO120" s="221"/>
      <c r="AP120" s="221"/>
      <c r="AQ120" s="221"/>
      <c r="AR120" s="221"/>
    </row>
    <row r="121" spans="1:44" s="225" customFormat="1" ht="27.6" x14ac:dyDescent="0.3">
      <c r="A121" s="82" t="s">
        <v>1520</v>
      </c>
      <c r="B121" s="82" t="s">
        <v>1519</v>
      </c>
      <c r="C121" s="160"/>
      <c r="D121" s="160"/>
      <c r="E121" s="57"/>
      <c r="F121" s="57"/>
      <c r="G121" s="57" t="s">
        <v>335</v>
      </c>
      <c r="H121" s="57"/>
      <c r="I121" s="57" t="s">
        <v>339</v>
      </c>
      <c r="J121" s="39"/>
      <c r="K121" s="31">
        <v>99</v>
      </c>
      <c r="L121" s="221"/>
      <c r="M121" s="221"/>
      <c r="N121" s="221"/>
      <c r="O121" s="221"/>
      <c r="P121" s="221"/>
      <c r="Q121" s="221"/>
      <c r="R121" s="221"/>
      <c r="S121" s="221"/>
      <c r="T121" s="221"/>
      <c r="U121" s="221"/>
      <c r="V121" s="221"/>
      <c r="W121" s="221"/>
      <c r="X121" s="221"/>
      <c r="Y121" s="221"/>
      <c r="Z121" s="221"/>
      <c r="AA121" s="221"/>
      <c r="AB121" s="221"/>
      <c r="AC121" s="221"/>
      <c r="AD121" s="221"/>
      <c r="AE121" s="221"/>
      <c r="AF121" s="221"/>
      <c r="AG121" s="221"/>
      <c r="AH121" s="221"/>
      <c r="AI121" s="221"/>
      <c r="AJ121" s="221"/>
      <c r="AK121" s="221"/>
      <c r="AL121" s="221"/>
      <c r="AM121" s="221"/>
      <c r="AN121" s="221"/>
      <c r="AO121" s="221"/>
      <c r="AP121" s="221"/>
      <c r="AQ121" s="221"/>
      <c r="AR121" s="221"/>
    </row>
    <row r="122" spans="1:44" s="330" customFormat="1" x14ac:dyDescent="0.3">
      <c r="A122" s="269"/>
      <c r="B122" s="269"/>
      <c r="C122" s="49"/>
      <c r="D122" s="49"/>
      <c r="E122" s="281"/>
      <c r="F122" s="281"/>
      <c r="G122" s="281"/>
      <c r="H122" s="281"/>
      <c r="I122" s="281"/>
      <c r="J122" s="244"/>
      <c r="K122" s="37"/>
      <c r="L122" s="221"/>
      <c r="M122" s="221"/>
      <c r="N122" s="221"/>
      <c r="O122" s="221"/>
      <c r="P122" s="221"/>
      <c r="Q122" s="221"/>
      <c r="R122" s="221"/>
      <c r="S122" s="221"/>
      <c r="T122" s="221"/>
      <c r="U122" s="221"/>
      <c r="V122" s="221"/>
      <c r="W122" s="221"/>
      <c r="X122" s="221"/>
      <c r="Y122" s="221"/>
      <c r="Z122" s="221"/>
      <c r="AA122" s="221"/>
      <c r="AB122" s="221"/>
      <c r="AC122" s="221"/>
      <c r="AD122" s="221"/>
      <c r="AE122" s="221"/>
      <c r="AF122" s="221"/>
      <c r="AG122" s="221"/>
      <c r="AH122" s="221"/>
      <c r="AI122" s="221"/>
      <c r="AJ122" s="221"/>
      <c r="AK122" s="221"/>
      <c r="AL122" s="221"/>
      <c r="AM122" s="221"/>
      <c r="AN122" s="221"/>
      <c r="AO122" s="221"/>
      <c r="AP122" s="221"/>
      <c r="AQ122" s="221"/>
      <c r="AR122" s="221"/>
    </row>
    <row r="123" spans="1:44" s="330" customFormat="1" x14ac:dyDescent="0.3">
      <c r="A123" s="112" t="s">
        <v>340</v>
      </c>
      <c r="B123" s="112"/>
      <c r="C123" s="112"/>
      <c r="D123" s="112"/>
      <c r="E123" s="293"/>
      <c r="F123" s="293"/>
      <c r="G123" s="293"/>
      <c r="H123" s="293"/>
      <c r="I123" s="293"/>
      <c r="J123" s="293"/>
      <c r="K123" s="239"/>
      <c r="L123" s="221"/>
      <c r="M123" s="221"/>
      <c r="N123" s="221"/>
      <c r="O123" s="221"/>
      <c r="P123" s="221"/>
      <c r="Q123" s="221"/>
      <c r="R123" s="221"/>
      <c r="S123" s="221"/>
      <c r="T123" s="221"/>
      <c r="U123" s="221"/>
      <c r="V123" s="221"/>
      <c r="W123" s="221"/>
      <c r="X123" s="221"/>
      <c r="Y123" s="221"/>
      <c r="Z123" s="221"/>
      <c r="AA123" s="221"/>
      <c r="AB123" s="221"/>
      <c r="AC123" s="221"/>
      <c r="AD123" s="221"/>
      <c r="AE123" s="221"/>
      <c r="AF123" s="221"/>
      <c r="AG123" s="221"/>
      <c r="AH123" s="221"/>
      <c r="AI123" s="221"/>
      <c r="AJ123" s="221"/>
      <c r="AK123" s="221"/>
      <c r="AL123" s="221"/>
      <c r="AM123" s="221"/>
      <c r="AN123" s="221"/>
      <c r="AO123" s="221"/>
      <c r="AP123" s="221"/>
      <c r="AQ123" s="221"/>
      <c r="AR123" s="221"/>
    </row>
    <row r="124" spans="1:44" s="330" customFormat="1" x14ac:dyDescent="0.3">
      <c r="A124" s="269" t="s">
        <v>341</v>
      </c>
      <c r="B124" s="269" t="s">
        <v>341</v>
      </c>
      <c r="C124" s="49"/>
      <c r="D124" s="49"/>
      <c r="E124" s="281" t="s">
        <v>342</v>
      </c>
      <c r="F124" s="281" t="s">
        <v>343</v>
      </c>
      <c r="G124" s="281" t="s">
        <v>344</v>
      </c>
      <c r="H124" s="281" t="s">
        <v>345</v>
      </c>
      <c r="I124" s="281" t="s">
        <v>346</v>
      </c>
      <c r="J124" s="244"/>
      <c r="K124" s="37">
        <v>82</v>
      </c>
      <c r="L124" s="221"/>
      <c r="M124" s="221"/>
      <c r="N124" s="221"/>
      <c r="O124" s="221"/>
      <c r="P124" s="221"/>
      <c r="Q124" s="221"/>
      <c r="R124" s="221"/>
      <c r="S124" s="221"/>
      <c r="T124" s="221"/>
      <c r="U124" s="221"/>
      <c r="V124" s="221"/>
      <c r="W124" s="221"/>
      <c r="X124" s="221"/>
      <c r="Y124" s="221"/>
      <c r="Z124" s="221"/>
      <c r="AA124" s="221"/>
      <c r="AB124" s="221"/>
      <c r="AC124" s="221"/>
      <c r="AD124" s="221"/>
      <c r="AE124" s="221"/>
      <c r="AF124" s="221"/>
      <c r="AG124" s="221"/>
      <c r="AH124" s="221"/>
      <c r="AI124" s="221"/>
      <c r="AJ124" s="221"/>
      <c r="AK124" s="221"/>
      <c r="AL124" s="221"/>
      <c r="AM124" s="221"/>
      <c r="AN124" s="221"/>
      <c r="AO124" s="221"/>
      <c r="AP124" s="221"/>
      <c r="AQ124" s="221"/>
      <c r="AR124" s="221"/>
    </row>
    <row r="125" spans="1:44" s="330" customFormat="1" x14ac:dyDescent="0.3">
      <c r="A125" s="82" t="s">
        <v>1533</v>
      </c>
      <c r="B125" s="82" t="s">
        <v>1533</v>
      </c>
      <c r="C125" s="160"/>
      <c r="D125" s="160"/>
      <c r="E125" s="57" t="s">
        <v>1534</v>
      </c>
      <c r="F125" s="57" t="s">
        <v>1535</v>
      </c>
      <c r="G125" s="57" t="s">
        <v>1536</v>
      </c>
      <c r="H125" s="57" t="s">
        <v>1537</v>
      </c>
      <c r="I125" s="57" t="s">
        <v>1538</v>
      </c>
      <c r="J125" s="39"/>
      <c r="K125" s="31">
        <v>82</v>
      </c>
      <c r="L125" s="221"/>
      <c r="M125" s="221"/>
      <c r="N125" s="221"/>
      <c r="O125" s="221"/>
      <c r="P125" s="221"/>
      <c r="Q125" s="221"/>
      <c r="R125" s="221"/>
      <c r="S125" s="221"/>
      <c r="T125" s="221"/>
      <c r="U125" s="221"/>
      <c r="V125" s="221"/>
      <c r="W125" s="221"/>
      <c r="X125" s="221"/>
      <c r="Y125" s="221"/>
      <c r="Z125" s="221"/>
      <c r="AA125" s="221"/>
      <c r="AB125" s="221"/>
      <c r="AC125" s="221"/>
      <c r="AD125" s="221"/>
      <c r="AE125" s="221"/>
      <c r="AF125" s="221"/>
      <c r="AG125" s="221"/>
      <c r="AH125" s="221"/>
      <c r="AI125" s="221"/>
      <c r="AJ125" s="221"/>
      <c r="AK125" s="221"/>
      <c r="AL125" s="221"/>
      <c r="AM125" s="221"/>
      <c r="AN125" s="221"/>
      <c r="AO125" s="221"/>
      <c r="AP125" s="221"/>
      <c r="AQ125" s="221"/>
      <c r="AR125" s="221"/>
    </row>
    <row r="126" spans="1:44" s="330" customFormat="1" x14ac:dyDescent="0.3">
      <c r="A126" s="269" t="s">
        <v>347</v>
      </c>
      <c r="B126" s="269" t="s">
        <v>347</v>
      </c>
      <c r="C126" s="49"/>
      <c r="D126" s="49"/>
      <c r="E126" s="141" t="s">
        <v>348</v>
      </c>
      <c r="F126" s="281" t="s">
        <v>349</v>
      </c>
      <c r="G126" s="281" t="s">
        <v>350</v>
      </c>
      <c r="H126" s="281" t="s">
        <v>351</v>
      </c>
      <c r="I126" s="281" t="s">
        <v>352</v>
      </c>
      <c r="J126" s="244"/>
      <c r="K126" s="37">
        <v>183</v>
      </c>
      <c r="L126" s="221"/>
      <c r="M126" s="221"/>
      <c r="N126" s="221"/>
      <c r="O126" s="221"/>
      <c r="P126" s="221"/>
      <c r="Q126" s="221"/>
      <c r="R126" s="221"/>
      <c r="S126" s="221"/>
      <c r="T126" s="221"/>
      <c r="U126" s="221"/>
      <c r="V126" s="221"/>
      <c r="W126" s="221"/>
      <c r="X126" s="221"/>
      <c r="Y126" s="221"/>
      <c r="Z126" s="221"/>
      <c r="AA126" s="221"/>
      <c r="AB126" s="221"/>
      <c r="AC126" s="221"/>
      <c r="AD126" s="221"/>
      <c r="AE126" s="221"/>
      <c r="AF126" s="221"/>
      <c r="AG126" s="221"/>
      <c r="AH126" s="221"/>
      <c r="AI126" s="221"/>
      <c r="AJ126" s="221"/>
      <c r="AK126" s="221"/>
      <c r="AL126" s="221"/>
      <c r="AM126" s="221"/>
      <c r="AN126" s="221"/>
      <c r="AO126" s="221"/>
      <c r="AP126" s="221"/>
      <c r="AQ126" s="221"/>
      <c r="AR126" s="221"/>
    </row>
    <row r="127" spans="1:44" s="221" customFormat="1" x14ac:dyDescent="0.3">
      <c r="A127" s="303"/>
      <c r="B127" s="262"/>
      <c r="C127" s="159"/>
      <c r="D127" s="159"/>
      <c r="E127" s="34"/>
      <c r="F127" s="54"/>
      <c r="G127" s="54"/>
      <c r="H127" s="54"/>
      <c r="I127" s="54"/>
      <c r="J127" s="54"/>
      <c r="K127" s="37"/>
    </row>
    <row r="128" spans="1:44" s="330" customFormat="1" x14ac:dyDescent="0.3">
      <c r="A128" s="112" t="s">
        <v>353</v>
      </c>
      <c r="B128" s="112"/>
      <c r="C128" s="112"/>
      <c r="D128" s="112"/>
      <c r="E128" s="293"/>
      <c r="F128" s="293"/>
      <c r="G128" s="293"/>
      <c r="H128" s="293"/>
      <c r="I128" s="293"/>
      <c r="J128" s="293"/>
      <c r="K128" s="239"/>
      <c r="L128" s="221"/>
      <c r="M128" s="221"/>
      <c r="N128" s="221"/>
      <c r="O128" s="221"/>
      <c r="P128" s="221"/>
      <c r="Q128" s="221"/>
      <c r="R128" s="221"/>
      <c r="S128" s="221"/>
      <c r="T128" s="221"/>
      <c r="U128" s="221"/>
      <c r="V128" s="221"/>
      <c r="W128" s="221"/>
      <c r="X128" s="221"/>
      <c r="Y128" s="221"/>
      <c r="Z128" s="221"/>
      <c r="AA128" s="221"/>
      <c r="AB128" s="221"/>
      <c r="AC128" s="221"/>
      <c r="AD128" s="221"/>
      <c r="AE128" s="221"/>
      <c r="AF128" s="221"/>
      <c r="AG128" s="221"/>
      <c r="AH128" s="221"/>
      <c r="AI128" s="221"/>
      <c r="AJ128" s="221"/>
      <c r="AK128" s="221"/>
      <c r="AL128" s="221"/>
      <c r="AM128" s="221"/>
      <c r="AN128" s="221"/>
      <c r="AO128" s="221"/>
      <c r="AP128" s="221"/>
      <c r="AQ128" s="221"/>
      <c r="AR128" s="221"/>
    </row>
    <row r="129" spans="1:44" s="207" customFormat="1" x14ac:dyDescent="0.3">
      <c r="A129" s="82" t="s">
        <v>1666</v>
      </c>
      <c r="B129" s="82" t="s">
        <v>354</v>
      </c>
      <c r="C129" s="160"/>
      <c r="D129" s="160"/>
      <c r="E129" s="57" t="s">
        <v>355</v>
      </c>
      <c r="F129" s="57"/>
      <c r="G129" s="57"/>
      <c r="H129" s="57"/>
      <c r="I129" s="57"/>
      <c r="J129" s="39"/>
      <c r="K129" s="31">
        <v>0</v>
      </c>
      <c r="L129" s="329"/>
      <c r="M129" s="329"/>
      <c r="N129" s="329"/>
      <c r="O129" s="329"/>
      <c r="P129" s="329"/>
      <c r="Q129" s="329"/>
      <c r="R129" s="329"/>
      <c r="S129" s="329"/>
      <c r="T129" s="329"/>
      <c r="U129" s="329"/>
      <c r="V129" s="329"/>
      <c r="W129" s="329"/>
      <c r="X129" s="329"/>
      <c r="Y129" s="329"/>
      <c r="Z129" s="329"/>
      <c r="AA129" s="329"/>
      <c r="AB129" s="329"/>
      <c r="AC129" s="329"/>
      <c r="AD129" s="329"/>
      <c r="AE129" s="329"/>
      <c r="AF129" s="329"/>
      <c r="AG129" s="329"/>
      <c r="AH129" s="329"/>
      <c r="AI129" s="329"/>
      <c r="AJ129" s="329"/>
      <c r="AK129" s="329"/>
      <c r="AL129" s="329"/>
      <c r="AM129" s="329"/>
      <c r="AN129" s="329"/>
      <c r="AO129" s="329"/>
      <c r="AP129" s="329"/>
      <c r="AQ129" s="329"/>
      <c r="AR129" s="329"/>
    </row>
    <row r="130" spans="1:44" s="330" customFormat="1" x14ac:dyDescent="0.3">
      <c r="A130" s="82" t="s">
        <v>1667</v>
      </c>
      <c r="B130" s="82" t="s">
        <v>356</v>
      </c>
      <c r="C130" s="160"/>
      <c r="D130" s="160"/>
      <c r="E130" s="57" t="s">
        <v>357</v>
      </c>
      <c r="F130" s="57"/>
      <c r="G130" s="57"/>
      <c r="H130" s="57"/>
      <c r="I130" s="57"/>
      <c r="J130" s="39"/>
      <c r="K130" s="31">
        <v>0</v>
      </c>
      <c r="L130" s="221"/>
      <c r="M130" s="221"/>
      <c r="N130" s="221"/>
      <c r="O130" s="221"/>
      <c r="P130" s="221"/>
      <c r="Q130" s="221"/>
      <c r="R130" s="221"/>
      <c r="S130" s="221"/>
      <c r="T130" s="221"/>
      <c r="U130" s="221"/>
      <c r="V130" s="221"/>
      <c r="W130" s="221"/>
      <c r="X130" s="221"/>
      <c r="Y130" s="221"/>
      <c r="Z130" s="221"/>
      <c r="AA130" s="221"/>
      <c r="AB130" s="221"/>
      <c r="AC130" s="221"/>
      <c r="AD130" s="221"/>
      <c r="AE130" s="221"/>
      <c r="AF130" s="221"/>
      <c r="AG130" s="221"/>
      <c r="AH130" s="221"/>
      <c r="AI130" s="221"/>
      <c r="AJ130" s="221"/>
      <c r="AK130" s="221"/>
      <c r="AL130" s="221"/>
      <c r="AM130" s="221"/>
      <c r="AN130" s="221"/>
      <c r="AO130" s="221"/>
      <c r="AP130" s="221"/>
      <c r="AQ130" s="221"/>
      <c r="AR130" s="221"/>
    </row>
    <row r="131" spans="1:44" s="207" customFormat="1" x14ac:dyDescent="0.3">
      <c r="A131" s="82" t="s">
        <v>1668</v>
      </c>
      <c r="B131" s="82" t="s">
        <v>358</v>
      </c>
      <c r="C131" s="160"/>
      <c r="D131" s="160"/>
      <c r="E131" s="57" t="s">
        <v>359</v>
      </c>
      <c r="F131" s="57"/>
      <c r="G131" s="57"/>
      <c r="H131" s="57"/>
      <c r="I131" s="57"/>
      <c r="J131" s="39"/>
      <c r="K131" s="31">
        <v>0</v>
      </c>
      <c r="L131" s="329"/>
      <c r="M131" s="329"/>
      <c r="N131" s="329"/>
      <c r="O131" s="329"/>
      <c r="P131" s="329"/>
      <c r="Q131" s="329"/>
      <c r="R131" s="329"/>
      <c r="S131" s="329"/>
      <c r="T131" s="329"/>
      <c r="U131" s="329"/>
      <c r="V131" s="329"/>
      <c r="W131" s="329"/>
      <c r="X131" s="329"/>
      <c r="Y131" s="329"/>
      <c r="Z131" s="329"/>
      <c r="AA131" s="329"/>
      <c r="AB131" s="329"/>
      <c r="AC131" s="329"/>
      <c r="AD131" s="329"/>
      <c r="AE131" s="329"/>
      <c r="AF131" s="329"/>
      <c r="AG131" s="329"/>
      <c r="AH131" s="329"/>
      <c r="AI131" s="329"/>
      <c r="AJ131" s="329"/>
      <c r="AK131" s="329"/>
      <c r="AL131" s="329"/>
      <c r="AM131" s="329"/>
      <c r="AN131" s="329"/>
      <c r="AO131" s="329"/>
      <c r="AP131" s="329"/>
      <c r="AQ131" s="329"/>
      <c r="AR131" s="329"/>
    </row>
    <row r="132" spans="1:44" s="330" customFormat="1" x14ac:dyDescent="0.3">
      <c r="A132" s="82" t="s">
        <v>1669</v>
      </c>
      <c r="B132" s="82" t="s">
        <v>360</v>
      </c>
      <c r="C132" s="160"/>
      <c r="D132" s="160"/>
      <c r="E132" s="57" t="s">
        <v>361</v>
      </c>
      <c r="F132" s="57"/>
      <c r="G132" s="57"/>
      <c r="H132" s="57"/>
      <c r="I132" s="57"/>
      <c r="J132" s="39"/>
      <c r="K132" s="31">
        <v>25</v>
      </c>
      <c r="L132" s="221"/>
      <c r="M132" s="221"/>
      <c r="N132" s="221"/>
      <c r="O132" s="221"/>
      <c r="P132" s="221"/>
      <c r="Q132" s="221"/>
      <c r="R132" s="221"/>
      <c r="S132" s="221"/>
      <c r="T132" s="221"/>
      <c r="U132" s="221"/>
      <c r="V132" s="221"/>
      <c r="W132" s="221"/>
      <c r="X132" s="221"/>
      <c r="Y132" s="221"/>
      <c r="Z132" s="221"/>
      <c r="AA132" s="221"/>
      <c r="AB132" s="221"/>
      <c r="AC132" s="221"/>
      <c r="AD132" s="221"/>
      <c r="AE132" s="221"/>
      <c r="AF132" s="221"/>
      <c r="AG132" s="221"/>
      <c r="AH132" s="221"/>
      <c r="AI132" s="221"/>
      <c r="AJ132" s="221"/>
      <c r="AK132" s="221"/>
      <c r="AL132" s="221"/>
      <c r="AM132" s="221"/>
      <c r="AN132" s="221"/>
      <c r="AO132" s="221"/>
      <c r="AP132" s="221"/>
      <c r="AQ132" s="221"/>
      <c r="AR132" s="221"/>
    </row>
    <row r="133" spans="1:44" s="207" customFormat="1" x14ac:dyDescent="0.3">
      <c r="A133" s="82" t="s">
        <v>1670</v>
      </c>
      <c r="B133" s="82" t="s">
        <v>1554</v>
      </c>
      <c r="C133" s="160"/>
      <c r="D133" s="160"/>
      <c r="E133" s="57" t="s">
        <v>362</v>
      </c>
      <c r="F133" s="57"/>
      <c r="G133" s="57"/>
      <c r="H133" s="57"/>
      <c r="I133" s="57"/>
      <c r="J133" s="39"/>
      <c r="K133" s="31">
        <v>25</v>
      </c>
      <c r="L133" s="329"/>
      <c r="M133" s="329"/>
      <c r="N133" s="329"/>
      <c r="O133" s="329"/>
      <c r="P133" s="329"/>
      <c r="Q133" s="329"/>
      <c r="R133" s="329"/>
      <c r="S133" s="329"/>
      <c r="T133" s="329"/>
      <c r="U133" s="329"/>
      <c r="V133" s="329"/>
      <c r="W133" s="329"/>
      <c r="X133" s="329"/>
      <c r="Y133" s="329"/>
      <c r="Z133" s="329"/>
      <c r="AA133" s="329"/>
      <c r="AB133" s="329"/>
      <c r="AC133" s="329"/>
      <c r="AD133" s="329"/>
      <c r="AE133" s="329"/>
      <c r="AF133" s="329"/>
      <c r="AG133" s="329"/>
      <c r="AH133" s="329"/>
      <c r="AI133" s="329"/>
      <c r="AJ133" s="329"/>
      <c r="AK133" s="329"/>
      <c r="AL133" s="329"/>
      <c r="AM133" s="329"/>
      <c r="AN133" s="329"/>
      <c r="AO133" s="329"/>
      <c r="AP133" s="329"/>
      <c r="AQ133" s="329"/>
      <c r="AR133" s="329"/>
    </row>
    <row r="134" spans="1:44" s="330" customFormat="1" x14ac:dyDescent="0.3">
      <c r="A134" s="82" t="s">
        <v>1671</v>
      </c>
      <c r="B134" s="82" t="s">
        <v>363</v>
      </c>
      <c r="C134" s="160"/>
      <c r="D134" s="160"/>
      <c r="E134" s="57" t="s">
        <v>364</v>
      </c>
      <c r="F134" s="57"/>
      <c r="G134" s="57"/>
      <c r="H134" s="57"/>
      <c r="I134" s="57"/>
      <c r="J134" s="39"/>
      <c r="K134" s="31">
        <v>46</v>
      </c>
      <c r="L134" s="221"/>
      <c r="M134" s="221"/>
      <c r="N134" s="221"/>
      <c r="O134" s="221"/>
      <c r="P134" s="221"/>
      <c r="Q134" s="221"/>
      <c r="R134" s="221"/>
      <c r="S134" s="221"/>
      <c r="T134" s="221"/>
      <c r="U134" s="221"/>
      <c r="V134" s="221"/>
      <c r="W134" s="221"/>
      <c r="X134" s="221"/>
      <c r="Y134" s="221"/>
      <c r="Z134" s="221"/>
      <c r="AA134" s="221"/>
      <c r="AB134" s="221"/>
      <c r="AC134" s="221"/>
      <c r="AD134" s="221"/>
      <c r="AE134" s="221"/>
      <c r="AF134" s="221"/>
      <c r="AG134" s="221"/>
      <c r="AH134" s="221"/>
      <c r="AI134" s="221"/>
      <c r="AJ134" s="221"/>
      <c r="AK134" s="221"/>
      <c r="AL134" s="221"/>
      <c r="AM134" s="221"/>
      <c r="AN134" s="221"/>
      <c r="AO134" s="221"/>
      <c r="AP134" s="221"/>
      <c r="AQ134" s="221"/>
      <c r="AR134" s="221"/>
    </row>
    <row r="135" spans="1:44" x14ac:dyDescent="0.3">
      <c r="A135" s="82" t="s">
        <v>1672</v>
      </c>
      <c r="B135" s="82" t="s">
        <v>365</v>
      </c>
      <c r="C135" s="160"/>
      <c r="D135" s="160"/>
      <c r="E135" s="57" t="s">
        <v>1606</v>
      </c>
      <c r="F135" s="57"/>
      <c r="G135" s="57"/>
      <c r="H135" s="57"/>
      <c r="I135" s="57"/>
      <c r="J135" s="39"/>
      <c r="K135" s="31">
        <v>46</v>
      </c>
    </row>
    <row r="136" spans="1:44" s="207" customFormat="1" x14ac:dyDescent="0.3">
      <c r="A136" s="82" t="s">
        <v>1673</v>
      </c>
      <c r="B136" s="82" t="s">
        <v>366</v>
      </c>
      <c r="C136" s="160"/>
      <c r="D136" s="160"/>
      <c r="E136" s="57" t="s">
        <v>367</v>
      </c>
      <c r="F136" s="57"/>
      <c r="G136" s="57"/>
      <c r="H136" s="57"/>
      <c r="I136" s="57"/>
      <c r="J136" s="39"/>
      <c r="K136" s="31">
        <v>46</v>
      </c>
      <c r="L136" s="329"/>
      <c r="M136" s="329"/>
      <c r="N136" s="329"/>
      <c r="O136" s="329"/>
      <c r="P136" s="329"/>
      <c r="Q136" s="329"/>
      <c r="R136" s="329"/>
      <c r="S136" s="329"/>
      <c r="T136" s="329"/>
      <c r="U136" s="329"/>
      <c r="V136" s="329"/>
      <c r="W136" s="329"/>
      <c r="X136" s="329"/>
      <c r="Y136" s="329"/>
      <c r="Z136" s="329"/>
      <c r="AA136" s="329"/>
      <c r="AB136" s="329"/>
      <c r="AC136" s="329"/>
      <c r="AD136" s="329"/>
      <c r="AE136" s="329"/>
      <c r="AF136" s="329"/>
      <c r="AG136" s="329"/>
      <c r="AH136" s="329"/>
      <c r="AI136" s="329"/>
      <c r="AJ136" s="329"/>
      <c r="AK136" s="329"/>
      <c r="AL136" s="329"/>
      <c r="AM136" s="329"/>
      <c r="AN136" s="329"/>
      <c r="AO136" s="329"/>
      <c r="AP136" s="329"/>
      <c r="AQ136" s="329"/>
      <c r="AR136" s="329"/>
    </row>
    <row r="137" spans="1:44" x14ac:dyDescent="0.3">
      <c r="A137" s="82" t="s">
        <v>1674</v>
      </c>
      <c r="B137" s="82" t="s">
        <v>368</v>
      </c>
      <c r="C137" s="160"/>
      <c r="D137" s="160"/>
      <c r="E137" s="57" t="s">
        <v>369</v>
      </c>
      <c r="F137" s="57"/>
      <c r="G137" s="57"/>
      <c r="H137" s="57"/>
      <c r="I137" s="57"/>
      <c r="J137" s="39"/>
      <c r="K137" s="31">
        <v>57</v>
      </c>
    </row>
    <row r="138" spans="1:44" s="207" customFormat="1" x14ac:dyDescent="0.3">
      <c r="A138" s="82" t="s">
        <v>1675</v>
      </c>
      <c r="B138" s="82" t="s">
        <v>370</v>
      </c>
      <c r="C138" s="160"/>
      <c r="D138" s="160"/>
      <c r="E138" s="57" t="s">
        <v>371</v>
      </c>
      <c r="F138" s="57"/>
      <c r="G138" s="57"/>
      <c r="H138" s="57"/>
      <c r="I138" s="57"/>
      <c r="J138" s="39"/>
      <c r="K138" s="31">
        <v>57</v>
      </c>
      <c r="L138" s="329"/>
      <c r="M138" s="329"/>
      <c r="N138" s="329"/>
      <c r="O138" s="329"/>
      <c r="P138" s="329"/>
      <c r="Q138" s="329"/>
      <c r="R138" s="329"/>
      <c r="S138" s="329"/>
      <c r="T138" s="329"/>
      <c r="U138" s="329"/>
      <c r="V138" s="329"/>
      <c r="W138" s="329"/>
      <c r="X138" s="329"/>
      <c r="Y138" s="329"/>
      <c r="Z138" s="329"/>
      <c r="AA138" s="329"/>
      <c r="AB138" s="329"/>
      <c r="AC138" s="329"/>
      <c r="AD138" s="329"/>
      <c r="AE138" s="329"/>
      <c r="AF138" s="329"/>
      <c r="AG138" s="329"/>
      <c r="AH138" s="329"/>
      <c r="AI138" s="329"/>
      <c r="AJ138" s="329"/>
      <c r="AK138" s="329"/>
      <c r="AL138" s="329"/>
      <c r="AM138" s="329"/>
      <c r="AN138" s="329"/>
      <c r="AO138" s="329"/>
      <c r="AP138" s="329"/>
      <c r="AQ138" s="329"/>
      <c r="AR138" s="329"/>
    </row>
    <row r="139" spans="1:44" x14ac:dyDescent="0.3">
      <c r="A139" s="128"/>
      <c r="B139" s="187"/>
      <c r="C139" s="275"/>
      <c r="D139" s="275"/>
      <c r="E139" s="263"/>
      <c r="F139" s="263"/>
      <c r="G139" s="263"/>
      <c r="H139" s="263"/>
      <c r="I139" s="263"/>
      <c r="J139" s="263"/>
      <c r="K139" s="37"/>
    </row>
    <row r="140" spans="1:44" x14ac:dyDescent="0.3">
      <c r="A140" s="112" t="s">
        <v>178</v>
      </c>
      <c r="B140" s="112"/>
      <c r="C140" s="112"/>
      <c r="D140" s="112"/>
      <c r="E140" s="293"/>
      <c r="F140" s="293"/>
      <c r="G140" s="293"/>
      <c r="H140" s="293"/>
      <c r="I140" s="293"/>
      <c r="J140" s="293"/>
      <c r="K140" s="239"/>
    </row>
    <row r="141" spans="1:44" x14ac:dyDescent="0.3">
      <c r="A141" s="269" t="s">
        <v>1676</v>
      </c>
      <c r="B141" s="269" t="s">
        <v>1573</v>
      </c>
      <c r="C141" s="49"/>
      <c r="D141" s="49"/>
      <c r="E141" s="281"/>
      <c r="F141" s="281" t="s">
        <v>372</v>
      </c>
      <c r="G141" s="281" t="s">
        <v>373</v>
      </c>
      <c r="H141" s="281"/>
      <c r="I141" s="281"/>
      <c r="J141" s="244"/>
      <c r="K141" s="37">
        <v>11</v>
      </c>
    </row>
    <row r="142" spans="1:44" s="207" customFormat="1" x14ac:dyDescent="0.3">
      <c r="A142" s="82" t="s">
        <v>1677</v>
      </c>
      <c r="B142" s="82" t="s">
        <v>374</v>
      </c>
      <c r="C142" s="182"/>
      <c r="D142" s="182"/>
      <c r="E142" s="120"/>
      <c r="F142" s="57" t="s">
        <v>375</v>
      </c>
      <c r="G142" s="57" t="s">
        <v>376</v>
      </c>
      <c r="H142" s="120"/>
      <c r="I142" s="120"/>
      <c r="J142" s="120"/>
      <c r="K142" s="31">
        <v>0</v>
      </c>
      <c r="L142" s="329"/>
      <c r="M142" s="329"/>
      <c r="N142" s="329"/>
      <c r="O142" s="329"/>
      <c r="P142" s="329"/>
      <c r="Q142" s="329"/>
      <c r="R142" s="329"/>
      <c r="S142" s="329"/>
      <c r="T142" s="329"/>
      <c r="U142" s="329"/>
      <c r="V142" s="329"/>
      <c r="W142" s="329"/>
      <c r="X142" s="329"/>
      <c r="Y142" s="329"/>
      <c r="Z142" s="329"/>
      <c r="AA142" s="329"/>
      <c r="AB142" s="329"/>
      <c r="AC142" s="329"/>
      <c r="AD142" s="329"/>
      <c r="AE142" s="329"/>
      <c r="AF142" s="329"/>
      <c r="AG142" s="329"/>
      <c r="AH142" s="329"/>
      <c r="AI142" s="329"/>
      <c r="AJ142" s="329"/>
      <c r="AK142" s="329"/>
      <c r="AL142" s="329"/>
      <c r="AM142" s="329"/>
      <c r="AN142" s="329"/>
      <c r="AO142" s="329"/>
      <c r="AP142" s="329"/>
      <c r="AQ142" s="329"/>
      <c r="AR142" s="329"/>
    </row>
    <row r="143" spans="1:44" x14ac:dyDescent="0.3">
      <c r="A143" s="82" t="s">
        <v>1678</v>
      </c>
      <c r="B143" s="82" t="s">
        <v>1574</v>
      </c>
      <c r="C143" s="160"/>
      <c r="D143" s="160"/>
      <c r="E143" s="57"/>
      <c r="F143" s="57" t="s">
        <v>377</v>
      </c>
      <c r="G143" s="57" t="s">
        <v>378</v>
      </c>
      <c r="H143" s="57"/>
      <c r="I143" s="57"/>
      <c r="J143" s="39"/>
      <c r="K143" s="31">
        <v>13</v>
      </c>
    </row>
    <row r="144" spans="1:44" x14ac:dyDescent="0.3">
      <c r="A144" s="82" t="s">
        <v>1679</v>
      </c>
      <c r="B144" s="82" t="s">
        <v>1558</v>
      </c>
      <c r="C144" s="160"/>
      <c r="D144" s="160"/>
      <c r="E144" s="57"/>
      <c r="F144" s="57" t="s">
        <v>379</v>
      </c>
      <c r="G144" s="57" t="s">
        <v>380</v>
      </c>
      <c r="H144" s="57"/>
      <c r="I144" s="57"/>
      <c r="J144" s="39"/>
      <c r="K144" s="31">
        <v>25</v>
      </c>
    </row>
    <row r="145" spans="1:44" x14ac:dyDescent="0.3">
      <c r="A145" s="82" t="s">
        <v>1680</v>
      </c>
      <c r="B145" s="82" t="s">
        <v>1575</v>
      </c>
      <c r="C145" s="160"/>
      <c r="D145" s="160"/>
      <c r="E145" s="57"/>
      <c r="F145" s="57" t="s">
        <v>381</v>
      </c>
      <c r="G145" s="57" t="s">
        <v>382</v>
      </c>
      <c r="H145" s="57"/>
      <c r="I145" s="57"/>
      <c r="J145" s="39"/>
      <c r="K145" s="31">
        <v>41</v>
      </c>
    </row>
    <row r="146" spans="1:44" x14ac:dyDescent="0.3">
      <c r="A146" s="82" t="s">
        <v>1681</v>
      </c>
      <c r="B146" s="82" t="s">
        <v>1576</v>
      </c>
      <c r="C146" s="160"/>
      <c r="D146" s="160"/>
      <c r="E146" s="57"/>
      <c r="F146" s="57" t="s">
        <v>383</v>
      </c>
      <c r="G146" s="57" t="s">
        <v>384</v>
      </c>
      <c r="H146" s="57"/>
      <c r="I146" s="57"/>
      <c r="J146" s="39"/>
      <c r="K146" s="31">
        <v>71</v>
      </c>
    </row>
    <row r="147" spans="1:44" s="207" customFormat="1" x14ac:dyDescent="0.3">
      <c r="A147" s="82" t="s">
        <v>1682</v>
      </c>
      <c r="B147" s="82" t="s">
        <v>385</v>
      </c>
      <c r="C147" s="182"/>
      <c r="D147" s="182"/>
      <c r="E147" s="120"/>
      <c r="F147" s="57" t="s">
        <v>386</v>
      </c>
      <c r="G147" s="57" t="s">
        <v>387</v>
      </c>
      <c r="H147" s="120"/>
      <c r="I147" s="120"/>
      <c r="J147" s="120"/>
      <c r="K147" s="31">
        <v>71</v>
      </c>
      <c r="L147" s="329"/>
      <c r="M147" s="329"/>
      <c r="N147" s="329"/>
      <c r="O147" s="329"/>
      <c r="P147" s="329"/>
      <c r="Q147" s="329"/>
      <c r="R147" s="329"/>
      <c r="S147" s="329"/>
      <c r="T147" s="329"/>
      <c r="U147" s="329"/>
      <c r="V147" s="329"/>
      <c r="W147" s="329"/>
      <c r="X147" s="329"/>
      <c r="Y147" s="329"/>
      <c r="Z147" s="329"/>
      <c r="AA147" s="329"/>
      <c r="AB147" s="329"/>
      <c r="AC147" s="329"/>
      <c r="AD147" s="329"/>
      <c r="AE147" s="329"/>
      <c r="AF147" s="329"/>
      <c r="AG147" s="329"/>
      <c r="AH147" s="329"/>
      <c r="AI147" s="329"/>
      <c r="AJ147" s="329"/>
      <c r="AK147" s="329"/>
      <c r="AL147" s="329"/>
      <c r="AM147" s="329"/>
      <c r="AN147" s="329"/>
      <c r="AO147" s="329"/>
      <c r="AP147" s="329"/>
      <c r="AQ147" s="329"/>
      <c r="AR147" s="329"/>
    </row>
    <row r="148" spans="1:44" x14ac:dyDescent="0.3">
      <c r="A148" s="82" t="s">
        <v>1683</v>
      </c>
      <c r="B148" s="82" t="s">
        <v>1577</v>
      </c>
      <c r="C148" s="160"/>
      <c r="D148" s="160"/>
      <c r="E148" s="57"/>
      <c r="F148" s="57" t="s">
        <v>388</v>
      </c>
      <c r="G148" s="57" t="s">
        <v>389</v>
      </c>
      <c r="H148" s="57"/>
      <c r="I148" s="57"/>
      <c r="J148" s="39"/>
      <c r="K148" s="31">
        <v>82</v>
      </c>
    </row>
    <row r="149" spans="1:44" s="207" customFormat="1" x14ac:dyDescent="0.3">
      <c r="A149" s="82" t="s">
        <v>1684</v>
      </c>
      <c r="B149" s="82" t="s">
        <v>390</v>
      </c>
      <c r="C149" s="182"/>
      <c r="D149" s="182"/>
      <c r="E149" s="120"/>
      <c r="F149" s="57" t="s">
        <v>391</v>
      </c>
      <c r="G149" s="57" t="s">
        <v>392</v>
      </c>
      <c r="H149" s="120"/>
      <c r="I149" s="120"/>
      <c r="J149" s="120"/>
      <c r="K149" s="31">
        <v>117</v>
      </c>
      <c r="L149" s="329"/>
      <c r="M149" s="329"/>
      <c r="N149" s="329"/>
      <c r="O149" s="329"/>
      <c r="P149" s="329"/>
      <c r="Q149" s="329"/>
      <c r="R149" s="329"/>
      <c r="S149" s="329"/>
      <c r="T149" s="329"/>
      <c r="U149" s="329"/>
      <c r="V149" s="329"/>
      <c r="W149" s="329"/>
      <c r="X149" s="329"/>
      <c r="Y149" s="329"/>
      <c r="Z149" s="329"/>
      <c r="AA149" s="329"/>
      <c r="AB149" s="329"/>
      <c r="AC149" s="329"/>
      <c r="AD149" s="329"/>
      <c r="AE149" s="329"/>
      <c r="AF149" s="329"/>
      <c r="AG149" s="329"/>
      <c r="AH149" s="329"/>
      <c r="AI149" s="329"/>
      <c r="AJ149" s="329"/>
      <c r="AK149" s="329"/>
      <c r="AL149" s="329"/>
      <c r="AM149" s="329"/>
      <c r="AN149" s="329"/>
      <c r="AO149" s="329"/>
      <c r="AP149" s="329"/>
      <c r="AQ149" s="329"/>
      <c r="AR149" s="329"/>
    </row>
    <row r="150" spans="1:44" x14ac:dyDescent="0.3">
      <c r="A150" s="269" t="s">
        <v>1685</v>
      </c>
      <c r="B150" s="269" t="s">
        <v>1578</v>
      </c>
      <c r="C150" s="49"/>
      <c r="D150" s="49"/>
      <c r="E150" s="281"/>
      <c r="F150" s="281" t="s">
        <v>393</v>
      </c>
      <c r="G150" s="281" t="s">
        <v>394</v>
      </c>
      <c r="H150" s="281"/>
      <c r="I150" s="281"/>
      <c r="J150" s="244"/>
      <c r="K150" s="37">
        <v>117</v>
      </c>
    </row>
    <row r="151" spans="1:44" x14ac:dyDescent="0.3">
      <c r="A151" s="269"/>
      <c r="B151" s="269"/>
      <c r="C151" s="49"/>
      <c r="D151" s="49"/>
      <c r="E151" s="281"/>
      <c r="F151" s="281"/>
      <c r="G151" s="281"/>
      <c r="H151" s="281"/>
      <c r="I151" s="281"/>
      <c r="J151" s="244"/>
      <c r="K151" s="37"/>
    </row>
    <row r="152" spans="1:44" x14ac:dyDescent="0.3">
      <c r="A152" s="112" t="s">
        <v>395</v>
      </c>
      <c r="B152" s="112"/>
      <c r="C152" s="112"/>
      <c r="D152" s="112"/>
      <c r="E152" s="293"/>
      <c r="F152" s="293"/>
      <c r="G152" s="293"/>
      <c r="H152" s="293"/>
      <c r="I152" s="293"/>
      <c r="J152" s="293"/>
      <c r="K152" s="235"/>
    </row>
    <row r="153" spans="1:44" s="330" customFormat="1" x14ac:dyDescent="0.3">
      <c r="A153" s="269" t="s">
        <v>1686</v>
      </c>
      <c r="B153" s="269" t="s">
        <v>396</v>
      </c>
      <c r="C153" s="49"/>
      <c r="D153" s="49"/>
      <c r="E153" s="281"/>
      <c r="F153" s="281"/>
      <c r="G153" s="281"/>
      <c r="H153" s="281" t="s">
        <v>397</v>
      </c>
      <c r="I153" s="281" t="s">
        <v>398</v>
      </c>
      <c r="J153" s="244"/>
      <c r="K153" s="37">
        <v>12</v>
      </c>
      <c r="L153" s="221"/>
      <c r="M153" s="221"/>
      <c r="N153" s="221"/>
      <c r="O153" s="221"/>
      <c r="P153" s="221"/>
      <c r="Q153" s="221"/>
      <c r="R153" s="221"/>
      <c r="S153" s="221"/>
      <c r="T153" s="221"/>
      <c r="U153" s="221"/>
      <c r="V153" s="221"/>
      <c r="W153" s="221"/>
      <c r="X153" s="221"/>
      <c r="Y153" s="221"/>
      <c r="Z153" s="221"/>
      <c r="AA153" s="221"/>
      <c r="AB153" s="221"/>
      <c r="AC153" s="221"/>
      <c r="AD153" s="221"/>
      <c r="AE153" s="221"/>
      <c r="AF153" s="221"/>
      <c r="AG153" s="221"/>
      <c r="AH153" s="221"/>
      <c r="AI153" s="221"/>
      <c r="AJ153" s="221"/>
      <c r="AK153" s="221"/>
      <c r="AL153" s="221"/>
      <c r="AM153" s="221"/>
      <c r="AN153" s="221"/>
      <c r="AO153" s="221"/>
      <c r="AP153" s="221"/>
      <c r="AQ153" s="221"/>
      <c r="AR153" s="221"/>
    </row>
    <row r="154" spans="1:44" s="225" customFormat="1" x14ac:dyDescent="0.3">
      <c r="A154" s="82" t="s">
        <v>1687</v>
      </c>
      <c r="B154" s="82" t="s">
        <v>399</v>
      </c>
      <c r="C154" s="160"/>
      <c r="D154" s="160"/>
      <c r="E154" s="57"/>
      <c r="F154" s="57"/>
      <c r="G154" s="57"/>
      <c r="H154" s="57" t="s">
        <v>400</v>
      </c>
      <c r="I154" s="57" t="s">
        <v>401</v>
      </c>
      <c r="J154" s="39"/>
      <c r="K154" s="31">
        <v>0</v>
      </c>
      <c r="L154" s="221"/>
      <c r="M154" s="221"/>
      <c r="N154" s="221"/>
      <c r="O154" s="221"/>
      <c r="P154" s="221"/>
      <c r="Q154" s="221"/>
      <c r="R154" s="221"/>
      <c r="S154" s="221"/>
      <c r="T154" s="221"/>
      <c r="U154" s="221"/>
      <c r="V154" s="221"/>
      <c r="W154" s="221"/>
      <c r="X154" s="221"/>
      <c r="Y154" s="221"/>
      <c r="Z154" s="221"/>
      <c r="AA154" s="221"/>
      <c r="AB154" s="221"/>
      <c r="AC154" s="221"/>
      <c r="AD154" s="221"/>
      <c r="AE154" s="221"/>
      <c r="AF154" s="221"/>
      <c r="AG154" s="221"/>
      <c r="AH154" s="221"/>
      <c r="AI154" s="221"/>
      <c r="AJ154" s="221"/>
      <c r="AK154" s="221"/>
      <c r="AL154" s="221"/>
      <c r="AM154" s="221"/>
      <c r="AN154" s="221"/>
      <c r="AO154" s="221"/>
      <c r="AP154" s="221"/>
      <c r="AQ154" s="221"/>
      <c r="AR154" s="221"/>
    </row>
    <row r="155" spans="1:44" s="330" customFormat="1" x14ac:dyDescent="0.3">
      <c r="A155" s="82" t="s">
        <v>1686</v>
      </c>
      <c r="B155" s="82" t="s">
        <v>402</v>
      </c>
      <c r="C155" s="160"/>
      <c r="D155" s="160"/>
      <c r="E155" s="57"/>
      <c r="F155" s="57"/>
      <c r="G155" s="57"/>
      <c r="H155" s="57" t="s">
        <v>403</v>
      </c>
      <c r="I155" s="57" t="s">
        <v>404</v>
      </c>
      <c r="J155" s="39"/>
      <c r="K155" s="31">
        <v>11</v>
      </c>
      <c r="L155" s="221"/>
      <c r="M155" s="221"/>
      <c r="N155" s="221"/>
      <c r="O155" s="221"/>
      <c r="P155" s="221"/>
      <c r="Q155" s="221"/>
      <c r="R155" s="221"/>
      <c r="S155" s="221"/>
      <c r="T155" s="221"/>
      <c r="U155" s="221"/>
      <c r="V155" s="221"/>
      <c r="W155" s="221"/>
      <c r="X155" s="221"/>
      <c r="Y155" s="221"/>
      <c r="Z155" s="221"/>
      <c r="AA155" s="221"/>
      <c r="AB155" s="221"/>
      <c r="AC155" s="221"/>
      <c r="AD155" s="221"/>
      <c r="AE155" s="221"/>
      <c r="AF155" s="221"/>
      <c r="AG155" s="221"/>
      <c r="AH155" s="221"/>
      <c r="AI155" s="221"/>
      <c r="AJ155" s="221"/>
      <c r="AK155" s="221"/>
      <c r="AL155" s="221"/>
      <c r="AM155" s="221"/>
      <c r="AN155" s="221"/>
      <c r="AO155" s="221"/>
      <c r="AP155" s="221"/>
      <c r="AQ155" s="221"/>
      <c r="AR155" s="221"/>
    </row>
    <row r="156" spans="1:44" s="330" customFormat="1" x14ac:dyDescent="0.3">
      <c r="A156" s="82" t="s">
        <v>1688</v>
      </c>
      <c r="B156" s="82" t="s">
        <v>405</v>
      </c>
      <c r="C156" s="160"/>
      <c r="D156" s="160"/>
      <c r="E156" s="57"/>
      <c r="F156" s="57"/>
      <c r="G156" s="57"/>
      <c r="H156" s="57" t="s">
        <v>406</v>
      </c>
      <c r="I156" s="57" t="s">
        <v>407</v>
      </c>
      <c r="J156" s="39"/>
      <c r="K156" s="31">
        <v>30</v>
      </c>
      <c r="L156" s="221"/>
      <c r="M156" s="221"/>
      <c r="N156" s="221"/>
      <c r="O156" s="221"/>
      <c r="P156" s="221"/>
      <c r="Q156" s="221"/>
      <c r="R156" s="221"/>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c r="AR156" s="221"/>
    </row>
    <row r="157" spans="1:44" s="225" customFormat="1" x14ac:dyDescent="0.3">
      <c r="A157" s="82" t="s">
        <v>1689</v>
      </c>
      <c r="B157" s="82" t="s">
        <v>408</v>
      </c>
      <c r="C157" s="160"/>
      <c r="D157" s="160"/>
      <c r="E157" s="57"/>
      <c r="F157" s="57"/>
      <c r="G157" s="57"/>
      <c r="H157" s="57" t="s">
        <v>409</v>
      </c>
      <c r="I157" s="57" t="s">
        <v>410</v>
      </c>
      <c r="J157" s="39"/>
      <c r="K157" s="31">
        <v>30</v>
      </c>
      <c r="L157" s="221"/>
      <c r="M157" s="221"/>
      <c r="N157" s="221"/>
      <c r="O157" s="221"/>
      <c r="P157" s="221"/>
      <c r="Q157" s="221"/>
      <c r="R157" s="221"/>
      <c r="S157" s="221"/>
      <c r="T157" s="221"/>
      <c r="U157" s="221"/>
      <c r="V157" s="221"/>
      <c r="W157" s="221"/>
      <c r="X157" s="221"/>
      <c r="Y157" s="221"/>
      <c r="Z157" s="221"/>
      <c r="AA157" s="221"/>
      <c r="AB157" s="221"/>
      <c r="AC157" s="221"/>
      <c r="AD157" s="221"/>
      <c r="AE157" s="221"/>
      <c r="AF157" s="221"/>
      <c r="AG157" s="221"/>
      <c r="AH157" s="221"/>
      <c r="AI157" s="221"/>
      <c r="AJ157" s="221"/>
      <c r="AK157" s="221"/>
      <c r="AL157" s="221"/>
      <c r="AM157" s="221"/>
      <c r="AN157" s="221"/>
      <c r="AO157" s="221"/>
      <c r="AP157" s="221"/>
      <c r="AQ157" s="221"/>
      <c r="AR157" s="221"/>
    </row>
    <row r="158" spans="1:44" s="330" customFormat="1" x14ac:dyDescent="0.3">
      <c r="A158" s="269" t="s">
        <v>1690</v>
      </c>
      <c r="B158" s="269" t="s">
        <v>411</v>
      </c>
      <c r="C158" s="49"/>
      <c r="D158" s="49"/>
      <c r="E158" s="281"/>
      <c r="F158" s="281"/>
      <c r="G158" s="281"/>
      <c r="H158" s="281" t="s">
        <v>412</v>
      </c>
      <c r="I158" s="281" t="s">
        <v>413</v>
      </c>
      <c r="J158" s="244"/>
      <c r="K158" s="37">
        <v>76</v>
      </c>
      <c r="L158" s="221"/>
      <c r="M158" s="221"/>
      <c r="N158" s="221"/>
      <c r="O158" s="221"/>
      <c r="P158" s="221"/>
      <c r="Q158" s="221"/>
      <c r="R158" s="221"/>
      <c r="S158" s="221"/>
      <c r="T158" s="221"/>
      <c r="U158" s="221"/>
      <c r="V158" s="221"/>
      <c r="W158" s="221"/>
      <c r="X158" s="221"/>
      <c r="Y158" s="221"/>
      <c r="Z158" s="221"/>
      <c r="AA158" s="221"/>
      <c r="AB158" s="221"/>
      <c r="AC158" s="221"/>
      <c r="AD158" s="221"/>
      <c r="AE158" s="221"/>
      <c r="AF158" s="221"/>
      <c r="AG158" s="221"/>
      <c r="AH158" s="221"/>
      <c r="AI158" s="221"/>
      <c r="AJ158" s="221"/>
      <c r="AK158" s="221"/>
      <c r="AL158" s="221"/>
      <c r="AM158" s="221"/>
      <c r="AN158" s="221"/>
      <c r="AO158" s="221"/>
      <c r="AP158" s="221"/>
      <c r="AQ158" s="221"/>
      <c r="AR158" s="221"/>
    </row>
    <row r="159" spans="1:44" s="330" customFormat="1" x14ac:dyDescent="0.3">
      <c r="A159" s="269" t="s">
        <v>1691</v>
      </c>
      <c r="B159" s="269" t="s">
        <v>414</v>
      </c>
      <c r="C159" s="49"/>
      <c r="D159" s="49"/>
      <c r="E159" s="281"/>
      <c r="F159" s="281"/>
      <c r="G159" s="281"/>
      <c r="H159" s="281" t="s">
        <v>415</v>
      </c>
      <c r="I159" s="281" t="s">
        <v>416</v>
      </c>
      <c r="J159" s="244"/>
      <c r="K159" s="37">
        <v>87</v>
      </c>
      <c r="L159" s="221"/>
      <c r="M159" s="221"/>
      <c r="N159" s="221"/>
      <c r="O159" s="221"/>
      <c r="P159" s="221"/>
      <c r="Q159" s="221"/>
      <c r="R159" s="221"/>
      <c r="S159" s="221"/>
      <c r="T159" s="221"/>
      <c r="U159" s="221"/>
      <c r="V159" s="221"/>
      <c r="W159" s="221"/>
      <c r="X159" s="221"/>
      <c r="Y159" s="221"/>
      <c r="Z159" s="221"/>
      <c r="AA159" s="221"/>
      <c r="AB159" s="221"/>
      <c r="AC159" s="221"/>
      <c r="AD159" s="221"/>
      <c r="AE159" s="221"/>
      <c r="AF159" s="221"/>
      <c r="AG159" s="221"/>
      <c r="AH159" s="221"/>
      <c r="AI159" s="221"/>
      <c r="AJ159" s="221"/>
      <c r="AK159" s="221"/>
      <c r="AL159" s="221"/>
      <c r="AM159" s="221"/>
      <c r="AN159" s="221"/>
      <c r="AO159" s="221"/>
      <c r="AP159" s="221"/>
      <c r="AQ159" s="221"/>
      <c r="AR159" s="221"/>
    </row>
    <row r="160" spans="1:44" s="225" customFormat="1" x14ac:dyDescent="0.3">
      <c r="A160" s="82" t="s">
        <v>1692</v>
      </c>
      <c r="B160" s="82" t="s">
        <v>417</v>
      </c>
      <c r="C160" s="160"/>
      <c r="D160" s="160"/>
      <c r="E160" s="57"/>
      <c r="F160" s="57"/>
      <c r="G160" s="57"/>
      <c r="H160" s="57" t="s">
        <v>418</v>
      </c>
      <c r="I160" s="57" t="s">
        <v>419</v>
      </c>
      <c r="J160" s="39"/>
      <c r="K160" s="31">
        <v>151</v>
      </c>
      <c r="L160" s="221"/>
      <c r="M160" s="221"/>
      <c r="N160" s="221"/>
      <c r="O160" s="221"/>
      <c r="P160" s="221"/>
      <c r="Q160" s="221"/>
      <c r="R160" s="221"/>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c r="AR160" s="221"/>
    </row>
    <row r="161" spans="1:44" s="225" customFormat="1" x14ac:dyDescent="0.3">
      <c r="A161" s="82" t="s">
        <v>1693</v>
      </c>
      <c r="B161" s="82" t="s">
        <v>420</v>
      </c>
      <c r="C161" s="160"/>
      <c r="D161" s="160"/>
      <c r="E161" s="57"/>
      <c r="F161" s="57"/>
      <c r="G161" s="57"/>
      <c r="H161" s="57" t="s">
        <v>421</v>
      </c>
      <c r="I161" s="57" t="s">
        <v>422</v>
      </c>
      <c r="J161" s="39"/>
      <c r="K161" s="31">
        <v>151</v>
      </c>
      <c r="L161" s="221"/>
      <c r="M161" s="221"/>
      <c r="N161" s="221"/>
      <c r="O161" s="221"/>
      <c r="P161" s="221"/>
      <c r="Q161" s="221"/>
      <c r="R161" s="221"/>
      <c r="S161" s="221"/>
      <c r="T161" s="221"/>
      <c r="U161" s="221"/>
      <c r="V161" s="221"/>
      <c r="W161" s="221"/>
      <c r="X161" s="221"/>
      <c r="Y161" s="221"/>
      <c r="Z161" s="221"/>
      <c r="AA161" s="221"/>
      <c r="AB161" s="221"/>
      <c r="AC161" s="221"/>
      <c r="AD161" s="221"/>
      <c r="AE161" s="221"/>
      <c r="AF161" s="221"/>
      <c r="AG161" s="221"/>
      <c r="AH161" s="221"/>
      <c r="AI161" s="221"/>
      <c r="AJ161" s="221"/>
      <c r="AK161" s="221"/>
      <c r="AL161" s="221"/>
      <c r="AM161" s="221"/>
      <c r="AN161" s="221"/>
      <c r="AO161" s="221"/>
      <c r="AP161" s="221"/>
      <c r="AQ161" s="221"/>
      <c r="AR161" s="221"/>
    </row>
    <row r="162" spans="1:44" s="330" customFormat="1" x14ac:dyDescent="0.3">
      <c r="A162" s="128"/>
      <c r="B162" s="187"/>
      <c r="C162" s="275"/>
      <c r="D162" s="275"/>
      <c r="E162" s="263"/>
      <c r="F162" s="263"/>
      <c r="G162" s="263"/>
      <c r="H162" s="263"/>
      <c r="I162" s="263"/>
      <c r="J162" s="263"/>
      <c r="K162" s="37"/>
      <c r="L162" s="221"/>
      <c r="M162" s="221"/>
      <c r="N162" s="221"/>
      <c r="O162" s="221"/>
      <c r="P162" s="221"/>
      <c r="Q162" s="221"/>
      <c r="R162" s="221"/>
      <c r="S162" s="221"/>
      <c r="T162" s="221"/>
      <c r="U162" s="221"/>
      <c r="V162" s="221"/>
      <c r="W162" s="221"/>
      <c r="X162" s="221"/>
      <c r="Y162" s="221"/>
      <c r="Z162" s="221"/>
      <c r="AA162" s="221"/>
      <c r="AB162" s="221"/>
      <c r="AC162" s="221"/>
      <c r="AD162" s="221"/>
      <c r="AE162" s="221"/>
      <c r="AF162" s="221"/>
      <c r="AG162" s="221"/>
      <c r="AH162" s="221"/>
      <c r="AI162" s="221"/>
      <c r="AJ162" s="221"/>
      <c r="AK162" s="221"/>
      <c r="AL162" s="221"/>
      <c r="AM162" s="221"/>
      <c r="AN162" s="221"/>
      <c r="AO162" s="221"/>
      <c r="AP162" s="221"/>
      <c r="AQ162" s="221"/>
      <c r="AR162" s="221"/>
    </row>
    <row r="163" spans="1:44" s="330" customFormat="1" x14ac:dyDescent="0.3">
      <c r="A163" s="112" t="s">
        <v>204</v>
      </c>
      <c r="B163" s="112"/>
      <c r="C163" s="112"/>
      <c r="D163" s="112"/>
      <c r="E163" s="293"/>
      <c r="F163" s="293"/>
      <c r="G163" s="293"/>
      <c r="H163" s="293"/>
      <c r="I163" s="293"/>
      <c r="J163" s="293"/>
      <c r="K163" s="239"/>
      <c r="L163" s="221"/>
      <c r="M163" s="221"/>
      <c r="N163" s="221"/>
      <c r="O163" s="221"/>
      <c r="P163" s="221"/>
      <c r="Q163" s="221"/>
      <c r="R163" s="221"/>
      <c r="S163" s="221"/>
      <c r="T163" s="221"/>
      <c r="U163" s="221"/>
      <c r="V163" s="221"/>
      <c r="W163" s="221"/>
      <c r="X163" s="221"/>
      <c r="Y163" s="221"/>
      <c r="Z163" s="221"/>
      <c r="AA163" s="221"/>
      <c r="AB163" s="221"/>
      <c r="AC163" s="221"/>
      <c r="AD163" s="221"/>
      <c r="AE163" s="221"/>
      <c r="AF163" s="221"/>
      <c r="AG163" s="221"/>
      <c r="AH163" s="221"/>
      <c r="AI163" s="221"/>
      <c r="AJ163" s="221"/>
      <c r="AK163" s="221"/>
      <c r="AL163" s="221"/>
      <c r="AM163" s="221"/>
      <c r="AN163" s="221"/>
      <c r="AO163" s="221"/>
      <c r="AP163" s="221"/>
      <c r="AQ163" s="221"/>
      <c r="AR163" s="221"/>
    </row>
    <row r="164" spans="1:44" s="330" customFormat="1" x14ac:dyDescent="0.3">
      <c r="A164" s="269" t="s">
        <v>205</v>
      </c>
      <c r="B164" s="269" t="s">
        <v>423</v>
      </c>
      <c r="C164" s="49"/>
      <c r="D164" s="49"/>
      <c r="E164" s="281" t="s">
        <v>424</v>
      </c>
      <c r="F164" s="281" t="s">
        <v>425</v>
      </c>
      <c r="G164" s="281" t="s">
        <v>426</v>
      </c>
      <c r="H164" s="281" t="s">
        <v>427</v>
      </c>
      <c r="I164" s="281" t="s">
        <v>428</v>
      </c>
      <c r="J164" s="244"/>
      <c r="K164" s="37">
        <v>30</v>
      </c>
      <c r="L164" s="221"/>
      <c r="M164" s="221"/>
      <c r="N164" s="221"/>
      <c r="O164" s="221"/>
      <c r="P164" s="221"/>
      <c r="Q164" s="221"/>
      <c r="R164" s="221"/>
      <c r="S164" s="221"/>
      <c r="T164" s="221"/>
      <c r="U164" s="221"/>
      <c r="V164" s="221"/>
      <c r="W164" s="221"/>
      <c r="X164" s="221"/>
      <c r="Y164" s="221"/>
      <c r="Z164" s="221"/>
      <c r="AA164" s="221"/>
      <c r="AB164" s="221"/>
      <c r="AC164" s="221"/>
      <c r="AD164" s="221"/>
      <c r="AE164" s="221"/>
      <c r="AF164" s="221"/>
      <c r="AG164" s="221"/>
      <c r="AH164" s="221"/>
      <c r="AI164" s="221"/>
      <c r="AJ164" s="221"/>
      <c r="AK164" s="221"/>
      <c r="AL164" s="221"/>
      <c r="AM164" s="221"/>
      <c r="AN164" s="221"/>
      <c r="AO164" s="221"/>
      <c r="AP164" s="221"/>
      <c r="AQ164" s="221"/>
      <c r="AR164" s="221"/>
    </row>
    <row r="165" spans="1:44" x14ac:dyDescent="0.3">
      <c r="A165" s="269" t="s">
        <v>212</v>
      </c>
      <c r="B165" s="269" t="s">
        <v>429</v>
      </c>
      <c r="C165" s="49"/>
      <c r="D165" s="49"/>
      <c r="E165" s="281" t="s">
        <v>430</v>
      </c>
      <c r="F165" s="281" t="s">
        <v>431</v>
      </c>
      <c r="G165" s="281" t="s">
        <v>432</v>
      </c>
      <c r="H165" s="281" t="s">
        <v>433</v>
      </c>
      <c r="I165" s="281" t="s">
        <v>434</v>
      </c>
      <c r="J165" s="244"/>
      <c r="K165" s="37">
        <v>104</v>
      </c>
    </row>
    <row r="166" spans="1:44" x14ac:dyDescent="0.3">
      <c r="A166" s="128"/>
      <c r="B166" s="187"/>
      <c r="C166" s="275"/>
      <c r="D166" s="275"/>
      <c r="E166" s="263"/>
      <c r="F166" s="263"/>
      <c r="G166" s="263"/>
      <c r="H166" s="263"/>
      <c r="I166" s="263"/>
      <c r="J166" s="263"/>
      <c r="K166" s="37"/>
    </row>
    <row r="167" spans="1:44" x14ac:dyDescent="0.3">
      <c r="A167" s="112" t="s">
        <v>221</v>
      </c>
      <c r="B167" s="112"/>
      <c r="C167" s="112"/>
      <c r="D167" s="112"/>
      <c r="E167" s="293"/>
      <c r="F167" s="293"/>
      <c r="G167" s="293"/>
      <c r="H167" s="293"/>
      <c r="I167" s="293"/>
      <c r="J167" s="293"/>
      <c r="K167" s="239"/>
    </row>
    <row r="168" spans="1:44" x14ac:dyDescent="0.3">
      <c r="A168" s="82" t="s">
        <v>435</v>
      </c>
      <c r="B168" s="82" t="s">
        <v>436</v>
      </c>
      <c r="C168" s="160"/>
      <c r="D168" s="160"/>
      <c r="E168" s="57" t="s">
        <v>437</v>
      </c>
      <c r="F168" s="57" t="s">
        <v>438</v>
      </c>
      <c r="G168" s="57" t="s">
        <v>439</v>
      </c>
      <c r="H168" s="57" t="s">
        <v>440</v>
      </c>
      <c r="I168" s="57" t="s">
        <v>441</v>
      </c>
      <c r="J168" s="39"/>
      <c r="K168" s="31">
        <v>5</v>
      </c>
    </row>
    <row r="169" spans="1:44" x14ac:dyDescent="0.3">
      <c r="A169" s="128"/>
      <c r="B169" s="187"/>
      <c r="C169" s="275"/>
      <c r="D169" s="275"/>
      <c r="E169" s="263"/>
      <c r="F169" s="263"/>
      <c r="G169" s="263"/>
      <c r="H169" s="263"/>
      <c r="I169" s="263"/>
      <c r="J169" s="263"/>
      <c r="K169" s="37"/>
    </row>
    <row r="170" spans="1:44" x14ac:dyDescent="0.3">
      <c r="A170" s="112" t="s">
        <v>226</v>
      </c>
      <c r="B170" s="112"/>
      <c r="C170" s="112"/>
      <c r="D170" s="112"/>
      <c r="E170" s="293"/>
      <c r="F170" s="293"/>
      <c r="G170" s="293"/>
      <c r="H170" s="293"/>
      <c r="I170" s="293"/>
      <c r="J170" s="293"/>
      <c r="K170" s="239"/>
    </row>
    <row r="171" spans="1:44" x14ac:dyDescent="0.3">
      <c r="A171" s="82" t="s">
        <v>1640</v>
      </c>
      <c r="B171" s="82" t="s">
        <v>442</v>
      </c>
      <c r="C171" s="160"/>
      <c r="D171" s="160"/>
      <c r="E171" s="57" t="s">
        <v>443</v>
      </c>
      <c r="F171" s="57" t="s">
        <v>444</v>
      </c>
      <c r="G171" s="57" t="s">
        <v>445</v>
      </c>
      <c r="H171" s="57"/>
      <c r="I171" s="57"/>
      <c r="J171" s="39"/>
      <c r="K171" s="31">
        <v>0</v>
      </c>
    </row>
    <row r="172" spans="1:44" x14ac:dyDescent="0.3">
      <c r="A172" s="82" t="s">
        <v>1644</v>
      </c>
      <c r="B172" s="82" t="s">
        <v>446</v>
      </c>
      <c r="C172" s="160"/>
      <c r="D172" s="160"/>
      <c r="E172" s="57" t="s">
        <v>447</v>
      </c>
      <c r="F172" s="57" t="s">
        <v>448</v>
      </c>
      <c r="G172" s="57" t="s">
        <v>449</v>
      </c>
      <c r="H172" s="57"/>
      <c r="I172" s="57"/>
      <c r="J172" s="39"/>
      <c r="K172" s="31">
        <v>0</v>
      </c>
    </row>
    <row r="173" spans="1:44" x14ac:dyDescent="0.3">
      <c r="A173" s="82" t="s">
        <v>1645</v>
      </c>
      <c r="B173" s="82" t="s">
        <v>450</v>
      </c>
      <c r="C173" s="160"/>
      <c r="D173" s="160"/>
      <c r="E173" s="57" t="s">
        <v>451</v>
      </c>
      <c r="F173" s="57" t="s">
        <v>452</v>
      </c>
      <c r="G173" s="57" t="s">
        <v>453</v>
      </c>
      <c r="H173" s="57"/>
      <c r="I173" s="57"/>
      <c r="J173" s="39"/>
      <c r="K173" s="31">
        <v>0</v>
      </c>
    </row>
    <row r="174" spans="1:44" s="207" customFormat="1" x14ac:dyDescent="0.3">
      <c r="A174" s="82" t="s">
        <v>1641</v>
      </c>
      <c r="B174" s="82" t="s">
        <v>454</v>
      </c>
      <c r="C174" s="182"/>
      <c r="D174" s="182"/>
      <c r="E174" s="120"/>
      <c r="F174" s="57"/>
      <c r="G174" s="120"/>
      <c r="H174" s="57" t="s">
        <v>455</v>
      </c>
      <c r="I174" s="57" t="s">
        <v>456</v>
      </c>
      <c r="J174" s="120"/>
      <c r="K174" s="31">
        <v>0</v>
      </c>
      <c r="L174" s="329"/>
      <c r="M174" s="329"/>
      <c r="N174" s="329"/>
      <c r="O174" s="329"/>
      <c r="P174" s="329"/>
      <c r="Q174" s="329"/>
      <c r="R174" s="329"/>
      <c r="S174" s="329"/>
      <c r="T174" s="329"/>
      <c r="U174" s="329"/>
      <c r="V174" s="329"/>
      <c r="W174" s="329"/>
      <c r="X174" s="329"/>
      <c r="Y174" s="329"/>
      <c r="Z174" s="329"/>
      <c r="AA174" s="329"/>
      <c r="AB174" s="329"/>
      <c r="AC174" s="329"/>
      <c r="AD174" s="329"/>
      <c r="AE174" s="329"/>
      <c r="AF174" s="329"/>
      <c r="AG174" s="329"/>
      <c r="AH174" s="329"/>
      <c r="AI174" s="329"/>
      <c r="AJ174" s="329"/>
      <c r="AK174" s="329"/>
      <c r="AL174" s="329"/>
      <c r="AM174" s="329"/>
      <c r="AN174" s="329"/>
      <c r="AO174" s="329"/>
      <c r="AP174" s="329"/>
      <c r="AQ174" s="329"/>
      <c r="AR174" s="329"/>
    </row>
    <row r="175" spans="1:44" s="207" customFormat="1" x14ac:dyDescent="0.3">
      <c r="A175" s="82" t="s">
        <v>1646</v>
      </c>
      <c r="B175" s="82" t="s">
        <v>457</v>
      </c>
      <c r="C175" s="182"/>
      <c r="D175" s="182"/>
      <c r="E175" s="120"/>
      <c r="F175" s="120"/>
      <c r="G175" s="120"/>
      <c r="H175" s="57" t="s">
        <v>458</v>
      </c>
      <c r="I175" s="57" t="s">
        <v>459</v>
      </c>
      <c r="J175" s="120"/>
      <c r="K175" s="31">
        <v>0</v>
      </c>
      <c r="L175" s="329"/>
      <c r="M175" s="329"/>
      <c r="N175" s="329"/>
      <c r="O175" s="329"/>
      <c r="P175" s="329"/>
      <c r="Q175" s="329"/>
      <c r="R175" s="329"/>
      <c r="S175" s="329"/>
      <c r="T175" s="329"/>
      <c r="U175" s="329"/>
      <c r="V175" s="329"/>
      <c r="W175" s="329"/>
      <c r="X175" s="329"/>
      <c r="Y175" s="329"/>
      <c r="Z175" s="329"/>
      <c r="AA175" s="329"/>
      <c r="AB175" s="329"/>
      <c r="AC175" s="329"/>
      <c r="AD175" s="329"/>
      <c r="AE175" s="329"/>
      <c r="AF175" s="329"/>
      <c r="AG175" s="329"/>
      <c r="AH175" s="329"/>
      <c r="AI175" s="329"/>
      <c r="AJ175" s="329"/>
      <c r="AK175" s="329"/>
      <c r="AL175" s="329"/>
      <c r="AM175" s="329"/>
      <c r="AN175" s="329"/>
      <c r="AO175" s="329"/>
      <c r="AP175" s="329"/>
      <c r="AQ175" s="329"/>
      <c r="AR175" s="329"/>
    </row>
    <row r="176" spans="1:44" s="207" customFormat="1" x14ac:dyDescent="0.3">
      <c r="A176" s="82" t="s">
        <v>1647</v>
      </c>
      <c r="B176" s="82" t="s">
        <v>460</v>
      </c>
      <c r="C176" s="182"/>
      <c r="D176" s="182"/>
      <c r="E176" s="120"/>
      <c r="F176" s="120"/>
      <c r="G176" s="120"/>
      <c r="H176" s="57" t="s">
        <v>461</v>
      </c>
      <c r="I176" s="57" t="s">
        <v>462</v>
      </c>
      <c r="J176" s="120"/>
      <c r="K176" s="31">
        <v>0</v>
      </c>
      <c r="L176" s="329"/>
      <c r="M176" s="329"/>
      <c r="N176" s="329"/>
      <c r="O176" s="329"/>
      <c r="P176" s="329"/>
      <c r="Q176" s="329"/>
      <c r="R176" s="329"/>
      <c r="S176" s="329"/>
      <c r="T176" s="329"/>
      <c r="U176" s="329"/>
      <c r="V176" s="329"/>
      <c r="W176" s="329"/>
      <c r="X176" s="329"/>
      <c r="Y176" s="329"/>
      <c r="Z176" s="329"/>
      <c r="AA176" s="329"/>
      <c r="AB176" s="329"/>
      <c r="AC176" s="329"/>
      <c r="AD176" s="329"/>
      <c r="AE176" s="329"/>
      <c r="AF176" s="329"/>
      <c r="AG176" s="329"/>
      <c r="AH176" s="329"/>
      <c r="AI176" s="329"/>
      <c r="AJ176" s="329"/>
      <c r="AK176" s="329"/>
      <c r="AL176" s="329"/>
      <c r="AM176" s="329"/>
      <c r="AN176" s="329"/>
      <c r="AO176" s="329"/>
      <c r="AP176" s="329"/>
      <c r="AQ176" s="329"/>
      <c r="AR176" s="329"/>
    </row>
    <row r="177" spans="1:44" s="207" customFormat="1" x14ac:dyDescent="0.3">
      <c r="A177" s="82"/>
      <c r="B177" s="82"/>
      <c r="C177" s="182"/>
      <c r="D177" s="182"/>
      <c r="E177" s="120"/>
      <c r="F177" s="120"/>
      <c r="G177" s="120"/>
      <c r="H177" s="57"/>
      <c r="I177" s="57"/>
      <c r="J177" s="120"/>
      <c r="K177" s="31"/>
      <c r="L177" s="329"/>
      <c r="M177" s="329"/>
      <c r="N177" s="329"/>
      <c r="O177" s="329"/>
      <c r="P177" s="329"/>
      <c r="Q177" s="329"/>
      <c r="R177" s="329"/>
      <c r="S177" s="329"/>
      <c r="T177" s="329"/>
      <c r="U177" s="329"/>
      <c r="V177" s="329"/>
      <c r="W177" s="329"/>
      <c r="X177" s="329"/>
      <c r="Y177" s="329"/>
      <c r="Z177" s="329"/>
      <c r="AA177" s="329"/>
      <c r="AB177" s="329"/>
      <c r="AC177" s="329"/>
      <c r="AD177" s="329"/>
      <c r="AE177" s="329"/>
      <c r="AF177" s="329"/>
      <c r="AG177" s="329"/>
      <c r="AH177" s="329"/>
      <c r="AI177" s="329"/>
      <c r="AJ177" s="329"/>
      <c r="AK177" s="329"/>
      <c r="AL177" s="329"/>
      <c r="AM177" s="329"/>
      <c r="AN177" s="329"/>
      <c r="AO177" s="329"/>
      <c r="AP177" s="329"/>
      <c r="AQ177" s="329"/>
      <c r="AR177" s="329"/>
    </row>
    <row r="178" spans="1:44" x14ac:dyDescent="0.3">
      <c r="A178" s="112" t="s">
        <v>235</v>
      </c>
      <c r="B178" s="112"/>
      <c r="C178" s="112"/>
      <c r="D178" s="112"/>
      <c r="E178" s="293"/>
      <c r="F178" s="293"/>
      <c r="G178" s="293"/>
      <c r="H178" s="293"/>
      <c r="I178" s="293"/>
      <c r="J178" s="293"/>
      <c r="K178" s="239"/>
    </row>
    <row r="179" spans="1:44" x14ac:dyDescent="0.3">
      <c r="A179" s="269" t="s">
        <v>463</v>
      </c>
      <c r="B179" s="269" t="s">
        <v>464</v>
      </c>
      <c r="C179" s="49"/>
      <c r="D179" s="49"/>
      <c r="E179" s="281" t="s">
        <v>465</v>
      </c>
      <c r="F179" s="281" t="s">
        <v>466</v>
      </c>
      <c r="G179" s="281" t="s">
        <v>467</v>
      </c>
      <c r="H179" s="281" t="s">
        <v>468</v>
      </c>
      <c r="I179" s="281" t="s">
        <v>469</v>
      </c>
      <c r="J179" s="244"/>
      <c r="K179" s="37">
        <v>2</v>
      </c>
    </row>
    <row r="180" spans="1:44" x14ac:dyDescent="0.3">
      <c r="A180" s="269" t="s">
        <v>98</v>
      </c>
      <c r="B180" s="269" t="s">
        <v>236</v>
      </c>
      <c r="C180" s="49"/>
      <c r="D180" s="49"/>
      <c r="E180" s="281" t="s">
        <v>470</v>
      </c>
      <c r="F180" s="281" t="s">
        <v>471</v>
      </c>
      <c r="G180" s="281" t="s">
        <v>472</v>
      </c>
      <c r="H180" s="281" t="s">
        <v>473</v>
      </c>
      <c r="I180" s="281" t="s">
        <v>474</v>
      </c>
      <c r="J180" s="244"/>
      <c r="K180" s="37">
        <v>6</v>
      </c>
    </row>
    <row r="181" spans="1:44" x14ac:dyDescent="0.3">
      <c r="A181" s="128"/>
      <c r="B181" s="187"/>
      <c r="C181" s="275"/>
      <c r="D181" s="275"/>
      <c r="E181" s="263"/>
      <c r="F181" s="263"/>
      <c r="G181" s="263"/>
      <c r="H181" s="263"/>
      <c r="I181" s="263"/>
      <c r="J181" s="263"/>
      <c r="K181" s="37"/>
    </row>
    <row r="182" spans="1:44" x14ac:dyDescent="0.3">
      <c r="A182" s="112" t="s">
        <v>475</v>
      </c>
      <c r="B182" s="112"/>
      <c r="C182" s="112"/>
      <c r="D182" s="112"/>
      <c r="E182" s="293"/>
      <c r="F182" s="293"/>
      <c r="G182" s="293"/>
      <c r="H182" s="293"/>
      <c r="I182" s="293"/>
      <c r="J182" s="293"/>
      <c r="K182" s="239"/>
    </row>
    <row r="183" spans="1:44" x14ac:dyDescent="0.3">
      <c r="A183" s="269" t="s">
        <v>476</v>
      </c>
      <c r="B183" s="269" t="s">
        <v>477</v>
      </c>
      <c r="C183" s="49"/>
      <c r="D183" s="49"/>
      <c r="E183" s="281" t="s">
        <v>478</v>
      </c>
      <c r="F183" s="281" t="s">
        <v>479</v>
      </c>
      <c r="G183" s="281" t="s">
        <v>480</v>
      </c>
      <c r="H183" s="281" t="s">
        <v>481</v>
      </c>
      <c r="I183" s="281" t="s">
        <v>482</v>
      </c>
      <c r="J183" s="244"/>
      <c r="K183" s="37">
        <v>6</v>
      </c>
    </row>
    <row r="184" spans="1:44" x14ac:dyDescent="0.3">
      <c r="A184" s="269" t="s">
        <v>1636</v>
      </c>
      <c r="B184" s="269" t="s">
        <v>483</v>
      </c>
      <c r="C184" s="49"/>
      <c r="D184" s="49"/>
      <c r="E184" s="281" t="s">
        <v>484</v>
      </c>
      <c r="F184" s="281" t="s">
        <v>485</v>
      </c>
      <c r="G184" s="281"/>
      <c r="H184" s="281" t="s">
        <v>486</v>
      </c>
      <c r="I184" s="281"/>
      <c r="J184" s="244"/>
      <c r="K184" s="37">
        <v>7</v>
      </c>
    </row>
    <row r="185" spans="1:44" x14ac:dyDescent="0.3">
      <c r="A185" s="269" t="s">
        <v>775</v>
      </c>
      <c r="B185" s="269" t="s">
        <v>487</v>
      </c>
      <c r="C185" s="49"/>
      <c r="D185" s="49"/>
      <c r="E185" s="141" t="s">
        <v>492</v>
      </c>
      <c r="F185" s="281" t="s">
        <v>488</v>
      </c>
      <c r="G185" s="281" t="s">
        <v>490</v>
      </c>
      <c r="H185" s="281" t="s">
        <v>489</v>
      </c>
      <c r="I185" s="281" t="s">
        <v>491</v>
      </c>
      <c r="J185" s="244"/>
      <c r="K185" s="37">
        <v>87</v>
      </c>
    </row>
    <row r="186" spans="1:44" x14ac:dyDescent="0.3">
      <c r="A186" s="269"/>
      <c r="B186" s="269"/>
      <c r="C186" s="49"/>
      <c r="D186" s="49"/>
      <c r="E186" s="141"/>
      <c r="F186" s="281"/>
      <c r="G186" s="281"/>
      <c r="H186" s="281"/>
      <c r="I186" s="281"/>
      <c r="J186" s="244"/>
      <c r="K186" s="37"/>
    </row>
    <row r="187" spans="1:44" x14ac:dyDescent="0.3">
      <c r="A187" s="112" t="s">
        <v>493</v>
      </c>
      <c r="B187" s="112"/>
      <c r="C187" s="112"/>
      <c r="D187" s="112"/>
      <c r="E187" s="293"/>
      <c r="F187" s="293"/>
      <c r="G187" s="293"/>
      <c r="H187" s="293"/>
      <c r="I187" s="293"/>
      <c r="J187" s="293"/>
      <c r="K187" s="239"/>
    </row>
    <row r="188" spans="1:44" s="207" customFormat="1" x14ac:dyDescent="0.3">
      <c r="A188" s="84" t="s">
        <v>494</v>
      </c>
      <c r="B188" s="25" t="s">
        <v>495</v>
      </c>
      <c r="C188" s="182"/>
      <c r="D188" s="182"/>
      <c r="E188" s="120"/>
      <c r="F188" s="120"/>
      <c r="G188" s="120"/>
      <c r="H188" s="108" t="s">
        <v>496</v>
      </c>
      <c r="I188" s="120"/>
      <c r="J188" s="120"/>
      <c r="K188" s="31">
        <v>10</v>
      </c>
      <c r="L188" s="329"/>
      <c r="M188" s="329"/>
      <c r="N188" s="329"/>
      <c r="O188" s="329"/>
      <c r="P188" s="329"/>
      <c r="Q188" s="329"/>
      <c r="R188" s="329"/>
      <c r="S188" s="329"/>
      <c r="T188" s="329"/>
      <c r="U188" s="329"/>
      <c r="V188" s="329"/>
      <c r="W188" s="329"/>
      <c r="X188" s="329"/>
      <c r="Y188" s="329"/>
      <c r="Z188" s="329"/>
      <c r="AA188" s="329"/>
      <c r="AB188" s="329"/>
      <c r="AC188" s="329"/>
      <c r="AD188" s="329"/>
      <c r="AE188" s="329"/>
      <c r="AF188" s="329"/>
      <c r="AG188" s="329"/>
      <c r="AH188" s="329"/>
      <c r="AI188" s="329"/>
      <c r="AJ188" s="329"/>
      <c r="AK188" s="329"/>
      <c r="AL188" s="329"/>
      <c r="AM188" s="329"/>
      <c r="AN188" s="329"/>
      <c r="AO188" s="329"/>
      <c r="AP188" s="329"/>
      <c r="AQ188" s="329"/>
      <c r="AR188" s="329"/>
    </row>
    <row r="189" spans="1:44" s="329" customFormat="1" x14ac:dyDescent="0.3">
      <c r="A189" s="303"/>
      <c r="B189" s="168"/>
      <c r="C189" s="159"/>
      <c r="D189" s="159"/>
      <c r="E189" s="54"/>
      <c r="F189" s="54"/>
      <c r="G189" s="54"/>
      <c r="H189" s="54"/>
      <c r="I189" s="78"/>
      <c r="J189" s="54"/>
      <c r="K189" s="37"/>
    </row>
    <row r="190" spans="1:44" x14ac:dyDescent="0.3">
      <c r="A190" s="112" t="s">
        <v>262</v>
      </c>
      <c r="B190" s="112"/>
      <c r="C190" s="112"/>
      <c r="D190" s="112"/>
      <c r="E190" s="293"/>
      <c r="F190" s="293"/>
      <c r="G190" s="293"/>
      <c r="H190" s="293"/>
      <c r="I190" s="293"/>
      <c r="J190" s="293"/>
      <c r="K190" s="239"/>
    </row>
    <row r="191" spans="1:44" x14ac:dyDescent="0.3">
      <c r="A191" s="269" t="s">
        <v>263</v>
      </c>
      <c r="B191" s="269" t="s">
        <v>497</v>
      </c>
      <c r="C191" s="49"/>
      <c r="D191" s="49"/>
      <c r="E191" s="281" t="s">
        <v>498</v>
      </c>
      <c r="F191" s="281" t="s">
        <v>498</v>
      </c>
      <c r="G191" s="281" t="s">
        <v>498</v>
      </c>
      <c r="H191" s="281" t="s">
        <v>498</v>
      </c>
      <c r="I191" s="281" t="s">
        <v>498</v>
      </c>
      <c r="J191" s="244"/>
      <c r="K191" s="71">
        <v>20</v>
      </c>
    </row>
    <row r="192" spans="1:44" x14ac:dyDescent="0.3">
      <c r="A192" s="269" t="s">
        <v>266</v>
      </c>
      <c r="B192" s="269" t="s">
        <v>499</v>
      </c>
      <c r="C192" s="49"/>
      <c r="D192" s="49"/>
      <c r="E192" s="281" t="s">
        <v>500</v>
      </c>
      <c r="F192" s="281" t="s">
        <v>500</v>
      </c>
      <c r="G192" s="281" t="s">
        <v>500</v>
      </c>
      <c r="H192" s="281" t="s">
        <v>500</v>
      </c>
      <c r="I192" s="281" t="s">
        <v>500</v>
      </c>
      <c r="J192" s="244"/>
      <c r="K192" s="71">
        <v>30</v>
      </c>
    </row>
    <row r="193" spans="1:44" x14ac:dyDescent="0.3">
      <c r="A193" s="269" t="s">
        <v>269</v>
      </c>
      <c r="B193" s="269" t="s">
        <v>501</v>
      </c>
      <c r="C193" s="49"/>
      <c r="D193" s="49"/>
      <c r="E193" s="281" t="s">
        <v>502</v>
      </c>
      <c r="F193" s="281" t="s">
        <v>502</v>
      </c>
      <c r="G193" s="281" t="s">
        <v>502</v>
      </c>
      <c r="H193" s="281" t="s">
        <v>502</v>
      </c>
      <c r="I193" s="281" t="s">
        <v>502</v>
      </c>
      <c r="J193" s="244"/>
      <c r="K193" s="71">
        <v>50</v>
      </c>
    </row>
    <row r="194" spans="1:44" x14ac:dyDescent="0.3">
      <c r="A194" s="156" t="s">
        <v>503</v>
      </c>
      <c r="B194" s="156" t="s">
        <v>504</v>
      </c>
      <c r="C194" s="123"/>
      <c r="D194" s="123"/>
      <c r="E194" s="188" t="s">
        <v>505</v>
      </c>
      <c r="F194" s="188" t="s">
        <v>505</v>
      </c>
      <c r="G194" s="188" t="s">
        <v>505</v>
      </c>
      <c r="H194" s="188" t="s">
        <v>505</v>
      </c>
      <c r="I194" s="188" t="s">
        <v>505</v>
      </c>
      <c r="J194" s="75"/>
      <c r="K194" s="44">
        <v>20</v>
      </c>
    </row>
    <row r="195" spans="1:44" x14ac:dyDescent="0.3">
      <c r="A195" s="156" t="s">
        <v>271</v>
      </c>
      <c r="B195" s="156" t="s">
        <v>272</v>
      </c>
      <c r="C195" s="123"/>
      <c r="D195" s="123"/>
      <c r="E195" s="298" t="s">
        <v>273</v>
      </c>
      <c r="F195" s="298" t="s">
        <v>273</v>
      </c>
      <c r="G195" s="298" t="s">
        <v>273</v>
      </c>
      <c r="H195" s="298" t="s">
        <v>273</v>
      </c>
      <c r="I195" s="298" t="s">
        <v>273</v>
      </c>
      <c r="J195" s="85"/>
      <c r="K195" s="44">
        <v>158</v>
      </c>
    </row>
    <row r="196" spans="1:44" x14ac:dyDescent="0.3">
      <c r="A196" s="156" t="s">
        <v>274</v>
      </c>
      <c r="B196" s="156" t="s">
        <v>275</v>
      </c>
      <c r="C196" s="123"/>
      <c r="D196" s="123"/>
      <c r="E196" s="298" t="s">
        <v>506</v>
      </c>
      <c r="F196" s="298" t="s">
        <v>506</v>
      </c>
      <c r="G196" s="298" t="s">
        <v>506</v>
      </c>
      <c r="H196" s="298" t="s">
        <v>506</v>
      </c>
      <c r="I196" s="298" t="s">
        <v>506</v>
      </c>
      <c r="J196" s="85"/>
      <c r="K196" s="44">
        <v>22</v>
      </c>
    </row>
    <row r="197" spans="1:44" s="308" customFormat="1" x14ac:dyDescent="0.3">
      <c r="A197" s="156" t="s">
        <v>278</v>
      </c>
      <c r="B197" s="113" t="s">
        <v>279</v>
      </c>
      <c r="C197" s="123"/>
      <c r="D197" s="123"/>
      <c r="E197" s="298" t="s">
        <v>1552</v>
      </c>
      <c r="F197" s="298" t="s">
        <v>1552</v>
      </c>
      <c r="G197" s="298" t="s">
        <v>1552</v>
      </c>
      <c r="H197" s="298" t="s">
        <v>1552</v>
      </c>
      <c r="I197" s="298" t="s">
        <v>1552</v>
      </c>
      <c r="J197" s="85"/>
      <c r="K197" s="44">
        <v>52</v>
      </c>
      <c r="L197" s="213"/>
      <c r="M197" s="213"/>
      <c r="N197" s="213"/>
      <c r="O197" s="213"/>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c r="AR197" s="213"/>
    </row>
    <row r="198" spans="1:44" s="308" customFormat="1" x14ac:dyDescent="0.3">
      <c r="A198" s="303"/>
      <c r="B198" s="168"/>
      <c r="C198" s="159"/>
      <c r="D198" s="159"/>
      <c r="E198" s="54"/>
      <c r="F198" s="54"/>
      <c r="G198" s="54"/>
      <c r="H198" s="54"/>
      <c r="I198" s="54"/>
      <c r="J198" s="54"/>
      <c r="K198" s="234"/>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c r="AR198" s="213"/>
    </row>
    <row r="199" spans="1:44" s="308" customFormat="1" x14ac:dyDescent="0.3">
      <c r="A199" s="48" t="s">
        <v>507</v>
      </c>
      <c r="B199" s="48"/>
      <c r="C199" s="48"/>
      <c r="D199" s="48"/>
      <c r="E199" s="48"/>
      <c r="F199" s="48"/>
      <c r="G199" s="48"/>
      <c r="H199" s="48"/>
      <c r="I199" s="48"/>
      <c r="J199" s="48"/>
      <c r="K199" s="241"/>
      <c r="L199" s="213"/>
      <c r="M199" s="213"/>
      <c r="N199" s="213"/>
      <c r="O199" s="213"/>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c r="AR199" s="213"/>
    </row>
    <row r="200" spans="1:44" s="16" customFormat="1" ht="82.8" x14ac:dyDescent="0.3">
      <c r="A200" s="193" t="s">
        <v>125</v>
      </c>
      <c r="B200" s="193" t="s">
        <v>126</v>
      </c>
      <c r="C200" s="193" t="s">
        <v>127</v>
      </c>
      <c r="D200" s="193" t="s">
        <v>128</v>
      </c>
      <c r="E200" s="193"/>
      <c r="F200" s="193"/>
      <c r="G200" s="193"/>
      <c r="H200" s="193"/>
      <c r="I200" s="193"/>
      <c r="J200" s="193"/>
      <c r="K200" s="174" t="s">
        <v>130</v>
      </c>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row>
    <row r="201" spans="1:44" x14ac:dyDescent="0.3">
      <c r="A201" s="173"/>
      <c r="B201" s="187"/>
      <c r="C201" s="275"/>
      <c r="D201" s="275"/>
      <c r="E201" s="263"/>
      <c r="F201" s="263"/>
      <c r="G201" s="263"/>
      <c r="H201" s="263"/>
      <c r="I201" s="263"/>
      <c r="J201" s="263"/>
      <c r="K201" s="234"/>
    </row>
    <row r="202" spans="1:44" ht="151.80000000000001" x14ac:dyDescent="0.3">
      <c r="A202" s="128" t="s">
        <v>1617</v>
      </c>
      <c r="B202" s="187" t="s">
        <v>508</v>
      </c>
      <c r="C202" s="275"/>
      <c r="D202" s="275"/>
      <c r="E202" s="263"/>
      <c r="F202" s="263"/>
      <c r="G202" s="263"/>
      <c r="H202" s="263"/>
      <c r="I202" s="263"/>
      <c r="J202" s="263"/>
      <c r="K202" s="143">
        <v>562</v>
      </c>
    </row>
    <row r="203" spans="1:44" x14ac:dyDescent="0.3">
      <c r="A203" s="128"/>
      <c r="B203" s="187"/>
      <c r="C203" s="275"/>
      <c r="D203" s="275"/>
      <c r="E203" s="263"/>
      <c r="F203" s="263"/>
      <c r="G203" s="263"/>
      <c r="H203" s="263"/>
      <c r="I203" s="263"/>
      <c r="J203" s="263"/>
      <c r="K203" s="234"/>
    </row>
    <row r="204" spans="1:44" ht="151.80000000000001" x14ac:dyDescent="0.3">
      <c r="A204" s="269" t="s">
        <v>1618</v>
      </c>
      <c r="B204" s="187" t="s">
        <v>509</v>
      </c>
      <c r="C204" s="275"/>
      <c r="D204" s="275"/>
      <c r="E204" s="263"/>
      <c r="F204" s="263"/>
      <c r="G204" s="263"/>
      <c r="H204" s="263"/>
      <c r="I204" s="263"/>
      <c r="J204" s="263"/>
      <c r="K204" s="143">
        <v>544</v>
      </c>
    </row>
    <row r="205" spans="1:44" s="329" customFormat="1" x14ac:dyDescent="0.3">
      <c r="A205" s="128"/>
      <c r="B205" s="187"/>
      <c r="C205" s="275"/>
      <c r="D205" s="275"/>
      <c r="E205" s="263"/>
      <c r="F205" s="263"/>
      <c r="G205" s="263"/>
      <c r="H205" s="263"/>
      <c r="I205" s="263"/>
      <c r="J205" s="263"/>
      <c r="K205" s="236"/>
    </row>
    <row r="206" spans="1:44" ht="151.80000000000001" x14ac:dyDescent="0.3">
      <c r="A206" s="128" t="s">
        <v>1619</v>
      </c>
      <c r="B206" s="187" t="s">
        <v>510</v>
      </c>
      <c r="C206" s="275"/>
      <c r="D206" s="275"/>
      <c r="E206" s="263"/>
      <c r="F206" s="263"/>
      <c r="G206" s="263"/>
      <c r="H206" s="263"/>
      <c r="I206" s="263"/>
      <c r="J206" s="263"/>
      <c r="K206" s="143">
        <v>562</v>
      </c>
    </row>
    <row r="207" spans="1:44" x14ac:dyDescent="0.3">
      <c r="A207" s="128"/>
      <c r="B207" s="187"/>
      <c r="C207" s="275"/>
      <c r="D207" s="275"/>
      <c r="E207" s="263"/>
      <c r="F207" s="263"/>
      <c r="G207" s="263"/>
      <c r="H207" s="263"/>
      <c r="I207" s="263"/>
      <c r="J207" s="263"/>
      <c r="K207" s="234"/>
    </row>
    <row r="208" spans="1:44" ht="151.80000000000001" x14ac:dyDescent="0.3">
      <c r="A208" s="128" t="s">
        <v>1620</v>
      </c>
      <c r="B208" s="187" t="s">
        <v>511</v>
      </c>
      <c r="C208" s="275"/>
      <c r="D208" s="275"/>
      <c r="E208" s="263"/>
      <c r="F208" s="263"/>
      <c r="G208" s="263"/>
      <c r="H208" s="263"/>
      <c r="I208" s="263"/>
      <c r="J208" s="263"/>
      <c r="K208" s="143">
        <v>544</v>
      </c>
    </row>
    <row r="209" spans="1:44" s="329" customFormat="1" x14ac:dyDescent="0.3">
      <c r="A209" s="128"/>
      <c r="B209" s="187"/>
      <c r="C209" s="275"/>
      <c r="D209" s="275"/>
      <c r="E209" s="263"/>
      <c r="F209" s="263"/>
      <c r="G209" s="263"/>
      <c r="H209" s="263"/>
      <c r="I209" s="263"/>
      <c r="J209" s="263"/>
      <c r="K209" s="236"/>
    </row>
    <row r="210" spans="1:44" s="329" customFormat="1" ht="151.80000000000001" x14ac:dyDescent="0.3">
      <c r="A210" s="128" t="s">
        <v>1621</v>
      </c>
      <c r="B210" s="187" t="s">
        <v>512</v>
      </c>
      <c r="C210" s="275"/>
      <c r="D210" s="275"/>
      <c r="E210" s="263"/>
      <c r="F210" s="263"/>
      <c r="G210" s="263"/>
      <c r="H210" s="263"/>
      <c r="I210" s="263"/>
      <c r="J210" s="263"/>
      <c r="K210" s="143">
        <v>570</v>
      </c>
    </row>
    <row r="211" spans="1:44" x14ac:dyDescent="0.3">
      <c r="A211" s="128"/>
      <c r="B211" s="187"/>
      <c r="C211" s="275"/>
      <c r="D211" s="275"/>
      <c r="E211" s="263"/>
      <c r="F211" s="263"/>
      <c r="G211" s="263"/>
      <c r="H211" s="263"/>
      <c r="I211" s="263"/>
      <c r="J211" s="263"/>
      <c r="K211" s="234"/>
    </row>
    <row r="212" spans="1:44" ht="151.80000000000001" x14ac:dyDescent="0.3">
      <c r="A212" s="269" t="s">
        <v>1622</v>
      </c>
      <c r="B212" s="187" t="s">
        <v>513</v>
      </c>
      <c r="C212" s="275"/>
      <c r="D212" s="275"/>
      <c r="E212" s="263"/>
      <c r="F212" s="263"/>
      <c r="G212" s="263"/>
      <c r="H212" s="263"/>
      <c r="I212" s="263"/>
      <c r="J212" s="263"/>
      <c r="K212" s="143">
        <v>550</v>
      </c>
    </row>
    <row r="213" spans="1:44" s="329" customFormat="1" x14ac:dyDescent="0.3">
      <c r="A213" s="303"/>
      <c r="B213" s="168"/>
      <c r="C213" s="159"/>
      <c r="D213" s="159"/>
      <c r="E213" s="54"/>
      <c r="F213" s="54"/>
      <c r="G213" s="54"/>
      <c r="H213" s="54"/>
      <c r="I213" s="54"/>
      <c r="J213" s="54"/>
      <c r="K213" s="236"/>
    </row>
    <row r="214" spans="1:44" s="16" customFormat="1" ht="27.6" x14ac:dyDescent="0.3">
      <c r="A214" s="186" t="s">
        <v>514</v>
      </c>
      <c r="B214" s="193" t="s">
        <v>287</v>
      </c>
      <c r="C214" s="193" t="s">
        <v>127</v>
      </c>
      <c r="D214" s="193" t="s">
        <v>128</v>
      </c>
      <c r="E214" s="193" t="s">
        <v>515</v>
      </c>
      <c r="F214" s="193" t="s">
        <v>516</v>
      </c>
      <c r="G214" s="193" t="s">
        <v>517</v>
      </c>
      <c r="H214" s="193" t="s">
        <v>518</v>
      </c>
      <c r="I214" s="193" t="s">
        <v>519</v>
      </c>
      <c r="J214" s="193" t="s">
        <v>520</v>
      </c>
      <c r="K214" s="18"/>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row>
    <row r="215" spans="1:44" x14ac:dyDescent="0.3">
      <c r="A215" s="112" t="s">
        <v>521</v>
      </c>
      <c r="B215" s="124"/>
      <c r="C215" s="124"/>
      <c r="D215" s="124"/>
      <c r="E215" s="289"/>
      <c r="F215" s="289"/>
      <c r="G215" s="289"/>
      <c r="H215" s="289"/>
      <c r="I215" s="289"/>
      <c r="J215" s="293"/>
      <c r="K215" s="154"/>
    </row>
    <row r="216" spans="1:44" s="207" customFormat="1" ht="41.4" x14ac:dyDescent="0.3">
      <c r="A216" s="57" t="s">
        <v>522</v>
      </c>
      <c r="B216" s="57" t="s">
        <v>1570</v>
      </c>
      <c r="C216" s="160"/>
      <c r="D216" s="160" t="s">
        <v>294</v>
      </c>
      <c r="E216" s="57" t="s">
        <v>523</v>
      </c>
      <c r="F216" s="57"/>
      <c r="G216" s="57" t="s">
        <v>524</v>
      </c>
      <c r="H216" s="57"/>
      <c r="I216" s="57" t="s">
        <v>525</v>
      </c>
      <c r="J216" s="39"/>
      <c r="K216" s="31">
        <v>0</v>
      </c>
      <c r="L216" s="329"/>
      <c r="M216" s="329"/>
      <c r="N216" s="329"/>
      <c r="O216" s="329"/>
      <c r="P216" s="329"/>
      <c r="Q216" s="329"/>
      <c r="R216" s="329"/>
      <c r="S216" s="329"/>
      <c r="T216" s="329"/>
      <c r="U216" s="329"/>
      <c r="V216" s="329"/>
      <c r="W216" s="329"/>
      <c r="X216" s="329"/>
      <c r="Y216" s="329"/>
      <c r="Z216" s="329"/>
      <c r="AA216" s="329"/>
      <c r="AB216" s="329"/>
      <c r="AC216" s="329"/>
      <c r="AD216" s="329"/>
      <c r="AE216" s="329"/>
      <c r="AF216" s="329"/>
      <c r="AG216" s="329"/>
      <c r="AH216" s="329"/>
      <c r="AI216" s="329"/>
      <c r="AJ216" s="329"/>
      <c r="AK216" s="329"/>
      <c r="AL216" s="329"/>
      <c r="AM216" s="329"/>
      <c r="AN216" s="329"/>
      <c r="AO216" s="329"/>
      <c r="AP216" s="329"/>
      <c r="AQ216" s="329"/>
      <c r="AR216" s="329"/>
    </row>
    <row r="217" spans="1:44" ht="41.4" x14ac:dyDescent="0.3">
      <c r="A217" s="82" t="s">
        <v>1638</v>
      </c>
      <c r="B217" s="57" t="s">
        <v>1521</v>
      </c>
      <c r="C217" s="160" t="s">
        <v>294</v>
      </c>
      <c r="D217" s="160" t="s">
        <v>294</v>
      </c>
      <c r="E217" s="57" t="s">
        <v>526</v>
      </c>
      <c r="F217" s="57"/>
      <c r="G217" s="57" t="s">
        <v>527</v>
      </c>
      <c r="H217" s="57"/>
      <c r="I217" s="57" t="s">
        <v>528</v>
      </c>
      <c r="J217" s="39"/>
      <c r="K217" s="31">
        <v>111</v>
      </c>
    </row>
    <row r="218" spans="1:44" s="207" customFormat="1" ht="41.4" x14ac:dyDescent="0.3">
      <c r="A218" s="82" t="s">
        <v>1479</v>
      </c>
      <c r="B218" s="57" t="s">
        <v>1571</v>
      </c>
      <c r="C218" s="160" t="s">
        <v>294</v>
      </c>
      <c r="D218" s="160" t="s">
        <v>294</v>
      </c>
      <c r="E218" s="57" t="s">
        <v>529</v>
      </c>
      <c r="F218" s="57"/>
      <c r="G218" s="57" t="s">
        <v>530</v>
      </c>
      <c r="H218" s="57"/>
      <c r="I218" s="57" t="s">
        <v>531</v>
      </c>
      <c r="J218" s="39"/>
      <c r="K218" s="31">
        <v>111</v>
      </c>
      <c r="L218" s="329"/>
      <c r="M218" s="329"/>
      <c r="N218" s="329"/>
      <c r="O218" s="329"/>
      <c r="P218" s="329"/>
      <c r="Q218" s="329"/>
      <c r="R218" s="329"/>
      <c r="S218" s="329"/>
      <c r="T218" s="329"/>
      <c r="U218" s="329"/>
      <c r="V218" s="329"/>
      <c r="W218" s="329"/>
      <c r="X218" s="329"/>
      <c r="Y218" s="329"/>
      <c r="Z218" s="329"/>
      <c r="AA218" s="329"/>
      <c r="AB218" s="329"/>
      <c r="AC218" s="329"/>
      <c r="AD218" s="329"/>
      <c r="AE218" s="329"/>
      <c r="AF218" s="329"/>
      <c r="AG218" s="329"/>
      <c r="AH218" s="329"/>
      <c r="AI218" s="329"/>
      <c r="AJ218" s="329"/>
      <c r="AK218" s="329"/>
      <c r="AL218" s="329"/>
      <c r="AM218" s="329"/>
      <c r="AN218" s="329"/>
      <c r="AO218" s="329"/>
      <c r="AP218" s="329"/>
      <c r="AQ218" s="329"/>
      <c r="AR218" s="329"/>
    </row>
    <row r="219" spans="1:44" ht="41.4" x14ac:dyDescent="0.3">
      <c r="A219" s="82" t="s">
        <v>532</v>
      </c>
      <c r="B219" s="57" t="s">
        <v>1522</v>
      </c>
      <c r="C219" s="160" t="s">
        <v>294</v>
      </c>
      <c r="D219" s="160" t="s">
        <v>294</v>
      </c>
      <c r="E219" s="57" t="s">
        <v>533</v>
      </c>
      <c r="F219" s="57"/>
      <c r="G219" s="57" t="s">
        <v>534</v>
      </c>
      <c r="H219" s="57"/>
      <c r="I219" s="57" t="s">
        <v>535</v>
      </c>
      <c r="J219" s="39"/>
      <c r="K219" s="31">
        <v>122</v>
      </c>
    </row>
    <row r="220" spans="1:44" s="207" customFormat="1" ht="27.6" x14ac:dyDescent="0.3">
      <c r="A220" s="82" t="s">
        <v>536</v>
      </c>
      <c r="B220" s="57" t="s">
        <v>1572</v>
      </c>
      <c r="C220" s="160" t="s">
        <v>294</v>
      </c>
      <c r="D220" s="160" t="s">
        <v>294</v>
      </c>
      <c r="E220" s="57"/>
      <c r="F220" s="57"/>
      <c r="G220" s="57" t="s">
        <v>537</v>
      </c>
      <c r="H220" s="57"/>
      <c r="I220" s="57" t="s">
        <v>538</v>
      </c>
      <c r="J220" s="39"/>
      <c r="K220" s="31">
        <v>122</v>
      </c>
      <c r="L220" s="329"/>
      <c r="M220" s="329"/>
      <c r="N220" s="329"/>
      <c r="O220" s="329"/>
      <c r="P220" s="329"/>
      <c r="Q220" s="329"/>
      <c r="R220" s="329"/>
      <c r="S220" s="329"/>
      <c r="T220" s="329"/>
      <c r="U220" s="329"/>
      <c r="V220" s="329"/>
      <c r="W220" s="329"/>
      <c r="X220" s="329"/>
      <c r="Y220" s="329"/>
      <c r="Z220" s="329"/>
      <c r="AA220" s="329"/>
      <c r="AB220" s="329"/>
      <c r="AC220" s="329"/>
      <c r="AD220" s="329"/>
      <c r="AE220" s="329"/>
      <c r="AF220" s="329"/>
      <c r="AG220" s="329"/>
      <c r="AH220" s="329"/>
      <c r="AI220" s="329"/>
      <c r="AJ220" s="329"/>
      <c r="AK220" s="329"/>
      <c r="AL220" s="329"/>
      <c r="AM220" s="329"/>
      <c r="AN220" s="329"/>
      <c r="AO220" s="329"/>
      <c r="AP220" s="329"/>
      <c r="AQ220" s="329"/>
      <c r="AR220" s="329"/>
    </row>
    <row r="221" spans="1:44" ht="27.6" x14ac:dyDescent="0.3">
      <c r="A221" s="82" t="s">
        <v>539</v>
      </c>
      <c r="B221" s="57" t="s">
        <v>1569</v>
      </c>
      <c r="C221" s="160" t="s">
        <v>294</v>
      </c>
      <c r="D221" s="160" t="s">
        <v>294</v>
      </c>
      <c r="E221" s="57"/>
      <c r="F221" s="57"/>
      <c r="G221" s="57" t="s">
        <v>540</v>
      </c>
      <c r="H221" s="57"/>
      <c r="I221" s="57" t="s">
        <v>541</v>
      </c>
      <c r="J221" s="39"/>
      <c r="K221" s="31">
        <v>260</v>
      </c>
    </row>
    <row r="222" spans="1:44" s="207" customFormat="1" x14ac:dyDescent="0.3">
      <c r="A222" s="82" t="s">
        <v>1523</v>
      </c>
      <c r="B222" s="57" t="s">
        <v>542</v>
      </c>
      <c r="C222" s="160"/>
      <c r="D222" s="160" t="s">
        <v>294</v>
      </c>
      <c r="E222" s="57" t="s">
        <v>543</v>
      </c>
      <c r="F222" s="57"/>
      <c r="G222" s="57"/>
      <c r="H222" s="57"/>
      <c r="I222" s="57"/>
      <c r="J222" s="39"/>
      <c r="K222" s="31">
        <v>82</v>
      </c>
      <c r="L222" s="329"/>
      <c r="M222" s="329"/>
      <c r="N222" s="329"/>
      <c r="O222" s="329"/>
      <c r="P222" s="329"/>
      <c r="Q222" s="329"/>
      <c r="R222" s="329"/>
      <c r="S222" s="329"/>
      <c r="T222" s="329"/>
      <c r="U222" s="329"/>
      <c r="V222" s="329"/>
      <c r="W222" s="329"/>
      <c r="X222" s="329"/>
      <c r="Y222" s="329"/>
      <c r="Z222" s="329"/>
      <c r="AA222" s="329"/>
      <c r="AB222" s="329"/>
      <c r="AC222" s="329"/>
      <c r="AD222" s="329"/>
      <c r="AE222" s="329"/>
      <c r="AF222" s="329"/>
      <c r="AG222" s="329"/>
      <c r="AH222" s="329"/>
      <c r="AI222" s="329"/>
      <c r="AJ222" s="329"/>
      <c r="AK222" s="329"/>
      <c r="AL222" s="329"/>
      <c r="AM222" s="329"/>
      <c r="AN222" s="329"/>
      <c r="AO222" s="329"/>
      <c r="AP222" s="329"/>
      <c r="AQ222" s="329"/>
      <c r="AR222" s="329"/>
    </row>
    <row r="223" spans="1:44" x14ac:dyDescent="0.3">
      <c r="A223" s="82" t="s">
        <v>1524</v>
      </c>
      <c r="B223" s="57" t="s">
        <v>544</v>
      </c>
      <c r="C223" s="160" t="s">
        <v>294</v>
      </c>
      <c r="D223" s="160" t="s">
        <v>294</v>
      </c>
      <c r="E223" s="57" t="s">
        <v>545</v>
      </c>
      <c r="F223" s="57"/>
      <c r="G223" s="57"/>
      <c r="H223" s="57"/>
      <c r="I223" s="57"/>
      <c r="J223" s="39"/>
      <c r="K223" s="31">
        <v>193</v>
      </c>
    </row>
    <row r="224" spans="1:44" x14ac:dyDescent="0.3">
      <c r="A224" s="269" t="s">
        <v>1525</v>
      </c>
      <c r="B224" s="281" t="s">
        <v>546</v>
      </c>
      <c r="C224" s="49" t="s">
        <v>294</v>
      </c>
      <c r="D224" s="49" t="s">
        <v>294</v>
      </c>
      <c r="E224" s="281" t="s">
        <v>547</v>
      </c>
      <c r="F224" s="281"/>
      <c r="G224" s="281"/>
      <c r="H224" s="281"/>
      <c r="I224" s="281"/>
      <c r="J224" s="244"/>
      <c r="K224" s="37">
        <v>204</v>
      </c>
    </row>
    <row r="225" spans="1:44" x14ac:dyDescent="0.3">
      <c r="A225" s="303"/>
      <c r="B225" s="168"/>
      <c r="C225" s="159"/>
      <c r="D225" s="159"/>
      <c r="E225" s="54"/>
      <c r="F225" s="54"/>
      <c r="G225" s="54"/>
      <c r="H225" s="54"/>
      <c r="I225" s="54"/>
      <c r="J225" s="54"/>
      <c r="K225" s="37"/>
    </row>
    <row r="226" spans="1:44" x14ac:dyDescent="0.3">
      <c r="A226" s="112" t="s">
        <v>548</v>
      </c>
      <c r="B226" s="124"/>
      <c r="C226" s="124"/>
      <c r="D226" s="124"/>
      <c r="E226" s="289"/>
      <c r="F226" s="289"/>
      <c r="G226" s="289"/>
      <c r="H226" s="289"/>
      <c r="I226" s="289"/>
      <c r="J226" s="293"/>
      <c r="K226" s="148"/>
    </row>
    <row r="227" spans="1:44" s="207" customFormat="1" x14ac:dyDescent="0.3">
      <c r="A227" s="82" t="s">
        <v>1526</v>
      </c>
      <c r="B227" s="82" t="s">
        <v>554</v>
      </c>
      <c r="C227" s="160"/>
      <c r="D227" s="160" t="s">
        <v>294</v>
      </c>
      <c r="E227" s="57"/>
      <c r="F227" s="57" t="s">
        <v>555</v>
      </c>
      <c r="G227" s="57"/>
      <c r="H227" s="57"/>
      <c r="I227" s="57"/>
      <c r="J227" s="39"/>
      <c r="K227" s="31">
        <v>82</v>
      </c>
      <c r="L227" s="329"/>
      <c r="M227" s="329"/>
      <c r="N227" s="329"/>
      <c r="O227" s="329"/>
      <c r="P227" s="329"/>
      <c r="Q227" s="329"/>
      <c r="R227" s="329"/>
      <c r="S227" s="329"/>
      <c r="T227" s="329"/>
      <c r="U227" s="329"/>
      <c r="V227" s="329"/>
      <c r="W227" s="329"/>
      <c r="X227" s="329"/>
      <c r="Y227" s="329"/>
      <c r="Z227" s="329"/>
      <c r="AA227" s="329"/>
      <c r="AB227" s="329"/>
      <c r="AC227" s="329"/>
      <c r="AD227" s="329"/>
      <c r="AE227" s="329"/>
      <c r="AF227" s="329"/>
      <c r="AG227" s="329"/>
      <c r="AH227" s="329"/>
      <c r="AI227" s="329"/>
      <c r="AJ227" s="329"/>
      <c r="AK227" s="329"/>
      <c r="AL227" s="329"/>
      <c r="AM227" s="329"/>
      <c r="AN227" s="329"/>
      <c r="AO227" s="329"/>
      <c r="AP227" s="329"/>
      <c r="AQ227" s="329"/>
      <c r="AR227" s="329"/>
    </row>
    <row r="228" spans="1:44" ht="41.4" x14ac:dyDescent="0.3">
      <c r="A228" s="269" t="s">
        <v>1527</v>
      </c>
      <c r="B228" s="269" t="s">
        <v>1528</v>
      </c>
      <c r="C228" s="49"/>
      <c r="D228" s="49" t="s">
        <v>294</v>
      </c>
      <c r="E228" s="281"/>
      <c r="F228" s="281" t="s">
        <v>549</v>
      </c>
      <c r="G228" s="281"/>
      <c r="H228" s="281" t="s">
        <v>550</v>
      </c>
      <c r="I228" s="281"/>
      <c r="J228" s="281" t="s">
        <v>551</v>
      </c>
      <c r="K228" s="37">
        <v>97</v>
      </c>
    </row>
    <row r="229" spans="1:44" x14ac:dyDescent="0.3">
      <c r="A229" s="269" t="s">
        <v>1529</v>
      </c>
      <c r="B229" s="269" t="s">
        <v>552</v>
      </c>
      <c r="C229" s="49"/>
      <c r="D229" s="49" t="s">
        <v>294</v>
      </c>
      <c r="E229" s="281"/>
      <c r="F229" s="281" t="s">
        <v>553</v>
      </c>
      <c r="G229" s="281"/>
      <c r="H229" s="281"/>
      <c r="I229" s="281"/>
      <c r="J229" s="281"/>
      <c r="K229" s="37">
        <v>179</v>
      </c>
    </row>
    <row r="230" spans="1:44" x14ac:dyDescent="0.3">
      <c r="A230" s="269"/>
      <c r="B230" s="269"/>
      <c r="C230" s="49"/>
      <c r="D230" s="49"/>
      <c r="E230" s="281"/>
      <c r="F230" s="281"/>
      <c r="G230" s="281"/>
      <c r="H230" s="281"/>
      <c r="I230" s="281"/>
      <c r="J230" s="281"/>
      <c r="K230" s="37"/>
    </row>
    <row r="231" spans="1:44" x14ac:dyDescent="0.3">
      <c r="A231" s="112" t="s">
        <v>340</v>
      </c>
      <c r="B231" s="124"/>
      <c r="C231" s="124"/>
      <c r="D231" s="124"/>
      <c r="E231" s="289"/>
      <c r="F231" s="289"/>
      <c r="G231" s="289"/>
      <c r="H231" s="289"/>
      <c r="I231" s="289"/>
      <c r="J231" s="289"/>
      <c r="K231" s="148"/>
    </row>
    <row r="232" spans="1:44" x14ac:dyDescent="0.3">
      <c r="A232" s="269" t="s">
        <v>556</v>
      </c>
      <c r="B232" s="269" t="s">
        <v>557</v>
      </c>
      <c r="C232" s="49"/>
      <c r="D232" s="49"/>
      <c r="E232" s="281"/>
      <c r="F232" s="281"/>
      <c r="G232" s="281" t="s">
        <v>558</v>
      </c>
      <c r="H232" s="281" t="s">
        <v>559</v>
      </c>
      <c r="I232" s="281" t="s">
        <v>560</v>
      </c>
      <c r="J232" s="281" t="s">
        <v>561</v>
      </c>
      <c r="K232" s="37">
        <v>3</v>
      </c>
    </row>
    <row r="233" spans="1:44" x14ac:dyDescent="0.3">
      <c r="A233" s="269" t="s">
        <v>562</v>
      </c>
      <c r="B233" s="269" t="s">
        <v>341</v>
      </c>
      <c r="C233" s="49"/>
      <c r="D233" s="49"/>
      <c r="E233" s="281"/>
      <c r="F233" s="281"/>
      <c r="G233" s="281" t="s">
        <v>563</v>
      </c>
      <c r="H233" s="281" t="s">
        <v>564</v>
      </c>
      <c r="I233" s="281" t="s">
        <v>565</v>
      </c>
      <c r="J233" s="281" t="s">
        <v>566</v>
      </c>
      <c r="K233" s="37">
        <v>82</v>
      </c>
    </row>
    <row r="234" spans="1:44" s="330" customFormat="1" x14ac:dyDescent="0.3">
      <c r="A234" s="82" t="s">
        <v>1539</v>
      </c>
      <c r="B234" s="82" t="s">
        <v>1533</v>
      </c>
      <c r="C234" s="160"/>
      <c r="D234" s="160"/>
      <c r="E234" s="57"/>
      <c r="F234" s="57"/>
      <c r="G234" s="57" t="s">
        <v>1540</v>
      </c>
      <c r="H234" s="57" t="s">
        <v>1541</v>
      </c>
      <c r="I234" s="57" t="s">
        <v>1542</v>
      </c>
      <c r="J234" s="57" t="s">
        <v>1543</v>
      </c>
      <c r="K234" s="31">
        <v>82</v>
      </c>
      <c r="L234" s="221"/>
      <c r="M234" s="221"/>
      <c r="N234" s="221"/>
      <c r="O234" s="221"/>
      <c r="P234" s="221"/>
      <c r="Q234" s="221"/>
      <c r="R234" s="221"/>
      <c r="S234" s="221"/>
      <c r="T234" s="221"/>
      <c r="U234" s="221"/>
      <c r="V234" s="221"/>
      <c r="W234" s="221"/>
      <c r="X234" s="221"/>
      <c r="Y234" s="221"/>
      <c r="Z234" s="221"/>
      <c r="AA234" s="221"/>
      <c r="AB234" s="221"/>
      <c r="AC234" s="221"/>
      <c r="AD234" s="221"/>
      <c r="AE234" s="221"/>
      <c r="AF234" s="221"/>
      <c r="AG234" s="221"/>
      <c r="AH234" s="221"/>
      <c r="AI234" s="221"/>
      <c r="AJ234" s="221"/>
      <c r="AK234" s="221"/>
      <c r="AL234" s="221"/>
      <c r="AM234" s="221"/>
      <c r="AN234" s="221"/>
      <c r="AO234" s="221"/>
      <c r="AP234" s="221"/>
      <c r="AQ234" s="221"/>
      <c r="AR234" s="221"/>
    </row>
    <row r="235" spans="1:44" x14ac:dyDescent="0.3">
      <c r="A235" s="269" t="s">
        <v>567</v>
      </c>
      <c r="B235" s="269" t="s">
        <v>347</v>
      </c>
      <c r="C235" s="49"/>
      <c r="D235" s="49"/>
      <c r="E235" s="281"/>
      <c r="F235" s="281"/>
      <c r="G235" s="281" t="s">
        <v>568</v>
      </c>
      <c r="H235" s="281" t="s">
        <v>569</v>
      </c>
      <c r="I235" s="281" t="s">
        <v>570</v>
      </c>
      <c r="J235" s="281" t="s">
        <v>571</v>
      </c>
      <c r="K235" s="37">
        <v>183</v>
      </c>
    </row>
    <row r="236" spans="1:44" x14ac:dyDescent="0.3">
      <c r="A236" s="303"/>
      <c r="B236" s="168"/>
      <c r="C236" s="159"/>
      <c r="D236" s="159"/>
      <c r="E236" s="54"/>
      <c r="F236" s="54"/>
      <c r="G236" s="54"/>
      <c r="H236" s="54"/>
      <c r="I236" s="54"/>
      <c r="J236" s="54"/>
      <c r="K236" s="37"/>
    </row>
    <row r="237" spans="1:44" x14ac:dyDescent="0.3">
      <c r="A237" s="112" t="s">
        <v>353</v>
      </c>
      <c r="B237" s="124"/>
      <c r="C237" s="124"/>
      <c r="D237" s="124"/>
      <c r="E237" s="289"/>
      <c r="F237" s="289"/>
      <c r="G237" s="289"/>
      <c r="H237" s="289"/>
      <c r="I237" s="289"/>
      <c r="J237" s="293"/>
      <c r="K237" s="148"/>
    </row>
    <row r="238" spans="1:44" x14ac:dyDescent="0.3">
      <c r="A238" s="82" t="s">
        <v>1694</v>
      </c>
      <c r="B238" s="82" t="s">
        <v>356</v>
      </c>
      <c r="C238" s="160"/>
      <c r="D238" s="160"/>
      <c r="E238" s="57" t="s">
        <v>572</v>
      </c>
      <c r="F238" s="57" t="s">
        <v>573</v>
      </c>
      <c r="G238" s="57"/>
      <c r="H238" s="57"/>
      <c r="I238" s="57"/>
      <c r="J238" s="39"/>
      <c r="K238" s="31">
        <v>0</v>
      </c>
    </row>
    <row r="239" spans="1:44" x14ac:dyDescent="0.3">
      <c r="A239" s="290" t="s">
        <v>1695</v>
      </c>
      <c r="B239" s="290" t="s">
        <v>576</v>
      </c>
      <c r="C239" s="247"/>
      <c r="D239" s="247"/>
      <c r="E239" s="251" t="s">
        <v>577</v>
      </c>
      <c r="F239" s="251" t="s">
        <v>578</v>
      </c>
      <c r="G239" s="372"/>
      <c r="H239" s="372"/>
      <c r="I239" s="372"/>
      <c r="J239" s="73"/>
      <c r="K239" s="31">
        <v>0</v>
      </c>
    </row>
    <row r="240" spans="1:44" x14ac:dyDescent="0.3">
      <c r="A240" s="269" t="s">
        <v>1696</v>
      </c>
      <c r="B240" s="269" t="s">
        <v>1564</v>
      </c>
      <c r="C240" s="49"/>
      <c r="D240" s="49"/>
      <c r="E240" s="281" t="s">
        <v>579</v>
      </c>
      <c r="F240" s="281" t="s">
        <v>580</v>
      </c>
      <c r="G240" s="281"/>
      <c r="H240" s="281"/>
      <c r="I240" s="281"/>
      <c r="J240" s="244"/>
      <c r="K240" s="37">
        <v>8</v>
      </c>
    </row>
    <row r="241" spans="1:11" s="216" customFormat="1" x14ac:dyDescent="0.3">
      <c r="A241" s="82" t="s">
        <v>1697</v>
      </c>
      <c r="B241" s="82" t="s">
        <v>584</v>
      </c>
      <c r="C241" s="160"/>
      <c r="D241" s="160"/>
      <c r="E241" s="57" t="s">
        <v>581</v>
      </c>
      <c r="F241" s="57" t="s">
        <v>585</v>
      </c>
      <c r="G241" s="57"/>
      <c r="H241" s="57"/>
      <c r="I241" s="57"/>
      <c r="J241" s="39"/>
      <c r="K241" s="31">
        <v>25</v>
      </c>
    </row>
    <row r="242" spans="1:11" x14ac:dyDescent="0.3">
      <c r="A242" s="82" t="s">
        <v>1698</v>
      </c>
      <c r="B242" s="269" t="s">
        <v>1565</v>
      </c>
      <c r="C242" s="49"/>
      <c r="D242" s="49"/>
      <c r="E242" s="281" t="s">
        <v>582</v>
      </c>
      <c r="F242" s="281" t="s">
        <v>583</v>
      </c>
      <c r="G242" s="281"/>
      <c r="H242" s="281"/>
      <c r="I242" s="281"/>
      <c r="J242" s="244"/>
      <c r="K242" s="37">
        <v>36</v>
      </c>
    </row>
    <row r="243" spans="1:11" s="216" customFormat="1" x14ac:dyDescent="0.3">
      <c r="A243" s="82" t="s">
        <v>1699</v>
      </c>
      <c r="B243" s="82" t="s">
        <v>1566</v>
      </c>
      <c r="C243" s="160"/>
      <c r="D243" s="160"/>
      <c r="E243" s="57" t="s">
        <v>586</v>
      </c>
      <c r="F243" s="57" t="s">
        <v>587</v>
      </c>
      <c r="G243" s="57"/>
      <c r="H243" s="57"/>
      <c r="I243" s="57"/>
      <c r="J243" s="39"/>
      <c r="K243" s="31">
        <v>36</v>
      </c>
    </row>
    <row r="244" spans="1:11" x14ac:dyDescent="0.3">
      <c r="A244" s="82" t="s">
        <v>1700</v>
      </c>
      <c r="B244" s="269" t="s">
        <v>1567</v>
      </c>
      <c r="C244" s="49"/>
      <c r="D244" s="49"/>
      <c r="E244" s="281" t="s">
        <v>588</v>
      </c>
      <c r="F244" s="281" t="s">
        <v>589</v>
      </c>
      <c r="G244" s="281"/>
      <c r="H244" s="281"/>
      <c r="I244" s="281"/>
      <c r="J244" s="244"/>
      <c r="K244" s="37">
        <v>41</v>
      </c>
    </row>
    <row r="245" spans="1:11" x14ac:dyDescent="0.3">
      <c r="A245" s="82" t="s">
        <v>1701</v>
      </c>
      <c r="B245" s="269" t="s">
        <v>592</v>
      </c>
      <c r="C245" s="49"/>
      <c r="D245" s="49"/>
      <c r="E245" s="281" t="s">
        <v>593</v>
      </c>
      <c r="F245" s="57" t="s">
        <v>594</v>
      </c>
      <c r="G245" s="281"/>
      <c r="H245" s="281"/>
      <c r="I245" s="281"/>
      <c r="J245" s="244"/>
      <c r="K245" s="37">
        <v>91</v>
      </c>
    </row>
    <row r="246" spans="1:11" x14ac:dyDescent="0.3">
      <c r="A246" s="82" t="s">
        <v>1702</v>
      </c>
      <c r="B246" s="269" t="s">
        <v>1568</v>
      </c>
      <c r="C246" s="49"/>
      <c r="D246" s="49"/>
      <c r="E246" s="281" t="s">
        <v>590</v>
      </c>
      <c r="F246" s="281" t="s">
        <v>591</v>
      </c>
      <c r="G246" s="281"/>
      <c r="H246" s="281"/>
      <c r="I246" s="281"/>
      <c r="J246" s="244"/>
      <c r="K246" s="37">
        <v>91</v>
      </c>
    </row>
    <row r="247" spans="1:11" x14ac:dyDescent="0.3">
      <c r="A247" s="82" t="s">
        <v>1703</v>
      </c>
      <c r="B247" s="269" t="s">
        <v>574</v>
      </c>
      <c r="C247" s="49"/>
      <c r="D247" s="49"/>
      <c r="E247" s="57" t="s">
        <v>575</v>
      </c>
      <c r="F247" s="281" t="s">
        <v>595</v>
      </c>
      <c r="G247" s="281"/>
      <c r="H247" s="281"/>
      <c r="I247" s="281"/>
      <c r="J247" s="244"/>
      <c r="K247" s="37">
        <v>104</v>
      </c>
    </row>
    <row r="248" spans="1:11" x14ac:dyDescent="0.3">
      <c r="A248" s="303"/>
      <c r="B248" s="168"/>
      <c r="C248" s="159"/>
      <c r="D248" s="159"/>
      <c r="E248" s="54"/>
      <c r="F248" s="54"/>
      <c r="G248" s="54"/>
      <c r="H248" s="54"/>
      <c r="I248" s="54"/>
      <c r="J248" s="54"/>
      <c r="K248" s="37"/>
    </row>
    <row r="249" spans="1:11" x14ac:dyDescent="0.3">
      <c r="A249" s="112" t="s">
        <v>178</v>
      </c>
      <c r="B249" s="119"/>
      <c r="C249" s="119"/>
      <c r="D249" s="119"/>
      <c r="E249" s="293"/>
      <c r="F249" s="293"/>
      <c r="G249" s="293"/>
      <c r="H249" s="293"/>
      <c r="I249" s="293"/>
      <c r="J249" s="293"/>
      <c r="K249" s="148"/>
    </row>
    <row r="250" spans="1:11" x14ac:dyDescent="0.3">
      <c r="A250" s="269" t="s">
        <v>1677</v>
      </c>
      <c r="B250" s="269" t="s">
        <v>1530</v>
      </c>
      <c r="C250" s="49"/>
      <c r="D250" s="49"/>
      <c r="E250" s="281"/>
      <c r="F250" s="281"/>
      <c r="G250" s="281" t="s">
        <v>596</v>
      </c>
      <c r="H250" s="281" t="s">
        <v>597</v>
      </c>
      <c r="I250" s="281"/>
      <c r="J250" s="244"/>
      <c r="K250" s="37">
        <v>0</v>
      </c>
    </row>
    <row r="251" spans="1:11" x14ac:dyDescent="0.3">
      <c r="A251" s="269" t="s">
        <v>1704</v>
      </c>
      <c r="B251" s="269" t="s">
        <v>1556</v>
      </c>
      <c r="C251" s="49"/>
      <c r="D251" s="49"/>
      <c r="E251" s="281"/>
      <c r="F251" s="281"/>
      <c r="G251" s="281" t="s">
        <v>598</v>
      </c>
      <c r="H251" s="281" t="s">
        <v>599</v>
      </c>
      <c r="I251" s="281"/>
      <c r="J251" s="244"/>
      <c r="K251" s="37">
        <v>8</v>
      </c>
    </row>
    <row r="252" spans="1:11" x14ac:dyDescent="0.3">
      <c r="A252" s="269" t="s">
        <v>1705</v>
      </c>
      <c r="B252" s="269" t="s">
        <v>1557</v>
      </c>
      <c r="C252" s="49"/>
      <c r="D252" s="49"/>
      <c r="E252" s="281"/>
      <c r="F252" s="281"/>
      <c r="G252" s="281" t="s">
        <v>600</v>
      </c>
      <c r="H252" s="281" t="s">
        <v>601</v>
      </c>
      <c r="I252" s="281"/>
      <c r="J252" s="244"/>
      <c r="K252" s="37">
        <v>11</v>
      </c>
    </row>
    <row r="253" spans="1:11" x14ac:dyDescent="0.3">
      <c r="A253" s="269" t="s">
        <v>1679</v>
      </c>
      <c r="B253" s="269" t="s">
        <v>1558</v>
      </c>
      <c r="C253" s="49"/>
      <c r="D253" s="49"/>
      <c r="E253" s="281"/>
      <c r="F253" s="281"/>
      <c r="G253" s="281" t="s">
        <v>602</v>
      </c>
      <c r="H253" s="281" t="s">
        <v>603</v>
      </c>
      <c r="I253" s="281"/>
      <c r="J253" s="244"/>
      <c r="K253" s="37">
        <v>30</v>
      </c>
    </row>
    <row r="254" spans="1:11" x14ac:dyDescent="0.3">
      <c r="A254" s="269" t="s">
        <v>1706</v>
      </c>
      <c r="B254" s="269" t="s">
        <v>1559</v>
      </c>
      <c r="C254" s="49"/>
      <c r="D254" s="49"/>
      <c r="E254" s="281"/>
      <c r="F254" s="281"/>
      <c r="G254" s="281" t="s">
        <v>604</v>
      </c>
      <c r="H254" s="281" t="s">
        <v>605</v>
      </c>
      <c r="I254" s="281"/>
      <c r="J254" s="244"/>
      <c r="K254" s="37">
        <v>36</v>
      </c>
    </row>
    <row r="255" spans="1:11" x14ac:dyDescent="0.3">
      <c r="A255" s="269" t="s">
        <v>1682</v>
      </c>
      <c r="B255" s="269" t="s">
        <v>1560</v>
      </c>
      <c r="C255" s="49"/>
      <c r="D255" s="49"/>
      <c r="E255" s="281"/>
      <c r="F255" s="281"/>
      <c r="G255" s="281" t="s">
        <v>606</v>
      </c>
      <c r="H255" s="281" t="s">
        <v>607</v>
      </c>
      <c r="I255" s="281"/>
      <c r="J255" s="244"/>
      <c r="K255" s="37">
        <v>71</v>
      </c>
    </row>
    <row r="256" spans="1:11" x14ac:dyDescent="0.3">
      <c r="A256" s="269" t="s">
        <v>1707</v>
      </c>
      <c r="B256" s="269" t="s">
        <v>1561</v>
      </c>
      <c r="C256" s="49"/>
      <c r="D256" s="49"/>
      <c r="E256" s="281"/>
      <c r="F256" s="281"/>
      <c r="G256" s="281" t="s">
        <v>608</v>
      </c>
      <c r="H256" s="281" t="s">
        <v>609</v>
      </c>
      <c r="I256" s="281"/>
      <c r="J256" s="244"/>
      <c r="K256" s="37">
        <v>82</v>
      </c>
    </row>
    <row r="257" spans="1:44" x14ac:dyDescent="0.3">
      <c r="A257" s="269" t="s">
        <v>1708</v>
      </c>
      <c r="B257" s="269" t="s">
        <v>610</v>
      </c>
      <c r="C257" s="49"/>
      <c r="D257" s="49"/>
      <c r="E257" s="281"/>
      <c r="F257" s="281"/>
      <c r="G257" s="281" t="s">
        <v>611</v>
      </c>
      <c r="H257" s="281" t="s">
        <v>615</v>
      </c>
      <c r="I257" s="281"/>
      <c r="J257" s="244"/>
      <c r="K257" s="37">
        <v>117</v>
      </c>
    </row>
    <row r="258" spans="1:44" s="310" customFormat="1" x14ac:dyDescent="0.3">
      <c r="A258" s="269" t="s">
        <v>1709</v>
      </c>
      <c r="B258" s="269" t="s">
        <v>1562</v>
      </c>
      <c r="C258" s="49"/>
      <c r="D258" s="49"/>
      <c r="E258" s="281"/>
      <c r="F258" s="281"/>
      <c r="G258" s="281" t="s">
        <v>612</v>
      </c>
      <c r="H258" s="281" t="s">
        <v>613</v>
      </c>
      <c r="I258" s="281"/>
      <c r="J258" s="244"/>
      <c r="K258" s="37">
        <v>117</v>
      </c>
      <c r="L258" s="209"/>
      <c r="M258" s="209"/>
      <c r="N258" s="209"/>
      <c r="O258" s="209"/>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row>
    <row r="259" spans="1:44" s="310" customFormat="1" x14ac:dyDescent="0.3">
      <c r="A259" s="269" t="s">
        <v>1710</v>
      </c>
      <c r="B259" s="269" t="s">
        <v>1563</v>
      </c>
      <c r="C259" s="49"/>
      <c r="D259" s="49"/>
      <c r="E259" s="281"/>
      <c r="F259" s="281"/>
      <c r="G259" s="281" t="s">
        <v>614</v>
      </c>
      <c r="H259" s="170" t="s">
        <v>1532</v>
      </c>
      <c r="I259" s="281"/>
      <c r="J259" s="244"/>
      <c r="K259" s="37">
        <v>128</v>
      </c>
      <c r="L259" s="209"/>
      <c r="M259" s="209"/>
      <c r="N259" s="209"/>
      <c r="O259" s="209"/>
      <c r="P259" s="209"/>
      <c r="Q259" s="209"/>
      <c r="R259" s="209"/>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c r="AR259" s="209"/>
    </row>
    <row r="260" spans="1:44" s="42" customFormat="1" x14ac:dyDescent="0.3">
      <c r="A260" s="82" t="s">
        <v>1711</v>
      </c>
      <c r="B260" s="82" t="s">
        <v>616</v>
      </c>
      <c r="C260" s="182"/>
      <c r="D260" s="182"/>
      <c r="E260" s="120"/>
      <c r="F260" s="120"/>
      <c r="G260" s="175" t="s">
        <v>1531</v>
      </c>
      <c r="H260" s="175" t="s">
        <v>617</v>
      </c>
      <c r="I260" s="120"/>
      <c r="J260" s="120"/>
      <c r="K260" s="31">
        <v>158</v>
      </c>
      <c r="L260" s="209"/>
      <c r="M260" s="209"/>
      <c r="N260" s="209"/>
      <c r="O260" s="209"/>
      <c r="P260" s="209"/>
      <c r="Q260" s="209"/>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row>
    <row r="261" spans="1:44" s="42" customFormat="1" x14ac:dyDescent="0.3">
      <c r="A261" s="82"/>
      <c r="B261" s="82"/>
      <c r="C261" s="182"/>
      <c r="D261" s="182"/>
      <c r="E261" s="120"/>
      <c r="F261" s="120"/>
      <c r="G261" s="175"/>
      <c r="H261" s="175"/>
      <c r="I261" s="120"/>
      <c r="J261" s="120"/>
      <c r="K261" s="31"/>
      <c r="L261" s="209"/>
      <c r="M261" s="209"/>
      <c r="N261" s="209"/>
      <c r="O261" s="209"/>
      <c r="P261" s="209"/>
      <c r="Q261" s="209"/>
      <c r="R261" s="209"/>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row>
    <row r="262" spans="1:44" s="310" customFormat="1" x14ac:dyDescent="0.3">
      <c r="A262" s="112" t="s">
        <v>618</v>
      </c>
      <c r="B262" s="119"/>
      <c r="C262" s="119"/>
      <c r="D262" s="119"/>
      <c r="E262" s="293"/>
      <c r="F262" s="293"/>
      <c r="G262" s="293"/>
      <c r="H262" s="293"/>
      <c r="I262" s="293"/>
      <c r="J262" s="293"/>
      <c r="K262" s="148"/>
      <c r="L262" s="209"/>
      <c r="M262" s="209"/>
      <c r="N262" s="209"/>
      <c r="O262" s="209"/>
      <c r="P262" s="209"/>
      <c r="Q262" s="209"/>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row>
    <row r="263" spans="1:44" s="310" customFormat="1" x14ac:dyDescent="0.3">
      <c r="A263" s="269" t="s">
        <v>1712</v>
      </c>
      <c r="B263" s="269" t="s">
        <v>399</v>
      </c>
      <c r="C263" s="49"/>
      <c r="D263" s="49"/>
      <c r="E263" s="281"/>
      <c r="F263" s="281"/>
      <c r="G263" s="281"/>
      <c r="H263" s="281"/>
      <c r="I263" s="81" t="s">
        <v>619</v>
      </c>
      <c r="J263" s="281" t="s">
        <v>620</v>
      </c>
      <c r="K263" s="37">
        <v>0</v>
      </c>
      <c r="L263" s="209"/>
      <c r="M263" s="209"/>
      <c r="N263" s="209"/>
      <c r="O263" s="209"/>
      <c r="P263" s="209"/>
      <c r="Q263" s="209"/>
      <c r="R263" s="209"/>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c r="AR263" s="209"/>
    </row>
    <row r="264" spans="1:44" s="310" customFormat="1" x14ac:dyDescent="0.3">
      <c r="A264" s="269" t="s">
        <v>1713</v>
      </c>
      <c r="B264" s="269" t="s">
        <v>621</v>
      </c>
      <c r="C264" s="49"/>
      <c r="D264" s="49"/>
      <c r="E264" s="281"/>
      <c r="F264" s="281"/>
      <c r="G264" s="281"/>
      <c r="H264" s="281"/>
      <c r="I264" s="281" t="s">
        <v>622</v>
      </c>
      <c r="J264" s="281" t="s">
        <v>626</v>
      </c>
      <c r="K264" s="37">
        <v>0</v>
      </c>
      <c r="L264" s="209"/>
      <c r="M264" s="209"/>
      <c r="N264" s="209"/>
      <c r="O264" s="209"/>
      <c r="P264" s="209"/>
      <c r="Q264" s="209"/>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row>
    <row r="265" spans="1:44" s="219" customFormat="1" x14ac:dyDescent="0.3">
      <c r="A265" s="82" t="s">
        <v>1714</v>
      </c>
      <c r="B265" s="82" t="s">
        <v>623</v>
      </c>
      <c r="C265" s="160"/>
      <c r="D265" s="160"/>
      <c r="E265" s="57"/>
      <c r="F265" s="57"/>
      <c r="G265" s="57"/>
      <c r="H265" s="57"/>
      <c r="I265" s="57" t="s">
        <v>624</v>
      </c>
      <c r="J265" s="57" t="s">
        <v>625</v>
      </c>
      <c r="K265" s="31">
        <v>8</v>
      </c>
    </row>
    <row r="266" spans="1:44" s="219" customFormat="1" x14ac:dyDescent="0.3">
      <c r="A266" s="82" t="s">
        <v>1715</v>
      </c>
      <c r="B266" s="82" t="s">
        <v>405</v>
      </c>
      <c r="C266" s="160"/>
      <c r="D266" s="160"/>
      <c r="E266" s="57"/>
      <c r="F266" s="57"/>
      <c r="G266" s="57"/>
      <c r="H266" s="57"/>
      <c r="I266" s="57" t="s">
        <v>627</v>
      </c>
      <c r="J266" s="57"/>
      <c r="K266" s="31">
        <v>30</v>
      </c>
    </row>
    <row r="267" spans="1:44" s="219" customFormat="1" x14ac:dyDescent="0.3">
      <c r="A267" s="82" t="s">
        <v>1716</v>
      </c>
      <c r="B267" s="82" t="s">
        <v>628</v>
      </c>
      <c r="C267" s="160"/>
      <c r="D267" s="160"/>
      <c r="E267" s="57"/>
      <c r="F267" s="57"/>
      <c r="G267" s="57"/>
      <c r="H267" s="57"/>
      <c r="I267" s="57" t="s">
        <v>629</v>
      </c>
      <c r="J267" s="57"/>
      <c r="K267" s="31">
        <v>30</v>
      </c>
    </row>
    <row r="268" spans="1:44" s="219" customFormat="1" x14ac:dyDescent="0.3">
      <c r="A268" s="82" t="s">
        <v>1715</v>
      </c>
      <c r="B268" s="82" t="s">
        <v>405</v>
      </c>
      <c r="C268" s="160"/>
      <c r="D268" s="160"/>
      <c r="E268" s="57"/>
      <c r="F268" s="57"/>
      <c r="G268" s="57"/>
      <c r="H268" s="57"/>
      <c r="I268" s="57"/>
      <c r="J268" s="57" t="s">
        <v>630</v>
      </c>
      <c r="K268" s="31">
        <v>36</v>
      </c>
    </row>
    <row r="269" spans="1:44" s="219" customFormat="1" x14ac:dyDescent="0.3">
      <c r="A269" s="82" t="s">
        <v>1716</v>
      </c>
      <c r="B269" s="82" t="s">
        <v>628</v>
      </c>
      <c r="C269" s="160"/>
      <c r="D269" s="160"/>
      <c r="E269" s="57"/>
      <c r="F269" s="57"/>
      <c r="G269" s="57"/>
      <c r="H269" s="57"/>
      <c r="I269" s="57"/>
      <c r="J269" s="57" t="s">
        <v>631</v>
      </c>
      <c r="K269" s="31">
        <v>41</v>
      </c>
    </row>
    <row r="270" spans="1:44" s="310" customFormat="1" x14ac:dyDescent="0.3">
      <c r="A270" s="269" t="s">
        <v>1717</v>
      </c>
      <c r="B270" s="269" t="s">
        <v>632</v>
      </c>
      <c r="C270" s="49"/>
      <c r="D270" s="49"/>
      <c r="E270" s="281"/>
      <c r="F270" s="281"/>
      <c r="G270" s="281"/>
      <c r="H270" s="281"/>
      <c r="I270" s="281" t="s">
        <v>633</v>
      </c>
      <c r="J270" s="281"/>
      <c r="K270" s="37">
        <v>76</v>
      </c>
      <c r="L270" s="209"/>
      <c r="M270" s="209"/>
      <c r="N270" s="209"/>
      <c r="O270" s="209"/>
      <c r="P270" s="209"/>
      <c r="Q270" s="209"/>
      <c r="R270" s="209"/>
      <c r="S270" s="209"/>
      <c r="T270" s="209"/>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row>
    <row r="271" spans="1:44" s="219" customFormat="1" x14ac:dyDescent="0.3">
      <c r="A271" s="82" t="s">
        <v>1717</v>
      </c>
      <c r="B271" s="82" t="s">
        <v>632</v>
      </c>
      <c r="C271" s="160"/>
      <c r="D271" s="160"/>
      <c r="E271" s="57"/>
      <c r="F271" s="57"/>
      <c r="G271" s="57"/>
      <c r="H271" s="57"/>
      <c r="I271" s="57"/>
      <c r="J271" s="57" t="s">
        <v>635</v>
      </c>
      <c r="K271" s="31">
        <v>82</v>
      </c>
    </row>
    <row r="272" spans="1:44" s="330" customFormat="1" x14ac:dyDescent="0.3">
      <c r="A272" s="269" t="s">
        <v>1718</v>
      </c>
      <c r="B272" s="82" t="s">
        <v>636</v>
      </c>
      <c r="C272" s="49"/>
      <c r="D272" s="49"/>
      <c r="E272" s="281"/>
      <c r="F272" s="281"/>
      <c r="G272" s="281"/>
      <c r="H272" s="281"/>
      <c r="I272" s="281" t="s">
        <v>634</v>
      </c>
      <c r="J272" s="281"/>
      <c r="K272" s="37">
        <v>82</v>
      </c>
      <c r="L272" s="221"/>
      <c r="M272" s="221"/>
      <c r="N272" s="221"/>
      <c r="O272" s="221"/>
      <c r="P272" s="221"/>
      <c r="Q272" s="221"/>
      <c r="R272" s="221"/>
      <c r="S272" s="221"/>
      <c r="T272" s="221"/>
      <c r="U272" s="221"/>
      <c r="V272" s="221"/>
      <c r="W272" s="221"/>
      <c r="X272" s="221"/>
      <c r="Y272" s="221"/>
      <c r="Z272" s="221"/>
      <c r="AA272" s="221"/>
      <c r="AB272" s="221"/>
      <c r="AC272" s="221"/>
      <c r="AD272" s="221"/>
      <c r="AE272" s="221"/>
      <c r="AF272" s="221"/>
      <c r="AG272" s="221"/>
      <c r="AH272" s="221"/>
      <c r="AI272" s="221"/>
      <c r="AJ272" s="221"/>
      <c r="AK272" s="221"/>
      <c r="AL272" s="221"/>
      <c r="AM272" s="221"/>
      <c r="AN272" s="221"/>
      <c r="AO272" s="221"/>
      <c r="AP272" s="221"/>
      <c r="AQ272" s="221"/>
      <c r="AR272" s="221"/>
    </row>
    <row r="273" spans="1:44" s="330" customFormat="1" x14ac:dyDescent="0.3">
      <c r="A273" s="269" t="s">
        <v>1718</v>
      </c>
      <c r="B273" s="269" t="s">
        <v>636</v>
      </c>
      <c r="C273" s="49"/>
      <c r="D273" s="49"/>
      <c r="E273" s="281"/>
      <c r="F273" s="281"/>
      <c r="G273" s="281"/>
      <c r="H273" s="281"/>
      <c r="I273" s="281"/>
      <c r="J273" s="281" t="s">
        <v>637</v>
      </c>
      <c r="K273" s="37">
        <v>91</v>
      </c>
      <c r="L273" s="221"/>
      <c r="M273" s="221"/>
      <c r="N273" s="221"/>
      <c r="O273" s="221"/>
      <c r="P273" s="221"/>
      <c r="Q273" s="221"/>
      <c r="R273" s="221"/>
      <c r="S273" s="221"/>
      <c r="T273" s="221"/>
      <c r="U273" s="221"/>
      <c r="V273" s="221"/>
      <c r="W273" s="221"/>
      <c r="X273" s="221"/>
      <c r="Y273" s="221"/>
      <c r="Z273" s="221"/>
      <c r="AA273" s="221"/>
      <c r="AB273" s="221"/>
      <c r="AC273" s="221"/>
      <c r="AD273" s="221"/>
      <c r="AE273" s="221"/>
      <c r="AF273" s="221"/>
      <c r="AG273" s="221"/>
      <c r="AH273" s="221"/>
      <c r="AI273" s="221"/>
      <c r="AJ273" s="221"/>
      <c r="AK273" s="221"/>
      <c r="AL273" s="221"/>
      <c r="AM273" s="221"/>
      <c r="AN273" s="221"/>
      <c r="AO273" s="221"/>
      <c r="AP273" s="221"/>
      <c r="AQ273" s="221"/>
      <c r="AR273" s="221"/>
    </row>
    <row r="274" spans="1:44" s="330" customFormat="1" x14ac:dyDescent="0.3">
      <c r="A274" s="269" t="s">
        <v>1719</v>
      </c>
      <c r="B274" s="269" t="s">
        <v>638</v>
      </c>
      <c r="C274" s="49"/>
      <c r="D274" s="49"/>
      <c r="E274" s="281"/>
      <c r="F274" s="281"/>
      <c r="G274" s="281"/>
      <c r="H274" s="281"/>
      <c r="I274" s="281" t="s">
        <v>639</v>
      </c>
      <c r="J274" s="281"/>
      <c r="K274" s="37">
        <v>151</v>
      </c>
      <c r="L274" s="221"/>
      <c r="M274" s="221"/>
      <c r="N274" s="221"/>
      <c r="O274" s="221"/>
      <c r="P274" s="221"/>
      <c r="Q274" s="221"/>
      <c r="R274" s="221"/>
      <c r="S274" s="221"/>
      <c r="T274" s="221"/>
      <c r="U274" s="221"/>
      <c r="V274" s="221"/>
      <c r="W274" s="221"/>
      <c r="X274" s="221"/>
      <c r="Y274" s="221"/>
      <c r="Z274" s="221"/>
      <c r="AA274" s="221"/>
      <c r="AB274" s="221"/>
      <c r="AC274" s="221"/>
      <c r="AD274" s="221"/>
      <c r="AE274" s="221"/>
      <c r="AF274" s="221"/>
      <c r="AG274" s="221"/>
      <c r="AH274" s="221"/>
      <c r="AI274" s="221"/>
      <c r="AJ274" s="221"/>
      <c r="AK274" s="221"/>
      <c r="AL274" s="221"/>
      <c r="AM274" s="221"/>
      <c r="AN274" s="221"/>
      <c r="AO274" s="221"/>
      <c r="AP274" s="221"/>
      <c r="AQ274" s="221"/>
      <c r="AR274" s="221"/>
    </row>
    <row r="275" spans="1:44" s="330" customFormat="1" x14ac:dyDescent="0.3">
      <c r="A275" s="82" t="s">
        <v>1720</v>
      </c>
      <c r="B275" s="269" t="s">
        <v>640</v>
      </c>
      <c r="C275" s="49"/>
      <c r="D275" s="49"/>
      <c r="E275" s="281"/>
      <c r="F275" s="281"/>
      <c r="G275" s="281"/>
      <c r="H275" s="281"/>
      <c r="I275" s="281" t="s">
        <v>641</v>
      </c>
      <c r="J275" s="281" t="s">
        <v>643</v>
      </c>
      <c r="K275" s="37">
        <v>151</v>
      </c>
      <c r="L275" s="221"/>
      <c r="M275" s="221"/>
      <c r="N275" s="221"/>
      <c r="O275" s="221"/>
      <c r="P275" s="221"/>
      <c r="Q275" s="221"/>
      <c r="R275" s="221"/>
      <c r="S275" s="221"/>
      <c r="T275" s="221"/>
      <c r="U275" s="221"/>
      <c r="V275" s="221"/>
      <c r="W275" s="221"/>
      <c r="X275" s="221"/>
      <c r="Y275" s="221"/>
      <c r="Z275" s="221"/>
      <c r="AA275" s="221"/>
      <c r="AB275" s="221"/>
      <c r="AC275" s="221"/>
      <c r="AD275" s="221"/>
      <c r="AE275" s="221"/>
      <c r="AF275" s="221"/>
      <c r="AG275" s="221"/>
      <c r="AH275" s="221"/>
      <c r="AI275" s="221"/>
      <c r="AJ275" s="221"/>
      <c r="AK275" s="221"/>
      <c r="AL275" s="221"/>
      <c r="AM275" s="221"/>
      <c r="AN275" s="221"/>
      <c r="AO275" s="221"/>
      <c r="AP275" s="221"/>
      <c r="AQ275" s="221"/>
      <c r="AR275" s="221"/>
    </row>
    <row r="276" spans="1:44" s="330" customFormat="1" x14ac:dyDescent="0.3">
      <c r="A276" s="269" t="s">
        <v>1721</v>
      </c>
      <c r="B276" s="269" t="s">
        <v>644</v>
      </c>
      <c r="C276" s="49"/>
      <c r="D276" s="49"/>
      <c r="E276" s="281"/>
      <c r="F276" s="281"/>
      <c r="G276" s="281"/>
      <c r="H276" s="281"/>
      <c r="I276" s="281" t="s">
        <v>642</v>
      </c>
      <c r="J276" s="57" t="s">
        <v>645</v>
      </c>
      <c r="K276" s="37">
        <v>151</v>
      </c>
      <c r="L276" s="221"/>
      <c r="M276" s="221"/>
      <c r="N276" s="221"/>
      <c r="O276" s="221"/>
      <c r="P276" s="221"/>
      <c r="Q276" s="221"/>
      <c r="R276" s="221"/>
      <c r="S276" s="221"/>
      <c r="T276" s="221"/>
      <c r="U276" s="221"/>
      <c r="V276" s="221"/>
      <c r="W276" s="221"/>
      <c r="X276" s="221"/>
      <c r="Y276" s="221"/>
      <c r="Z276" s="221"/>
      <c r="AA276" s="221"/>
      <c r="AB276" s="221"/>
      <c r="AC276" s="221"/>
      <c r="AD276" s="221"/>
      <c r="AE276" s="221"/>
      <c r="AF276" s="221"/>
      <c r="AG276" s="221"/>
      <c r="AH276" s="221"/>
      <c r="AI276" s="221"/>
      <c r="AJ276" s="221"/>
      <c r="AK276" s="221"/>
      <c r="AL276" s="221"/>
      <c r="AM276" s="221"/>
      <c r="AN276" s="221"/>
      <c r="AO276" s="221"/>
      <c r="AP276" s="221"/>
      <c r="AQ276" s="221"/>
      <c r="AR276" s="221"/>
    </row>
    <row r="277" spans="1:44" s="330" customFormat="1" x14ac:dyDescent="0.3">
      <c r="A277" s="269"/>
      <c r="B277" s="269"/>
      <c r="C277" s="49"/>
      <c r="D277" s="49"/>
      <c r="E277" s="281"/>
      <c r="F277" s="281"/>
      <c r="G277" s="281"/>
      <c r="H277" s="281"/>
      <c r="I277" s="281"/>
      <c r="J277" s="57"/>
      <c r="K277" s="37"/>
      <c r="L277" s="221"/>
      <c r="M277" s="221"/>
      <c r="N277" s="221"/>
      <c r="O277" s="221"/>
      <c r="P277" s="221"/>
      <c r="Q277" s="221"/>
      <c r="R277" s="221"/>
      <c r="S277" s="221"/>
      <c r="T277" s="221"/>
      <c r="U277" s="221"/>
      <c r="V277" s="221"/>
      <c r="W277" s="221"/>
      <c r="X277" s="221"/>
      <c r="Y277" s="221"/>
      <c r="Z277" s="221"/>
      <c r="AA277" s="221"/>
      <c r="AB277" s="221"/>
      <c r="AC277" s="221"/>
      <c r="AD277" s="221"/>
      <c r="AE277" s="221"/>
      <c r="AF277" s="221"/>
      <c r="AG277" s="221"/>
      <c r="AH277" s="221"/>
      <c r="AI277" s="221"/>
      <c r="AJ277" s="221"/>
      <c r="AK277" s="221"/>
      <c r="AL277" s="221"/>
      <c r="AM277" s="221"/>
      <c r="AN277" s="221"/>
      <c r="AO277" s="221"/>
      <c r="AP277" s="221"/>
      <c r="AQ277" s="221"/>
      <c r="AR277" s="221"/>
    </row>
    <row r="278" spans="1:44" s="330" customFormat="1" x14ac:dyDescent="0.3">
      <c r="A278" s="112" t="s">
        <v>204</v>
      </c>
      <c r="B278" s="119"/>
      <c r="C278" s="119"/>
      <c r="D278" s="119"/>
      <c r="E278" s="293"/>
      <c r="F278" s="293"/>
      <c r="G278" s="293"/>
      <c r="H278" s="293"/>
      <c r="I278" s="293"/>
      <c r="J278" s="289"/>
      <c r="K278" s="148"/>
      <c r="L278" s="221"/>
      <c r="M278" s="221"/>
      <c r="N278" s="221"/>
      <c r="O278" s="221"/>
      <c r="P278" s="221"/>
      <c r="Q278" s="221"/>
      <c r="R278" s="221"/>
      <c r="S278" s="221"/>
      <c r="T278" s="221"/>
      <c r="U278" s="221"/>
      <c r="V278" s="221"/>
      <c r="W278" s="221"/>
      <c r="X278" s="221"/>
      <c r="Y278" s="221"/>
      <c r="Z278" s="221"/>
      <c r="AA278" s="221"/>
      <c r="AB278" s="221"/>
      <c r="AC278" s="221"/>
      <c r="AD278" s="221"/>
      <c r="AE278" s="221"/>
      <c r="AF278" s="221"/>
      <c r="AG278" s="221"/>
      <c r="AH278" s="221"/>
      <c r="AI278" s="221"/>
      <c r="AJ278" s="221"/>
      <c r="AK278" s="221"/>
      <c r="AL278" s="221"/>
      <c r="AM278" s="221"/>
      <c r="AN278" s="221"/>
      <c r="AO278" s="221"/>
      <c r="AP278" s="221"/>
      <c r="AQ278" s="221"/>
      <c r="AR278" s="221"/>
    </row>
    <row r="279" spans="1:44" s="310" customFormat="1" x14ac:dyDescent="0.3">
      <c r="A279" s="269" t="s">
        <v>1639</v>
      </c>
      <c r="B279" s="269" t="s">
        <v>646</v>
      </c>
      <c r="C279" s="49"/>
      <c r="D279" s="49"/>
      <c r="E279" s="281" t="s">
        <v>647</v>
      </c>
      <c r="F279" s="281" t="s">
        <v>648</v>
      </c>
      <c r="G279" s="281" t="s">
        <v>649</v>
      </c>
      <c r="H279" s="281" t="s">
        <v>650</v>
      </c>
      <c r="I279" s="281" t="s">
        <v>651</v>
      </c>
      <c r="J279" s="281" t="s">
        <v>652</v>
      </c>
      <c r="K279" s="37">
        <v>82</v>
      </c>
      <c r="L279" s="209"/>
      <c r="M279" s="209"/>
      <c r="N279" s="209"/>
      <c r="O279" s="209"/>
      <c r="P279" s="209"/>
      <c r="Q279" s="209"/>
      <c r="R279" s="209"/>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row>
    <row r="280" spans="1:44" s="310" customFormat="1" x14ac:dyDescent="0.3">
      <c r="A280" s="29"/>
      <c r="B280" s="29"/>
      <c r="C280" s="29"/>
      <c r="D280" s="29"/>
      <c r="E280" s="188"/>
      <c r="F280" s="188"/>
      <c r="G280" s="188"/>
      <c r="H280" s="188"/>
      <c r="I280" s="188"/>
      <c r="J280" s="188"/>
      <c r="K280" s="37"/>
      <c r="L280" s="209"/>
      <c r="M280" s="209"/>
      <c r="N280" s="209"/>
      <c r="O280" s="209"/>
      <c r="P280" s="209"/>
      <c r="Q280" s="209"/>
      <c r="R280" s="209"/>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c r="AR280" s="209"/>
    </row>
    <row r="281" spans="1:44" s="310" customFormat="1" x14ac:dyDescent="0.3">
      <c r="A281" s="112" t="s">
        <v>653</v>
      </c>
      <c r="B281" s="119"/>
      <c r="C281" s="119"/>
      <c r="D281" s="119"/>
      <c r="E281" s="293"/>
      <c r="F281" s="293"/>
      <c r="G281" s="293"/>
      <c r="H281" s="293"/>
      <c r="I281" s="293"/>
      <c r="J281" s="289"/>
      <c r="K281" s="148"/>
      <c r="L281" s="209"/>
      <c r="M281" s="209"/>
      <c r="N281" s="209"/>
      <c r="O281" s="209"/>
      <c r="P281" s="209"/>
      <c r="Q281" s="209"/>
      <c r="R281" s="209"/>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row>
    <row r="282" spans="1:44" s="330" customFormat="1" x14ac:dyDescent="0.3">
      <c r="A282" s="80" t="s">
        <v>654</v>
      </c>
      <c r="B282" s="269" t="s">
        <v>655</v>
      </c>
      <c r="C282" s="49"/>
      <c r="D282" s="49"/>
      <c r="E282" s="281"/>
      <c r="F282" s="281"/>
      <c r="G282" s="281"/>
      <c r="H282" s="281"/>
      <c r="I282" s="281" t="s">
        <v>656</v>
      </c>
      <c r="J282" s="281" t="s">
        <v>657</v>
      </c>
      <c r="K282" s="37">
        <v>15</v>
      </c>
      <c r="L282" s="221"/>
      <c r="M282" s="221"/>
      <c r="N282" s="221"/>
      <c r="O282" s="221"/>
      <c r="P282" s="221"/>
      <c r="Q282" s="221"/>
      <c r="R282" s="221"/>
      <c r="S282" s="221"/>
      <c r="T282" s="221"/>
      <c r="U282" s="221"/>
      <c r="V282" s="221"/>
      <c r="W282" s="221"/>
      <c r="X282" s="221"/>
      <c r="Y282" s="221"/>
      <c r="Z282" s="221"/>
      <c r="AA282" s="221"/>
      <c r="AB282" s="221"/>
      <c r="AC282" s="221"/>
      <c r="AD282" s="221"/>
      <c r="AE282" s="221"/>
      <c r="AF282" s="221"/>
      <c r="AG282" s="221"/>
      <c r="AH282" s="221"/>
      <c r="AI282" s="221"/>
      <c r="AJ282" s="221"/>
      <c r="AK282" s="221"/>
      <c r="AL282" s="221"/>
      <c r="AM282" s="221"/>
      <c r="AN282" s="221"/>
      <c r="AO282" s="221"/>
      <c r="AP282" s="221"/>
      <c r="AQ282" s="221"/>
      <c r="AR282" s="221"/>
    </row>
    <row r="283" spans="1:44" s="330" customFormat="1" x14ac:dyDescent="0.3">
      <c r="A283" s="29"/>
      <c r="B283" s="29"/>
      <c r="C283" s="229"/>
      <c r="D283" s="229"/>
      <c r="E283" s="188"/>
      <c r="F283" s="188"/>
      <c r="G283" s="188"/>
      <c r="H283" s="188"/>
      <c r="I283" s="188"/>
      <c r="J283" s="188"/>
      <c r="K283" s="37"/>
      <c r="L283" s="221"/>
      <c r="M283" s="221"/>
      <c r="N283" s="221"/>
      <c r="O283" s="221"/>
      <c r="P283" s="221"/>
      <c r="Q283" s="221"/>
      <c r="R283" s="221"/>
      <c r="S283" s="221"/>
      <c r="T283" s="221"/>
      <c r="U283" s="221"/>
      <c r="V283" s="221"/>
      <c r="W283" s="221"/>
      <c r="X283" s="221"/>
      <c r="Y283" s="221"/>
      <c r="Z283" s="221"/>
      <c r="AA283" s="221"/>
      <c r="AB283" s="221"/>
      <c r="AC283" s="221"/>
      <c r="AD283" s="221"/>
      <c r="AE283" s="221"/>
      <c r="AF283" s="221"/>
      <c r="AG283" s="221"/>
      <c r="AH283" s="221"/>
      <c r="AI283" s="221"/>
      <c r="AJ283" s="221"/>
      <c r="AK283" s="221"/>
      <c r="AL283" s="221"/>
      <c r="AM283" s="221"/>
      <c r="AN283" s="221"/>
      <c r="AO283" s="221"/>
      <c r="AP283" s="221"/>
      <c r="AQ283" s="221"/>
      <c r="AR283" s="221"/>
    </row>
    <row r="284" spans="1:44" s="330" customFormat="1" x14ac:dyDescent="0.3">
      <c r="A284" s="112" t="s">
        <v>658</v>
      </c>
      <c r="B284" s="119"/>
      <c r="C284" s="119"/>
      <c r="D284" s="119"/>
      <c r="E284" s="293"/>
      <c r="F284" s="293"/>
      <c r="G284" s="293"/>
      <c r="H284" s="293"/>
      <c r="I284" s="293"/>
      <c r="J284" s="289"/>
      <c r="K284" s="148"/>
      <c r="L284" s="221"/>
      <c r="M284" s="221"/>
      <c r="N284" s="221"/>
      <c r="O284" s="221"/>
      <c r="P284" s="221"/>
      <c r="Q284" s="221"/>
      <c r="R284" s="221"/>
      <c r="S284" s="221"/>
      <c r="T284" s="221"/>
      <c r="U284" s="221"/>
      <c r="V284" s="221"/>
      <c r="W284" s="221"/>
      <c r="X284" s="221"/>
      <c r="Y284" s="221"/>
      <c r="Z284" s="221"/>
      <c r="AA284" s="221"/>
      <c r="AB284" s="221"/>
      <c r="AC284" s="221"/>
      <c r="AD284" s="221"/>
      <c r="AE284" s="221"/>
      <c r="AF284" s="221"/>
      <c r="AG284" s="221"/>
      <c r="AH284" s="221"/>
      <c r="AI284" s="221"/>
      <c r="AJ284" s="221"/>
      <c r="AK284" s="221"/>
      <c r="AL284" s="221"/>
      <c r="AM284" s="221"/>
      <c r="AN284" s="221"/>
      <c r="AO284" s="221"/>
      <c r="AP284" s="221"/>
      <c r="AQ284" s="221"/>
      <c r="AR284" s="221"/>
    </row>
    <row r="285" spans="1:44" s="226" customFormat="1" x14ac:dyDescent="0.3">
      <c r="A285" s="82" t="s">
        <v>435</v>
      </c>
      <c r="B285" s="82" t="s">
        <v>436</v>
      </c>
      <c r="C285" s="160"/>
      <c r="D285" s="160"/>
      <c r="E285" s="57" t="s">
        <v>659</v>
      </c>
      <c r="F285" s="57" t="s">
        <v>660</v>
      </c>
      <c r="G285" s="57" t="s">
        <v>661</v>
      </c>
      <c r="H285" s="57" t="s">
        <v>662</v>
      </c>
      <c r="I285" s="57" t="s">
        <v>663</v>
      </c>
      <c r="J285" s="57" t="s">
        <v>664</v>
      </c>
      <c r="K285" s="31">
        <v>5</v>
      </c>
    </row>
    <row r="286" spans="1:44" s="330" customFormat="1" x14ac:dyDescent="0.3">
      <c r="A286" s="303"/>
      <c r="B286" s="168"/>
      <c r="C286" s="159"/>
      <c r="D286" s="159"/>
      <c r="E286" s="54"/>
      <c r="F286" s="54"/>
      <c r="G286" s="54"/>
      <c r="H286" s="54"/>
      <c r="I286" s="54"/>
      <c r="J286" s="63"/>
      <c r="K286" s="37"/>
      <c r="L286" s="221"/>
      <c r="M286" s="221"/>
      <c r="N286" s="221"/>
      <c r="O286" s="221"/>
      <c r="P286" s="221"/>
      <c r="Q286" s="221"/>
      <c r="R286" s="221"/>
      <c r="S286" s="221"/>
      <c r="T286" s="221"/>
      <c r="U286" s="221"/>
      <c r="V286" s="221"/>
      <c r="W286" s="221"/>
      <c r="X286" s="221"/>
      <c r="Y286" s="221"/>
      <c r="Z286" s="221"/>
      <c r="AA286" s="221"/>
      <c r="AB286" s="221"/>
      <c r="AC286" s="221"/>
      <c r="AD286" s="221"/>
      <c r="AE286" s="221"/>
      <c r="AF286" s="221"/>
      <c r="AG286" s="221"/>
      <c r="AH286" s="221"/>
      <c r="AI286" s="221"/>
      <c r="AJ286" s="221"/>
      <c r="AK286" s="221"/>
      <c r="AL286" s="221"/>
      <c r="AM286" s="221"/>
      <c r="AN286" s="221"/>
      <c r="AO286" s="221"/>
      <c r="AP286" s="221"/>
      <c r="AQ286" s="221"/>
      <c r="AR286" s="221"/>
    </row>
    <row r="287" spans="1:44" x14ac:dyDescent="0.3">
      <c r="A287" s="112" t="s">
        <v>226</v>
      </c>
      <c r="B287" s="119"/>
      <c r="C287" s="119"/>
      <c r="D287" s="119"/>
      <c r="E287" s="293"/>
      <c r="F287" s="293"/>
      <c r="G287" s="293"/>
      <c r="H287" s="293"/>
      <c r="I287" s="293"/>
      <c r="J287" s="289"/>
      <c r="K287" s="148"/>
    </row>
    <row r="288" spans="1:44" x14ac:dyDescent="0.3">
      <c r="A288" s="269" t="s">
        <v>1642</v>
      </c>
      <c r="B288" s="269" t="s">
        <v>665</v>
      </c>
      <c r="C288" s="49"/>
      <c r="D288" s="49"/>
      <c r="E288" s="281" t="s">
        <v>666</v>
      </c>
      <c r="F288" s="281" t="s">
        <v>667</v>
      </c>
      <c r="G288" s="281" t="s">
        <v>668</v>
      </c>
      <c r="H288" s="281" t="s">
        <v>669</v>
      </c>
      <c r="I288" s="281"/>
      <c r="J288" s="281"/>
      <c r="K288" s="37">
        <v>0</v>
      </c>
    </row>
    <row r="289" spans="1:44" x14ac:dyDescent="0.3">
      <c r="A289" s="269" t="s">
        <v>1643</v>
      </c>
      <c r="B289" s="269" t="s">
        <v>665</v>
      </c>
      <c r="C289" s="49"/>
      <c r="D289" s="49"/>
      <c r="E289" s="281"/>
      <c r="F289" s="281"/>
      <c r="G289" s="281"/>
      <c r="H289" s="281"/>
      <c r="I289" s="281" t="s">
        <v>670</v>
      </c>
      <c r="J289" s="281" t="s">
        <v>671</v>
      </c>
      <c r="K289" s="37">
        <v>0</v>
      </c>
    </row>
    <row r="290" spans="1:44" x14ac:dyDescent="0.3">
      <c r="A290" s="303"/>
      <c r="B290" s="168"/>
      <c r="C290" s="159"/>
      <c r="D290" s="159"/>
      <c r="E290" s="54"/>
      <c r="F290" s="54"/>
      <c r="G290" s="54"/>
      <c r="H290" s="54"/>
      <c r="I290" s="54"/>
      <c r="J290" s="63"/>
      <c r="K290" s="37"/>
    </row>
    <row r="291" spans="1:44" x14ac:dyDescent="0.3">
      <c r="A291" s="112" t="s">
        <v>235</v>
      </c>
      <c r="B291" s="119"/>
      <c r="C291" s="119"/>
      <c r="D291" s="119"/>
      <c r="E291" s="293"/>
      <c r="F291" s="293"/>
      <c r="G291" s="293"/>
      <c r="H291" s="293"/>
      <c r="I291" s="293"/>
      <c r="J291" s="289"/>
      <c r="K291" s="148"/>
    </row>
    <row r="292" spans="1:44" x14ac:dyDescent="0.3">
      <c r="A292" s="269" t="s">
        <v>463</v>
      </c>
      <c r="B292" s="269" t="s">
        <v>464</v>
      </c>
      <c r="C292" s="49"/>
      <c r="D292" s="49"/>
      <c r="E292" s="281" t="s">
        <v>672</v>
      </c>
      <c r="F292" s="281" t="s">
        <v>673</v>
      </c>
      <c r="G292" s="281" t="s">
        <v>674</v>
      </c>
      <c r="H292" s="281" t="s">
        <v>675</v>
      </c>
      <c r="I292" s="281" t="s">
        <v>676</v>
      </c>
      <c r="J292" s="281" t="s">
        <v>677</v>
      </c>
      <c r="K292" s="37">
        <v>2</v>
      </c>
    </row>
    <row r="293" spans="1:44" x14ac:dyDescent="0.3">
      <c r="A293" s="269" t="s">
        <v>98</v>
      </c>
      <c r="B293" s="269" t="s">
        <v>236</v>
      </c>
      <c r="C293" s="49"/>
      <c r="D293" s="49"/>
      <c r="E293" s="281" t="s">
        <v>678</v>
      </c>
      <c r="F293" s="281" t="s">
        <v>679</v>
      </c>
      <c r="G293" s="281" t="s">
        <v>680</v>
      </c>
      <c r="H293" s="281" t="s">
        <v>681</v>
      </c>
      <c r="I293" s="281" t="s">
        <v>682</v>
      </c>
      <c r="J293" s="281" t="s">
        <v>683</v>
      </c>
      <c r="K293" s="37">
        <v>6</v>
      </c>
    </row>
    <row r="294" spans="1:44" x14ac:dyDescent="0.3">
      <c r="A294" s="303"/>
      <c r="B294" s="168"/>
      <c r="C294" s="159"/>
      <c r="D294" s="159"/>
      <c r="E294" s="54"/>
      <c r="F294" s="54"/>
      <c r="G294" s="54"/>
      <c r="H294" s="54"/>
      <c r="I294" s="54"/>
      <c r="J294" s="63"/>
      <c r="K294" s="37"/>
    </row>
    <row r="295" spans="1:44" x14ac:dyDescent="0.3">
      <c r="A295" s="112" t="s">
        <v>475</v>
      </c>
      <c r="B295" s="119"/>
      <c r="C295" s="119"/>
      <c r="D295" s="119"/>
      <c r="E295" s="293"/>
      <c r="F295" s="293"/>
      <c r="G295" s="293"/>
      <c r="H295" s="293"/>
      <c r="I295" s="293"/>
      <c r="J295" s="289"/>
      <c r="K295" s="148"/>
    </row>
    <row r="296" spans="1:44" x14ac:dyDescent="0.3">
      <c r="A296" s="269" t="s">
        <v>476</v>
      </c>
      <c r="B296" s="269" t="s">
        <v>477</v>
      </c>
      <c r="C296" s="49"/>
      <c r="D296" s="49"/>
      <c r="E296" s="281" t="s">
        <v>684</v>
      </c>
      <c r="F296" s="281" t="s">
        <v>685</v>
      </c>
      <c r="G296" s="281" t="s">
        <v>686</v>
      </c>
      <c r="H296" s="281" t="s">
        <v>687</v>
      </c>
      <c r="I296" s="281" t="s">
        <v>688</v>
      </c>
      <c r="J296" s="281" t="s">
        <v>689</v>
      </c>
      <c r="K296" s="37">
        <v>6</v>
      </c>
    </row>
    <row r="297" spans="1:44" x14ac:dyDescent="0.3">
      <c r="A297" s="269" t="s">
        <v>1637</v>
      </c>
      <c r="B297" s="269" t="s">
        <v>690</v>
      </c>
      <c r="C297" s="49"/>
      <c r="D297" s="49"/>
      <c r="E297" s="281"/>
      <c r="F297" s="281" t="s">
        <v>691</v>
      </c>
      <c r="G297" s="281"/>
      <c r="H297" s="281" t="s">
        <v>692</v>
      </c>
      <c r="I297" s="281"/>
      <c r="J297" s="281" t="s">
        <v>693</v>
      </c>
      <c r="K297" s="37">
        <v>7</v>
      </c>
    </row>
    <row r="298" spans="1:44" x14ac:dyDescent="0.3">
      <c r="A298" s="269" t="s">
        <v>1636</v>
      </c>
      <c r="B298" s="269" t="s">
        <v>483</v>
      </c>
      <c r="C298" s="49"/>
      <c r="D298" s="49"/>
      <c r="E298" s="281" t="s">
        <v>694</v>
      </c>
      <c r="F298" s="281"/>
      <c r="G298" s="281" t="s">
        <v>695</v>
      </c>
      <c r="H298" s="281"/>
      <c r="I298" s="281" t="s">
        <v>696</v>
      </c>
      <c r="J298" s="281"/>
      <c r="K298" s="37">
        <v>7</v>
      </c>
    </row>
    <row r="299" spans="1:44" x14ac:dyDescent="0.3">
      <c r="A299" s="269" t="s">
        <v>697</v>
      </c>
      <c r="B299" s="269" t="s">
        <v>487</v>
      </c>
      <c r="C299" s="49"/>
      <c r="D299" s="49"/>
      <c r="E299" s="281" t="s">
        <v>698</v>
      </c>
      <c r="F299" s="281" t="s">
        <v>699</v>
      </c>
      <c r="G299" s="281" t="s">
        <v>700</v>
      </c>
      <c r="H299" s="281" t="s">
        <v>701</v>
      </c>
      <c r="I299" s="281" t="s">
        <v>702</v>
      </c>
      <c r="J299" s="281" t="s">
        <v>703</v>
      </c>
      <c r="K299" s="37">
        <v>87</v>
      </c>
    </row>
    <row r="300" spans="1:44" x14ac:dyDescent="0.3">
      <c r="A300" s="269" t="s">
        <v>704</v>
      </c>
      <c r="B300" s="269" t="s">
        <v>705</v>
      </c>
      <c r="C300" s="49"/>
      <c r="D300" s="49"/>
      <c r="E300" s="281" t="s">
        <v>706</v>
      </c>
      <c r="F300" s="57" t="s">
        <v>707</v>
      </c>
      <c r="G300" s="57" t="s">
        <v>708</v>
      </c>
      <c r="H300" s="57" t="s">
        <v>709</v>
      </c>
      <c r="I300" s="57" t="s">
        <v>710</v>
      </c>
      <c r="J300" s="57" t="s">
        <v>711</v>
      </c>
      <c r="K300" s="31">
        <v>267</v>
      </c>
    </row>
    <row r="301" spans="1:44" x14ac:dyDescent="0.3">
      <c r="A301" s="303"/>
      <c r="B301" s="168"/>
      <c r="C301" s="159"/>
      <c r="D301" s="159"/>
      <c r="E301" s="54"/>
      <c r="F301" s="54"/>
      <c r="G301" s="54"/>
      <c r="H301" s="54"/>
      <c r="I301" s="54"/>
      <c r="J301" s="63"/>
      <c r="K301" s="37"/>
    </row>
    <row r="302" spans="1:44" x14ac:dyDescent="0.3">
      <c r="A302" s="112" t="s">
        <v>493</v>
      </c>
      <c r="B302" s="119"/>
      <c r="C302" s="119"/>
      <c r="D302" s="119"/>
      <c r="E302" s="293"/>
      <c r="F302" s="293"/>
      <c r="G302" s="293"/>
      <c r="H302" s="293"/>
      <c r="I302" s="293"/>
      <c r="J302" s="289"/>
      <c r="K302" s="148"/>
    </row>
    <row r="303" spans="1:44" x14ac:dyDescent="0.3">
      <c r="A303" s="269" t="s">
        <v>712</v>
      </c>
      <c r="B303" s="269" t="s">
        <v>713</v>
      </c>
      <c r="C303" s="49"/>
      <c r="D303" s="49"/>
      <c r="E303" s="281" t="s">
        <v>714</v>
      </c>
      <c r="F303" s="281" t="s">
        <v>714</v>
      </c>
      <c r="G303" s="281" t="s">
        <v>714</v>
      </c>
      <c r="H303" s="281" t="s">
        <v>714</v>
      </c>
      <c r="I303" s="281" t="s">
        <v>714</v>
      </c>
      <c r="J303" s="281" t="s">
        <v>714</v>
      </c>
      <c r="K303" s="37">
        <v>1</v>
      </c>
    </row>
    <row r="304" spans="1:44" s="330" customFormat="1" x14ac:dyDescent="0.3">
      <c r="A304" s="269" t="s">
        <v>715</v>
      </c>
      <c r="B304" s="269" t="s">
        <v>716</v>
      </c>
      <c r="C304" s="49"/>
      <c r="D304" s="49"/>
      <c r="E304" s="281" t="s">
        <v>717</v>
      </c>
      <c r="F304" s="281" t="s">
        <v>718</v>
      </c>
      <c r="G304" s="281" t="s">
        <v>719</v>
      </c>
      <c r="H304" s="281" t="s">
        <v>720</v>
      </c>
      <c r="I304" s="281" t="s">
        <v>721</v>
      </c>
      <c r="J304" s="281" t="s">
        <v>722</v>
      </c>
      <c r="K304" s="37">
        <v>7</v>
      </c>
      <c r="L304" s="221"/>
      <c r="M304" s="221"/>
      <c r="N304" s="221"/>
      <c r="O304" s="221"/>
      <c r="P304" s="221"/>
      <c r="Q304" s="221"/>
      <c r="R304" s="221"/>
      <c r="S304" s="221"/>
      <c r="T304" s="221"/>
      <c r="U304" s="221"/>
      <c r="V304" s="221"/>
      <c r="W304" s="221"/>
      <c r="X304" s="221"/>
      <c r="Y304" s="221"/>
      <c r="Z304" s="221"/>
      <c r="AA304" s="221"/>
      <c r="AB304" s="221"/>
      <c r="AC304" s="221"/>
      <c r="AD304" s="221"/>
      <c r="AE304" s="221"/>
      <c r="AF304" s="221"/>
      <c r="AG304" s="221"/>
      <c r="AH304" s="221"/>
      <c r="AI304" s="221"/>
      <c r="AJ304" s="221"/>
      <c r="AK304" s="221"/>
      <c r="AL304" s="221"/>
      <c r="AM304" s="221"/>
      <c r="AN304" s="221"/>
      <c r="AO304" s="221"/>
      <c r="AP304" s="221"/>
      <c r="AQ304" s="221"/>
      <c r="AR304" s="221"/>
    </row>
    <row r="305" spans="1:44" x14ac:dyDescent="0.3">
      <c r="A305" s="128" t="s">
        <v>723</v>
      </c>
      <c r="B305" s="269" t="s">
        <v>495</v>
      </c>
      <c r="C305" s="49"/>
      <c r="D305" s="49"/>
      <c r="E305" s="281"/>
      <c r="F305" s="281"/>
      <c r="G305" s="281"/>
      <c r="H305" s="281"/>
      <c r="I305" s="281" t="s">
        <v>724</v>
      </c>
      <c r="J305" s="281" t="s">
        <v>725</v>
      </c>
      <c r="K305" s="37">
        <v>10</v>
      </c>
    </row>
    <row r="306" spans="1:44" x14ac:dyDescent="0.3">
      <c r="A306" s="128"/>
      <c r="B306" s="187"/>
      <c r="C306" s="275"/>
      <c r="D306" s="275"/>
      <c r="E306" s="263"/>
      <c r="F306" s="263"/>
      <c r="G306" s="263"/>
      <c r="H306" s="263"/>
      <c r="I306" s="263"/>
      <c r="J306" s="166"/>
      <c r="K306" s="37"/>
    </row>
    <row r="307" spans="1:44" x14ac:dyDescent="0.3">
      <c r="A307" s="112" t="s">
        <v>726</v>
      </c>
      <c r="B307" s="124"/>
      <c r="C307" s="124"/>
      <c r="D307" s="124"/>
      <c r="E307" s="289"/>
      <c r="F307" s="289"/>
      <c r="G307" s="289"/>
      <c r="H307" s="289"/>
      <c r="I307" s="289"/>
      <c r="J307" s="289"/>
      <c r="K307" s="148"/>
    </row>
    <row r="308" spans="1:44" x14ac:dyDescent="0.3">
      <c r="A308" s="269" t="s">
        <v>263</v>
      </c>
      <c r="B308" s="269" t="s">
        <v>497</v>
      </c>
      <c r="C308" s="49"/>
      <c r="D308" s="49"/>
      <c r="E308" s="281" t="s">
        <v>727</v>
      </c>
      <c r="F308" s="281" t="s">
        <v>727</v>
      </c>
      <c r="G308" s="281" t="s">
        <v>727</v>
      </c>
      <c r="H308" s="281" t="s">
        <v>727</v>
      </c>
      <c r="I308" s="281" t="s">
        <v>727</v>
      </c>
      <c r="J308" s="281" t="s">
        <v>727</v>
      </c>
      <c r="K308" s="37">
        <v>20</v>
      </c>
    </row>
    <row r="309" spans="1:44" x14ac:dyDescent="0.3">
      <c r="A309" s="269" t="s">
        <v>266</v>
      </c>
      <c r="B309" s="269" t="s">
        <v>499</v>
      </c>
      <c r="C309" s="49"/>
      <c r="D309" s="49"/>
      <c r="E309" s="281" t="s">
        <v>728</v>
      </c>
      <c r="F309" s="281" t="s">
        <v>728</v>
      </c>
      <c r="G309" s="281" t="s">
        <v>728</v>
      </c>
      <c r="H309" s="281" t="s">
        <v>728</v>
      </c>
      <c r="I309" s="281" t="s">
        <v>728</v>
      </c>
      <c r="J309" s="281" t="s">
        <v>728</v>
      </c>
      <c r="K309" s="37">
        <v>60</v>
      </c>
    </row>
    <row r="310" spans="1:44" x14ac:dyDescent="0.3">
      <c r="A310" s="269" t="s">
        <v>269</v>
      </c>
      <c r="B310" s="269" t="s">
        <v>501</v>
      </c>
      <c r="C310" s="49"/>
      <c r="D310" s="49"/>
      <c r="E310" s="281" t="s">
        <v>729</v>
      </c>
      <c r="F310" s="281" t="s">
        <v>729</v>
      </c>
      <c r="G310" s="281" t="s">
        <v>729</v>
      </c>
      <c r="H310" s="281" t="s">
        <v>729</v>
      </c>
      <c r="I310" s="281" t="s">
        <v>729</v>
      </c>
      <c r="J310" s="281" t="s">
        <v>729</v>
      </c>
      <c r="K310" s="37">
        <v>80</v>
      </c>
    </row>
    <row r="311" spans="1:44" x14ac:dyDescent="0.3">
      <c r="A311" s="156" t="s">
        <v>503</v>
      </c>
      <c r="B311" s="156" t="s">
        <v>504</v>
      </c>
      <c r="C311" s="123"/>
      <c r="D311" s="123"/>
      <c r="E311" s="188" t="s">
        <v>730</v>
      </c>
      <c r="F311" s="188" t="s">
        <v>730</v>
      </c>
      <c r="G311" s="188" t="s">
        <v>730</v>
      </c>
      <c r="H311" s="188" t="s">
        <v>730</v>
      </c>
      <c r="I311" s="188" t="s">
        <v>730</v>
      </c>
      <c r="J311" s="188" t="s">
        <v>730</v>
      </c>
      <c r="K311" s="37">
        <v>20</v>
      </c>
    </row>
    <row r="312" spans="1:44" x14ac:dyDescent="0.3">
      <c r="A312" s="156" t="s">
        <v>271</v>
      </c>
      <c r="B312" s="156" t="s">
        <v>272</v>
      </c>
      <c r="C312" s="123"/>
      <c r="D312" s="123"/>
      <c r="E312" s="298" t="s">
        <v>273</v>
      </c>
      <c r="F312" s="298" t="s">
        <v>273</v>
      </c>
      <c r="G312" s="298" t="s">
        <v>273</v>
      </c>
      <c r="H312" s="298" t="s">
        <v>273</v>
      </c>
      <c r="I312" s="298" t="s">
        <v>273</v>
      </c>
      <c r="J312" s="298" t="s">
        <v>273</v>
      </c>
      <c r="K312" s="37">
        <v>158</v>
      </c>
    </row>
    <row r="313" spans="1:44" x14ac:dyDescent="0.3">
      <c r="A313" s="156" t="s">
        <v>274</v>
      </c>
      <c r="B313" s="156" t="s">
        <v>275</v>
      </c>
      <c r="C313" s="123"/>
      <c r="D313" s="123"/>
      <c r="E313" s="298" t="s">
        <v>731</v>
      </c>
      <c r="F313" s="298" t="s">
        <v>731</v>
      </c>
      <c r="G313" s="298" t="s">
        <v>731</v>
      </c>
      <c r="H313" s="298" t="s">
        <v>731</v>
      </c>
      <c r="I313" s="298" t="s">
        <v>731</v>
      </c>
      <c r="J313" s="298" t="s">
        <v>731</v>
      </c>
      <c r="K313" s="37">
        <v>22</v>
      </c>
    </row>
    <row r="314" spans="1:44" x14ac:dyDescent="0.3">
      <c r="A314" s="156" t="s">
        <v>278</v>
      </c>
      <c r="B314" s="113" t="s">
        <v>279</v>
      </c>
      <c r="C314" s="123"/>
      <c r="D314" s="123"/>
      <c r="E314" s="57" t="s">
        <v>1553</v>
      </c>
      <c r="F314" s="57" t="s">
        <v>1553</v>
      </c>
      <c r="G314" s="57" t="s">
        <v>1553</v>
      </c>
      <c r="H314" s="57" t="s">
        <v>1553</v>
      </c>
      <c r="I314" s="57" t="s">
        <v>1553</v>
      </c>
      <c r="J314" s="57" t="s">
        <v>1553</v>
      </c>
      <c r="K314" s="37">
        <v>82</v>
      </c>
    </row>
    <row r="315" spans="1:44" s="308" customFormat="1" x14ac:dyDescent="0.3">
      <c r="A315" s="303"/>
      <c r="B315" s="168"/>
      <c r="C315" s="159"/>
      <c r="D315" s="159"/>
      <c r="E315" s="54"/>
      <c r="F315" s="54"/>
      <c r="G315" s="54"/>
      <c r="H315" s="54"/>
      <c r="I315" s="54"/>
      <c r="J315" s="54"/>
      <c r="K315" s="240"/>
      <c r="L315" s="213"/>
      <c r="M315" s="213"/>
      <c r="N315" s="213"/>
      <c r="O315" s="213"/>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c r="AR315" s="213"/>
    </row>
    <row r="316" spans="1:44" s="308" customFormat="1" x14ac:dyDescent="0.3">
      <c r="A316" s="197" t="s">
        <v>732</v>
      </c>
      <c r="B316" s="197"/>
      <c r="C316" s="197"/>
      <c r="D316" s="197"/>
      <c r="E316" s="41"/>
      <c r="F316" s="41"/>
      <c r="G316" s="41"/>
      <c r="H316" s="41"/>
      <c r="I316" s="41"/>
      <c r="J316" s="41"/>
      <c r="K316" s="242"/>
      <c r="L316" s="213"/>
      <c r="M316" s="213"/>
      <c r="N316" s="213"/>
      <c r="O316" s="213"/>
      <c r="P316" s="213"/>
      <c r="Q316" s="213"/>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c r="AR316" s="213"/>
    </row>
    <row r="317" spans="1:44" s="16" customFormat="1" ht="82.8" x14ac:dyDescent="0.3">
      <c r="A317" s="36" t="s">
        <v>125</v>
      </c>
      <c r="B317" s="36" t="s">
        <v>126</v>
      </c>
      <c r="C317" s="36" t="s">
        <v>127</v>
      </c>
      <c r="D317" s="36"/>
      <c r="E317" s="246"/>
      <c r="F317" s="246"/>
      <c r="G317" s="246"/>
      <c r="H317" s="246"/>
      <c r="I317" s="246"/>
      <c r="J317" s="246"/>
      <c r="K317" s="191" t="s">
        <v>130</v>
      </c>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row>
    <row r="318" spans="1:44" x14ac:dyDescent="0.3">
      <c r="A318" s="303"/>
      <c r="B318" s="168"/>
      <c r="C318" s="159"/>
      <c r="D318" s="159"/>
      <c r="E318" s="54"/>
      <c r="F318" s="54"/>
      <c r="G318" s="54"/>
      <c r="H318" s="54"/>
      <c r="I318" s="54"/>
      <c r="J318" s="54"/>
      <c r="K318" s="240"/>
    </row>
    <row r="319" spans="1:44" s="216" customFormat="1" ht="151.80000000000001" x14ac:dyDescent="0.3">
      <c r="A319" s="84" t="s">
        <v>1623</v>
      </c>
      <c r="B319" s="62" t="s">
        <v>1494</v>
      </c>
      <c r="C319" s="182"/>
      <c r="D319" s="182"/>
      <c r="E319" s="120"/>
      <c r="F319" s="120"/>
      <c r="G319" s="120"/>
      <c r="H319" s="120"/>
      <c r="I319" s="120"/>
      <c r="J319" s="120"/>
      <c r="K319" s="31">
        <v>689</v>
      </c>
    </row>
    <row r="320" spans="1:44" x14ac:dyDescent="0.3">
      <c r="A320" s="128"/>
      <c r="B320" s="187"/>
      <c r="C320" s="275"/>
      <c r="D320" s="275"/>
      <c r="E320" s="263"/>
      <c r="F320" s="263"/>
      <c r="G320" s="263"/>
      <c r="H320" s="263"/>
      <c r="I320" s="263"/>
      <c r="J320" s="263"/>
      <c r="K320" s="240"/>
    </row>
    <row r="321" spans="1:44" ht="151.80000000000001" x14ac:dyDescent="0.3">
      <c r="A321" s="269" t="s">
        <v>1624</v>
      </c>
      <c r="B321" s="187" t="s">
        <v>733</v>
      </c>
      <c r="C321" s="275"/>
      <c r="D321" s="275"/>
      <c r="E321" s="263"/>
      <c r="F321" s="263"/>
      <c r="G321" s="263"/>
      <c r="H321" s="263"/>
      <c r="I321" s="263"/>
      <c r="J321" s="263"/>
      <c r="K321" s="37">
        <v>873</v>
      </c>
    </row>
    <row r="322" spans="1:44" x14ac:dyDescent="0.3">
      <c r="A322" s="269"/>
      <c r="B322" s="187"/>
      <c r="C322" s="275"/>
      <c r="D322" s="275"/>
      <c r="E322" s="263"/>
      <c r="F322" s="263"/>
      <c r="G322" s="263"/>
      <c r="H322" s="263"/>
      <c r="I322" s="263"/>
      <c r="J322" s="263"/>
      <c r="K322" s="240"/>
    </row>
    <row r="323" spans="1:44" s="16" customFormat="1" ht="27.6" x14ac:dyDescent="0.3">
      <c r="A323" s="169" t="s">
        <v>734</v>
      </c>
      <c r="B323" s="36" t="s">
        <v>287</v>
      </c>
      <c r="C323" s="36" t="s">
        <v>127</v>
      </c>
      <c r="D323" s="36"/>
      <c r="E323" s="36" t="s">
        <v>735</v>
      </c>
      <c r="F323" s="36" t="s">
        <v>733</v>
      </c>
      <c r="G323" s="36"/>
      <c r="H323" s="36"/>
      <c r="I323" s="36"/>
      <c r="J323" s="36"/>
      <c r="K323" s="19"/>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row>
    <row r="324" spans="1:44" x14ac:dyDescent="0.3">
      <c r="A324" s="112" t="s">
        <v>143</v>
      </c>
      <c r="B324" s="119"/>
      <c r="C324" s="119"/>
      <c r="D324" s="119"/>
      <c r="E324" s="293"/>
      <c r="F324" s="293"/>
      <c r="G324" s="293"/>
      <c r="H324" s="293"/>
      <c r="I324" s="293"/>
      <c r="J324" s="293"/>
      <c r="K324" s="131"/>
    </row>
    <row r="325" spans="1:44" s="330" customFormat="1" x14ac:dyDescent="0.3">
      <c r="A325" s="82" t="s">
        <v>1632</v>
      </c>
      <c r="B325" s="82" t="s">
        <v>1631</v>
      </c>
      <c r="C325" s="123" t="s">
        <v>294</v>
      </c>
      <c r="D325" s="123" t="s">
        <v>294</v>
      </c>
      <c r="E325" s="298"/>
      <c r="F325" s="298" t="s">
        <v>736</v>
      </c>
      <c r="G325" s="298"/>
      <c r="H325" s="298"/>
      <c r="I325" s="298"/>
      <c r="J325" s="85"/>
      <c r="K325" s="37">
        <v>122</v>
      </c>
      <c r="L325" s="221"/>
      <c r="M325" s="221"/>
      <c r="N325" s="221"/>
      <c r="O325" s="221"/>
      <c r="P325" s="221"/>
      <c r="Q325" s="221"/>
      <c r="R325" s="221"/>
      <c r="S325" s="221"/>
      <c r="T325" s="221"/>
      <c r="U325" s="221"/>
      <c r="V325" s="221"/>
      <c r="W325" s="221"/>
      <c r="X325" s="221"/>
      <c r="Y325" s="221"/>
      <c r="Z325" s="221"/>
      <c r="AA325" s="221"/>
      <c r="AB325" s="221"/>
      <c r="AC325" s="221"/>
      <c r="AD325" s="221"/>
      <c r="AE325" s="221"/>
      <c r="AF325" s="221"/>
      <c r="AG325" s="221"/>
      <c r="AH325" s="221"/>
      <c r="AI325" s="221"/>
      <c r="AJ325" s="221"/>
      <c r="AK325" s="221"/>
      <c r="AL325" s="221"/>
      <c r="AM325" s="221"/>
      <c r="AN325" s="221"/>
      <c r="AO325" s="221"/>
      <c r="AP325" s="221"/>
      <c r="AQ325" s="221"/>
      <c r="AR325" s="221"/>
    </row>
    <row r="326" spans="1:44" s="226" customFormat="1" x14ac:dyDescent="0.3">
      <c r="A326" s="82" t="s">
        <v>1633</v>
      </c>
      <c r="B326" s="82" t="s">
        <v>737</v>
      </c>
      <c r="C326" s="160" t="s">
        <v>294</v>
      </c>
      <c r="D326" s="160" t="s">
        <v>294</v>
      </c>
      <c r="E326" s="57" t="s">
        <v>738</v>
      </c>
      <c r="F326" s="57"/>
      <c r="G326" s="57"/>
      <c r="H326" s="57"/>
      <c r="I326" s="57"/>
      <c r="J326" s="39"/>
      <c r="K326" s="31">
        <v>122</v>
      </c>
    </row>
    <row r="327" spans="1:44" s="226" customFormat="1" x14ac:dyDescent="0.3">
      <c r="A327" s="82" t="s">
        <v>1634</v>
      </c>
      <c r="B327" s="82" t="s">
        <v>739</v>
      </c>
      <c r="C327" s="160" t="s">
        <v>294</v>
      </c>
      <c r="D327" s="160" t="s">
        <v>294</v>
      </c>
      <c r="E327" s="57" t="s">
        <v>740</v>
      </c>
      <c r="F327" s="57"/>
      <c r="G327" s="57"/>
      <c r="H327" s="57"/>
      <c r="I327" s="57"/>
      <c r="J327" s="39"/>
      <c r="K327" s="31">
        <v>249</v>
      </c>
    </row>
    <row r="328" spans="1:44" s="330" customFormat="1" x14ac:dyDescent="0.3">
      <c r="A328" s="156" t="s">
        <v>1635</v>
      </c>
      <c r="B328" s="156" t="s">
        <v>741</v>
      </c>
      <c r="C328" s="123" t="s">
        <v>294</v>
      </c>
      <c r="D328" s="123" t="s">
        <v>294</v>
      </c>
      <c r="E328" s="298"/>
      <c r="F328" s="298" t="s">
        <v>742</v>
      </c>
      <c r="G328" s="298"/>
      <c r="H328" s="298"/>
      <c r="I328" s="298"/>
      <c r="J328" s="85"/>
      <c r="K328" s="37">
        <v>249</v>
      </c>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221"/>
      <c r="AH328" s="221"/>
      <c r="AI328" s="221"/>
      <c r="AJ328" s="221"/>
      <c r="AK328" s="221"/>
      <c r="AL328" s="221"/>
      <c r="AM328" s="221"/>
      <c r="AN328" s="221"/>
      <c r="AO328" s="221"/>
      <c r="AP328" s="221"/>
      <c r="AQ328" s="221"/>
      <c r="AR328" s="221"/>
    </row>
    <row r="329" spans="1:44" s="330" customFormat="1" x14ac:dyDescent="0.3">
      <c r="A329" s="303"/>
      <c r="B329" s="168"/>
      <c r="C329" s="159"/>
      <c r="D329" s="159"/>
      <c r="E329" s="54"/>
      <c r="F329" s="54"/>
      <c r="G329" s="54"/>
      <c r="H329" s="54"/>
      <c r="I329" s="54"/>
      <c r="J329" s="54"/>
      <c r="K329" s="37"/>
      <c r="L329" s="221"/>
      <c r="M329" s="221"/>
      <c r="N329" s="221"/>
      <c r="O329" s="221"/>
      <c r="P329" s="221"/>
      <c r="Q329" s="221"/>
      <c r="R329" s="221"/>
      <c r="S329" s="221"/>
      <c r="T329" s="221"/>
      <c r="U329" s="221"/>
      <c r="V329" s="221"/>
      <c r="W329" s="221"/>
      <c r="X329" s="221"/>
      <c r="Y329" s="221"/>
      <c r="Z329" s="221"/>
      <c r="AA329" s="221"/>
      <c r="AB329" s="221"/>
      <c r="AC329" s="221"/>
      <c r="AD329" s="221"/>
      <c r="AE329" s="221"/>
      <c r="AF329" s="221"/>
      <c r="AG329" s="221"/>
      <c r="AH329" s="221"/>
      <c r="AI329" s="221"/>
      <c r="AJ329" s="221"/>
      <c r="AK329" s="221"/>
      <c r="AL329" s="221"/>
      <c r="AM329" s="221"/>
      <c r="AN329" s="221"/>
      <c r="AO329" s="221"/>
      <c r="AP329" s="221"/>
      <c r="AQ329" s="221"/>
      <c r="AR329" s="221"/>
    </row>
    <row r="330" spans="1:44" s="330" customFormat="1" x14ac:dyDescent="0.3">
      <c r="A330" s="112" t="s">
        <v>1545</v>
      </c>
      <c r="B330" s="119"/>
      <c r="C330" s="119"/>
      <c r="D330" s="119"/>
      <c r="E330" s="293"/>
      <c r="F330" s="293"/>
      <c r="G330" s="293"/>
      <c r="H330" s="293"/>
      <c r="I330" s="293"/>
      <c r="J330" s="293"/>
      <c r="K330" s="131"/>
      <c r="L330" s="221"/>
      <c r="M330" s="221"/>
      <c r="N330" s="221"/>
      <c r="O330" s="221"/>
      <c r="P330" s="221"/>
      <c r="Q330" s="221"/>
      <c r="R330" s="221"/>
      <c r="S330" s="221"/>
      <c r="T330" s="221"/>
      <c r="U330" s="221"/>
      <c r="V330" s="221"/>
      <c r="W330" s="221"/>
      <c r="X330" s="221"/>
      <c r="Y330" s="221"/>
      <c r="Z330" s="221"/>
      <c r="AA330" s="221"/>
      <c r="AB330" s="221"/>
      <c r="AC330" s="221"/>
      <c r="AD330" s="221"/>
      <c r="AE330" s="221"/>
      <c r="AF330" s="221"/>
      <c r="AG330" s="221"/>
      <c r="AH330" s="221"/>
      <c r="AI330" s="221"/>
      <c r="AJ330" s="221"/>
      <c r="AK330" s="221"/>
      <c r="AL330" s="221"/>
      <c r="AM330" s="221"/>
      <c r="AN330" s="221"/>
      <c r="AO330" s="221"/>
      <c r="AP330" s="221"/>
      <c r="AQ330" s="221"/>
      <c r="AR330" s="221"/>
    </row>
    <row r="331" spans="1:44" s="225" customFormat="1" x14ac:dyDescent="0.3">
      <c r="A331" s="82" t="s">
        <v>1722</v>
      </c>
      <c r="B331" s="82" t="s">
        <v>743</v>
      </c>
      <c r="C331" s="160"/>
      <c r="D331" s="160"/>
      <c r="E331" s="57" t="s">
        <v>744</v>
      </c>
      <c r="F331" s="57"/>
      <c r="G331" s="57"/>
      <c r="H331" s="57"/>
      <c r="I331" s="57"/>
      <c r="J331" s="39"/>
      <c r="K331" s="31">
        <v>46</v>
      </c>
      <c r="L331" s="221"/>
      <c r="M331" s="221"/>
      <c r="N331" s="221"/>
      <c r="O331" s="221"/>
      <c r="P331" s="221"/>
      <c r="Q331" s="221"/>
      <c r="R331" s="221"/>
      <c r="S331" s="221"/>
      <c r="T331" s="221"/>
      <c r="U331" s="221"/>
      <c r="V331" s="221"/>
      <c r="W331" s="221"/>
      <c r="X331" s="221"/>
      <c r="Y331" s="221"/>
      <c r="Z331" s="221"/>
      <c r="AA331" s="221"/>
      <c r="AB331" s="221"/>
      <c r="AC331" s="221"/>
      <c r="AD331" s="221"/>
      <c r="AE331" s="221"/>
      <c r="AF331" s="221"/>
      <c r="AG331" s="221"/>
      <c r="AH331" s="221"/>
      <c r="AI331" s="221"/>
      <c r="AJ331" s="221"/>
      <c r="AK331" s="221"/>
      <c r="AL331" s="221"/>
      <c r="AM331" s="221"/>
      <c r="AN331" s="221"/>
      <c r="AO331" s="221"/>
      <c r="AP331" s="221"/>
      <c r="AQ331" s="221"/>
      <c r="AR331" s="221"/>
    </row>
    <row r="332" spans="1:44" s="225" customFormat="1" x14ac:dyDescent="0.3">
      <c r="A332" s="82" t="s">
        <v>1723</v>
      </c>
      <c r="B332" s="82" t="s">
        <v>745</v>
      </c>
      <c r="C332" s="160"/>
      <c r="D332" s="160"/>
      <c r="E332" s="57" t="s">
        <v>746</v>
      </c>
      <c r="F332" s="57"/>
      <c r="G332" s="57"/>
      <c r="H332" s="57"/>
      <c r="I332" s="57"/>
      <c r="J332" s="39"/>
      <c r="K332" s="31">
        <v>76</v>
      </c>
      <c r="L332" s="221"/>
      <c r="M332" s="221"/>
      <c r="N332" s="221"/>
      <c r="O332" s="221"/>
      <c r="P332" s="221"/>
      <c r="Q332" s="221"/>
      <c r="R332" s="221"/>
      <c r="S332" s="221"/>
      <c r="T332" s="221"/>
      <c r="U332" s="221"/>
      <c r="V332" s="221"/>
      <c r="W332" s="221"/>
      <c r="X332" s="221"/>
      <c r="Y332" s="221"/>
      <c r="Z332" s="221"/>
      <c r="AA332" s="221"/>
      <c r="AB332" s="221"/>
      <c r="AC332" s="221"/>
      <c r="AD332" s="221"/>
      <c r="AE332" s="221"/>
      <c r="AF332" s="221"/>
      <c r="AG332" s="221"/>
      <c r="AH332" s="221"/>
      <c r="AI332" s="221"/>
      <c r="AJ332" s="221"/>
      <c r="AK332" s="221"/>
      <c r="AL332" s="221"/>
      <c r="AM332" s="221"/>
      <c r="AN332" s="221"/>
      <c r="AO332" s="221"/>
      <c r="AP332" s="221"/>
      <c r="AQ332" s="221"/>
      <c r="AR332" s="221"/>
    </row>
    <row r="333" spans="1:44" s="225" customFormat="1" x14ac:dyDescent="0.3">
      <c r="A333" s="82" t="s">
        <v>1724</v>
      </c>
      <c r="B333" s="82" t="s">
        <v>747</v>
      </c>
      <c r="C333" s="182"/>
      <c r="D333" s="182"/>
      <c r="E333" s="57" t="s">
        <v>748</v>
      </c>
      <c r="F333" s="120"/>
      <c r="G333" s="120"/>
      <c r="H333" s="120"/>
      <c r="I333" s="120"/>
      <c r="J333" s="120"/>
      <c r="K333" s="31">
        <v>104</v>
      </c>
      <c r="L333" s="221"/>
      <c r="M333" s="221"/>
      <c r="N333" s="221"/>
      <c r="O333" s="221"/>
      <c r="P333" s="221"/>
      <c r="Q333" s="221"/>
      <c r="R333" s="221"/>
      <c r="S333" s="221"/>
      <c r="T333" s="221"/>
      <c r="U333" s="221"/>
      <c r="V333" s="221"/>
      <c r="W333" s="221"/>
      <c r="X333" s="221"/>
      <c r="Y333" s="221"/>
      <c r="Z333" s="221"/>
      <c r="AA333" s="221"/>
      <c r="AB333" s="221"/>
      <c r="AC333" s="221"/>
      <c r="AD333" s="221"/>
      <c r="AE333" s="221"/>
      <c r="AF333" s="221"/>
      <c r="AG333" s="221"/>
      <c r="AH333" s="221"/>
      <c r="AI333" s="221"/>
      <c r="AJ333" s="221"/>
      <c r="AK333" s="221"/>
      <c r="AL333" s="221"/>
      <c r="AM333" s="221"/>
      <c r="AN333" s="221"/>
      <c r="AO333" s="221"/>
      <c r="AP333" s="221"/>
      <c r="AQ333" s="221"/>
      <c r="AR333" s="221"/>
    </row>
    <row r="334" spans="1:44" s="225" customFormat="1" x14ac:dyDescent="0.3">
      <c r="A334" s="82"/>
      <c r="B334" s="82"/>
      <c r="C334" s="182"/>
      <c r="D334" s="182"/>
      <c r="E334" s="57"/>
      <c r="F334" s="120"/>
      <c r="G334" s="120"/>
      <c r="H334" s="120"/>
      <c r="I334" s="120"/>
      <c r="J334" s="120"/>
      <c r="K334" s="31"/>
      <c r="L334" s="221"/>
      <c r="M334" s="221"/>
      <c r="N334" s="221"/>
      <c r="O334" s="221"/>
      <c r="P334" s="221"/>
      <c r="Q334" s="221"/>
      <c r="R334" s="221"/>
      <c r="S334" s="221"/>
      <c r="T334" s="221"/>
      <c r="U334" s="221"/>
      <c r="V334" s="221"/>
      <c r="W334" s="221"/>
      <c r="X334" s="221"/>
      <c r="Y334" s="221"/>
      <c r="Z334" s="221"/>
      <c r="AA334" s="221"/>
      <c r="AB334" s="221"/>
      <c r="AC334" s="221"/>
      <c r="AD334" s="221"/>
      <c r="AE334" s="221"/>
      <c r="AF334" s="221"/>
      <c r="AG334" s="221"/>
      <c r="AH334" s="221"/>
      <c r="AI334" s="221"/>
      <c r="AJ334" s="221"/>
      <c r="AK334" s="221"/>
      <c r="AL334" s="221"/>
      <c r="AM334" s="221"/>
      <c r="AN334" s="221"/>
      <c r="AO334" s="221"/>
      <c r="AP334" s="221"/>
      <c r="AQ334" s="221"/>
      <c r="AR334" s="221"/>
    </row>
    <row r="335" spans="1:44" s="330" customFormat="1" x14ac:dyDescent="0.3">
      <c r="A335" s="112" t="s">
        <v>749</v>
      </c>
      <c r="B335" s="119"/>
      <c r="C335" s="119"/>
      <c r="D335" s="119"/>
      <c r="E335" s="293"/>
      <c r="F335" s="293"/>
      <c r="G335" s="293"/>
      <c r="H335" s="293"/>
      <c r="I335" s="293"/>
      <c r="J335" s="293"/>
      <c r="K335" s="131"/>
      <c r="L335" s="221"/>
      <c r="M335" s="221"/>
      <c r="N335" s="221"/>
      <c r="O335" s="221"/>
      <c r="P335" s="221"/>
      <c r="Q335" s="221"/>
      <c r="R335" s="221"/>
      <c r="S335" s="221"/>
      <c r="T335" s="221"/>
      <c r="U335" s="221"/>
      <c r="V335" s="221"/>
      <c r="W335" s="221"/>
      <c r="X335" s="221"/>
      <c r="Y335" s="221"/>
      <c r="Z335" s="221"/>
      <c r="AA335" s="221"/>
      <c r="AB335" s="221"/>
      <c r="AC335" s="221"/>
      <c r="AD335" s="221"/>
      <c r="AE335" s="221"/>
      <c r="AF335" s="221"/>
      <c r="AG335" s="221"/>
      <c r="AH335" s="221"/>
      <c r="AI335" s="221"/>
      <c r="AJ335" s="221"/>
      <c r="AK335" s="221"/>
      <c r="AL335" s="221"/>
      <c r="AM335" s="221"/>
      <c r="AN335" s="221"/>
      <c r="AO335" s="221"/>
      <c r="AP335" s="221"/>
      <c r="AQ335" s="221"/>
      <c r="AR335" s="221"/>
    </row>
    <row r="336" spans="1:44" s="330" customFormat="1" x14ac:dyDescent="0.3">
      <c r="A336" s="82" t="s">
        <v>1725</v>
      </c>
      <c r="B336" s="156" t="s">
        <v>750</v>
      </c>
      <c r="C336" s="123"/>
      <c r="D336" s="123"/>
      <c r="E336" s="298"/>
      <c r="F336" s="298" t="s">
        <v>751</v>
      </c>
      <c r="G336" s="298"/>
      <c r="H336" s="298"/>
      <c r="I336" s="298"/>
      <c r="J336" s="85"/>
      <c r="K336" s="37">
        <v>57</v>
      </c>
      <c r="L336" s="221"/>
      <c r="M336" s="221"/>
      <c r="N336" s="221"/>
      <c r="O336" s="221"/>
      <c r="P336" s="221"/>
      <c r="Q336" s="221"/>
      <c r="R336" s="221"/>
      <c r="S336" s="221"/>
      <c r="T336" s="221"/>
      <c r="U336" s="221"/>
      <c r="V336" s="221"/>
      <c r="W336" s="221"/>
      <c r="X336" s="221"/>
      <c r="Y336" s="221"/>
      <c r="Z336" s="221"/>
      <c r="AA336" s="221"/>
      <c r="AB336" s="221"/>
      <c r="AC336" s="221"/>
      <c r="AD336" s="221"/>
      <c r="AE336" s="221"/>
      <c r="AF336" s="221"/>
      <c r="AG336" s="221"/>
      <c r="AH336" s="221"/>
      <c r="AI336" s="221"/>
      <c r="AJ336" s="221"/>
      <c r="AK336" s="221"/>
      <c r="AL336" s="221"/>
      <c r="AM336" s="221"/>
      <c r="AN336" s="221"/>
      <c r="AO336" s="221"/>
      <c r="AP336" s="221"/>
      <c r="AQ336" s="221"/>
      <c r="AR336" s="221"/>
    </row>
    <row r="337" spans="1:44" s="330" customFormat="1" x14ac:dyDescent="0.3">
      <c r="A337" s="303"/>
      <c r="B337" s="168"/>
      <c r="C337" s="159"/>
      <c r="D337" s="159"/>
      <c r="E337" s="54"/>
      <c r="F337" s="54"/>
      <c r="G337" s="54"/>
      <c r="H337" s="54"/>
      <c r="I337" s="54"/>
      <c r="J337" s="54"/>
      <c r="K337" s="37"/>
      <c r="L337" s="221"/>
      <c r="M337" s="221"/>
      <c r="N337" s="221"/>
      <c r="O337" s="221"/>
      <c r="P337" s="221"/>
      <c r="Q337" s="221"/>
      <c r="R337" s="221"/>
      <c r="S337" s="221"/>
      <c r="T337" s="221"/>
      <c r="U337" s="221"/>
      <c r="V337" s="221"/>
      <c r="W337" s="221"/>
      <c r="X337" s="221"/>
      <c r="Y337" s="221"/>
      <c r="Z337" s="221"/>
      <c r="AA337" s="221"/>
      <c r="AB337" s="221"/>
      <c r="AC337" s="221"/>
      <c r="AD337" s="221"/>
      <c r="AE337" s="221"/>
      <c r="AF337" s="221"/>
      <c r="AG337" s="221"/>
      <c r="AH337" s="221"/>
      <c r="AI337" s="221"/>
      <c r="AJ337" s="221"/>
      <c r="AK337" s="221"/>
      <c r="AL337" s="221"/>
      <c r="AM337" s="221"/>
      <c r="AN337" s="221"/>
      <c r="AO337" s="221"/>
      <c r="AP337" s="221"/>
      <c r="AQ337" s="221"/>
      <c r="AR337" s="221"/>
    </row>
    <row r="338" spans="1:44" s="330" customFormat="1" x14ac:dyDescent="0.3">
      <c r="A338" s="112" t="s">
        <v>1544</v>
      </c>
      <c r="B338" s="119"/>
      <c r="C338" s="119"/>
      <c r="D338" s="119"/>
      <c r="E338" s="293"/>
      <c r="F338" s="293"/>
      <c r="G338" s="293"/>
      <c r="H338" s="293"/>
      <c r="I338" s="293"/>
      <c r="J338" s="293"/>
      <c r="K338" s="131"/>
      <c r="L338" s="221"/>
      <c r="M338" s="221"/>
      <c r="N338" s="221"/>
      <c r="O338" s="221"/>
      <c r="P338" s="221"/>
      <c r="Q338" s="221"/>
      <c r="R338" s="221"/>
      <c r="S338" s="221"/>
      <c r="T338" s="221"/>
      <c r="U338" s="221"/>
      <c r="V338" s="221"/>
      <c r="W338" s="221"/>
      <c r="X338" s="221"/>
      <c r="Y338" s="221"/>
      <c r="Z338" s="221"/>
      <c r="AA338" s="221"/>
      <c r="AB338" s="221"/>
      <c r="AC338" s="221"/>
      <c r="AD338" s="221"/>
      <c r="AE338" s="221"/>
      <c r="AF338" s="221"/>
      <c r="AG338" s="221"/>
      <c r="AH338" s="221"/>
      <c r="AI338" s="221"/>
      <c r="AJ338" s="221"/>
      <c r="AK338" s="221"/>
      <c r="AL338" s="221"/>
      <c r="AM338" s="221"/>
      <c r="AN338" s="221"/>
      <c r="AO338" s="221"/>
      <c r="AP338" s="221"/>
      <c r="AQ338" s="221"/>
      <c r="AR338" s="221"/>
    </row>
    <row r="339" spans="1:44" s="226" customFormat="1" x14ac:dyDescent="0.3">
      <c r="A339" s="82" t="s">
        <v>1625</v>
      </c>
      <c r="B339" s="220" t="s">
        <v>752</v>
      </c>
      <c r="C339" s="227"/>
      <c r="D339" s="227"/>
      <c r="E339" s="57" t="s">
        <v>753</v>
      </c>
      <c r="F339" s="108"/>
      <c r="G339" s="108"/>
      <c r="H339" s="108"/>
      <c r="I339" s="108"/>
      <c r="J339" s="167"/>
      <c r="K339" s="31">
        <v>50</v>
      </c>
    </row>
    <row r="340" spans="1:44" s="226" customFormat="1" x14ac:dyDescent="0.3">
      <c r="A340" s="82"/>
      <c r="B340" s="220"/>
      <c r="C340" s="227"/>
      <c r="D340" s="227"/>
      <c r="E340" s="57"/>
      <c r="F340" s="108"/>
      <c r="G340" s="108"/>
      <c r="H340" s="108"/>
      <c r="I340" s="108"/>
      <c r="J340" s="167"/>
      <c r="K340" s="31"/>
    </row>
    <row r="341" spans="1:44" s="330" customFormat="1" x14ac:dyDescent="0.3">
      <c r="A341" s="112" t="s">
        <v>226</v>
      </c>
      <c r="B341" s="119"/>
      <c r="C341" s="119"/>
      <c r="D341" s="119"/>
      <c r="E341" s="293"/>
      <c r="F341" s="293"/>
      <c r="G341" s="293"/>
      <c r="H341" s="293"/>
      <c r="I341" s="293"/>
      <c r="J341" s="293"/>
      <c r="K341" s="131"/>
      <c r="L341" s="221"/>
      <c r="M341" s="221"/>
      <c r="N341" s="221"/>
      <c r="O341" s="221"/>
      <c r="P341" s="221"/>
      <c r="Q341" s="221"/>
      <c r="R341" s="221"/>
      <c r="S341" s="221"/>
      <c r="T341" s="221"/>
      <c r="U341" s="221"/>
      <c r="V341" s="221"/>
      <c r="W341" s="221"/>
      <c r="X341" s="221"/>
      <c r="Y341" s="221"/>
      <c r="Z341" s="221"/>
      <c r="AA341" s="221"/>
      <c r="AB341" s="221"/>
      <c r="AC341" s="221"/>
      <c r="AD341" s="221"/>
      <c r="AE341" s="221"/>
      <c r="AF341" s="221"/>
      <c r="AG341" s="221"/>
      <c r="AH341" s="221"/>
      <c r="AI341" s="221"/>
      <c r="AJ341" s="221"/>
      <c r="AK341" s="221"/>
      <c r="AL341" s="221"/>
      <c r="AM341" s="221"/>
      <c r="AN341" s="221"/>
      <c r="AO341" s="221"/>
      <c r="AP341" s="221"/>
      <c r="AQ341" s="221"/>
      <c r="AR341" s="221"/>
    </row>
    <row r="342" spans="1:44" s="310" customFormat="1" x14ac:dyDescent="0.3">
      <c r="A342" s="269" t="s">
        <v>754</v>
      </c>
      <c r="B342" s="269" t="s">
        <v>233</v>
      </c>
      <c r="C342" s="123"/>
      <c r="D342" s="123"/>
      <c r="E342" s="298"/>
      <c r="F342" s="298" t="s">
        <v>755</v>
      </c>
      <c r="G342" s="298"/>
      <c r="H342" s="298"/>
      <c r="I342" s="298"/>
      <c r="J342" s="85"/>
      <c r="K342" s="37">
        <v>0</v>
      </c>
      <c r="L342" s="209"/>
      <c r="M342" s="209"/>
      <c r="N342" s="209"/>
      <c r="O342" s="209"/>
      <c r="P342" s="209"/>
      <c r="Q342" s="209"/>
      <c r="R342" s="209"/>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c r="AR342" s="209"/>
    </row>
    <row r="343" spans="1:44" s="219" customFormat="1" x14ac:dyDescent="0.3">
      <c r="A343" s="82" t="s">
        <v>756</v>
      </c>
      <c r="B343" s="82" t="s">
        <v>757</v>
      </c>
      <c r="C343" s="182"/>
      <c r="D343" s="182"/>
      <c r="E343" s="57" t="s">
        <v>758</v>
      </c>
      <c r="F343" s="120"/>
      <c r="G343" s="120"/>
      <c r="H343" s="120"/>
      <c r="I343" s="120"/>
      <c r="J343" s="120"/>
      <c r="K343" s="31">
        <v>0</v>
      </c>
    </row>
    <row r="344" spans="1:44" s="219" customFormat="1" x14ac:dyDescent="0.3">
      <c r="A344" s="82"/>
      <c r="B344" s="82"/>
      <c r="C344" s="182"/>
      <c r="D344" s="182"/>
      <c r="E344" s="57"/>
      <c r="F344" s="120"/>
      <c r="G344" s="120"/>
      <c r="H344" s="120"/>
      <c r="I344" s="120"/>
      <c r="J344" s="120"/>
      <c r="K344" s="31"/>
    </row>
    <row r="345" spans="1:44" s="310" customFormat="1" x14ac:dyDescent="0.3">
      <c r="A345" s="112" t="s">
        <v>204</v>
      </c>
      <c r="B345" s="119"/>
      <c r="C345" s="119"/>
      <c r="D345" s="119"/>
      <c r="E345" s="293"/>
      <c r="F345" s="293"/>
      <c r="G345" s="293"/>
      <c r="H345" s="293"/>
      <c r="I345" s="293"/>
      <c r="J345" s="293"/>
      <c r="K345" s="131"/>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row>
    <row r="346" spans="1:44" s="310" customFormat="1" x14ac:dyDescent="0.3">
      <c r="A346" s="269" t="s">
        <v>760</v>
      </c>
      <c r="B346" s="269" t="s">
        <v>760</v>
      </c>
      <c r="C346" s="123"/>
      <c r="D346" s="123"/>
      <c r="E346" s="298"/>
      <c r="F346" s="298" t="s">
        <v>759</v>
      </c>
      <c r="G346" s="298"/>
      <c r="H346" s="298"/>
      <c r="I346" s="298"/>
      <c r="J346" s="85"/>
      <c r="K346" s="37">
        <v>6</v>
      </c>
      <c r="L346" s="209"/>
      <c r="M346" s="209"/>
      <c r="N346" s="209"/>
      <c r="O346" s="209"/>
      <c r="P346" s="209"/>
      <c r="Q346" s="209"/>
      <c r="R346" s="209"/>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c r="AR346" s="209"/>
    </row>
    <row r="347" spans="1:44" s="219" customFormat="1" x14ac:dyDescent="0.3">
      <c r="A347" s="82" t="s">
        <v>1726</v>
      </c>
      <c r="B347" s="269" t="s">
        <v>763</v>
      </c>
      <c r="C347" s="160"/>
      <c r="D347" s="160"/>
      <c r="E347" s="57" t="s">
        <v>761</v>
      </c>
      <c r="F347" s="57"/>
      <c r="G347" s="57"/>
      <c r="H347" s="57"/>
      <c r="I347" s="57"/>
      <c r="J347" s="39"/>
      <c r="K347" s="31">
        <v>6</v>
      </c>
    </row>
    <row r="348" spans="1:44" s="310" customFormat="1" x14ac:dyDescent="0.3">
      <c r="A348" s="269" t="s">
        <v>1727</v>
      </c>
      <c r="B348" s="269" t="s">
        <v>646</v>
      </c>
      <c r="C348" s="123"/>
      <c r="D348" s="123"/>
      <c r="E348" s="298"/>
      <c r="F348" s="298" t="s">
        <v>762</v>
      </c>
      <c r="G348" s="298"/>
      <c r="H348" s="298"/>
      <c r="I348" s="298"/>
      <c r="J348" s="85"/>
      <c r="K348" s="37">
        <v>6</v>
      </c>
      <c r="L348" s="209"/>
      <c r="M348" s="209"/>
      <c r="N348" s="209"/>
      <c r="O348" s="209"/>
      <c r="P348" s="209"/>
      <c r="Q348" s="209"/>
      <c r="R348" s="209"/>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row>
    <row r="349" spans="1:44" s="219" customFormat="1" x14ac:dyDescent="0.3">
      <c r="A349" s="82" t="s">
        <v>760</v>
      </c>
      <c r="B349" s="269" t="s">
        <v>760</v>
      </c>
      <c r="C349" s="160"/>
      <c r="D349" s="160"/>
      <c r="E349" s="57" t="s">
        <v>764</v>
      </c>
      <c r="F349" s="57"/>
      <c r="G349" s="57"/>
      <c r="H349" s="57"/>
      <c r="I349" s="57"/>
      <c r="J349" s="39"/>
      <c r="K349" s="31">
        <v>6</v>
      </c>
    </row>
    <row r="350" spans="1:44" x14ac:dyDescent="0.3">
      <c r="A350" s="269" t="s">
        <v>1728</v>
      </c>
      <c r="B350" s="269" t="s">
        <v>763</v>
      </c>
      <c r="C350" s="123"/>
      <c r="D350" s="123"/>
      <c r="E350" s="298"/>
      <c r="F350" s="298" t="s">
        <v>765</v>
      </c>
      <c r="G350" s="298"/>
      <c r="H350" s="298"/>
      <c r="I350" s="298"/>
      <c r="J350" s="85"/>
      <c r="K350" s="37">
        <v>82</v>
      </c>
    </row>
    <row r="351" spans="1:44" s="219" customFormat="1" x14ac:dyDescent="0.3">
      <c r="A351" s="82" t="s">
        <v>1729</v>
      </c>
      <c r="B351" s="269" t="s">
        <v>429</v>
      </c>
      <c r="C351" s="182"/>
      <c r="D351" s="182"/>
      <c r="E351" s="57" t="s">
        <v>766</v>
      </c>
      <c r="F351" s="120"/>
      <c r="G351" s="120"/>
      <c r="H351" s="120"/>
      <c r="I351" s="120"/>
      <c r="J351" s="120"/>
      <c r="K351" s="31">
        <v>0</v>
      </c>
    </row>
    <row r="352" spans="1:44" s="209" customFormat="1" x14ac:dyDescent="0.3">
      <c r="A352" s="303"/>
      <c r="B352" s="156"/>
      <c r="C352" s="159"/>
      <c r="D352" s="159"/>
      <c r="E352" s="298"/>
      <c r="F352" s="54"/>
      <c r="G352" s="54"/>
      <c r="H352" s="54"/>
      <c r="I352" s="54"/>
      <c r="J352" s="54"/>
      <c r="K352" s="37"/>
    </row>
    <row r="353" spans="1:44" s="310" customFormat="1" x14ac:dyDescent="0.3">
      <c r="A353" s="112" t="s">
        <v>653</v>
      </c>
      <c r="B353" s="119"/>
      <c r="C353" s="119"/>
      <c r="D353" s="119"/>
      <c r="E353" s="293"/>
      <c r="F353" s="293"/>
      <c r="G353" s="293"/>
      <c r="H353" s="293"/>
      <c r="I353" s="293"/>
      <c r="J353" s="293"/>
      <c r="K353" s="131"/>
      <c r="L353" s="209"/>
      <c r="M353" s="209"/>
      <c r="N353" s="209"/>
      <c r="O353" s="209"/>
      <c r="P353" s="209"/>
      <c r="Q353" s="209"/>
      <c r="R353" s="209"/>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row>
    <row r="354" spans="1:44" s="310" customFormat="1" x14ac:dyDescent="0.3">
      <c r="A354" s="156" t="s">
        <v>767</v>
      </c>
      <c r="B354" s="156" t="s">
        <v>768</v>
      </c>
      <c r="C354" s="123"/>
      <c r="D354" s="123"/>
      <c r="E354" s="298"/>
      <c r="F354" s="298" t="s">
        <v>769</v>
      </c>
      <c r="G354" s="298"/>
      <c r="H354" s="298"/>
      <c r="I354" s="298"/>
      <c r="J354" s="85"/>
      <c r="K354" s="37">
        <v>0</v>
      </c>
      <c r="L354" s="209"/>
      <c r="M354" s="209"/>
      <c r="N354" s="209"/>
      <c r="O354" s="209"/>
      <c r="P354" s="209"/>
      <c r="Q354" s="209"/>
      <c r="R354" s="209"/>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row>
    <row r="355" spans="1:44" s="310" customFormat="1" x14ac:dyDescent="0.3">
      <c r="A355" s="156" t="s">
        <v>767</v>
      </c>
      <c r="B355" s="156" t="s">
        <v>1628</v>
      </c>
      <c r="C355" s="123"/>
      <c r="D355" s="123"/>
      <c r="E355" s="298" t="s">
        <v>1629</v>
      </c>
      <c r="F355" s="298"/>
      <c r="G355" s="298"/>
      <c r="H355" s="298"/>
      <c r="I355" s="298"/>
      <c r="J355" s="85"/>
      <c r="K355" s="37">
        <v>10</v>
      </c>
      <c r="L355" s="209"/>
      <c r="M355" s="209"/>
      <c r="N355" s="209"/>
      <c r="O355" s="209"/>
      <c r="P355" s="209"/>
      <c r="Q355" s="209"/>
      <c r="R355" s="209"/>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row>
    <row r="356" spans="1:44" s="310" customFormat="1" x14ac:dyDescent="0.3">
      <c r="A356" s="303"/>
      <c r="B356" s="168"/>
      <c r="C356" s="159"/>
      <c r="D356" s="159"/>
      <c r="E356" s="54"/>
      <c r="F356" s="54"/>
      <c r="G356" s="54"/>
      <c r="H356" s="54"/>
      <c r="I356" s="54"/>
      <c r="J356" s="54"/>
      <c r="K356" s="37"/>
      <c r="L356" s="209"/>
      <c r="M356" s="209"/>
      <c r="N356" s="209"/>
      <c r="O356" s="209"/>
      <c r="P356" s="209"/>
      <c r="Q356" s="209"/>
      <c r="R356" s="209"/>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row>
    <row r="357" spans="1:44" s="310" customFormat="1" x14ac:dyDescent="0.3">
      <c r="A357" s="112" t="s">
        <v>475</v>
      </c>
      <c r="B357" s="119"/>
      <c r="C357" s="119"/>
      <c r="D357" s="119"/>
      <c r="E357" s="293"/>
      <c r="F357" s="293"/>
      <c r="G357" s="293"/>
      <c r="H357" s="293"/>
      <c r="I357" s="293"/>
      <c r="J357" s="293"/>
      <c r="K357" s="131"/>
      <c r="L357" s="209"/>
      <c r="M357" s="209"/>
      <c r="N357" s="209"/>
      <c r="O357" s="209"/>
      <c r="P357" s="209"/>
      <c r="Q357" s="209"/>
      <c r="R357" s="209"/>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row>
    <row r="358" spans="1:44" s="208" customFormat="1" x14ac:dyDescent="0.3">
      <c r="A358" s="82" t="s">
        <v>476</v>
      </c>
      <c r="B358" s="82" t="s">
        <v>477</v>
      </c>
      <c r="C358" s="160"/>
      <c r="D358" s="160"/>
      <c r="E358" s="57"/>
      <c r="F358" s="57" t="s">
        <v>770</v>
      </c>
      <c r="G358" s="57"/>
      <c r="H358" s="57"/>
      <c r="I358" s="57"/>
      <c r="J358" s="39"/>
      <c r="K358" s="31">
        <v>6</v>
      </c>
      <c r="L358" s="209"/>
      <c r="M358" s="209"/>
      <c r="N358" s="209"/>
      <c r="O358" s="209"/>
      <c r="P358" s="209"/>
      <c r="Q358" s="209"/>
      <c r="R358" s="209"/>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row>
    <row r="359" spans="1:44" s="219" customFormat="1" x14ac:dyDescent="0.3">
      <c r="A359" s="82" t="s">
        <v>476</v>
      </c>
      <c r="B359" s="82" t="s">
        <v>477</v>
      </c>
      <c r="C359" s="160"/>
      <c r="D359" s="160"/>
      <c r="E359" s="57" t="s">
        <v>771</v>
      </c>
      <c r="F359" s="57"/>
      <c r="G359" s="57"/>
      <c r="H359" s="57"/>
      <c r="I359" s="57"/>
      <c r="J359" s="39"/>
      <c r="K359" s="31">
        <v>6</v>
      </c>
    </row>
    <row r="360" spans="1:44" s="208" customFormat="1" x14ac:dyDescent="0.3">
      <c r="A360" s="82" t="s">
        <v>1730</v>
      </c>
      <c r="B360" s="82" t="s">
        <v>772</v>
      </c>
      <c r="C360" s="160"/>
      <c r="D360" s="160"/>
      <c r="E360" s="57"/>
      <c r="F360" s="57" t="s">
        <v>773</v>
      </c>
      <c r="G360" s="57"/>
      <c r="H360" s="57"/>
      <c r="I360" s="57"/>
      <c r="J360" s="39"/>
      <c r="K360" s="31">
        <v>7</v>
      </c>
      <c r="L360" s="209"/>
      <c r="M360" s="209"/>
      <c r="N360" s="209"/>
      <c r="O360" s="209"/>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row>
    <row r="361" spans="1:44" s="219" customFormat="1" x14ac:dyDescent="0.3">
      <c r="A361" s="82" t="s">
        <v>1730</v>
      </c>
      <c r="B361" s="82" t="s">
        <v>483</v>
      </c>
      <c r="C361" s="160"/>
      <c r="D361" s="160"/>
      <c r="E361" s="57" t="s">
        <v>774</v>
      </c>
      <c r="F361" s="57"/>
      <c r="G361" s="57"/>
      <c r="H361" s="57"/>
      <c r="I361" s="57"/>
      <c r="J361" s="39"/>
      <c r="K361" s="31">
        <v>7</v>
      </c>
    </row>
    <row r="362" spans="1:44" s="208" customFormat="1" ht="27.6" x14ac:dyDescent="0.3">
      <c r="A362" s="82" t="s">
        <v>775</v>
      </c>
      <c r="B362" s="82" t="s">
        <v>243</v>
      </c>
      <c r="C362" s="160"/>
      <c r="D362" s="160"/>
      <c r="E362" s="57"/>
      <c r="F362" s="57" t="s">
        <v>776</v>
      </c>
      <c r="G362" s="57"/>
      <c r="H362" s="57"/>
      <c r="I362" s="57"/>
      <c r="J362" s="39"/>
      <c r="K362" s="31">
        <v>87</v>
      </c>
      <c r="L362" s="209"/>
      <c r="M362" s="209"/>
      <c r="N362" s="209"/>
      <c r="O362" s="209"/>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row>
    <row r="363" spans="1:44" s="219" customFormat="1" x14ac:dyDescent="0.3">
      <c r="A363" s="82" t="s">
        <v>775</v>
      </c>
      <c r="B363" s="82" t="s">
        <v>487</v>
      </c>
      <c r="C363" s="160"/>
      <c r="D363" s="160"/>
      <c r="E363" s="57" t="s">
        <v>777</v>
      </c>
      <c r="F363" s="57"/>
      <c r="G363" s="57"/>
      <c r="H363" s="57"/>
      <c r="I363" s="57"/>
      <c r="J363" s="39"/>
      <c r="K363" s="31">
        <v>87</v>
      </c>
    </row>
    <row r="364" spans="1:44" s="208" customFormat="1" ht="27.6" x14ac:dyDescent="0.3">
      <c r="A364" s="82" t="s">
        <v>704</v>
      </c>
      <c r="B364" s="82" t="s">
        <v>778</v>
      </c>
      <c r="C364" s="160"/>
      <c r="D364" s="160"/>
      <c r="E364" s="57"/>
      <c r="F364" s="57" t="s">
        <v>779</v>
      </c>
      <c r="G364" s="57"/>
      <c r="H364" s="57"/>
      <c r="I364" s="57"/>
      <c r="J364" s="39"/>
      <c r="K364" s="31">
        <v>267</v>
      </c>
      <c r="L364" s="209"/>
      <c r="M364" s="209"/>
      <c r="N364" s="209"/>
      <c r="O364" s="209"/>
      <c r="P364" s="209"/>
      <c r="Q364" s="209"/>
      <c r="R364" s="209"/>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row>
    <row r="365" spans="1:44" s="219" customFormat="1" x14ac:dyDescent="0.3">
      <c r="A365" s="82" t="s">
        <v>704</v>
      </c>
      <c r="B365" s="82" t="s">
        <v>705</v>
      </c>
      <c r="C365" s="160"/>
      <c r="D365" s="160"/>
      <c r="E365" s="57" t="s">
        <v>780</v>
      </c>
      <c r="F365" s="57"/>
      <c r="G365" s="57"/>
      <c r="H365" s="57"/>
      <c r="I365" s="57"/>
      <c r="J365" s="39"/>
      <c r="K365" s="31">
        <v>267</v>
      </c>
    </row>
    <row r="366" spans="1:44" s="330" customFormat="1" x14ac:dyDescent="0.3">
      <c r="A366" s="303"/>
      <c r="B366" s="168"/>
      <c r="C366" s="159"/>
      <c r="D366" s="159"/>
      <c r="E366" s="54"/>
      <c r="F366" s="54"/>
      <c r="G366" s="54"/>
      <c r="H366" s="54"/>
      <c r="I366" s="54"/>
      <c r="J366" s="54"/>
      <c r="K366" s="37"/>
      <c r="L366" s="221"/>
      <c r="M366" s="221"/>
      <c r="N366" s="221"/>
      <c r="O366" s="221"/>
      <c r="P366" s="221"/>
      <c r="Q366" s="221"/>
      <c r="R366" s="221"/>
      <c r="S366" s="221"/>
      <c r="T366" s="221"/>
      <c r="U366" s="221"/>
      <c r="V366" s="221"/>
      <c r="W366" s="221"/>
      <c r="X366" s="221"/>
      <c r="Y366" s="221"/>
      <c r="Z366" s="221"/>
      <c r="AA366" s="221"/>
      <c r="AB366" s="221"/>
      <c r="AC366" s="221"/>
      <c r="AD366" s="221"/>
      <c r="AE366" s="221"/>
      <c r="AF366" s="221"/>
      <c r="AG366" s="221"/>
      <c r="AH366" s="221"/>
      <c r="AI366" s="221"/>
      <c r="AJ366" s="221"/>
      <c r="AK366" s="221"/>
      <c r="AL366" s="221"/>
      <c r="AM366" s="221"/>
      <c r="AN366" s="221"/>
      <c r="AO366" s="221"/>
      <c r="AP366" s="221"/>
      <c r="AQ366" s="221"/>
      <c r="AR366" s="221"/>
    </row>
    <row r="367" spans="1:44" s="330" customFormat="1" x14ac:dyDescent="0.3">
      <c r="A367" s="112" t="s">
        <v>250</v>
      </c>
      <c r="B367" s="119"/>
      <c r="C367" s="119"/>
      <c r="D367" s="119"/>
      <c r="E367" s="293"/>
      <c r="F367" s="293"/>
      <c r="G367" s="293"/>
      <c r="H367" s="293"/>
      <c r="I367" s="293"/>
      <c r="J367" s="293"/>
      <c r="K367" s="131"/>
      <c r="L367" s="221"/>
      <c r="M367" s="221"/>
      <c r="N367" s="221"/>
      <c r="O367" s="221"/>
      <c r="P367" s="221"/>
      <c r="Q367" s="221"/>
      <c r="R367" s="221"/>
      <c r="S367" s="221"/>
      <c r="T367" s="221"/>
      <c r="U367" s="221"/>
      <c r="V367" s="221"/>
      <c r="W367" s="221"/>
      <c r="X367" s="221"/>
      <c r="Y367" s="221"/>
      <c r="Z367" s="221"/>
      <c r="AA367" s="221"/>
      <c r="AB367" s="221"/>
      <c r="AC367" s="221"/>
      <c r="AD367" s="221"/>
      <c r="AE367" s="221"/>
      <c r="AF367" s="221"/>
      <c r="AG367" s="221"/>
      <c r="AH367" s="221"/>
      <c r="AI367" s="221"/>
      <c r="AJ367" s="221"/>
      <c r="AK367" s="221"/>
      <c r="AL367" s="221"/>
      <c r="AM367" s="221"/>
      <c r="AN367" s="221"/>
      <c r="AO367" s="221"/>
      <c r="AP367" s="221"/>
      <c r="AQ367" s="221"/>
      <c r="AR367" s="221"/>
    </row>
    <row r="368" spans="1:44" s="226" customFormat="1" x14ac:dyDescent="0.3">
      <c r="A368" s="82" t="s">
        <v>715</v>
      </c>
      <c r="B368" s="82" t="s">
        <v>716</v>
      </c>
      <c r="C368" s="160"/>
      <c r="D368" s="160"/>
      <c r="E368" s="57" t="s">
        <v>781</v>
      </c>
      <c r="F368" s="57"/>
      <c r="G368" s="57"/>
      <c r="H368" s="57"/>
      <c r="I368" s="57"/>
      <c r="J368" s="39"/>
      <c r="K368" s="31">
        <v>7</v>
      </c>
    </row>
    <row r="369" spans="1:44" s="228" customFormat="1" x14ac:dyDescent="0.3">
      <c r="A369" s="82" t="s">
        <v>712</v>
      </c>
      <c r="B369" s="82" t="s">
        <v>782</v>
      </c>
      <c r="C369" s="160"/>
      <c r="D369" s="160"/>
      <c r="E369" s="298"/>
      <c r="F369" s="57" t="s">
        <v>783</v>
      </c>
      <c r="G369" s="57"/>
      <c r="H369" s="57"/>
      <c r="I369" s="57"/>
      <c r="J369" s="39"/>
      <c r="K369" s="31">
        <v>1</v>
      </c>
      <c r="L369" s="221"/>
      <c r="M369" s="221"/>
      <c r="N369" s="221"/>
      <c r="O369" s="221"/>
      <c r="P369" s="221"/>
      <c r="Q369" s="221"/>
      <c r="R369" s="221"/>
      <c r="S369" s="221"/>
      <c r="T369" s="221"/>
      <c r="U369" s="221"/>
      <c r="V369" s="221"/>
      <c r="W369" s="221"/>
      <c r="X369" s="221"/>
      <c r="Y369" s="221"/>
      <c r="Z369" s="221"/>
      <c r="AA369" s="221"/>
      <c r="AB369" s="221"/>
      <c r="AC369" s="221"/>
      <c r="AD369" s="221"/>
      <c r="AE369" s="221"/>
      <c r="AF369" s="221"/>
      <c r="AG369" s="221"/>
      <c r="AH369" s="221"/>
      <c r="AI369" s="221"/>
      <c r="AJ369" s="221"/>
      <c r="AK369" s="221"/>
      <c r="AL369" s="221"/>
      <c r="AM369" s="221"/>
      <c r="AN369" s="221"/>
      <c r="AO369" s="221"/>
      <c r="AP369" s="221"/>
      <c r="AQ369" s="221"/>
      <c r="AR369" s="221"/>
    </row>
    <row r="370" spans="1:44" s="226" customFormat="1" x14ac:dyDescent="0.3">
      <c r="A370" s="82" t="s">
        <v>712</v>
      </c>
      <c r="B370" s="82" t="s">
        <v>713</v>
      </c>
      <c r="C370" s="182"/>
      <c r="D370" s="182"/>
      <c r="E370" s="57" t="s">
        <v>714</v>
      </c>
      <c r="F370" s="120"/>
      <c r="G370" s="120"/>
      <c r="H370" s="120"/>
      <c r="I370" s="120"/>
      <c r="J370" s="120"/>
      <c r="K370" s="31">
        <v>1</v>
      </c>
    </row>
    <row r="371" spans="1:44" s="221" customFormat="1" x14ac:dyDescent="0.3">
      <c r="A371" s="303"/>
      <c r="B371" s="156"/>
      <c r="C371" s="159"/>
      <c r="D371" s="159"/>
      <c r="E371" s="298"/>
      <c r="F371" s="54"/>
      <c r="G371" s="54"/>
      <c r="H371" s="54"/>
      <c r="I371" s="54"/>
      <c r="J371" s="54"/>
      <c r="K371" s="37"/>
    </row>
    <row r="372" spans="1:44" s="330" customFormat="1" x14ac:dyDescent="0.3">
      <c r="A372" s="132" t="s">
        <v>235</v>
      </c>
      <c r="B372" s="142"/>
      <c r="C372" s="142"/>
      <c r="D372" s="142"/>
      <c r="E372" s="268"/>
      <c r="F372" s="268"/>
      <c r="G372" s="268"/>
      <c r="H372" s="268"/>
      <c r="I372" s="268"/>
      <c r="J372" s="268"/>
      <c r="K372" s="131"/>
      <c r="L372" s="221"/>
      <c r="M372" s="221"/>
      <c r="N372" s="221"/>
      <c r="O372" s="221"/>
      <c r="P372" s="221"/>
      <c r="Q372" s="221"/>
      <c r="R372" s="221"/>
      <c r="S372" s="221"/>
      <c r="T372" s="221"/>
      <c r="U372" s="221"/>
      <c r="V372" s="221"/>
      <c r="W372" s="221"/>
      <c r="X372" s="221"/>
      <c r="Y372" s="221"/>
      <c r="Z372" s="221"/>
      <c r="AA372" s="221"/>
      <c r="AB372" s="221"/>
      <c r="AC372" s="221"/>
      <c r="AD372" s="221"/>
      <c r="AE372" s="221"/>
      <c r="AF372" s="221"/>
      <c r="AG372" s="221"/>
      <c r="AH372" s="221"/>
      <c r="AI372" s="221"/>
      <c r="AJ372" s="221"/>
      <c r="AK372" s="221"/>
      <c r="AL372" s="221"/>
      <c r="AM372" s="221"/>
      <c r="AN372" s="221"/>
      <c r="AO372" s="221"/>
      <c r="AP372" s="221"/>
      <c r="AQ372" s="221"/>
      <c r="AR372" s="221"/>
    </row>
    <row r="373" spans="1:44" s="226" customFormat="1" x14ac:dyDescent="0.3">
      <c r="A373" s="82" t="s">
        <v>98</v>
      </c>
      <c r="B373" s="82" t="s">
        <v>236</v>
      </c>
      <c r="C373" s="182"/>
      <c r="D373" s="182"/>
      <c r="E373" s="57" t="s">
        <v>784</v>
      </c>
      <c r="F373" s="120"/>
      <c r="G373" s="120"/>
      <c r="H373" s="120"/>
      <c r="I373" s="120"/>
      <c r="J373" s="120"/>
      <c r="K373" s="31">
        <v>6</v>
      </c>
    </row>
    <row r="374" spans="1:44" s="221" customFormat="1" x14ac:dyDescent="0.3">
      <c r="A374" s="156"/>
      <c r="B374" s="156"/>
      <c r="C374" s="159"/>
      <c r="D374" s="159"/>
      <c r="E374" s="298"/>
      <c r="F374" s="54"/>
      <c r="G374" s="54"/>
      <c r="H374" s="54"/>
      <c r="I374" s="54"/>
      <c r="J374" s="54"/>
      <c r="K374" s="37"/>
    </row>
    <row r="375" spans="1:44" s="330" customFormat="1" x14ac:dyDescent="0.3">
      <c r="A375" s="112" t="s">
        <v>785</v>
      </c>
      <c r="B375" s="124"/>
      <c r="C375" s="124"/>
      <c r="D375" s="124"/>
      <c r="E375" s="289"/>
      <c r="F375" s="289"/>
      <c r="G375" s="289"/>
      <c r="H375" s="289"/>
      <c r="I375" s="289"/>
      <c r="J375" s="293"/>
      <c r="K375" s="131"/>
      <c r="L375" s="221"/>
      <c r="M375" s="221"/>
      <c r="N375" s="221"/>
      <c r="O375" s="221"/>
      <c r="P375" s="221"/>
      <c r="Q375" s="221"/>
      <c r="R375" s="221"/>
      <c r="S375" s="221"/>
      <c r="T375" s="221"/>
      <c r="U375" s="221"/>
      <c r="V375" s="221"/>
      <c r="W375" s="221"/>
      <c r="X375" s="221"/>
      <c r="Y375" s="221"/>
      <c r="Z375" s="221"/>
      <c r="AA375" s="221"/>
      <c r="AB375" s="221"/>
      <c r="AC375" s="221"/>
      <c r="AD375" s="221"/>
      <c r="AE375" s="221"/>
      <c r="AF375" s="221"/>
      <c r="AG375" s="221"/>
      <c r="AH375" s="221"/>
      <c r="AI375" s="221"/>
      <c r="AJ375" s="221"/>
      <c r="AK375" s="221"/>
      <c r="AL375" s="221"/>
      <c r="AM375" s="221"/>
      <c r="AN375" s="221"/>
      <c r="AO375" s="221"/>
      <c r="AP375" s="221"/>
      <c r="AQ375" s="221"/>
      <c r="AR375" s="221"/>
    </row>
    <row r="376" spans="1:44" s="228" customFormat="1" x14ac:dyDescent="0.3">
      <c r="A376" s="82" t="s">
        <v>263</v>
      </c>
      <c r="B376" s="82" t="s">
        <v>264</v>
      </c>
      <c r="C376" s="160"/>
      <c r="D376" s="160"/>
      <c r="E376" s="79"/>
      <c r="F376" s="79" t="s">
        <v>786</v>
      </c>
      <c r="G376" s="79"/>
      <c r="H376" s="79"/>
      <c r="I376" s="79"/>
      <c r="J376" s="64"/>
      <c r="K376" s="31">
        <v>10</v>
      </c>
      <c r="L376" s="221"/>
      <c r="M376" s="221"/>
      <c r="N376" s="221"/>
      <c r="O376" s="221"/>
      <c r="P376" s="221"/>
      <c r="Q376" s="221"/>
      <c r="R376" s="221"/>
      <c r="S376" s="221"/>
      <c r="T376" s="221"/>
      <c r="U376" s="221"/>
      <c r="V376" s="221"/>
      <c r="W376" s="221"/>
      <c r="X376" s="221"/>
      <c r="Y376" s="221"/>
      <c r="Z376" s="221"/>
      <c r="AA376" s="221"/>
      <c r="AB376" s="221"/>
      <c r="AC376" s="221"/>
      <c r="AD376" s="221"/>
      <c r="AE376" s="221"/>
      <c r="AF376" s="221"/>
      <c r="AG376" s="221"/>
      <c r="AH376" s="221"/>
      <c r="AI376" s="221"/>
      <c r="AJ376" s="221"/>
      <c r="AK376" s="221"/>
      <c r="AL376" s="221"/>
      <c r="AM376" s="221"/>
      <c r="AN376" s="221"/>
      <c r="AO376" s="221"/>
      <c r="AP376" s="221"/>
      <c r="AQ376" s="221"/>
      <c r="AR376" s="221"/>
    </row>
    <row r="377" spans="1:44" s="226" customFormat="1" x14ac:dyDescent="0.3">
      <c r="A377" s="82" t="s">
        <v>263</v>
      </c>
      <c r="B377" s="82" t="s">
        <v>497</v>
      </c>
      <c r="C377" s="160"/>
      <c r="D377" s="160"/>
      <c r="E377" s="57" t="s">
        <v>1737</v>
      </c>
      <c r="F377" s="79"/>
      <c r="G377" s="79"/>
      <c r="H377" s="79"/>
      <c r="I377" s="79"/>
      <c r="J377" s="64"/>
      <c r="K377" s="31">
        <v>10</v>
      </c>
    </row>
    <row r="378" spans="1:44" s="228" customFormat="1" x14ac:dyDescent="0.3">
      <c r="A378" s="82" t="s">
        <v>266</v>
      </c>
      <c r="B378" s="290" t="s">
        <v>267</v>
      </c>
      <c r="C378" s="247"/>
      <c r="D378" s="247"/>
      <c r="E378" s="79"/>
      <c r="F378" s="79" t="s">
        <v>787</v>
      </c>
      <c r="G378" s="79"/>
      <c r="H378" s="79"/>
      <c r="I378" s="79"/>
      <c r="J378" s="64"/>
      <c r="K378" s="31">
        <v>30</v>
      </c>
      <c r="L378" s="221"/>
      <c r="M378" s="221"/>
      <c r="N378" s="221"/>
      <c r="O378" s="221"/>
      <c r="P378" s="221"/>
      <c r="Q378" s="221"/>
      <c r="R378" s="221"/>
      <c r="S378" s="221"/>
      <c r="T378" s="221"/>
      <c r="U378" s="221"/>
      <c r="V378" s="221"/>
      <c r="W378" s="221"/>
      <c r="X378" s="221"/>
      <c r="Y378" s="221"/>
      <c r="Z378" s="221"/>
      <c r="AA378" s="221"/>
      <c r="AB378" s="221"/>
      <c r="AC378" s="221"/>
      <c r="AD378" s="221"/>
      <c r="AE378" s="221"/>
      <c r="AF378" s="221"/>
      <c r="AG378" s="221"/>
      <c r="AH378" s="221"/>
      <c r="AI378" s="221"/>
      <c r="AJ378" s="221"/>
      <c r="AK378" s="221"/>
      <c r="AL378" s="221"/>
      <c r="AM378" s="221"/>
      <c r="AN378" s="221"/>
      <c r="AO378" s="221"/>
      <c r="AP378" s="221"/>
      <c r="AQ378" s="221"/>
      <c r="AR378" s="221"/>
    </row>
    <row r="379" spans="1:44" s="226" customFormat="1" x14ac:dyDescent="0.3">
      <c r="A379" s="82" t="s">
        <v>266</v>
      </c>
      <c r="B379" s="290" t="s">
        <v>499</v>
      </c>
      <c r="C379" s="247"/>
      <c r="D379" s="247"/>
      <c r="E379" s="57" t="s">
        <v>788</v>
      </c>
      <c r="F379" s="79"/>
      <c r="G379" s="79"/>
      <c r="H379" s="79"/>
      <c r="I379" s="79"/>
      <c r="J379" s="64"/>
      <c r="K379" s="31">
        <v>30</v>
      </c>
    </row>
    <row r="380" spans="1:44" s="228" customFormat="1" x14ac:dyDescent="0.3">
      <c r="A380" s="82" t="s">
        <v>269</v>
      </c>
      <c r="B380" s="82" t="s">
        <v>270</v>
      </c>
      <c r="C380" s="160"/>
      <c r="D380" s="160"/>
      <c r="E380" s="79"/>
      <c r="F380" s="57" t="s">
        <v>789</v>
      </c>
      <c r="G380" s="108"/>
      <c r="H380" s="108"/>
      <c r="I380" s="108"/>
      <c r="J380" s="167"/>
      <c r="K380" s="31">
        <v>60</v>
      </c>
      <c r="L380" s="221"/>
      <c r="M380" s="221"/>
      <c r="N380" s="221"/>
      <c r="O380" s="221"/>
      <c r="P380" s="221"/>
      <c r="Q380" s="221"/>
      <c r="R380" s="221"/>
      <c r="S380" s="221"/>
      <c r="T380" s="221"/>
      <c r="U380" s="221"/>
      <c r="V380" s="221"/>
      <c r="W380" s="221"/>
      <c r="X380" s="221"/>
      <c r="Y380" s="221"/>
      <c r="Z380" s="221"/>
      <c r="AA380" s="221"/>
      <c r="AB380" s="221"/>
      <c r="AC380" s="221"/>
      <c r="AD380" s="221"/>
      <c r="AE380" s="221"/>
      <c r="AF380" s="221"/>
      <c r="AG380" s="221"/>
      <c r="AH380" s="221"/>
      <c r="AI380" s="221"/>
      <c r="AJ380" s="221"/>
      <c r="AK380" s="221"/>
      <c r="AL380" s="221"/>
      <c r="AM380" s="221"/>
      <c r="AN380" s="221"/>
      <c r="AO380" s="221"/>
      <c r="AP380" s="221"/>
      <c r="AQ380" s="221"/>
      <c r="AR380" s="221"/>
    </row>
    <row r="381" spans="1:44" s="226" customFormat="1" x14ac:dyDescent="0.3">
      <c r="A381" s="82" t="s">
        <v>269</v>
      </c>
      <c r="B381" s="82" t="s">
        <v>501</v>
      </c>
      <c r="C381" s="82"/>
      <c r="D381" s="82"/>
      <c r="E381" s="57" t="s">
        <v>790</v>
      </c>
      <c r="F381" s="57"/>
      <c r="G381" s="108"/>
      <c r="H381" s="108"/>
      <c r="I381" s="108"/>
      <c r="J381" s="167"/>
      <c r="K381" s="31">
        <v>60</v>
      </c>
    </row>
    <row r="382" spans="1:44" s="330" customFormat="1" x14ac:dyDescent="0.3">
      <c r="A382" s="156" t="s">
        <v>503</v>
      </c>
      <c r="B382" s="156" t="s">
        <v>1555</v>
      </c>
      <c r="C382" s="123"/>
      <c r="D382" s="123"/>
      <c r="E382" s="188" t="s">
        <v>791</v>
      </c>
      <c r="F382" s="188" t="s">
        <v>791</v>
      </c>
      <c r="G382" s="188"/>
      <c r="H382" s="188"/>
      <c r="I382" s="188"/>
      <c r="J382" s="75"/>
      <c r="K382" s="44">
        <v>20</v>
      </c>
      <c r="L382" s="221"/>
      <c r="M382" s="221"/>
      <c r="N382" s="221"/>
      <c r="O382" s="221"/>
      <c r="P382" s="221"/>
      <c r="Q382" s="221"/>
      <c r="R382" s="221"/>
      <c r="S382" s="221"/>
      <c r="T382" s="221"/>
      <c r="U382" s="221"/>
      <c r="V382" s="221"/>
      <c r="W382" s="221"/>
      <c r="X382" s="221"/>
      <c r="Y382" s="221"/>
      <c r="Z382" s="221"/>
      <c r="AA382" s="221"/>
      <c r="AB382" s="221"/>
      <c r="AC382" s="221"/>
      <c r="AD382" s="221"/>
      <c r="AE382" s="221"/>
      <c r="AF382" s="221"/>
      <c r="AG382" s="221"/>
      <c r="AH382" s="221"/>
      <c r="AI382" s="221"/>
      <c r="AJ382" s="221"/>
      <c r="AK382" s="221"/>
      <c r="AL382" s="221"/>
      <c r="AM382" s="221"/>
      <c r="AN382" s="221"/>
      <c r="AO382" s="221"/>
      <c r="AP382" s="221"/>
      <c r="AQ382" s="221"/>
      <c r="AR382" s="221"/>
    </row>
    <row r="383" spans="1:44" s="330" customFormat="1" x14ac:dyDescent="0.3">
      <c r="A383" s="156" t="s">
        <v>271</v>
      </c>
      <c r="B383" s="156" t="s">
        <v>272</v>
      </c>
      <c r="C383" s="123"/>
      <c r="D383" s="123"/>
      <c r="E383" s="298" t="s">
        <v>273</v>
      </c>
      <c r="F383" s="298" t="s">
        <v>273</v>
      </c>
      <c r="G383" s="298"/>
      <c r="H383" s="298"/>
      <c r="I383" s="298"/>
      <c r="J383" s="85"/>
      <c r="K383" s="44">
        <v>158</v>
      </c>
      <c r="L383" s="221"/>
      <c r="M383" s="221"/>
      <c r="N383" s="221"/>
      <c r="O383" s="221"/>
      <c r="P383" s="221"/>
      <c r="Q383" s="221"/>
      <c r="R383" s="221"/>
      <c r="S383" s="221"/>
      <c r="T383" s="221"/>
      <c r="U383" s="221"/>
      <c r="V383" s="221"/>
      <c r="W383" s="221"/>
      <c r="X383" s="221"/>
      <c r="Y383" s="221"/>
      <c r="Z383" s="221"/>
      <c r="AA383" s="221"/>
      <c r="AB383" s="221"/>
      <c r="AC383" s="221"/>
      <c r="AD383" s="221"/>
      <c r="AE383" s="221"/>
      <c r="AF383" s="221"/>
      <c r="AG383" s="221"/>
      <c r="AH383" s="221"/>
      <c r="AI383" s="221"/>
      <c r="AJ383" s="221"/>
      <c r="AK383" s="221"/>
      <c r="AL383" s="221"/>
      <c r="AM383" s="221"/>
      <c r="AN383" s="221"/>
      <c r="AO383" s="221"/>
      <c r="AP383" s="221"/>
      <c r="AQ383" s="221"/>
      <c r="AR383" s="221"/>
    </row>
    <row r="384" spans="1:44" s="330" customFormat="1" x14ac:dyDescent="0.3">
      <c r="A384" s="269" t="s">
        <v>274</v>
      </c>
      <c r="B384" s="269" t="s">
        <v>275</v>
      </c>
      <c r="C384" s="123"/>
      <c r="D384" s="123"/>
      <c r="E384" s="281" t="s">
        <v>277</v>
      </c>
      <c r="F384" s="298" t="s">
        <v>277</v>
      </c>
      <c r="G384" s="298"/>
      <c r="H384" s="298"/>
      <c r="I384" s="298"/>
      <c r="J384" s="85"/>
      <c r="K384" s="44">
        <v>158</v>
      </c>
      <c r="L384" s="221"/>
      <c r="M384" s="221"/>
      <c r="N384" s="221"/>
      <c r="O384" s="221"/>
      <c r="P384" s="221"/>
      <c r="Q384" s="221"/>
      <c r="R384" s="221"/>
      <c r="S384" s="221"/>
      <c r="T384" s="221"/>
      <c r="U384" s="221"/>
      <c r="V384" s="221"/>
      <c r="W384" s="221"/>
      <c r="X384" s="221"/>
      <c r="Y384" s="221"/>
      <c r="Z384" s="221"/>
      <c r="AA384" s="221"/>
      <c r="AB384" s="221"/>
      <c r="AC384" s="221"/>
      <c r="AD384" s="221"/>
      <c r="AE384" s="221"/>
      <c r="AF384" s="221"/>
      <c r="AG384" s="221"/>
      <c r="AH384" s="221"/>
      <c r="AI384" s="221"/>
      <c r="AJ384" s="221"/>
      <c r="AK384" s="221"/>
      <c r="AL384" s="221"/>
      <c r="AM384" s="221"/>
      <c r="AN384" s="221"/>
      <c r="AO384" s="221"/>
      <c r="AP384" s="221"/>
      <c r="AQ384" s="221"/>
      <c r="AR384" s="221"/>
    </row>
    <row r="385" spans="1:11" x14ac:dyDescent="0.3">
      <c r="A385" s="269" t="s">
        <v>278</v>
      </c>
      <c r="B385" s="171" t="s">
        <v>279</v>
      </c>
      <c r="C385" s="229"/>
      <c r="D385" s="229"/>
      <c r="E385" s="57" t="s">
        <v>1551</v>
      </c>
      <c r="F385" s="57" t="s">
        <v>1551</v>
      </c>
      <c r="G385" s="298"/>
      <c r="H385" s="298"/>
      <c r="I385" s="188"/>
      <c r="J385" s="75"/>
      <c r="K385" s="44">
        <v>52</v>
      </c>
    </row>
    <row r="386" spans="1:11" x14ac:dyDescent="0.3">
      <c r="C386" s="307"/>
      <c r="D386" s="307"/>
      <c r="K386" s="214"/>
    </row>
    <row r="387" spans="1:11" x14ac:dyDescent="0.3">
      <c r="C387" s="307"/>
      <c r="D387" s="307"/>
      <c r="K387" s="214"/>
    </row>
    <row r="388" spans="1:11" x14ac:dyDescent="0.3">
      <c r="C388" s="307"/>
      <c r="D388" s="307"/>
      <c r="E388" s="198"/>
      <c r="K388" s="214"/>
    </row>
    <row r="389" spans="1:11" x14ac:dyDescent="0.3">
      <c r="C389" s="307"/>
      <c r="D389" s="307"/>
      <c r="K389" s="214"/>
    </row>
    <row r="390" spans="1:11" x14ac:dyDescent="0.3">
      <c r="C390" s="307"/>
      <c r="D390" s="307"/>
      <c r="K390" s="214"/>
    </row>
    <row r="391" spans="1:11" x14ac:dyDescent="0.3">
      <c r="K391" s="214"/>
    </row>
    <row r="392" spans="1:11" x14ac:dyDescent="0.3">
      <c r="K392" s="214"/>
    </row>
    <row r="393" spans="1:11" x14ac:dyDescent="0.3">
      <c r="K393" s="214"/>
    </row>
    <row r="394" spans="1:11" x14ac:dyDescent="0.3">
      <c r="K394" s="214"/>
    </row>
    <row r="395" spans="1:11" x14ac:dyDescent="0.3">
      <c r="K395" s="214"/>
    </row>
    <row r="396" spans="1:11" x14ac:dyDescent="0.3">
      <c r="K396" s="214"/>
    </row>
    <row r="397" spans="1:11" x14ac:dyDescent="0.3">
      <c r="K397" s="214"/>
    </row>
    <row r="398" spans="1:11" x14ac:dyDescent="0.3">
      <c r="K398" s="214"/>
    </row>
    <row r="399" spans="1:11" x14ac:dyDescent="0.3">
      <c r="K399" s="214"/>
    </row>
    <row r="400" spans="1:11" x14ac:dyDescent="0.3">
      <c r="K400" s="214"/>
    </row>
    <row r="401" spans="11:11" x14ac:dyDescent="0.3">
      <c r="K401" s="214"/>
    </row>
    <row r="402" spans="11:11" x14ac:dyDescent="0.3">
      <c r="K402" s="214"/>
    </row>
  </sheetData>
  <phoneticPr fontId="1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275"/>
  <sheetViews>
    <sheetView zoomScale="80" zoomScaleNormal="80" workbookViewId="0">
      <selection activeCell="B61" sqref="B61"/>
    </sheetView>
  </sheetViews>
  <sheetFormatPr baseColWidth="10" defaultColWidth="9.33203125" defaultRowHeight="13.8" x14ac:dyDescent="0.25"/>
  <cols>
    <col min="1" max="1" width="94.5546875" style="311" customWidth="1"/>
    <col min="2" max="2" width="59.88671875" style="311" customWidth="1"/>
    <col min="3" max="3" width="19" style="311" bestFit="1" customWidth="1"/>
    <col min="4" max="4" width="17.5546875" style="311" bestFit="1" customWidth="1"/>
    <col min="5" max="5" width="9.44140625" style="311" customWidth="1"/>
    <col min="6" max="6" width="9.109375" style="311" bestFit="1" customWidth="1"/>
    <col min="7" max="7" width="9.6640625" style="311" bestFit="1" customWidth="1"/>
    <col min="8" max="9" width="9.109375" style="311" bestFit="1" customWidth="1"/>
    <col min="10" max="10" width="10.21875" style="311" bestFit="1" customWidth="1"/>
    <col min="11" max="11" width="9.44140625" style="311" bestFit="1" customWidth="1"/>
    <col min="12" max="12" width="9.6640625" style="311" bestFit="1" customWidth="1"/>
    <col min="13" max="13" width="14.6640625" style="311" bestFit="1" customWidth="1"/>
    <col min="14" max="14" width="12.33203125" style="311" bestFit="1" customWidth="1"/>
    <col min="15" max="16384" width="9.33203125" style="311"/>
  </cols>
  <sheetData>
    <row r="1" spans="1:14" x14ac:dyDescent="0.25">
      <c r="D1" s="310"/>
    </row>
    <row r="2" spans="1:14" x14ac:dyDescent="0.25">
      <c r="D2" s="310"/>
    </row>
    <row r="3" spans="1:14" x14ac:dyDescent="0.25">
      <c r="D3" s="310"/>
    </row>
    <row r="4" spans="1:14" x14ac:dyDescent="0.25">
      <c r="D4" s="310"/>
    </row>
    <row r="5" spans="1:14" x14ac:dyDescent="0.25">
      <c r="D5" s="310"/>
    </row>
    <row r="6" spans="1:14" x14ac:dyDescent="0.25">
      <c r="D6" s="310"/>
    </row>
    <row r="7" spans="1:14" ht="15.6" x14ac:dyDescent="0.25">
      <c r="A7" s="151" t="s">
        <v>122</v>
      </c>
      <c r="D7" s="310"/>
    </row>
    <row r="8" spans="1:14" ht="31.2" x14ac:dyDescent="0.25">
      <c r="A8" s="151" t="s">
        <v>123</v>
      </c>
      <c r="B8" s="47"/>
      <c r="C8" s="47"/>
      <c r="D8" s="310"/>
      <c r="E8" s="310"/>
      <c r="F8" s="310"/>
      <c r="G8" s="310"/>
      <c r="H8" s="310"/>
      <c r="I8" s="310"/>
      <c r="J8" s="310"/>
      <c r="K8" s="310"/>
      <c r="L8" s="310"/>
      <c r="M8" s="310"/>
      <c r="N8" s="310"/>
    </row>
    <row r="9" spans="1:14" x14ac:dyDescent="0.25">
      <c r="A9" s="286"/>
      <c r="B9" s="47"/>
      <c r="C9" s="47"/>
      <c r="D9" s="178"/>
      <c r="E9" s="310"/>
      <c r="F9" s="310"/>
      <c r="G9" s="310"/>
      <c r="H9" s="310"/>
      <c r="I9" s="310"/>
      <c r="J9" s="310"/>
      <c r="K9" s="310"/>
      <c r="L9" s="310"/>
      <c r="M9" s="310"/>
      <c r="N9" s="310"/>
    </row>
    <row r="10" spans="1:14" ht="42.75" customHeight="1" x14ac:dyDescent="0.25">
      <c r="A10" s="126" t="s">
        <v>792</v>
      </c>
      <c r="B10" s="40"/>
      <c r="C10" s="100"/>
      <c r="D10" s="297"/>
      <c r="E10" s="310"/>
      <c r="F10" s="310"/>
      <c r="G10" s="310"/>
      <c r="H10" s="310"/>
      <c r="I10" s="310"/>
      <c r="J10" s="310"/>
      <c r="K10" s="310"/>
      <c r="L10" s="310"/>
      <c r="M10" s="310"/>
      <c r="N10" s="310"/>
    </row>
    <row r="11" spans="1:14" ht="42" customHeight="1" x14ac:dyDescent="0.25">
      <c r="A11" s="302" t="s">
        <v>793</v>
      </c>
      <c r="B11" s="302" t="s">
        <v>794</v>
      </c>
      <c r="C11" s="88" t="s">
        <v>129</v>
      </c>
      <c r="D11" s="292" t="s">
        <v>142</v>
      </c>
      <c r="F11" s="310"/>
      <c r="G11" s="310"/>
      <c r="H11" s="310"/>
      <c r="I11" s="310"/>
      <c r="J11" s="310"/>
      <c r="K11" s="310"/>
      <c r="L11" s="310"/>
      <c r="M11" s="310"/>
      <c r="N11" s="310"/>
    </row>
    <row r="12" spans="1:14" x14ac:dyDescent="0.25">
      <c r="A12" s="21" t="s">
        <v>795</v>
      </c>
      <c r="B12" s="50"/>
      <c r="C12" s="50"/>
      <c r="D12" s="6"/>
      <c r="H12" s="310"/>
      <c r="I12" s="310"/>
      <c r="J12" s="310"/>
      <c r="K12" s="310"/>
      <c r="L12" s="310"/>
      <c r="M12" s="310"/>
      <c r="N12" s="310"/>
    </row>
    <row r="13" spans="1:14" x14ac:dyDescent="0.25">
      <c r="A13" s="269" t="s">
        <v>796</v>
      </c>
      <c r="B13" s="281" t="s">
        <v>797</v>
      </c>
      <c r="C13" s="49" t="s">
        <v>798</v>
      </c>
      <c r="D13" s="133">
        <v>47</v>
      </c>
      <c r="H13" s="310"/>
      <c r="I13" s="310"/>
      <c r="J13" s="310"/>
      <c r="K13" s="310"/>
      <c r="L13" s="310"/>
      <c r="M13" s="310"/>
      <c r="N13" s="310"/>
    </row>
    <row r="14" spans="1:14" x14ac:dyDescent="0.25">
      <c r="A14" s="269" t="s">
        <v>799</v>
      </c>
      <c r="B14" s="281" t="s">
        <v>800</v>
      </c>
      <c r="C14" s="58" t="s">
        <v>801</v>
      </c>
      <c r="D14" s="133">
        <v>89</v>
      </c>
      <c r="F14" s="310"/>
      <c r="G14" s="310"/>
      <c r="H14" s="310"/>
      <c r="I14" s="310"/>
      <c r="J14" s="310"/>
      <c r="K14" s="310"/>
      <c r="L14" s="310"/>
      <c r="M14" s="310"/>
      <c r="N14" s="310"/>
    </row>
    <row r="15" spans="1:14" x14ac:dyDescent="0.25">
      <c r="A15" s="269" t="s">
        <v>802</v>
      </c>
      <c r="B15" s="183" t="s">
        <v>803</v>
      </c>
      <c r="C15" s="49" t="s">
        <v>804</v>
      </c>
      <c r="D15" s="133">
        <v>126</v>
      </c>
      <c r="F15" s="310"/>
      <c r="G15" s="310"/>
      <c r="H15" s="310"/>
      <c r="I15" s="310"/>
      <c r="J15" s="310"/>
      <c r="K15" s="310"/>
      <c r="L15" s="310"/>
      <c r="M15" s="310"/>
      <c r="N15" s="310"/>
    </row>
    <row r="16" spans="1:14" x14ac:dyDescent="0.25">
      <c r="A16" s="269" t="s">
        <v>805</v>
      </c>
      <c r="B16" s="183" t="s">
        <v>806</v>
      </c>
      <c r="C16" s="49" t="s">
        <v>807</v>
      </c>
      <c r="D16" s="133">
        <v>185</v>
      </c>
      <c r="F16" s="310"/>
      <c r="G16" s="310"/>
      <c r="H16" s="310"/>
      <c r="I16" s="310"/>
      <c r="J16" s="310"/>
      <c r="K16" s="310"/>
      <c r="L16" s="310"/>
      <c r="M16" s="310"/>
      <c r="N16" s="310"/>
    </row>
    <row r="17" spans="1:14" x14ac:dyDescent="0.25">
      <c r="A17" s="269"/>
      <c r="B17" s="281"/>
      <c r="C17" s="134"/>
      <c r="D17" s="56"/>
      <c r="F17" s="310"/>
      <c r="G17" s="310"/>
      <c r="H17" s="310"/>
      <c r="I17" s="310"/>
      <c r="J17" s="310"/>
      <c r="K17" s="310"/>
      <c r="L17" s="310"/>
      <c r="M17" s="310"/>
      <c r="N17" s="310"/>
    </row>
    <row r="18" spans="1:14" x14ac:dyDescent="0.25">
      <c r="A18" s="21" t="s">
        <v>808</v>
      </c>
      <c r="B18" s="50"/>
      <c r="C18" s="50"/>
      <c r="D18" s="147"/>
      <c r="F18" s="310"/>
      <c r="G18" s="310"/>
      <c r="H18" s="310"/>
      <c r="I18" s="310"/>
      <c r="J18" s="310"/>
      <c r="K18" s="310"/>
      <c r="L18" s="310"/>
      <c r="M18" s="310"/>
      <c r="N18" s="310"/>
    </row>
    <row r="19" spans="1:14" x14ac:dyDescent="0.25">
      <c r="A19" s="156" t="s">
        <v>809</v>
      </c>
      <c r="B19" s="298" t="s">
        <v>810</v>
      </c>
      <c r="C19" s="55" t="s">
        <v>811</v>
      </c>
      <c r="D19" s="133">
        <v>178</v>
      </c>
      <c r="F19" s="310"/>
      <c r="G19" s="310"/>
      <c r="H19" s="310"/>
      <c r="I19" s="310"/>
      <c r="J19" s="310"/>
      <c r="K19" s="310"/>
      <c r="L19" s="310"/>
      <c r="M19" s="310"/>
      <c r="N19" s="310"/>
    </row>
    <row r="20" spans="1:14" x14ac:dyDescent="0.25">
      <c r="A20" s="156" t="s">
        <v>812</v>
      </c>
      <c r="B20" s="298" t="s">
        <v>1581</v>
      </c>
      <c r="C20" s="55" t="s">
        <v>813</v>
      </c>
      <c r="D20" s="133">
        <v>26</v>
      </c>
      <c r="F20" s="310"/>
      <c r="G20" s="310"/>
      <c r="H20" s="310"/>
      <c r="I20" s="310"/>
      <c r="J20" s="310"/>
      <c r="K20" s="310"/>
      <c r="L20" s="310"/>
      <c r="M20" s="310"/>
      <c r="N20" s="310"/>
    </row>
    <row r="21" spans="1:14" x14ac:dyDescent="0.25">
      <c r="A21" s="156" t="s">
        <v>814</v>
      </c>
      <c r="B21" s="298" t="s">
        <v>815</v>
      </c>
      <c r="C21" s="55" t="s">
        <v>816</v>
      </c>
      <c r="D21" s="133">
        <v>380</v>
      </c>
      <c r="F21" s="310"/>
      <c r="G21" s="310"/>
      <c r="H21" s="310"/>
      <c r="I21" s="310"/>
      <c r="J21" s="310"/>
      <c r="K21" s="310"/>
      <c r="L21" s="310"/>
      <c r="M21" s="310"/>
      <c r="N21" s="310"/>
    </row>
    <row r="22" spans="1:14" x14ac:dyDescent="0.25">
      <c r="A22" s="269"/>
      <c r="B22" s="281"/>
      <c r="C22" s="101"/>
      <c r="D22" s="56"/>
      <c r="F22" s="310"/>
      <c r="G22" s="310"/>
      <c r="H22" s="310"/>
      <c r="I22" s="310"/>
      <c r="J22" s="310"/>
      <c r="K22" s="310"/>
      <c r="L22" s="310"/>
      <c r="M22" s="310"/>
      <c r="N22" s="310"/>
    </row>
    <row r="23" spans="1:14" x14ac:dyDescent="0.25">
      <c r="A23" s="21" t="s">
        <v>817</v>
      </c>
      <c r="B23" s="50"/>
      <c r="C23" s="50"/>
      <c r="D23" s="147"/>
      <c r="F23" s="310"/>
      <c r="G23" s="310"/>
      <c r="H23" s="310"/>
      <c r="I23" s="310"/>
      <c r="J23" s="310"/>
      <c r="K23" s="310"/>
      <c r="L23" s="310"/>
      <c r="M23" s="310"/>
      <c r="N23" s="310"/>
    </row>
    <row r="24" spans="1:14" x14ac:dyDescent="0.25">
      <c r="A24" s="269" t="s">
        <v>818</v>
      </c>
      <c r="B24" s="281" t="s">
        <v>819</v>
      </c>
      <c r="C24" s="101" t="s">
        <v>820</v>
      </c>
      <c r="D24" s="133">
        <v>11</v>
      </c>
      <c r="F24" s="310"/>
      <c r="G24" s="310"/>
      <c r="H24" s="310"/>
      <c r="I24" s="310"/>
      <c r="J24" s="310"/>
      <c r="K24" s="310"/>
      <c r="L24" s="310"/>
      <c r="M24" s="310"/>
      <c r="N24" s="310"/>
    </row>
    <row r="25" spans="1:14" x14ac:dyDescent="0.25">
      <c r="A25" s="269" t="s">
        <v>821</v>
      </c>
      <c r="B25" s="99" t="s">
        <v>822</v>
      </c>
      <c r="C25" s="101" t="s">
        <v>823</v>
      </c>
      <c r="D25" s="133">
        <v>122</v>
      </c>
      <c r="F25" s="310"/>
      <c r="G25" s="310"/>
      <c r="H25" s="310"/>
      <c r="I25" s="310"/>
      <c r="J25" s="310"/>
      <c r="K25" s="310"/>
      <c r="L25" s="310"/>
      <c r="M25" s="310"/>
      <c r="N25" s="310"/>
    </row>
    <row r="26" spans="1:14" x14ac:dyDescent="0.25">
      <c r="A26" s="269" t="s">
        <v>824</v>
      </c>
      <c r="B26" s="128" t="s">
        <v>825</v>
      </c>
      <c r="C26" s="127" t="s">
        <v>826</v>
      </c>
      <c r="D26" s="133">
        <v>14</v>
      </c>
      <c r="F26" s="310"/>
      <c r="G26" s="310"/>
      <c r="H26" s="310"/>
      <c r="I26" s="310"/>
      <c r="J26" s="310"/>
      <c r="K26" s="310"/>
      <c r="L26" s="310"/>
      <c r="M26" s="310"/>
      <c r="N26" s="310"/>
    </row>
    <row r="27" spans="1:14" x14ac:dyDescent="0.25">
      <c r="A27" s="269" t="s">
        <v>827</v>
      </c>
      <c r="B27" s="99" t="s">
        <v>827</v>
      </c>
      <c r="C27" s="30" t="s">
        <v>828</v>
      </c>
      <c r="D27" s="133">
        <v>14</v>
      </c>
      <c r="F27" s="310"/>
      <c r="G27" s="310"/>
      <c r="H27" s="310"/>
      <c r="I27" s="310"/>
      <c r="J27" s="310"/>
      <c r="K27" s="310"/>
      <c r="L27" s="310"/>
      <c r="M27" s="310"/>
      <c r="N27" s="310"/>
    </row>
    <row r="28" spans="1:14" x14ac:dyDescent="0.25">
      <c r="A28" s="156" t="s">
        <v>829</v>
      </c>
      <c r="B28" s="303" t="s">
        <v>830</v>
      </c>
      <c r="C28" s="55" t="s">
        <v>831</v>
      </c>
      <c r="D28" s="133">
        <v>30</v>
      </c>
      <c r="F28" s="310"/>
      <c r="G28" s="310"/>
      <c r="H28" s="310"/>
      <c r="I28" s="310"/>
      <c r="J28" s="310"/>
      <c r="K28" s="310"/>
      <c r="L28" s="310"/>
      <c r="M28" s="310"/>
      <c r="N28" s="310"/>
    </row>
    <row r="29" spans="1:14" x14ac:dyDescent="0.25">
      <c r="A29" s="156" t="s">
        <v>832</v>
      </c>
      <c r="B29" s="303" t="s">
        <v>833</v>
      </c>
      <c r="C29" s="55" t="s">
        <v>834</v>
      </c>
      <c r="D29" s="133">
        <v>19</v>
      </c>
      <c r="F29" s="310"/>
      <c r="G29" s="310"/>
      <c r="H29" s="310"/>
      <c r="I29" s="310"/>
      <c r="J29" s="310"/>
      <c r="K29" s="310"/>
      <c r="L29" s="310"/>
      <c r="M29" s="310"/>
      <c r="N29" s="310"/>
    </row>
    <row r="30" spans="1:14" x14ac:dyDescent="0.25">
      <c r="A30" s="51" t="s">
        <v>835</v>
      </c>
      <c r="B30" s="51" t="s">
        <v>836</v>
      </c>
      <c r="C30" s="49" t="s">
        <v>837</v>
      </c>
      <c r="D30" s="133">
        <v>32</v>
      </c>
      <c r="F30" s="310"/>
      <c r="G30" s="310"/>
      <c r="H30" s="310"/>
      <c r="I30" s="310"/>
      <c r="J30" s="310"/>
      <c r="K30" s="310"/>
      <c r="L30" s="310"/>
      <c r="M30" s="310"/>
      <c r="N30" s="310"/>
    </row>
    <row r="31" spans="1:14" x14ac:dyDescent="0.25">
      <c r="A31" s="51" t="s">
        <v>838</v>
      </c>
      <c r="B31" s="51" t="s">
        <v>839</v>
      </c>
      <c r="C31" s="49" t="s">
        <v>840</v>
      </c>
      <c r="D31" s="133">
        <v>22</v>
      </c>
      <c r="F31" s="310"/>
      <c r="G31" s="310"/>
      <c r="H31" s="310"/>
      <c r="I31" s="310"/>
      <c r="J31" s="310"/>
      <c r="K31" s="310"/>
      <c r="L31" s="310"/>
      <c r="M31" s="310"/>
      <c r="N31" s="310"/>
    </row>
    <row r="32" spans="1:14" x14ac:dyDescent="0.25">
      <c r="A32" s="269"/>
      <c r="B32" s="281"/>
      <c r="C32" s="49"/>
      <c r="D32" s="56"/>
      <c r="F32" s="310"/>
      <c r="G32" s="310"/>
      <c r="H32" s="310"/>
      <c r="I32" s="310"/>
      <c r="J32" s="310"/>
      <c r="K32" s="310"/>
      <c r="L32" s="310"/>
      <c r="M32" s="310"/>
      <c r="N32" s="310"/>
    </row>
    <row r="33" spans="1:14" x14ac:dyDescent="0.25">
      <c r="A33" s="21" t="s">
        <v>841</v>
      </c>
      <c r="B33" s="50"/>
      <c r="C33" s="50"/>
      <c r="D33" s="147"/>
      <c r="F33" s="310"/>
      <c r="G33" s="310"/>
      <c r="H33" s="310"/>
      <c r="I33" s="310"/>
      <c r="J33" s="310"/>
      <c r="K33" s="310"/>
      <c r="L33" s="310"/>
      <c r="M33" s="310"/>
      <c r="N33" s="310"/>
    </row>
    <row r="34" spans="1:14" x14ac:dyDescent="0.25">
      <c r="A34" s="269" t="s">
        <v>842</v>
      </c>
      <c r="B34" s="281" t="s">
        <v>843</v>
      </c>
      <c r="C34" s="101" t="s">
        <v>844</v>
      </c>
      <c r="D34" s="133">
        <v>4</v>
      </c>
      <c r="F34" s="310"/>
      <c r="G34" s="310"/>
      <c r="H34" s="310"/>
      <c r="I34" s="310"/>
      <c r="J34" s="310"/>
      <c r="K34" s="310"/>
      <c r="L34" s="310"/>
      <c r="M34" s="310"/>
      <c r="N34" s="310"/>
    </row>
    <row r="35" spans="1:14" x14ac:dyDescent="0.25">
      <c r="A35" s="269" t="s">
        <v>845</v>
      </c>
      <c r="B35" s="281" t="s">
        <v>846</v>
      </c>
      <c r="C35" s="161" t="s">
        <v>847</v>
      </c>
      <c r="D35" s="133">
        <v>13</v>
      </c>
      <c r="F35" s="310"/>
      <c r="G35" s="310"/>
      <c r="H35" s="310"/>
      <c r="I35" s="310"/>
      <c r="J35" s="310"/>
      <c r="K35" s="310"/>
      <c r="L35" s="310"/>
      <c r="M35" s="310"/>
      <c r="N35" s="310"/>
    </row>
    <row r="36" spans="1:14" x14ac:dyDescent="0.25">
      <c r="A36" s="269" t="s">
        <v>848</v>
      </c>
      <c r="B36" s="281" t="s">
        <v>849</v>
      </c>
      <c r="C36" s="101" t="s">
        <v>850</v>
      </c>
      <c r="D36" s="133">
        <v>17</v>
      </c>
      <c r="F36" s="310"/>
      <c r="G36" s="310"/>
      <c r="H36" s="310"/>
      <c r="I36" s="310"/>
      <c r="J36" s="310"/>
      <c r="K36" s="310"/>
      <c r="L36" s="310"/>
      <c r="M36" s="310"/>
      <c r="N36" s="310"/>
    </row>
    <row r="37" spans="1:14" x14ac:dyDescent="0.25">
      <c r="A37" s="269" t="s">
        <v>851</v>
      </c>
      <c r="B37" s="281" t="s">
        <v>852</v>
      </c>
      <c r="C37" s="101" t="s">
        <v>853</v>
      </c>
      <c r="D37" s="133">
        <v>28</v>
      </c>
      <c r="F37" s="310"/>
      <c r="G37" s="310"/>
      <c r="H37" s="310"/>
      <c r="I37" s="310"/>
      <c r="J37" s="310"/>
      <c r="K37" s="310"/>
      <c r="L37" s="310"/>
      <c r="M37" s="310"/>
      <c r="N37" s="310"/>
    </row>
    <row r="38" spans="1:14" x14ac:dyDescent="0.25">
      <c r="A38" s="269" t="s">
        <v>854</v>
      </c>
      <c r="B38" s="281" t="s">
        <v>855</v>
      </c>
      <c r="C38" s="101" t="s">
        <v>856</v>
      </c>
      <c r="D38" s="133">
        <v>32</v>
      </c>
      <c r="F38" s="310"/>
      <c r="G38" s="310"/>
      <c r="H38" s="310"/>
      <c r="I38" s="310"/>
      <c r="J38" s="310"/>
      <c r="K38" s="310"/>
      <c r="L38" s="310"/>
      <c r="M38" s="310"/>
      <c r="N38" s="310"/>
    </row>
    <row r="39" spans="1:14" x14ac:dyDescent="0.25">
      <c r="A39" s="156" t="s">
        <v>857</v>
      </c>
      <c r="B39" s="298" t="s">
        <v>260</v>
      </c>
      <c r="C39" s="135" t="s">
        <v>858</v>
      </c>
      <c r="D39" s="133">
        <v>33</v>
      </c>
      <c r="F39" s="310"/>
      <c r="G39" s="310"/>
      <c r="H39" s="310"/>
      <c r="I39" s="310"/>
      <c r="J39" s="310"/>
      <c r="K39" s="310"/>
      <c r="L39" s="310"/>
      <c r="M39" s="310"/>
      <c r="N39" s="310"/>
    </row>
    <row r="40" spans="1:14" x14ac:dyDescent="0.25">
      <c r="A40" s="269" t="s">
        <v>1583</v>
      </c>
      <c r="B40" s="281" t="s">
        <v>1582</v>
      </c>
      <c r="C40" s="101" t="s">
        <v>859</v>
      </c>
      <c r="D40" s="133">
        <v>36</v>
      </c>
      <c r="F40" s="310"/>
      <c r="G40" s="310"/>
      <c r="H40" s="310"/>
      <c r="I40" s="310"/>
      <c r="J40" s="310"/>
      <c r="K40" s="310"/>
      <c r="L40" s="310"/>
      <c r="M40" s="310"/>
      <c r="N40" s="310"/>
    </row>
    <row r="41" spans="1:14" x14ac:dyDescent="0.25">
      <c r="A41" s="269" t="s">
        <v>860</v>
      </c>
      <c r="B41" s="281" t="s">
        <v>861</v>
      </c>
      <c r="C41" s="101" t="s">
        <v>862</v>
      </c>
      <c r="D41" s="133">
        <v>48</v>
      </c>
      <c r="F41" s="310"/>
      <c r="G41" s="310"/>
      <c r="H41" s="310"/>
      <c r="I41" s="310"/>
      <c r="J41" s="310"/>
      <c r="K41" s="310"/>
      <c r="L41" s="310"/>
      <c r="M41" s="310"/>
      <c r="N41" s="310"/>
    </row>
    <row r="42" spans="1:14" x14ac:dyDescent="0.25">
      <c r="A42" s="269" t="s">
        <v>863</v>
      </c>
      <c r="B42" s="281" t="s">
        <v>864</v>
      </c>
      <c r="C42" s="101" t="s">
        <v>865</v>
      </c>
      <c r="D42" s="133">
        <v>5</v>
      </c>
      <c r="F42" s="310"/>
      <c r="G42" s="310"/>
      <c r="H42" s="310"/>
      <c r="I42" s="310"/>
      <c r="J42" s="310"/>
      <c r="K42" s="310"/>
      <c r="L42" s="310"/>
      <c r="M42" s="310"/>
      <c r="N42" s="310"/>
    </row>
    <row r="43" spans="1:14" x14ac:dyDescent="0.25">
      <c r="A43" s="269" t="s">
        <v>866</v>
      </c>
      <c r="B43" s="281" t="s">
        <v>867</v>
      </c>
      <c r="C43" s="101" t="s">
        <v>868</v>
      </c>
      <c r="D43" s="133">
        <v>58</v>
      </c>
      <c r="F43" s="310"/>
      <c r="G43" s="310"/>
      <c r="H43" s="310"/>
      <c r="I43" s="310"/>
      <c r="J43" s="310"/>
      <c r="K43" s="310"/>
      <c r="L43" s="310"/>
      <c r="M43" s="310"/>
      <c r="N43" s="310"/>
    </row>
    <row r="44" spans="1:14" x14ac:dyDescent="0.25">
      <c r="A44" s="269" t="s">
        <v>869</v>
      </c>
      <c r="B44" s="281" t="s">
        <v>870</v>
      </c>
      <c r="C44" s="101" t="s">
        <v>871</v>
      </c>
      <c r="D44" s="133">
        <v>447</v>
      </c>
      <c r="F44" s="310"/>
      <c r="G44" s="310"/>
      <c r="H44" s="310"/>
      <c r="I44" s="310"/>
      <c r="J44" s="310"/>
      <c r="K44" s="310"/>
      <c r="L44" s="310"/>
      <c r="M44" s="310"/>
      <c r="N44" s="310"/>
    </row>
    <row r="45" spans="1:14" x14ac:dyDescent="0.25">
      <c r="A45" s="51" t="s">
        <v>872</v>
      </c>
      <c r="B45" s="51" t="s">
        <v>873</v>
      </c>
      <c r="C45" s="49" t="s">
        <v>874</v>
      </c>
      <c r="D45" s="133">
        <v>10</v>
      </c>
      <c r="F45" s="310"/>
      <c r="G45" s="310"/>
      <c r="H45" s="310"/>
      <c r="I45" s="310"/>
      <c r="J45" s="310"/>
      <c r="K45" s="310"/>
      <c r="L45" s="310"/>
      <c r="M45" s="310"/>
      <c r="N45" s="310"/>
    </row>
    <row r="46" spans="1:14" x14ac:dyDescent="0.25">
      <c r="A46" s="269"/>
      <c r="B46" s="281"/>
      <c r="C46" s="101"/>
      <c r="D46" s="56"/>
      <c r="F46" s="310"/>
      <c r="G46" s="310"/>
      <c r="H46" s="310"/>
      <c r="I46" s="310"/>
      <c r="J46" s="310"/>
      <c r="K46" s="310"/>
      <c r="L46" s="310"/>
      <c r="M46" s="310"/>
      <c r="N46" s="310"/>
    </row>
    <row r="47" spans="1:14" x14ac:dyDescent="0.25">
      <c r="A47" s="21" t="s">
        <v>875</v>
      </c>
      <c r="B47" s="50"/>
      <c r="C47" s="50"/>
      <c r="D47" s="147"/>
      <c r="F47" s="310"/>
      <c r="G47" s="310"/>
      <c r="H47" s="310"/>
      <c r="I47" s="310"/>
      <c r="J47" s="310"/>
      <c r="K47" s="310"/>
      <c r="L47" s="310"/>
      <c r="M47" s="310"/>
      <c r="N47" s="310"/>
    </row>
    <row r="48" spans="1:14" x14ac:dyDescent="0.25">
      <c r="A48" s="156" t="s">
        <v>876</v>
      </c>
      <c r="B48" s="303" t="s">
        <v>877</v>
      </c>
      <c r="C48" s="55" t="s">
        <v>878</v>
      </c>
      <c r="D48" s="133">
        <v>18</v>
      </c>
      <c r="F48" s="310"/>
      <c r="G48" s="310"/>
      <c r="H48" s="310"/>
      <c r="I48" s="310"/>
      <c r="J48" s="310"/>
      <c r="K48" s="310"/>
      <c r="L48" s="310"/>
      <c r="M48" s="310"/>
      <c r="N48" s="310"/>
    </row>
    <row r="49" spans="1:14" x14ac:dyDescent="0.25">
      <c r="A49" s="156" t="s">
        <v>879</v>
      </c>
      <c r="B49" s="303" t="s">
        <v>880</v>
      </c>
      <c r="C49" s="55" t="s">
        <v>881</v>
      </c>
      <c r="D49" s="133">
        <v>66</v>
      </c>
      <c r="F49" s="310"/>
      <c r="G49" s="310"/>
      <c r="H49" s="310"/>
      <c r="I49" s="310"/>
      <c r="J49" s="310"/>
      <c r="K49" s="310"/>
      <c r="L49" s="310"/>
      <c r="M49" s="310"/>
      <c r="N49" s="310"/>
    </row>
    <row r="50" spans="1:14" x14ac:dyDescent="0.25">
      <c r="A50" s="282"/>
      <c r="B50" s="282"/>
      <c r="C50" s="35"/>
      <c r="D50" s="56"/>
      <c r="F50" s="310"/>
      <c r="G50" s="310"/>
      <c r="H50" s="310"/>
      <c r="I50" s="310"/>
      <c r="J50" s="310"/>
      <c r="K50" s="310"/>
      <c r="L50" s="310"/>
      <c r="M50" s="310"/>
      <c r="N50" s="310"/>
    </row>
    <row r="51" spans="1:14" x14ac:dyDescent="0.25">
      <c r="A51" s="21" t="s">
        <v>882</v>
      </c>
      <c r="B51" s="50"/>
      <c r="C51" s="50"/>
      <c r="D51" s="147"/>
      <c r="F51" s="310"/>
      <c r="G51" s="310"/>
      <c r="H51" s="310"/>
      <c r="I51" s="310"/>
      <c r="J51" s="310"/>
      <c r="K51" s="310"/>
      <c r="L51" s="310"/>
      <c r="M51" s="310"/>
      <c r="N51" s="310"/>
    </row>
    <row r="52" spans="1:14" x14ac:dyDescent="0.25">
      <c r="A52" s="298" t="s">
        <v>883</v>
      </c>
      <c r="B52" s="298" t="s">
        <v>883</v>
      </c>
      <c r="C52" s="55" t="s">
        <v>884</v>
      </c>
      <c r="D52" s="133">
        <v>28</v>
      </c>
      <c r="F52" s="310"/>
      <c r="G52" s="310"/>
      <c r="H52" s="310"/>
      <c r="I52" s="310"/>
      <c r="J52" s="310"/>
      <c r="K52" s="310"/>
      <c r="L52" s="310"/>
      <c r="M52" s="310"/>
      <c r="N52" s="310"/>
    </row>
    <row r="53" spans="1:14" ht="14.25" customHeight="1" x14ac:dyDescent="0.25">
      <c r="A53" s="298" t="s">
        <v>885</v>
      </c>
      <c r="B53" s="298" t="s">
        <v>885</v>
      </c>
      <c r="C53" s="121" t="s">
        <v>886</v>
      </c>
      <c r="D53" s="133">
        <v>48</v>
      </c>
      <c r="F53" s="310"/>
      <c r="G53" s="310"/>
      <c r="H53" s="310"/>
      <c r="I53" s="310"/>
      <c r="J53" s="310"/>
      <c r="K53" s="310"/>
      <c r="L53" s="310"/>
      <c r="M53" s="310"/>
      <c r="N53" s="310"/>
    </row>
    <row r="54" spans="1:14" ht="14.25" customHeight="1" x14ac:dyDescent="0.25">
      <c r="A54" s="281" t="s">
        <v>887</v>
      </c>
      <c r="B54" s="281" t="s">
        <v>888</v>
      </c>
      <c r="C54" s="35" t="s">
        <v>889</v>
      </c>
      <c r="D54" s="56">
        <v>21</v>
      </c>
      <c r="F54" s="310"/>
      <c r="G54" s="310"/>
      <c r="H54" s="310"/>
      <c r="I54" s="310"/>
      <c r="J54" s="310"/>
      <c r="K54" s="310"/>
      <c r="L54" s="310"/>
      <c r="M54" s="310"/>
      <c r="N54" s="310"/>
    </row>
    <row r="55" spans="1:14" ht="14.25" customHeight="1" x14ac:dyDescent="0.25">
      <c r="A55" s="269" t="s">
        <v>890</v>
      </c>
      <c r="B55" s="269" t="s">
        <v>891</v>
      </c>
      <c r="C55" s="49" t="s">
        <v>892</v>
      </c>
      <c r="D55" s="256">
        <v>24</v>
      </c>
      <c r="F55" s="310"/>
      <c r="G55" s="310"/>
      <c r="H55" s="310"/>
      <c r="I55" s="310"/>
      <c r="J55" s="310"/>
      <c r="K55" s="310"/>
      <c r="L55" s="310"/>
      <c r="M55" s="310"/>
      <c r="N55" s="310"/>
    </row>
    <row r="56" spans="1:14" ht="14.25" customHeight="1" x14ac:dyDescent="0.25">
      <c r="A56" s="269" t="s">
        <v>893</v>
      </c>
      <c r="B56" s="269" t="s">
        <v>894</v>
      </c>
      <c r="C56" s="49" t="s">
        <v>895</v>
      </c>
      <c r="D56" s="256">
        <v>28</v>
      </c>
      <c r="F56" s="310"/>
      <c r="G56" s="310"/>
      <c r="H56" s="310"/>
      <c r="I56" s="310"/>
      <c r="J56" s="310"/>
      <c r="K56" s="310"/>
      <c r="L56" s="310"/>
      <c r="M56" s="310"/>
      <c r="N56" s="310"/>
    </row>
    <row r="57" spans="1:14" x14ac:dyDescent="0.25">
      <c r="A57" s="269" t="s">
        <v>896</v>
      </c>
      <c r="B57" s="128" t="s">
        <v>897</v>
      </c>
      <c r="C57" s="101" t="s">
        <v>898</v>
      </c>
      <c r="D57" s="56">
        <v>31</v>
      </c>
      <c r="F57" s="310"/>
      <c r="G57" s="310"/>
      <c r="H57" s="310"/>
      <c r="I57" s="310"/>
      <c r="J57" s="310"/>
      <c r="K57" s="310"/>
      <c r="L57" s="310"/>
      <c r="M57" s="310"/>
      <c r="N57" s="310"/>
    </row>
    <row r="58" spans="1:14" ht="14.25" customHeight="1" x14ac:dyDescent="0.25">
      <c r="A58" s="269" t="s">
        <v>899</v>
      </c>
      <c r="B58" s="128" t="s">
        <v>900</v>
      </c>
      <c r="C58" s="49" t="s">
        <v>901</v>
      </c>
      <c r="D58" s="60">
        <v>35</v>
      </c>
      <c r="F58" s="310"/>
      <c r="G58" s="310"/>
      <c r="H58" s="310"/>
      <c r="I58" s="310"/>
      <c r="J58" s="310"/>
      <c r="K58" s="310"/>
      <c r="L58" s="310"/>
      <c r="M58" s="310"/>
      <c r="N58" s="310"/>
    </row>
    <row r="59" spans="1:14" ht="14.25" customHeight="1" x14ac:dyDescent="0.25">
      <c r="A59" s="281" t="s">
        <v>902</v>
      </c>
      <c r="B59" s="281" t="s">
        <v>903</v>
      </c>
      <c r="C59" s="35" t="s">
        <v>904</v>
      </c>
      <c r="D59" s="56">
        <v>42</v>
      </c>
      <c r="F59" s="310"/>
      <c r="G59" s="310"/>
      <c r="H59" s="310"/>
      <c r="I59" s="310"/>
      <c r="J59" s="310"/>
      <c r="K59" s="310"/>
      <c r="L59" s="310"/>
      <c r="M59" s="310"/>
      <c r="N59" s="310"/>
    </row>
    <row r="60" spans="1:14" ht="27.6" x14ac:dyDescent="0.25">
      <c r="A60" s="281" t="s">
        <v>905</v>
      </c>
      <c r="B60" s="281" t="s">
        <v>906</v>
      </c>
      <c r="C60" s="101" t="s">
        <v>907</v>
      </c>
      <c r="D60" s="56">
        <v>71</v>
      </c>
      <c r="F60" s="310"/>
      <c r="G60" s="310"/>
      <c r="H60" s="310"/>
      <c r="I60" s="310"/>
      <c r="J60" s="310"/>
      <c r="K60" s="310"/>
      <c r="L60" s="310"/>
      <c r="M60" s="310"/>
      <c r="N60" s="310"/>
    </row>
    <row r="61" spans="1:14" x14ac:dyDescent="0.25">
      <c r="A61" s="38" t="s">
        <v>908</v>
      </c>
      <c r="B61" s="46" t="s">
        <v>909</v>
      </c>
      <c r="C61" s="134" t="s">
        <v>910</v>
      </c>
      <c r="D61" s="56">
        <v>79</v>
      </c>
      <c r="F61" s="310"/>
      <c r="G61" s="310"/>
      <c r="H61" s="310"/>
      <c r="I61" s="310"/>
      <c r="J61" s="310"/>
      <c r="K61" s="310"/>
      <c r="L61" s="310"/>
      <c r="M61" s="310"/>
      <c r="N61" s="310"/>
    </row>
    <row r="62" spans="1:14" x14ac:dyDescent="0.25">
      <c r="A62" s="269" t="s">
        <v>911</v>
      </c>
      <c r="B62" s="281" t="s">
        <v>912</v>
      </c>
      <c r="C62" s="101" t="s">
        <v>913</v>
      </c>
      <c r="D62" s="56">
        <v>93</v>
      </c>
      <c r="F62" s="310"/>
      <c r="G62" s="310"/>
      <c r="H62" s="310"/>
      <c r="I62" s="310"/>
      <c r="J62" s="310"/>
      <c r="K62" s="310"/>
      <c r="L62" s="310"/>
      <c r="M62" s="310"/>
      <c r="N62" s="310"/>
    </row>
    <row r="63" spans="1:14" x14ac:dyDescent="0.25">
      <c r="A63" s="269" t="s">
        <v>914</v>
      </c>
      <c r="B63" s="281" t="s">
        <v>915</v>
      </c>
      <c r="C63" s="101" t="s">
        <v>916</v>
      </c>
      <c r="D63" s="56">
        <v>105</v>
      </c>
      <c r="F63" s="310"/>
      <c r="G63" s="310"/>
      <c r="H63" s="310"/>
      <c r="I63" s="310"/>
      <c r="J63" s="310"/>
      <c r="K63" s="310"/>
      <c r="L63" s="310"/>
      <c r="M63" s="310"/>
      <c r="N63" s="310"/>
    </row>
    <row r="64" spans="1:14" x14ac:dyDescent="0.25">
      <c r="A64" s="269" t="s">
        <v>917</v>
      </c>
      <c r="B64" s="281" t="s">
        <v>918</v>
      </c>
      <c r="C64" s="101" t="s">
        <v>919</v>
      </c>
      <c r="D64" s="56">
        <v>121</v>
      </c>
      <c r="F64" s="310"/>
      <c r="G64" s="310"/>
      <c r="H64" s="310"/>
      <c r="I64" s="310"/>
      <c r="J64" s="310"/>
      <c r="K64" s="310"/>
      <c r="L64" s="310"/>
      <c r="M64" s="310"/>
      <c r="N64" s="310"/>
    </row>
    <row r="65" spans="1:14" ht="27.6" x14ac:dyDescent="0.25">
      <c r="A65" s="269" t="s">
        <v>920</v>
      </c>
      <c r="B65" s="281" t="s">
        <v>921</v>
      </c>
      <c r="C65" s="101" t="s">
        <v>922</v>
      </c>
      <c r="D65" s="56">
        <v>130</v>
      </c>
      <c r="F65" s="310"/>
      <c r="G65" s="310"/>
      <c r="H65" s="310"/>
      <c r="I65" s="310"/>
      <c r="J65" s="310"/>
      <c r="K65" s="310"/>
      <c r="L65" s="310"/>
      <c r="M65" s="310"/>
      <c r="N65" s="310"/>
    </row>
    <row r="66" spans="1:14" ht="27.6" x14ac:dyDescent="0.25">
      <c r="A66" s="156" t="s">
        <v>923</v>
      </c>
      <c r="B66" s="298" t="s">
        <v>924</v>
      </c>
      <c r="C66" s="55" t="s">
        <v>925</v>
      </c>
      <c r="D66" s="133">
        <v>45</v>
      </c>
      <c r="F66" s="310"/>
      <c r="G66" s="310"/>
      <c r="H66" s="310"/>
      <c r="I66" s="310"/>
      <c r="J66" s="310"/>
      <c r="K66" s="310"/>
      <c r="L66" s="310"/>
      <c r="M66" s="310"/>
      <c r="N66" s="310"/>
    </row>
    <row r="67" spans="1:14" x14ac:dyDescent="0.25">
      <c r="A67" s="109" t="s">
        <v>926</v>
      </c>
      <c r="B67" s="109" t="s">
        <v>927</v>
      </c>
      <c r="C67" s="121" t="s">
        <v>928</v>
      </c>
      <c r="D67" s="133">
        <v>84</v>
      </c>
      <c r="J67" s="310"/>
      <c r="K67" s="310"/>
      <c r="L67" s="310"/>
      <c r="M67" s="310"/>
      <c r="N67" s="310"/>
    </row>
    <row r="68" spans="1:14" x14ac:dyDescent="0.25">
      <c r="A68" s="156" t="s">
        <v>929</v>
      </c>
      <c r="B68" s="298" t="s">
        <v>930</v>
      </c>
      <c r="C68" s="55" t="s">
        <v>931</v>
      </c>
      <c r="D68" s="133">
        <v>134</v>
      </c>
      <c r="J68" s="310"/>
      <c r="K68" s="310"/>
      <c r="L68" s="310"/>
      <c r="M68" s="310"/>
      <c r="N68" s="310"/>
    </row>
    <row r="69" spans="1:14" x14ac:dyDescent="0.25">
      <c r="A69" s="156" t="s">
        <v>932</v>
      </c>
      <c r="B69" s="298" t="s">
        <v>933</v>
      </c>
      <c r="C69" s="55" t="s">
        <v>934</v>
      </c>
      <c r="D69" s="133">
        <v>223</v>
      </c>
      <c r="J69" s="310"/>
      <c r="K69" s="310"/>
      <c r="L69" s="310"/>
      <c r="M69" s="310"/>
      <c r="N69" s="310"/>
    </row>
    <row r="70" spans="1:14" x14ac:dyDescent="0.25">
      <c r="A70" s="156" t="s">
        <v>935</v>
      </c>
      <c r="B70" s="156" t="s">
        <v>936</v>
      </c>
      <c r="C70" s="123" t="s">
        <v>937</v>
      </c>
      <c r="D70" s="133">
        <v>112</v>
      </c>
      <c r="J70" s="310"/>
      <c r="K70" s="310"/>
      <c r="L70" s="310"/>
      <c r="M70" s="310"/>
      <c r="N70" s="310"/>
    </row>
    <row r="71" spans="1:14" x14ac:dyDescent="0.25">
      <c r="A71" s="269" t="s">
        <v>938</v>
      </c>
      <c r="B71" s="269" t="s">
        <v>939</v>
      </c>
      <c r="C71" s="49" t="s">
        <v>940</v>
      </c>
      <c r="D71" s="56">
        <v>65</v>
      </c>
      <c r="G71" s="310"/>
      <c r="H71" s="310"/>
      <c r="I71" s="310"/>
      <c r="J71" s="310"/>
      <c r="K71" s="310"/>
      <c r="L71" s="310"/>
      <c r="M71" s="310"/>
      <c r="N71" s="310"/>
    </row>
    <row r="72" spans="1:14" x14ac:dyDescent="0.25">
      <c r="A72" s="269" t="s">
        <v>941</v>
      </c>
      <c r="B72" s="269" t="s">
        <v>942</v>
      </c>
      <c r="C72" s="49" t="s">
        <v>943</v>
      </c>
      <c r="D72" s="56">
        <v>120</v>
      </c>
    </row>
    <row r="73" spans="1:14" s="245" customFormat="1" x14ac:dyDescent="0.25">
      <c r="A73" s="82" t="s">
        <v>944</v>
      </c>
      <c r="B73" s="87" t="s">
        <v>945</v>
      </c>
      <c r="C73" s="155" t="s">
        <v>946</v>
      </c>
      <c r="D73" s="258">
        <v>465</v>
      </c>
      <c r="F73" s="219"/>
    </row>
    <row r="74" spans="1:14" x14ac:dyDescent="0.25">
      <c r="A74" s="38"/>
      <c r="B74" s="46"/>
      <c r="C74" s="134"/>
      <c r="D74" s="56"/>
      <c r="F74" s="310"/>
      <c r="G74" s="310"/>
      <c r="H74" s="310"/>
      <c r="I74" s="310"/>
      <c r="J74" s="310"/>
      <c r="K74" s="310"/>
      <c r="L74" s="310"/>
      <c r="M74" s="310"/>
      <c r="N74" s="310"/>
    </row>
    <row r="75" spans="1:14" x14ac:dyDescent="0.25">
      <c r="A75" s="21" t="s">
        <v>947</v>
      </c>
      <c r="B75" s="50"/>
      <c r="C75" s="50"/>
      <c r="D75" s="147"/>
      <c r="F75" s="310"/>
      <c r="G75" s="310"/>
      <c r="H75" s="310"/>
      <c r="I75" s="310"/>
      <c r="J75" s="310"/>
      <c r="K75" s="310"/>
      <c r="L75" s="310"/>
      <c r="M75" s="310"/>
      <c r="N75" s="310"/>
    </row>
    <row r="76" spans="1:14" x14ac:dyDescent="0.25">
      <c r="A76" s="156" t="s">
        <v>1731</v>
      </c>
      <c r="B76" s="298" t="s">
        <v>948</v>
      </c>
      <c r="C76" s="123" t="s">
        <v>949</v>
      </c>
      <c r="D76" s="133">
        <v>30</v>
      </c>
      <c r="F76" s="310"/>
      <c r="G76" s="310"/>
      <c r="H76" s="310"/>
      <c r="I76" s="310"/>
      <c r="J76" s="310"/>
      <c r="K76" s="310"/>
      <c r="L76" s="310"/>
      <c r="M76" s="310"/>
      <c r="N76" s="310"/>
    </row>
    <row r="77" spans="1:14" x14ac:dyDescent="0.25">
      <c r="A77" s="156" t="s">
        <v>1732</v>
      </c>
      <c r="B77" s="298" t="s">
        <v>950</v>
      </c>
      <c r="C77" s="123" t="s">
        <v>951</v>
      </c>
      <c r="D77" s="133">
        <v>29</v>
      </c>
      <c r="F77" s="310"/>
      <c r="G77" s="310"/>
      <c r="H77" s="310"/>
      <c r="I77" s="310"/>
      <c r="J77" s="310"/>
      <c r="K77" s="310"/>
      <c r="L77" s="310"/>
      <c r="M77" s="310"/>
      <c r="N77" s="310"/>
    </row>
    <row r="78" spans="1:14" x14ac:dyDescent="0.25">
      <c r="A78" s="156" t="s">
        <v>1733</v>
      </c>
      <c r="B78" s="298" t="s">
        <v>952</v>
      </c>
      <c r="C78" s="123" t="s">
        <v>953</v>
      </c>
      <c r="D78" s="133">
        <v>25</v>
      </c>
      <c r="F78" s="310"/>
      <c r="G78" s="310"/>
      <c r="H78" s="310"/>
      <c r="I78" s="310"/>
      <c r="J78" s="310"/>
      <c r="K78" s="310"/>
      <c r="L78" s="310"/>
      <c r="M78" s="310"/>
      <c r="N78" s="310"/>
    </row>
    <row r="79" spans="1:14" x14ac:dyDescent="0.25">
      <c r="A79" s="156" t="s">
        <v>1734</v>
      </c>
      <c r="B79" s="298" t="s">
        <v>954</v>
      </c>
      <c r="C79" s="123" t="s">
        <v>955</v>
      </c>
      <c r="D79" s="133">
        <v>24</v>
      </c>
      <c r="F79" s="310"/>
      <c r="G79" s="310"/>
      <c r="H79" s="310"/>
      <c r="I79" s="310"/>
      <c r="J79" s="310"/>
      <c r="K79" s="310"/>
      <c r="L79" s="310"/>
      <c r="M79" s="310"/>
      <c r="N79" s="310"/>
    </row>
    <row r="80" spans="1:14" x14ac:dyDescent="0.25">
      <c r="A80" s="156" t="s">
        <v>1735</v>
      </c>
      <c r="B80" s="298" t="s">
        <v>956</v>
      </c>
      <c r="C80" s="123" t="s">
        <v>957</v>
      </c>
      <c r="D80" s="133">
        <v>24</v>
      </c>
      <c r="F80" s="310"/>
      <c r="G80" s="310"/>
      <c r="H80" s="310"/>
      <c r="I80" s="310"/>
      <c r="J80" s="310"/>
      <c r="K80" s="310"/>
      <c r="L80" s="310"/>
      <c r="M80" s="310"/>
      <c r="N80" s="310"/>
    </row>
    <row r="81" spans="1:14" x14ac:dyDescent="0.25">
      <c r="A81" s="156" t="s">
        <v>1736</v>
      </c>
      <c r="B81" s="298" t="s">
        <v>956</v>
      </c>
      <c r="C81" s="123" t="s">
        <v>958</v>
      </c>
      <c r="D81" s="133">
        <v>24</v>
      </c>
      <c r="F81" s="310"/>
      <c r="G81" s="310"/>
      <c r="H81" s="310"/>
      <c r="I81" s="310"/>
      <c r="J81" s="310"/>
      <c r="K81" s="310"/>
      <c r="L81" s="310"/>
      <c r="M81" s="310"/>
      <c r="N81" s="310"/>
    </row>
    <row r="82" spans="1:14" x14ac:dyDescent="0.25">
      <c r="A82" s="269"/>
      <c r="B82" s="281"/>
      <c r="C82" s="49"/>
      <c r="D82" s="56"/>
      <c r="F82" s="310"/>
      <c r="G82" s="310"/>
      <c r="H82" s="310"/>
      <c r="I82" s="310"/>
      <c r="J82" s="310"/>
      <c r="K82" s="310"/>
      <c r="L82" s="310"/>
      <c r="M82" s="310"/>
      <c r="N82" s="310"/>
    </row>
    <row r="83" spans="1:14" x14ac:dyDescent="0.25">
      <c r="A83" s="21" t="s">
        <v>959</v>
      </c>
      <c r="B83" s="50"/>
      <c r="C83" s="50"/>
      <c r="D83" s="147"/>
      <c r="F83" s="310"/>
      <c r="G83" s="310"/>
      <c r="H83" s="310"/>
      <c r="I83" s="310"/>
      <c r="J83" s="310"/>
      <c r="K83" s="310"/>
      <c r="L83" s="310"/>
      <c r="M83" s="310"/>
      <c r="N83" s="310"/>
    </row>
    <row r="84" spans="1:14" x14ac:dyDescent="0.25">
      <c r="A84" s="269" t="s">
        <v>960</v>
      </c>
      <c r="B84" s="281" t="s">
        <v>961</v>
      </c>
      <c r="C84" s="49" t="s">
        <v>962</v>
      </c>
      <c r="D84" s="133">
        <v>19</v>
      </c>
      <c r="F84" s="310"/>
      <c r="G84" s="310"/>
      <c r="H84" s="310"/>
      <c r="I84" s="310"/>
      <c r="J84" s="310"/>
      <c r="K84" s="310"/>
      <c r="L84" s="310"/>
      <c r="M84" s="310"/>
      <c r="N84" s="310"/>
    </row>
    <row r="85" spans="1:14" x14ac:dyDescent="0.25">
      <c r="A85" s="269" t="s">
        <v>963</v>
      </c>
      <c r="B85" s="281" t="s">
        <v>964</v>
      </c>
      <c r="C85" s="49" t="s">
        <v>965</v>
      </c>
      <c r="D85" s="133">
        <v>19</v>
      </c>
      <c r="F85" s="310"/>
      <c r="G85" s="310"/>
      <c r="H85" s="310"/>
      <c r="I85" s="310"/>
      <c r="J85" s="310"/>
      <c r="K85" s="310"/>
      <c r="L85" s="310"/>
      <c r="M85" s="310"/>
      <c r="N85" s="310"/>
    </row>
    <row r="86" spans="1:14" x14ac:dyDescent="0.25">
      <c r="A86" s="269" t="s">
        <v>966</v>
      </c>
      <c r="B86" s="281" t="s">
        <v>967</v>
      </c>
      <c r="C86" s="49" t="s">
        <v>968</v>
      </c>
      <c r="D86" s="133">
        <v>14</v>
      </c>
      <c r="F86" s="310"/>
      <c r="G86" s="310"/>
      <c r="H86" s="310"/>
      <c r="I86" s="310"/>
      <c r="J86" s="310"/>
      <c r="K86" s="310"/>
      <c r="L86" s="310"/>
      <c r="M86" s="310"/>
      <c r="N86" s="310"/>
    </row>
    <row r="87" spans="1:14" x14ac:dyDescent="0.25">
      <c r="A87" s="269" t="s">
        <v>969</v>
      </c>
      <c r="B87" s="281" t="s">
        <v>970</v>
      </c>
      <c r="C87" s="49" t="s">
        <v>971</v>
      </c>
      <c r="D87" s="133">
        <v>8</v>
      </c>
      <c r="F87" s="310"/>
      <c r="G87" s="310"/>
      <c r="H87" s="310"/>
      <c r="I87" s="310"/>
      <c r="J87" s="310"/>
      <c r="K87" s="310"/>
      <c r="L87" s="310"/>
      <c r="M87" s="310"/>
      <c r="N87" s="310"/>
    </row>
    <row r="88" spans="1:14" x14ac:dyDescent="0.25">
      <c r="A88" s="269"/>
      <c r="B88" s="281"/>
      <c r="C88" s="49"/>
      <c r="D88" s="56"/>
      <c r="F88" s="310"/>
      <c r="G88" s="310"/>
      <c r="H88" s="310"/>
      <c r="I88" s="310"/>
      <c r="J88" s="310"/>
      <c r="K88" s="310"/>
      <c r="L88" s="310"/>
      <c r="M88" s="310"/>
      <c r="N88" s="310"/>
    </row>
    <row r="89" spans="1:14" x14ac:dyDescent="0.25">
      <c r="A89" s="21" t="s">
        <v>972</v>
      </c>
      <c r="B89" s="50"/>
      <c r="C89" s="50"/>
      <c r="D89" s="147"/>
      <c r="F89" s="310"/>
      <c r="G89" s="310"/>
      <c r="H89" s="310"/>
      <c r="I89" s="310"/>
      <c r="J89" s="310"/>
      <c r="K89" s="310"/>
      <c r="L89" s="310"/>
      <c r="M89" s="310"/>
      <c r="N89" s="310"/>
    </row>
    <row r="90" spans="1:14" x14ac:dyDescent="0.25">
      <c r="A90" s="91" t="s">
        <v>973</v>
      </c>
      <c r="B90" s="91" t="s">
        <v>974</v>
      </c>
      <c r="C90" s="101" t="s">
        <v>1493</v>
      </c>
      <c r="D90" s="133">
        <v>887</v>
      </c>
      <c r="F90" s="310"/>
      <c r="G90" s="310"/>
      <c r="H90" s="310"/>
      <c r="I90" s="310"/>
      <c r="J90" s="310"/>
      <c r="K90" s="310"/>
      <c r="L90" s="310"/>
      <c r="M90" s="310"/>
      <c r="N90" s="310"/>
    </row>
    <row r="91" spans="1:14" x14ac:dyDescent="0.25">
      <c r="A91" s="91" t="s">
        <v>975</v>
      </c>
      <c r="B91" s="91" t="s">
        <v>1584</v>
      </c>
      <c r="C91" s="101" t="s">
        <v>976</v>
      </c>
      <c r="D91" s="133">
        <v>698</v>
      </c>
      <c r="F91" s="310"/>
      <c r="G91" s="310"/>
      <c r="H91" s="310"/>
      <c r="I91" s="310"/>
      <c r="J91" s="310"/>
      <c r="K91" s="310"/>
      <c r="L91" s="310"/>
      <c r="M91" s="310"/>
      <c r="N91" s="310"/>
    </row>
    <row r="92" spans="1:14" x14ac:dyDescent="0.25">
      <c r="A92" s="128" t="s">
        <v>977</v>
      </c>
      <c r="B92" s="282" t="s">
        <v>1585</v>
      </c>
      <c r="C92" s="101" t="s">
        <v>978</v>
      </c>
      <c r="D92" s="133">
        <v>272</v>
      </c>
      <c r="F92" s="310"/>
      <c r="G92" s="310"/>
      <c r="H92" s="310"/>
      <c r="I92" s="310"/>
      <c r="J92" s="310"/>
      <c r="K92" s="310"/>
      <c r="L92" s="310"/>
      <c r="M92" s="310"/>
      <c r="N92" s="310"/>
    </row>
    <row r="93" spans="1:14" x14ac:dyDescent="0.25">
      <c r="A93" s="52" t="s">
        <v>979</v>
      </c>
      <c r="B93" s="52" t="s">
        <v>980</v>
      </c>
      <c r="C93" s="101" t="s">
        <v>981</v>
      </c>
      <c r="D93" s="133">
        <v>203</v>
      </c>
      <c r="F93" s="310"/>
      <c r="G93" s="310"/>
      <c r="H93" s="310"/>
      <c r="I93" s="310"/>
      <c r="J93" s="310"/>
      <c r="K93" s="310"/>
      <c r="L93" s="310"/>
      <c r="M93" s="310"/>
      <c r="N93" s="310"/>
    </row>
    <row r="94" spans="1:14" s="245" customFormat="1" ht="27.6" x14ac:dyDescent="0.25">
      <c r="A94" s="140" t="s">
        <v>982</v>
      </c>
      <c r="B94" s="257" t="s">
        <v>983</v>
      </c>
      <c r="C94" s="163" t="s">
        <v>984</v>
      </c>
      <c r="D94" s="90">
        <v>203</v>
      </c>
      <c r="G94" s="219"/>
      <c r="H94" s="219"/>
      <c r="I94" s="219"/>
      <c r="J94" s="219"/>
      <c r="K94" s="219"/>
      <c r="L94" s="219"/>
      <c r="M94" s="219"/>
      <c r="N94" s="219"/>
    </row>
    <row r="95" spans="1:14" x14ac:dyDescent="0.25">
      <c r="A95" s="52" t="s">
        <v>985</v>
      </c>
      <c r="B95" s="52" t="s">
        <v>986</v>
      </c>
      <c r="C95" s="101" t="s">
        <v>987</v>
      </c>
      <c r="D95" s="133">
        <v>165</v>
      </c>
      <c r="F95" s="310"/>
      <c r="G95" s="310"/>
      <c r="H95" s="310"/>
      <c r="I95" s="310"/>
      <c r="J95" s="310"/>
      <c r="K95" s="310"/>
      <c r="L95" s="310"/>
      <c r="M95" s="310"/>
      <c r="N95" s="310"/>
    </row>
    <row r="96" spans="1:14" x14ac:dyDescent="0.25">
      <c r="A96" s="52" t="s">
        <v>988</v>
      </c>
      <c r="B96" s="52" t="s">
        <v>989</v>
      </c>
      <c r="C96" s="101" t="s">
        <v>990</v>
      </c>
      <c r="D96" s="133">
        <v>164</v>
      </c>
      <c r="F96" s="310"/>
      <c r="G96" s="310"/>
      <c r="H96" s="310"/>
      <c r="I96" s="310"/>
      <c r="J96" s="310"/>
      <c r="K96" s="310"/>
      <c r="L96" s="310"/>
      <c r="M96" s="310"/>
      <c r="N96" s="310"/>
    </row>
    <row r="97" spans="1:14" x14ac:dyDescent="0.25">
      <c r="A97" s="52" t="s">
        <v>991</v>
      </c>
      <c r="B97" s="52" t="s">
        <v>992</v>
      </c>
      <c r="C97" s="101" t="s">
        <v>993</v>
      </c>
      <c r="D97" s="133">
        <v>151</v>
      </c>
      <c r="F97" s="310"/>
      <c r="G97" s="310"/>
      <c r="H97" s="310"/>
      <c r="I97" s="310"/>
      <c r="J97" s="310"/>
      <c r="K97" s="310"/>
      <c r="L97" s="310"/>
      <c r="M97" s="310"/>
      <c r="N97" s="310"/>
    </row>
    <row r="98" spans="1:14" s="245" customFormat="1" ht="27.6" x14ac:dyDescent="0.25">
      <c r="A98" s="28" t="s">
        <v>994</v>
      </c>
      <c r="B98" s="190" t="s">
        <v>995</v>
      </c>
      <c r="C98" s="163" t="s">
        <v>996</v>
      </c>
      <c r="D98" s="90">
        <v>151</v>
      </c>
      <c r="G98" s="219"/>
      <c r="H98" s="219"/>
      <c r="I98" s="219"/>
      <c r="J98" s="219"/>
      <c r="K98" s="219"/>
      <c r="L98" s="219"/>
      <c r="M98" s="219"/>
      <c r="N98" s="219"/>
    </row>
    <row r="99" spans="1:14" x14ac:dyDescent="0.25">
      <c r="A99" s="52" t="s">
        <v>997</v>
      </c>
      <c r="B99" s="52" t="s">
        <v>998</v>
      </c>
      <c r="C99" s="101" t="s">
        <v>999</v>
      </c>
      <c r="D99" s="133">
        <v>131</v>
      </c>
      <c r="F99" s="310"/>
      <c r="G99" s="310"/>
      <c r="H99" s="310"/>
      <c r="I99" s="310"/>
      <c r="J99" s="310"/>
      <c r="K99" s="310"/>
      <c r="L99" s="310"/>
      <c r="M99" s="310"/>
      <c r="N99" s="310"/>
    </row>
    <row r="100" spans="1:14" s="245" customFormat="1" ht="27.6" x14ac:dyDescent="0.25">
      <c r="A100" s="28" t="s">
        <v>1000</v>
      </c>
      <c r="B100" s="190" t="s">
        <v>1001</v>
      </c>
      <c r="C100" s="163" t="s">
        <v>1002</v>
      </c>
      <c r="D100" s="90">
        <v>131</v>
      </c>
      <c r="G100" s="219"/>
      <c r="H100" s="219"/>
      <c r="I100" s="219"/>
      <c r="J100" s="219"/>
      <c r="K100" s="219"/>
      <c r="L100" s="219"/>
      <c r="M100" s="219"/>
      <c r="N100" s="219"/>
    </row>
    <row r="101" spans="1:14" x14ac:dyDescent="0.25">
      <c r="A101" s="52" t="s">
        <v>1003</v>
      </c>
      <c r="B101" s="52" t="s">
        <v>1004</v>
      </c>
      <c r="C101" s="101" t="s">
        <v>1005</v>
      </c>
      <c r="D101" s="133">
        <v>128</v>
      </c>
      <c r="F101" s="310"/>
      <c r="G101" s="310"/>
      <c r="H101" s="310"/>
      <c r="I101" s="310"/>
      <c r="J101" s="310"/>
      <c r="K101" s="310"/>
      <c r="L101" s="310"/>
      <c r="M101" s="310"/>
      <c r="N101" s="310"/>
    </row>
    <row r="102" spans="1:14" x14ac:dyDescent="0.25">
      <c r="A102" s="67"/>
      <c r="B102" s="67"/>
      <c r="C102" s="49"/>
      <c r="D102" s="56"/>
      <c r="F102" s="310"/>
      <c r="G102" s="310"/>
      <c r="H102" s="310"/>
      <c r="I102" s="310"/>
      <c r="J102" s="310"/>
      <c r="K102" s="310"/>
      <c r="L102" s="310"/>
      <c r="M102" s="310"/>
      <c r="N102" s="310"/>
    </row>
    <row r="103" spans="1:14" x14ac:dyDescent="0.25">
      <c r="A103" s="21" t="s">
        <v>1006</v>
      </c>
      <c r="B103" s="50"/>
      <c r="C103" s="50"/>
      <c r="D103" s="147"/>
      <c r="F103" s="310"/>
      <c r="G103" s="310"/>
      <c r="H103" s="310"/>
      <c r="I103" s="310"/>
      <c r="J103" s="310"/>
      <c r="K103" s="310"/>
      <c r="L103" s="310"/>
      <c r="M103" s="310"/>
      <c r="N103" s="310"/>
    </row>
    <row r="104" spans="1:14" s="245" customFormat="1" x14ac:dyDescent="0.25">
      <c r="A104" s="84" t="s">
        <v>1007</v>
      </c>
      <c r="B104" s="152" t="s">
        <v>1008</v>
      </c>
      <c r="C104" s="127" t="s">
        <v>1009</v>
      </c>
      <c r="D104" s="258">
        <v>747</v>
      </c>
      <c r="G104" s="219"/>
      <c r="H104" s="219"/>
      <c r="I104" s="219"/>
      <c r="J104" s="219"/>
      <c r="K104" s="219"/>
      <c r="L104" s="219"/>
      <c r="M104" s="219"/>
      <c r="N104" s="219"/>
    </row>
    <row r="105" spans="1:14" x14ac:dyDescent="0.25">
      <c r="A105" s="65" t="s">
        <v>1010</v>
      </c>
      <c r="B105" s="103" t="s">
        <v>1011</v>
      </c>
      <c r="C105" s="153" t="s">
        <v>1012</v>
      </c>
      <c r="D105" s="133">
        <v>344</v>
      </c>
      <c r="F105" s="310"/>
      <c r="G105" s="310"/>
      <c r="H105" s="310"/>
      <c r="I105" s="310"/>
      <c r="J105" s="310"/>
      <c r="K105" s="310"/>
      <c r="L105" s="310"/>
      <c r="M105" s="310"/>
      <c r="N105" s="310"/>
    </row>
    <row r="106" spans="1:14" s="245" customFormat="1" ht="27.6" x14ac:dyDescent="0.25">
      <c r="A106" s="77" t="s">
        <v>1013</v>
      </c>
      <c r="B106" s="77" t="s">
        <v>1014</v>
      </c>
      <c r="C106" s="163" t="s">
        <v>1015</v>
      </c>
      <c r="D106" s="90">
        <v>344</v>
      </c>
      <c r="G106" s="219"/>
      <c r="H106" s="219"/>
      <c r="I106" s="219"/>
      <c r="J106" s="219"/>
      <c r="K106" s="219"/>
      <c r="L106" s="219"/>
      <c r="M106" s="219"/>
      <c r="N106" s="219"/>
    </row>
    <row r="107" spans="1:14" ht="27.6" x14ac:dyDescent="0.25">
      <c r="A107" s="282" t="s">
        <v>1016</v>
      </c>
      <c r="B107" s="282" t="s">
        <v>1017</v>
      </c>
      <c r="C107" s="61" t="s">
        <v>1018</v>
      </c>
      <c r="D107" s="133">
        <v>167</v>
      </c>
      <c r="F107" s="310"/>
      <c r="G107" s="310"/>
      <c r="H107" s="310"/>
      <c r="I107" s="310"/>
      <c r="J107" s="310"/>
      <c r="K107" s="310"/>
      <c r="L107" s="310"/>
      <c r="M107" s="310"/>
      <c r="N107" s="310"/>
    </row>
    <row r="108" spans="1:14" ht="27.6" x14ac:dyDescent="0.25">
      <c r="A108" s="65" t="s">
        <v>1019</v>
      </c>
      <c r="B108" s="103" t="s">
        <v>1020</v>
      </c>
      <c r="C108" s="153" t="s">
        <v>1021</v>
      </c>
      <c r="D108" s="133">
        <v>265</v>
      </c>
      <c r="F108" s="310"/>
      <c r="G108" s="310"/>
      <c r="H108" s="310"/>
      <c r="I108" s="310"/>
      <c r="J108" s="310"/>
      <c r="K108" s="310"/>
      <c r="L108" s="310"/>
      <c r="M108" s="310"/>
      <c r="N108" s="310"/>
    </row>
    <row r="109" spans="1:14" s="245" customFormat="1" ht="27.6" x14ac:dyDescent="0.25">
      <c r="A109" s="77" t="s">
        <v>1586</v>
      </c>
      <c r="B109" s="190" t="s">
        <v>1022</v>
      </c>
      <c r="C109" s="118" t="s">
        <v>1023</v>
      </c>
      <c r="D109" s="90">
        <v>265</v>
      </c>
      <c r="G109" s="219"/>
      <c r="H109" s="219"/>
      <c r="I109" s="219"/>
      <c r="J109" s="219"/>
      <c r="K109" s="219"/>
      <c r="L109" s="219"/>
      <c r="M109" s="219"/>
      <c r="N109" s="219"/>
    </row>
    <row r="110" spans="1:14" x14ac:dyDescent="0.25">
      <c r="A110" s="65" t="s">
        <v>1024</v>
      </c>
      <c r="B110" s="103" t="s">
        <v>1025</v>
      </c>
      <c r="C110" s="153" t="s">
        <v>1026</v>
      </c>
      <c r="D110" s="133">
        <v>197</v>
      </c>
      <c r="F110" s="310"/>
      <c r="G110" s="310"/>
      <c r="H110" s="310"/>
      <c r="I110" s="310"/>
      <c r="J110" s="310"/>
      <c r="K110" s="310"/>
      <c r="L110" s="310"/>
      <c r="M110" s="310"/>
      <c r="N110" s="310"/>
    </row>
    <row r="111" spans="1:14" x14ac:dyDescent="0.25">
      <c r="A111" s="65" t="s">
        <v>1027</v>
      </c>
      <c r="B111" s="103" t="s">
        <v>1028</v>
      </c>
      <c r="C111" s="153" t="s">
        <v>1029</v>
      </c>
      <c r="D111" s="133">
        <v>141</v>
      </c>
      <c r="F111" s="310"/>
      <c r="G111" s="310"/>
      <c r="H111" s="310"/>
      <c r="I111" s="310"/>
      <c r="J111" s="310"/>
      <c r="K111" s="310"/>
      <c r="L111" s="310"/>
      <c r="M111" s="310"/>
      <c r="N111" s="310"/>
    </row>
    <row r="112" spans="1:14" x14ac:dyDescent="0.25">
      <c r="A112" s="282" t="s">
        <v>1030</v>
      </c>
      <c r="B112" s="282" t="s">
        <v>1031</v>
      </c>
      <c r="C112" s="49" t="s">
        <v>1032</v>
      </c>
      <c r="D112" s="133">
        <v>119</v>
      </c>
      <c r="F112" s="310"/>
      <c r="G112" s="310"/>
      <c r="H112" s="310"/>
      <c r="I112" s="310"/>
      <c r="J112" s="310"/>
      <c r="K112" s="310"/>
      <c r="L112" s="310"/>
      <c r="M112" s="310"/>
      <c r="N112" s="310"/>
    </row>
    <row r="113" spans="1:14" x14ac:dyDescent="0.25">
      <c r="A113" s="282" t="s">
        <v>1033</v>
      </c>
      <c r="B113" s="282" t="s">
        <v>1034</v>
      </c>
      <c r="C113" s="49" t="s">
        <v>1035</v>
      </c>
      <c r="D113" s="133">
        <v>107</v>
      </c>
      <c r="F113" s="310"/>
      <c r="G113" s="310"/>
      <c r="H113" s="310"/>
      <c r="I113" s="310"/>
      <c r="J113" s="310"/>
      <c r="K113" s="310"/>
      <c r="L113" s="310"/>
      <c r="M113" s="310"/>
      <c r="N113" s="310"/>
    </row>
    <row r="114" spans="1:14" x14ac:dyDescent="0.25">
      <c r="A114" s="282"/>
      <c r="B114" s="282"/>
      <c r="C114" s="49"/>
      <c r="D114" s="56"/>
      <c r="F114" s="310"/>
      <c r="G114" s="310"/>
      <c r="H114" s="310"/>
      <c r="I114" s="310"/>
      <c r="J114" s="310"/>
      <c r="K114" s="310"/>
      <c r="L114" s="310"/>
      <c r="M114" s="310"/>
      <c r="N114" s="310"/>
    </row>
    <row r="115" spans="1:14" x14ac:dyDescent="0.25">
      <c r="A115" s="21" t="s">
        <v>1036</v>
      </c>
      <c r="B115" s="50"/>
      <c r="C115" s="50"/>
      <c r="D115" s="147"/>
      <c r="F115" s="310"/>
      <c r="G115" s="310"/>
      <c r="H115" s="310"/>
      <c r="I115" s="310"/>
      <c r="J115" s="310"/>
      <c r="K115" s="310"/>
      <c r="L115" s="310"/>
      <c r="M115" s="310"/>
      <c r="N115" s="310"/>
    </row>
    <row r="116" spans="1:14" x14ac:dyDescent="0.25">
      <c r="A116" s="89" t="s">
        <v>1587</v>
      </c>
      <c r="B116" s="282" t="s">
        <v>1037</v>
      </c>
      <c r="C116" s="49" t="s">
        <v>1038</v>
      </c>
      <c r="D116" s="133">
        <v>19</v>
      </c>
      <c r="F116" s="310"/>
      <c r="G116" s="310"/>
      <c r="H116" s="310"/>
      <c r="I116" s="310"/>
      <c r="J116" s="310"/>
      <c r="K116" s="310"/>
      <c r="L116" s="310"/>
      <c r="M116" s="310"/>
      <c r="N116" s="310"/>
    </row>
    <row r="117" spans="1:14" x14ac:dyDescent="0.25">
      <c r="A117" s="259" t="s">
        <v>1588</v>
      </c>
      <c r="B117" s="109" t="s">
        <v>1039</v>
      </c>
      <c r="C117" s="123" t="s">
        <v>1040</v>
      </c>
      <c r="D117" s="133">
        <v>18</v>
      </c>
      <c r="F117" s="310"/>
      <c r="G117" s="310"/>
      <c r="H117" s="310"/>
      <c r="I117" s="310"/>
      <c r="J117" s="310"/>
      <c r="K117" s="310"/>
      <c r="L117" s="310"/>
      <c r="M117" s="310"/>
      <c r="N117" s="310"/>
    </row>
    <row r="118" spans="1:14" x14ac:dyDescent="0.25">
      <c r="A118" s="259" t="s">
        <v>1589</v>
      </c>
      <c r="B118" s="109" t="s">
        <v>1041</v>
      </c>
      <c r="C118" s="123" t="s">
        <v>1042</v>
      </c>
      <c r="D118" s="133">
        <v>19</v>
      </c>
      <c r="F118" s="310"/>
      <c r="G118" s="310"/>
      <c r="H118" s="310"/>
      <c r="I118" s="310"/>
      <c r="J118" s="310"/>
      <c r="K118" s="310"/>
      <c r="L118" s="310"/>
      <c r="M118" s="310"/>
      <c r="N118" s="310"/>
    </row>
    <row r="119" spans="1:14" x14ac:dyDescent="0.25">
      <c r="A119" s="89" t="s">
        <v>1590</v>
      </c>
      <c r="B119" s="282" t="s">
        <v>1043</v>
      </c>
      <c r="C119" s="49" t="s">
        <v>1044</v>
      </c>
      <c r="D119" s="133">
        <v>19</v>
      </c>
      <c r="F119" s="310"/>
      <c r="G119" s="310"/>
      <c r="H119" s="310"/>
      <c r="I119" s="310"/>
      <c r="J119" s="310"/>
      <c r="K119" s="310"/>
      <c r="L119" s="310"/>
      <c r="M119" s="310"/>
      <c r="N119" s="310"/>
    </row>
    <row r="120" spans="1:14" x14ac:dyDescent="0.25">
      <c r="A120" s="89" t="s">
        <v>1591</v>
      </c>
      <c r="B120" s="282" t="s">
        <v>1045</v>
      </c>
      <c r="C120" s="35" t="s">
        <v>1046</v>
      </c>
      <c r="D120" s="133">
        <v>18</v>
      </c>
      <c r="F120" s="310"/>
      <c r="G120" s="310"/>
      <c r="H120" s="310"/>
      <c r="I120" s="310"/>
      <c r="J120" s="310"/>
      <c r="K120" s="310"/>
      <c r="L120" s="310"/>
      <c r="M120" s="310"/>
      <c r="N120" s="310"/>
    </row>
    <row r="121" spans="1:14" x14ac:dyDescent="0.25">
      <c r="A121" s="282" t="s">
        <v>1047</v>
      </c>
      <c r="B121" s="282" t="s">
        <v>1048</v>
      </c>
      <c r="C121" s="123" t="s">
        <v>1049</v>
      </c>
      <c r="D121" s="133">
        <v>149</v>
      </c>
      <c r="F121" s="310"/>
      <c r="G121" s="310"/>
      <c r="H121" s="310"/>
      <c r="I121" s="310"/>
      <c r="J121" s="310"/>
      <c r="K121" s="310"/>
      <c r="L121" s="310"/>
      <c r="M121" s="310"/>
      <c r="N121" s="310"/>
    </row>
    <row r="122" spans="1:14" x14ac:dyDescent="0.25">
      <c r="A122" s="282" t="s">
        <v>1050</v>
      </c>
      <c r="B122" s="282" t="s">
        <v>1051</v>
      </c>
      <c r="C122" s="49" t="s">
        <v>1052</v>
      </c>
      <c r="D122" s="133">
        <v>23</v>
      </c>
      <c r="F122" s="310"/>
      <c r="G122" s="310"/>
      <c r="H122" s="310"/>
      <c r="I122" s="310"/>
      <c r="J122" s="310"/>
      <c r="K122" s="310"/>
      <c r="L122" s="310"/>
      <c r="M122" s="310"/>
      <c r="N122" s="310"/>
    </row>
    <row r="123" spans="1:14" x14ac:dyDescent="0.25">
      <c r="A123" s="269"/>
      <c r="B123" s="281"/>
      <c r="C123" s="49"/>
      <c r="D123" s="56"/>
      <c r="F123" s="310"/>
      <c r="G123" s="310"/>
      <c r="H123" s="310"/>
      <c r="I123" s="310"/>
      <c r="J123" s="310"/>
      <c r="K123" s="310"/>
      <c r="L123" s="310"/>
      <c r="M123" s="310"/>
      <c r="N123" s="310"/>
    </row>
    <row r="124" spans="1:14" x14ac:dyDescent="0.25">
      <c r="A124" s="21" t="s">
        <v>1053</v>
      </c>
      <c r="B124" s="50"/>
      <c r="C124" s="50"/>
      <c r="D124" s="147"/>
      <c r="F124" s="310"/>
      <c r="G124" s="310"/>
      <c r="H124" s="310"/>
      <c r="I124" s="310"/>
      <c r="J124" s="310"/>
      <c r="K124" s="310"/>
      <c r="L124" s="310"/>
      <c r="M124" s="310"/>
      <c r="N124" s="310"/>
    </row>
    <row r="125" spans="1:14" x14ac:dyDescent="0.25">
      <c r="A125" s="269" t="s">
        <v>1054</v>
      </c>
      <c r="B125" s="281" t="s">
        <v>1055</v>
      </c>
      <c r="C125" s="49" t="s">
        <v>1056</v>
      </c>
      <c r="D125" s="133">
        <v>160</v>
      </c>
      <c r="F125" s="310"/>
      <c r="G125" s="310"/>
      <c r="H125" s="310"/>
      <c r="I125" s="310"/>
      <c r="J125" s="310"/>
      <c r="K125" s="310"/>
      <c r="L125" s="310"/>
      <c r="M125" s="310"/>
      <c r="N125" s="310"/>
    </row>
    <row r="126" spans="1:14" s="69" customFormat="1" x14ac:dyDescent="0.25">
      <c r="A126" s="269" t="s">
        <v>1057</v>
      </c>
      <c r="B126" s="281" t="s">
        <v>1058</v>
      </c>
      <c r="C126" s="49" t="s">
        <v>1059</v>
      </c>
      <c r="D126" s="133">
        <v>94</v>
      </c>
    </row>
    <row r="127" spans="1:14" x14ac:dyDescent="0.25">
      <c r="A127" s="269" t="s">
        <v>1060</v>
      </c>
      <c r="B127" s="281" t="s">
        <v>1061</v>
      </c>
      <c r="C127" s="49" t="s">
        <v>1062</v>
      </c>
      <c r="D127" s="133">
        <v>153</v>
      </c>
      <c r="F127" s="310"/>
      <c r="G127" s="310"/>
      <c r="H127" s="310"/>
      <c r="I127" s="310"/>
      <c r="J127" s="310"/>
      <c r="K127" s="310"/>
      <c r="L127" s="310"/>
      <c r="M127" s="310"/>
      <c r="N127" s="310"/>
    </row>
    <row r="128" spans="1:14" s="195" customFormat="1" x14ac:dyDescent="0.25">
      <c r="A128" s="269" t="s">
        <v>1063</v>
      </c>
      <c r="B128" s="281" t="s">
        <v>1064</v>
      </c>
      <c r="C128" s="49" t="s">
        <v>1065</v>
      </c>
      <c r="D128" s="172">
        <v>76</v>
      </c>
      <c r="E128" s="209"/>
      <c r="F128" s="310"/>
      <c r="G128" s="310"/>
      <c r="H128" s="209"/>
      <c r="I128" s="209"/>
      <c r="J128" s="209"/>
      <c r="K128" s="209"/>
      <c r="L128" s="209"/>
      <c r="M128" s="209"/>
    </row>
    <row r="129" spans="1:14" x14ac:dyDescent="0.25">
      <c r="A129" s="38"/>
      <c r="B129" s="46"/>
      <c r="C129" s="93"/>
      <c r="D129" s="56"/>
      <c r="F129" s="310"/>
      <c r="G129" s="310"/>
      <c r="H129" s="310"/>
      <c r="I129" s="310"/>
      <c r="J129" s="310"/>
      <c r="K129" s="310"/>
      <c r="L129" s="310"/>
      <c r="M129" s="310"/>
      <c r="N129" s="310"/>
    </row>
    <row r="130" spans="1:14" x14ac:dyDescent="0.25">
      <c r="A130" s="21" t="s">
        <v>1066</v>
      </c>
      <c r="B130" s="50"/>
      <c r="C130" s="50"/>
      <c r="D130" s="147"/>
      <c r="F130" s="310"/>
      <c r="G130" s="310"/>
      <c r="H130" s="310"/>
      <c r="I130" s="310"/>
      <c r="J130" s="310"/>
      <c r="K130" s="310"/>
      <c r="L130" s="310"/>
      <c r="M130" s="310"/>
      <c r="N130" s="310"/>
    </row>
    <row r="131" spans="1:14" x14ac:dyDescent="0.25">
      <c r="A131" s="269" t="s">
        <v>1592</v>
      </c>
      <c r="B131" s="281" t="s">
        <v>1067</v>
      </c>
      <c r="C131" s="49" t="s">
        <v>1068</v>
      </c>
      <c r="D131" s="133">
        <v>12</v>
      </c>
      <c r="F131" s="310"/>
      <c r="G131" s="310"/>
      <c r="H131" s="310"/>
      <c r="I131" s="310"/>
      <c r="J131" s="310"/>
      <c r="K131" s="310"/>
      <c r="L131" s="310"/>
      <c r="M131" s="310"/>
      <c r="N131" s="310"/>
    </row>
    <row r="132" spans="1:14" x14ac:dyDescent="0.25">
      <c r="A132" s="269" t="s">
        <v>1593</v>
      </c>
      <c r="B132" s="281" t="s">
        <v>1069</v>
      </c>
      <c r="C132" s="49" t="s">
        <v>1070</v>
      </c>
      <c r="D132" s="133">
        <v>8</v>
      </c>
      <c r="F132" s="310"/>
      <c r="G132" s="310"/>
      <c r="H132" s="310"/>
      <c r="I132" s="310"/>
      <c r="J132" s="310"/>
      <c r="K132" s="310"/>
      <c r="L132" s="310"/>
      <c r="M132" s="310"/>
      <c r="N132" s="310"/>
    </row>
    <row r="133" spans="1:14" x14ac:dyDescent="0.25">
      <c r="A133" s="282" t="s">
        <v>1071</v>
      </c>
      <c r="B133" s="282" t="s">
        <v>1072</v>
      </c>
      <c r="C133" s="35" t="s">
        <v>1073</v>
      </c>
      <c r="D133" s="133">
        <v>16</v>
      </c>
      <c r="F133" s="310"/>
      <c r="G133" s="310"/>
      <c r="H133" s="310"/>
      <c r="I133" s="310"/>
      <c r="J133" s="310"/>
      <c r="K133" s="310"/>
      <c r="L133" s="310"/>
      <c r="M133" s="310"/>
      <c r="N133" s="310"/>
    </row>
    <row r="134" spans="1:14" x14ac:dyDescent="0.25">
      <c r="A134" s="282" t="s">
        <v>1074</v>
      </c>
      <c r="B134" s="282" t="s">
        <v>1075</v>
      </c>
      <c r="C134" s="35" t="s">
        <v>1076</v>
      </c>
      <c r="D134" s="133">
        <v>12</v>
      </c>
      <c r="F134" s="310"/>
      <c r="G134" s="310"/>
      <c r="H134" s="310"/>
      <c r="I134" s="310"/>
      <c r="J134" s="310"/>
      <c r="K134" s="310"/>
      <c r="L134" s="310"/>
      <c r="M134" s="310"/>
      <c r="N134" s="310"/>
    </row>
    <row r="135" spans="1:14" x14ac:dyDescent="0.25">
      <c r="A135" s="282" t="s">
        <v>1077</v>
      </c>
      <c r="B135" s="282" t="s">
        <v>1078</v>
      </c>
      <c r="C135" s="35" t="s">
        <v>1079</v>
      </c>
      <c r="D135" s="133">
        <v>8</v>
      </c>
      <c r="F135" s="310"/>
      <c r="G135" s="310"/>
      <c r="H135" s="310"/>
      <c r="I135" s="310"/>
      <c r="J135" s="310"/>
      <c r="K135" s="310"/>
      <c r="L135" s="310"/>
      <c r="M135" s="310"/>
      <c r="N135" s="310"/>
    </row>
    <row r="136" spans="1:14" x14ac:dyDescent="0.25">
      <c r="A136" s="269" t="s">
        <v>1080</v>
      </c>
      <c r="B136" s="281" t="s">
        <v>1081</v>
      </c>
      <c r="C136" s="101" t="s">
        <v>1082</v>
      </c>
      <c r="D136" s="133">
        <v>14</v>
      </c>
      <c r="F136" s="310"/>
      <c r="G136" s="310"/>
      <c r="H136" s="310"/>
      <c r="I136" s="310"/>
      <c r="J136" s="310"/>
      <c r="K136" s="310"/>
      <c r="L136" s="310"/>
      <c r="M136" s="310"/>
      <c r="N136" s="310"/>
    </row>
    <row r="137" spans="1:14" x14ac:dyDescent="0.25">
      <c r="A137" s="269" t="s">
        <v>1594</v>
      </c>
      <c r="B137" s="281" t="s">
        <v>1083</v>
      </c>
      <c r="C137" s="101" t="s">
        <v>1084</v>
      </c>
      <c r="D137" s="133">
        <v>13</v>
      </c>
      <c r="F137" s="310"/>
      <c r="G137" s="310"/>
      <c r="H137" s="310"/>
      <c r="I137" s="310"/>
      <c r="J137" s="310"/>
      <c r="K137" s="310"/>
      <c r="L137" s="310"/>
      <c r="M137" s="310"/>
      <c r="N137" s="310"/>
    </row>
    <row r="138" spans="1:14" x14ac:dyDescent="0.25">
      <c r="A138" s="269" t="s">
        <v>1085</v>
      </c>
      <c r="B138" s="281" t="s">
        <v>1086</v>
      </c>
      <c r="C138" s="101" t="s">
        <v>1087</v>
      </c>
      <c r="D138" s="133">
        <v>11</v>
      </c>
      <c r="F138" s="310"/>
      <c r="G138" s="310"/>
      <c r="H138" s="310"/>
      <c r="I138" s="310"/>
      <c r="J138" s="310"/>
      <c r="K138" s="310"/>
      <c r="L138" s="310"/>
      <c r="M138" s="310"/>
      <c r="N138" s="310"/>
    </row>
    <row r="139" spans="1:14" x14ac:dyDescent="0.25">
      <c r="A139" s="38" t="s">
        <v>1088</v>
      </c>
      <c r="B139" s="46" t="s">
        <v>1089</v>
      </c>
      <c r="C139" s="93" t="s">
        <v>1090</v>
      </c>
      <c r="D139" s="133">
        <v>35</v>
      </c>
      <c r="F139" s="310"/>
      <c r="G139" s="310"/>
      <c r="H139" s="310"/>
      <c r="I139" s="310"/>
      <c r="J139" s="310"/>
      <c r="K139" s="310"/>
      <c r="L139" s="310"/>
      <c r="M139" s="310"/>
      <c r="N139" s="310"/>
    </row>
    <row r="140" spans="1:14" x14ac:dyDescent="0.25">
      <c r="A140" s="269" t="s">
        <v>1091</v>
      </c>
      <c r="B140" s="281" t="s">
        <v>1092</v>
      </c>
      <c r="C140" s="101" t="s">
        <v>1093</v>
      </c>
      <c r="D140" s="133">
        <v>9</v>
      </c>
      <c r="F140" s="310"/>
      <c r="G140" s="310"/>
      <c r="H140" s="310"/>
      <c r="I140" s="310"/>
      <c r="J140" s="310"/>
      <c r="K140" s="310"/>
      <c r="L140" s="310"/>
      <c r="M140" s="310"/>
      <c r="N140" s="310"/>
    </row>
    <row r="141" spans="1:14" x14ac:dyDescent="0.25">
      <c r="A141" s="269" t="s">
        <v>1094</v>
      </c>
      <c r="B141" s="281" t="s">
        <v>1095</v>
      </c>
      <c r="C141" s="101" t="s">
        <v>1096</v>
      </c>
      <c r="D141" s="133">
        <v>8</v>
      </c>
      <c r="F141" s="310"/>
      <c r="G141" s="310"/>
      <c r="H141" s="310"/>
      <c r="I141" s="310"/>
      <c r="J141" s="310"/>
      <c r="K141" s="310"/>
      <c r="L141" s="310"/>
      <c r="M141" s="310"/>
      <c r="N141" s="310"/>
    </row>
    <row r="142" spans="1:14" x14ac:dyDescent="0.25">
      <c r="A142" s="269" t="s">
        <v>1097</v>
      </c>
      <c r="B142" s="281" t="s">
        <v>1098</v>
      </c>
      <c r="C142" s="101" t="s">
        <v>1099</v>
      </c>
      <c r="D142" s="133">
        <v>6</v>
      </c>
      <c r="F142" s="310"/>
      <c r="G142" s="310"/>
      <c r="H142" s="310"/>
      <c r="I142" s="310"/>
      <c r="J142" s="310"/>
      <c r="K142" s="310"/>
      <c r="L142" s="310"/>
      <c r="M142" s="310"/>
      <c r="N142" s="310"/>
    </row>
    <row r="143" spans="1:14" x14ac:dyDescent="0.25">
      <c r="A143" s="269" t="s">
        <v>1100</v>
      </c>
      <c r="B143" s="281" t="s">
        <v>1101</v>
      </c>
      <c r="C143" s="101" t="s">
        <v>1102</v>
      </c>
      <c r="D143" s="133">
        <v>6</v>
      </c>
      <c r="F143" s="310"/>
      <c r="G143" s="310"/>
      <c r="H143" s="310"/>
      <c r="I143" s="310"/>
      <c r="J143" s="310"/>
      <c r="K143" s="310"/>
      <c r="L143" s="310"/>
      <c r="M143" s="310"/>
      <c r="N143" s="310"/>
    </row>
    <row r="144" spans="1:14" x14ac:dyDescent="0.25">
      <c r="A144" s="269" t="s">
        <v>1103</v>
      </c>
      <c r="B144" s="281" t="s">
        <v>1104</v>
      </c>
      <c r="C144" s="101" t="s">
        <v>1105</v>
      </c>
      <c r="D144" s="133">
        <v>18</v>
      </c>
      <c r="F144" s="310"/>
      <c r="G144" s="310"/>
      <c r="H144" s="310"/>
      <c r="I144" s="310"/>
      <c r="J144" s="310"/>
      <c r="K144" s="310"/>
      <c r="L144" s="310"/>
      <c r="M144" s="310"/>
      <c r="N144" s="310"/>
    </row>
    <row r="145" spans="1:14" x14ac:dyDescent="0.25">
      <c r="A145" s="282" t="s">
        <v>1106</v>
      </c>
      <c r="B145" s="282" t="s">
        <v>1107</v>
      </c>
      <c r="C145" s="35" t="s">
        <v>1108</v>
      </c>
      <c r="D145" s="133">
        <v>14</v>
      </c>
      <c r="F145" s="310"/>
      <c r="G145" s="310"/>
      <c r="H145" s="310"/>
      <c r="I145" s="310"/>
      <c r="J145" s="310"/>
      <c r="K145" s="310"/>
      <c r="L145" s="310"/>
      <c r="M145" s="310"/>
      <c r="N145" s="310"/>
    </row>
    <row r="146" spans="1:14" x14ac:dyDescent="0.25">
      <c r="A146" s="282" t="s">
        <v>1109</v>
      </c>
      <c r="B146" s="282" t="s">
        <v>1110</v>
      </c>
      <c r="C146" s="35" t="s">
        <v>1111</v>
      </c>
      <c r="D146" s="133">
        <v>12</v>
      </c>
      <c r="F146" s="310"/>
      <c r="G146" s="310"/>
      <c r="H146" s="310"/>
      <c r="I146" s="310"/>
      <c r="J146" s="310"/>
      <c r="K146" s="310"/>
      <c r="L146" s="310"/>
      <c r="M146" s="310"/>
      <c r="N146" s="310"/>
    </row>
    <row r="147" spans="1:14" x14ac:dyDescent="0.25">
      <c r="A147" s="282"/>
      <c r="B147" s="282"/>
      <c r="C147" s="162"/>
      <c r="D147" s="56"/>
      <c r="F147" s="310"/>
      <c r="G147" s="310"/>
      <c r="H147" s="310"/>
      <c r="I147" s="310"/>
      <c r="J147" s="310"/>
      <c r="K147" s="310"/>
      <c r="L147" s="310"/>
      <c r="M147" s="310"/>
      <c r="N147" s="310"/>
    </row>
    <row r="148" spans="1:14" x14ac:dyDescent="0.25">
      <c r="A148" s="21" t="s">
        <v>1112</v>
      </c>
      <c r="B148" s="50"/>
      <c r="C148" s="50"/>
      <c r="D148" s="147"/>
      <c r="F148" s="310"/>
      <c r="G148" s="310"/>
      <c r="H148" s="310"/>
      <c r="I148" s="310"/>
      <c r="J148" s="310"/>
      <c r="K148" s="310"/>
      <c r="L148" s="310"/>
      <c r="M148" s="310"/>
      <c r="N148" s="310"/>
    </row>
    <row r="149" spans="1:14" x14ac:dyDescent="0.25">
      <c r="A149" s="156" t="s">
        <v>1595</v>
      </c>
      <c r="B149" s="298" t="s">
        <v>1113</v>
      </c>
      <c r="C149" s="123" t="s">
        <v>1114</v>
      </c>
      <c r="D149" s="133">
        <v>11</v>
      </c>
      <c r="F149" s="310"/>
      <c r="G149" s="310"/>
      <c r="H149" s="310"/>
      <c r="I149" s="310"/>
      <c r="J149" s="310"/>
      <c r="K149" s="310"/>
      <c r="L149" s="310"/>
      <c r="M149" s="310"/>
      <c r="N149" s="310"/>
    </row>
    <row r="150" spans="1:14" x14ac:dyDescent="0.25">
      <c r="A150" s="156" t="s">
        <v>1115</v>
      </c>
      <c r="B150" s="298" t="s">
        <v>1116</v>
      </c>
      <c r="C150" s="123" t="s">
        <v>1117</v>
      </c>
      <c r="D150" s="133">
        <v>9</v>
      </c>
      <c r="F150" s="310"/>
      <c r="G150" s="310"/>
      <c r="H150" s="310"/>
      <c r="I150" s="310"/>
      <c r="J150" s="310"/>
      <c r="K150" s="310"/>
      <c r="L150" s="310"/>
      <c r="M150" s="310"/>
      <c r="N150" s="310"/>
    </row>
    <row r="151" spans="1:14" x14ac:dyDescent="0.25">
      <c r="A151" s="269"/>
      <c r="B151" s="281"/>
      <c r="C151" s="49"/>
      <c r="D151" s="56"/>
      <c r="F151" s="310"/>
      <c r="G151" s="310"/>
      <c r="H151" s="310"/>
      <c r="I151" s="310"/>
      <c r="J151" s="310"/>
      <c r="K151" s="310"/>
      <c r="L151" s="310"/>
      <c r="M151" s="310"/>
      <c r="N151" s="310"/>
    </row>
    <row r="152" spans="1:14" x14ac:dyDescent="0.25">
      <c r="A152" s="21" t="s">
        <v>1118</v>
      </c>
      <c r="B152" s="50"/>
      <c r="C152" s="50"/>
      <c r="D152" s="147"/>
      <c r="F152" s="310"/>
      <c r="G152" s="310"/>
      <c r="H152" s="310"/>
      <c r="I152" s="310"/>
      <c r="J152" s="310"/>
      <c r="K152" s="310"/>
      <c r="L152" s="310"/>
      <c r="M152" s="310"/>
      <c r="N152" s="310"/>
    </row>
    <row r="153" spans="1:14" x14ac:dyDescent="0.25">
      <c r="A153" s="269" t="s">
        <v>1119</v>
      </c>
      <c r="B153" s="281" t="s">
        <v>1120</v>
      </c>
      <c r="C153" s="123" t="s">
        <v>1121</v>
      </c>
      <c r="D153" s="133">
        <v>16</v>
      </c>
      <c r="F153" s="310"/>
      <c r="G153" s="310"/>
      <c r="H153" s="310"/>
      <c r="I153" s="310"/>
      <c r="J153" s="310"/>
      <c r="K153" s="310"/>
      <c r="L153" s="310"/>
      <c r="M153" s="310"/>
      <c r="N153" s="310"/>
    </row>
    <row r="154" spans="1:14" s="195" customFormat="1" x14ac:dyDescent="0.25">
      <c r="A154" s="269" t="s">
        <v>1122</v>
      </c>
      <c r="B154" s="281" t="s">
        <v>1123</v>
      </c>
      <c r="C154" s="160" t="s">
        <v>1124</v>
      </c>
      <c r="D154" s="172">
        <v>25</v>
      </c>
      <c r="F154" s="310"/>
      <c r="G154" s="310"/>
      <c r="H154" s="209"/>
      <c r="I154" s="209"/>
      <c r="J154" s="209"/>
      <c r="K154" s="209"/>
      <c r="L154" s="209"/>
      <c r="M154" s="209"/>
      <c r="N154" s="209"/>
    </row>
    <row r="155" spans="1:14" x14ac:dyDescent="0.25">
      <c r="A155" s="269" t="s">
        <v>1125</v>
      </c>
      <c r="B155" s="281" t="s">
        <v>1126</v>
      </c>
      <c r="C155" s="123" t="s">
        <v>1127</v>
      </c>
      <c r="D155" s="133">
        <v>12</v>
      </c>
      <c r="F155" s="310"/>
      <c r="G155" s="310"/>
      <c r="H155" s="310"/>
      <c r="I155" s="310"/>
      <c r="J155" s="310"/>
      <c r="K155" s="310"/>
      <c r="L155" s="310"/>
      <c r="M155" s="310"/>
      <c r="N155" s="310"/>
    </row>
    <row r="156" spans="1:14" s="195" customFormat="1" x14ac:dyDescent="0.25">
      <c r="A156" s="269" t="s">
        <v>1128</v>
      </c>
      <c r="B156" s="281" t="s">
        <v>1129</v>
      </c>
      <c r="C156" s="160" t="s">
        <v>1130</v>
      </c>
      <c r="D156" s="172">
        <v>27</v>
      </c>
      <c r="F156" s="310"/>
      <c r="G156" s="310"/>
      <c r="H156" s="209"/>
      <c r="I156" s="209"/>
      <c r="J156" s="209"/>
      <c r="K156" s="209"/>
      <c r="L156" s="209"/>
      <c r="M156" s="209"/>
      <c r="N156" s="209"/>
    </row>
    <row r="157" spans="1:14" x14ac:dyDescent="0.25">
      <c r="A157" s="269" t="s">
        <v>1131</v>
      </c>
      <c r="B157" s="281" t="s">
        <v>1123</v>
      </c>
      <c r="C157" s="123" t="s">
        <v>1132</v>
      </c>
      <c r="D157" s="133">
        <v>12</v>
      </c>
      <c r="F157" s="310"/>
      <c r="G157" s="310"/>
      <c r="H157" s="310"/>
      <c r="I157" s="310"/>
      <c r="J157" s="310"/>
      <c r="K157" s="310"/>
      <c r="L157" s="310"/>
      <c r="M157" s="310"/>
      <c r="N157" s="310"/>
    </row>
    <row r="158" spans="1:14" x14ac:dyDescent="0.25">
      <c r="A158" s="269"/>
      <c r="B158" s="281"/>
      <c r="C158" s="49"/>
      <c r="D158" s="56"/>
      <c r="F158" s="310"/>
      <c r="G158" s="310"/>
      <c r="H158" s="310"/>
      <c r="I158" s="310"/>
      <c r="J158" s="310"/>
      <c r="K158" s="310"/>
      <c r="L158" s="310"/>
      <c r="M158" s="310"/>
      <c r="N158" s="310"/>
    </row>
    <row r="159" spans="1:14" x14ac:dyDescent="0.25">
      <c r="A159" s="21" t="s">
        <v>1133</v>
      </c>
      <c r="B159" s="50"/>
      <c r="C159" s="50"/>
      <c r="D159" s="147"/>
      <c r="E159" s="310"/>
      <c r="F159" s="310"/>
      <c r="G159" s="310"/>
      <c r="H159" s="310"/>
      <c r="I159" s="310"/>
      <c r="J159" s="310"/>
      <c r="K159" s="310"/>
      <c r="L159" s="310"/>
      <c r="M159" s="310"/>
    </row>
    <row r="160" spans="1:14" x14ac:dyDescent="0.25">
      <c r="A160" s="156" t="s">
        <v>1134</v>
      </c>
      <c r="B160" s="298" t="s">
        <v>1135</v>
      </c>
      <c r="C160" s="123" t="s">
        <v>1136</v>
      </c>
      <c r="D160" s="133">
        <v>8</v>
      </c>
      <c r="E160" s="310"/>
      <c r="F160" s="310"/>
      <c r="G160" s="310"/>
      <c r="H160" s="310"/>
      <c r="I160" s="310"/>
      <c r="J160" s="310"/>
      <c r="K160" s="310"/>
      <c r="L160" s="310"/>
      <c r="M160" s="310"/>
    </row>
    <row r="161" spans="1:14" x14ac:dyDescent="0.25">
      <c r="A161" s="156" t="s">
        <v>1137</v>
      </c>
      <c r="B161" s="298" t="s">
        <v>1138</v>
      </c>
      <c r="C161" s="123" t="s">
        <v>1139</v>
      </c>
      <c r="D161" s="133">
        <v>171</v>
      </c>
      <c r="E161" s="310"/>
      <c r="F161" s="310"/>
      <c r="G161" s="310"/>
      <c r="H161" s="310"/>
      <c r="I161" s="310"/>
      <c r="J161" s="310"/>
      <c r="K161" s="310"/>
      <c r="L161" s="310"/>
      <c r="M161" s="310"/>
    </row>
    <row r="162" spans="1:14" x14ac:dyDescent="0.25">
      <c r="A162" s="156" t="s">
        <v>1140</v>
      </c>
      <c r="B162" s="298" t="s">
        <v>1141</v>
      </c>
      <c r="C162" s="123" t="s">
        <v>1142</v>
      </c>
      <c r="D162" s="133">
        <v>9</v>
      </c>
      <c r="E162" s="279"/>
      <c r="F162" s="260"/>
      <c r="G162" s="180"/>
      <c r="H162" s="180"/>
      <c r="I162" s="260"/>
      <c r="J162" s="260"/>
      <c r="K162" s="285"/>
    </row>
    <row r="163" spans="1:14" x14ac:dyDescent="0.25">
      <c r="A163" s="156" t="s">
        <v>1143</v>
      </c>
      <c r="B163" s="298" t="s">
        <v>1141</v>
      </c>
      <c r="C163" s="123" t="s">
        <v>1144</v>
      </c>
      <c r="D163" s="133">
        <v>151</v>
      </c>
      <c r="F163" s="116"/>
      <c r="G163" s="116"/>
      <c r="H163" s="149"/>
      <c r="I163" s="149"/>
      <c r="J163" s="116"/>
      <c r="K163" s="116"/>
      <c r="L163" s="32"/>
    </row>
    <row r="164" spans="1:14" x14ac:dyDescent="0.25">
      <c r="A164" s="156" t="s">
        <v>1145</v>
      </c>
      <c r="B164" s="298" t="s">
        <v>1146</v>
      </c>
      <c r="C164" s="123" t="s">
        <v>1147</v>
      </c>
      <c r="D164" s="133">
        <v>35</v>
      </c>
      <c r="F164" s="310"/>
      <c r="G164" s="310"/>
      <c r="H164" s="310"/>
      <c r="I164" s="310"/>
      <c r="J164" s="310"/>
      <c r="K164" s="310"/>
      <c r="L164" s="310"/>
    </row>
    <row r="165" spans="1:14" x14ac:dyDescent="0.25">
      <c r="A165" s="269" t="s">
        <v>1148</v>
      </c>
      <c r="B165" s="281" t="s">
        <v>1149</v>
      </c>
      <c r="C165" s="123" t="s">
        <v>1150</v>
      </c>
      <c r="D165" s="133">
        <v>12</v>
      </c>
      <c r="F165" s="310"/>
      <c r="G165" s="310"/>
      <c r="H165" s="310"/>
      <c r="I165" s="310"/>
      <c r="J165" s="310"/>
      <c r="K165" s="310"/>
      <c r="L165" s="310"/>
    </row>
    <row r="166" spans="1:14" x14ac:dyDescent="0.25">
      <c r="A166" s="269" t="s">
        <v>1151</v>
      </c>
      <c r="B166" s="281" t="s">
        <v>1152</v>
      </c>
      <c r="C166" s="123" t="s">
        <v>1153</v>
      </c>
      <c r="D166" s="133">
        <v>15</v>
      </c>
      <c r="F166" s="310"/>
      <c r="G166" s="310"/>
      <c r="H166" s="310"/>
      <c r="I166" s="310"/>
      <c r="J166" s="310"/>
      <c r="K166" s="310"/>
      <c r="L166" s="310"/>
    </row>
    <row r="167" spans="1:14" x14ac:dyDescent="0.25">
      <c r="A167" s="269" t="s">
        <v>1154</v>
      </c>
      <c r="B167" s="281" t="s">
        <v>1155</v>
      </c>
      <c r="C167" s="123" t="s">
        <v>1156</v>
      </c>
      <c r="D167" s="133">
        <v>6</v>
      </c>
      <c r="F167" s="310"/>
      <c r="G167" s="310"/>
      <c r="H167" s="310"/>
      <c r="I167" s="310"/>
      <c r="J167" s="310"/>
      <c r="K167" s="310"/>
      <c r="L167" s="310"/>
    </row>
    <row r="168" spans="1:14" x14ac:dyDescent="0.25">
      <c r="A168" s="269" t="s">
        <v>1157</v>
      </c>
      <c r="B168" s="281" t="s">
        <v>1158</v>
      </c>
      <c r="C168" s="123" t="s">
        <v>1159</v>
      </c>
      <c r="D168" s="133">
        <v>9</v>
      </c>
      <c r="F168" s="310"/>
      <c r="G168" s="310"/>
      <c r="H168" s="310"/>
      <c r="I168" s="310"/>
      <c r="J168" s="310"/>
      <c r="K168" s="310"/>
      <c r="L168" s="310"/>
      <c r="M168" s="310"/>
      <c r="N168" s="310"/>
    </row>
    <row r="169" spans="1:14" x14ac:dyDescent="0.25">
      <c r="A169" s="269" t="s">
        <v>1160</v>
      </c>
      <c r="B169" s="281" t="s">
        <v>1161</v>
      </c>
      <c r="C169" s="43" t="s">
        <v>1162</v>
      </c>
      <c r="D169" s="133">
        <v>13</v>
      </c>
      <c r="F169" s="310"/>
      <c r="G169" s="310"/>
      <c r="H169" s="310"/>
      <c r="I169" s="310"/>
      <c r="J169" s="310"/>
      <c r="K169" s="310"/>
      <c r="L169" s="310"/>
      <c r="M169" s="310"/>
      <c r="N169" s="310"/>
    </row>
    <row r="170" spans="1:14" x14ac:dyDescent="0.25">
      <c r="A170" s="269" t="s">
        <v>1163</v>
      </c>
      <c r="B170" s="281" t="s">
        <v>1164</v>
      </c>
      <c r="C170" s="123" t="s">
        <v>1165</v>
      </c>
      <c r="D170" s="133">
        <v>30</v>
      </c>
      <c r="F170" s="310"/>
      <c r="G170" s="310"/>
      <c r="H170" s="310"/>
      <c r="I170" s="310"/>
      <c r="J170" s="310"/>
      <c r="K170" s="310"/>
      <c r="L170" s="310"/>
      <c r="M170" s="310"/>
      <c r="N170" s="310"/>
    </row>
    <row r="171" spans="1:14" x14ac:dyDescent="0.25">
      <c r="A171" s="156" t="s">
        <v>1166</v>
      </c>
      <c r="B171" s="298" t="s">
        <v>1167</v>
      </c>
      <c r="C171" s="123" t="s">
        <v>1168</v>
      </c>
      <c r="D171" s="133">
        <v>37</v>
      </c>
      <c r="F171" s="310"/>
      <c r="G171" s="310"/>
      <c r="H171" s="310"/>
      <c r="I171" s="310"/>
      <c r="J171" s="310"/>
      <c r="K171" s="310"/>
      <c r="L171" s="310"/>
      <c r="M171" s="310"/>
      <c r="N171" s="310"/>
    </row>
    <row r="172" spans="1:14" x14ac:dyDescent="0.25">
      <c r="A172" s="269" t="s">
        <v>1169</v>
      </c>
      <c r="B172" s="281" t="s">
        <v>1170</v>
      </c>
      <c r="C172" s="123" t="s">
        <v>1171</v>
      </c>
      <c r="D172" s="133">
        <v>191</v>
      </c>
      <c r="F172" s="310"/>
      <c r="G172" s="310"/>
      <c r="H172" s="310"/>
      <c r="I172" s="310"/>
      <c r="J172" s="310"/>
      <c r="K172" s="310"/>
      <c r="L172" s="310"/>
      <c r="M172" s="310"/>
      <c r="N172" s="310"/>
    </row>
    <row r="173" spans="1:14" x14ac:dyDescent="0.25">
      <c r="A173" s="269" t="s">
        <v>1172</v>
      </c>
      <c r="B173" s="281" t="s">
        <v>1173</v>
      </c>
      <c r="C173" s="123" t="s">
        <v>1174</v>
      </c>
      <c r="D173" s="133">
        <v>141</v>
      </c>
      <c r="F173" s="310"/>
      <c r="G173" s="310"/>
      <c r="H173" s="310"/>
      <c r="I173" s="310"/>
      <c r="J173" s="310"/>
      <c r="K173" s="310"/>
      <c r="L173" s="310"/>
      <c r="M173" s="310"/>
      <c r="N173" s="310"/>
    </row>
    <row r="174" spans="1:14" ht="14.25" customHeight="1" x14ac:dyDescent="0.25">
      <c r="A174" s="269" t="s">
        <v>1175</v>
      </c>
      <c r="B174" s="269" t="s">
        <v>1176</v>
      </c>
      <c r="C174" s="123" t="s">
        <v>1177</v>
      </c>
      <c r="D174" s="133">
        <v>6</v>
      </c>
      <c r="F174" s="310"/>
      <c r="G174" s="310"/>
      <c r="H174" s="310"/>
      <c r="I174" s="310"/>
      <c r="J174" s="310"/>
      <c r="K174" s="310"/>
      <c r="L174" s="310"/>
      <c r="M174" s="310"/>
      <c r="N174" s="310"/>
    </row>
    <row r="175" spans="1:14" x14ac:dyDescent="0.25">
      <c r="A175" s="269" t="s">
        <v>1178</v>
      </c>
      <c r="B175" s="269" t="s">
        <v>1179</v>
      </c>
      <c r="C175" s="123" t="s">
        <v>1180</v>
      </c>
      <c r="D175" s="133">
        <v>6</v>
      </c>
      <c r="F175" s="310"/>
      <c r="G175" s="310"/>
      <c r="H175" s="310"/>
      <c r="I175" s="310"/>
      <c r="J175" s="310"/>
      <c r="K175" s="310"/>
      <c r="L175" s="310"/>
      <c r="M175" s="310"/>
      <c r="N175" s="310"/>
    </row>
    <row r="176" spans="1:14" x14ac:dyDescent="0.25">
      <c r="A176" s="269" t="s">
        <v>1181</v>
      </c>
      <c r="B176" s="269" t="s">
        <v>1182</v>
      </c>
      <c r="C176" s="123" t="s">
        <v>1183</v>
      </c>
      <c r="D176" s="133">
        <v>8</v>
      </c>
      <c r="F176" s="310"/>
      <c r="G176" s="310"/>
      <c r="H176" s="310"/>
      <c r="I176" s="310"/>
      <c r="J176" s="310"/>
      <c r="K176" s="310"/>
      <c r="L176" s="310"/>
      <c r="M176" s="310"/>
      <c r="N176" s="310"/>
    </row>
    <row r="177" spans="1:14" x14ac:dyDescent="0.25">
      <c r="A177" s="269" t="s">
        <v>1184</v>
      </c>
      <c r="B177" s="269" t="s">
        <v>1185</v>
      </c>
      <c r="C177" s="123" t="s">
        <v>1186</v>
      </c>
      <c r="D177" s="133">
        <v>8</v>
      </c>
      <c r="F177" s="310"/>
      <c r="G177" s="310"/>
      <c r="H177" s="310"/>
      <c r="I177" s="310"/>
      <c r="J177" s="310"/>
      <c r="K177" s="310"/>
      <c r="L177" s="310"/>
      <c r="M177" s="310"/>
      <c r="N177" s="310"/>
    </row>
    <row r="178" spans="1:14" x14ac:dyDescent="0.25">
      <c r="A178" s="269" t="s">
        <v>1187</v>
      </c>
      <c r="B178" s="269" t="s">
        <v>1188</v>
      </c>
      <c r="C178" s="123" t="s">
        <v>1189</v>
      </c>
      <c r="D178" s="133">
        <v>9</v>
      </c>
      <c r="F178" s="310"/>
      <c r="G178" s="310"/>
      <c r="H178" s="310"/>
      <c r="I178" s="310"/>
      <c r="J178" s="310"/>
      <c r="K178" s="310"/>
      <c r="L178" s="310"/>
      <c r="M178" s="310"/>
      <c r="N178" s="310"/>
    </row>
    <row r="179" spans="1:14" x14ac:dyDescent="0.25">
      <c r="A179" s="269" t="s">
        <v>1190</v>
      </c>
      <c r="B179" s="269" t="s">
        <v>1191</v>
      </c>
      <c r="C179" s="123" t="s">
        <v>1192</v>
      </c>
      <c r="D179" s="133">
        <v>9</v>
      </c>
    </row>
    <row r="180" spans="1:14" x14ac:dyDescent="0.25">
      <c r="A180" s="269" t="s">
        <v>1193</v>
      </c>
      <c r="B180" s="269" t="s">
        <v>1194</v>
      </c>
      <c r="C180" s="123" t="s">
        <v>1195</v>
      </c>
      <c r="D180" s="133">
        <v>16</v>
      </c>
    </row>
    <row r="181" spans="1:14" x14ac:dyDescent="0.25">
      <c r="A181" s="269" t="s">
        <v>1196</v>
      </c>
      <c r="B181" s="269" t="s">
        <v>1197</v>
      </c>
      <c r="C181" s="123" t="s">
        <v>1198</v>
      </c>
      <c r="D181" s="133">
        <v>23</v>
      </c>
    </row>
    <row r="182" spans="1:14" x14ac:dyDescent="0.25">
      <c r="A182" s="269" t="s">
        <v>1199</v>
      </c>
      <c r="B182" s="269" t="s">
        <v>1200</v>
      </c>
      <c r="C182" s="123" t="s">
        <v>1201</v>
      </c>
      <c r="D182" s="133">
        <v>27</v>
      </c>
    </row>
    <row r="183" spans="1:14" x14ac:dyDescent="0.25">
      <c r="A183" s="269" t="s">
        <v>1202</v>
      </c>
      <c r="B183" s="269" t="s">
        <v>1203</v>
      </c>
      <c r="C183" s="123" t="s">
        <v>1204</v>
      </c>
      <c r="D183" s="133">
        <v>29</v>
      </c>
    </row>
    <row r="184" spans="1:14" x14ac:dyDescent="0.25">
      <c r="A184" s="269" t="s">
        <v>1205</v>
      </c>
      <c r="B184" s="269" t="s">
        <v>1206</v>
      </c>
      <c r="C184" s="123" t="s">
        <v>1207</v>
      </c>
      <c r="D184" s="133">
        <v>31</v>
      </c>
    </row>
    <row r="185" spans="1:14" x14ac:dyDescent="0.25">
      <c r="A185" s="269" t="s">
        <v>1208</v>
      </c>
      <c r="B185" s="269" t="s">
        <v>1209</v>
      </c>
      <c r="C185" s="123" t="s">
        <v>1210</v>
      </c>
      <c r="D185" s="133">
        <v>64</v>
      </c>
    </row>
    <row r="186" spans="1:14" x14ac:dyDescent="0.25">
      <c r="A186" s="269"/>
      <c r="B186" s="281"/>
      <c r="C186" s="123"/>
      <c r="D186" s="56"/>
    </row>
    <row r="187" spans="1:14" x14ac:dyDescent="0.25">
      <c r="A187" s="21" t="s">
        <v>1211</v>
      </c>
      <c r="B187" s="50"/>
      <c r="C187" s="50"/>
      <c r="D187" s="147"/>
    </row>
    <row r="188" spans="1:14" x14ac:dyDescent="0.25">
      <c r="A188" s="269" t="s">
        <v>1212</v>
      </c>
      <c r="B188" s="269" t="s">
        <v>1213</v>
      </c>
      <c r="C188" s="49" t="s">
        <v>1214</v>
      </c>
      <c r="D188" s="133">
        <v>2471</v>
      </c>
    </row>
    <row r="189" spans="1:14" x14ac:dyDescent="0.25">
      <c r="A189" s="269"/>
      <c r="B189" s="281"/>
      <c r="C189" s="49"/>
      <c r="D189" s="56"/>
      <c r="F189" s="310"/>
      <c r="G189" s="310"/>
      <c r="H189" s="310"/>
      <c r="I189" s="310"/>
      <c r="J189" s="310"/>
      <c r="K189" s="310"/>
      <c r="L189" s="310"/>
      <c r="M189" s="310"/>
      <c r="N189" s="310"/>
    </row>
    <row r="190" spans="1:14" x14ac:dyDescent="0.25">
      <c r="A190" s="21" t="s">
        <v>1215</v>
      </c>
      <c r="B190" s="50"/>
      <c r="C190" s="50"/>
      <c r="D190" s="147"/>
      <c r="F190" s="310"/>
      <c r="G190" s="310"/>
      <c r="H190" s="310"/>
      <c r="I190" s="310"/>
      <c r="J190" s="310"/>
      <c r="K190" s="310"/>
      <c r="L190" s="310"/>
      <c r="M190" s="310"/>
      <c r="N190" s="310"/>
    </row>
    <row r="191" spans="1:14" x14ac:dyDescent="0.25">
      <c r="A191" s="269" t="s">
        <v>1596</v>
      </c>
      <c r="B191" s="281" t="s">
        <v>1216</v>
      </c>
      <c r="C191" s="49" t="s">
        <v>1217</v>
      </c>
      <c r="D191" s="56">
        <v>3</v>
      </c>
      <c r="F191" s="310"/>
      <c r="G191" s="310"/>
      <c r="H191" s="310"/>
      <c r="I191" s="310"/>
      <c r="J191" s="310"/>
      <c r="K191" s="310"/>
      <c r="L191" s="310"/>
      <c r="M191" s="310"/>
      <c r="N191" s="310"/>
    </row>
    <row r="192" spans="1:14" ht="27.6" x14ac:dyDescent="0.25">
      <c r="A192" s="51" t="s">
        <v>1218</v>
      </c>
      <c r="B192" s="282" t="s">
        <v>1219</v>
      </c>
      <c r="C192" s="49" t="s">
        <v>1220</v>
      </c>
      <c r="D192" s="56">
        <v>5</v>
      </c>
      <c r="F192" s="310"/>
      <c r="G192" s="310"/>
      <c r="H192" s="310"/>
      <c r="I192" s="310"/>
      <c r="J192" s="310"/>
      <c r="K192" s="310"/>
      <c r="L192" s="310"/>
      <c r="M192" s="310"/>
      <c r="N192" s="310"/>
    </row>
    <row r="193" spans="1:14" x14ac:dyDescent="0.25">
      <c r="A193" s="51" t="s">
        <v>1221</v>
      </c>
      <c r="B193" s="282" t="s">
        <v>1219</v>
      </c>
      <c r="C193" s="49" t="s">
        <v>1220</v>
      </c>
      <c r="D193" s="56">
        <v>5</v>
      </c>
      <c r="F193" s="310"/>
      <c r="G193" s="310"/>
      <c r="H193" s="310"/>
      <c r="I193" s="310"/>
      <c r="J193" s="310"/>
      <c r="K193" s="310"/>
      <c r="L193" s="310"/>
      <c r="M193" s="310"/>
      <c r="N193" s="310"/>
    </row>
    <row r="194" spans="1:14" x14ac:dyDescent="0.25">
      <c r="A194" s="269" t="s">
        <v>1597</v>
      </c>
      <c r="B194" s="281" t="s">
        <v>1222</v>
      </c>
      <c r="C194" s="49" t="s">
        <v>1223</v>
      </c>
      <c r="D194" s="56">
        <v>3</v>
      </c>
      <c r="F194" s="310"/>
      <c r="G194" s="310"/>
      <c r="H194" s="310"/>
      <c r="I194" s="310"/>
      <c r="J194" s="310"/>
      <c r="K194" s="310"/>
      <c r="L194" s="310"/>
      <c r="M194" s="310"/>
      <c r="N194" s="310"/>
    </row>
    <row r="195" spans="1:14" ht="27.6" x14ac:dyDescent="0.25">
      <c r="A195" s="269" t="s">
        <v>1224</v>
      </c>
      <c r="B195" s="281" t="s">
        <v>1225</v>
      </c>
      <c r="C195" s="49" t="s">
        <v>1226</v>
      </c>
      <c r="D195" s="56">
        <v>6</v>
      </c>
      <c r="F195" s="310"/>
      <c r="G195" s="310"/>
      <c r="H195" s="310"/>
      <c r="I195" s="310"/>
      <c r="J195" s="310"/>
      <c r="K195" s="310"/>
      <c r="L195" s="310"/>
      <c r="M195" s="310"/>
      <c r="N195" s="310"/>
    </row>
    <row r="196" spans="1:14" x14ac:dyDescent="0.25">
      <c r="A196" s="269" t="s">
        <v>1598</v>
      </c>
      <c r="B196" s="281" t="s">
        <v>1227</v>
      </c>
      <c r="C196" s="49" t="s">
        <v>1228</v>
      </c>
      <c r="D196" s="56">
        <v>6</v>
      </c>
      <c r="F196" s="310"/>
      <c r="G196" s="310"/>
      <c r="H196" s="310"/>
      <c r="I196" s="310"/>
      <c r="J196" s="310"/>
      <c r="K196" s="310"/>
      <c r="L196" s="310"/>
      <c r="M196" s="310"/>
      <c r="N196" s="310"/>
    </row>
    <row r="197" spans="1:14" ht="27.6" x14ac:dyDescent="0.25">
      <c r="A197" s="269" t="s">
        <v>1599</v>
      </c>
      <c r="B197" s="281" t="s">
        <v>1229</v>
      </c>
      <c r="C197" s="49" t="s">
        <v>1230</v>
      </c>
      <c r="D197" s="56">
        <v>2</v>
      </c>
      <c r="F197" s="310"/>
      <c r="G197" s="310"/>
      <c r="H197" s="310"/>
      <c r="I197" s="310"/>
      <c r="J197" s="310"/>
      <c r="K197" s="310"/>
      <c r="L197" s="310"/>
      <c r="M197" s="310"/>
      <c r="N197" s="310"/>
    </row>
    <row r="198" spans="1:14" ht="27.6" x14ac:dyDescent="0.25">
      <c r="A198" s="269" t="s">
        <v>1600</v>
      </c>
      <c r="B198" s="281" t="s">
        <v>1231</v>
      </c>
      <c r="C198" s="49" t="s">
        <v>1232</v>
      </c>
      <c r="D198" s="56">
        <v>2</v>
      </c>
      <c r="F198" s="310"/>
      <c r="G198" s="310"/>
      <c r="H198" s="310"/>
      <c r="I198" s="310"/>
      <c r="J198" s="310"/>
      <c r="K198" s="310"/>
      <c r="L198" s="310"/>
      <c r="M198" s="310"/>
      <c r="N198" s="310"/>
    </row>
    <row r="199" spans="1:14" ht="27.6" x14ac:dyDescent="0.25">
      <c r="A199" s="269" t="s">
        <v>1601</v>
      </c>
      <c r="B199" s="281" t="s">
        <v>1233</v>
      </c>
      <c r="C199" s="49" t="s">
        <v>1234</v>
      </c>
      <c r="D199" s="56">
        <v>2</v>
      </c>
      <c r="F199" s="310"/>
      <c r="G199" s="310"/>
      <c r="H199" s="310"/>
      <c r="I199" s="310"/>
      <c r="J199" s="310"/>
      <c r="K199" s="310"/>
      <c r="L199" s="310"/>
      <c r="M199" s="310"/>
      <c r="N199" s="310"/>
    </row>
    <row r="200" spans="1:14" x14ac:dyDescent="0.25">
      <c r="A200" s="156" t="s">
        <v>1235</v>
      </c>
      <c r="B200" s="298" t="s">
        <v>1236</v>
      </c>
      <c r="C200" s="123" t="s">
        <v>1237</v>
      </c>
      <c r="D200" s="280">
        <v>5</v>
      </c>
      <c r="F200" s="310"/>
      <c r="G200" s="310"/>
      <c r="H200" s="310"/>
      <c r="I200" s="310"/>
      <c r="J200" s="310"/>
      <c r="K200" s="310"/>
      <c r="L200" s="310"/>
      <c r="M200" s="310"/>
      <c r="N200" s="310"/>
    </row>
    <row r="201" spans="1:14" x14ac:dyDescent="0.25">
      <c r="A201" s="156" t="s">
        <v>1238</v>
      </c>
      <c r="B201" s="298" t="s">
        <v>1239</v>
      </c>
      <c r="C201" s="123" t="s">
        <v>1240</v>
      </c>
      <c r="D201" s="280">
        <v>20</v>
      </c>
      <c r="F201" s="310"/>
      <c r="G201" s="310"/>
      <c r="H201" s="310"/>
      <c r="I201" s="310"/>
      <c r="J201" s="310"/>
      <c r="K201" s="310"/>
      <c r="L201" s="310"/>
      <c r="M201" s="310"/>
      <c r="N201" s="310"/>
    </row>
    <row r="202" spans="1:14" x14ac:dyDescent="0.25">
      <c r="A202" s="156"/>
      <c r="B202" s="298"/>
      <c r="C202" s="123"/>
      <c r="D202" s="280"/>
      <c r="F202" s="310"/>
      <c r="G202" s="310"/>
      <c r="H202" s="310"/>
      <c r="I202" s="310"/>
      <c r="J202" s="310"/>
      <c r="K202" s="310"/>
      <c r="L202" s="310"/>
      <c r="M202" s="310"/>
      <c r="N202" s="310"/>
    </row>
    <row r="203" spans="1:14" x14ac:dyDescent="0.25">
      <c r="A203" s="21" t="s">
        <v>1241</v>
      </c>
      <c r="B203" s="50"/>
      <c r="C203" s="50"/>
      <c r="D203" s="147"/>
      <c r="F203" s="310"/>
      <c r="G203" s="310"/>
      <c r="H203" s="310"/>
      <c r="I203" s="310"/>
      <c r="J203" s="310"/>
      <c r="K203" s="310"/>
      <c r="L203" s="310"/>
      <c r="M203" s="310"/>
      <c r="N203" s="310"/>
    </row>
    <row r="204" spans="1:14" x14ac:dyDescent="0.25">
      <c r="A204" s="282" t="s">
        <v>1242</v>
      </c>
      <c r="B204" s="282" t="s">
        <v>1242</v>
      </c>
      <c r="C204" s="49" t="s">
        <v>1243</v>
      </c>
      <c r="D204" s="56">
        <v>23</v>
      </c>
      <c r="F204" s="310"/>
      <c r="G204" s="310"/>
      <c r="H204" s="310"/>
      <c r="I204" s="310"/>
      <c r="J204" s="310"/>
      <c r="K204" s="310"/>
      <c r="L204" s="310"/>
      <c r="M204" s="310"/>
      <c r="N204" s="310"/>
    </row>
    <row r="205" spans="1:14" x14ac:dyDescent="0.25">
      <c r="A205" s="282" t="s">
        <v>1244</v>
      </c>
      <c r="B205" s="282" t="s">
        <v>1244</v>
      </c>
      <c r="C205" s="49" t="s">
        <v>1245</v>
      </c>
      <c r="D205" s="56">
        <v>10</v>
      </c>
      <c r="F205" s="310"/>
      <c r="G205" s="310"/>
      <c r="H205" s="310"/>
      <c r="I205" s="310"/>
      <c r="J205" s="310"/>
      <c r="K205" s="310"/>
      <c r="L205" s="310"/>
      <c r="M205" s="310"/>
      <c r="N205" s="310"/>
    </row>
    <row r="206" spans="1:14" x14ac:dyDescent="0.25">
      <c r="A206" s="282" t="s">
        <v>1246</v>
      </c>
      <c r="B206" s="282" t="s">
        <v>1246</v>
      </c>
      <c r="C206" s="49" t="s">
        <v>1247</v>
      </c>
      <c r="D206" s="56">
        <v>2</v>
      </c>
      <c r="F206" s="310"/>
      <c r="G206" s="310"/>
      <c r="H206" s="310"/>
      <c r="I206" s="310"/>
      <c r="J206" s="310"/>
      <c r="K206" s="310"/>
      <c r="L206" s="310"/>
      <c r="M206" s="310"/>
      <c r="N206" s="310"/>
    </row>
    <row r="207" spans="1:14" x14ac:dyDescent="0.25">
      <c r="A207" s="282"/>
      <c r="B207" s="282"/>
      <c r="C207" s="49"/>
      <c r="D207" s="56"/>
      <c r="F207" s="310"/>
      <c r="G207" s="310"/>
      <c r="H207" s="310"/>
      <c r="I207" s="310"/>
      <c r="J207" s="310"/>
      <c r="K207" s="310"/>
      <c r="L207" s="310"/>
      <c r="M207" s="310"/>
      <c r="N207" s="310"/>
    </row>
    <row r="208" spans="1:14" ht="27.6" x14ac:dyDescent="0.25">
      <c r="A208" s="21" t="s">
        <v>1248</v>
      </c>
      <c r="B208" s="50"/>
      <c r="C208" s="50"/>
      <c r="D208" s="147"/>
      <c r="F208" s="310"/>
      <c r="G208" s="310"/>
      <c r="H208" s="310"/>
      <c r="I208" s="310"/>
      <c r="J208" s="310"/>
      <c r="K208" s="310"/>
      <c r="L208" s="310"/>
      <c r="M208" s="310"/>
      <c r="N208" s="310"/>
    </row>
    <row r="209" spans="1:14" x14ac:dyDescent="0.25">
      <c r="A209" s="282" t="s">
        <v>1249</v>
      </c>
      <c r="B209" s="282" t="s">
        <v>1250</v>
      </c>
      <c r="C209" s="49" t="s">
        <v>1251</v>
      </c>
      <c r="D209" s="56">
        <v>75</v>
      </c>
      <c r="F209" s="310"/>
      <c r="G209" s="310"/>
      <c r="H209" s="310"/>
      <c r="I209" s="310"/>
      <c r="J209" s="310"/>
      <c r="K209" s="310"/>
      <c r="L209" s="310"/>
      <c r="M209" s="310"/>
      <c r="N209" s="310"/>
    </row>
    <row r="210" spans="1:14" x14ac:dyDescent="0.25">
      <c r="A210" s="282" t="s">
        <v>1252</v>
      </c>
      <c r="B210" s="282" t="s">
        <v>1253</v>
      </c>
      <c r="C210" s="49" t="s">
        <v>1254</v>
      </c>
      <c r="D210" s="56">
        <v>36</v>
      </c>
      <c r="F210" s="310"/>
      <c r="G210" s="310"/>
      <c r="H210" s="310"/>
      <c r="I210" s="310"/>
      <c r="J210" s="310"/>
      <c r="K210" s="310"/>
      <c r="L210" s="310"/>
      <c r="M210" s="310"/>
      <c r="N210" s="310"/>
    </row>
    <row r="211" spans="1:14" x14ac:dyDescent="0.25">
      <c r="A211" s="282" t="s">
        <v>1255</v>
      </c>
      <c r="B211" s="282" t="s">
        <v>1256</v>
      </c>
      <c r="C211" s="49" t="s">
        <v>1257</v>
      </c>
      <c r="D211" s="56">
        <v>75</v>
      </c>
      <c r="F211" s="310"/>
      <c r="G211" s="310"/>
      <c r="H211" s="310"/>
      <c r="I211" s="310"/>
      <c r="J211" s="310"/>
      <c r="K211" s="310"/>
      <c r="L211" s="310"/>
      <c r="M211" s="310"/>
      <c r="N211" s="310"/>
    </row>
    <row r="212" spans="1:14" x14ac:dyDescent="0.25">
      <c r="A212" s="282" t="s">
        <v>1258</v>
      </c>
      <c r="B212" s="282" t="s">
        <v>1259</v>
      </c>
      <c r="C212" s="49" t="s">
        <v>1260</v>
      </c>
      <c r="D212" s="56">
        <v>36</v>
      </c>
      <c r="F212" s="310"/>
      <c r="G212" s="310"/>
      <c r="H212" s="310"/>
      <c r="I212" s="310"/>
      <c r="J212" s="310"/>
      <c r="K212" s="310"/>
      <c r="L212" s="310"/>
      <c r="M212" s="310"/>
      <c r="N212" s="310"/>
    </row>
    <row r="213" spans="1:14" x14ac:dyDescent="0.25">
      <c r="A213" s="282"/>
      <c r="B213" s="282"/>
      <c r="C213" s="49"/>
      <c r="D213" s="56"/>
      <c r="F213" s="310"/>
      <c r="G213" s="310"/>
      <c r="H213" s="310"/>
      <c r="I213" s="310"/>
      <c r="J213" s="310"/>
      <c r="K213" s="310"/>
      <c r="L213" s="310"/>
      <c r="M213" s="310"/>
      <c r="N213" s="310"/>
    </row>
    <row r="214" spans="1:14" ht="27.6" x14ac:dyDescent="0.25">
      <c r="A214" s="21" t="s">
        <v>1261</v>
      </c>
      <c r="B214" s="50"/>
      <c r="C214" s="50"/>
      <c r="D214" s="147"/>
      <c r="F214" s="310"/>
      <c r="G214" s="310"/>
      <c r="H214" s="310"/>
      <c r="I214" s="310"/>
      <c r="J214" s="310"/>
      <c r="K214" s="310"/>
      <c r="L214" s="310"/>
      <c r="M214" s="310"/>
      <c r="N214" s="310"/>
    </row>
    <row r="215" spans="1:14" x14ac:dyDescent="0.25">
      <c r="A215" s="109" t="s">
        <v>1262</v>
      </c>
      <c r="B215" s="109" t="s">
        <v>1263</v>
      </c>
      <c r="C215" s="123" t="s">
        <v>1264</v>
      </c>
      <c r="D215" s="280">
        <v>8</v>
      </c>
      <c r="F215" s="310"/>
      <c r="G215" s="310"/>
      <c r="H215" s="310"/>
      <c r="I215" s="310"/>
      <c r="J215" s="310"/>
      <c r="K215" s="310"/>
      <c r="L215" s="310"/>
      <c r="M215" s="310"/>
      <c r="N215" s="310"/>
    </row>
    <row r="216" spans="1:14" x14ac:dyDescent="0.25">
      <c r="A216" s="109" t="s">
        <v>1265</v>
      </c>
      <c r="B216" s="109" t="s">
        <v>1265</v>
      </c>
      <c r="C216" s="123" t="s">
        <v>1266</v>
      </c>
      <c r="D216" s="280">
        <v>6</v>
      </c>
      <c r="F216" s="310"/>
      <c r="G216" s="310"/>
      <c r="H216" s="310"/>
      <c r="I216" s="310"/>
      <c r="J216" s="310"/>
      <c r="K216" s="310"/>
      <c r="L216" s="310"/>
      <c r="M216" s="310"/>
      <c r="N216" s="310"/>
    </row>
    <row r="217" spans="1:14" x14ac:dyDescent="0.25">
      <c r="A217" s="109" t="s">
        <v>1267</v>
      </c>
      <c r="B217" s="109" t="s">
        <v>1268</v>
      </c>
      <c r="C217" s="123" t="s">
        <v>1269</v>
      </c>
      <c r="D217" s="280">
        <v>18</v>
      </c>
      <c r="F217" s="310"/>
      <c r="G217" s="310"/>
      <c r="H217" s="310"/>
      <c r="I217" s="310"/>
      <c r="J217" s="310"/>
      <c r="K217" s="310"/>
      <c r="L217" s="310"/>
      <c r="M217" s="310"/>
      <c r="N217" s="310"/>
    </row>
    <row r="218" spans="1:14" x14ac:dyDescent="0.25">
      <c r="A218" s="109" t="s">
        <v>1270</v>
      </c>
      <c r="B218" s="109" t="s">
        <v>1271</v>
      </c>
      <c r="C218" s="123" t="s">
        <v>1272</v>
      </c>
      <c r="D218" s="280">
        <v>8</v>
      </c>
      <c r="F218" s="310"/>
      <c r="G218" s="310"/>
      <c r="H218" s="310"/>
      <c r="I218" s="310"/>
      <c r="J218" s="310"/>
      <c r="K218" s="310"/>
      <c r="L218" s="310"/>
      <c r="M218" s="310"/>
      <c r="N218" s="310"/>
    </row>
    <row r="219" spans="1:14" x14ac:dyDescent="0.25">
      <c r="A219" s="109" t="s">
        <v>1273</v>
      </c>
      <c r="B219" s="109" t="s">
        <v>1274</v>
      </c>
      <c r="C219" s="123" t="s">
        <v>1275</v>
      </c>
      <c r="D219" s="280">
        <v>4</v>
      </c>
      <c r="F219" s="310"/>
      <c r="G219" s="310"/>
      <c r="H219" s="310"/>
      <c r="I219" s="310"/>
      <c r="J219" s="310"/>
      <c r="K219" s="310"/>
      <c r="L219" s="310"/>
      <c r="M219" s="310"/>
      <c r="N219" s="310"/>
    </row>
    <row r="220" spans="1:14" x14ac:dyDescent="0.25">
      <c r="A220" s="109" t="s">
        <v>1276</v>
      </c>
      <c r="B220" s="109" t="s">
        <v>1277</v>
      </c>
      <c r="C220" s="123" t="s">
        <v>1278</v>
      </c>
      <c r="D220" s="280">
        <v>4</v>
      </c>
      <c r="F220" s="310"/>
      <c r="G220" s="310"/>
      <c r="H220" s="310"/>
      <c r="I220" s="310"/>
      <c r="J220" s="310"/>
      <c r="K220" s="310"/>
      <c r="L220" s="310"/>
      <c r="M220" s="310"/>
      <c r="N220" s="310"/>
    </row>
    <row r="221" spans="1:14" x14ac:dyDescent="0.25">
      <c r="A221" s="109" t="s">
        <v>1279</v>
      </c>
      <c r="B221" s="109" t="s">
        <v>1280</v>
      </c>
      <c r="C221" s="123" t="s">
        <v>1281</v>
      </c>
      <c r="D221" s="280">
        <v>4</v>
      </c>
      <c r="F221" s="310"/>
      <c r="G221" s="310"/>
      <c r="H221" s="310"/>
      <c r="I221" s="310"/>
      <c r="J221" s="310"/>
      <c r="K221" s="310"/>
      <c r="L221" s="310"/>
      <c r="M221" s="310"/>
      <c r="N221" s="310"/>
    </row>
    <row r="222" spans="1:14" x14ac:dyDescent="0.25">
      <c r="A222" s="109" t="s">
        <v>1282</v>
      </c>
      <c r="B222" s="109" t="s">
        <v>1283</v>
      </c>
      <c r="C222" s="123" t="s">
        <v>1284</v>
      </c>
      <c r="D222" s="280">
        <v>4</v>
      </c>
      <c r="F222" s="310"/>
      <c r="G222" s="310"/>
      <c r="H222" s="310"/>
      <c r="I222" s="310"/>
      <c r="J222" s="310"/>
      <c r="K222" s="310"/>
      <c r="L222" s="310"/>
      <c r="M222" s="310"/>
      <c r="N222" s="310"/>
    </row>
    <row r="223" spans="1:14" x14ac:dyDescent="0.25">
      <c r="A223" s="109" t="s">
        <v>1285</v>
      </c>
      <c r="B223" s="109" t="s">
        <v>1286</v>
      </c>
      <c r="C223" s="123" t="s">
        <v>1287</v>
      </c>
      <c r="D223" s="280">
        <v>10</v>
      </c>
      <c r="F223" s="310"/>
      <c r="G223" s="310"/>
      <c r="H223" s="310"/>
      <c r="I223" s="310"/>
      <c r="J223" s="310"/>
      <c r="K223" s="310"/>
      <c r="L223" s="310"/>
      <c r="M223" s="310"/>
      <c r="N223" s="310"/>
    </row>
    <row r="224" spans="1:14" x14ac:dyDescent="0.25">
      <c r="A224" s="109" t="s">
        <v>1288</v>
      </c>
      <c r="B224" s="109" t="s">
        <v>1289</v>
      </c>
      <c r="C224" s="123" t="s">
        <v>1290</v>
      </c>
      <c r="D224" s="280">
        <v>4</v>
      </c>
      <c r="F224" s="310"/>
      <c r="G224" s="310"/>
      <c r="H224" s="310"/>
      <c r="I224" s="310"/>
      <c r="J224" s="310"/>
      <c r="K224" s="310"/>
      <c r="L224" s="310"/>
      <c r="M224" s="310"/>
      <c r="N224" s="310"/>
    </row>
    <row r="225" spans="1:14" x14ac:dyDescent="0.25">
      <c r="A225" s="109" t="s">
        <v>1291</v>
      </c>
      <c r="B225" s="109" t="s">
        <v>1292</v>
      </c>
      <c r="C225" s="123" t="s">
        <v>1293</v>
      </c>
      <c r="D225" s="280">
        <v>18</v>
      </c>
      <c r="F225" s="310"/>
      <c r="G225" s="310"/>
      <c r="H225" s="310"/>
      <c r="I225" s="310"/>
      <c r="J225" s="310"/>
      <c r="K225" s="310"/>
      <c r="L225" s="310"/>
      <c r="M225" s="310"/>
      <c r="N225" s="310"/>
    </row>
    <row r="226" spans="1:14" x14ac:dyDescent="0.25">
      <c r="A226" s="282"/>
      <c r="B226" s="282"/>
      <c r="C226" s="282"/>
      <c r="D226" s="250"/>
      <c r="F226" s="310"/>
      <c r="G226" s="310"/>
      <c r="H226" s="310"/>
      <c r="I226" s="310"/>
      <c r="J226" s="310"/>
      <c r="K226" s="310"/>
      <c r="L226" s="310"/>
      <c r="M226" s="310"/>
      <c r="N226" s="310"/>
    </row>
    <row r="227" spans="1:14" x14ac:dyDescent="0.25">
      <c r="A227" s="21" t="s">
        <v>1294</v>
      </c>
      <c r="B227" s="50"/>
      <c r="C227" s="50"/>
      <c r="D227" s="147"/>
      <c r="F227" s="310"/>
      <c r="G227" s="310"/>
      <c r="H227" s="310"/>
      <c r="I227" s="310"/>
      <c r="J227" s="310"/>
      <c r="K227" s="310"/>
      <c r="L227" s="310"/>
      <c r="M227" s="310"/>
      <c r="N227" s="310"/>
    </row>
    <row r="228" spans="1:14" ht="27.6" x14ac:dyDescent="0.25">
      <c r="A228" s="281" t="s">
        <v>1295</v>
      </c>
      <c r="B228" s="281" t="s">
        <v>1296</v>
      </c>
      <c r="C228" s="49" t="s">
        <v>1297</v>
      </c>
      <c r="D228" s="144">
        <v>69</v>
      </c>
      <c r="F228" s="310"/>
      <c r="G228" s="310"/>
      <c r="H228" s="310"/>
      <c r="I228" s="310"/>
      <c r="J228" s="310"/>
      <c r="K228" s="310"/>
      <c r="L228" s="310"/>
      <c r="M228" s="310"/>
      <c r="N228" s="310"/>
    </row>
    <row r="229" spans="1:14" ht="27.6" x14ac:dyDescent="0.25">
      <c r="A229" s="281" t="s">
        <v>1295</v>
      </c>
      <c r="B229" s="281" t="s">
        <v>1298</v>
      </c>
      <c r="C229" s="49" t="s">
        <v>1299</v>
      </c>
      <c r="D229" s="144">
        <v>62</v>
      </c>
      <c r="F229" s="310"/>
      <c r="G229" s="310"/>
      <c r="H229" s="310"/>
      <c r="I229" s="310"/>
      <c r="J229" s="310"/>
      <c r="K229" s="310"/>
      <c r="L229" s="310"/>
      <c r="M229" s="310"/>
      <c r="N229" s="310"/>
    </row>
    <row r="230" spans="1:14" ht="27.6" x14ac:dyDescent="0.25">
      <c r="A230" s="281" t="s">
        <v>1300</v>
      </c>
      <c r="B230" s="281" t="s">
        <v>1301</v>
      </c>
      <c r="C230" s="49" t="s">
        <v>1302</v>
      </c>
      <c r="D230" s="176">
        <v>48</v>
      </c>
      <c r="F230" s="310"/>
      <c r="G230" s="310"/>
      <c r="H230" s="310"/>
      <c r="I230" s="310"/>
      <c r="J230" s="310"/>
      <c r="K230" s="310"/>
      <c r="L230" s="310"/>
      <c r="M230" s="310"/>
      <c r="N230" s="310"/>
    </row>
    <row r="231" spans="1:14" x14ac:dyDescent="0.25">
      <c r="A231" s="97"/>
      <c r="B231" s="97"/>
      <c r="C231" s="49"/>
      <c r="D231" s="56"/>
      <c r="F231" s="310"/>
      <c r="G231" s="310"/>
      <c r="H231" s="310"/>
      <c r="I231" s="310"/>
      <c r="J231" s="310"/>
      <c r="K231" s="310"/>
      <c r="L231" s="310"/>
      <c r="M231" s="310"/>
      <c r="N231" s="310"/>
    </row>
    <row r="232" spans="1:14" ht="27.6" x14ac:dyDescent="0.25">
      <c r="A232" s="21" t="s">
        <v>1303</v>
      </c>
      <c r="B232" s="50"/>
      <c r="C232" s="50"/>
      <c r="D232" s="147"/>
      <c r="F232" s="310"/>
      <c r="G232" s="310"/>
      <c r="H232" s="310"/>
      <c r="I232" s="310"/>
      <c r="J232" s="310"/>
      <c r="K232" s="310"/>
      <c r="L232" s="310"/>
      <c r="M232" s="310"/>
      <c r="N232" s="310"/>
    </row>
    <row r="233" spans="1:14" ht="27.6" x14ac:dyDescent="0.25">
      <c r="A233" s="298" t="s">
        <v>1304</v>
      </c>
      <c r="B233" s="298" t="s">
        <v>1305</v>
      </c>
      <c r="C233" s="123" t="s">
        <v>1306</v>
      </c>
      <c r="D233" s="177">
        <v>50</v>
      </c>
      <c r="F233" s="310"/>
      <c r="G233" s="310"/>
      <c r="H233" s="310"/>
      <c r="I233" s="310"/>
      <c r="J233" s="310"/>
      <c r="K233" s="310"/>
      <c r="L233" s="310"/>
      <c r="M233" s="310"/>
      <c r="N233" s="310"/>
    </row>
    <row r="234" spans="1:14" ht="27.6" x14ac:dyDescent="0.25">
      <c r="A234" s="298" t="s">
        <v>1307</v>
      </c>
      <c r="B234" s="298" t="s">
        <v>1305</v>
      </c>
      <c r="C234" s="123" t="s">
        <v>1308</v>
      </c>
      <c r="D234" s="177">
        <v>18</v>
      </c>
      <c r="F234" s="310"/>
      <c r="G234" s="310"/>
      <c r="H234" s="310"/>
      <c r="I234" s="310"/>
      <c r="J234" s="310"/>
      <c r="K234" s="310"/>
      <c r="L234" s="310"/>
      <c r="M234" s="310"/>
      <c r="N234" s="310"/>
    </row>
    <row r="235" spans="1:14" x14ac:dyDescent="0.25">
      <c r="A235" s="298" t="s">
        <v>1309</v>
      </c>
      <c r="B235" s="298" t="s">
        <v>1305</v>
      </c>
      <c r="C235" s="123" t="s">
        <v>1310</v>
      </c>
      <c r="D235" s="158">
        <v>36</v>
      </c>
      <c r="F235" s="310"/>
      <c r="G235" s="310"/>
      <c r="H235" s="310"/>
      <c r="I235" s="310"/>
      <c r="J235" s="310"/>
      <c r="K235" s="310"/>
      <c r="L235" s="310"/>
      <c r="M235" s="310"/>
      <c r="N235" s="310"/>
    </row>
    <row r="236" spans="1:14" x14ac:dyDescent="0.25">
      <c r="A236" s="281"/>
      <c r="B236" s="281"/>
      <c r="C236" s="49"/>
      <c r="D236" s="56"/>
      <c r="F236" s="310"/>
      <c r="G236" s="310"/>
      <c r="H236" s="310"/>
      <c r="I236" s="310"/>
      <c r="J236" s="310"/>
      <c r="K236" s="310"/>
      <c r="L236" s="310"/>
      <c r="M236" s="310"/>
      <c r="N236" s="310"/>
    </row>
    <row r="237" spans="1:14" ht="27.6" x14ac:dyDescent="0.25">
      <c r="A237" s="21" t="s">
        <v>1311</v>
      </c>
      <c r="B237" s="50"/>
      <c r="C237" s="50"/>
      <c r="D237" s="147"/>
      <c r="F237" s="310"/>
      <c r="G237" s="310"/>
      <c r="H237" s="310"/>
      <c r="I237" s="310"/>
      <c r="J237" s="310"/>
      <c r="K237" s="310"/>
      <c r="L237" s="310"/>
      <c r="M237" s="310"/>
      <c r="N237" s="310"/>
    </row>
    <row r="238" spans="1:14" x14ac:dyDescent="0.25">
      <c r="A238" s="269" t="s">
        <v>1312</v>
      </c>
      <c r="B238" s="281" t="s">
        <v>1305</v>
      </c>
      <c r="C238" s="49" t="s">
        <v>1313</v>
      </c>
      <c r="D238" s="144">
        <v>90</v>
      </c>
      <c r="F238" s="310"/>
      <c r="G238" s="310"/>
      <c r="H238" s="310"/>
      <c r="I238" s="310"/>
      <c r="J238" s="310"/>
      <c r="K238" s="310"/>
      <c r="L238" s="310"/>
      <c r="M238" s="310"/>
      <c r="N238" s="310"/>
    </row>
    <row r="239" spans="1:14" x14ac:dyDescent="0.25">
      <c r="A239" s="281" t="s">
        <v>1314</v>
      </c>
      <c r="B239" s="281" t="s">
        <v>1305</v>
      </c>
      <c r="C239" s="49" t="s">
        <v>1315</v>
      </c>
      <c r="D239" s="144">
        <v>18</v>
      </c>
      <c r="F239" s="310"/>
      <c r="G239" s="310"/>
      <c r="H239" s="310"/>
      <c r="I239" s="310"/>
      <c r="J239" s="310"/>
      <c r="K239" s="310"/>
      <c r="L239" s="310"/>
      <c r="M239" s="310"/>
      <c r="N239" s="310"/>
    </row>
    <row r="240" spans="1:14" x14ac:dyDescent="0.25">
      <c r="A240" s="281" t="s">
        <v>1316</v>
      </c>
      <c r="B240" s="281" t="s">
        <v>1305</v>
      </c>
      <c r="C240" s="49" t="s">
        <v>1317</v>
      </c>
      <c r="D240" s="176">
        <v>36</v>
      </c>
      <c r="F240" s="310"/>
      <c r="G240" s="310"/>
      <c r="H240" s="310"/>
      <c r="I240" s="310"/>
      <c r="J240" s="310"/>
      <c r="K240" s="310"/>
      <c r="L240" s="310"/>
      <c r="M240" s="310"/>
      <c r="N240" s="310"/>
    </row>
    <row r="241" spans="1:14" x14ac:dyDescent="0.25">
      <c r="A241" s="281"/>
      <c r="B241" s="281"/>
      <c r="C241" s="49"/>
      <c r="D241" s="56"/>
      <c r="F241" s="310"/>
      <c r="G241" s="310"/>
      <c r="H241" s="310"/>
      <c r="I241" s="310"/>
      <c r="J241" s="310"/>
      <c r="K241" s="310"/>
      <c r="L241" s="310"/>
      <c r="M241" s="310"/>
      <c r="N241" s="310"/>
    </row>
    <row r="242" spans="1:14" ht="27.6" x14ac:dyDescent="0.25">
      <c r="A242" s="21" t="s">
        <v>1318</v>
      </c>
      <c r="B242" s="50"/>
      <c r="C242" s="50"/>
      <c r="D242" s="147"/>
      <c r="F242" s="310"/>
      <c r="G242" s="310"/>
      <c r="H242" s="310"/>
      <c r="I242" s="310"/>
      <c r="J242" s="310"/>
      <c r="K242" s="310"/>
      <c r="L242" s="310"/>
      <c r="M242" s="310"/>
      <c r="N242" s="310"/>
    </row>
    <row r="243" spans="1:14" ht="27.6" x14ac:dyDescent="0.25">
      <c r="A243" s="269" t="s">
        <v>1319</v>
      </c>
      <c r="B243" s="281" t="s">
        <v>1320</v>
      </c>
      <c r="C243" s="49" t="s">
        <v>1321</v>
      </c>
      <c r="D243" s="144">
        <v>11030</v>
      </c>
      <c r="F243" s="310"/>
      <c r="G243" s="310"/>
      <c r="H243" s="310"/>
      <c r="I243" s="310"/>
      <c r="J243" s="310"/>
      <c r="K243" s="310"/>
      <c r="L243" s="310"/>
      <c r="M243" s="310"/>
      <c r="N243" s="310"/>
    </row>
    <row r="244" spans="1:14" ht="41.4" x14ac:dyDescent="0.25">
      <c r="A244" s="269" t="s">
        <v>1322</v>
      </c>
      <c r="B244" s="281" t="s">
        <v>1323</v>
      </c>
      <c r="C244" s="49" t="s">
        <v>1324</v>
      </c>
      <c r="D244" s="144">
        <v>6</v>
      </c>
      <c r="F244" s="310"/>
      <c r="G244" s="310"/>
      <c r="H244" s="310"/>
      <c r="I244" s="310"/>
      <c r="J244" s="310"/>
      <c r="K244" s="310"/>
      <c r="L244" s="310"/>
      <c r="M244" s="310"/>
      <c r="N244" s="310"/>
    </row>
    <row r="245" spans="1:14" ht="41.4" x14ac:dyDescent="0.25">
      <c r="A245" s="269" t="s">
        <v>1325</v>
      </c>
      <c r="B245" s="281" t="s">
        <v>1326</v>
      </c>
      <c r="C245" s="49" t="s">
        <v>1327</v>
      </c>
      <c r="D245" s="250">
        <v>5</v>
      </c>
      <c r="F245" s="310"/>
      <c r="G245" s="310"/>
      <c r="H245" s="310"/>
      <c r="I245" s="310"/>
      <c r="J245" s="310"/>
      <c r="K245" s="310"/>
      <c r="L245" s="310"/>
      <c r="M245" s="310"/>
      <c r="N245" s="310"/>
    </row>
    <row r="246" spans="1:14" ht="41.4" x14ac:dyDescent="0.25">
      <c r="A246" s="269" t="s">
        <v>1328</v>
      </c>
      <c r="B246" s="281" t="s">
        <v>1329</v>
      </c>
      <c r="C246" s="49" t="s">
        <v>1330</v>
      </c>
      <c r="D246" s="250">
        <v>4</v>
      </c>
      <c r="F246" s="310"/>
      <c r="G246" s="310"/>
      <c r="H246" s="310"/>
      <c r="I246" s="310"/>
      <c r="J246" s="310"/>
      <c r="K246" s="310"/>
      <c r="L246" s="310"/>
      <c r="M246" s="310"/>
      <c r="N246" s="310"/>
    </row>
    <row r="247" spans="1:14" ht="41.4" x14ac:dyDescent="0.25">
      <c r="A247" s="269" t="s">
        <v>1331</v>
      </c>
      <c r="B247" s="281" t="s">
        <v>1332</v>
      </c>
      <c r="C247" s="49" t="s">
        <v>1333</v>
      </c>
      <c r="D247" s="250">
        <v>4</v>
      </c>
      <c r="F247" s="310"/>
      <c r="G247" s="310"/>
      <c r="H247" s="310"/>
      <c r="I247" s="310"/>
      <c r="J247" s="310"/>
      <c r="K247" s="310"/>
      <c r="L247" s="310"/>
      <c r="M247" s="310"/>
      <c r="N247" s="310"/>
    </row>
    <row r="248" spans="1:14" ht="27.6" x14ac:dyDescent="0.25">
      <c r="A248" s="269" t="s">
        <v>1334</v>
      </c>
      <c r="B248" s="281" t="s">
        <v>1335</v>
      </c>
      <c r="C248" s="49" t="s">
        <v>1336</v>
      </c>
      <c r="D248" s="250">
        <v>3</v>
      </c>
      <c r="F248" s="310"/>
      <c r="G248" s="310"/>
      <c r="H248" s="310"/>
      <c r="I248" s="310"/>
      <c r="J248" s="310"/>
      <c r="K248" s="310"/>
      <c r="L248" s="310"/>
      <c r="M248" s="310"/>
      <c r="N248" s="310"/>
    </row>
    <row r="249" spans="1:14" ht="27.6" x14ac:dyDescent="0.25">
      <c r="A249" s="269" t="s">
        <v>1337</v>
      </c>
      <c r="B249" s="281" t="s">
        <v>1338</v>
      </c>
      <c r="C249" s="49" t="s">
        <v>1339</v>
      </c>
      <c r="D249" s="250">
        <v>2</v>
      </c>
      <c r="F249" s="310"/>
      <c r="G249" s="310"/>
      <c r="H249" s="310"/>
      <c r="I249" s="310"/>
      <c r="J249" s="310"/>
      <c r="K249" s="310"/>
      <c r="L249" s="310"/>
      <c r="M249" s="310"/>
      <c r="N249" s="310"/>
    </row>
    <row r="250" spans="1:14" ht="27.6" x14ac:dyDescent="0.25">
      <c r="A250" s="269" t="s">
        <v>1340</v>
      </c>
      <c r="B250" s="281" t="s">
        <v>1341</v>
      </c>
      <c r="C250" s="49" t="s">
        <v>1342</v>
      </c>
      <c r="D250" s="250">
        <v>1</v>
      </c>
      <c r="F250" s="310"/>
      <c r="G250" s="310"/>
      <c r="H250" s="310"/>
      <c r="I250" s="310"/>
      <c r="J250" s="310"/>
      <c r="K250" s="310"/>
      <c r="L250" s="310"/>
      <c r="M250" s="310"/>
      <c r="N250" s="310"/>
    </row>
    <row r="251" spans="1:14" ht="27.6" x14ac:dyDescent="0.25">
      <c r="A251" s="269" t="s">
        <v>1343</v>
      </c>
      <c r="B251" s="281" t="s">
        <v>1344</v>
      </c>
      <c r="C251" s="49" t="s">
        <v>1345</v>
      </c>
      <c r="D251" s="250">
        <v>1</v>
      </c>
      <c r="F251" s="310"/>
      <c r="G251" s="310"/>
      <c r="H251" s="310"/>
      <c r="I251" s="310"/>
      <c r="J251" s="310"/>
      <c r="K251" s="310"/>
      <c r="L251" s="310"/>
      <c r="M251" s="310"/>
      <c r="N251" s="310"/>
    </row>
    <row r="252" spans="1:14" ht="27.6" x14ac:dyDescent="0.25">
      <c r="A252" s="269" t="s">
        <v>1346</v>
      </c>
      <c r="B252" s="281" t="s">
        <v>1347</v>
      </c>
      <c r="C252" s="49" t="s">
        <v>1348</v>
      </c>
      <c r="D252" s="250">
        <v>1</v>
      </c>
      <c r="F252" s="310"/>
      <c r="G252" s="310"/>
      <c r="H252" s="310"/>
      <c r="I252" s="310"/>
      <c r="J252" s="310"/>
      <c r="K252" s="310"/>
      <c r="L252" s="310"/>
      <c r="M252" s="310"/>
      <c r="N252" s="310"/>
    </row>
    <row r="253" spans="1:14" x14ac:dyDescent="0.25">
      <c r="A253" s="269" t="s">
        <v>1349</v>
      </c>
      <c r="B253" s="281" t="s">
        <v>1350</v>
      </c>
      <c r="C253" s="49" t="s">
        <v>1351</v>
      </c>
      <c r="D253" s="250">
        <v>25</v>
      </c>
      <c r="F253" s="310"/>
      <c r="G253" s="310"/>
      <c r="H253" s="310"/>
      <c r="I253" s="310"/>
      <c r="J253" s="310"/>
      <c r="K253" s="310"/>
      <c r="L253" s="310"/>
      <c r="M253" s="310"/>
      <c r="N253" s="310"/>
    </row>
    <row r="254" spans="1:14" x14ac:dyDescent="0.25">
      <c r="A254" s="269" t="s">
        <v>1352</v>
      </c>
      <c r="B254" s="281" t="s">
        <v>1353</v>
      </c>
      <c r="C254" s="49" t="s">
        <v>1354</v>
      </c>
      <c r="D254" s="250">
        <v>14</v>
      </c>
      <c r="F254" s="310"/>
      <c r="G254" s="310"/>
      <c r="H254" s="310"/>
      <c r="I254" s="310"/>
      <c r="J254" s="310"/>
      <c r="K254" s="310"/>
      <c r="L254" s="310"/>
      <c r="M254" s="310"/>
      <c r="N254" s="310"/>
    </row>
    <row r="255" spans="1:14" x14ac:dyDescent="0.25">
      <c r="A255" s="269" t="s">
        <v>1355</v>
      </c>
      <c r="B255" s="281" t="s">
        <v>1356</v>
      </c>
      <c r="C255" s="101" t="s">
        <v>1357</v>
      </c>
      <c r="D255" s="250">
        <v>3</v>
      </c>
      <c r="F255" s="310"/>
      <c r="G255" s="310"/>
      <c r="H255" s="310"/>
      <c r="I255" s="310"/>
      <c r="J255" s="310"/>
      <c r="K255" s="310"/>
      <c r="L255" s="310"/>
      <c r="M255" s="310"/>
      <c r="N255" s="310"/>
    </row>
    <row r="256" spans="1:14" x14ac:dyDescent="0.25">
      <c r="A256" s="269" t="s">
        <v>1358</v>
      </c>
      <c r="B256" s="281" t="s">
        <v>1359</v>
      </c>
      <c r="C256" s="101" t="s">
        <v>1360</v>
      </c>
      <c r="D256" s="250">
        <v>3</v>
      </c>
      <c r="F256" s="310"/>
      <c r="G256" s="310"/>
      <c r="H256" s="310"/>
      <c r="I256" s="310"/>
      <c r="J256" s="310"/>
      <c r="K256" s="310"/>
      <c r="L256" s="310"/>
      <c r="M256" s="310"/>
      <c r="N256" s="310"/>
    </row>
    <row r="257" spans="1:14" x14ac:dyDescent="0.25">
      <c r="A257" s="269" t="s">
        <v>1361</v>
      </c>
      <c r="B257" s="281" t="s">
        <v>1362</v>
      </c>
      <c r="C257" s="101" t="s">
        <v>1363</v>
      </c>
      <c r="D257" s="250">
        <v>2</v>
      </c>
      <c r="F257" s="310"/>
      <c r="G257" s="310"/>
      <c r="H257" s="310"/>
      <c r="I257" s="310"/>
      <c r="J257" s="310"/>
      <c r="K257" s="310"/>
      <c r="L257" s="310"/>
      <c r="M257" s="310"/>
      <c r="N257" s="310"/>
    </row>
    <row r="258" spans="1:14" x14ac:dyDescent="0.25">
      <c r="A258" s="269" t="s">
        <v>1364</v>
      </c>
      <c r="B258" s="281" t="s">
        <v>1365</v>
      </c>
      <c r="C258" s="101" t="s">
        <v>1366</v>
      </c>
      <c r="D258" s="250">
        <v>5</v>
      </c>
      <c r="F258" s="310"/>
      <c r="G258" s="310"/>
      <c r="H258" s="310"/>
      <c r="I258" s="310"/>
      <c r="J258" s="310"/>
      <c r="K258" s="310"/>
      <c r="L258" s="310"/>
      <c r="M258" s="310"/>
      <c r="N258" s="310"/>
    </row>
    <row r="259" spans="1:14" x14ac:dyDescent="0.25">
      <c r="A259" s="269" t="s">
        <v>1367</v>
      </c>
      <c r="B259" s="269" t="s">
        <v>1368</v>
      </c>
      <c r="C259" s="49" t="s">
        <v>1369</v>
      </c>
      <c r="D259" s="250">
        <v>150</v>
      </c>
      <c r="F259" s="310"/>
      <c r="G259" s="310"/>
      <c r="H259" s="310"/>
      <c r="I259" s="310"/>
      <c r="J259" s="310"/>
      <c r="K259" s="310"/>
      <c r="L259" s="310"/>
      <c r="M259" s="310"/>
      <c r="N259" s="310"/>
    </row>
    <row r="260" spans="1:14" x14ac:dyDescent="0.25">
      <c r="A260" s="269" t="s">
        <v>1370</v>
      </c>
      <c r="B260" s="281" t="s">
        <v>1371</v>
      </c>
      <c r="C260" s="49" t="s">
        <v>1372</v>
      </c>
      <c r="D260" s="250">
        <v>1</v>
      </c>
      <c r="F260" s="310"/>
      <c r="G260" s="310"/>
      <c r="H260" s="310"/>
      <c r="I260" s="310"/>
      <c r="J260" s="310"/>
      <c r="K260" s="310"/>
      <c r="L260" s="310"/>
      <c r="M260" s="310"/>
      <c r="N260" s="310"/>
    </row>
    <row r="261" spans="1:14" x14ac:dyDescent="0.25">
      <c r="A261" s="269" t="s">
        <v>1373</v>
      </c>
      <c r="B261" s="281" t="s">
        <v>1250</v>
      </c>
      <c r="C261" s="49" t="s">
        <v>1374</v>
      </c>
      <c r="D261" s="250">
        <v>75</v>
      </c>
      <c r="F261" s="310"/>
      <c r="G261" s="310"/>
      <c r="H261" s="310"/>
      <c r="I261" s="310"/>
      <c r="J261" s="310"/>
      <c r="K261" s="310"/>
      <c r="L261" s="310"/>
      <c r="M261" s="310"/>
      <c r="N261" s="310"/>
    </row>
    <row r="262" spans="1:14" x14ac:dyDescent="0.25">
      <c r="A262" s="269" t="s">
        <v>1375</v>
      </c>
      <c r="B262" s="281" t="s">
        <v>1253</v>
      </c>
      <c r="C262" s="49" t="s">
        <v>1376</v>
      </c>
      <c r="D262" s="250">
        <v>36</v>
      </c>
      <c r="F262" s="310"/>
      <c r="G262" s="310"/>
      <c r="H262" s="310"/>
      <c r="I262" s="310"/>
      <c r="J262" s="310"/>
      <c r="K262" s="310"/>
      <c r="L262" s="310"/>
      <c r="M262" s="310"/>
      <c r="N262" s="310"/>
    </row>
    <row r="263" spans="1:14" x14ac:dyDescent="0.25">
      <c r="A263" s="269" t="s">
        <v>1377</v>
      </c>
      <c r="B263" s="281" t="s">
        <v>1256</v>
      </c>
      <c r="C263" s="49" t="s">
        <v>1378</v>
      </c>
      <c r="D263" s="250">
        <v>75</v>
      </c>
      <c r="F263" s="310"/>
      <c r="G263" s="310"/>
      <c r="H263" s="310"/>
      <c r="I263" s="310"/>
      <c r="J263" s="310"/>
      <c r="K263" s="310"/>
      <c r="L263" s="310"/>
      <c r="M263" s="310"/>
      <c r="N263" s="310"/>
    </row>
    <row r="264" spans="1:14" x14ac:dyDescent="0.25">
      <c r="A264" s="269" t="s">
        <v>1379</v>
      </c>
      <c r="B264" s="281" t="s">
        <v>1259</v>
      </c>
      <c r="C264" s="49" t="s">
        <v>1380</v>
      </c>
      <c r="D264" s="250">
        <v>36</v>
      </c>
      <c r="F264" s="310"/>
      <c r="G264" s="310"/>
      <c r="H264" s="310"/>
      <c r="I264" s="310"/>
      <c r="J264" s="310"/>
      <c r="K264" s="310"/>
      <c r="L264" s="310"/>
      <c r="M264" s="310"/>
      <c r="N264" s="310"/>
    </row>
    <row r="265" spans="1:14" x14ac:dyDescent="0.25">
      <c r="A265" s="269" t="s">
        <v>1602</v>
      </c>
      <c r="B265" s="281" t="s">
        <v>1381</v>
      </c>
      <c r="C265" s="49" t="s">
        <v>1382</v>
      </c>
      <c r="D265" s="250">
        <v>25</v>
      </c>
      <c r="F265" s="310"/>
      <c r="G265" s="310"/>
      <c r="H265" s="310"/>
      <c r="I265" s="310"/>
      <c r="J265" s="310"/>
      <c r="K265" s="310"/>
      <c r="L265" s="310"/>
      <c r="M265" s="310"/>
      <c r="N265" s="310"/>
    </row>
    <row r="266" spans="1:14" x14ac:dyDescent="0.25">
      <c r="A266" s="269" t="s">
        <v>1383</v>
      </c>
      <c r="B266" s="281" t="s">
        <v>1383</v>
      </c>
      <c r="C266" s="49" t="s">
        <v>1384</v>
      </c>
      <c r="D266" s="250">
        <v>3</v>
      </c>
      <c r="F266" s="310"/>
      <c r="G266" s="310"/>
      <c r="H266" s="310"/>
      <c r="I266" s="310"/>
      <c r="J266" s="310"/>
      <c r="K266" s="310"/>
      <c r="L266" s="310"/>
      <c r="M266" s="310"/>
      <c r="N266" s="310"/>
    </row>
    <row r="267" spans="1:14" x14ac:dyDescent="0.25">
      <c r="A267" s="269" t="s">
        <v>1385</v>
      </c>
      <c r="B267" s="281" t="s">
        <v>1385</v>
      </c>
      <c r="C267" s="101" t="s">
        <v>1386</v>
      </c>
      <c r="D267" s="250">
        <v>2</v>
      </c>
      <c r="E267" s="310"/>
      <c r="F267" s="310"/>
      <c r="G267" s="310"/>
      <c r="H267" s="310"/>
      <c r="I267" s="310"/>
      <c r="J267" s="310"/>
      <c r="K267" s="310"/>
      <c r="L267" s="310"/>
      <c r="M267" s="310"/>
      <c r="N267" s="310"/>
    </row>
    <row r="268" spans="1:14" x14ac:dyDescent="0.25">
      <c r="A268" s="269" t="s">
        <v>1387</v>
      </c>
      <c r="B268" s="281" t="s">
        <v>1387</v>
      </c>
      <c r="C268" s="101" t="s">
        <v>1388</v>
      </c>
      <c r="D268" s="250">
        <v>4</v>
      </c>
    </row>
    <row r="269" spans="1:14" x14ac:dyDescent="0.25">
      <c r="A269" s="269" t="s">
        <v>1389</v>
      </c>
      <c r="B269" s="281" t="s">
        <v>1389</v>
      </c>
      <c r="C269" s="101" t="s">
        <v>1390</v>
      </c>
      <c r="D269" s="250">
        <v>4</v>
      </c>
    </row>
    <row r="270" spans="1:14" x14ac:dyDescent="0.25">
      <c r="A270" s="269" t="s">
        <v>1391</v>
      </c>
      <c r="B270" s="281" t="s">
        <v>1391</v>
      </c>
      <c r="C270" s="101" t="s">
        <v>1392</v>
      </c>
      <c r="D270" s="250">
        <v>4</v>
      </c>
    </row>
    <row r="271" spans="1:14" x14ac:dyDescent="0.25">
      <c r="A271" s="269" t="s">
        <v>1393</v>
      </c>
      <c r="B271" s="281" t="s">
        <v>1393</v>
      </c>
      <c r="C271" s="101" t="s">
        <v>1394</v>
      </c>
      <c r="D271" s="250">
        <v>3</v>
      </c>
    </row>
    <row r="272" spans="1:14" x14ac:dyDescent="0.25">
      <c r="A272" s="310"/>
      <c r="B272" s="310"/>
      <c r="C272" s="53"/>
    </row>
    <row r="273" spans="1:14" ht="27.6" x14ac:dyDescent="0.25">
      <c r="A273" s="92" t="s">
        <v>792</v>
      </c>
      <c r="B273" s="88" t="s">
        <v>126</v>
      </c>
      <c r="C273" s="88"/>
      <c r="D273" s="287" t="s">
        <v>142</v>
      </c>
      <c r="E273" s="88" t="s">
        <v>290</v>
      </c>
      <c r="F273" s="88" t="s">
        <v>292</v>
      </c>
      <c r="G273" s="88" t="s">
        <v>515</v>
      </c>
      <c r="H273" s="88" t="s">
        <v>516</v>
      </c>
      <c r="I273" s="88" t="s">
        <v>517</v>
      </c>
      <c r="J273" s="88" t="s">
        <v>518</v>
      </c>
      <c r="K273" s="88" t="s">
        <v>519</v>
      </c>
      <c r="L273" s="88" t="s">
        <v>520</v>
      </c>
      <c r="M273" s="88" t="s">
        <v>735</v>
      </c>
      <c r="N273" s="88" t="s">
        <v>733</v>
      </c>
    </row>
    <row r="274" spans="1:14" x14ac:dyDescent="0.25">
      <c r="A274" s="21" t="s">
        <v>1395</v>
      </c>
      <c r="B274" s="50"/>
      <c r="C274" s="50"/>
      <c r="D274" s="164"/>
      <c r="E274" s="50"/>
      <c r="F274" s="50"/>
      <c r="G274" s="50"/>
      <c r="H274" s="50"/>
      <c r="I274" s="50"/>
      <c r="J274" s="50"/>
      <c r="K274" s="50"/>
      <c r="L274" s="50"/>
      <c r="M274" s="50"/>
      <c r="N274" s="50"/>
    </row>
    <row r="275" spans="1:14" ht="27.6" x14ac:dyDescent="0.25">
      <c r="A275" s="269" t="s">
        <v>1396</v>
      </c>
      <c r="B275" s="281" t="s">
        <v>1397</v>
      </c>
      <c r="C275" s="101"/>
      <c r="D275" s="76">
        <v>110</v>
      </c>
      <c r="E275" s="113" t="s">
        <v>1398</v>
      </c>
      <c r="F275" s="156" t="s">
        <v>1399</v>
      </c>
      <c r="G275" s="156" t="s">
        <v>1400</v>
      </c>
      <c r="H275" s="156" t="s">
        <v>1401</v>
      </c>
      <c r="I275" s="156" t="s">
        <v>1402</v>
      </c>
      <c r="J275" s="156" t="s">
        <v>1605</v>
      </c>
      <c r="K275" s="156" t="s">
        <v>1403</v>
      </c>
      <c r="L275" s="156" t="s">
        <v>1404</v>
      </c>
      <c r="M275" s="123" t="s">
        <v>1485</v>
      </c>
      <c r="N275" s="123" t="s">
        <v>1405</v>
      </c>
    </row>
  </sheetData>
  <phoneticPr fontId="1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7:J15"/>
  <sheetViews>
    <sheetView zoomScale="80" zoomScaleNormal="80" workbookViewId="0">
      <selection activeCell="E28" sqref="E28"/>
    </sheetView>
  </sheetViews>
  <sheetFormatPr baseColWidth="10" defaultColWidth="11.44140625" defaultRowHeight="13.8" x14ac:dyDescent="0.3"/>
  <cols>
    <col min="1" max="1" width="24.77734375" style="310" customWidth="1"/>
    <col min="2" max="2" width="10.21875" style="310" bestFit="1" customWidth="1"/>
    <col min="3" max="3" width="64.6640625" style="310" bestFit="1" customWidth="1"/>
    <col min="4" max="4" width="20.77734375" style="310" bestFit="1" customWidth="1"/>
    <col min="5" max="5" width="9.88671875" style="310" bestFit="1" customWidth="1"/>
    <col min="6" max="6" width="19.44140625" style="310" bestFit="1" customWidth="1"/>
    <col min="7" max="7" width="5.44140625" style="310" bestFit="1" customWidth="1"/>
    <col min="8" max="8" width="35.6640625" style="310" bestFit="1" customWidth="1"/>
    <col min="9" max="9" width="19" style="310" bestFit="1" customWidth="1"/>
    <col min="10" max="10" width="11" style="310" bestFit="1" customWidth="1"/>
    <col min="11" max="16384" width="11.44140625" style="310"/>
  </cols>
  <sheetData>
    <row r="7" spans="1:10" ht="15.6" x14ac:dyDescent="0.3">
      <c r="A7" s="357" t="s">
        <v>122</v>
      </c>
    </row>
    <row r="8" spans="1:10" s="306" customFormat="1" ht="15.6" x14ac:dyDescent="0.3">
      <c r="A8" s="357" t="s">
        <v>1626</v>
      </c>
      <c r="B8" s="286"/>
      <c r="C8" s="286"/>
      <c r="D8" s="286"/>
      <c r="E8" s="286"/>
      <c r="F8" s="286"/>
      <c r="G8" s="286"/>
      <c r="H8" s="310"/>
    </row>
    <row r="9" spans="1:10" s="306" customFormat="1" x14ac:dyDescent="0.25">
      <c r="A9" s="286"/>
      <c r="B9" s="286"/>
      <c r="C9" s="286"/>
      <c r="D9" s="286"/>
      <c r="E9" s="286"/>
      <c r="F9" s="286"/>
      <c r="G9" s="286"/>
      <c r="H9" s="311"/>
    </row>
    <row r="10" spans="1:10" ht="13.8" customHeight="1" x14ac:dyDescent="0.3">
      <c r="A10" s="400" t="s">
        <v>1406</v>
      </c>
      <c r="B10" s="401"/>
      <c r="C10" s="401"/>
      <c r="D10" s="401"/>
      <c r="E10" s="401"/>
      <c r="F10" s="401"/>
      <c r="G10" s="401"/>
      <c r="H10" s="401"/>
      <c r="I10" s="401"/>
      <c r="J10" s="402"/>
    </row>
    <row r="11" spans="1:10" s="53" customFormat="1" ht="27.6" x14ac:dyDescent="0.3">
      <c r="A11" s="70" t="s">
        <v>1407</v>
      </c>
      <c r="B11" s="130" t="s">
        <v>129</v>
      </c>
      <c r="C11" s="70" t="s">
        <v>1408</v>
      </c>
      <c r="D11" s="70" t="s">
        <v>1409</v>
      </c>
      <c r="E11" s="70" t="s">
        <v>1410</v>
      </c>
      <c r="F11" s="70" t="s">
        <v>1411</v>
      </c>
      <c r="G11" s="70" t="s">
        <v>1412</v>
      </c>
      <c r="H11" s="70" t="s">
        <v>1603</v>
      </c>
      <c r="I11" s="136" t="s">
        <v>1413</v>
      </c>
      <c r="J11" s="59" t="s">
        <v>142</v>
      </c>
    </row>
    <row r="12" spans="1:10" ht="26.4" customHeight="1" x14ac:dyDescent="0.3">
      <c r="A12" s="397" t="s">
        <v>1604</v>
      </c>
      <c r="B12" s="398"/>
      <c r="C12" s="398"/>
      <c r="D12" s="398"/>
      <c r="E12" s="398"/>
      <c r="F12" s="398"/>
      <c r="G12" s="398"/>
      <c r="H12" s="398"/>
      <c r="I12" s="398"/>
      <c r="J12" s="399"/>
    </row>
    <row r="13" spans="1:10" s="360" customFormat="1" x14ac:dyDescent="0.3">
      <c r="A13" s="358" t="s">
        <v>1484</v>
      </c>
      <c r="B13" s="359" t="s">
        <v>1580</v>
      </c>
      <c r="C13" s="359" t="s">
        <v>1417</v>
      </c>
      <c r="D13" s="359" t="s">
        <v>1480</v>
      </c>
      <c r="E13" s="359" t="s">
        <v>1414</v>
      </c>
      <c r="F13" s="359" t="s">
        <v>1481</v>
      </c>
      <c r="G13" s="359" t="s">
        <v>1418</v>
      </c>
      <c r="H13" s="359" t="s">
        <v>1482</v>
      </c>
      <c r="I13" s="359" t="s">
        <v>1483</v>
      </c>
      <c r="J13" s="237">
        <v>707</v>
      </c>
    </row>
    <row r="14" spans="1:10" s="216" customFormat="1" x14ac:dyDescent="0.3">
      <c r="A14" s="358" t="s">
        <v>1484</v>
      </c>
      <c r="B14" s="227" t="s">
        <v>1419</v>
      </c>
      <c r="C14" s="359" t="s">
        <v>1579</v>
      </c>
      <c r="D14" s="227" t="s">
        <v>1480</v>
      </c>
      <c r="E14" s="227" t="s">
        <v>1414</v>
      </c>
      <c r="F14" s="227" t="s">
        <v>1481</v>
      </c>
      <c r="G14" s="227" t="s">
        <v>294</v>
      </c>
      <c r="H14" s="227" t="s">
        <v>1420</v>
      </c>
      <c r="I14" s="361" t="s">
        <v>1416</v>
      </c>
      <c r="J14" s="237">
        <v>616</v>
      </c>
    </row>
    <row r="15" spans="1:10" x14ac:dyDescent="0.25">
      <c r="I15" s="311"/>
    </row>
  </sheetData>
  <mergeCells count="2">
    <mergeCell ref="A12:J12"/>
    <mergeCell ref="A10:J10"/>
  </mergeCells>
  <conditionalFormatting sqref="B11">
    <cfRule type="duplicateValues" dxfId="11" priority="6"/>
    <cfRule type="duplicateValues" dxfId="10" priority="7"/>
    <cfRule type="duplicateValues" dxfId="9" priority="8"/>
  </conditionalFormatting>
  <conditionalFormatting sqref="B14">
    <cfRule type="duplicateValues" dxfId="8"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0781-AE04-49A2-B978-8386ABD6966C}">
  <sheetPr>
    <tabColor rgb="FF00B0F0"/>
  </sheetPr>
  <dimension ref="A1:AQ402"/>
  <sheetViews>
    <sheetView zoomScale="80" zoomScaleNormal="80" workbookViewId="0">
      <selection activeCell="E377" sqref="E377"/>
    </sheetView>
  </sheetViews>
  <sheetFormatPr baseColWidth="10" defaultColWidth="51.33203125" defaultRowHeight="13.8" x14ac:dyDescent="0.3"/>
  <cols>
    <col min="1" max="1" width="145.109375" style="307" bestFit="1" customWidth="1"/>
    <col min="2" max="2" width="112.88671875" style="307" bestFit="1" customWidth="1"/>
    <col min="3" max="3" width="5.5546875" style="308" bestFit="1" customWidth="1"/>
    <col min="4" max="4" width="4.6640625" style="308" bestFit="1" customWidth="1"/>
    <col min="5" max="5" width="13.77734375" style="265" bestFit="1" customWidth="1"/>
    <col min="6" max="6" width="18.88671875" style="265" bestFit="1" customWidth="1"/>
    <col min="7" max="7" width="11" style="265" bestFit="1" customWidth="1"/>
    <col min="8" max="8" width="10" style="265" bestFit="1" customWidth="1"/>
    <col min="9" max="9" width="12.6640625" style="265" bestFit="1" customWidth="1"/>
    <col min="10" max="10" width="11.6640625" style="198" bestFit="1" customWidth="1"/>
    <col min="11" max="11" width="15.109375" style="211" bestFit="1" customWidth="1"/>
    <col min="12" max="43" width="51.33203125" style="329"/>
    <col min="44" max="16384" width="51.33203125" style="307"/>
  </cols>
  <sheetData>
    <row r="1" spans="1:43" x14ac:dyDescent="0.3">
      <c r="E1" s="265" t="s">
        <v>121</v>
      </c>
    </row>
    <row r="7" spans="1:43" s="330" customFormat="1" ht="15.6" x14ac:dyDescent="0.25">
      <c r="A7" s="151" t="s">
        <v>122</v>
      </c>
      <c r="B7" s="286"/>
      <c r="C7" s="47"/>
      <c r="D7" s="47"/>
      <c r="E7" s="150"/>
      <c r="F7" s="150"/>
      <c r="G7" s="150"/>
      <c r="H7" s="150"/>
      <c r="I7" s="150"/>
      <c r="J7" s="150"/>
      <c r="K7" s="222"/>
      <c r="L7" s="104" t="s">
        <v>1421</v>
      </c>
      <c r="M7" s="129"/>
      <c r="N7" s="129"/>
      <c r="O7" s="165"/>
      <c r="P7" s="221"/>
      <c r="Q7" s="221"/>
      <c r="R7" s="221"/>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c r="AQ7" s="221"/>
    </row>
    <row r="8" spans="1:43" s="330" customFormat="1" ht="31.2" x14ac:dyDescent="0.3">
      <c r="A8" s="151" t="s">
        <v>123</v>
      </c>
      <c r="B8" s="286"/>
      <c r="C8" s="47"/>
      <c r="D8" s="47"/>
      <c r="E8" s="150"/>
      <c r="F8" s="150"/>
      <c r="G8" s="150"/>
      <c r="H8" s="150"/>
      <c r="I8" s="150"/>
      <c r="J8" s="150"/>
      <c r="K8" s="307"/>
      <c r="L8" s="59" t="s">
        <v>1422</v>
      </c>
      <c r="M8" s="59" t="s">
        <v>1422</v>
      </c>
      <c r="N8" s="59" t="s">
        <v>1422</v>
      </c>
      <c r="O8" s="59" t="s">
        <v>1422</v>
      </c>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row>
    <row r="9" spans="1:43" s="330" customFormat="1" x14ac:dyDescent="0.3">
      <c r="A9" s="47"/>
      <c r="B9" s="47"/>
      <c r="C9" s="47"/>
      <c r="D9" s="47"/>
      <c r="E9" s="150"/>
      <c r="F9" s="150"/>
      <c r="G9" s="150"/>
      <c r="H9" s="150"/>
      <c r="I9" s="150"/>
      <c r="J9" s="150"/>
      <c r="K9" s="255"/>
      <c r="L9" s="261">
        <v>0.1983</v>
      </c>
      <c r="M9" s="261">
        <v>0.1099</v>
      </c>
      <c r="N9" s="261">
        <v>0.20430000000000001</v>
      </c>
      <c r="O9" s="261">
        <v>0.1159</v>
      </c>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row>
    <row r="10" spans="1:43" s="224" customFormat="1" x14ac:dyDescent="0.3">
      <c r="A10" s="271" t="s">
        <v>124</v>
      </c>
      <c r="B10" s="271"/>
      <c r="C10" s="271"/>
      <c r="D10" s="271"/>
      <c r="E10" s="271"/>
      <c r="F10" s="271"/>
      <c r="G10" s="271"/>
      <c r="H10" s="271"/>
      <c r="I10" s="271"/>
      <c r="J10" s="271"/>
      <c r="K10" s="266"/>
      <c r="L10" s="403" t="s">
        <v>1423</v>
      </c>
      <c r="M10" s="404"/>
      <c r="N10" s="403" t="s">
        <v>1424</v>
      </c>
      <c r="O10" s="404"/>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row>
    <row r="11" spans="1:43" s="13" customFormat="1" ht="82.8" x14ac:dyDescent="0.3">
      <c r="A11" s="22" t="s">
        <v>125</v>
      </c>
      <c r="B11" s="22" t="s">
        <v>126</v>
      </c>
      <c r="C11" s="22" t="s">
        <v>127</v>
      </c>
      <c r="D11" s="22" t="s">
        <v>128</v>
      </c>
      <c r="E11" s="22"/>
      <c r="F11" s="22"/>
      <c r="G11" s="22"/>
      <c r="H11" s="22"/>
      <c r="I11" s="22"/>
      <c r="J11" s="22"/>
      <c r="K11" s="264" t="s">
        <v>130</v>
      </c>
      <c r="L11" s="371" t="s">
        <v>1425</v>
      </c>
      <c r="M11" s="96" t="s">
        <v>1426</v>
      </c>
      <c r="N11" s="102" t="s">
        <v>1425</v>
      </c>
      <c r="O11" s="184" t="s">
        <v>1426</v>
      </c>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row>
    <row r="12" spans="1:43" s="330" customFormat="1" ht="165.6" x14ac:dyDescent="0.3">
      <c r="A12" s="156" t="s">
        <v>1607</v>
      </c>
      <c r="B12" s="168" t="s">
        <v>131</v>
      </c>
      <c r="C12" s="159"/>
      <c r="D12" s="159"/>
      <c r="E12" s="54"/>
      <c r="F12" s="54"/>
      <c r="G12" s="54"/>
      <c r="H12" s="54"/>
      <c r="I12" s="54"/>
      <c r="J12" s="54"/>
      <c r="K12" s="143">
        <v>361</v>
      </c>
      <c r="L12" s="234">
        <f>K12*$L$9</f>
        <v>71.586300000000008</v>
      </c>
      <c r="M12" s="234">
        <f>K12*$M$9</f>
        <v>39.673899999999996</v>
      </c>
      <c r="N12" s="234">
        <f>K12*$N$9</f>
        <v>73.752300000000005</v>
      </c>
      <c r="O12" s="234">
        <f>K12*$O$9</f>
        <v>41.8399</v>
      </c>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row>
    <row r="13" spans="1:43" s="330" customFormat="1" x14ac:dyDescent="0.3">
      <c r="A13" s="303"/>
      <c r="B13" s="168"/>
      <c r="C13" s="159"/>
      <c r="D13" s="159"/>
      <c r="E13" s="54"/>
      <c r="F13" s="54"/>
      <c r="G13" s="54"/>
      <c r="H13" s="54"/>
      <c r="I13" s="54"/>
      <c r="J13" s="54"/>
      <c r="K13" s="236"/>
      <c r="L13" s="234"/>
      <c r="M13" s="234"/>
      <c r="N13" s="234"/>
      <c r="O13" s="234"/>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row>
    <row r="14" spans="1:43" s="330" customFormat="1" ht="165.6" x14ac:dyDescent="0.3">
      <c r="A14" s="303" t="s">
        <v>1608</v>
      </c>
      <c r="B14" s="168" t="s">
        <v>132</v>
      </c>
      <c r="C14" s="159"/>
      <c r="D14" s="159"/>
      <c r="E14" s="54"/>
      <c r="F14" s="54"/>
      <c r="G14" s="54"/>
      <c r="H14" s="54"/>
      <c r="I14" s="54"/>
      <c r="J14" s="54"/>
      <c r="K14" s="143">
        <v>341</v>
      </c>
      <c r="L14" s="234">
        <f t="shared" ref="L14:L73" si="0">K14*$L$9</f>
        <v>67.6203</v>
      </c>
      <c r="M14" s="234">
        <f t="shared" ref="M14:M73" si="1">K14*$M$9</f>
        <v>37.475899999999996</v>
      </c>
      <c r="N14" s="234">
        <f t="shared" ref="N14:N73" si="2">K14*$N$9</f>
        <v>69.666300000000007</v>
      </c>
      <c r="O14" s="234">
        <f t="shared" ref="O14:O73" si="3">K14*$O$9</f>
        <v>39.521900000000002</v>
      </c>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row>
    <row r="15" spans="1:43" s="330" customFormat="1" x14ac:dyDescent="0.3">
      <c r="A15" s="303"/>
      <c r="B15" s="168"/>
      <c r="C15" s="159"/>
      <c r="D15" s="159"/>
      <c r="E15" s="54"/>
      <c r="F15" s="54"/>
      <c r="G15" s="54"/>
      <c r="H15" s="54"/>
      <c r="I15" s="54"/>
      <c r="J15" s="54"/>
      <c r="K15" s="233"/>
      <c r="L15" s="234"/>
      <c r="M15" s="234"/>
      <c r="N15" s="234"/>
      <c r="O15" s="234"/>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row>
    <row r="16" spans="1:43" s="330" customFormat="1" ht="165.6" x14ac:dyDescent="0.3">
      <c r="A16" s="156" t="s">
        <v>1609</v>
      </c>
      <c r="B16" s="168" t="s">
        <v>133</v>
      </c>
      <c r="C16" s="159"/>
      <c r="D16" s="159"/>
      <c r="E16" s="54"/>
      <c r="F16" s="54"/>
      <c r="G16" s="54"/>
      <c r="H16" s="54"/>
      <c r="I16" s="54"/>
      <c r="J16" s="54"/>
      <c r="K16" s="143">
        <v>361</v>
      </c>
      <c r="L16" s="234">
        <f t="shared" si="0"/>
        <v>71.586300000000008</v>
      </c>
      <c r="M16" s="234">
        <f t="shared" si="1"/>
        <v>39.673899999999996</v>
      </c>
      <c r="N16" s="234">
        <f t="shared" si="2"/>
        <v>73.752300000000005</v>
      </c>
      <c r="O16" s="234">
        <f t="shared" si="3"/>
        <v>41.8399</v>
      </c>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row>
    <row r="17" spans="1:43" x14ac:dyDescent="0.3">
      <c r="A17" s="303"/>
      <c r="B17" s="168"/>
      <c r="C17" s="159"/>
      <c r="D17" s="159"/>
      <c r="E17" s="54"/>
      <c r="F17" s="54"/>
      <c r="G17" s="54"/>
      <c r="H17" s="54"/>
      <c r="I17" s="54"/>
      <c r="J17" s="54"/>
      <c r="K17" s="234"/>
      <c r="L17" s="234"/>
      <c r="M17" s="234"/>
      <c r="N17" s="234"/>
      <c r="O17" s="234"/>
    </row>
    <row r="18" spans="1:43" ht="165.6" x14ac:dyDescent="0.3">
      <c r="A18" s="270" t="s">
        <v>1610</v>
      </c>
      <c r="B18" s="168" t="s">
        <v>134</v>
      </c>
      <c r="C18" s="159"/>
      <c r="D18" s="159"/>
      <c r="E18" s="54"/>
      <c r="F18" s="54"/>
      <c r="G18" s="54"/>
      <c r="H18" s="54"/>
      <c r="I18" s="54"/>
      <c r="J18" s="54"/>
      <c r="K18" s="143">
        <v>341</v>
      </c>
      <c r="L18" s="234">
        <f t="shared" si="0"/>
        <v>67.6203</v>
      </c>
      <c r="M18" s="234">
        <f t="shared" si="1"/>
        <v>37.475899999999996</v>
      </c>
      <c r="N18" s="234">
        <f t="shared" si="2"/>
        <v>69.666300000000007</v>
      </c>
      <c r="O18" s="234">
        <f t="shared" si="3"/>
        <v>39.521900000000002</v>
      </c>
    </row>
    <row r="19" spans="1:43" x14ac:dyDescent="0.3">
      <c r="A19" s="303"/>
      <c r="B19" s="168"/>
      <c r="C19" s="159"/>
      <c r="D19" s="159"/>
      <c r="E19" s="54"/>
      <c r="F19" s="54"/>
      <c r="G19" s="54"/>
      <c r="H19" s="54"/>
      <c r="I19" s="54"/>
      <c r="J19" s="54"/>
      <c r="K19" s="234"/>
      <c r="L19" s="234"/>
      <c r="M19" s="234"/>
      <c r="N19" s="234"/>
      <c r="O19" s="234"/>
    </row>
    <row r="20" spans="1:43" ht="151.80000000000001" x14ac:dyDescent="0.3">
      <c r="A20" s="125" t="s">
        <v>1611</v>
      </c>
      <c r="B20" s="168" t="s">
        <v>135</v>
      </c>
      <c r="C20" s="159"/>
      <c r="D20" s="159"/>
      <c r="E20" s="54"/>
      <c r="F20" s="54"/>
      <c r="G20" s="54"/>
      <c r="H20" s="54"/>
      <c r="I20" s="54"/>
      <c r="J20" s="54"/>
      <c r="K20" s="143">
        <v>449</v>
      </c>
      <c r="L20" s="234">
        <f t="shared" si="0"/>
        <v>89.036699999999996</v>
      </c>
      <c r="M20" s="234">
        <f t="shared" si="1"/>
        <v>49.345100000000002</v>
      </c>
      <c r="N20" s="234">
        <f t="shared" si="2"/>
        <v>91.730699999999999</v>
      </c>
      <c r="O20" s="234">
        <f t="shared" si="3"/>
        <v>52.039100000000005</v>
      </c>
    </row>
    <row r="21" spans="1:43" x14ac:dyDescent="0.3">
      <c r="A21" s="303"/>
      <c r="B21" s="168"/>
      <c r="C21" s="159"/>
      <c r="D21" s="159"/>
      <c r="E21" s="54"/>
      <c r="F21" s="54"/>
      <c r="G21" s="54"/>
      <c r="H21" s="54"/>
      <c r="I21" s="54"/>
      <c r="J21" s="54"/>
      <c r="K21" s="234"/>
      <c r="L21" s="234"/>
      <c r="M21" s="234"/>
      <c r="N21" s="234"/>
      <c r="O21" s="234"/>
    </row>
    <row r="22" spans="1:43" s="16" customFormat="1" ht="27.6" x14ac:dyDescent="0.3">
      <c r="A22" s="276" t="s">
        <v>136</v>
      </c>
      <c r="B22" s="22" t="s">
        <v>126</v>
      </c>
      <c r="C22" s="22" t="s">
        <v>127</v>
      </c>
      <c r="D22" s="22" t="s">
        <v>128</v>
      </c>
      <c r="E22" s="22" t="s">
        <v>137</v>
      </c>
      <c r="F22" s="22" t="s">
        <v>138</v>
      </c>
      <c r="G22" s="22" t="s">
        <v>139</v>
      </c>
      <c r="H22" s="22" t="s">
        <v>140</v>
      </c>
      <c r="I22" s="22" t="s">
        <v>141</v>
      </c>
      <c r="J22" s="22"/>
      <c r="K22" s="14"/>
      <c r="L22" s="14"/>
      <c r="M22" s="14"/>
      <c r="N22" s="14"/>
      <c r="O22" s="14"/>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row>
    <row r="23" spans="1:43" x14ac:dyDescent="0.3">
      <c r="A23" s="112" t="s">
        <v>143</v>
      </c>
      <c r="B23" s="124"/>
      <c r="C23" s="124"/>
      <c r="D23" s="124"/>
      <c r="E23" s="289"/>
      <c r="F23" s="289"/>
      <c r="G23" s="289"/>
      <c r="H23" s="289"/>
      <c r="I23" s="289"/>
      <c r="J23" s="293"/>
      <c r="K23" s="235"/>
      <c r="L23" s="235"/>
      <c r="M23" s="235"/>
      <c r="N23" s="235"/>
      <c r="O23" s="235"/>
    </row>
    <row r="24" spans="1:43" x14ac:dyDescent="0.3">
      <c r="A24" s="156" t="s">
        <v>1655</v>
      </c>
      <c r="B24" s="156" t="s">
        <v>144</v>
      </c>
      <c r="C24" s="123"/>
      <c r="D24" s="123"/>
      <c r="E24" s="298"/>
      <c r="F24" s="298" t="s">
        <v>145</v>
      </c>
      <c r="G24" s="298"/>
      <c r="H24" s="298" t="s">
        <v>146</v>
      </c>
      <c r="I24" s="298" t="s">
        <v>147</v>
      </c>
      <c r="J24" s="85"/>
      <c r="K24" s="143">
        <v>64</v>
      </c>
      <c r="L24" s="234">
        <f t="shared" si="0"/>
        <v>12.6912</v>
      </c>
      <c r="M24" s="234">
        <f t="shared" si="1"/>
        <v>7.0335999999999999</v>
      </c>
      <c r="N24" s="234">
        <f t="shared" si="2"/>
        <v>13.075200000000001</v>
      </c>
      <c r="O24" s="234">
        <f t="shared" si="3"/>
        <v>7.4176000000000002</v>
      </c>
    </row>
    <row r="25" spans="1:43" x14ac:dyDescent="0.3">
      <c r="A25" s="156" t="s">
        <v>1659</v>
      </c>
      <c r="B25" s="156" t="s">
        <v>148</v>
      </c>
      <c r="C25" s="123"/>
      <c r="D25" s="123"/>
      <c r="E25" s="298"/>
      <c r="F25" s="298" t="s">
        <v>149</v>
      </c>
      <c r="G25" s="298"/>
      <c r="H25" s="298" t="s">
        <v>150</v>
      </c>
      <c r="J25" s="85"/>
      <c r="K25" s="143">
        <v>64</v>
      </c>
      <c r="L25" s="234">
        <f t="shared" si="0"/>
        <v>12.6912</v>
      </c>
      <c r="M25" s="234">
        <f t="shared" si="1"/>
        <v>7.0335999999999999</v>
      </c>
      <c r="N25" s="234">
        <f t="shared" si="2"/>
        <v>13.075200000000001</v>
      </c>
      <c r="O25" s="234">
        <f t="shared" si="3"/>
        <v>7.4176000000000002</v>
      </c>
    </row>
    <row r="26" spans="1:43" x14ac:dyDescent="0.3">
      <c r="A26" s="113" t="s">
        <v>1658</v>
      </c>
      <c r="B26" s="156" t="s">
        <v>151</v>
      </c>
      <c r="C26" s="123"/>
      <c r="D26" s="123"/>
      <c r="E26" s="298"/>
      <c r="F26" s="298"/>
      <c r="G26" s="298"/>
      <c r="H26" s="298"/>
      <c r="I26" s="298" t="s">
        <v>152</v>
      </c>
      <c r="J26" s="85"/>
      <c r="K26" s="143">
        <v>64</v>
      </c>
      <c r="L26" s="234">
        <f t="shared" si="0"/>
        <v>12.6912</v>
      </c>
      <c r="M26" s="234">
        <f t="shared" si="1"/>
        <v>7.0335999999999999</v>
      </c>
      <c r="N26" s="234">
        <f t="shared" si="2"/>
        <v>13.075200000000001</v>
      </c>
      <c r="O26" s="234">
        <f t="shared" si="3"/>
        <v>7.4176000000000002</v>
      </c>
    </row>
    <row r="27" spans="1:43" x14ac:dyDescent="0.3">
      <c r="A27" s="156" t="s">
        <v>1656</v>
      </c>
      <c r="B27" s="156" t="s">
        <v>153</v>
      </c>
      <c r="C27" s="123"/>
      <c r="D27" s="123"/>
      <c r="E27" s="298" t="s">
        <v>154</v>
      </c>
      <c r="F27" s="298"/>
      <c r="G27" s="298" t="s">
        <v>155</v>
      </c>
      <c r="H27" s="298"/>
      <c r="I27" s="298"/>
      <c r="J27" s="85"/>
      <c r="K27" s="143">
        <v>82</v>
      </c>
      <c r="L27" s="234">
        <f t="shared" si="0"/>
        <v>16.2606</v>
      </c>
      <c r="M27" s="234">
        <f t="shared" si="1"/>
        <v>9.0117999999999991</v>
      </c>
      <c r="N27" s="234">
        <f t="shared" si="2"/>
        <v>16.752600000000001</v>
      </c>
      <c r="O27" s="234">
        <f t="shared" si="3"/>
        <v>9.5038</v>
      </c>
    </row>
    <row r="28" spans="1:43" x14ac:dyDescent="0.3">
      <c r="A28" s="156" t="s">
        <v>1657</v>
      </c>
      <c r="B28" s="156" t="s">
        <v>156</v>
      </c>
      <c r="C28" s="123"/>
      <c r="D28" s="123"/>
      <c r="E28" s="298" t="s">
        <v>157</v>
      </c>
      <c r="F28" s="298"/>
      <c r="G28" s="298"/>
      <c r="H28" s="298"/>
      <c r="I28" s="298"/>
      <c r="J28" s="85"/>
      <c r="K28" s="143">
        <v>209</v>
      </c>
      <c r="L28" s="234">
        <f t="shared" si="0"/>
        <v>41.444699999999997</v>
      </c>
      <c r="M28" s="234">
        <f t="shared" si="1"/>
        <v>22.969100000000001</v>
      </c>
      <c r="N28" s="234">
        <f t="shared" si="2"/>
        <v>42.698700000000002</v>
      </c>
      <c r="O28" s="234">
        <f t="shared" si="3"/>
        <v>24.223100000000002</v>
      </c>
    </row>
    <row r="29" spans="1:43" x14ac:dyDescent="0.3">
      <c r="A29" s="303"/>
      <c r="B29" s="168"/>
      <c r="C29" s="159"/>
      <c r="D29" s="159"/>
      <c r="E29" s="54"/>
      <c r="F29" s="54"/>
      <c r="G29" s="54"/>
      <c r="H29" s="54"/>
      <c r="I29" s="54"/>
      <c r="J29" s="54"/>
      <c r="K29" s="143"/>
      <c r="L29" s="234"/>
      <c r="M29" s="234"/>
      <c r="N29" s="234"/>
      <c r="O29" s="234"/>
    </row>
    <row r="30" spans="1:43" x14ac:dyDescent="0.3">
      <c r="A30" s="112" t="s">
        <v>158</v>
      </c>
      <c r="B30" s="124"/>
      <c r="C30" s="124"/>
      <c r="D30" s="124"/>
      <c r="E30" s="289"/>
      <c r="F30" s="289"/>
      <c r="G30" s="289"/>
      <c r="H30" s="289"/>
      <c r="I30" s="289"/>
      <c r="J30" s="293"/>
      <c r="K30" s="235"/>
      <c r="L30" s="235"/>
      <c r="M30" s="235"/>
      <c r="N30" s="235"/>
      <c r="O30" s="235"/>
    </row>
    <row r="31" spans="1:43" x14ac:dyDescent="0.3">
      <c r="A31" s="156" t="s">
        <v>159</v>
      </c>
      <c r="B31" s="156" t="s">
        <v>159</v>
      </c>
      <c r="C31" s="123"/>
      <c r="D31" s="123"/>
      <c r="E31" s="298" t="s">
        <v>160</v>
      </c>
      <c r="F31" s="298" t="s">
        <v>161</v>
      </c>
      <c r="G31" s="298" t="s">
        <v>162</v>
      </c>
      <c r="H31" s="298" t="s">
        <v>163</v>
      </c>
      <c r="I31" s="298" t="s">
        <v>164</v>
      </c>
      <c r="J31" s="85"/>
      <c r="K31" s="143">
        <v>41</v>
      </c>
      <c r="L31" s="234">
        <f t="shared" si="0"/>
        <v>8.1303000000000001</v>
      </c>
      <c r="M31" s="234">
        <f t="shared" si="1"/>
        <v>4.5058999999999996</v>
      </c>
      <c r="N31" s="234">
        <f t="shared" si="2"/>
        <v>8.3763000000000005</v>
      </c>
      <c r="O31" s="234">
        <f t="shared" si="3"/>
        <v>4.7519</v>
      </c>
    </row>
    <row r="32" spans="1:43" x14ac:dyDescent="0.3">
      <c r="A32" s="156" t="s">
        <v>165</v>
      </c>
      <c r="B32" s="156" t="s">
        <v>165</v>
      </c>
      <c r="C32" s="123"/>
      <c r="D32" s="123"/>
      <c r="E32" s="298" t="s">
        <v>166</v>
      </c>
      <c r="F32" s="298"/>
      <c r="G32" s="298" t="s">
        <v>167</v>
      </c>
      <c r="H32" s="298"/>
      <c r="I32" s="298" t="s">
        <v>168</v>
      </c>
      <c r="J32" s="85"/>
      <c r="K32" s="143">
        <v>128</v>
      </c>
      <c r="L32" s="234">
        <f t="shared" si="0"/>
        <v>25.382400000000001</v>
      </c>
      <c r="M32" s="234">
        <f t="shared" si="1"/>
        <v>14.0672</v>
      </c>
      <c r="N32" s="234">
        <f t="shared" si="2"/>
        <v>26.150400000000001</v>
      </c>
      <c r="O32" s="234">
        <f t="shared" si="3"/>
        <v>14.8352</v>
      </c>
    </row>
    <row r="33" spans="1:15" x14ac:dyDescent="0.3">
      <c r="A33" s="303"/>
      <c r="B33" s="168"/>
      <c r="C33" s="159"/>
      <c r="D33" s="159"/>
      <c r="E33" s="54"/>
      <c r="F33" s="54"/>
      <c r="G33" s="54"/>
      <c r="H33" s="54"/>
      <c r="I33" s="54"/>
      <c r="J33" s="54"/>
      <c r="K33" s="143"/>
      <c r="L33" s="234"/>
      <c r="M33" s="234"/>
      <c r="N33" s="234"/>
      <c r="O33" s="234"/>
    </row>
    <row r="34" spans="1:15" s="329" customFormat="1" x14ac:dyDescent="0.3">
      <c r="A34" s="132" t="s">
        <v>169</v>
      </c>
      <c r="B34" s="300"/>
      <c r="C34" s="300"/>
      <c r="D34" s="300"/>
      <c r="E34" s="268"/>
      <c r="F34" s="268"/>
      <c r="G34" s="268"/>
      <c r="H34" s="268"/>
      <c r="I34" s="268"/>
      <c r="J34" s="268"/>
      <c r="K34" s="235"/>
      <c r="L34" s="235"/>
      <c r="M34" s="235"/>
      <c r="N34" s="235"/>
      <c r="O34" s="235"/>
    </row>
    <row r="35" spans="1:15" s="329" customFormat="1" x14ac:dyDescent="0.3">
      <c r="A35" s="156" t="s">
        <v>1472</v>
      </c>
      <c r="B35" s="156" t="s">
        <v>170</v>
      </c>
      <c r="C35" s="123"/>
      <c r="D35" s="123"/>
      <c r="E35" s="298"/>
      <c r="F35" s="298"/>
      <c r="G35" s="298"/>
      <c r="H35" s="298"/>
      <c r="I35" s="298" t="s">
        <v>171</v>
      </c>
      <c r="J35" s="85"/>
      <c r="K35" s="143">
        <v>41</v>
      </c>
      <c r="L35" s="234">
        <f t="shared" si="0"/>
        <v>8.1303000000000001</v>
      </c>
      <c r="M35" s="234">
        <f t="shared" si="1"/>
        <v>4.5058999999999996</v>
      </c>
      <c r="N35" s="234">
        <f t="shared" si="2"/>
        <v>8.3763000000000005</v>
      </c>
      <c r="O35" s="234">
        <f t="shared" si="3"/>
        <v>4.7519</v>
      </c>
    </row>
    <row r="36" spans="1:15" s="329" customFormat="1" x14ac:dyDescent="0.3">
      <c r="A36" s="156" t="s">
        <v>1660</v>
      </c>
      <c r="B36" s="156" t="s">
        <v>172</v>
      </c>
      <c r="C36" s="123"/>
      <c r="D36" s="123"/>
      <c r="E36" s="298"/>
      <c r="F36" s="298"/>
      <c r="G36" s="298"/>
      <c r="H36" s="298"/>
      <c r="I36" s="298" t="s">
        <v>173</v>
      </c>
      <c r="J36" s="85"/>
      <c r="K36" s="143">
        <v>82</v>
      </c>
      <c r="L36" s="234">
        <f t="shared" si="0"/>
        <v>16.2606</v>
      </c>
      <c r="M36" s="234">
        <f t="shared" si="1"/>
        <v>9.0117999999999991</v>
      </c>
      <c r="N36" s="234">
        <f t="shared" si="2"/>
        <v>16.752600000000001</v>
      </c>
      <c r="O36" s="234">
        <f t="shared" si="3"/>
        <v>9.5038</v>
      </c>
    </row>
    <row r="37" spans="1:15" s="329" customFormat="1" x14ac:dyDescent="0.3">
      <c r="A37" s="156" t="s">
        <v>1661</v>
      </c>
      <c r="B37" s="156" t="s">
        <v>174</v>
      </c>
      <c r="C37" s="123"/>
      <c r="D37" s="123"/>
      <c r="E37" s="298"/>
      <c r="F37" s="298"/>
      <c r="G37" s="298"/>
      <c r="H37" s="298"/>
      <c r="I37" s="298" t="s">
        <v>175</v>
      </c>
      <c r="J37" s="85"/>
      <c r="K37" s="143">
        <v>82</v>
      </c>
      <c r="L37" s="234">
        <f t="shared" si="0"/>
        <v>16.2606</v>
      </c>
      <c r="M37" s="234">
        <f t="shared" si="1"/>
        <v>9.0117999999999991</v>
      </c>
      <c r="N37" s="234">
        <f t="shared" si="2"/>
        <v>16.752600000000001</v>
      </c>
      <c r="O37" s="234">
        <f t="shared" si="3"/>
        <v>9.5038</v>
      </c>
    </row>
    <row r="38" spans="1:15" s="329" customFormat="1" x14ac:dyDescent="0.3">
      <c r="A38" s="156" t="s">
        <v>1662</v>
      </c>
      <c r="B38" s="156" t="s">
        <v>176</v>
      </c>
      <c r="C38" s="123"/>
      <c r="D38" s="123"/>
      <c r="E38" s="298"/>
      <c r="F38" s="298"/>
      <c r="G38" s="298"/>
      <c r="H38" s="298"/>
      <c r="I38" s="298" t="s">
        <v>177</v>
      </c>
      <c r="J38" s="85"/>
      <c r="K38" s="143">
        <v>91</v>
      </c>
      <c r="L38" s="234">
        <f t="shared" si="0"/>
        <v>18.045300000000001</v>
      </c>
      <c r="M38" s="234">
        <f t="shared" si="1"/>
        <v>10.0009</v>
      </c>
      <c r="N38" s="234">
        <f t="shared" si="2"/>
        <v>18.5913</v>
      </c>
      <c r="O38" s="234">
        <f t="shared" si="3"/>
        <v>10.546900000000001</v>
      </c>
    </row>
    <row r="39" spans="1:15" s="329" customFormat="1" x14ac:dyDescent="0.3">
      <c r="A39" s="303"/>
      <c r="B39" s="168"/>
      <c r="C39" s="159"/>
      <c r="D39" s="159"/>
      <c r="E39" s="54"/>
      <c r="F39" s="54"/>
      <c r="G39" s="54"/>
      <c r="H39" s="54"/>
      <c r="I39" s="54"/>
      <c r="J39" s="54"/>
      <c r="K39" s="143"/>
      <c r="L39" s="234"/>
      <c r="M39" s="234"/>
      <c r="N39" s="234"/>
      <c r="O39" s="234"/>
    </row>
    <row r="40" spans="1:15" s="329" customFormat="1" x14ac:dyDescent="0.3">
      <c r="A40" s="132" t="s">
        <v>178</v>
      </c>
      <c r="B40" s="300"/>
      <c r="C40" s="300"/>
      <c r="D40" s="300"/>
      <c r="E40" s="268"/>
      <c r="F40" s="268"/>
      <c r="G40" s="268"/>
      <c r="H40" s="268"/>
      <c r="I40" s="268"/>
      <c r="J40" s="268"/>
      <c r="K40" s="235"/>
      <c r="L40" s="235"/>
      <c r="M40" s="235"/>
      <c r="N40" s="235"/>
      <c r="O40" s="235"/>
    </row>
    <row r="41" spans="1:15" s="329" customFormat="1" x14ac:dyDescent="0.3">
      <c r="A41" s="156" t="s">
        <v>1473</v>
      </c>
      <c r="B41" s="156" t="s">
        <v>179</v>
      </c>
      <c r="C41" s="123"/>
      <c r="D41" s="123"/>
      <c r="E41" s="298" t="s">
        <v>180</v>
      </c>
      <c r="F41" s="298" t="s">
        <v>181</v>
      </c>
      <c r="G41" s="298"/>
      <c r="H41" s="298"/>
      <c r="I41" s="298"/>
      <c r="J41" s="85"/>
      <c r="K41" s="143">
        <v>16</v>
      </c>
      <c r="L41" s="234">
        <f t="shared" si="0"/>
        <v>3.1728000000000001</v>
      </c>
      <c r="M41" s="234">
        <f t="shared" si="1"/>
        <v>1.7584</v>
      </c>
      <c r="N41" s="234">
        <f t="shared" si="2"/>
        <v>3.2688000000000001</v>
      </c>
      <c r="O41" s="234">
        <f t="shared" si="3"/>
        <v>1.8544</v>
      </c>
    </row>
    <row r="42" spans="1:15" s="329" customFormat="1" x14ac:dyDescent="0.3">
      <c r="A42" s="82" t="s">
        <v>1548</v>
      </c>
      <c r="B42" s="156" t="s">
        <v>182</v>
      </c>
      <c r="C42" s="123"/>
      <c r="D42" s="123"/>
      <c r="E42" s="298" t="s">
        <v>183</v>
      </c>
      <c r="F42" s="298" t="s">
        <v>184</v>
      </c>
      <c r="G42" s="298"/>
      <c r="H42" s="298"/>
      <c r="I42" s="298"/>
      <c r="J42" s="85"/>
      <c r="K42" s="143">
        <v>16</v>
      </c>
      <c r="L42" s="234">
        <f t="shared" si="0"/>
        <v>3.1728000000000001</v>
      </c>
      <c r="M42" s="234">
        <f t="shared" si="1"/>
        <v>1.7584</v>
      </c>
      <c r="N42" s="234">
        <f t="shared" si="2"/>
        <v>3.2688000000000001</v>
      </c>
      <c r="O42" s="234">
        <f t="shared" si="3"/>
        <v>1.8544</v>
      </c>
    </row>
    <row r="43" spans="1:15" s="329" customFormat="1" x14ac:dyDescent="0.3">
      <c r="A43" s="156" t="s">
        <v>1474</v>
      </c>
      <c r="B43" s="156" t="s">
        <v>185</v>
      </c>
      <c r="C43" s="123"/>
      <c r="D43" s="123"/>
      <c r="E43" s="298" t="s">
        <v>186</v>
      </c>
      <c r="F43" s="298"/>
      <c r="G43" s="298"/>
      <c r="H43" s="298"/>
      <c r="I43" s="298"/>
      <c r="J43" s="85"/>
      <c r="K43" s="143">
        <v>41</v>
      </c>
      <c r="L43" s="234">
        <f t="shared" si="0"/>
        <v>8.1303000000000001</v>
      </c>
      <c r="M43" s="234">
        <f t="shared" si="1"/>
        <v>4.5058999999999996</v>
      </c>
      <c r="N43" s="234">
        <f t="shared" si="2"/>
        <v>8.3763000000000005</v>
      </c>
      <c r="O43" s="234">
        <f t="shared" si="3"/>
        <v>4.7519</v>
      </c>
    </row>
    <row r="44" spans="1:15" s="329" customFormat="1" x14ac:dyDescent="0.3">
      <c r="A44" s="156" t="s">
        <v>1478</v>
      </c>
      <c r="B44" s="156" t="s">
        <v>187</v>
      </c>
      <c r="C44" s="123"/>
      <c r="D44" s="123"/>
      <c r="E44" s="298" t="s">
        <v>188</v>
      </c>
      <c r="F44" s="298"/>
      <c r="G44" s="298"/>
      <c r="H44" s="298"/>
      <c r="I44" s="298"/>
      <c r="J44" s="85"/>
      <c r="K44" s="143">
        <v>82</v>
      </c>
      <c r="L44" s="234">
        <f t="shared" si="0"/>
        <v>16.2606</v>
      </c>
      <c r="M44" s="234">
        <f t="shared" si="1"/>
        <v>9.0117999999999991</v>
      </c>
      <c r="N44" s="234">
        <f t="shared" si="2"/>
        <v>16.752600000000001</v>
      </c>
      <c r="O44" s="234">
        <f t="shared" si="3"/>
        <v>9.5038</v>
      </c>
    </row>
    <row r="45" spans="1:15" s="329" customFormat="1" x14ac:dyDescent="0.3">
      <c r="A45" s="156" t="s">
        <v>1663</v>
      </c>
      <c r="B45" s="156" t="s">
        <v>189</v>
      </c>
      <c r="C45" s="123"/>
      <c r="D45" s="123"/>
      <c r="E45" s="298" t="s">
        <v>190</v>
      </c>
      <c r="F45" s="298" t="s">
        <v>191</v>
      </c>
      <c r="G45" s="298"/>
      <c r="H45" s="298"/>
      <c r="I45" s="298"/>
      <c r="J45" s="85"/>
      <c r="K45" s="143">
        <v>82</v>
      </c>
      <c r="L45" s="234">
        <f t="shared" si="0"/>
        <v>16.2606</v>
      </c>
      <c r="M45" s="234">
        <f t="shared" si="1"/>
        <v>9.0117999999999991</v>
      </c>
      <c r="N45" s="234">
        <f t="shared" si="2"/>
        <v>16.752600000000001</v>
      </c>
      <c r="O45" s="234">
        <f t="shared" si="3"/>
        <v>9.5038</v>
      </c>
    </row>
    <row r="46" spans="1:15" s="329" customFormat="1" x14ac:dyDescent="0.3">
      <c r="A46" s="303"/>
      <c r="B46" s="168"/>
      <c r="C46" s="159"/>
      <c r="D46" s="159"/>
      <c r="E46" s="54"/>
      <c r="F46" s="54"/>
      <c r="G46" s="54"/>
      <c r="H46" s="54"/>
      <c r="I46" s="54"/>
      <c r="J46" s="54"/>
      <c r="K46" s="143"/>
      <c r="L46" s="234"/>
      <c r="M46" s="234"/>
      <c r="N46" s="234"/>
      <c r="O46" s="234"/>
    </row>
    <row r="47" spans="1:15" s="329" customFormat="1" x14ac:dyDescent="0.3">
      <c r="A47" s="132" t="s">
        <v>192</v>
      </c>
      <c r="B47" s="300"/>
      <c r="C47" s="300"/>
      <c r="D47" s="300"/>
      <c r="E47" s="273"/>
      <c r="F47" s="273"/>
      <c r="G47" s="273"/>
      <c r="H47" s="273"/>
      <c r="I47" s="273"/>
      <c r="J47" s="268"/>
      <c r="K47" s="235"/>
      <c r="L47" s="235"/>
      <c r="M47" s="235"/>
      <c r="N47" s="235"/>
      <c r="O47" s="235"/>
    </row>
    <row r="48" spans="1:15" s="329" customFormat="1" x14ac:dyDescent="0.3">
      <c r="A48" s="156" t="s">
        <v>1475</v>
      </c>
      <c r="B48" s="156" t="s">
        <v>193</v>
      </c>
      <c r="C48" s="123"/>
      <c r="D48" s="123"/>
      <c r="E48" s="298"/>
      <c r="F48" s="298"/>
      <c r="G48" s="298" t="s">
        <v>194</v>
      </c>
      <c r="H48" s="298" t="s">
        <v>195</v>
      </c>
      <c r="I48" s="298"/>
      <c r="J48" s="85"/>
      <c r="K48" s="143">
        <v>13</v>
      </c>
      <c r="L48" s="234">
        <f t="shared" si="0"/>
        <v>2.5779000000000001</v>
      </c>
      <c r="M48" s="234">
        <f t="shared" si="1"/>
        <v>1.4287000000000001</v>
      </c>
      <c r="N48" s="234">
        <f t="shared" si="2"/>
        <v>2.6558999999999999</v>
      </c>
      <c r="O48" s="234">
        <f t="shared" si="3"/>
        <v>1.5066999999999999</v>
      </c>
    </row>
    <row r="49" spans="1:43" x14ac:dyDescent="0.3">
      <c r="A49" s="156" t="s">
        <v>1476</v>
      </c>
      <c r="B49" s="156" t="s">
        <v>196</v>
      </c>
      <c r="C49" s="123"/>
      <c r="D49" s="123"/>
      <c r="E49" s="298"/>
      <c r="F49" s="298"/>
      <c r="G49" s="298" t="s">
        <v>197</v>
      </c>
      <c r="H49" s="298" t="s">
        <v>198</v>
      </c>
      <c r="I49" s="298"/>
      <c r="J49" s="85"/>
      <c r="K49" s="143">
        <v>13</v>
      </c>
      <c r="L49" s="234">
        <f t="shared" si="0"/>
        <v>2.5779000000000001</v>
      </c>
      <c r="M49" s="234">
        <f t="shared" si="1"/>
        <v>1.4287000000000001</v>
      </c>
      <c r="N49" s="234">
        <f t="shared" si="2"/>
        <v>2.6558999999999999</v>
      </c>
      <c r="O49" s="234">
        <f t="shared" si="3"/>
        <v>1.5066999999999999</v>
      </c>
    </row>
    <row r="50" spans="1:43" x14ac:dyDescent="0.3">
      <c r="A50" s="156" t="s">
        <v>1477</v>
      </c>
      <c r="B50" s="156" t="s">
        <v>199</v>
      </c>
      <c r="C50" s="123"/>
      <c r="D50" s="123"/>
      <c r="E50" s="298"/>
      <c r="F50" s="298"/>
      <c r="G50" s="298" t="s">
        <v>200</v>
      </c>
      <c r="H50" s="298"/>
      <c r="I50" s="298"/>
      <c r="J50" s="85"/>
      <c r="K50" s="143">
        <v>46</v>
      </c>
      <c r="L50" s="234">
        <f t="shared" si="0"/>
        <v>9.1218000000000004</v>
      </c>
      <c r="M50" s="234">
        <f t="shared" si="1"/>
        <v>5.0553999999999997</v>
      </c>
      <c r="N50" s="234">
        <f t="shared" si="2"/>
        <v>9.3978000000000002</v>
      </c>
      <c r="O50" s="234">
        <f t="shared" si="3"/>
        <v>5.3314000000000004</v>
      </c>
    </row>
    <row r="51" spans="1:43" x14ac:dyDescent="0.3">
      <c r="A51" s="156" t="s">
        <v>1664</v>
      </c>
      <c r="B51" s="156" t="s">
        <v>201</v>
      </c>
      <c r="C51" s="123"/>
      <c r="D51" s="123"/>
      <c r="E51" s="298"/>
      <c r="F51" s="298"/>
      <c r="G51" s="298" t="s">
        <v>202</v>
      </c>
      <c r="H51" s="298" t="s">
        <v>203</v>
      </c>
      <c r="I51" s="298"/>
      <c r="J51" s="85"/>
      <c r="K51" s="143">
        <v>91</v>
      </c>
      <c r="L51" s="234">
        <f t="shared" si="0"/>
        <v>18.045300000000001</v>
      </c>
      <c r="M51" s="234">
        <f t="shared" si="1"/>
        <v>10.0009</v>
      </c>
      <c r="N51" s="234">
        <f t="shared" si="2"/>
        <v>18.5913</v>
      </c>
      <c r="O51" s="234">
        <f t="shared" si="3"/>
        <v>10.546900000000001</v>
      </c>
    </row>
    <row r="52" spans="1:43" x14ac:dyDescent="0.3">
      <c r="A52" s="303"/>
      <c r="B52" s="168"/>
      <c r="C52" s="159"/>
      <c r="D52" s="159"/>
      <c r="E52" s="54"/>
      <c r="F52" s="54"/>
      <c r="G52" s="54"/>
      <c r="H52" s="54"/>
      <c r="I52" s="54"/>
      <c r="J52" s="54"/>
      <c r="K52" s="143"/>
      <c r="L52" s="234"/>
      <c r="M52" s="234"/>
      <c r="N52" s="234"/>
      <c r="O52" s="234"/>
    </row>
    <row r="53" spans="1:43" x14ac:dyDescent="0.3">
      <c r="A53" s="132" t="s">
        <v>204</v>
      </c>
      <c r="B53" s="300"/>
      <c r="C53" s="300"/>
      <c r="D53" s="300"/>
      <c r="E53" s="268"/>
      <c r="F53" s="268"/>
      <c r="G53" s="268"/>
      <c r="H53" s="268"/>
      <c r="I53" s="268"/>
      <c r="J53" s="268"/>
      <c r="K53" s="235"/>
      <c r="L53" s="235"/>
      <c r="M53" s="235"/>
      <c r="N53" s="235"/>
      <c r="O53" s="235"/>
    </row>
    <row r="54" spans="1:43" x14ac:dyDescent="0.3">
      <c r="A54" s="156" t="s">
        <v>205</v>
      </c>
      <c r="B54" s="156" t="s">
        <v>206</v>
      </c>
      <c r="C54" s="123"/>
      <c r="D54" s="123"/>
      <c r="E54" s="298" t="s">
        <v>207</v>
      </c>
      <c r="F54" s="298" t="s">
        <v>208</v>
      </c>
      <c r="G54" s="298" t="s">
        <v>209</v>
      </c>
      <c r="H54" s="298" t="s">
        <v>210</v>
      </c>
      <c r="I54" s="298" t="s">
        <v>211</v>
      </c>
      <c r="J54" s="85"/>
      <c r="K54" s="143">
        <v>30</v>
      </c>
      <c r="L54" s="234">
        <f t="shared" si="0"/>
        <v>5.9489999999999998</v>
      </c>
      <c r="M54" s="234">
        <f t="shared" si="1"/>
        <v>3.2969999999999997</v>
      </c>
      <c r="N54" s="234">
        <f t="shared" si="2"/>
        <v>6.1290000000000004</v>
      </c>
      <c r="O54" s="234">
        <f t="shared" si="3"/>
        <v>3.4770000000000003</v>
      </c>
    </row>
    <row r="55" spans="1:43" x14ac:dyDescent="0.3">
      <c r="A55" s="156" t="s">
        <v>212</v>
      </c>
      <c r="B55" s="156" t="s">
        <v>213</v>
      </c>
      <c r="C55" s="123"/>
      <c r="D55" s="123"/>
      <c r="E55" s="298" t="s">
        <v>214</v>
      </c>
      <c r="F55" s="298" t="s">
        <v>215</v>
      </c>
      <c r="G55" s="298" t="s">
        <v>216</v>
      </c>
      <c r="H55" s="298" t="s">
        <v>217</v>
      </c>
      <c r="I55" s="298" t="s">
        <v>218</v>
      </c>
      <c r="J55" s="85"/>
      <c r="K55" s="143">
        <v>104</v>
      </c>
      <c r="L55" s="234">
        <f t="shared" si="0"/>
        <v>20.623200000000001</v>
      </c>
      <c r="M55" s="234">
        <f t="shared" si="1"/>
        <v>11.429600000000001</v>
      </c>
      <c r="N55" s="234">
        <f t="shared" si="2"/>
        <v>21.247199999999999</v>
      </c>
      <c r="O55" s="234">
        <f t="shared" si="3"/>
        <v>12.053599999999999</v>
      </c>
    </row>
    <row r="56" spans="1:43" s="330" customFormat="1" x14ac:dyDescent="0.3">
      <c r="A56" s="82" t="s">
        <v>1665</v>
      </c>
      <c r="B56" s="156" t="s">
        <v>219</v>
      </c>
      <c r="C56" s="123"/>
      <c r="D56" s="123"/>
      <c r="E56" s="298"/>
      <c r="F56" s="298"/>
      <c r="G56" s="298" t="s">
        <v>220</v>
      </c>
      <c r="H56" s="298"/>
      <c r="I56" s="298"/>
      <c r="J56" s="85"/>
      <c r="K56" s="143">
        <v>40</v>
      </c>
      <c r="L56" s="234">
        <f t="shared" si="0"/>
        <v>7.9320000000000004</v>
      </c>
      <c r="M56" s="234">
        <f t="shared" si="1"/>
        <v>4.3959999999999999</v>
      </c>
      <c r="N56" s="234">
        <f t="shared" si="2"/>
        <v>8.1720000000000006</v>
      </c>
      <c r="O56" s="234">
        <f t="shared" si="3"/>
        <v>4.6360000000000001</v>
      </c>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row>
    <row r="57" spans="1:43" s="330" customFormat="1" x14ac:dyDescent="0.3">
      <c r="A57" s="303"/>
      <c r="B57" s="168"/>
      <c r="C57" s="159"/>
      <c r="D57" s="159"/>
      <c r="E57" s="54"/>
      <c r="F57" s="54"/>
      <c r="G57" s="54"/>
      <c r="H57" s="54"/>
      <c r="I57" s="54"/>
      <c r="J57" s="54"/>
      <c r="K57" s="143"/>
      <c r="L57" s="234"/>
      <c r="M57" s="234"/>
      <c r="N57" s="234"/>
      <c r="O57" s="234"/>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row>
    <row r="58" spans="1:43" s="330" customFormat="1" x14ac:dyDescent="0.3">
      <c r="A58" s="132" t="s">
        <v>221</v>
      </c>
      <c r="B58" s="300"/>
      <c r="C58" s="300"/>
      <c r="D58" s="300"/>
      <c r="E58" s="268"/>
      <c r="F58" s="268"/>
      <c r="G58" s="268"/>
      <c r="H58" s="268"/>
      <c r="I58" s="268"/>
      <c r="J58" s="268"/>
      <c r="K58" s="235"/>
      <c r="L58" s="235"/>
      <c r="M58" s="235"/>
      <c r="N58" s="235"/>
      <c r="O58" s="235"/>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row>
    <row r="59" spans="1:43" s="330" customFormat="1" x14ac:dyDescent="0.3">
      <c r="A59" s="82" t="s">
        <v>435</v>
      </c>
      <c r="B59" s="156" t="s">
        <v>222</v>
      </c>
      <c r="C59" s="123"/>
      <c r="D59" s="123"/>
      <c r="E59" s="57" t="s">
        <v>1549</v>
      </c>
      <c r="F59" s="298" t="s">
        <v>223</v>
      </c>
      <c r="G59" s="298" t="s">
        <v>224</v>
      </c>
      <c r="H59" s="298" t="s">
        <v>225</v>
      </c>
      <c r="I59" s="298"/>
      <c r="J59" s="85"/>
      <c r="K59" s="143">
        <v>5</v>
      </c>
      <c r="L59" s="234">
        <f t="shared" si="0"/>
        <v>0.99150000000000005</v>
      </c>
      <c r="M59" s="234">
        <f t="shared" si="1"/>
        <v>0.54949999999999999</v>
      </c>
      <c r="N59" s="234">
        <f t="shared" si="2"/>
        <v>1.0215000000000001</v>
      </c>
      <c r="O59" s="234">
        <f t="shared" si="3"/>
        <v>0.57950000000000002</v>
      </c>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row>
    <row r="60" spans="1:43" s="330" customFormat="1" x14ac:dyDescent="0.3">
      <c r="A60" s="303"/>
      <c r="B60" s="168"/>
      <c r="C60" s="159"/>
      <c r="D60" s="159"/>
      <c r="E60" s="54"/>
      <c r="F60" s="54"/>
      <c r="G60" s="54"/>
      <c r="H60" s="54"/>
      <c r="I60" s="54"/>
      <c r="J60" s="54"/>
      <c r="K60" s="143"/>
      <c r="L60" s="234"/>
      <c r="M60" s="234"/>
      <c r="N60" s="234"/>
      <c r="O60" s="234"/>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row>
    <row r="61" spans="1:43" s="330" customFormat="1" x14ac:dyDescent="0.3">
      <c r="A61" s="132" t="s">
        <v>226</v>
      </c>
      <c r="B61" s="300" t="s">
        <v>227</v>
      </c>
      <c r="C61" s="300"/>
      <c r="D61" s="300"/>
      <c r="E61" s="273" t="s">
        <v>227</v>
      </c>
      <c r="F61" s="273"/>
      <c r="G61" s="273"/>
      <c r="H61" s="273"/>
      <c r="I61" s="273"/>
      <c r="J61" s="268"/>
      <c r="K61" s="235"/>
      <c r="L61" s="235"/>
      <c r="M61" s="235"/>
      <c r="N61" s="235"/>
      <c r="O61" s="235"/>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row>
    <row r="62" spans="1:43" s="330" customFormat="1" x14ac:dyDescent="0.3">
      <c r="A62" s="156" t="s">
        <v>1654</v>
      </c>
      <c r="B62" s="156" t="s">
        <v>228</v>
      </c>
      <c r="C62" s="123"/>
      <c r="D62" s="123"/>
      <c r="E62" s="298" t="s">
        <v>229</v>
      </c>
      <c r="F62" s="298" t="s">
        <v>230</v>
      </c>
      <c r="G62" s="298" t="s">
        <v>231</v>
      </c>
      <c r="H62" s="298" t="s">
        <v>232</v>
      </c>
      <c r="I62" s="298"/>
      <c r="J62" s="85"/>
      <c r="K62" s="143">
        <v>15</v>
      </c>
      <c r="L62" s="234">
        <f t="shared" si="0"/>
        <v>2.9744999999999999</v>
      </c>
      <c r="M62" s="234">
        <f t="shared" si="1"/>
        <v>1.6484999999999999</v>
      </c>
      <c r="N62" s="234">
        <f t="shared" si="2"/>
        <v>3.0645000000000002</v>
      </c>
      <c r="O62" s="234">
        <f t="shared" si="3"/>
        <v>1.7385000000000002</v>
      </c>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row>
    <row r="63" spans="1:43" s="330" customFormat="1" x14ac:dyDescent="0.3">
      <c r="A63" s="156" t="s">
        <v>1654</v>
      </c>
      <c r="B63" s="156" t="s">
        <v>233</v>
      </c>
      <c r="C63" s="123"/>
      <c r="D63" s="123"/>
      <c r="E63" s="298"/>
      <c r="F63" s="298"/>
      <c r="G63" s="298"/>
      <c r="H63" s="298"/>
      <c r="I63" s="298" t="s">
        <v>234</v>
      </c>
      <c r="J63" s="85"/>
      <c r="K63" s="143">
        <v>0</v>
      </c>
      <c r="L63" s="234">
        <f t="shared" si="0"/>
        <v>0</v>
      </c>
      <c r="M63" s="234">
        <f t="shared" si="1"/>
        <v>0</v>
      </c>
      <c r="N63" s="234">
        <f t="shared" si="2"/>
        <v>0</v>
      </c>
      <c r="O63" s="234">
        <f t="shared" si="3"/>
        <v>0</v>
      </c>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row>
    <row r="64" spans="1:43" s="330" customFormat="1" x14ac:dyDescent="0.3">
      <c r="A64" s="303"/>
      <c r="B64" s="168"/>
      <c r="C64" s="159"/>
      <c r="D64" s="159"/>
      <c r="E64" s="54"/>
      <c r="F64" s="54"/>
      <c r="G64" s="54"/>
      <c r="H64" s="54"/>
      <c r="I64" s="54"/>
      <c r="J64" s="54"/>
      <c r="K64" s="143"/>
      <c r="L64" s="234"/>
      <c r="M64" s="234"/>
      <c r="N64" s="234"/>
      <c r="O64" s="234"/>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row>
    <row r="65" spans="1:43" s="330" customFormat="1" x14ac:dyDescent="0.3">
      <c r="A65" s="132" t="s">
        <v>235</v>
      </c>
      <c r="B65" s="300"/>
      <c r="C65" s="300"/>
      <c r="D65" s="300"/>
      <c r="E65" s="268"/>
      <c r="F65" s="268"/>
      <c r="G65" s="268"/>
      <c r="H65" s="268"/>
      <c r="I65" s="268"/>
      <c r="J65" s="268"/>
      <c r="K65" s="235"/>
      <c r="L65" s="235"/>
      <c r="M65" s="235"/>
      <c r="N65" s="235"/>
      <c r="O65" s="235"/>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row>
    <row r="66" spans="1:43" s="330" customFormat="1" x14ac:dyDescent="0.3">
      <c r="A66" s="156" t="s">
        <v>98</v>
      </c>
      <c r="B66" s="156" t="s">
        <v>236</v>
      </c>
      <c r="C66" s="123"/>
      <c r="D66" s="123"/>
      <c r="E66" s="298" t="s">
        <v>237</v>
      </c>
      <c r="F66" s="298" t="s">
        <v>238</v>
      </c>
      <c r="G66" s="298" t="s">
        <v>239</v>
      </c>
      <c r="H66" s="298" t="s">
        <v>240</v>
      </c>
      <c r="I66" s="298" t="s">
        <v>241</v>
      </c>
      <c r="J66" s="85"/>
      <c r="K66" s="143">
        <v>6</v>
      </c>
      <c r="L66" s="234">
        <f t="shared" si="0"/>
        <v>1.1898</v>
      </c>
      <c r="M66" s="234">
        <f t="shared" si="1"/>
        <v>0.65939999999999999</v>
      </c>
      <c r="N66" s="234">
        <f t="shared" si="2"/>
        <v>1.2258</v>
      </c>
      <c r="O66" s="234">
        <f t="shared" si="3"/>
        <v>0.69540000000000002</v>
      </c>
      <c r="P66" s="221"/>
      <c r="Q66" s="221"/>
      <c r="R66" s="221"/>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row>
    <row r="67" spans="1:43" s="330" customFormat="1" x14ac:dyDescent="0.3">
      <c r="A67" s="303"/>
      <c r="B67" s="168"/>
      <c r="C67" s="159"/>
      <c r="D67" s="159"/>
      <c r="E67" s="54"/>
      <c r="F67" s="54"/>
      <c r="G67" s="54"/>
      <c r="H67" s="54"/>
      <c r="I67" s="54"/>
      <c r="J67" s="54"/>
      <c r="K67" s="143"/>
      <c r="L67" s="234"/>
      <c r="M67" s="234"/>
      <c r="N67" s="234"/>
      <c r="O67" s="234"/>
      <c r="P67" s="221"/>
      <c r="Q67" s="221"/>
      <c r="R67" s="221"/>
      <c r="S67" s="221"/>
      <c r="T67" s="221"/>
      <c r="U67" s="221"/>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row>
    <row r="68" spans="1:43" s="330" customFormat="1" x14ac:dyDescent="0.3">
      <c r="A68" s="132" t="s">
        <v>242</v>
      </c>
      <c r="B68" s="300"/>
      <c r="C68" s="300"/>
      <c r="D68" s="300"/>
      <c r="E68" s="268"/>
      <c r="F68" s="268"/>
      <c r="G68" s="268"/>
      <c r="H68" s="268"/>
      <c r="I68" s="268"/>
      <c r="J68" s="268"/>
      <c r="K68" s="235"/>
      <c r="L68" s="235"/>
      <c r="M68" s="235"/>
      <c r="N68" s="235"/>
      <c r="O68" s="235"/>
      <c r="P68" s="221"/>
      <c r="Q68" s="221"/>
      <c r="R68" s="221"/>
      <c r="S68" s="221"/>
      <c r="T68" s="221"/>
      <c r="U68" s="221"/>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row>
    <row r="69" spans="1:43" s="330" customFormat="1" x14ac:dyDescent="0.3">
      <c r="A69" s="156" t="s">
        <v>775</v>
      </c>
      <c r="B69" s="156" t="s">
        <v>243</v>
      </c>
      <c r="C69" s="123"/>
      <c r="D69" s="123"/>
      <c r="E69" s="298" t="s">
        <v>244</v>
      </c>
      <c r="F69" s="298"/>
      <c r="G69" s="298"/>
      <c r="H69" s="298"/>
      <c r="I69" s="298"/>
      <c r="J69" s="85"/>
      <c r="K69" s="143">
        <v>117</v>
      </c>
      <c r="L69" s="234">
        <f t="shared" si="0"/>
        <v>23.2011</v>
      </c>
      <c r="M69" s="234">
        <f t="shared" si="1"/>
        <v>12.8583</v>
      </c>
      <c r="N69" s="234">
        <f t="shared" si="2"/>
        <v>23.903100000000002</v>
      </c>
      <c r="O69" s="234">
        <f t="shared" si="3"/>
        <v>13.5603</v>
      </c>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row>
    <row r="70" spans="1:43" s="330" customFormat="1" x14ac:dyDescent="0.3">
      <c r="A70" s="156" t="s">
        <v>775</v>
      </c>
      <c r="B70" s="156" t="s">
        <v>243</v>
      </c>
      <c r="C70" s="123"/>
      <c r="D70" s="123"/>
      <c r="E70" s="298"/>
      <c r="F70" s="298"/>
      <c r="G70" s="298" t="s">
        <v>245</v>
      </c>
      <c r="H70" s="298"/>
      <c r="I70" s="298"/>
      <c r="J70" s="85"/>
      <c r="K70" s="143">
        <v>112</v>
      </c>
      <c r="L70" s="234">
        <f t="shared" si="0"/>
        <v>22.209600000000002</v>
      </c>
      <c r="M70" s="234">
        <f t="shared" si="1"/>
        <v>12.3088</v>
      </c>
      <c r="N70" s="234">
        <f t="shared" si="2"/>
        <v>22.881600000000002</v>
      </c>
      <c r="O70" s="234">
        <f t="shared" si="3"/>
        <v>12.9808</v>
      </c>
      <c r="P70" s="221"/>
      <c r="Q70" s="221"/>
      <c r="R70" s="221"/>
      <c r="S70" s="221"/>
      <c r="T70" s="221"/>
      <c r="U70" s="221"/>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row>
    <row r="71" spans="1:43" s="330" customFormat="1" x14ac:dyDescent="0.3">
      <c r="A71" s="303"/>
      <c r="B71" s="168"/>
      <c r="C71" s="159"/>
      <c r="D71" s="159"/>
      <c r="E71" s="54"/>
      <c r="F71" s="54"/>
      <c r="G71" s="54"/>
      <c r="H71" s="54"/>
      <c r="I71" s="54"/>
      <c r="J71" s="54"/>
      <c r="K71" s="143"/>
      <c r="L71" s="234"/>
      <c r="M71" s="234"/>
      <c r="N71" s="234"/>
      <c r="O71" s="234"/>
      <c r="P71" s="221"/>
      <c r="Q71" s="221"/>
      <c r="R71" s="221"/>
      <c r="S71" s="221"/>
      <c r="T71" s="221"/>
      <c r="U71" s="221"/>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row>
    <row r="72" spans="1:43" s="330" customFormat="1" x14ac:dyDescent="0.3">
      <c r="A72" s="132" t="s">
        <v>246</v>
      </c>
      <c r="B72" s="300"/>
      <c r="C72" s="300"/>
      <c r="D72" s="300"/>
      <c r="E72" s="268"/>
      <c r="F72" s="268"/>
      <c r="G72" s="268"/>
      <c r="H72" s="268"/>
      <c r="I72" s="268"/>
      <c r="J72" s="268"/>
      <c r="K72" s="235"/>
      <c r="L72" s="235"/>
      <c r="M72" s="235"/>
      <c r="N72" s="235"/>
      <c r="O72" s="235"/>
      <c r="P72" s="221"/>
      <c r="Q72" s="221"/>
      <c r="R72" s="221"/>
      <c r="S72" s="221"/>
      <c r="T72" s="221"/>
      <c r="U72" s="221"/>
      <c r="V72" s="221"/>
      <c r="W72" s="221"/>
      <c r="X72" s="221"/>
      <c r="Y72" s="221"/>
      <c r="Z72" s="221"/>
      <c r="AA72" s="221"/>
      <c r="AB72" s="221"/>
      <c r="AC72" s="221"/>
      <c r="AD72" s="221"/>
      <c r="AE72" s="221"/>
      <c r="AF72" s="221"/>
      <c r="AG72" s="221"/>
      <c r="AH72" s="221"/>
      <c r="AI72" s="221"/>
      <c r="AJ72" s="221"/>
      <c r="AK72" s="221"/>
      <c r="AL72" s="221"/>
      <c r="AM72" s="221"/>
      <c r="AN72" s="221"/>
      <c r="AO72" s="221"/>
      <c r="AP72" s="221"/>
      <c r="AQ72" s="221"/>
    </row>
    <row r="73" spans="1:43" s="330" customFormat="1" x14ac:dyDescent="0.3">
      <c r="A73" s="156" t="s">
        <v>247</v>
      </c>
      <c r="B73" s="156" t="s">
        <v>248</v>
      </c>
      <c r="C73" s="123"/>
      <c r="D73" s="123"/>
      <c r="E73" s="298" t="s">
        <v>249</v>
      </c>
      <c r="F73" s="298"/>
      <c r="G73" s="298"/>
      <c r="H73" s="298"/>
      <c r="I73" s="298"/>
      <c r="J73" s="85"/>
      <c r="K73" s="143">
        <v>10</v>
      </c>
      <c r="L73" s="234">
        <f t="shared" si="0"/>
        <v>1.9830000000000001</v>
      </c>
      <c r="M73" s="234">
        <f t="shared" si="1"/>
        <v>1.099</v>
      </c>
      <c r="N73" s="234">
        <f t="shared" si="2"/>
        <v>2.0430000000000001</v>
      </c>
      <c r="O73" s="234">
        <f t="shared" si="3"/>
        <v>1.159</v>
      </c>
      <c r="P73" s="221"/>
      <c r="Q73" s="221"/>
      <c r="R73" s="221"/>
      <c r="S73" s="221"/>
      <c r="T73" s="221"/>
      <c r="U73" s="221"/>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row>
    <row r="74" spans="1:43" s="330" customFormat="1" x14ac:dyDescent="0.3">
      <c r="A74" s="303"/>
      <c r="B74" s="168"/>
      <c r="C74" s="159"/>
      <c r="D74" s="159"/>
      <c r="E74" s="54"/>
      <c r="F74" s="54"/>
      <c r="G74" s="54"/>
      <c r="H74" s="54"/>
      <c r="I74" s="54"/>
      <c r="J74" s="54"/>
      <c r="K74" s="143"/>
      <c r="L74" s="234"/>
      <c r="M74" s="234"/>
      <c r="N74" s="234"/>
      <c r="O74" s="234"/>
      <c r="P74" s="221"/>
      <c r="Q74" s="221"/>
      <c r="R74" s="221"/>
      <c r="S74" s="221"/>
      <c r="T74" s="221"/>
      <c r="U74" s="221"/>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row>
    <row r="75" spans="1:43" s="330" customFormat="1" x14ac:dyDescent="0.3">
      <c r="A75" s="132" t="s">
        <v>250</v>
      </c>
      <c r="B75" s="300"/>
      <c r="C75" s="300"/>
      <c r="D75" s="300"/>
      <c r="E75" s="268"/>
      <c r="F75" s="268"/>
      <c r="G75" s="268"/>
      <c r="H75" s="268"/>
      <c r="I75" s="268"/>
      <c r="J75" s="268"/>
      <c r="K75" s="235"/>
      <c r="L75" s="235"/>
      <c r="M75" s="235"/>
      <c r="N75" s="235"/>
      <c r="O75" s="235"/>
      <c r="P75" s="221"/>
      <c r="Q75" s="221"/>
      <c r="R75" s="221"/>
      <c r="S75" s="221"/>
      <c r="T75" s="221"/>
      <c r="U75" s="221"/>
      <c r="V75" s="221"/>
      <c r="W75" s="221"/>
      <c r="X75" s="221"/>
      <c r="Y75" s="221"/>
      <c r="Z75" s="221"/>
      <c r="AA75" s="221"/>
      <c r="AB75" s="221"/>
      <c r="AC75" s="221"/>
      <c r="AD75" s="221"/>
      <c r="AE75" s="221"/>
      <c r="AF75" s="221"/>
      <c r="AG75" s="221"/>
      <c r="AH75" s="221"/>
      <c r="AI75" s="221"/>
      <c r="AJ75" s="221"/>
      <c r="AK75" s="221"/>
      <c r="AL75" s="221"/>
      <c r="AM75" s="221"/>
      <c r="AN75" s="221"/>
      <c r="AO75" s="221"/>
      <c r="AP75" s="221"/>
      <c r="AQ75" s="221"/>
    </row>
    <row r="76" spans="1:43" s="330" customFormat="1" x14ac:dyDescent="0.3">
      <c r="A76" s="156" t="s">
        <v>251</v>
      </c>
      <c r="B76" s="156" t="s">
        <v>252</v>
      </c>
      <c r="C76" s="123"/>
      <c r="D76" s="123"/>
      <c r="E76" s="298" t="s">
        <v>253</v>
      </c>
      <c r="F76" s="298" t="s">
        <v>254</v>
      </c>
      <c r="G76" s="298" t="s">
        <v>255</v>
      </c>
      <c r="H76" s="298" t="s">
        <v>256</v>
      </c>
      <c r="I76" s="298" t="s">
        <v>257</v>
      </c>
      <c r="J76" s="85"/>
      <c r="K76" s="143">
        <v>0</v>
      </c>
      <c r="L76" s="234">
        <f t="shared" ref="L76:L138" si="4">K76*$L$9</f>
        <v>0</v>
      </c>
      <c r="M76" s="234">
        <f t="shared" ref="M76:M138" si="5">K76*$M$9</f>
        <v>0</v>
      </c>
      <c r="N76" s="234">
        <f t="shared" ref="N76:N138" si="6">K76*$N$9</f>
        <v>0</v>
      </c>
      <c r="O76" s="234">
        <f t="shared" ref="O76:O138" si="7">K76*$O$9</f>
        <v>0</v>
      </c>
      <c r="P76" s="221"/>
      <c r="Q76" s="221"/>
      <c r="R76" s="221"/>
      <c r="S76" s="221"/>
      <c r="T76" s="221"/>
      <c r="U76" s="221"/>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row>
    <row r="77" spans="1:43" s="330" customFormat="1" x14ac:dyDescent="0.3">
      <c r="A77" s="303"/>
      <c r="B77" s="168"/>
      <c r="C77" s="159"/>
      <c r="D77" s="159"/>
      <c r="E77" s="54"/>
      <c r="F77" s="54"/>
      <c r="G77" s="54"/>
      <c r="H77" s="54"/>
      <c r="I77" s="54"/>
      <c r="J77" s="54"/>
      <c r="K77" s="143"/>
      <c r="L77" s="234"/>
      <c r="M77" s="234"/>
      <c r="N77" s="234"/>
      <c r="O77" s="234"/>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row>
    <row r="78" spans="1:43" s="330" customFormat="1" x14ac:dyDescent="0.3">
      <c r="A78" s="132" t="s">
        <v>258</v>
      </c>
      <c r="B78" s="300"/>
      <c r="C78" s="300"/>
      <c r="D78" s="300"/>
      <c r="E78" s="268"/>
      <c r="F78" s="268"/>
      <c r="G78" s="268"/>
      <c r="H78" s="268"/>
      <c r="I78" s="268"/>
      <c r="J78" s="268"/>
      <c r="K78" s="235"/>
      <c r="L78" s="235"/>
      <c r="M78" s="235"/>
      <c r="N78" s="235"/>
      <c r="O78" s="235"/>
      <c r="P78" s="221"/>
      <c r="Q78" s="221"/>
      <c r="R78" s="221"/>
      <c r="S78" s="221"/>
      <c r="T78" s="221"/>
      <c r="U78" s="221"/>
      <c r="V78" s="221"/>
      <c r="W78" s="221"/>
      <c r="X78" s="221"/>
      <c r="Y78" s="221"/>
      <c r="Z78" s="221"/>
      <c r="AA78" s="221"/>
      <c r="AB78" s="221"/>
      <c r="AC78" s="221"/>
      <c r="AD78" s="221"/>
      <c r="AE78" s="221"/>
      <c r="AF78" s="221"/>
      <c r="AG78" s="221"/>
      <c r="AH78" s="221"/>
      <c r="AI78" s="221"/>
      <c r="AJ78" s="221"/>
      <c r="AK78" s="221"/>
      <c r="AL78" s="221"/>
      <c r="AM78" s="221"/>
      <c r="AN78" s="221"/>
      <c r="AO78" s="221"/>
      <c r="AP78" s="221"/>
      <c r="AQ78" s="221"/>
    </row>
    <row r="79" spans="1:43" s="330" customFormat="1" x14ac:dyDescent="0.3">
      <c r="A79" s="156" t="s">
        <v>259</v>
      </c>
      <c r="B79" s="156" t="s">
        <v>260</v>
      </c>
      <c r="C79" s="123"/>
      <c r="D79" s="123"/>
      <c r="E79" s="298"/>
      <c r="F79" s="298"/>
      <c r="G79" s="298"/>
      <c r="H79" s="298"/>
      <c r="I79" s="298" t="s">
        <v>261</v>
      </c>
      <c r="J79" s="85"/>
      <c r="K79" s="143">
        <v>33</v>
      </c>
      <c r="L79" s="234">
        <f t="shared" si="4"/>
        <v>6.5438999999999998</v>
      </c>
      <c r="M79" s="234">
        <f t="shared" si="5"/>
        <v>3.6267</v>
      </c>
      <c r="N79" s="234">
        <f t="shared" si="6"/>
        <v>6.7419000000000002</v>
      </c>
      <c r="O79" s="234">
        <f t="shared" si="7"/>
        <v>3.8247</v>
      </c>
      <c r="P79" s="221"/>
      <c r="Q79" s="221"/>
      <c r="R79" s="221"/>
      <c r="S79" s="221"/>
      <c r="T79" s="221"/>
      <c r="U79" s="221"/>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row>
    <row r="80" spans="1:43" x14ac:dyDescent="0.3">
      <c r="A80" s="303"/>
      <c r="B80" s="168"/>
      <c r="C80" s="159"/>
      <c r="D80" s="159"/>
      <c r="E80" s="54"/>
      <c r="F80" s="54"/>
      <c r="G80" s="54"/>
      <c r="H80" s="54"/>
      <c r="I80" s="54"/>
      <c r="J80" s="54"/>
      <c r="K80" s="143"/>
      <c r="L80" s="234"/>
      <c r="M80" s="234"/>
      <c r="N80" s="234"/>
      <c r="O80" s="234"/>
    </row>
    <row r="81" spans="1:43" x14ac:dyDescent="0.3">
      <c r="A81" s="112" t="s">
        <v>262</v>
      </c>
      <c r="B81" s="124"/>
      <c r="C81" s="124"/>
      <c r="D81" s="124"/>
      <c r="E81" s="293"/>
      <c r="F81" s="293"/>
      <c r="G81" s="293"/>
      <c r="H81" s="293"/>
      <c r="I81" s="293"/>
      <c r="J81" s="293"/>
      <c r="K81" s="235"/>
      <c r="L81" s="235"/>
      <c r="M81" s="235"/>
      <c r="N81" s="235"/>
      <c r="O81" s="235"/>
    </row>
    <row r="82" spans="1:43" x14ac:dyDescent="0.3">
      <c r="A82" s="156" t="s">
        <v>263</v>
      </c>
      <c r="B82" s="156" t="s">
        <v>264</v>
      </c>
      <c r="C82" s="123"/>
      <c r="D82" s="123"/>
      <c r="E82" s="298" t="s">
        <v>265</v>
      </c>
      <c r="F82" s="298" t="s">
        <v>265</v>
      </c>
      <c r="G82" s="298" t="s">
        <v>265</v>
      </c>
      <c r="H82" s="298" t="s">
        <v>265</v>
      </c>
      <c r="I82" s="298" t="s">
        <v>265</v>
      </c>
      <c r="J82" s="85"/>
      <c r="K82" s="143">
        <v>10</v>
      </c>
      <c r="L82" s="234">
        <f t="shared" si="4"/>
        <v>1.9830000000000001</v>
      </c>
      <c r="M82" s="234">
        <f t="shared" si="5"/>
        <v>1.099</v>
      </c>
      <c r="N82" s="234">
        <f t="shared" si="6"/>
        <v>2.0430000000000001</v>
      </c>
      <c r="O82" s="234">
        <f t="shared" si="7"/>
        <v>1.159</v>
      </c>
    </row>
    <row r="83" spans="1:43" x14ac:dyDescent="0.3">
      <c r="A83" s="156" t="s">
        <v>266</v>
      </c>
      <c r="B83" s="113" t="s">
        <v>267</v>
      </c>
      <c r="C83" s="288"/>
      <c r="D83" s="288"/>
      <c r="E83" s="298" t="s">
        <v>268</v>
      </c>
      <c r="F83" s="298" t="s">
        <v>268</v>
      </c>
      <c r="G83" s="298" t="s">
        <v>268</v>
      </c>
      <c r="H83" s="298" t="s">
        <v>268</v>
      </c>
      <c r="I83" s="298" t="s">
        <v>268</v>
      </c>
      <c r="J83" s="85"/>
      <c r="K83" s="143">
        <v>30</v>
      </c>
      <c r="L83" s="234">
        <f t="shared" si="4"/>
        <v>5.9489999999999998</v>
      </c>
      <c r="M83" s="234">
        <f t="shared" si="5"/>
        <v>3.2969999999999997</v>
      </c>
      <c r="N83" s="234">
        <f t="shared" si="6"/>
        <v>6.1290000000000004</v>
      </c>
      <c r="O83" s="234">
        <f t="shared" si="7"/>
        <v>3.4770000000000003</v>
      </c>
    </row>
    <row r="84" spans="1:43" x14ac:dyDescent="0.3">
      <c r="A84" s="156" t="s">
        <v>271</v>
      </c>
      <c r="B84" s="156" t="s">
        <v>272</v>
      </c>
      <c r="C84" s="123"/>
      <c r="D84" s="123"/>
      <c r="E84" s="298" t="s">
        <v>273</v>
      </c>
      <c r="F84" s="298" t="s">
        <v>273</v>
      </c>
      <c r="G84" s="298" t="s">
        <v>273</v>
      </c>
      <c r="H84" s="298" t="s">
        <v>273</v>
      </c>
      <c r="I84" s="298" t="s">
        <v>273</v>
      </c>
      <c r="J84" s="85"/>
      <c r="K84" s="143">
        <v>158</v>
      </c>
      <c r="L84" s="234">
        <f t="shared" si="4"/>
        <v>31.331400000000002</v>
      </c>
      <c r="M84" s="234">
        <f t="shared" si="5"/>
        <v>17.3642</v>
      </c>
      <c r="N84" s="234">
        <f t="shared" si="6"/>
        <v>32.279400000000003</v>
      </c>
      <c r="O84" s="234">
        <f t="shared" si="7"/>
        <v>18.312200000000001</v>
      </c>
    </row>
    <row r="85" spans="1:43" x14ac:dyDescent="0.3">
      <c r="A85" s="156" t="s">
        <v>274</v>
      </c>
      <c r="B85" s="156" t="s">
        <v>275</v>
      </c>
      <c r="C85" s="123"/>
      <c r="D85" s="123"/>
      <c r="E85" s="298" t="s">
        <v>276</v>
      </c>
      <c r="F85" s="298" t="s">
        <v>276</v>
      </c>
      <c r="G85" s="298" t="s">
        <v>276</v>
      </c>
      <c r="H85" s="298" t="s">
        <v>276</v>
      </c>
      <c r="I85" s="298" t="s">
        <v>277</v>
      </c>
      <c r="J85" s="85"/>
      <c r="K85" s="143">
        <v>22</v>
      </c>
      <c r="L85" s="234">
        <f t="shared" si="4"/>
        <v>4.3626000000000005</v>
      </c>
      <c r="M85" s="234">
        <f t="shared" si="5"/>
        <v>2.4177999999999997</v>
      </c>
      <c r="N85" s="234">
        <f t="shared" si="6"/>
        <v>4.4946000000000002</v>
      </c>
      <c r="O85" s="234">
        <f t="shared" si="7"/>
        <v>2.5498000000000003</v>
      </c>
    </row>
    <row r="86" spans="1:43" x14ac:dyDescent="0.3">
      <c r="A86" s="156" t="s">
        <v>278</v>
      </c>
      <c r="B86" s="290" t="s">
        <v>279</v>
      </c>
      <c r="C86" s="123"/>
      <c r="D86" s="123"/>
      <c r="E86" s="57" t="s">
        <v>1550</v>
      </c>
      <c r="F86" s="57" t="s">
        <v>1550</v>
      </c>
      <c r="G86" s="57" t="s">
        <v>1550</v>
      </c>
      <c r="H86" s="57" t="s">
        <v>1550</v>
      </c>
      <c r="I86" s="57" t="s">
        <v>1551</v>
      </c>
      <c r="J86" s="39"/>
      <c r="K86" s="296">
        <v>52</v>
      </c>
      <c r="L86" s="234">
        <f t="shared" si="4"/>
        <v>10.3116</v>
      </c>
      <c r="M86" s="234">
        <f t="shared" si="5"/>
        <v>5.7148000000000003</v>
      </c>
      <c r="N86" s="234">
        <f t="shared" si="6"/>
        <v>10.6236</v>
      </c>
      <c r="O86" s="234">
        <f t="shared" si="7"/>
        <v>6.0267999999999997</v>
      </c>
    </row>
    <row r="87" spans="1:43" x14ac:dyDescent="0.3">
      <c r="A87" s="303"/>
      <c r="B87" s="168"/>
      <c r="C87" s="159"/>
      <c r="D87" s="159"/>
      <c r="E87" s="54"/>
      <c r="F87" s="54"/>
      <c r="G87" s="54"/>
      <c r="H87" s="54"/>
      <c r="I87" s="54"/>
      <c r="J87" s="54"/>
      <c r="K87" s="234"/>
      <c r="L87" s="234"/>
      <c r="M87" s="234"/>
      <c r="N87" s="234"/>
      <c r="O87" s="234"/>
    </row>
    <row r="88" spans="1:43" s="308" customFormat="1" x14ac:dyDescent="0.3">
      <c r="A88" s="98" t="s">
        <v>280</v>
      </c>
      <c r="B88" s="98"/>
      <c r="C88" s="98"/>
      <c r="D88" s="98"/>
      <c r="E88" s="98"/>
      <c r="F88" s="98"/>
      <c r="G88" s="98"/>
      <c r="H88" s="98"/>
      <c r="I88" s="98"/>
      <c r="J88" s="98"/>
      <c r="K88" s="238"/>
      <c r="L88" s="98"/>
      <c r="M88" s="98"/>
      <c r="N88" s="98"/>
      <c r="O88" s="98"/>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row>
    <row r="89" spans="1:43" s="16" customFormat="1" ht="82.8" x14ac:dyDescent="0.3">
      <c r="A89" s="114" t="s">
        <v>125</v>
      </c>
      <c r="B89" s="114" t="s">
        <v>126</v>
      </c>
      <c r="C89" s="114" t="s">
        <v>127</v>
      </c>
      <c r="D89" s="114" t="s">
        <v>128</v>
      </c>
      <c r="E89" s="114"/>
      <c r="F89" s="114"/>
      <c r="G89" s="114"/>
      <c r="H89" s="114"/>
      <c r="I89" s="114"/>
      <c r="J89" s="114"/>
      <c r="K89" s="86" t="s">
        <v>130</v>
      </c>
      <c r="L89" s="114"/>
      <c r="M89" s="114"/>
      <c r="N89" s="114"/>
      <c r="O89" s="114"/>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row>
    <row r="90" spans="1:43" x14ac:dyDescent="0.3">
      <c r="A90" s="303"/>
      <c r="B90" s="168"/>
      <c r="C90" s="159"/>
      <c r="D90" s="159"/>
      <c r="E90" s="54"/>
      <c r="F90" s="54"/>
      <c r="G90" s="54"/>
      <c r="H90" s="54"/>
      <c r="I90" s="54"/>
      <c r="J90" s="54"/>
      <c r="K90" s="234"/>
      <c r="L90" s="234"/>
      <c r="M90" s="234"/>
      <c r="N90" s="234"/>
      <c r="O90" s="234"/>
    </row>
    <row r="91" spans="1:43" ht="151.80000000000001" x14ac:dyDescent="0.3">
      <c r="A91" s="128" t="s">
        <v>1612</v>
      </c>
      <c r="B91" s="187" t="s">
        <v>281</v>
      </c>
      <c r="C91" s="275"/>
      <c r="D91" s="275"/>
      <c r="E91" s="263"/>
      <c r="F91" s="263"/>
      <c r="G91" s="263"/>
      <c r="H91" s="263"/>
      <c r="I91" s="263"/>
      <c r="J91" s="263"/>
      <c r="K91" s="143">
        <v>466</v>
      </c>
      <c r="L91" s="234">
        <f t="shared" si="4"/>
        <v>92.407800000000009</v>
      </c>
      <c r="M91" s="234">
        <f t="shared" si="5"/>
        <v>51.2134</v>
      </c>
      <c r="N91" s="234">
        <f t="shared" si="6"/>
        <v>95.203800000000001</v>
      </c>
      <c r="O91" s="234">
        <f t="shared" si="7"/>
        <v>54.009399999999999</v>
      </c>
    </row>
    <row r="92" spans="1:43" x14ac:dyDescent="0.3">
      <c r="A92" s="128"/>
      <c r="B92" s="187"/>
      <c r="C92" s="275"/>
      <c r="D92" s="275"/>
      <c r="E92" s="263"/>
      <c r="F92" s="263"/>
      <c r="G92" s="263"/>
      <c r="H92" s="263"/>
      <c r="I92" s="263"/>
      <c r="J92" s="263"/>
      <c r="K92" s="234"/>
      <c r="L92" s="234"/>
      <c r="M92" s="234"/>
      <c r="N92" s="234"/>
      <c r="O92" s="234"/>
    </row>
    <row r="93" spans="1:43" ht="151.80000000000001" x14ac:dyDescent="0.3">
      <c r="A93" s="128" t="s">
        <v>1613</v>
      </c>
      <c r="B93" s="187" t="s">
        <v>282</v>
      </c>
      <c r="C93" s="275"/>
      <c r="D93" s="275"/>
      <c r="E93" s="263"/>
      <c r="F93" s="263"/>
      <c r="G93" s="263"/>
      <c r="H93" s="263"/>
      <c r="I93" s="263"/>
      <c r="J93" s="263"/>
      <c r="K93" s="143">
        <v>463</v>
      </c>
      <c r="L93" s="234">
        <f t="shared" si="4"/>
        <v>91.812899999999999</v>
      </c>
      <c r="M93" s="234">
        <f t="shared" si="5"/>
        <v>50.883699999999997</v>
      </c>
      <c r="N93" s="234">
        <f t="shared" si="6"/>
        <v>94.590900000000005</v>
      </c>
      <c r="O93" s="234">
        <f t="shared" si="7"/>
        <v>53.661700000000003</v>
      </c>
    </row>
    <row r="94" spans="1:43" x14ac:dyDescent="0.3">
      <c r="A94" s="128"/>
      <c r="B94" s="187"/>
      <c r="C94" s="275"/>
      <c r="D94" s="275"/>
      <c r="E94" s="263"/>
      <c r="F94" s="263"/>
      <c r="G94" s="263"/>
      <c r="H94" s="263"/>
      <c r="I94" s="263"/>
      <c r="J94" s="263"/>
      <c r="K94" s="234"/>
      <c r="L94" s="234"/>
      <c r="M94" s="234"/>
      <c r="N94" s="234"/>
      <c r="O94" s="234"/>
    </row>
    <row r="95" spans="1:43" ht="151.80000000000001" x14ac:dyDescent="0.3">
      <c r="A95" s="84" t="s">
        <v>1614</v>
      </c>
      <c r="B95" s="187" t="s">
        <v>283</v>
      </c>
      <c r="C95" s="275"/>
      <c r="D95" s="275"/>
      <c r="E95" s="263"/>
      <c r="F95" s="263"/>
      <c r="G95" s="263"/>
      <c r="H95" s="263"/>
      <c r="I95" s="263"/>
      <c r="J95" s="263"/>
      <c r="K95" s="143">
        <v>445</v>
      </c>
      <c r="L95" s="234">
        <f t="shared" si="4"/>
        <v>88.243499999999997</v>
      </c>
      <c r="M95" s="234">
        <f t="shared" si="5"/>
        <v>48.905499999999996</v>
      </c>
      <c r="N95" s="234">
        <f t="shared" si="6"/>
        <v>90.913499999999999</v>
      </c>
      <c r="O95" s="234">
        <f t="shared" si="7"/>
        <v>51.575499999999998</v>
      </c>
    </row>
    <row r="96" spans="1:43" x14ac:dyDescent="0.3">
      <c r="A96" s="128"/>
      <c r="B96" s="187"/>
      <c r="C96" s="275"/>
      <c r="D96" s="275"/>
      <c r="E96" s="263"/>
      <c r="F96" s="263"/>
      <c r="G96" s="263"/>
      <c r="H96" s="263"/>
      <c r="I96" s="263"/>
      <c r="J96" s="263"/>
      <c r="K96" s="234"/>
      <c r="L96" s="234"/>
      <c r="M96" s="234"/>
      <c r="N96" s="234"/>
      <c r="O96" s="234"/>
    </row>
    <row r="97" spans="1:43" ht="151.80000000000001" x14ac:dyDescent="0.3">
      <c r="A97" s="269" t="s">
        <v>1615</v>
      </c>
      <c r="B97" s="187" t="s">
        <v>284</v>
      </c>
      <c r="C97" s="275"/>
      <c r="D97" s="275"/>
      <c r="E97" s="263"/>
      <c r="F97" s="263"/>
      <c r="G97" s="263"/>
      <c r="H97" s="263"/>
      <c r="I97" s="263"/>
      <c r="J97" s="263"/>
      <c r="K97" s="143">
        <v>465</v>
      </c>
      <c r="L97" s="234">
        <f t="shared" si="4"/>
        <v>92.209500000000006</v>
      </c>
      <c r="M97" s="234">
        <f t="shared" si="5"/>
        <v>51.103499999999997</v>
      </c>
      <c r="N97" s="234">
        <f t="shared" si="6"/>
        <v>94.999499999999998</v>
      </c>
      <c r="O97" s="234">
        <f t="shared" si="7"/>
        <v>53.893500000000003</v>
      </c>
    </row>
    <row r="98" spans="1:43" x14ac:dyDescent="0.3">
      <c r="A98" s="128"/>
      <c r="B98" s="187"/>
      <c r="C98" s="275"/>
      <c r="D98" s="275"/>
      <c r="E98" s="263"/>
      <c r="F98" s="263"/>
      <c r="G98" s="263"/>
      <c r="H98" s="263"/>
      <c r="I98" s="263"/>
      <c r="J98" s="263"/>
      <c r="K98" s="234"/>
      <c r="L98" s="234"/>
      <c r="M98" s="234"/>
      <c r="N98" s="234"/>
      <c r="O98" s="234"/>
    </row>
    <row r="99" spans="1:43" ht="151.80000000000001" x14ac:dyDescent="0.3">
      <c r="A99" s="84" t="s">
        <v>1616</v>
      </c>
      <c r="B99" s="187" t="s">
        <v>285</v>
      </c>
      <c r="C99" s="275"/>
      <c r="D99" s="275"/>
      <c r="E99" s="263"/>
      <c r="F99" s="263"/>
      <c r="G99" s="263"/>
      <c r="H99" s="263"/>
      <c r="I99" s="263"/>
      <c r="J99" s="263"/>
      <c r="K99" s="143">
        <v>447</v>
      </c>
      <c r="L99" s="234">
        <f t="shared" si="4"/>
        <v>88.640100000000004</v>
      </c>
      <c r="M99" s="234">
        <f t="shared" si="5"/>
        <v>49.125299999999996</v>
      </c>
      <c r="N99" s="234">
        <f t="shared" si="6"/>
        <v>91.322100000000006</v>
      </c>
      <c r="O99" s="234">
        <f t="shared" si="7"/>
        <v>51.807299999999998</v>
      </c>
    </row>
    <row r="100" spans="1:43" s="308" customFormat="1" x14ac:dyDescent="0.3">
      <c r="A100" s="303"/>
      <c r="B100" s="168"/>
      <c r="C100" s="159"/>
      <c r="D100" s="159"/>
      <c r="E100" s="54"/>
      <c r="F100" s="54"/>
      <c r="G100" s="54"/>
      <c r="H100" s="54"/>
      <c r="I100" s="54"/>
      <c r="J100" s="54"/>
      <c r="K100" s="234"/>
      <c r="L100" s="234"/>
      <c r="M100" s="234"/>
      <c r="N100" s="234"/>
      <c r="O100" s="234"/>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row>
    <row r="101" spans="1:43" s="16" customFormat="1" ht="27.6" x14ac:dyDescent="0.3">
      <c r="A101" s="26" t="s">
        <v>286</v>
      </c>
      <c r="B101" s="114" t="s">
        <v>287</v>
      </c>
      <c r="C101" s="114" t="s">
        <v>127</v>
      </c>
      <c r="D101" s="114" t="s">
        <v>128</v>
      </c>
      <c r="E101" s="114" t="s">
        <v>288</v>
      </c>
      <c r="F101" s="114" t="s">
        <v>289</v>
      </c>
      <c r="G101" s="114" t="s">
        <v>290</v>
      </c>
      <c r="H101" s="114" t="s">
        <v>291</v>
      </c>
      <c r="I101" s="114" t="s">
        <v>292</v>
      </c>
      <c r="J101" s="114"/>
      <c r="K101" s="17"/>
      <c r="L101" s="17"/>
      <c r="M101" s="17"/>
      <c r="N101" s="17"/>
      <c r="O101" s="17"/>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row>
    <row r="102" spans="1:43" x14ac:dyDescent="0.3">
      <c r="A102" s="112" t="s">
        <v>143</v>
      </c>
      <c r="B102" s="124" t="s">
        <v>293</v>
      </c>
      <c r="C102" s="124"/>
      <c r="D102" s="124"/>
      <c r="E102" s="289"/>
      <c r="F102" s="289"/>
      <c r="G102" s="289"/>
      <c r="H102" s="289"/>
      <c r="I102" s="289"/>
      <c r="J102" s="293"/>
      <c r="K102" s="235"/>
      <c r="L102" s="235"/>
      <c r="M102" s="235"/>
      <c r="N102" s="235"/>
      <c r="O102" s="235"/>
    </row>
    <row r="103" spans="1:43" s="330" customFormat="1" ht="41.4" x14ac:dyDescent="0.3">
      <c r="A103" s="82" t="s">
        <v>1653</v>
      </c>
      <c r="B103" s="82" t="s">
        <v>1495</v>
      </c>
      <c r="C103" s="160"/>
      <c r="D103" s="160" t="s">
        <v>294</v>
      </c>
      <c r="E103" s="57" t="s">
        <v>295</v>
      </c>
      <c r="F103" s="57" t="s">
        <v>296</v>
      </c>
      <c r="G103" s="57"/>
      <c r="H103" s="57" t="s">
        <v>311</v>
      </c>
      <c r="I103" s="57"/>
      <c r="J103" s="39"/>
      <c r="K103" s="31">
        <v>0</v>
      </c>
      <c r="L103" s="234">
        <f t="shared" si="4"/>
        <v>0</v>
      </c>
      <c r="M103" s="234">
        <f t="shared" si="5"/>
        <v>0</v>
      </c>
      <c r="N103" s="234">
        <f t="shared" si="6"/>
        <v>0</v>
      </c>
      <c r="O103" s="234">
        <f t="shared" si="7"/>
        <v>0</v>
      </c>
      <c r="P103" s="221"/>
      <c r="Q103" s="221"/>
      <c r="R103" s="221"/>
      <c r="S103" s="221"/>
      <c r="T103" s="221"/>
      <c r="U103" s="221"/>
      <c r="V103" s="221"/>
      <c r="W103" s="221"/>
      <c r="X103" s="221"/>
      <c r="Y103" s="221"/>
      <c r="Z103" s="221"/>
      <c r="AA103" s="221"/>
      <c r="AB103" s="221"/>
      <c r="AC103" s="221"/>
      <c r="AD103" s="221"/>
      <c r="AE103" s="221"/>
      <c r="AF103" s="221"/>
      <c r="AG103" s="221"/>
      <c r="AH103" s="221"/>
      <c r="AI103" s="221"/>
      <c r="AJ103" s="221"/>
      <c r="AK103" s="221"/>
      <c r="AL103" s="221"/>
      <c r="AM103" s="221"/>
      <c r="AN103" s="221"/>
      <c r="AO103" s="221"/>
      <c r="AP103" s="221"/>
      <c r="AQ103" s="221"/>
    </row>
    <row r="104" spans="1:43" s="330" customFormat="1" ht="41.4" x14ac:dyDescent="0.3">
      <c r="A104" s="82" t="s">
        <v>1496</v>
      </c>
      <c r="B104" s="82" t="s">
        <v>1503</v>
      </c>
      <c r="C104" s="160" t="s">
        <v>294</v>
      </c>
      <c r="D104" s="160" t="s">
        <v>294</v>
      </c>
      <c r="E104" s="57" t="s">
        <v>297</v>
      </c>
      <c r="F104" s="57" t="s">
        <v>303</v>
      </c>
      <c r="G104" s="57"/>
      <c r="H104" s="57" t="s">
        <v>312</v>
      </c>
      <c r="I104" s="57"/>
      <c r="J104" s="39"/>
      <c r="K104" s="31">
        <v>156</v>
      </c>
      <c r="L104" s="234">
        <f t="shared" si="4"/>
        <v>30.934799999999999</v>
      </c>
      <c r="M104" s="234">
        <f t="shared" si="5"/>
        <v>17.144400000000001</v>
      </c>
      <c r="N104" s="234">
        <f t="shared" si="6"/>
        <v>31.870800000000003</v>
      </c>
      <c r="O104" s="234">
        <f t="shared" si="7"/>
        <v>18.080400000000001</v>
      </c>
      <c r="P104" s="221"/>
      <c r="Q104" s="221"/>
      <c r="R104" s="221"/>
      <c r="S104" s="221"/>
      <c r="T104" s="221"/>
      <c r="U104" s="221"/>
      <c r="V104" s="221"/>
      <c r="W104" s="221"/>
      <c r="X104" s="221"/>
      <c r="Y104" s="221"/>
      <c r="Z104" s="221"/>
      <c r="AA104" s="221"/>
      <c r="AB104" s="221"/>
      <c r="AC104" s="221"/>
      <c r="AD104" s="221"/>
      <c r="AE104" s="221"/>
      <c r="AF104" s="221"/>
      <c r="AG104" s="221"/>
      <c r="AH104" s="221"/>
      <c r="AI104" s="221"/>
      <c r="AJ104" s="221"/>
      <c r="AK104" s="221"/>
      <c r="AL104" s="221"/>
      <c r="AM104" s="221"/>
      <c r="AN104" s="221"/>
      <c r="AO104" s="221"/>
      <c r="AP104" s="221"/>
      <c r="AQ104" s="221"/>
    </row>
    <row r="105" spans="1:43" s="330" customFormat="1" ht="41.4" x14ac:dyDescent="0.3">
      <c r="A105" s="82" t="s">
        <v>1497</v>
      </c>
      <c r="B105" s="82" t="s">
        <v>1504</v>
      </c>
      <c r="C105" s="160" t="s">
        <v>294</v>
      </c>
      <c r="D105" s="160" t="s">
        <v>294</v>
      </c>
      <c r="E105" s="57" t="s">
        <v>298</v>
      </c>
      <c r="F105" s="57" t="s">
        <v>304</v>
      </c>
      <c r="G105" s="57"/>
      <c r="H105" s="57" t="s">
        <v>313</v>
      </c>
      <c r="I105" s="57"/>
      <c r="J105" s="39"/>
      <c r="K105" s="31">
        <v>156</v>
      </c>
      <c r="L105" s="234">
        <f t="shared" si="4"/>
        <v>30.934799999999999</v>
      </c>
      <c r="M105" s="234">
        <f t="shared" si="5"/>
        <v>17.144400000000001</v>
      </c>
      <c r="N105" s="234">
        <f t="shared" si="6"/>
        <v>31.870800000000003</v>
      </c>
      <c r="O105" s="234">
        <f t="shared" si="7"/>
        <v>18.080400000000001</v>
      </c>
      <c r="P105" s="221"/>
      <c r="Q105" s="221"/>
      <c r="R105" s="221"/>
      <c r="S105" s="221"/>
      <c r="T105" s="221"/>
      <c r="U105" s="221"/>
      <c r="V105" s="221"/>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row>
    <row r="106" spans="1:43" s="330" customFormat="1" ht="41.4" x14ac:dyDescent="0.3">
      <c r="A106" s="82" t="s">
        <v>1498</v>
      </c>
      <c r="B106" s="82" t="s">
        <v>1505</v>
      </c>
      <c r="C106" s="160"/>
      <c r="D106" s="160" t="s">
        <v>294</v>
      </c>
      <c r="E106" s="57" t="s">
        <v>299</v>
      </c>
      <c r="F106" s="57" t="s">
        <v>305</v>
      </c>
      <c r="G106" s="57"/>
      <c r="H106" s="57" t="s">
        <v>318</v>
      </c>
      <c r="I106" s="57"/>
      <c r="J106" s="39"/>
      <c r="K106" s="31">
        <v>150</v>
      </c>
      <c r="L106" s="234">
        <f t="shared" si="4"/>
        <v>29.745000000000001</v>
      </c>
      <c r="M106" s="234">
        <f t="shared" si="5"/>
        <v>16.484999999999999</v>
      </c>
      <c r="N106" s="234">
        <f t="shared" si="6"/>
        <v>30.645000000000003</v>
      </c>
      <c r="O106" s="234">
        <f t="shared" si="7"/>
        <v>17.385000000000002</v>
      </c>
      <c r="P106" s="221"/>
      <c r="Q106" s="221"/>
      <c r="R106" s="221"/>
      <c r="S106" s="221"/>
      <c r="T106" s="221"/>
      <c r="U106" s="221"/>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row>
    <row r="107" spans="1:43" s="225" customFormat="1" ht="41.4" x14ac:dyDescent="0.3">
      <c r="A107" s="82" t="s">
        <v>1499</v>
      </c>
      <c r="B107" s="82" t="s">
        <v>1506</v>
      </c>
      <c r="C107" s="160"/>
      <c r="D107" s="160" t="s">
        <v>294</v>
      </c>
      <c r="E107" s="57" t="s">
        <v>300</v>
      </c>
      <c r="F107" s="57" t="s">
        <v>306</v>
      </c>
      <c r="G107" s="57"/>
      <c r="H107" s="57" t="s">
        <v>319</v>
      </c>
      <c r="I107" s="57"/>
      <c r="J107" s="39"/>
      <c r="K107" s="31">
        <v>150</v>
      </c>
      <c r="L107" s="234">
        <f t="shared" si="4"/>
        <v>29.745000000000001</v>
      </c>
      <c r="M107" s="234">
        <f t="shared" si="5"/>
        <v>16.484999999999999</v>
      </c>
      <c r="N107" s="234">
        <f t="shared" si="6"/>
        <v>30.645000000000003</v>
      </c>
      <c r="O107" s="234">
        <f t="shared" si="7"/>
        <v>17.385000000000002</v>
      </c>
      <c r="P107" s="221"/>
      <c r="Q107" s="221"/>
      <c r="R107" s="221"/>
      <c r="S107" s="221"/>
      <c r="T107" s="221"/>
      <c r="U107" s="221"/>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row>
    <row r="108" spans="1:43" s="225" customFormat="1" ht="41.4" x14ac:dyDescent="0.3">
      <c r="A108" s="82" t="s">
        <v>1500</v>
      </c>
      <c r="B108" s="82" t="s">
        <v>1507</v>
      </c>
      <c r="C108" s="160" t="s">
        <v>294</v>
      </c>
      <c r="D108" s="160" t="s">
        <v>294</v>
      </c>
      <c r="E108" s="57" t="s">
        <v>301</v>
      </c>
      <c r="F108" s="57" t="s">
        <v>308</v>
      </c>
      <c r="G108" s="57"/>
      <c r="H108" s="57" t="s">
        <v>322</v>
      </c>
      <c r="I108" s="57"/>
      <c r="J108" s="39"/>
      <c r="K108" s="31">
        <v>150</v>
      </c>
      <c r="L108" s="234">
        <f t="shared" si="4"/>
        <v>29.745000000000001</v>
      </c>
      <c r="M108" s="234">
        <f t="shared" si="5"/>
        <v>16.484999999999999</v>
      </c>
      <c r="N108" s="234">
        <f t="shared" si="6"/>
        <v>30.645000000000003</v>
      </c>
      <c r="O108" s="234">
        <f t="shared" si="7"/>
        <v>17.385000000000002</v>
      </c>
      <c r="P108" s="221"/>
      <c r="Q108" s="221"/>
      <c r="R108" s="221"/>
      <c r="S108" s="221"/>
      <c r="T108" s="221"/>
      <c r="U108" s="221"/>
      <c r="V108" s="221"/>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row>
    <row r="109" spans="1:43" s="225" customFormat="1" ht="41.4" x14ac:dyDescent="0.3">
      <c r="A109" s="82" t="s">
        <v>1501</v>
      </c>
      <c r="B109" s="82" t="s">
        <v>1508</v>
      </c>
      <c r="C109" s="160" t="s">
        <v>294</v>
      </c>
      <c r="D109" s="160" t="s">
        <v>294</v>
      </c>
      <c r="E109" s="57" t="s">
        <v>302</v>
      </c>
      <c r="F109" s="57" t="s">
        <v>307</v>
      </c>
      <c r="G109" s="57"/>
      <c r="H109" s="57" t="s">
        <v>323</v>
      </c>
      <c r="I109" s="57"/>
      <c r="J109" s="39"/>
      <c r="K109" s="31">
        <v>150</v>
      </c>
      <c r="L109" s="234">
        <f t="shared" si="4"/>
        <v>29.745000000000001</v>
      </c>
      <c r="M109" s="234">
        <f t="shared" si="5"/>
        <v>16.484999999999999</v>
      </c>
      <c r="N109" s="234">
        <f t="shared" si="6"/>
        <v>30.645000000000003</v>
      </c>
      <c r="O109" s="234">
        <f t="shared" si="7"/>
        <v>17.385000000000002</v>
      </c>
      <c r="P109" s="221"/>
      <c r="Q109" s="221"/>
      <c r="R109" s="221"/>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row>
    <row r="110" spans="1:43" s="330" customFormat="1" x14ac:dyDescent="0.3">
      <c r="A110" s="82" t="s">
        <v>1502</v>
      </c>
      <c r="B110" s="82" t="s">
        <v>309</v>
      </c>
      <c r="C110" s="160" t="s">
        <v>294</v>
      </c>
      <c r="D110" s="160" t="s">
        <v>294</v>
      </c>
      <c r="E110" s="57"/>
      <c r="F110" s="57" t="s">
        <v>310</v>
      </c>
      <c r="G110" s="57"/>
      <c r="H110" s="57"/>
      <c r="I110" s="57"/>
      <c r="J110" s="39"/>
      <c r="K110" s="31">
        <v>335</v>
      </c>
      <c r="L110" s="234">
        <f t="shared" si="4"/>
        <v>66.430499999999995</v>
      </c>
      <c r="M110" s="234">
        <f t="shared" si="5"/>
        <v>36.816499999999998</v>
      </c>
      <c r="N110" s="234">
        <f t="shared" si="6"/>
        <v>68.4405</v>
      </c>
      <c r="O110" s="234">
        <f t="shared" si="7"/>
        <v>38.826500000000003</v>
      </c>
      <c r="P110" s="221"/>
      <c r="Q110" s="221"/>
      <c r="R110" s="221"/>
      <c r="S110" s="221"/>
      <c r="T110" s="221"/>
      <c r="U110" s="221"/>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row>
    <row r="111" spans="1:43" s="330" customFormat="1" x14ac:dyDescent="0.3">
      <c r="A111" s="82" t="s">
        <v>1650</v>
      </c>
      <c r="B111" s="82" t="s">
        <v>314</v>
      </c>
      <c r="C111" s="160" t="s">
        <v>294</v>
      </c>
      <c r="D111" s="160" t="s">
        <v>294</v>
      </c>
      <c r="E111" s="57"/>
      <c r="F111" s="57"/>
      <c r="G111" s="57"/>
      <c r="H111" s="57" t="s">
        <v>315</v>
      </c>
      <c r="I111" s="57"/>
      <c r="J111" s="39"/>
      <c r="K111" s="31">
        <v>156</v>
      </c>
      <c r="L111" s="234">
        <f t="shared" si="4"/>
        <v>30.934799999999999</v>
      </c>
      <c r="M111" s="234">
        <f t="shared" si="5"/>
        <v>17.144400000000001</v>
      </c>
      <c r="N111" s="234">
        <f t="shared" si="6"/>
        <v>31.870800000000003</v>
      </c>
      <c r="O111" s="234">
        <f t="shared" si="7"/>
        <v>18.080400000000001</v>
      </c>
      <c r="P111" s="221"/>
      <c r="Q111" s="221"/>
      <c r="R111" s="221"/>
      <c r="S111" s="221"/>
      <c r="T111" s="221"/>
      <c r="U111" s="221"/>
      <c r="V111" s="221"/>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row>
    <row r="112" spans="1:43" s="225" customFormat="1" x14ac:dyDescent="0.3">
      <c r="A112" s="82" t="s">
        <v>1651</v>
      </c>
      <c r="B112" s="82" t="s">
        <v>316</v>
      </c>
      <c r="C112" s="111" t="s">
        <v>294</v>
      </c>
      <c r="D112" s="111" t="s">
        <v>294</v>
      </c>
      <c r="E112" s="120"/>
      <c r="F112" s="120"/>
      <c r="G112" s="120"/>
      <c r="H112" s="175" t="s">
        <v>317</v>
      </c>
      <c r="I112" s="120"/>
      <c r="J112" s="120"/>
      <c r="K112" s="31">
        <v>156</v>
      </c>
      <c r="L112" s="234">
        <f t="shared" si="4"/>
        <v>30.934799999999999</v>
      </c>
      <c r="M112" s="234">
        <f t="shared" si="5"/>
        <v>17.144400000000001</v>
      </c>
      <c r="N112" s="234">
        <f t="shared" si="6"/>
        <v>31.870800000000003</v>
      </c>
      <c r="O112" s="234">
        <f t="shared" si="7"/>
        <v>18.080400000000001</v>
      </c>
      <c r="P112" s="221"/>
      <c r="Q112" s="221"/>
      <c r="R112" s="221"/>
      <c r="S112" s="221"/>
      <c r="T112" s="221"/>
      <c r="U112" s="221"/>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row>
    <row r="113" spans="1:43" s="330" customFormat="1" x14ac:dyDescent="0.3">
      <c r="A113" s="82" t="s">
        <v>1652</v>
      </c>
      <c r="B113" s="82" t="s">
        <v>320</v>
      </c>
      <c r="C113" s="160"/>
      <c r="D113" s="160" t="s">
        <v>294</v>
      </c>
      <c r="E113" s="57"/>
      <c r="F113" s="57"/>
      <c r="G113" s="57"/>
      <c r="H113" s="57" t="s">
        <v>321</v>
      </c>
      <c r="I113" s="57"/>
      <c r="J113" s="39"/>
      <c r="K113" s="31">
        <v>277</v>
      </c>
      <c r="L113" s="234">
        <f t="shared" si="4"/>
        <v>54.929099999999998</v>
      </c>
      <c r="M113" s="234">
        <f t="shared" si="5"/>
        <v>30.442299999999999</v>
      </c>
      <c r="N113" s="234">
        <f t="shared" si="6"/>
        <v>56.591100000000004</v>
      </c>
      <c r="O113" s="234">
        <f t="shared" si="7"/>
        <v>32.104300000000002</v>
      </c>
      <c r="P113" s="221"/>
      <c r="Q113" s="221"/>
      <c r="R113" s="221"/>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row>
    <row r="114" spans="1:43" s="330" customFormat="1" x14ac:dyDescent="0.3">
      <c r="A114" s="82" t="s">
        <v>1648</v>
      </c>
      <c r="B114" s="82" t="s">
        <v>324</v>
      </c>
      <c r="C114" s="160" t="s">
        <v>294</v>
      </c>
      <c r="D114" s="160" t="s">
        <v>294</v>
      </c>
      <c r="E114" s="57"/>
      <c r="F114" s="57"/>
      <c r="G114" s="57"/>
      <c r="H114" s="57" t="s">
        <v>325</v>
      </c>
      <c r="I114" s="57"/>
      <c r="J114" s="39"/>
      <c r="K114" s="31">
        <v>277</v>
      </c>
      <c r="L114" s="234">
        <f t="shared" si="4"/>
        <v>54.929099999999998</v>
      </c>
      <c r="M114" s="234">
        <f t="shared" si="5"/>
        <v>30.442299999999999</v>
      </c>
      <c r="N114" s="234">
        <f t="shared" si="6"/>
        <v>56.591100000000004</v>
      </c>
      <c r="O114" s="234">
        <f t="shared" si="7"/>
        <v>32.104300000000002</v>
      </c>
      <c r="P114" s="221"/>
      <c r="Q114" s="221"/>
      <c r="R114" s="221"/>
      <c r="S114" s="221"/>
      <c r="T114" s="221"/>
      <c r="U114" s="221"/>
      <c r="V114" s="221"/>
      <c r="W114" s="221"/>
      <c r="X114" s="221"/>
      <c r="Y114" s="221"/>
      <c r="Z114" s="221"/>
      <c r="AA114" s="221"/>
      <c r="AB114" s="221"/>
      <c r="AC114" s="221"/>
      <c r="AD114" s="221"/>
      <c r="AE114" s="221"/>
      <c r="AF114" s="221"/>
      <c r="AG114" s="221"/>
      <c r="AH114" s="221"/>
      <c r="AI114" s="221"/>
      <c r="AJ114" s="221"/>
      <c r="AK114" s="221"/>
      <c r="AL114" s="221"/>
      <c r="AM114" s="221"/>
      <c r="AN114" s="221"/>
      <c r="AO114" s="221"/>
      <c r="AP114" s="221"/>
      <c r="AQ114" s="221"/>
    </row>
    <row r="115" spans="1:43" s="225" customFormat="1" x14ac:dyDescent="0.3">
      <c r="A115" s="82" t="s">
        <v>1649</v>
      </c>
      <c r="B115" s="82" t="s">
        <v>326</v>
      </c>
      <c r="C115" s="111" t="s">
        <v>294</v>
      </c>
      <c r="D115" s="111" t="s">
        <v>294</v>
      </c>
      <c r="E115" s="120"/>
      <c r="F115" s="120"/>
      <c r="G115" s="120"/>
      <c r="H115" s="175" t="s">
        <v>327</v>
      </c>
      <c r="I115" s="120"/>
      <c r="J115" s="120"/>
      <c r="K115" s="31">
        <v>277</v>
      </c>
      <c r="L115" s="234">
        <f t="shared" si="4"/>
        <v>54.929099999999998</v>
      </c>
      <c r="M115" s="234">
        <f t="shared" si="5"/>
        <v>30.442299999999999</v>
      </c>
      <c r="N115" s="234">
        <f t="shared" si="6"/>
        <v>56.591100000000004</v>
      </c>
      <c r="O115" s="234">
        <f t="shared" si="7"/>
        <v>32.104300000000002</v>
      </c>
      <c r="P115" s="221"/>
      <c r="Q115" s="221"/>
      <c r="R115" s="221"/>
      <c r="S115" s="221"/>
      <c r="T115" s="221"/>
      <c r="U115" s="221"/>
      <c r="V115" s="221"/>
      <c r="W115" s="221"/>
      <c r="X115" s="221"/>
      <c r="Y115" s="221"/>
      <c r="Z115" s="221"/>
      <c r="AA115" s="221"/>
      <c r="AB115" s="221"/>
      <c r="AC115" s="221"/>
      <c r="AD115" s="221"/>
      <c r="AE115" s="221"/>
      <c r="AF115" s="221"/>
      <c r="AG115" s="221"/>
      <c r="AH115" s="221"/>
      <c r="AI115" s="221"/>
      <c r="AJ115" s="221"/>
      <c r="AK115" s="221"/>
      <c r="AL115" s="221"/>
      <c r="AM115" s="221"/>
      <c r="AN115" s="221"/>
      <c r="AO115" s="221"/>
      <c r="AP115" s="221"/>
      <c r="AQ115" s="221"/>
    </row>
    <row r="116" spans="1:43" s="225" customFormat="1" ht="27.6" x14ac:dyDescent="0.3">
      <c r="A116" s="82" t="s">
        <v>1512</v>
      </c>
      <c r="B116" s="82" t="s">
        <v>1509</v>
      </c>
      <c r="C116" s="160"/>
      <c r="D116" s="160"/>
      <c r="E116" s="57"/>
      <c r="F116" s="57"/>
      <c r="G116" s="57" t="s">
        <v>328</v>
      </c>
      <c r="H116" s="57"/>
      <c r="I116" s="57" t="s">
        <v>331</v>
      </c>
      <c r="J116" s="39"/>
      <c r="K116" s="31">
        <v>0</v>
      </c>
      <c r="L116" s="234">
        <f t="shared" si="4"/>
        <v>0</v>
      </c>
      <c r="M116" s="234">
        <f t="shared" si="5"/>
        <v>0</v>
      </c>
      <c r="N116" s="234">
        <f t="shared" si="6"/>
        <v>0</v>
      </c>
      <c r="O116" s="234">
        <f t="shared" si="7"/>
        <v>0</v>
      </c>
      <c r="P116" s="221"/>
      <c r="Q116" s="221"/>
      <c r="R116" s="221"/>
      <c r="S116" s="221"/>
      <c r="T116" s="221"/>
      <c r="U116" s="221"/>
      <c r="V116" s="221"/>
      <c r="W116" s="221"/>
      <c r="X116" s="221"/>
      <c r="Y116" s="221"/>
      <c r="Z116" s="221"/>
      <c r="AA116" s="221"/>
      <c r="AB116" s="221"/>
      <c r="AC116" s="221"/>
      <c r="AD116" s="221"/>
      <c r="AE116" s="221"/>
      <c r="AF116" s="221"/>
      <c r="AG116" s="221"/>
      <c r="AH116" s="221"/>
      <c r="AI116" s="221"/>
      <c r="AJ116" s="221"/>
      <c r="AK116" s="221"/>
      <c r="AL116" s="221"/>
      <c r="AM116" s="221"/>
      <c r="AN116" s="221"/>
      <c r="AO116" s="221"/>
      <c r="AP116" s="221"/>
      <c r="AQ116" s="221"/>
    </row>
    <row r="117" spans="1:43" s="330" customFormat="1" ht="27.6" x14ac:dyDescent="0.3">
      <c r="A117" s="82" t="s">
        <v>1511</v>
      </c>
      <c r="B117" s="82" t="s">
        <v>1510</v>
      </c>
      <c r="C117" s="160"/>
      <c r="D117" s="160"/>
      <c r="E117" s="57"/>
      <c r="F117" s="57"/>
      <c r="G117" s="57" t="s">
        <v>329</v>
      </c>
      <c r="H117" s="57"/>
      <c r="I117" s="57" t="s">
        <v>332</v>
      </c>
      <c r="J117" s="39"/>
      <c r="K117" s="31">
        <v>36</v>
      </c>
      <c r="L117" s="234">
        <f t="shared" si="4"/>
        <v>7.1387999999999998</v>
      </c>
      <c r="M117" s="234">
        <f t="shared" si="5"/>
        <v>3.9563999999999999</v>
      </c>
      <c r="N117" s="234">
        <f t="shared" si="6"/>
        <v>7.3548</v>
      </c>
      <c r="O117" s="234">
        <f t="shared" si="7"/>
        <v>4.1723999999999997</v>
      </c>
      <c r="P117" s="221"/>
      <c r="Q117" s="221"/>
      <c r="R117" s="221"/>
      <c r="S117" s="221"/>
      <c r="T117" s="221"/>
      <c r="U117" s="221"/>
      <c r="V117" s="221"/>
      <c r="W117" s="221"/>
      <c r="X117" s="221"/>
      <c r="Y117" s="221"/>
      <c r="Z117" s="221"/>
      <c r="AA117" s="221"/>
      <c r="AB117" s="221"/>
      <c r="AC117" s="221"/>
      <c r="AD117" s="221"/>
      <c r="AE117" s="221"/>
      <c r="AF117" s="221"/>
      <c r="AG117" s="221"/>
      <c r="AH117" s="221"/>
      <c r="AI117" s="221"/>
      <c r="AJ117" s="221"/>
      <c r="AK117" s="221"/>
      <c r="AL117" s="221"/>
      <c r="AM117" s="221"/>
      <c r="AN117" s="221"/>
      <c r="AO117" s="221"/>
      <c r="AP117" s="221"/>
      <c r="AQ117" s="221"/>
    </row>
    <row r="118" spans="1:43" s="225" customFormat="1" ht="27.6" x14ac:dyDescent="0.3">
      <c r="A118" s="82" t="s">
        <v>1514</v>
      </c>
      <c r="B118" s="82" t="s">
        <v>1513</v>
      </c>
      <c r="C118" s="160"/>
      <c r="D118" s="160"/>
      <c r="E118" s="57"/>
      <c r="F118" s="57"/>
      <c r="G118" s="57" t="s">
        <v>330</v>
      </c>
      <c r="H118" s="57"/>
      <c r="I118" s="57" t="s">
        <v>333</v>
      </c>
      <c r="J118" s="39"/>
      <c r="K118" s="31">
        <v>36</v>
      </c>
      <c r="L118" s="234">
        <f t="shared" si="4"/>
        <v>7.1387999999999998</v>
      </c>
      <c r="M118" s="234">
        <f t="shared" si="5"/>
        <v>3.9563999999999999</v>
      </c>
      <c r="N118" s="234">
        <f t="shared" si="6"/>
        <v>7.3548</v>
      </c>
      <c r="O118" s="234">
        <f t="shared" si="7"/>
        <v>4.1723999999999997</v>
      </c>
      <c r="P118" s="221"/>
      <c r="Q118" s="221"/>
      <c r="R118" s="221"/>
      <c r="S118" s="221"/>
      <c r="T118" s="221"/>
      <c r="U118" s="221"/>
      <c r="V118" s="221"/>
      <c r="W118" s="221"/>
      <c r="X118" s="221"/>
      <c r="Y118" s="221"/>
      <c r="Z118" s="221"/>
      <c r="AA118" s="221"/>
      <c r="AB118" s="221"/>
      <c r="AC118" s="221"/>
      <c r="AD118" s="221"/>
      <c r="AE118" s="221"/>
      <c r="AF118" s="221"/>
      <c r="AG118" s="221"/>
      <c r="AH118" s="221"/>
      <c r="AI118" s="221"/>
      <c r="AJ118" s="221"/>
      <c r="AK118" s="221"/>
      <c r="AL118" s="221"/>
      <c r="AM118" s="221"/>
      <c r="AN118" s="221"/>
      <c r="AO118" s="221"/>
      <c r="AP118" s="221"/>
      <c r="AQ118" s="221"/>
    </row>
    <row r="119" spans="1:43" s="330" customFormat="1" ht="27.6" x14ac:dyDescent="0.3">
      <c r="A119" s="82" t="s">
        <v>1517</v>
      </c>
      <c r="B119" s="82" t="s">
        <v>1515</v>
      </c>
      <c r="C119" s="160"/>
      <c r="D119" s="160"/>
      <c r="E119" s="57"/>
      <c r="F119" s="57"/>
      <c r="G119" s="57" t="s">
        <v>334</v>
      </c>
      <c r="H119" s="57"/>
      <c r="I119" s="57" t="s">
        <v>337</v>
      </c>
      <c r="J119" s="39"/>
      <c r="K119" s="31">
        <v>99</v>
      </c>
      <c r="L119" s="234">
        <f t="shared" si="4"/>
        <v>19.631700000000002</v>
      </c>
      <c r="M119" s="234">
        <f t="shared" si="5"/>
        <v>10.880100000000001</v>
      </c>
      <c r="N119" s="234">
        <f t="shared" si="6"/>
        <v>20.2257</v>
      </c>
      <c r="O119" s="234">
        <f t="shared" si="7"/>
        <v>11.4741</v>
      </c>
      <c r="P119" s="221"/>
      <c r="Q119" s="221"/>
      <c r="R119" s="221"/>
      <c r="S119" s="221"/>
      <c r="T119" s="221"/>
      <c r="U119" s="221"/>
      <c r="V119" s="221"/>
      <c r="W119" s="221"/>
      <c r="X119" s="221"/>
      <c r="Y119" s="221"/>
      <c r="Z119" s="221"/>
      <c r="AA119" s="221"/>
      <c r="AB119" s="221"/>
      <c r="AC119" s="221"/>
      <c r="AD119" s="221"/>
      <c r="AE119" s="221"/>
      <c r="AF119" s="221"/>
      <c r="AG119" s="221"/>
      <c r="AH119" s="221"/>
      <c r="AI119" s="221"/>
      <c r="AJ119" s="221"/>
      <c r="AK119" s="221"/>
      <c r="AL119" s="221"/>
      <c r="AM119" s="221"/>
      <c r="AN119" s="221"/>
      <c r="AO119" s="221"/>
      <c r="AP119" s="221"/>
      <c r="AQ119" s="221"/>
    </row>
    <row r="120" spans="1:43" s="330" customFormat="1" ht="27.6" x14ac:dyDescent="0.3">
      <c r="A120" s="82" t="s">
        <v>1518</v>
      </c>
      <c r="B120" s="82" t="s">
        <v>1516</v>
      </c>
      <c r="C120" s="160"/>
      <c r="D120" s="160"/>
      <c r="E120" s="57"/>
      <c r="F120" s="57"/>
      <c r="G120" s="57" t="s">
        <v>338</v>
      </c>
      <c r="H120" s="57"/>
      <c r="I120" s="57" t="s">
        <v>336</v>
      </c>
      <c r="J120" s="39"/>
      <c r="K120" s="31">
        <v>99</v>
      </c>
      <c r="L120" s="234">
        <f t="shared" si="4"/>
        <v>19.631700000000002</v>
      </c>
      <c r="M120" s="234">
        <f t="shared" si="5"/>
        <v>10.880100000000001</v>
      </c>
      <c r="N120" s="234">
        <f t="shared" si="6"/>
        <v>20.2257</v>
      </c>
      <c r="O120" s="234">
        <f t="shared" si="7"/>
        <v>11.4741</v>
      </c>
      <c r="P120" s="221"/>
      <c r="Q120" s="221"/>
      <c r="R120" s="221"/>
      <c r="S120" s="221"/>
      <c r="T120" s="221"/>
      <c r="U120" s="221"/>
      <c r="V120" s="221"/>
      <c r="W120" s="221"/>
      <c r="X120" s="221"/>
      <c r="Y120" s="221"/>
      <c r="Z120" s="221"/>
      <c r="AA120" s="221"/>
      <c r="AB120" s="221"/>
      <c r="AC120" s="221"/>
      <c r="AD120" s="221"/>
      <c r="AE120" s="221"/>
      <c r="AF120" s="221"/>
      <c r="AG120" s="221"/>
      <c r="AH120" s="221"/>
      <c r="AI120" s="221"/>
      <c r="AJ120" s="221"/>
      <c r="AK120" s="221"/>
      <c r="AL120" s="221"/>
      <c r="AM120" s="221"/>
      <c r="AN120" s="221"/>
      <c r="AO120" s="221"/>
      <c r="AP120" s="221"/>
      <c r="AQ120" s="221"/>
    </row>
    <row r="121" spans="1:43" s="225" customFormat="1" ht="27.6" x14ac:dyDescent="0.3">
      <c r="A121" s="82" t="s">
        <v>1520</v>
      </c>
      <c r="B121" s="82" t="s">
        <v>1519</v>
      </c>
      <c r="C121" s="160"/>
      <c r="D121" s="160"/>
      <c r="E121" s="57"/>
      <c r="F121" s="57"/>
      <c r="G121" s="57" t="s">
        <v>335</v>
      </c>
      <c r="H121" s="57"/>
      <c r="I121" s="57" t="s">
        <v>339</v>
      </c>
      <c r="J121" s="39"/>
      <c r="K121" s="31">
        <v>99</v>
      </c>
      <c r="L121" s="234">
        <f t="shared" si="4"/>
        <v>19.631700000000002</v>
      </c>
      <c r="M121" s="234">
        <f t="shared" si="5"/>
        <v>10.880100000000001</v>
      </c>
      <c r="N121" s="234">
        <f t="shared" si="6"/>
        <v>20.2257</v>
      </c>
      <c r="O121" s="234">
        <f t="shared" si="7"/>
        <v>11.4741</v>
      </c>
      <c r="P121" s="221"/>
      <c r="Q121" s="221"/>
      <c r="R121" s="221"/>
      <c r="S121" s="221"/>
      <c r="T121" s="221"/>
      <c r="U121" s="221"/>
      <c r="V121" s="221"/>
      <c r="W121" s="221"/>
      <c r="X121" s="221"/>
      <c r="Y121" s="221"/>
      <c r="Z121" s="221"/>
      <c r="AA121" s="221"/>
      <c r="AB121" s="221"/>
      <c r="AC121" s="221"/>
      <c r="AD121" s="221"/>
      <c r="AE121" s="221"/>
      <c r="AF121" s="221"/>
      <c r="AG121" s="221"/>
      <c r="AH121" s="221"/>
      <c r="AI121" s="221"/>
      <c r="AJ121" s="221"/>
      <c r="AK121" s="221"/>
      <c r="AL121" s="221"/>
      <c r="AM121" s="221"/>
      <c r="AN121" s="221"/>
      <c r="AO121" s="221"/>
      <c r="AP121" s="221"/>
      <c r="AQ121" s="221"/>
    </row>
    <row r="122" spans="1:43" s="330" customFormat="1" x14ac:dyDescent="0.3">
      <c r="A122" s="269"/>
      <c r="B122" s="269"/>
      <c r="C122" s="49"/>
      <c r="D122" s="49"/>
      <c r="E122" s="281"/>
      <c r="F122" s="281"/>
      <c r="G122" s="281"/>
      <c r="H122" s="281"/>
      <c r="I122" s="281"/>
      <c r="J122" s="244"/>
      <c r="K122" s="37"/>
      <c r="L122" s="234"/>
      <c r="M122" s="234"/>
      <c r="N122" s="234"/>
      <c r="O122" s="234"/>
      <c r="P122" s="221"/>
      <c r="Q122" s="221"/>
      <c r="R122" s="221"/>
      <c r="S122" s="221"/>
      <c r="T122" s="221"/>
      <c r="U122" s="221"/>
      <c r="V122" s="221"/>
      <c r="W122" s="221"/>
      <c r="X122" s="221"/>
      <c r="Y122" s="221"/>
      <c r="Z122" s="221"/>
      <c r="AA122" s="221"/>
      <c r="AB122" s="221"/>
      <c r="AC122" s="221"/>
      <c r="AD122" s="221"/>
      <c r="AE122" s="221"/>
      <c r="AF122" s="221"/>
      <c r="AG122" s="221"/>
      <c r="AH122" s="221"/>
      <c r="AI122" s="221"/>
      <c r="AJ122" s="221"/>
      <c r="AK122" s="221"/>
      <c r="AL122" s="221"/>
      <c r="AM122" s="221"/>
      <c r="AN122" s="221"/>
      <c r="AO122" s="221"/>
      <c r="AP122" s="221"/>
      <c r="AQ122" s="221"/>
    </row>
    <row r="123" spans="1:43" s="330" customFormat="1" x14ac:dyDescent="0.3">
      <c r="A123" s="112" t="s">
        <v>340</v>
      </c>
      <c r="B123" s="112"/>
      <c r="C123" s="112"/>
      <c r="D123" s="112"/>
      <c r="E123" s="293"/>
      <c r="F123" s="293"/>
      <c r="G123" s="293"/>
      <c r="H123" s="293"/>
      <c r="I123" s="293"/>
      <c r="J123" s="293"/>
      <c r="K123" s="239"/>
      <c r="L123" s="239"/>
      <c r="M123" s="239"/>
      <c r="N123" s="239"/>
      <c r="O123" s="239"/>
      <c r="P123" s="221"/>
      <c r="Q123" s="221"/>
      <c r="R123" s="221"/>
      <c r="S123" s="221"/>
      <c r="T123" s="221"/>
      <c r="U123" s="221"/>
      <c r="V123" s="221"/>
      <c r="W123" s="221"/>
      <c r="X123" s="221"/>
      <c r="Y123" s="221"/>
      <c r="Z123" s="221"/>
      <c r="AA123" s="221"/>
      <c r="AB123" s="221"/>
      <c r="AC123" s="221"/>
      <c r="AD123" s="221"/>
      <c r="AE123" s="221"/>
      <c r="AF123" s="221"/>
      <c r="AG123" s="221"/>
      <c r="AH123" s="221"/>
      <c r="AI123" s="221"/>
      <c r="AJ123" s="221"/>
      <c r="AK123" s="221"/>
      <c r="AL123" s="221"/>
      <c r="AM123" s="221"/>
      <c r="AN123" s="221"/>
      <c r="AO123" s="221"/>
      <c r="AP123" s="221"/>
      <c r="AQ123" s="221"/>
    </row>
    <row r="124" spans="1:43" s="330" customFormat="1" x14ac:dyDescent="0.3">
      <c r="A124" s="269" t="s">
        <v>341</v>
      </c>
      <c r="B124" s="269" t="s">
        <v>341</v>
      </c>
      <c r="C124" s="49"/>
      <c r="D124" s="49"/>
      <c r="E124" s="281" t="s">
        <v>342</v>
      </c>
      <c r="F124" s="281" t="s">
        <v>343</v>
      </c>
      <c r="G124" s="281" t="s">
        <v>344</v>
      </c>
      <c r="H124" s="281" t="s">
        <v>345</v>
      </c>
      <c r="I124" s="281" t="s">
        <v>346</v>
      </c>
      <c r="J124" s="244"/>
      <c r="K124" s="37">
        <v>82</v>
      </c>
      <c r="L124" s="234">
        <f t="shared" si="4"/>
        <v>16.2606</v>
      </c>
      <c r="M124" s="234">
        <f t="shared" si="5"/>
        <v>9.0117999999999991</v>
      </c>
      <c r="N124" s="234">
        <f t="shared" si="6"/>
        <v>16.752600000000001</v>
      </c>
      <c r="O124" s="234">
        <f t="shared" si="7"/>
        <v>9.5038</v>
      </c>
      <c r="P124" s="221"/>
      <c r="Q124" s="221"/>
      <c r="R124" s="221"/>
      <c r="S124" s="221"/>
      <c r="T124" s="221"/>
      <c r="U124" s="221"/>
      <c r="V124" s="221"/>
      <c r="W124" s="221"/>
      <c r="X124" s="221"/>
      <c r="Y124" s="221"/>
      <c r="Z124" s="221"/>
      <c r="AA124" s="221"/>
      <c r="AB124" s="221"/>
      <c r="AC124" s="221"/>
      <c r="AD124" s="221"/>
      <c r="AE124" s="221"/>
      <c r="AF124" s="221"/>
      <c r="AG124" s="221"/>
      <c r="AH124" s="221"/>
      <c r="AI124" s="221"/>
      <c r="AJ124" s="221"/>
      <c r="AK124" s="221"/>
      <c r="AL124" s="221"/>
      <c r="AM124" s="221"/>
      <c r="AN124" s="221"/>
      <c r="AO124" s="221"/>
      <c r="AP124" s="221"/>
      <c r="AQ124" s="221"/>
    </row>
    <row r="125" spans="1:43" s="330" customFormat="1" x14ac:dyDescent="0.3">
      <c r="A125" s="82" t="s">
        <v>1533</v>
      </c>
      <c r="B125" s="82" t="s">
        <v>1533</v>
      </c>
      <c r="C125" s="160"/>
      <c r="D125" s="160"/>
      <c r="E125" s="57" t="s">
        <v>1534</v>
      </c>
      <c r="F125" s="57" t="s">
        <v>1535</v>
      </c>
      <c r="G125" s="57" t="s">
        <v>1536</v>
      </c>
      <c r="H125" s="57" t="s">
        <v>1537</v>
      </c>
      <c r="I125" s="57" t="s">
        <v>1538</v>
      </c>
      <c r="J125" s="39"/>
      <c r="K125" s="31">
        <v>82</v>
      </c>
      <c r="L125" s="234">
        <f t="shared" si="4"/>
        <v>16.2606</v>
      </c>
      <c r="M125" s="234">
        <f t="shared" si="5"/>
        <v>9.0117999999999991</v>
      </c>
      <c r="N125" s="234">
        <f t="shared" si="6"/>
        <v>16.752600000000001</v>
      </c>
      <c r="O125" s="234">
        <f t="shared" si="7"/>
        <v>9.5038</v>
      </c>
      <c r="P125" s="221"/>
      <c r="Q125" s="221"/>
      <c r="R125" s="221"/>
      <c r="S125" s="221"/>
      <c r="T125" s="221"/>
      <c r="U125" s="221"/>
      <c r="V125" s="221"/>
      <c r="W125" s="221"/>
      <c r="X125" s="221"/>
      <c r="Y125" s="221"/>
      <c r="Z125" s="221"/>
      <c r="AA125" s="221"/>
      <c r="AB125" s="221"/>
      <c r="AC125" s="221"/>
      <c r="AD125" s="221"/>
      <c r="AE125" s="221"/>
      <c r="AF125" s="221"/>
      <c r="AG125" s="221"/>
      <c r="AH125" s="221"/>
      <c r="AI125" s="221"/>
      <c r="AJ125" s="221"/>
      <c r="AK125" s="221"/>
      <c r="AL125" s="221"/>
      <c r="AM125" s="221"/>
      <c r="AN125" s="221"/>
      <c r="AO125" s="221"/>
      <c r="AP125" s="221"/>
      <c r="AQ125" s="221"/>
    </row>
    <row r="126" spans="1:43" s="330" customFormat="1" x14ac:dyDescent="0.3">
      <c r="A126" s="269" t="s">
        <v>347</v>
      </c>
      <c r="B126" s="269" t="s">
        <v>347</v>
      </c>
      <c r="C126" s="49"/>
      <c r="D126" s="49"/>
      <c r="E126" s="141" t="s">
        <v>348</v>
      </c>
      <c r="F126" s="281" t="s">
        <v>349</v>
      </c>
      <c r="G126" s="281" t="s">
        <v>350</v>
      </c>
      <c r="H126" s="281" t="s">
        <v>351</v>
      </c>
      <c r="I126" s="281" t="s">
        <v>352</v>
      </c>
      <c r="J126" s="244"/>
      <c r="K126" s="37">
        <v>183</v>
      </c>
      <c r="L126" s="234">
        <f t="shared" si="4"/>
        <v>36.288899999999998</v>
      </c>
      <c r="M126" s="234">
        <f t="shared" si="5"/>
        <v>20.111699999999999</v>
      </c>
      <c r="N126" s="234">
        <f t="shared" si="6"/>
        <v>37.386900000000004</v>
      </c>
      <c r="O126" s="234">
        <f t="shared" si="7"/>
        <v>21.209700000000002</v>
      </c>
      <c r="P126" s="221"/>
      <c r="Q126" s="221"/>
      <c r="R126" s="221"/>
      <c r="S126" s="221"/>
      <c r="T126" s="221"/>
      <c r="U126" s="221"/>
      <c r="V126" s="221"/>
      <c r="W126" s="221"/>
      <c r="X126" s="221"/>
      <c r="Y126" s="221"/>
      <c r="Z126" s="221"/>
      <c r="AA126" s="221"/>
      <c r="AB126" s="221"/>
      <c r="AC126" s="221"/>
      <c r="AD126" s="221"/>
      <c r="AE126" s="221"/>
      <c r="AF126" s="221"/>
      <c r="AG126" s="221"/>
      <c r="AH126" s="221"/>
      <c r="AI126" s="221"/>
      <c r="AJ126" s="221"/>
      <c r="AK126" s="221"/>
      <c r="AL126" s="221"/>
      <c r="AM126" s="221"/>
      <c r="AN126" s="221"/>
      <c r="AO126" s="221"/>
      <c r="AP126" s="221"/>
      <c r="AQ126" s="221"/>
    </row>
    <row r="127" spans="1:43" s="221" customFormat="1" x14ac:dyDescent="0.3">
      <c r="A127" s="303"/>
      <c r="B127" s="262"/>
      <c r="C127" s="159"/>
      <c r="D127" s="159"/>
      <c r="E127" s="34"/>
      <c r="F127" s="54"/>
      <c r="G127" s="54"/>
      <c r="H127" s="54"/>
      <c r="I127" s="54"/>
      <c r="J127" s="54"/>
      <c r="K127" s="37"/>
      <c r="L127" s="234"/>
      <c r="M127" s="234"/>
      <c r="N127" s="234"/>
      <c r="O127" s="234"/>
    </row>
    <row r="128" spans="1:43" s="330" customFormat="1" x14ac:dyDescent="0.3">
      <c r="A128" s="112" t="s">
        <v>353</v>
      </c>
      <c r="B128" s="112"/>
      <c r="C128" s="112"/>
      <c r="D128" s="112"/>
      <c r="E128" s="293"/>
      <c r="F128" s="293"/>
      <c r="G128" s="293"/>
      <c r="H128" s="293"/>
      <c r="I128" s="293"/>
      <c r="J128" s="293"/>
      <c r="K128" s="239"/>
      <c r="L128" s="239"/>
      <c r="M128" s="239"/>
      <c r="N128" s="239"/>
      <c r="O128" s="239"/>
      <c r="P128" s="221"/>
      <c r="Q128" s="221"/>
      <c r="R128" s="221"/>
      <c r="S128" s="221"/>
      <c r="T128" s="221"/>
      <c r="U128" s="221"/>
      <c r="V128" s="221"/>
      <c r="W128" s="221"/>
      <c r="X128" s="221"/>
      <c r="Y128" s="221"/>
      <c r="Z128" s="221"/>
      <c r="AA128" s="221"/>
      <c r="AB128" s="221"/>
      <c r="AC128" s="221"/>
      <c r="AD128" s="221"/>
      <c r="AE128" s="221"/>
      <c r="AF128" s="221"/>
      <c r="AG128" s="221"/>
      <c r="AH128" s="221"/>
      <c r="AI128" s="221"/>
      <c r="AJ128" s="221"/>
      <c r="AK128" s="221"/>
      <c r="AL128" s="221"/>
      <c r="AM128" s="221"/>
      <c r="AN128" s="221"/>
      <c r="AO128" s="221"/>
      <c r="AP128" s="221"/>
      <c r="AQ128" s="221"/>
    </row>
    <row r="129" spans="1:43" s="207" customFormat="1" x14ac:dyDescent="0.3">
      <c r="A129" s="82" t="s">
        <v>1666</v>
      </c>
      <c r="B129" s="82" t="s">
        <v>354</v>
      </c>
      <c r="C129" s="160"/>
      <c r="D129" s="160"/>
      <c r="E129" s="57" t="s">
        <v>355</v>
      </c>
      <c r="F129" s="57"/>
      <c r="G129" s="57"/>
      <c r="H129" s="57"/>
      <c r="I129" s="57"/>
      <c r="J129" s="39"/>
      <c r="K129" s="31">
        <v>0</v>
      </c>
      <c r="L129" s="234">
        <f t="shared" si="4"/>
        <v>0</v>
      </c>
      <c r="M129" s="234">
        <f t="shared" si="5"/>
        <v>0</v>
      </c>
      <c r="N129" s="234">
        <f t="shared" si="6"/>
        <v>0</v>
      </c>
      <c r="O129" s="234">
        <f t="shared" si="7"/>
        <v>0</v>
      </c>
      <c r="P129" s="329"/>
      <c r="Q129" s="329"/>
      <c r="R129" s="329"/>
      <c r="S129" s="329"/>
      <c r="T129" s="329"/>
      <c r="U129" s="329"/>
      <c r="V129" s="329"/>
      <c r="W129" s="329"/>
      <c r="X129" s="329"/>
      <c r="Y129" s="329"/>
      <c r="Z129" s="329"/>
      <c r="AA129" s="329"/>
      <c r="AB129" s="329"/>
      <c r="AC129" s="329"/>
      <c r="AD129" s="329"/>
      <c r="AE129" s="329"/>
      <c r="AF129" s="329"/>
      <c r="AG129" s="329"/>
      <c r="AH129" s="329"/>
      <c r="AI129" s="329"/>
      <c r="AJ129" s="329"/>
      <c r="AK129" s="329"/>
      <c r="AL129" s="329"/>
      <c r="AM129" s="329"/>
      <c r="AN129" s="329"/>
      <c r="AO129" s="329"/>
      <c r="AP129" s="329"/>
      <c r="AQ129" s="329"/>
    </row>
    <row r="130" spans="1:43" s="330" customFormat="1" x14ac:dyDescent="0.3">
      <c r="A130" s="82" t="s">
        <v>1667</v>
      </c>
      <c r="B130" s="82" t="s">
        <v>356</v>
      </c>
      <c r="C130" s="160"/>
      <c r="D130" s="160"/>
      <c r="E130" s="57" t="s">
        <v>357</v>
      </c>
      <c r="F130" s="57"/>
      <c r="G130" s="57"/>
      <c r="H130" s="57"/>
      <c r="I130" s="57"/>
      <c r="J130" s="39"/>
      <c r="K130" s="31">
        <v>0</v>
      </c>
      <c r="L130" s="234">
        <f t="shared" si="4"/>
        <v>0</v>
      </c>
      <c r="M130" s="234">
        <f t="shared" si="5"/>
        <v>0</v>
      </c>
      <c r="N130" s="234">
        <f t="shared" si="6"/>
        <v>0</v>
      </c>
      <c r="O130" s="234">
        <f t="shared" si="7"/>
        <v>0</v>
      </c>
      <c r="P130" s="221"/>
      <c r="Q130" s="221"/>
      <c r="R130" s="221"/>
      <c r="S130" s="221"/>
      <c r="T130" s="221"/>
      <c r="U130" s="221"/>
      <c r="V130" s="221"/>
      <c r="W130" s="221"/>
      <c r="X130" s="221"/>
      <c r="Y130" s="221"/>
      <c r="Z130" s="221"/>
      <c r="AA130" s="221"/>
      <c r="AB130" s="221"/>
      <c r="AC130" s="221"/>
      <c r="AD130" s="221"/>
      <c r="AE130" s="221"/>
      <c r="AF130" s="221"/>
      <c r="AG130" s="221"/>
      <c r="AH130" s="221"/>
      <c r="AI130" s="221"/>
      <c r="AJ130" s="221"/>
      <c r="AK130" s="221"/>
      <c r="AL130" s="221"/>
      <c r="AM130" s="221"/>
      <c r="AN130" s="221"/>
      <c r="AO130" s="221"/>
      <c r="AP130" s="221"/>
      <c r="AQ130" s="221"/>
    </row>
    <row r="131" spans="1:43" s="207" customFormat="1" x14ac:dyDescent="0.3">
      <c r="A131" s="82" t="s">
        <v>1668</v>
      </c>
      <c r="B131" s="82" t="s">
        <v>358</v>
      </c>
      <c r="C131" s="160"/>
      <c r="D131" s="160"/>
      <c r="E131" s="57" t="s">
        <v>359</v>
      </c>
      <c r="F131" s="57"/>
      <c r="G131" s="57"/>
      <c r="H131" s="57"/>
      <c r="I131" s="57"/>
      <c r="J131" s="39"/>
      <c r="K131" s="31">
        <v>0</v>
      </c>
      <c r="L131" s="234">
        <f t="shared" si="4"/>
        <v>0</v>
      </c>
      <c r="M131" s="234">
        <f t="shared" si="5"/>
        <v>0</v>
      </c>
      <c r="N131" s="234">
        <f t="shared" si="6"/>
        <v>0</v>
      </c>
      <c r="O131" s="234">
        <f t="shared" si="7"/>
        <v>0</v>
      </c>
      <c r="P131" s="329"/>
      <c r="Q131" s="329"/>
      <c r="R131" s="329"/>
      <c r="S131" s="329"/>
      <c r="T131" s="329"/>
      <c r="U131" s="329"/>
      <c r="V131" s="329"/>
      <c r="W131" s="329"/>
      <c r="X131" s="329"/>
      <c r="Y131" s="329"/>
      <c r="Z131" s="329"/>
      <c r="AA131" s="329"/>
      <c r="AB131" s="329"/>
      <c r="AC131" s="329"/>
      <c r="AD131" s="329"/>
      <c r="AE131" s="329"/>
      <c r="AF131" s="329"/>
      <c r="AG131" s="329"/>
      <c r="AH131" s="329"/>
      <c r="AI131" s="329"/>
      <c r="AJ131" s="329"/>
      <c r="AK131" s="329"/>
      <c r="AL131" s="329"/>
      <c r="AM131" s="329"/>
      <c r="AN131" s="329"/>
      <c r="AO131" s="329"/>
      <c r="AP131" s="329"/>
      <c r="AQ131" s="329"/>
    </row>
    <row r="132" spans="1:43" s="330" customFormat="1" x14ac:dyDescent="0.3">
      <c r="A132" s="82" t="s">
        <v>1669</v>
      </c>
      <c r="B132" s="82" t="s">
        <v>360</v>
      </c>
      <c r="C132" s="160"/>
      <c r="D132" s="160"/>
      <c r="E132" s="57" t="s">
        <v>361</v>
      </c>
      <c r="F132" s="57"/>
      <c r="G132" s="57"/>
      <c r="H132" s="57"/>
      <c r="I132" s="57"/>
      <c r="J132" s="39"/>
      <c r="K132" s="31">
        <v>25</v>
      </c>
      <c r="L132" s="234">
        <f t="shared" si="4"/>
        <v>4.9575000000000005</v>
      </c>
      <c r="M132" s="234">
        <f t="shared" si="5"/>
        <v>2.7475000000000001</v>
      </c>
      <c r="N132" s="234">
        <f t="shared" si="6"/>
        <v>5.1074999999999999</v>
      </c>
      <c r="O132" s="234">
        <f t="shared" si="7"/>
        <v>2.8975</v>
      </c>
      <c r="P132" s="221"/>
      <c r="Q132" s="221"/>
      <c r="R132" s="221"/>
      <c r="S132" s="221"/>
      <c r="T132" s="221"/>
      <c r="U132" s="221"/>
      <c r="V132" s="221"/>
      <c r="W132" s="221"/>
      <c r="X132" s="221"/>
      <c r="Y132" s="221"/>
      <c r="Z132" s="221"/>
      <c r="AA132" s="221"/>
      <c r="AB132" s="221"/>
      <c r="AC132" s="221"/>
      <c r="AD132" s="221"/>
      <c r="AE132" s="221"/>
      <c r="AF132" s="221"/>
      <c r="AG132" s="221"/>
      <c r="AH132" s="221"/>
      <c r="AI132" s="221"/>
      <c r="AJ132" s="221"/>
      <c r="AK132" s="221"/>
      <c r="AL132" s="221"/>
      <c r="AM132" s="221"/>
      <c r="AN132" s="221"/>
      <c r="AO132" s="221"/>
      <c r="AP132" s="221"/>
      <c r="AQ132" s="221"/>
    </row>
    <row r="133" spans="1:43" s="207" customFormat="1" x14ac:dyDescent="0.3">
      <c r="A133" s="82" t="s">
        <v>1670</v>
      </c>
      <c r="B133" s="82" t="s">
        <v>1554</v>
      </c>
      <c r="C133" s="160"/>
      <c r="D133" s="160"/>
      <c r="E133" s="57" t="s">
        <v>362</v>
      </c>
      <c r="F133" s="57"/>
      <c r="G133" s="57"/>
      <c r="H133" s="57"/>
      <c r="I133" s="57"/>
      <c r="J133" s="39"/>
      <c r="K133" s="31">
        <v>25</v>
      </c>
      <c r="L133" s="234">
        <f t="shared" si="4"/>
        <v>4.9575000000000005</v>
      </c>
      <c r="M133" s="234">
        <f t="shared" si="5"/>
        <v>2.7475000000000001</v>
      </c>
      <c r="N133" s="234">
        <f t="shared" si="6"/>
        <v>5.1074999999999999</v>
      </c>
      <c r="O133" s="234">
        <f t="shared" si="7"/>
        <v>2.8975</v>
      </c>
      <c r="P133" s="329"/>
      <c r="Q133" s="329"/>
      <c r="R133" s="329"/>
      <c r="S133" s="329"/>
      <c r="T133" s="329"/>
      <c r="U133" s="329"/>
      <c r="V133" s="329"/>
      <c r="W133" s="329"/>
      <c r="X133" s="329"/>
      <c r="Y133" s="329"/>
      <c r="Z133" s="329"/>
      <c r="AA133" s="329"/>
      <c r="AB133" s="329"/>
      <c r="AC133" s="329"/>
      <c r="AD133" s="329"/>
      <c r="AE133" s="329"/>
      <c r="AF133" s="329"/>
      <c r="AG133" s="329"/>
      <c r="AH133" s="329"/>
      <c r="AI133" s="329"/>
      <c r="AJ133" s="329"/>
      <c r="AK133" s="329"/>
      <c r="AL133" s="329"/>
      <c r="AM133" s="329"/>
      <c r="AN133" s="329"/>
      <c r="AO133" s="329"/>
      <c r="AP133" s="329"/>
      <c r="AQ133" s="329"/>
    </row>
    <row r="134" spans="1:43" s="330" customFormat="1" x14ac:dyDescent="0.3">
      <c r="A134" s="82" t="s">
        <v>1671</v>
      </c>
      <c r="B134" s="82" t="s">
        <v>363</v>
      </c>
      <c r="C134" s="160"/>
      <c r="D134" s="160"/>
      <c r="E134" s="57" t="s">
        <v>364</v>
      </c>
      <c r="F134" s="57"/>
      <c r="G134" s="57"/>
      <c r="H134" s="57"/>
      <c r="I134" s="57"/>
      <c r="J134" s="39"/>
      <c r="K134" s="31">
        <v>46</v>
      </c>
      <c r="L134" s="234">
        <f t="shared" si="4"/>
        <v>9.1218000000000004</v>
      </c>
      <c r="M134" s="234">
        <f t="shared" si="5"/>
        <v>5.0553999999999997</v>
      </c>
      <c r="N134" s="234">
        <f t="shared" si="6"/>
        <v>9.3978000000000002</v>
      </c>
      <c r="O134" s="234">
        <f t="shared" si="7"/>
        <v>5.3314000000000004</v>
      </c>
      <c r="P134" s="221"/>
      <c r="Q134" s="221"/>
      <c r="R134" s="221"/>
      <c r="S134" s="221"/>
      <c r="T134" s="221"/>
      <c r="U134" s="221"/>
      <c r="V134" s="221"/>
      <c r="W134" s="221"/>
      <c r="X134" s="221"/>
      <c r="Y134" s="221"/>
      <c r="Z134" s="221"/>
      <c r="AA134" s="221"/>
      <c r="AB134" s="221"/>
      <c r="AC134" s="221"/>
      <c r="AD134" s="221"/>
      <c r="AE134" s="221"/>
      <c r="AF134" s="221"/>
      <c r="AG134" s="221"/>
      <c r="AH134" s="221"/>
      <c r="AI134" s="221"/>
      <c r="AJ134" s="221"/>
      <c r="AK134" s="221"/>
      <c r="AL134" s="221"/>
      <c r="AM134" s="221"/>
      <c r="AN134" s="221"/>
      <c r="AO134" s="221"/>
      <c r="AP134" s="221"/>
      <c r="AQ134" s="221"/>
    </row>
    <row r="135" spans="1:43" x14ac:dyDescent="0.3">
      <c r="A135" s="82" t="s">
        <v>1672</v>
      </c>
      <c r="B135" s="82" t="s">
        <v>365</v>
      </c>
      <c r="C135" s="160"/>
      <c r="D135" s="160"/>
      <c r="E135" s="57" t="s">
        <v>1606</v>
      </c>
      <c r="F135" s="57"/>
      <c r="G135" s="57"/>
      <c r="H135" s="57"/>
      <c r="I135" s="57"/>
      <c r="J135" s="39"/>
      <c r="K135" s="31">
        <v>46</v>
      </c>
      <c r="L135" s="234">
        <f t="shared" si="4"/>
        <v>9.1218000000000004</v>
      </c>
      <c r="M135" s="234">
        <f t="shared" si="5"/>
        <v>5.0553999999999997</v>
      </c>
      <c r="N135" s="234">
        <f t="shared" si="6"/>
        <v>9.3978000000000002</v>
      </c>
      <c r="O135" s="234">
        <f t="shared" si="7"/>
        <v>5.3314000000000004</v>
      </c>
    </row>
    <row r="136" spans="1:43" s="207" customFormat="1" x14ac:dyDescent="0.3">
      <c r="A136" s="82" t="s">
        <v>1673</v>
      </c>
      <c r="B136" s="82" t="s">
        <v>366</v>
      </c>
      <c r="C136" s="160"/>
      <c r="D136" s="160"/>
      <c r="E136" s="57" t="s">
        <v>367</v>
      </c>
      <c r="F136" s="57"/>
      <c r="G136" s="57"/>
      <c r="H136" s="57"/>
      <c r="I136" s="57"/>
      <c r="J136" s="39"/>
      <c r="K136" s="31">
        <v>46</v>
      </c>
      <c r="L136" s="234">
        <f t="shared" si="4"/>
        <v>9.1218000000000004</v>
      </c>
      <c r="M136" s="234">
        <f t="shared" si="5"/>
        <v>5.0553999999999997</v>
      </c>
      <c r="N136" s="234">
        <f t="shared" si="6"/>
        <v>9.3978000000000002</v>
      </c>
      <c r="O136" s="234">
        <f t="shared" si="7"/>
        <v>5.3314000000000004</v>
      </c>
      <c r="P136" s="329"/>
      <c r="Q136" s="329"/>
      <c r="R136" s="329"/>
      <c r="S136" s="329"/>
      <c r="T136" s="329"/>
      <c r="U136" s="329"/>
      <c r="V136" s="329"/>
      <c r="W136" s="329"/>
      <c r="X136" s="329"/>
      <c r="Y136" s="329"/>
      <c r="Z136" s="329"/>
      <c r="AA136" s="329"/>
      <c r="AB136" s="329"/>
      <c r="AC136" s="329"/>
      <c r="AD136" s="329"/>
      <c r="AE136" s="329"/>
      <c r="AF136" s="329"/>
      <c r="AG136" s="329"/>
      <c r="AH136" s="329"/>
      <c r="AI136" s="329"/>
      <c r="AJ136" s="329"/>
      <c r="AK136" s="329"/>
      <c r="AL136" s="329"/>
      <c r="AM136" s="329"/>
      <c r="AN136" s="329"/>
      <c r="AO136" s="329"/>
      <c r="AP136" s="329"/>
      <c r="AQ136" s="329"/>
    </row>
    <row r="137" spans="1:43" x14ac:dyDescent="0.3">
      <c r="A137" s="82" t="s">
        <v>1674</v>
      </c>
      <c r="B137" s="82" t="s">
        <v>368</v>
      </c>
      <c r="C137" s="160"/>
      <c r="D137" s="160"/>
      <c r="E137" s="57" t="s">
        <v>369</v>
      </c>
      <c r="F137" s="57"/>
      <c r="G137" s="57"/>
      <c r="H137" s="57"/>
      <c r="I137" s="57"/>
      <c r="J137" s="39"/>
      <c r="K137" s="31">
        <v>57</v>
      </c>
      <c r="L137" s="234">
        <f t="shared" si="4"/>
        <v>11.303100000000001</v>
      </c>
      <c r="M137" s="234">
        <f t="shared" si="5"/>
        <v>6.2642999999999995</v>
      </c>
      <c r="N137" s="234">
        <f t="shared" si="6"/>
        <v>11.645100000000001</v>
      </c>
      <c r="O137" s="234">
        <f t="shared" si="7"/>
        <v>6.6063000000000001</v>
      </c>
    </row>
    <row r="138" spans="1:43" s="207" customFormat="1" x14ac:dyDescent="0.3">
      <c r="A138" s="82" t="s">
        <v>1675</v>
      </c>
      <c r="B138" s="82" t="s">
        <v>370</v>
      </c>
      <c r="C138" s="160"/>
      <c r="D138" s="160"/>
      <c r="E138" s="57" t="s">
        <v>371</v>
      </c>
      <c r="F138" s="57"/>
      <c r="G138" s="57"/>
      <c r="H138" s="57"/>
      <c r="I138" s="57"/>
      <c r="J138" s="39"/>
      <c r="K138" s="31">
        <v>57</v>
      </c>
      <c r="L138" s="234">
        <f t="shared" si="4"/>
        <v>11.303100000000001</v>
      </c>
      <c r="M138" s="234">
        <f t="shared" si="5"/>
        <v>6.2642999999999995</v>
      </c>
      <c r="N138" s="234">
        <f t="shared" si="6"/>
        <v>11.645100000000001</v>
      </c>
      <c r="O138" s="234">
        <f t="shared" si="7"/>
        <v>6.6063000000000001</v>
      </c>
      <c r="P138" s="329"/>
      <c r="Q138" s="329"/>
      <c r="R138" s="329"/>
      <c r="S138" s="329"/>
      <c r="T138" s="329"/>
      <c r="U138" s="329"/>
      <c r="V138" s="329"/>
      <c r="W138" s="329"/>
      <c r="X138" s="329"/>
      <c r="Y138" s="329"/>
      <c r="Z138" s="329"/>
      <c r="AA138" s="329"/>
      <c r="AB138" s="329"/>
      <c r="AC138" s="329"/>
      <c r="AD138" s="329"/>
      <c r="AE138" s="329"/>
      <c r="AF138" s="329"/>
      <c r="AG138" s="329"/>
      <c r="AH138" s="329"/>
      <c r="AI138" s="329"/>
      <c r="AJ138" s="329"/>
      <c r="AK138" s="329"/>
      <c r="AL138" s="329"/>
      <c r="AM138" s="329"/>
      <c r="AN138" s="329"/>
      <c r="AO138" s="329"/>
      <c r="AP138" s="329"/>
      <c r="AQ138" s="329"/>
    </row>
    <row r="139" spans="1:43" x14ac:dyDescent="0.3">
      <c r="A139" s="128"/>
      <c r="B139" s="187"/>
      <c r="C139" s="275"/>
      <c r="D139" s="275"/>
      <c r="E139" s="263"/>
      <c r="F139" s="263"/>
      <c r="G139" s="263"/>
      <c r="H139" s="263"/>
      <c r="I139" s="263"/>
      <c r="J139" s="263"/>
      <c r="K139" s="37"/>
      <c r="L139" s="234"/>
      <c r="M139" s="234"/>
      <c r="N139" s="234"/>
      <c r="O139" s="234"/>
    </row>
    <row r="140" spans="1:43" x14ac:dyDescent="0.3">
      <c r="A140" s="112" t="s">
        <v>178</v>
      </c>
      <c r="B140" s="112"/>
      <c r="C140" s="112"/>
      <c r="D140" s="112"/>
      <c r="E140" s="293"/>
      <c r="F140" s="293"/>
      <c r="G140" s="293"/>
      <c r="H140" s="293"/>
      <c r="I140" s="293"/>
      <c r="J140" s="293"/>
      <c r="K140" s="239"/>
      <c r="L140" s="239"/>
      <c r="M140" s="239"/>
      <c r="N140" s="239"/>
      <c r="O140" s="239"/>
    </row>
    <row r="141" spans="1:43" x14ac:dyDescent="0.3">
      <c r="A141" s="269" t="s">
        <v>1676</v>
      </c>
      <c r="B141" s="269" t="s">
        <v>1573</v>
      </c>
      <c r="C141" s="49"/>
      <c r="D141" s="49"/>
      <c r="E141" s="281"/>
      <c r="F141" s="281" t="s">
        <v>372</v>
      </c>
      <c r="G141" s="281" t="s">
        <v>373</v>
      </c>
      <c r="H141" s="281"/>
      <c r="I141" s="281"/>
      <c r="J141" s="244"/>
      <c r="K141" s="37">
        <v>11</v>
      </c>
      <c r="L141" s="234">
        <f t="shared" ref="L141:L204" si="8">K141*$L$9</f>
        <v>2.1813000000000002</v>
      </c>
      <c r="M141" s="234">
        <f t="shared" ref="M141:M204" si="9">K141*$M$9</f>
        <v>1.2088999999999999</v>
      </c>
      <c r="N141" s="234">
        <f t="shared" ref="N141:N204" si="10">K141*$N$9</f>
        <v>2.2473000000000001</v>
      </c>
      <c r="O141" s="234">
        <f t="shared" ref="O141:O204" si="11">K141*$O$9</f>
        <v>1.2749000000000001</v>
      </c>
    </row>
    <row r="142" spans="1:43" s="207" customFormat="1" x14ac:dyDescent="0.3">
      <c r="A142" s="82" t="s">
        <v>1677</v>
      </c>
      <c r="B142" s="82" t="s">
        <v>374</v>
      </c>
      <c r="C142" s="182"/>
      <c r="D142" s="182"/>
      <c r="E142" s="120"/>
      <c r="F142" s="57" t="s">
        <v>375</v>
      </c>
      <c r="G142" s="57" t="s">
        <v>376</v>
      </c>
      <c r="H142" s="120"/>
      <c r="I142" s="120"/>
      <c r="J142" s="120"/>
      <c r="K142" s="31">
        <v>0</v>
      </c>
      <c r="L142" s="234">
        <f t="shared" si="8"/>
        <v>0</v>
      </c>
      <c r="M142" s="234">
        <f t="shared" si="9"/>
        <v>0</v>
      </c>
      <c r="N142" s="234">
        <f t="shared" si="10"/>
        <v>0</v>
      </c>
      <c r="O142" s="234">
        <f t="shared" si="11"/>
        <v>0</v>
      </c>
      <c r="P142" s="329"/>
      <c r="Q142" s="329"/>
      <c r="R142" s="329"/>
      <c r="S142" s="329"/>
      <c r="T142" s="329"/>
      <c r="U142" s="329"/>
      <c r="V142" s="329"/>
      <c r="W142" s="329"/>
      <c r="X142" s="329"/>
      <c r="Y142" s="329"/>
      <c r="Z142" s="329"/>
      <c r="AA142" s="329"/>
      <c r="AB142" s="329"/>
      <c r="AC142" s="329"/>
      <c r="AD142" s="329"/>
      <c r="AE142" s="329"/>
      <c r="AF142" s="329"/>
      <c r="AG142" s="329"/>
      <c r="AH142" s="329"/>
      <c r="AI142" s="329"/>
      <c r="AJ142" s="329"/>
      <c r="AK142" s="329"/>
      <c r="AL142" s="329"/>
      <c r="AM142" s="329"/>
      <c r="AN142" s="329"/>
      <c r="AO142" s="329"/>
      <c r="AP142" s="329"/>
      <c r="AQ142" s="329"/>
    </row>
    <row r="143" spans="1:43" x14ac:dyDescent="0.3">
      <c r="A143" s="82" t="s">
        <v>1678</v>
      </c>
      <c r="B143" s="82" t="s">
        <v>1574</v>
      </c>
      <c r="C143" s="160"/>
      <c r="D143" s="160"/>
      <c r="E143" s="57"/>
      <c r="F143" s="57" t="s">
        <v>377</v>
      </c>
      <c r="G143" s="57" t="s">
        <v>378</v>
      </c>
      <c r="H143" s="57"/>
      <c r="I143" s="57"/>
      <c r="J143" s="39"/>
      <c r="K143" s="31">
        <v>13</v>
      </c>
      <c r="L143" s="234">
        <f t="shared" si="8"/>
        <v>2.5779000000000001</v>
      </c>
      <c r="M143" s="234">
        <f t="shared" si="9"/>
        <v>1.4287000000000001</v>
      </c>
      <c r="N143" s="234">
        <f t="shared" si="10"/>
        <v>2.6558999999999999</v>
      </c>
      <c r="O143" s="234">
        <f t="shared" si="11"/>
        <v>1.5066999999999999</v>
      </c>
    </row>
    <row r="144" spans="1:43" x14ac:dyDescent="0.3">
      <c r="A144" s="82" t="s">
        <v>1679</v>
      </c>
      <c r="B144" s="82" t="s">
        <v>1558</v>
      </c>
      <c r="C144" s="160"/>
      <c r="D144" s="160"/>
      <c r="E144" s="57"/>
      <c r="F144" s="57" t="s">
        <v>379</v>
      </c>
      <c r="G144" s="57" t="s">
        <v>380</v>
      </c>
      <c r="H144" s="57"/>
      <c r="I144" s="57"/>
      <c r="J144" s="39"/>
      <c r="K144" s="31">
        <v>25</v>
      </c>
      <c r="L144" s="234">
        <f t="shared" si="8"/>
        <v>4.9575000000000005</v>
      </c>
      <c r="M144" s="234">
        <f t="shared" si="9"/>
        <v>2.7475000000000001</v>
      </c>
      <c r="N144" s="234">
        <f t="shared" si="10"/>
        <v>5.1074999999999999</v>
      </c>
      <c r="O144" s="234">
        <f t="shared" si="11"/>
        <v>2.8975</v>
      </c>
    </row>
    <row r="145" spans="1:43" x14ac:dyDescent="0.3">
      <c r="A145" s="82" t="s">
        <v>1680</v>
      </c>
      <c r="B145" s="82" t="s">
        <v>1575</v>
      </c>
      <c r="C145" s="160"/>
      <c r="D145" s="160"/>
      <c r="E145" s="57"/>
      <c r="F145" s="57" t="s">
        <v>381</v>
      </c>
      <c r="G145" s="57" t="s">
        <v>382</v>
      </c>
      <c r="H145" s="57"/>
      <c r="I145" s="57"/>
      <c r="J145" s="39"/>
      <c r="K145" s="31">
        <v>41</v>
      </c>
      <c r="L145" s="234">
        <f t="shared" si="8"/>
        <v>8.1303000000000001</v>
      </c>
      <c r="M145" s="234">
        <f t="shared" si="9"/>
        <v>4.5058999999999996</v>
      </c>
      <c r="N145" s="234">
        <f t="shared" si="10"/>
        <v>8.3763000000000005</v>
      </c>
      <c r="O145" s="234">
        <f t="shared" si="11"/>
        <v>4.7519</v>
      </c>
    </row>
    <row r="146" spans="1:43" x14ac:dyDescent="0.3">
      <c r="A146" s="82" t="s">
        <v>1681</v>
      </c>
      <c r="B146" s="82" t="s">
        <v>1576</v>
      </c>
      <c r="C146" s="160"/>
      <c r="D146" s="160"/>
      <c r="E146" s="57"/>
      <c r="F146" s="57" t="s">
        <v>383</v>
      </c>
      <c r="G146" s="57" t="s">
        <v>384</v>
      </c>
      <c r="H146" s="57"/>
      <c r="I146" s="57"/>
      <c r="J146" s="39"/>
      <c r="K146" s="31">
        <v>71</v>
      </c>
      <c r="L146" s="234">
        <f t="shared" si="8"/>
        <v>14.0793</v>
      </c>
      <c r="M146" s="234">
        <f t="shared" si="9"/>
        <v>7.8029000000000002</v>
      </c>
      <c r="N146" s="234">
        <f t="shared" si="10"/>
        <v>14.5053</v>
      </c>
      <c r="O146" s="234">
        <f t="shared" si="11"/>
        <v>8.2288999999999994</v>
      </c>
    </row>
    <row r="147" spans="1:43" s="207" customFormat="1" x14ac:dyDescent="0.3">
      <c r="A147" s="82" t="s">
        <v>1682</v>
      </c>
      <c r="B147" s="82" t="s">
        <v>385</v>
      </c>
      <c r="C147" s="182"/>
      <c r="D147" s="182"/>
      <c r="E147" s="120"/>
      <c r="F147" s="57" t="s">
        <v>386</v>
      </c>
      <c r="G147" s="57" t="s">
        <v>387</v>
      </c>
      <c r="H147" s="120"/>
      <c r="I147" s="120"/>
      <c r="J147" s="120"/>
      <c r="K147" s="31">
        <v>71</v>
      </c>
      <c r="L147" s="234">
        <f t="shared" si="8"/>
        <v>14.0793</v>
      </c>
      <c r="M147" s="234">
        <f t="shared" si="9"/>
        <v>7.8029000000000002</v>
      </c>
      <c r="N147" s="234">
        <f t="shared" si="10"/>
        <v>14.5053</v>
      </c>
      <c r="O147" s="234">
        <f t="shared" si="11"/>
        <v>8.2288999999999994</v>
      </c>
      <c r="P147" s="329"/>
      <c r="Q147" s="329"/>
      <c r="R147" s="329"/>
      <c r="S147" s="329"/>
      <c r="T147" s="329"/>
      <c r="U147" s="329"/>
      <c r="V147" s="329"/>
      <c r="W147" s="329"/>
      <c r="X147" s="329"/>
      <c r="Y147" s="329"/>
      <c r="Z147" s="329"/>
      <c r="AA147" s="329"/>
      <c r="AB147" s="329"/>
      <c r="AC147" s="329"/>
      <c r="AD147" s="329"/>
      <c r="AE147" s="329"/>
      <c r="AF147" s="329"/>
      <c r="AG147" s="329"/>
      <c r="AH147" s="329"/>
      <c r="AI147" s="329"/>
      <c r="AJ147" s="329"/>
      <c r="AK147" s="329"/>
      <c r="AL147" s="329"/>
      <c r="AM147" s="329"/>
      <c r="AN147" s="329"/>
      <c r="AO147" s="329"/>
      <c r="AP147" s="329"/>
      <c r="AQ147" s="329"/>
    </row>
    <row r="148" spans="1:43" x14ac:dyDescent="0.3">
      <c r="A148" s="82" t="s">
        <v>1683</v>
      </c>
      <c r="B148" s="82" t="s">
        <v>1577</v>
      </c>
      <c r="C148" s="160"/>
      <c r="D148" s="160"/>
      <c r="E148" s="57"/>
      <c r="F148" s="57" t="s">
        <v>388</v>
      </c>
      <c r="G148" s="57" t="s">
        <v>389</v>
      </c>
      <c r="H148" s="57"/>
      <c r="I148" s="57"/>
      <c r="J148" s="39"/>
      <c r="K148" s="31">
        <v>82</v>
      </c>
      <c r="L148" s="234">
        <f t="shared" si="8"/>
        <v>16.2606</v>
      </c>
      <c r="M148" s="234">
        <f t="shared" si="9"/>
        <v>9.0117999999999991</v>
      </c>
      <c r="N148" s="234">
        <f t="shared" si="10"/>
        <v>16.752600000000001</v>
      </c>
      <c r="O148" s="234">
        <f t="shared" si="11"/>
        <v>9.5038</v>
      </c>
    </row>
    <row r="149" spans="1:43" s="207" customFormat="1" x14ac:dyDescent="0.3">
      <c r="A149" s="82" t="s">
        <v>1684</v>
      </c>
      <c r="B149" s="82" t="s">
        <v>390</v>
      </c>
      <c r="C149" s="182"/>
      <c r="D149" s="182"/>
      <c r="E149" s="120"/>
      <c r="F149" s="57" t="s">
        <v>391</v>
      </c>
      <c r="G149" s="57" t="s">
        <v>392</v>
      </c>
      <c r="H149" s="120"/>
      <c r="I149" s="120"/>
      <c r="J149" s="120"/>
      <c r="K149" s="31">
        <v>117</v>
      </c>
      <c r="L149" s="234">
        <f t="shared" si="8"/>
        <v>23.2011</v>
      </c>
      <c r="M149" s="234">
        <f t="shared" si="9"/>
        <v>12.8583</v>
      </c>
      <c r="N149" s="234">
        <f t="shared" si="10"/>
        <v>23.903100000000002</v>
      </c>
      <c r="O149" s="234">
        <f t="shared" si="11"/>
        <v>13.5603</v>
      </c>
      <c r="P149" s="329"/>
      <c r="Q149" s="329"/>
      <c r="R149" s="329"/>
      <c r="S149" s="329"/>
      <c r="T149" s="329"/>
      <c r="U149" s="329"/>
      <c r="V149" s="329"/>
      <c r="W149" s="329"/>
      <c r="X149" s="329"/>
      <c r="Y149" s="329"/>
      <c r="Z149" s="329"/>
      <c r="AA149" s="329"/>
      <c r="AB149" s="329"/>
      <c r="AC149" s="329"/>
      <c r="AD149" s="329"/>
      <c r="AE149" s="329"/>
      <c r="AF149" s="329"/>
      <c r="AG149" s="329"/>
      <c r="AH149" s="329"/>
      <c r="AI149" s="329"/>
      <c r="AJ149" s="329"/>
      <c r="AK149" s="329"/>
      <c r="AL149" s="329"/>
      <c r="AM149" s="329"/>
      <c r="AN149" s="329"/>
      <c r="AO149" s="329"/>
      <c r="AP149" s="329"/>
      <c r="AQ149" s="329"/>
    </row>
    <row r="150" spans="1:43" x14ac:dyDescent="0.3">
      <c r="A150" s="269" t="s">
        <v>1685</v>
      </c>
      <c r="B150" s="269" t="s">
        <v>1578</v>
      </c>
      <c r="C150" s="49"/>
      <c r="D150" s="49"/>
      <c r="E150" s="281"/>
      <c r="F150" s="281" t="s">
        <v>393</v>
      </c>
      <c r="G150" s="281" t="s">
        <v>394</v>
      </c>
      <c r="H150" s="281"/>
      <c r="I150" s="281"/>
      <c r="J150" s="244"/>
      <c r="K150" s="37">
        <v>117</v>
      </c>
      <c r="L150" s="234">
        <f t="shared" si="8"/>
        <v>23.2011</v>
      </c>
      <c r="M150" s="234">
        <f t="shared" si="9"/>
        <v>12.8583</v>
      </c>
      <c r="N150" s="234">
        <f t="shared" si="10"/>
        <v>23.903100000000002</v>
      </c>
      <c r="O150" s="234">
        <f t="shared" si="11"/>
        <v>13.5603</v>
      </c>
    </row>
    <row r="151" spans="1:43" x14ac:dyDescent="0.3">
      <c r="A151" s="269"/>
      <c r="B151" s="269"/>
      <c r="C151" s="49"/>
      <c r="D151" s="49"/>
      <c r="E151" s="281"/>
      <c r="F151" s="281"/>
      <c r="G151" s="281"/>
      <c r="H151" s="281"/>
      <c r="I151" s="281"/>
      <c r="J151" s="244"/>
      <c r="K151" s="37"/>
      <c r="L151" s="234"/>
      <c r="M151" s="234"/>
      <c r="N151" s="234"/>
      <c r="O151" s="234"/>
    </row>
    <row r="152" spans="1:43" x14ac:dyDescent="0.3">
      <c r="A152" s="112" t="s">
        <v>395</v>
      </c>
      <c r="B152" s="112"/>
      <c r="C152" s="112"/>
      <c r="D152" s="112"/>
      <c r="E152" s="293"/>
      <c r="F152" s="293"/>
      <c r="G152" s="293"/>
      <c r="H152" s="293"/>
      <c r="I152" s="293"/>
      <c r="J152" s="293"/>
      <c r="K152" s="235"/>
      <c r="L152" s="239"/>
      <c r="M152" s="239"/>
      <c r="N152" s="239"/>
      <c r="O152" s="239"/>
    </row>
    <row r="153" spans="1:43" s="330" customFormat="1" x14ac:dyDescent="0.3">
      <c r="A153" s="269" t="s">
        <v>1686</v>
      </c>
      <c r="B153" s="269" t="s">
        <v>396</v>
      </c>
      <c r="C153" s="49"/>
      <c r="D153" s="49"/>
      <c r="E153" s="281"/>
      <c r="F153" s="281"/>
      <c r="G153" s="281"/>
      <c r="H153" s="281" t="s">
        <v>397</v>
      </c>
      <c r="I153" s="281" t="s">
        <v>398</v>
      </c>
      <c r="J153" s="244"/>
      <c r="K153" s="37">
        <v>12</v>
      </c>
      <c r="L153" s="234">
        <f t="shared" si="8"/>
        <v>2.3795999999999999</v>
      </c>
      <c r="M153" s="234">
        <f t="shared" si="9"/>
        <v>1.3188</v>
      </c>
      <c r="N153" s="234">
        <f t="shared" si="10"/>
        <v>2.4516</v>
      </c>
      <c r="O153" s="234">
        <f t="shared" si="11"/>
        <v>1.3908</v>
      </c>
      <c r="P153" s="221"/>
      <c r="Q153" s="221"/>
      <c r="R153" s="221"/>
      <c r="S153" s="221"/>
      <c r="T153" s="221"/>
      <c r="U153" s="221"/>
      <c r="V153" s="221"/>
      <c r="W153" s="221"/>
      <c r="X153" s="221"/>
      <c r="Y153" s="221"/>
      <c r="Z153" s="221"/>
      <c r="AA153" s="221"/>
      <c r="AB153" s="221"/>
      <c r="AC153" s="221"/>
      <c r="AD153" s="221"/>
      <c r="AE153" s="221"/>
      <c r="AF153" s="221"/>
      <c r="AG153" s="221"/>
      <c r="AH153" s="221"/>
      <c r="AI153" s="221"/>
      <c r="AJ153" s="221"/>
      <c r="AK153" s="221"/>
      <c r="AL153" s="221"/>
      <c r="AM153" s="221"/>
      <c r="AN153" s="221"/>
      <c r="AO153" s="221"/>
      <c r="AP153" s="221"/>
      <c r="AQ153" s="221"/>
    </row>
    <row r="154" spans="1:43" s="225" customFormat="1" x14ac:dyDescent="0.3">
      <c r="A154" s="82" t="s">
        <v>1687</v>
      </c>
      <c r="B154" s="82" t="s">
        <v>399</v>
      </c>
      <c r="C154" s="160"/>
      <c r="D154" s="160"/>
      <c r="E154" s="57"/>
      <c r="F154" s="57"/>
      <c r="G154" s="57"/>
      <c r="H154" s="57" t="s">
        <v>400</v>
      </c>
      <c r="I154" s="57" t="s">
        <v>401</v>
      </c>
      <c r="J154" s="39"/>
      <c r="K154" s="31">
        <v>0</v>
      </c>
      <c r="L154" s="234">
        <f t="shared" si="8"/>
        <v>0</v>
      </c>
      <c r="M154" s="234">
        <f t="shared" si="9"/>
        <v>0</v>
      </c>
      <c r="N154" s="234">
        <f t="shared" si="10"/>
        <v>0</v>
      </c>
      <c r="O154" s="234">
        <f t="shared" si="11"/>
        <v>0</v>
      </c>
      <c r="P154" s="221"/>
      <c r="Q154" s="221"/>
      <c r="R154" s="221"/>
      <c r="S154" s="221"/>
      <c r="T154" s="221"/>
      <c r="U154" s="221"/>
      <c r="V154" s="221"/>
      <c r="W154" s="221"/>
      <c r="X154" s="221"/>
      <c r="Y154" s="221"/>
      <c r="Z154" s="221"/>
      <c r="AA154" s="221"/>
      <c r="AB154" s="221"/>
      <c r="AC154" s="221"/>
      <c r="AD154" s="221"/>
      <c r="AE154" s="221"/>
      <c r="AF154" s="221"/>
      <c r="AG154" s="221"/>
      <c r="AH154" s="221"/>
      <c r="AI154" s="221"/>
      <c r="AJ154" s="221"/>
      <c r="AK154" s="221"/>
      <c r="AL154" s="221"/>
      <c r="AM154" s="221"/>
      <c r="AN154" s="221"/>
      <c r="AO154" s="221"/>
      <c r="AP154" s="221"/>
      <c r="AQ154" s="221"/>
    </row>
    <row r="155" spans="1:43" s="330" customFormat="1" x14ac:dyDescent="0.3">
      <c r="A155" s="82" t="s">
        <v>1686</v>
      </c>
      <c r="B155" s="82" t="s">
        <v>402</v>
      </c>
      <c r="C155" s="160"/>
      <c r="D155" s="160"/>
      <c r="E155" s="57"/>
      <c r="F155" s="57"/>
      <c r="G155" s="57"/>
      <c r="H155" s="57" t="s">
        <v>403</v>
      </c>
      <c r="I155" s="57" t="s">
        <v>404</v>
      </c>
      <c r="J155" s="39"/>
      <c r="K155" s="31">
        <v>11</v>
      </c>
      <c r="L155" s="234">
        <f t="shared" si="8"/>
        <v>2.1813000000000002</v>
      </c>
      <c r="M155" s="234">
        <f t="shared" si="9"/>
        <v>1.2088999999999999</v>
      </c>
      <c r="N155" s="234">
        <f t="shared" si="10"/>
        <v>2.2473000000000001</v>
      </c>
      <c r="O155" s="234">
        <f t="shared" si="11"/>
        <v>1.2749000000000001</v>
      </c>
      <c r="P155" s="221"/>
      <c r="Q155" s="221"/>
      <c r="R155" s="221"/>
      <c r="S155" s="221"/>
      <c r="T155" s="221"/>
      <c r="U155" s="221"/>
      <c r="V155" s="221"/>
      <c r="W155" s="221"/>
      <c r="X155" s="221"/>
      <c r="Y155" s="221"/>
      <c r="Z155" s="221"/>
      <c r="AA155" s="221"/>
      <c r="AB155" s="221"/>
      <c r="AC155" s="221"/>
      <c r="AD155" s="221"/>
      <c r="AE155" s="221"/>
      <c r="AF155" s="221"/>
      <c r="AG155" s="221"/>
      <c r="AH155" s="221"/>
      <c r="AI155" s="221"/>
      <c r="AJ155" s="221"/>
      <c r="AK155" s="221"/>
      <c r="AL155" s="221"/>
      <c r="AM155" s="221"/>
      <c r="AN155" s="221"/>
      <c r="AO155" s="221"/>
      <c r="AP155" s="221"/>
      <c r="AQ155" s="221"/>
    </row>
    <row r="156" spans="1:43" s="330" customFormat="1" x14ac:dyDescent="0.3">
      <c r="A156" s="82" t="s">
        <v>1688</v>
      </c>
      <c r="B156" s="82" t="s">
        <v>405</v>
      </c>
      <c r="C156" s="160"/>
      <c r="D156" s="160"/>
      <c r="E156" s="57"/>
      <c r="F156" s="57"/>
      <c r="G156" s="57"/>
      <c r="H156" s="57" t="s">
        <v>406</v>
      </c>
      <c r="I156" s="57" t="s">
        <v>407</v>
      </c>
      <c r="J156" s="39"/>
      <c r="K156" s="31">
        <v>30</v>
      </c>
      <c r="L156" s="234">
        <f t="shared" si="8"/>
        <v>5.9489999999999998</v>
      </c>
      <c r="M156" s="234">
        <f t="shared" si="9"/>
        <v>3.2969999999999997</v>
      </c>
      <c r="N156" s="234">
        <f t="shared" si="10"/>
        <v>6.1290000000000004</v>
      </c>
      <c r="O156" s="234">
        <f t="shared" si="11"/>
        <v>3.4770000000000003</v>
      </c>
      <c r="P156" s="221"/>
      <c r="Q156" s="221"/>
      <c r="R156" s="221"/>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row>
    <row r="157" spans="1:43" s="225" customFormat="1" x14ac:dyDescent="0.3">
      <c r="A157" s="82" t="s">
        <v>1689</v>
      </c>
      <c r="B157" s="82" t="s">
        <v>408</v>
      </c>
      <c r="C157" s="160"/>
      <c r="D157" s="160"/>
      <c r="E157" s="57"/>
      <c r="F157" s="57"/>
      <c r="G157" s="57"/>
      <c r="H157" s="57" t="s">
        <v>409</v>
      </c>
      <c r="I157" s="57" t="s">
        <v>410</v>
      </c>
      <c r="J157" s="39"/>
      <c r="K157" s="31">
        <v>30</v>
      </c>
      <c r="L157" s="234">
        <f t="shared" si="8"/>
        <v>5.9489999999999998</v>
      </c>
      <c r="M157" s="234">
        <f t="shared" si="9"/>
        <v>3.2969999999999997</v>
      </c>
      <c r="N157" s="234">
        <f t="shared" si="10"/>
        <v>6.1290000000000004</v>
      </c>
      <c r="O157" s="234">
        <f t="shared" si="11"/>
        <v>3.4770000000000003</v>
      </c>
      <c r="P157" s="221"/>
      <c r="Q157" s="221"/>
      <c r="R157" s="221"/>
      <c r="S157" s="221"/>
      <c r="T157" s="221"/>
      <c r="U157" s="221"/>
      <c r="V157" s="221"/>
      <c r="W157" s="221"/>
      <c r="X157" s="221"/>
      <c r="Y157" s="221"/>
      <c r="Z157" s="221"/>
      <c r="AA157" s="221"/>
      <c r="AB157" s="221"/>
      <c r="AC157" s="221"/>
      <c r="AD157" s="221"/>
      <c r="AE157" s="221"/>
      <c r="AF157" s="221"/>
      <c r="AG157" s="221"/>
      <c r="AH157" s="221"/>
      <c r="AI157" s="221"/>
      <c r="AJ157" s="221"/>
      <c r="AK157" s="221"/>
      <c r="AL157" s="221"/>
      <c r="AM157" s="221"/>
      <c r="AN157" s="221"/>
      <c r="AO157" s="221"/>
      <c r="AP157" s="221"/>
      <c r="AQ157" s="221"/>
    </row>
    <row r="158" spans="1:43" s="330" customFormat="1" x14ac:dyDescent="0.3">
      <c r="A158" s="269" t="s">
        <v>1690</v>
      </c>
      <c r="B158" s="269" t="s">
        <v>411</v>
      </c>
      <c r="C158" s="49"/>
      <c r="D158" s="49"/>
      <c r="E158" s="281"/>
      <c r="F158" s="281"/>
      <c r="G158" s="281"/>
      <c r="H158" s="281" t="s">
        <v>412</v>
      </c>
      <c r="I158" s="281" t="s">
        <v>413</v>
      </c>
      <c r="J158" s="244"/>
      <c r="K158" s="37">
        <v>76</v>
      </c>
      <c r="L158" s="234">
        <f t="shared" si="8"/>
        <v>15.0708</v>
      </c>
      <c r="M158" s="234">
        <f t="shared" si="9"/>
        <v>8.3523999999999994</v>
      </c>
      <c r="N158" s="234">
        <f t="shared" si="10"/>
        <v>15.526800000000001</v>
      </c>
      <c r="O158" s="234">
        <f t="shared" si="11"/>
        <v>8.8084000000000007</v>
      </c>
      <c r="P158" s="221"/>
      <c r="Q158" s="221"/>
      <c r="R158" s="221"/>
      <c r="S158" s="221"/>
      <c r="T158" s="221"/>
      <c r="U158" s="221"/>
      <c r="V158" s="221"/>
      <c r="W158" s="221"/>
      <c r="X158" s="221"/>
      <c r="Y158" s="221"/>
      <c r="Z158" s="221"/>
      <c r="AA158" s="221"/>
      <c r="AB158" s="221"/>
      <c r="AC158" s="221"/>
      <c r="AD158" s="221"/>
      <c r="AE158" s="221"/>
      <c r="AF158" s="221"/>
      <c r="AG158" s="221"/>
      <c r="AH158" s="221"/>
      <c r="AI158" s="221"/>
      <c r="AJ158" s="221"/>
      <c r="AK158" s="221"/>
      <c r="AL158" s="221"/>
      <c r="AM158" s="221"/>
      <c r="AN158" s="221"/>
      <c r="AO158" s="221"/>
      <c r="AP158" s="221"/>
      <c r="AQ158" s="221"/>
    </row>
    <row r="159" spans="1:43" s="330" customFormat="1" x14ac:dyDescent="0.3">
      <c r="A159" s="269" t="s">
        <v>1691</v>
      </c>
      <c r="B159" s="269" t="s">
        <v>414</v>
      </c>
      <c r="C159" s="49"/>
      <c r="D159" s="49"/>
      <c r="E159" s="281"/>
      <c r="F159" s="281"/>
      <c r="G159" s="281"/>
      <c r="H159" s="281" t="s">
        <v>415</v>
      </c>
      <c r="I159" s="281" t="s">
        <v>416</v>
      </c>
      <c r="J159" s="244"/>
      <c r="K159" s="37">
        <v>87</v>
      </c>
      <c r="L159" s="234">
        <f t="shared" si="8"/>
        <v>17.252099999999999</v>
      </c>
      <c r="M159" s="234">
        <f t="shared" si="9"/>
        <v>9.5612999999999992</v>
      </c>
      <c r="N159" s="234">
        <f t="shared" si="10"/>
        <v>17.774100000000001</v>
      </c>
      <c r="O159" s="234">
        <f t="shared" si="11"/>
        <v>10.083299999999999</v>
      </c>
      <c r="P159" s="221"/>
      <c r="Q159" s="221"/>
      <c r="R159" s="221"/>
      <c r="S159" s="221"/>
      <c r="T159" s="221"/>
      <c r="U159" s="221"/>
      <c r="V159" s="221"/>
      <c r="W159" s="221"/>
      <c r="X159" s="221"/>
      <c r="Y159" s="221"/>
      <c r="Z159" s="221"/>
      <c r="AA159" s="221"/>
      <c r="AB159" s="221"/>
      <c r="AC159" s="221"/>
      <c r="AD159" s="221"/>
      <c r="AE159" s="221"/>
      <c r="AF159" s="221"/>
      <c r="AG159" s="221"/>
      <c r="AH159" s="221"/>
      <c r="AI159" s="221"/>
      <c r="AJ159" s="221"/>
      <c r="AK159" s="221"/>
      <c r="AL159" s="221"/>
      <c r="AM159" s="221"/>
      <c r="AN159" s="221"/>
      <c r="AO159" s="221"/>
      <c r="AP159" s="221"/>
      <c r="AQ159" s="221"/>
    </row>
    <row r="160" spans="1:43" s="225" customFormat="1" x14ac:dyDescent="0.3">
      <c r="A160" s="82" t="s">
        <v>1692</v>
      </c>
      <c r="B160" s="82" t="s">
        <v>417</v>
      </c>
      <c r="C160" s="160"/>
      <c r="D160" s="160"/>
      <c r="E160" s="57"/>
      <c r="F160" s="57"/>
      <c r="G160" s="57"/>
      <c r="H160" s="57" t="s">
        <v>418</v>
      </c>
      <c r="I160" s="57" t="s">
        <v>419</v>
      </c>
      <c r="J160" s="39"/>
      <c r="K160" s="31">
        <v>151</v>
      </c>
      <c r="L160" s="234">
        <f t="shared" si="8"/>
        <v>29.943300000000001</v>
      </c>
      <c r="M160" s="234">
        <f t="shared" si="9"/>
        <v>16.594899999999999</v>
      </c>
      <c r="N160" s="234">
        <f t="shared" si="10"/>
        <v>30.849300000000003</v>
      </c>
      <c r="O160" s="234">
        <f t="shared" si="11"/>
        <v>17.500900000000001</v>
      </c>
      <c r="P160" s="221"/>
      <c r="Q160" s="221"/>
      <c r="R160" s="221"/>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row>
    <row r="161" spans="1:43" s="225" customFormat="1" x14ac:dyDescent="0.3">
      <c r="A161" s="82" t="s">
        <v>1693</v>
      </c>
      <c r="B161" s="82" t="s">
        <v>420</v>
      </c>
      <c r="C161" s="160"/>
      <c r="D161" s="160"/>
      <c r="E161" s="57"/>
      <c r="F161" s="57"/>
      <c r="G161" s="57"/>
      <c r="H161" s="57" t="s">
        <v>421</v>
      </c>
      <c r="I161" s="57" t="s">
        <v>422</v>
      </c>
      <c r="J161" s="39"/>
      <c r="K161" s="31">
        <v>151</v>
      </c>
      <c r="L161" s="234">
        <f t="shared" si="8"/>
        <v>29.943300000000001</v>
      </c>
      <c r="M161" s="234">
        <f t="shared" si="9"/>
        <v>16.594899999999999</v>
      </c>
      <c r="N161" s="234">
        <f t="shared" si="10"/>
        <v>30.849300000000003</v>
      </c>
      <c r="O161" s="234">
        <f t="shared" si="11"/>
        <v>17.500900000000001</v>
      </c>
      <c r="P161" s="221"/>
      <c r="Q161" s="221"/>
      <c r="R161" s="221"/>
      <c r="S161" s="221"/>
      <c r="T161" s="221"/>
      <c r="U161" s="221"/>
      <c r="V161" s="221"/>
      <c r="W161" s="221"/>
      <c r="X161" s="221"/>
      <c r="Y161" s="221"/>
      <c r="Z161" s="221"/>
      <c r="AA161" s="221"/>
      <c r="AB161" s="221"/>
      <c r="AC161" s="221"/>
      <c r="AD161" s="221"/>
      <c r="AE161" s="221"/>
      <c r="AF161" s="221"/>
      <c r="AG161" s="221"/>
      <c r="AH161" s="221"/>
      <c r="AI161" s="221"/>
      <c r="AJ161" s="221"/>
      <c r="AK161" s="221"/>
      <c r="AL161" s="221"/>
      <c r="AM161" s="221"/>
      <c r="AN161" s="221"/>
      <c r="AO161" s="221"/>
      <c r="AP161" s="221"/>
      <c r="AQ161" s="221"/>
    </row>
    <row r="162" spans="1:43" s="330" customFormat="1" x14ac:dyDescent="0.3">
      <c r="A162" s="128"/>
      <c r="B162" s="187"/>
      <c r="C162" s="275"/>
      <c r="D162" s="275"/>
      <c r="E162" s="263"/>
      <c r="F162" s="263"/>
      <c r="G162" s="263"/>
      <c r="H162" s="263"/>
      <c r="I162" s="263"/>
      <c r="J162" s="263"/>
      <c r="K162" s="37"/>
      <c r="L162" s="234"/>
      <c r="M162" s="234"/>
      <c r="N162" s="234"/>
      <c r="O162" s="234"/>
      <c r="P162" s="221"/>
      <c r="Q162" s="221"/>
      <c r="R162" s="221"/>
      <c r="S162" s="221"/>
      <c r="T162" s="221"/>
      <c r="U162" s="221"/>
      <c r="V162" s="221"/>
      <c r="W162" s="221"/>
      <c r="X162" s="221"/>
      <c r="Y162" s="221"/>
      <c r="Z162" s="221"/>
      <c r="AA162" s="221"/>
      <c r="AB162" s="221"/>
      <c r="AC162" s="221"/>
      <c r="AD162" s="221"/>
      <c r="AE162" s="221"/>
      <c r="AF162" s="221"/>
      <c r="AG162" s="221"/>
      <c r="AH162" s="221"/>
      <c r="AI162" s="221"/>
      <c r="AJ162" s="221"/>
      <c r="AK162" s="221"/>
      <c r="AL162" s="221"/>
      <c r="AM162" s="221"/>
      <c r="AN162" s="221"/>
      <c r="AO162" s="221"/>
      <c r="AP162" s="221"/>
      <c r="AQ162" s="221"/>
    </row>
    <row r="163" spans="1:43" s="330" customFormat="1" x14ac:dyDescent="0.3">
      <c r="A163" s="112" t="s">
        <v>204</v>
      </c>
      <c r="B163" s="112"/>
      <c r="C163" s="112"/>
      <c r="D163" s="112"/>
      <c r="E163" s="293"/>
      <c r="F163" s="293"/>
      <c r="G163" s="293"/>
      <c r="H163" s="293"/>
      <c r="I163" s="293"/>
      <c r="J163" s="293"/>
      <c r="K163" s="239"/>
      <c r="L163" s="239"/>
      <c r="M163" s="239"/>
      <c r="N163" s="239"/>
      <c r="O163" s="239"/>
      <c r="P163" s="221"/>
      <c r="Q163" s="221"/>
      <c r="R163" s="221"/>
      <c r="S163" s="221"/>
      <c r="T163" s="221"/>
      <c r="U163" s="221"/>
      <c r="V163" s="221"/>
      <c r="W163" s="221"/>
      <c r="X163" s="221"/>
      <c r="Y163" s="221"/>
      <c r="Z163" s="221"/>
      <c r="AA163" s="221"/>
      <c r="AB163" s="221"/>
      <c r="AC163" s="221"/>
      <c r="AD163" s="221"/>
      <c r="AE163" s="221"/>
      <c r="AF163" s="221"/>
      <c r="AG163" s="221"/>
      <c r="AH163" s="221"/>
      <c r="AI163" s="221"/>
      <c r="AJ163" s="221"/>
      <c r="AK163" s="221"/>
      <c r="AL163" s="221"/>
      <c r="AM163" s="221"/>
      <c r="AN163" s="221"/>
      <c r="AO163" s="221"/>
      <c r="AP163" s="221"/>
      <c r="AQ163" s="221"/>
    </row>
    <row r="164" spans="1:43" s="330" customFormat="1" x14ac:dyDescent="0.3">
      <c r="A164" s="269" t="s">
        <v>205</v>
      </c>
      <c r="B164" s="269" t="s">
        <v>423</v>
      </c>
      <c r="C164" s="49"/>
      <c r="D164" s="49"/>
      <c r="E164" s="281" t="s">
        <v>424</v>
      </c>
      <c r="F164" s="281" t="s">
        <v>425</v>
      </c>
      <c r="G164" s="281" t="s">
        <v>426</v>
      </c>
      <c r="H164" s="281" t="s">
        <v>427</v>
      </c>
      <c r="I164" s="281" t="s">
        <v>428</v>
      </c>
      <c r="J164" s="244"/>
      <c r="K164" s="37">
        <v>30</v>
      </c>
      <c r="L164" s="234">
        <f t="shared" si="8"/>
        <v>5.9489999999999998</v>
      </c>
      <c r="M164" s="234">
        <f t="shared" si="9"/>
        <v>3.2969999999999997</v>
      </c>
      <c r="N164" s="234">
        <f t="shared" si="10"/>
        <v>6.1290000000000004</v>
      </c>
      <c r="O164" s="234">
        <f t="shared" si="11"/>
        <v>3.4770000000000003</v>
      </c>
      <c r="P164" s="221"/>
      <c r="Q164" s="221"/>
      <c r="R164" s="221"/>
      <c r="S164" s="221"/>
      <c r="T164" s="221"/>
      <c r="U164" s="221"/>
      <c r="V164" s="221"/>
      <c r="W164" s="221"/>
      <c r="X164" s="221"/>
      <c r="Y164" s="221"/>
      <c r="Z164" s="221"/>
      <c r="AA164" s="221"/>
      <c r="AB164" s="221"/>
      <c r="AC164" s="221"/>
      <c r="AD164" s="221"/>
      <c r="AE164" s="221"/>
      <c r="AF164" s="221"/>
      <c r="AG164" s="221"/>
      <c r="AH164" s="221"/>
      <c r="AI164" s="221"/>
      <c r="AJ164" s="221"/>
      <c r="AK164" s="221"/>
      <c r="AL164" s="221"/>
      <c r="AM164" s="221"/>
      <c r="AN164" s="221"/>
      <c r="AO164" s="221"/>
      <c r="AP164" s="221"/>
      <c r="AQ164" s="221"/>
    </row>
    <row r="165" spans="1:43" x14ac:dyDescent="0.3">
      <c r="A165" s="269" t="s">
        <v>212</v>
      </c>
      <c r="B165" s="269" t="s">
        <v>429</v>
      </c>
      <c r="C165" s="49"/>
      <c r="D165" s="49"/>
      <c r="E165" s="281" t="s">
        <v>430</v>
      </c>
      <c r="F165" s="281" t="s">
        <v>431</v>
      </c>
      <c r="G165" s="281" t="s">
        <v>432</v>
      </c>
      <c r="H165" s="281" t="s">
        <v>433</v>
      </c>
      <c r="I165" s="281" t="s">
        <v>434</v>
      </c>
      <c r="J165" s="244"/>
      <c r="K165" s="37">
        <v>104</v>
      </c>
      <c r="L165" s="234">
        <f t="shared" si="8"/>
        <v>20.623200000000001</v>
      </c>
      <c r="M165" s="234">
        <f t="shared" si="9"/>
        <v>11.429600000000001</v>
      </c>
      <c r="N165" s="234">
        <f t="shared" si="10"/>
        <v>21.247199999999999</v>
      </c>
      <c r="O165" s="234">
        <f t="shared" si="11"/>
        <v>12.053599999999999</v>
      </c>
    </row>
    <row r="166" spans="1:43" x14ac:dyDescent="0.3">
      <c r="A166" s="128"/>
      <c r="B166" s="187"/>
      <c r="C166" s="275"/>
      <c r="D166" s="275"/>
      <c r="E166" s="263"/>
      <c r="F166" s="263"/>
      <c r="G166" s="263"/>
      <c r="H166" s="263"/>
      <c r="I166" s="263"/>
      <c r="J166" s="263"/>
      <c r="K166" s="37"/>
      <c r="L166" s="234">
        <f t="shared" si="8"/>
        <v>0</v>
      </c>
      <c r="M166" s="234">
        <f t="shared" si="9"/>
        <v>0</v>
      </c>
      <c r="N166" s="234">
        <f t="shared" si="10"/>
        <v>0</v>
      </c>
      <c r="O166" s="234">
        <f t="shared" si="11"/>
        <v>0</v>
      </c>
    </row>
    <row r="167" spans="1:43" x14ac:dyDescent="0.3">
      <c r="A167" s="112" t="s">
        <v>221</v>
      </c>
      <c r="B167" s="112"/>
      <c r="C167" s="112"/>
      <c r="D167" s="112"/>
      <c r="E167" s="293"/>
      <c r="F167" s="293"/>
      <c r="G167" s="293"/>
      <c r="H167" s="293"/>
      <c r="I167" s="293"/>
      <c r="J167" s="293"/>
      <c r="K167" s="239"/>
      <c r="L167" s="239"/>
      <c r="M167" s="239"/>
      <c r="N167" s="239"/>
      <c r="O167" s="239"/>
    </row>
    <row r="168" spans="1:43" x14ac:dyDescent="0.3">
      <c r="A168" s="82" t="s">
        <v>435</v>
      </c>
      <c r="B168" s="82" t="s">
        <v>436</v>
      </c>
      <c r="C168" s="160"/>
      <c r="D168" s="160"/>
      <c r="E168" s="57" t="s">
        <v>437</v>
      </c>
      <c r="F168" s="57" t="s">
        <v>438</v>
      </c>
      <c r="G168" s="57" t="s">
        <v>439</v>
      </c>
      <c r="H168" s="57" t="s">
        <v>440</v>
      </c>
      <c r="I168" s="57" t="s">
        <v>441</v>
      </c>
      <c r="J168" s="39"/>
      <c r="K168" s="31">
        <v>5</v>
      </c>
      <c r="L168" s="234">
        <f t="shared" si="8"/>
        <v>0.99150000000000005</v>
      </c>
      <c r="M168" s="234">
        <f t="shared" si="9"/>
        <v>0.54949999999999999</v>
      </c>
      <c r="N168" s="234">
        <f t="shared" si="10"/>
        <v>1.0215000000000001</v>
      </c>
      <c r="O168" s="234">
        <f t="shared" si="11"/>
        <v>0.57950000000000002</v>
      </c>
    </row>
    <row r="169" spans="1:43" x14ac:dyDescent="0.3">
      <c r="A169" s="128"/>
      <c r="B169" s="187"/>
      <c r="C169" s="275"/>
      <c r="D169" s="275"/>
      <c r="E169" s="263"/>
      <c r="F169" s="263"/>
      <c r="G169" s="263"/>
      <c r="H169" s="263"/>
      <c r="I169" s="263"/>
      <c r="J169" s="263"/>
      <c r="K169" s="37"/>
      <c r="L169" s="234"/>
      <c r="M169" s="234"/>
      <c r="N169" s="234"/>
      <c r="O169" s="234"/>
    </row>
    <row r="170" spans="1:43" x14ac:dyDescent="0.3">
      <c r="A170" s="112" t="s">
        <v>226</v>
      </c>
      <c r="B170" s="112"/>
      <c r="C170" s="112"/>
      <c r="D170" s="112"/>
      <c r="E170" s="293"/>
      <c r="F170" s="293"/>
      <c r="G170" s="293"/>
      <c r="H170" s="293"/>
      <c r="I170" s="293"/>
      <c r="J170" s="293"/>
      <c r="K170" s="239"/>
      <c r="L170" s="239"/>
      <c r="M170" s="239"/>
      <c r="N170" s="239"/>
      <c r="O170" s="239"/>
    </row>
    <row r="171" spans="1:43" x14ac:dyDescent="0.3">
      <c r="A171" s="82" t="s">
        <v>1640</v>
      </c>
      <c r="B171" s="82" t="s">
        <v>442</v>
      </c>
      <c r="C171" s="160"/>
      <c r="D171" s="160"/>
      <c r="E171" s="57" t="s">
        <v>443</v>
      </c>
      <c r="F171" s="57" t="s">
        <v>444</v>
      </c>
      <c r="G171" s="57" t="s">
        <v>445</v>
      </c>
      <c r="H171" s="57"/>
      <c r="I171" s="57"/>
      <c r="J171" s="39"/>
      <c r="K171" s="31">
        <v>0</v>
      </c>
      <c r="L171" s="234">
        <f t="shared" si="8"/>
        <v>0</v>
      </c>
      <c r="M171" s="234">
        <f t="shared" si="9"/>
        <v>0</v>
      </c>
      <c r="N171" s="234">
        <f t="shared" si="10"/>
        <v>0</v>
      </c>
      <c r="O171" s="234">
        <f t="shared" si="11"/>
        <v>0</v>
      </c>
    </row>
    <row r="172" spans="1:43" x14ac:dyDescent="0.3">
      <c r="A172" s="82" t="s">
        <v>1644</v>
      </c>
      <c r="B172" s="82" t="s">
        <v>446</v>
      </c>
      <c r="C172" s="160"/>
      <c r="D172" s="160"/>
      <c r="E172" s="57" t="s">
        <v>447</v>
      </c>
      <c r="F172" s="57" t="s">
        <v>448</v>
      </c>
      <c r="G172" s="57" t="s">
        <v>449</v>
      </c>
      <c r="H172" s="57"/>
      <c r="I172" s="57"/>
      <c r="J172" s="39"/>
      <c r="K172" s="31">
        <v>0</v>
      </c>
      <c r="L172" s="234">
        <f t="shared" si="8"/>
        <v>0</v>
      </c>
      <c r="M172" s="234">
        <f t="shared" si="9"/>
        <v>0</v>
      </c>
      <c r="N172" s="234">
        <f t="shared" si="10"/>
        <v>0</v>
      </c>
      <c r="O172" s="234">
        <f t="shared" si="11"/>
        <v>0</v>
      </c>
    </row>
    <row r="173" spans="1:43" x14ac:dyDescent="0.3">
      <c r="A173" s="82" t="s">
        <v>1645</v>
      </c>
      <c r="B173" s="82" t="s">
        <v>450</v>
      </c>
      <c r="C173" s="160"/>
      <c r="D173" s="160"/>
      <c r="E173" s="57" t="s">
        <v>451</v>
      </c>
      <c r="F173" s="57" t="s">
        <v>452</v>
      </c>
      <c r="G173" s="57" t="s">
        <v>453</v>
      </c>
      <c r="H173" s="57"/>
      <c r="I173" s="57"/>
      <c r="J173" s="39"/>
      <c r="K173" s="31">
        <v>0</v>
      </c>
      <c r="L173" s="234">
        <f t="shared" si="8"/>
        <v>0</v>
      </c>
      <c r="M173" s="234">
        <f t="shared" si="9"/>
        <v>0</v>
      </c>
      <c r="N173" s="234">
        <f t="shared" si="10"/>
        <v>0</v>
      </c>
      <c r="O173" s="234">
        <f t="shared" si="11"/>
        <v>0</v>
      </c>
    </row>
    <row r="174" spans="1:43" s="207" customFormat="1" x14ac:dyDescent="0.3">
      <c r="A174" s="82" t="s">
        <v>1641</v>
      </c>
      <c r="B174" s="82" t="s">
        <v>454</v>
      </c>
      <c r="C174" s="182"/>
      <c r="D174" s="182"/>
      <c r="E174" s="120"/>
      <c r="F174" s="57"/>
      <c r="G174" s="120"/>
      <c r="H174" s="57" t="s">
        <v>455</v>
      </c>
      <c r="I174" s="57" t="s">
        <v>456</v>
      </c>
      <c r="J174" s="120"/>
      <c r="K174" s="31">
        <v>0</v>
      </c>
      <c r="L174" s="234">
        <f t="shared" si="8"/>
        <v>0</v>
      </c>
      <c r="M174" s="234">
        <f t="shared" si="9"/>
        <v>0</v>
      </c>
      <c r="N174" s="234">
        <f t="shared" si="10"/>
        <v>0</v>
      </c>
      <c r="O174" s="234">
        <f t="shared" si="11"/>
        <v>0</v>
      </c>
      <c r="P174" s="329"/>
      <c r="Q174" s="329"/>
      <c r="R174" s="329"/>
      <c r="S174" s="329"/>
      <c r="T174" s="329"/>
      <c r="U174" s="329"/>
      <c r="V174" s="329"/>
      <c r="W174" s="329"/>
      <c r="X174" s="329"/>
      <c r="Y174" s="329"/>
      <c r="Z174" s="329"/>
      <c r="AA174" s="329"/>
      <c r="AB174" s="329"/>
      <c r="AC174" s="329"/>
      <c r="AD174" s="329"/>
      <c r="AE174" s="329"/>
      <c r="AF174" s="329"/>
      <c r="AG174" s="329"/>
      <c r="AH174" s="329"/>
      <c r="AI174" s="329"/>
      <c r="AJ174" s="329"/>
      <c r="AK174" s="329"/>
      <c r="AL174" s="329"/>
      <c r="AM174" s="329"/>
      <c r="AN174" s="329"/>
      <c r="AO174" s="329"/>
      <c r="AP174" s="329"/>
      <c r="AQ174" s="329"/>
    </row>
    <row r="175" spans="1:43" s="207" customFormat="1" x14ac:dyDescent="0.3">
      <c r="A175" s="82" t="s">
        <v>1646</v>
      </c>
      <c r="B175" s="82" t="s">
        <v>457</v>
      </c>
      <c r="C175" s="182"/>
      <c r="D175" s="182"/>
      <c r="E175" s="120"/>
      <c r="F175" s="120"/>
      <c r="G175" s="120"/>
      <c r="H175" s="57" t="s">
        <v>458</v>
      </c>
      <c r="I175" s="57" t="s">
        <v>459</v>
      </c>
      <c r="J175" s="120"/>
      <c r="K175" s="31">
        <v>0</v>
      </c>
      <c r="L175" s="234">
        <f t="shared" si="8"/>
        <v>0</v>
      </c>
      <c r="M175" s="234">
        <f t="shared" si="9"/>
        <v>0</v>
      </c>
      <c r="N175" s="234">
        <f t="shared" si="10"/>
        <v>0</v>
      </c>
      <c r="O175" s="234">
        <f t="shared" si="11"/>
        <v>0</v>
      </c>
      <c r="P175" s="329"/>
      <c r="Q175" s="329"/>
      <c r="R175" s="329"/>
      <c r="S175" s="329"/>
      <c r="T175" s="329"/>
      <c r="U175" s="329"/>
      <c r="V175" s="329"/>
      <c r="W175" s="329"/>
      <c r="X175" s="329"/>
      <c r="Y175" s="329"/>
      <c r="Z175" s="329"/>
      <c r="AA175" s="329"/>
      <c r="AB175" s="329"/>
      <c r="AC175" s="329"/>
      <c r="AD175" s="329"/>
      <c r="AE175" s="329"/>
      <c r="AF175" s="329"/>
      <c r="AG175" s="329"/>
      <c r="AH175" s="329"/>
      <c r="AI175" s="329"/>
      <c r="AJ175" s="329"/>
      <c r="AK175" s="329"/>
      <c r="AL175" s="329"/>
      <c r="AM175" s="329"/>
      <c r="AN175" s="329"/>
      <c r="AO175" s="329"/>
      <c r="AP175" s="329"/>
      <c r="AQ175" s="329"/>
    </row>
    <row r="176" spans="1:43" s="207" customFormat="1" x14ac:dyDescent="0.3">
      <c r="A176" s="82" t="s">
        <v>1647</v>
      </c>
      <c r="B176" s="82" t="s">
        <v>460</v>
      </c>
      <c r="C176" s="182"/>
      <c r="D176" s="182"/>
      <c r="E176" s="120"/>
      <c r="F176" s="120"/>
      <c r="G176" s="120"/>
      <c r="H176" s="57" t="s">
        <v>461</v>
      </c>
      <c r="I176" s="57" t="s">
        <v>462</v>
      </c>
      <c r="J176" s="120"/>
      <c r="K176" s="31">
        <v>0</v>
      </c>
      <c r="L176" s="234">
        <f t="shared" si="8"/>
        <v>0</v>
      </c>
      <c r="M176" s="234">
        <f t="shared" si="9"/>
        <v>0</v>
      </c>
      <c r="N176" s="234">
        <f t="shared" si="10"/>
        <v>0</v>
      </c>
      <c r="O176" s="234">
        <f t="shared" si="11"/>
        <v>0</v>
      </c>
      <c r="P176" s="329"/>
      <c r="Q176" s="329"/>
      <c r="R176" s="329"/>
      <c r="S176" s="329"/>
      <c r="T176" s="329"/>
      <c r="U176" s="329"/>
      <c r="V176" s="329"/>
      <c r="W176" s="329"/>
      <c r="X176" s="329"/>
      <c r="Y176" s="329"/>
      <c r="Z176" s="329"/>
      <c r="AA176" s="329"/>
      <c r="AB176" s="329"/>
      <c r="AC176" s="329"/>
      <c r="AD176" s="329"/>
      <c r="AE176" s="329"/>
      <c r="AF176" s="329"/>
      <c r="AG176" s="329"/>
      <c r="AH176" s="329"/>
      <c r="AI176" s="329"/>
      <c r="AJ176" s="329"/>
      <c r="AK176" s="329"/>
      <c r="AL176" s="329"/>
      <c r="AM176" s="329"/>
      <c r="AN176" s="329"/>
      <c r="AO176" s="329"/>
      <c r="AP176" s="329"/>
      <c r="AQ176" s="329"/>
    </row>
    <row r="177" spans="1:43" s="207" customFormat="1" x14ac:dyDescent="0.3">
      <c r="A177" s="82"/>
      <c r="B177" s="82"/>
      <c r="C177" s="182"/>
      <c r="D177" s="182"/>
      <c r="E177" s="120"/>
      <c r="F177" s="120"/>
      <c r="G177" s="120"/>
      <c r="H177" s="57"/>
      <c r="I177" s="57"/>
      <c r="J177" s="120"/>
      <c r="K177" s="31"/>
      <c r="L177" s="234"/>
      <c r="M177" s="234"/>
      <c r="N177" s="234"/>
      <c r="O177" s="234"/>
      <c r="P177" s="329"/>
      <c r="Q177" s="329"/>
      <c r="R177" s="329"/>
      <c r="S177" s="329"/>
      <c r="T177" s="329"/>
      <c r="U177" s="329"/>
      <c r="V177" s="329"/>
      <c r="W177" s="329"/>
      <c r="X177" s="329"/>
      <c r="Y177" s="329"/>
      <c r="Z177" s="329"/>
      <c r="AA177" s="329"/>
      <c r="AB177" s="329"/>
      <c r="AC177" s="329"/>
      <c r="AD177" s="329"/>
      <c r="AE177" s="329"/>
      <c r="AF177" s="329"/>
      <c r="AG177" s="329"/>
      <c r="AH177" s="329"/>
      <c r="AI177" s="329"/>
      <c r="AJ177" s="329"/>
      <c r="AK177" s="329"/>
      <c r="AL177" s="329"/>
      <c r="AM177" s="329"/>
      <c r="AN177" s="329"/>
      <c r="AO177" s="329"/>
      <c r="AP177" s="329"/>
      <c r="AQ177" s="329"/>
    </row>
    <row r="178" spans="1:43" x14ac:dyDescent="0.3">
      <c r="A178" s="112" t="s">
        <v>235</v>
      </c>
      <c r="B178" s="112"/>
      <c r="C178" s="112"/>
      <c r="D178" s="112"/>
      <c r="E178" s="293"/>
      <c r="F178" s="293"/>
      <c r="G178" s="293"/>
      <c r="H178" s="293"/>
      <c r="I178" s="293"/>
      <c r="J178" s="293"/>
      <c r="K178" s="239"/>
      <c r="L178" s="239"/>
      <c r="M178" s="239"/>
      <c r="N178" s="239"/>
      <c r="O178" s="239"/>
    </row>
    <row r="179" spans="1:43" x14ac:dyDescent="0.3">
      <c r="A179" s="269" t="s">
        <v>463</v>
      </c>
      <c r="B179" s="269" t="s">
        <v>464</v>
      </c>
      <c r="C179" s="49"/>
      <c r="D179" s="49"/>
      <c r="E179" s="281" t="s">
        <v>465</v>
      </c>
      <c r="F179" s="281" t="s">
        <v>466</v>
      </c>
      <c r="G179" s="281" t="s">
        <v>467</v>
      </c>
      <c r="H179" s="281" t="s">
        <v>468</v>
      </c>
      <c r="I179" s="281" t="s">
        <v>469</v>
      </c>
      <c r="J179" s="244"/>
      <c r="K179" s="37">
        <v>2</v>
      </c>
      <c r="L179" s="234">
        <f t="shared" si="8"/>
        <v>0.39660000000000001</v>
      </c>
      <c r="M179" s="234">
        <f t="shared" si="9"/>
        <v>0.2198</v>
      </c>
      <c r="N179" s="234">
        <f t="shared" si="10"/>
        <v>0.40860000000000002</v>
      </c>
      <c r="O179" s="234">
        <f t="shared" si="11"/>
        <v>0.23180000000000001</v>
      </c>
    </row>
    <row r="180" spans="1:43" x14ac:dyDescent="0.3">
      <c r="A180" s="269" t="s">
        <v>98</v>
      </c>
      <c r="B180" s="269" t="s">
        <v>236</v>
      </c>
      <c r="C180" s="49"/>
      <c r="D180" s="49"/>
      <c r="E180" s="281" t="s">
        <v>470</v>
      </c>
      <c r="F180" s="281" t="s">
        <v>471</v>
      </c>
      <c r="G180" s="281" t="s">
        <v>472</v>
      </c>
      <c r="H180" s="281" t="s">
        <v>473</v>
      </c>
      <c r="I180" s="281" t="s">
        <v>474</v>
      </c>
      <c r="J180" s="244"/>
      <c r="K180" s="37">
        <v>6</v>
      </c>
      <c r="L180" s="234">
        <f t="shared" si="8"/>
        <v>1.1898</v>
      </c>
      <c r="M180" s="234">
        <f t="shared" si="9"/>
        <v>0.65939999999999999</v>
      </c>
      <c r="N180" s="234">
        <f t="shared" si="10"/>
        <v>1.2258</v>
      </c>
      <c r="O180" s="234">
        <f t="shared" si="11"/>
        <v>0.69540000000000002</v>
      </c>
    </row>
    <row r="181" spans="1:43" x14ac:dyDescent="0.3">
      <c r="A181" s="128"/>
      <c r="B181" s="187"/>
      <c r="C181" s="275"/>
      <c r="D181" s="275"/>
      <c r="E181" s="263"/>
      <c r="F181" s="263"/>
      <c r="G181" s="263"/>
      <c r="H181" s="263"/>
      <c r="I181" s="263"/>
      <c r="J181" s="263"/>
      <c r="K181" s="37"/>
      <c r="L181" s="234"/>
      <c r="M181" s="234"/>
      <c r="N181" s="234"/>
      <c r="O181" s="234"/>
    </row>
    <row r="182" spans="1:43" x14ac:dyDescent="0.3">
      <c r="A182" s="112" t="s">
        <v>475</v>
      </c>
      <c r="B182" s="112"/>
      <c r="C182" s="112"/>
      <c r="D182" s="112"/>
      <c r="E182" s="293"/>
      <c r="F182" s="293"/>
      <c r="G182" s="293"/>
      <c r="H182" s="293"/>
      <c r="I182" s="293"/>
      <c r="J182" s="293"/>
      <c r="K182" s="239"/>
      <c r="L182" s="239"/>
      <c r="M182" s="239"/>
      <c r="N182" s="239"/>
      <c r="O182" s="239"/>
    </row>
    <row r="183" spans="1:43" x14ac:dyDescent="0.3">
      <c r="A183" s="269" t="s">
        <v>476</v>
      </c>
      <c r="B183" s="269" t="s">
        <v>477</v>
      </c>
      <c r="C183" s="49"/>
      <c r="D183" s="49"/>
      <c r="E183" s="281" t="s">
        <v>478</v>
      </c>
      <c r="F183" s="281" t="s">
        <v>479</v>
      </c>
      <c r="G183" s="281" t="s">
        <v>480</v>
      </c>
      <c r="H183" s="281" t="s">
        <v>481</v>
      </c>
      <c r="I183" s="281" t="s">
        <v>482</v>
      </c>
      <c r="J183" s="244"/>
      <c r="K183" s="37">
        <v>6</v>
      </c>
      <c r="L183" s="234">
        <f t="shared" si="8"/>
        <v>1.1898</v>
      </c>
      <c r="M183" s="234">
        <f t="shared" si="9"/>
        <v>0.65939999999999999</v>
      </c>
      <c r="N183" s="234">
        <f t="shared" si="10"/>
        <v>1.2258</v>
      </c>
      <c r="O183" s="234">
        <f t="shared" si="11"/>
        <v>0.69540000000000002</v>
      </c>
    </row>
    <row r="184" spans="1:43" x14ac:dyDescent="0.3">
      <c r="A184" s="269" t="s">
        <v>1636</v>
      </c>
      <c r="B184" s="269" t="s">
        <v>483</v>
      </c>
      <c r="C184" s="49"/>
      <c r="D184" s="49"/>
      <c r="E184" s="281" t="s">
        <v>484</v>
      </c>
      <c r="F184" s="281" t="s">
        <v>485</v>
      </c>
      <c r="G184" s="281"/>
      <c r="H184" s="281" t="s">
        <v>486</v>
      </c>
      <c r="I184" s="281"/>
      <c r="J184" s="244"/>
      <c r="K184" s="37">
        <v>7</v>
      </c>
      <c r="L184" s="234">
        <f t="shared" si="8"/>
        <v>1.3881000000000001</v>
      </c>
      <c r="M184" s="234">
        <f t="shared" si="9"/>
        <v>0.76929999999999998</v>
      </c>
      <c r="N184" s="234">
        <f t="shared" si="10"/>
        <v>1.4301000000000001</v>
      </c>
      <c r="O184" s="234">
        <f t="shared" si="11"/>
        <v>0.81130000000000002</v>
      </c>
    </row>
    <row r="185" spans="1:43" x14ac:dyDescent="0.3">
      <c r="A185" s="269" t="s">
        <v>775</v>
      </c>
      <c r="B185" s="269" t="s">
        <v>487</v>
      </c>
      <c r="C185" s="49"/>
      <c r="D185" s="49"/>
      <c r="E185" s="141" t="s">
        <v>492</v>
      </c>
      <c r="F185" s="281" t="s">
        <v>488</v>
      </c>
      <c r="G185" s="281" t="s">
        <v>490</v>
      </c>
      <c r="H185" s="281" t="s">
        <v>489</v>
      </c>
      <c r="I185" s="281" t="s">
        <v>491</v>
      </c>
      <c r="J185" s="244"/>
      <c r="K185" s="37">
        <v>87</v>
      </c>
      <c r="L185" s="234">
        <f t="shared" si="8"/>
        <v>17.252099999999999</v>
      </c>
      <c r="M185" s="234">
        <f t="shared" si="9"/>
        <v>9.5612999999999992</v>
      </c>
      <c r="N185" s="234">
        <f t="shared" si="10"/>
        <v>17.774100000000001</v>
      </c>
      <c r="O185" s="234">
        <f t="shared" si="11"/>
        <v>10.083299999999999</v>
      </c>
    </row>
    <row r="186" spans="1:43" x14ac:dyDescent="0.3">
      <c r="A186" s="269"/>
      <c r="B186" s="269"/>
      <c r="C186" s="49"/>
      <c r="D186" s="49"/>
      <c r="E186" s="141"/>
      <c r="F186" s="281"/>
      <c r="G186" s="281"/>
      <c r="H186" s="281"/>
      <c r="I186" s="281"/>
      <c r="J186" s="244"/>
      <c r="K186" s="37"/>
      <c r="L186" s="234"/>
      <c r="M186" s="234"/>
      <c r="N186" s="234"/>
      <c r="O186" s="234"/>
    </row>
    <row r="187" spans="1:43" x14ac:dyDescent="0.3">
      <c r="A187" s="112" t="s">
        <v>493</v>
      </c>
      <c r="B187" s="112"/>
      <c r="C187" s="112"/>
      <c r="D187" s="112"/>
      <c r="E187" s="293"/>
      <c r="F187" s="293"/>
      <c r="G187" s="293"/>
      <c r="H187" s="293"/>
      <c r="I187" s="293"/>
      <c r="J187" s="293"/>
      <c r="K187" s="239"/>
      <c r="L187" s="239"/>
      <c r="M187" s="239"/>
      <c r="N187" s="239"/>
      <c r="O187" s="239"/>
    </row>
    <row r="188" spans="1:43" s="207" customFormat="1" x14ac:dyDescent="0.3">
      <c r="A188" s="84" t="s">
        <v>494</v>
      </c>
      <c r="B188" s="25" t="s">
        <v>495</v>
      </c>
      <c r="C188" s="182"/>
      <c r="D188" s="182"/>
      <c r="E188" s="120"/>
      <c r="F188" s="120"/>
      <c r="G188" s="120"/>
      <c r="H188" s="108" t="s">
        <v>496</v>
      </c>
      <c r="I188" s="108"/>
      <c r="J188" s="120"/>
      <c r="K188" s="31">
        <v>10</v>
      </c>
      <c r="L188" s="234">
        <f t="shared" si="8"/>
        <v>1.9830000000000001</v>
      </c>
      <c r="M188" s="234">
        <f t="shared" si="9"/>
        <v>1.099</v>
      </c>
      <c r="N188" s="234">
        <f t="shared" si="10"/>
        <v>2.0430000000000001</v>
      </c>
      <c r="O188" s="234">
        <f t="shared" si="11"/>
        <v>1.159</v>
      </c>
      <c r="P188" s="329"/>
      <c r="Q188" s="329"/>
      <c r="R188" s="329"/>
      <c r="S188" s="329"/>
      <c r="T188" s="329"/>
      <c r="U188" s="329"/>
      <c r="V188" s="329"/>
      <c r="W188" s="329"/>
      <c r="X188" s="329"/>
      <c r="Y188" s="329"/>
      <c r="Z188" s="329"/>
      <c r="AA188" s="329"/>
      <c r="AB188" s="329"/>
      <c r="AC188" s="329"/>
      <c r="AD188" s="329"/>
      <c r="AE188" s="329"/>
      <c r="AF188" s="329"/>
      <c r="AG188" s="329"/>
      <c r="AH188" s="329"/>
      <c r="AI188" s="329"/>
      <c r="AJ188" s="329"/>
      <c r="AK188" s="329"/>
      <c r="AL188" s="329"/>
      <c r="AM188" s="329"/>
      <c r="AN188" s="329"/>
      <c r="AO188" s="329"/>
      <c r="AP188" s="329"/>
      <c r="AQ188" s="329"/>
    </row>
    <row r="189" spans="1:43" s="329" customFormat="1" x14ac:dyDescent="0.3">
      <c r="A189" s="303"/>
      <c r="B189" s="168"/>
      <c r="C189" s="159"/>
      <c r="D189" s="159"/>
      <c r="E189" s="54"/>
      <c r="F189" s="54"/>
      <c r="G189" s="54"/>
      <c r="H189" s="54"/>
      <c r="I189" s="78"/>
      <c r="J189" s="54"/>
      <c r="K189" s="37"/>
      <c r="L189" s="234"/>
      <c r="M189" s="234"/>
      <c r="N189" s="234"/>
      <c r="O189" s="234"/>
    </row>
    <row r="190" spans="1:43" x14ac:dyDescent="0.3">
      <c r="A190" s="112" t="s">
        <v>262</v>
      </c>
      <c r="B190" s="112"/>
      <c r="C190" s="112"/>
      <c r="D190" s="112"/>
      <c r="E190" s="293"/>
      <c r="F190" s="293"/>
      <c r="G190" s="293"/>
      <c r="H190" s="293"/>
      <c r="I190" s="293"/>
      <c r="J190" s="293"/>
      <c r="K190" s="239"/>
      <c r="L190" s="239"/>
      <c r="M190" s="239"/>
      <c r="N190" s="239"/>
      <c r="O190" s="239"/>
    </row>
    <row r="191" spans="1:43" x14ac:dyDescent="0.3">
      <c r="A191" s="269" t="s">
        <v>263</v>
      </c>
      <c r="B191" s="269" t="s">
        <v>497</v>
      </c>
      <c r="C191" s="49"/>
      <c r="D191" s="49"/>
      <c r="E191" s="281" t="s">
        <v>498</v>
      </c>
      <c r="F191" s="281" t="s">
        <v>498</v>
      </c>
      <c r="G191" s="281" t="s">
        <v>498</v>
      </c>
      <c r="H191" s="281" t="s">
        <v>498</v>
      </c>
      <c r="I191" s="281" t="s">
        <v>498</v>
      </c>
      <c r="J191" s="244"/>
      <c r="K191" s="71">
        <v>20</v>
      </c>
      <c r="L191" s="234">
        <f t="shared" si="8"/>
        <v>3.9660000000000002</v>
      </c>
      <c r="M191" s="234">
        <f t="shared" si="9"/>
        <v>2.198</v>
      </c>
      <c r="N191" s="234">
        <f t="shared" si="10"/>
        <v>4.0860000000000003</v>
      </c>
      <c r="O191" s="234">
        <f t="shared" si="11"/>
        <v>2.3180000000000001</v>
      </c>
    </row>
    <row r="192" spans="1:43" x14ac:dyDescent="0.3">
      <c r="A192" s="269" t="s">
        <v>266</v>
      </c>
      <c r="B192" s="269" t="s">
        <v>499</v>
      </c>
      <c r="C192" s="49"/>
      <c r="D192" s="49"/>
      <c r="E192" s="281" t="s">
        <v>500</v>
      </c>
      <c r="F192" s="281" t="s">
        <v>500</v>
      </c>
      <c r="G192" s="281" t="s">
        <v>500</v>
      </c>
      <c r="H192" s="281" t="s">
        <v>500</v>
      </c>
      <c r="I192" s="281" t="s">
        <v>500</v>
      </c>
      <c r="J192" s="244"/>
      <c r="K192" s="71">
        <v>30</v>
      </c>
      <c r="L192" s="234">
        <f t="shared" si="8"/>
        <v>5.9489999999999998</v>
      </c>
      <c r="M192" s="234">
        <f t="shared" si="9"/>
        <v>3.2969999999999997</v>
      </c>
      <c r="N192" s="234">
        <f t="shared" si="10"/>
        <v>6.1290000000000004</v>
      </c>
      <c r="O192" s="234">
        <f t="shared" si="11"/>
        <v>3.4770000000000003</v>
      </c>
    </row>
    <row r="193" spans="1:43" x14ac:dyDescent="0.3">
      <c r="A193" s="269" t="s">
        <v>269</v>
      </c>
      <c r="B193" s="269" t="s">
        <v>501</v>
      </c>
      <c r="C193" s="49"/>
      <c r="D193" s="49"/>
      <c r="E193" s="281" t="s">
        <v>502</v>
      </c>
      <c r="F193" s="281" t="s">
        <v>502</v>
      </c>
      <c r="G193" s="281" t="s">
        <v>502</v>
      </c>
      <c r="H193" s="281" t="s">
        <v>502</v>
      </c>
      <c r="I193" s="281" t="s">
        <v>502</v>
      </c>
      <c r="J193" s="244"/>
      <c r="K193" s="71">
        <v>50</v>
      </c>
      <c r="L193" s="234">
        <f t="shared" si="8"/>
        <v>9.9150000000000009</v>
      </c>
      <c r="M193" s="234">
        <f t="shared" si="9"/>
        <v>5.4950000000000001</v>
      </c>
      <c r="N193" s="234">
        <f t="shared" si="10"/>
        <v>10.215</v>
      </c>
      <c r="O193" s="234">
        <f t="shared" si="11"/>
        <v>5.7949999999999999</v>
      </c>
    </row>
    <row r="194" spans="1:43" x14ac:dyDescent="0.3">
      <c r="A194" s="156" t="s">
        <v>503</v>
      </c>
      <c r="B194" s="156" t="s">
        <v>504</v>
      </c>
      <c r="C194" s="123"/>
      <c r="D194" s="123"/>
      <c r="E194" s="188" t="s">
        <v>505</v>
      </c>
      <c r="F194" s="188" t="s">
        <v>505</v>
      </c>
      <c r="G194" s="188" t="s">
        <v>505</v>
      </c>
      <c r="H194" s="188" t="s">
        <v>505</v>
      </c>
      <c r="I194" s="188" t="s">
        <v>505</v>
      </c>
      <c r="J194" s="75"/>
      <c r="K194" s="44">
        <v>20</v>
      </c>
      <c r="L194" s="234">
        <f t="shared" si="8"/>
        <v>3.9660000000000002</v>
      </c>
      <c r="M194" s="234">
        <f t="shared" si="9"/>
        <v>2.198</v>
      </c>
      <c r="N194" s="234">
        <f t="shared" si="10"/>
        <v>4.0860000000000003</v>
      </c>
      <c r="O194" s="234">
        <f t="shared" si="11"/>
        <v>2.3180000000000001</v>
      </c>
    </row>
    <row r="195" spans="1:43" x14ac:dyDescent="0.3">
      <c r="A195" s="156" t="s">
        <v>271</v>
      </c>
      <c r="B195" s="156" t="s">
        <v>272</v>
      </c>
      <c r="C195" s="123"/>
      <c r="D195" s="123"/>
      <c r="E195" s="298" t="s">
        <v>273</v>
      </c>
      <c r="F195" s="298" t="s">
        <v>273</v>
      </c>
      <c r="G195" s="298" t="s">
        <v>273</v>
      </c>
      <c r="H195" s="298" t="s">
        <v>273</v>
      </c>
      <c r="I195" s="298" t="s">
        <v>273</v>
      </c>
      <c r="J195" s="85"/>
      <c r="K195" s="44">
        <v>158</v>
      </c>
      <c r="L195" s="234">
        <f t="shared" si="8"/>
        <v>31.331400000000002</v>
      </c>
      <c r="M195" s="234">
        <f t="shared" si="9"/>
        <v>17.3642</v>
      </c>
      <c r="N195" s="234">
        <f t="shared" si="10"/>
        <v>32.279400000000003</v>
      </c>
      <c r="O195" s="234">
        <f t="shared" si="11"/>
        <v>18.312200000000001</v>
      </c>
    </row>
    <row r="196" spans="1:43" x14ac:dyDescent="0.3">
      <c r="A196" s="156" t="s">
        <v>274</v>
      </c>
      <c r="B196" s="156" t="s">
        <v>275</v>
      </c>
      <c r="C196" s="123"/>
      <c r="D196" s="123"/>
      <c r="E196" s="298" t="s">
        <v>506</v>
      </c>
      <c r="F196" s="298" t="s">
        <v>506</v>
      </c>
      <c r="G196" s="298" t="s">
        <v>506</v>
      </c>
      <c r="H196" s="298" t="s">
        <v>506</v>
      </c>
      <c r="I196" s="298" t="s">
        <v>506</v>
      </c>
      <c r="J196" s="85"/>
      <c r="K196" s="44">
        <v>22</v>
      </c>
      <c r="L196" s="234">
        <f t="shared" si="8"/>
        <v>4.3626000000000005</v>
      </c>
      <c r="M196" s="234">
        <f t="shared" si="9"/>
        <v>2.4177999999999997</v>
      </c>
      <c r="N196" s="234">
        <f t="shared" si="10"/>
        <v>4.4946000000000002</v>
      </c>
      <c r="O196" s="234">
        <f t="shared" si="11"/>
        <v>2.5498000000000003</v>
      </c>
    </row>
    <row r="197" spans="1:43" s="308" customFormat="1" x14ac:dyDescent="0.3">
      <c r="A197" s="156" t="s">
        <v>278</v>
      </c>
      <c r="B197" s="113" t="s">
        <v>279</v>
      </c>
      <c r="C197" s="123"/>
      <c r="D197" s="123"/>
      <c r="E197" s="298" t="s">
        <v>1552</v>
      </c>
      <c r="F197" s="298" t="s">
        <v>1552</v>
      </c>
      <c r="G197" s="298" t="s">
        <v>1552</v>
      </c>
      <c r="H197" s="298" t="s">
        <v>1552</v>
      </c>
      <c r="I197" s="298" t="s">
        <v>1552</v>
      </c>
      <c r="J197" s="85"/>
      <c r="K197" s="44">
        <v>52</v>
      </c>
      <c r="L197" s="234">
        <f t="shared" si="8"/>
        <v>10.3116</v>
      </c>
      <c r="M197" s="234">
        <f t="shared" si="9"/>
        <v>5.7148000000000003</v>
      </c>
      <c r="N197" s="234">
        <f t="shared" si="10"/>
        <v>10.6236</v>
      </c>
      <c r="O197" s="234">
        <f t="shared" si="11"/>
        <v>6.0267999999999997</v>
      </c>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row>
    <row r="198" spans="1:43" s="308" customFormat="1" x14ac:dyDescent="0.3">
      <c r="A198" s="303"/>
      <c r="B198" s="168"/>
      <c r="C198" s="159"/>
      <c r="D198" s="159"/>
      <c r="E198" s="54"/>
      <c r="F198" s="54"/>
      <c r="G198" s="54"/>
      <c r="H198" s="54"/>
      <c r="I198" s="54"/>
      <c r="J198" s="54"/>
      <c r="K198" s="234"/>
      <c r="L198" s="234"/>
      <c r="M198" s="234"/>
      <c r="N198" s="234"/>
      <c r="O198" s="234"/>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row>
    <row r="199" spans="1:43" s="308" customFormat="1" x14ac:dyDescent="0.3">
      <c r="A199" s="48" t="s">
        <v>507</v>
      </c>
      <c r="B199" s="48"/>
      <c r="C199" s="48"/>
      <c r="D199" s="48"/>
      <c r="E199" s="48"/>
      <c r="F199" s="48"/>
      <c r="G199" s="48"/>
      <c r="H199" s="48"/>
      <c r="I199" s="48"/>
      <c r="J199" s="48"/>
      <c r="K199" s="241"/>
      <c r="L199" s="48"/>
      <c r="M199" s="48"/>
      <c r="N199" s="48"/>
      <c r="O199" s="48"/>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row>
    <row r="200" spans="1:43" s="16" customFormat="1" ht="82.8" x14ac:dyDescent="0.3">
      <c r="A200" s="193" t="s">
        <v>125</v>
      </c>
      <c r="B200" s="193" t="s">
        <v>126</v>
      </c>
      <c r="C200" s="193" t="s">
        <v>127</v>
      </c>
      <c r="D200" s="193" t="s">
        <v>128</v>
      </c>
      <c r="E200" s="193"/>
      <c r="F200" s="193"/>
      <c r="G200" s="193"/>
      <c r="H200" s="193"/>
      <c r="I200" s="193"/>
      <c r="J200" s="193"/>
      <c r="K200" s="174" t="s">
        <v>130</v>
      </c>
      <c r="L200" s="193"/>
      <c r="M200" s="193"/>
      <c r="N200" s="193"/>
      <c r="O200" s="193"/>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row>
    <row r="201" spans="1:43" x14ac:dyDescent="0.3">
      <c r="A201" s="173"/>
      <c r="B201" s="187"/>
      <c r="C201" s="275"/>
      <c r="D201" s="275"/>
      <c r="E201" s="263"/>
      <c r="F201" s="263"/>
      <c r="G201" s="263"/>
      <c r="H201" s="263"/>
      <c r="I201" s="263"/>
      <c r="J201" s="263"/>
      <c r="K201" s="234"/>
      <c r="L201" s="234"/>
      <c r="M201" s="234"/>
      <c r="N201" s="234"/>
      <c r="O201" s="234"/>
    </row>
    <row r="202" spans="1:43" ht="151.80000000000001" x14ac:dyDescent="0.3">
      <c r="A202" s="128" t="s">
        <v>1617</v>
      </c>
      <c r="B202" s="187" t="s">
        <v>508</v>
      </c>
      <c r="C202" s="275"/>
      <c r="D202" s="275"/>
      <c r="E202" s="263"/>
      <c r="F202" s="263"/>
      <c r="G202" s="263"/>
      <c r="H202" s="263"/>
      <c r="I202" s="263"/>
      <c r="J202" s="263"/>
      <c r="K202" s="143">
        <v>562</v>
      </c>
      <c r="L202" s="234">
        <f t="shared" si="8"/>
        <v>111.44460000000001</v>
      </c>
      <c r="M202" s="234">
        <f t="shared" si="9"/>
        <v>61.763799999999996</v>
      </c>
      <c r="N202" s="234">
        <f t="shared" si="10"/>
        <v>114.81660000000001</v>
      </c>
      <c r="O202" s="234">
        <f t="shared" si="11"/>
        <v>65.135800000000003</v>
      </c>
    </row>
    <row r="203" spans="1:43" x14ac:dyDescent="0.3">
      <c r="A203" s="128"/>
      <c r="B203" s="187"/>
      <c r="C203" s="275"/>
      <c r="D203" s="275"/>
      <c r="E203" s="263"/>
      <c r="F203" s="263"/>
      <c r="G203" s="263"/>
      <c r="H203" s="263"/>
      <c r="I203" s="263"/>
      <c r="J203" s="263"/>
      <c r="K203" s="234"/>
      <c r="L203" s="234"/>
      <c r="M203" s="234"/>
      <c r="N203" s="234"/>
      <c r="O203" s="234"/>
    </row>
    <row r="204" spans="1:43" ht="151.80000000000001" x14ac:dyDescent="0.3">
      <c r="A204" s="269" t="s">
        <v>1618</v>
      </c>
      <c r="B204" s="187" t="s">
        <v>509</v>
      </c>
      <c r="C204" s="275"/>
      <c r="D204" s="275"/>
      <c r="E204" s="263"/>
      <c r="F204" s="263"/>
      <c r="G204" s="263"/>
      <c r="H204" s="263"/>
      <c r="I204" s="263"/>
      <c r="J204" s="263"/>
      <c r="K204" s="143">
        <v>544</v>
      </c>
      <c r="L204" s="234">
        <f t="shared" si="8"/>
        <v>107.87520000000001</v>
      </c>
      <c r="M204" s="234">
        <f t="shared" si="9"/>
        <v>59.785600000000002</v>
      </c>
      <c r="N204" s="234">
        <f t="shared" si="10"/>
        <v>111.1392</v>
      </c>
      <c r="O204" s="234">
        <f t="shared" si="11"/>
        <v>63.049599999999998</v>
      </c>
    </row>
    <row r="205" spans="1:43" s="329" customFormat="1" x14ac:dyDescent="0.3">
      <c r="A205" s="128"/>
      <c r="B205" s="187"/>
      <c r="C205" s="275"/>
      <c r="D205" s="275"/>
      <c r="E205" s="263"/>
      <c r="F205" s="263"/>
      <c r="G205" s="263"/>
      <c r="H205" s="263"/>
      <c r="I205" s="263"/>
      <c r="J205" s="263"/>
      <c r="K205" s="236"/>
      <c r="L205" s="234"/>
      <c r="M205" s="234"/>
      <c r="N205" s="234"/>
      <c r="O205" s="234"/>
    </row>
    <row r="206" spans="1:43" ht="151.80000000000001" x14ac:dyDescent="0.3">
      <c r="A206" s="128" t="s">
        <v>1619</v>
      </c>
      <c r="B206" s="187" t="s">
        <v>510</v>
      </c>
      <c r="C206" s="275"/>
      <c r="D206" s="275"/>
      <c r="E206" s="263"/>
      <c r="F206" s="263"/>
      <c r="G206" s="263"/>
      <c r="H206" s="263"/>
      <c r="I206" s="263"/>
      <c r="J206" s="263"/>
      <c r="K206" s="143">
        <v>562</v>
      </c>
      <c r="L206" s="234">
        <f t="shared" ref="L206:L271" si="12">K206*$L$9</f>
        <v>111.44460000000001</v>
      </c>
      <c r="M206" s="234">
        <f t="shared" ref="M206:M271" si="13">K206*$M$9</f>
        <v>61.763799999999996</v>
      </c>
      <c r="N206" s="234">
        <f t="shared" ref="N206:N271" si="14">K206*$N$9</f>
        <v>114.81660000000001</v>
      </c>
      <c r="O206" s="234">
        <f t="shared" ref="O206:O271" si="15">K206*$O$9</f>
        <v>65.135800000000003</v>
      </c>
    </row>
    <row r="207" spans="1:43" x14ac:dyDescent="0.3">
      <c r="A207" s="128"/>
      <c r="B207" s="187"/>
      <c r="C207" s="275"/>
      <c r="D207" s="275"/>
      <c r="E207" s="263"/>
      <c r="F207" s="263"/>
      <c r="G207" s="263"/>
      <c r="H207" s="263"/>
      <c r="I207" s="263"/>
      <c r="J207" s="263"/>
      <c r="K207" s="234"/>
      <c r="L207" s="234"/>
      <c r="M207" s="234"/>
      <c r="N207" s="234"/>
      <c r="O207" s="234"/>
    </row>
    <row r="208" spans="1:43" ht="151.80000000000001" x14ac:dyDescent="0.3">
      <c r="A208" s="128" t="s">
        <v>1620</v>
      </c>
      <c r="B208" s="187" t="s">
        <v>511</v>
      </c>
      <c r="C208" s="275"/>
      <c r="D208" s="275"/>
      <c r="E208" s="263"/>
      <c r="F208" s="263"/>
      <c r="G208" s="263"/>
      <c r="H208" s="263"/>
      <c r="I208" s="263"/>
      <c r="J208" s="263"/>
      <c r="K208" s="143">
        <v>544</v>
      </c>
      <c r="L208" s="234">
        <f t="shared" si="12"/>
        <v>107.87520000000001</v>
      </c>
      <c r="M208" s="234">
        <f t="shared" si="13"/>
        <v>59.785600000000002</v>
      </c>
      <c r="N208" s="234">
        <f t="shared" si="14"/>
        <v>111.1392</v>
      </c>
      <c r="O208" s="234">
        <f t="shared" si="15"/>
        <v>63.049599999999998</v>
      </c>
    </row>
    <row r="209" spans="1:43" s="329" customFormat="1" x14ac:dyDescent="0.3">
      <c r="A209" s="128"/>
      <c r="B209" s="187"/>
      <c r="C209" s="275"/>
      <c r="D209" s="275"/>
      <c r="E209" s="263"/>
      <c r="F209" s="263"/>
      <c r="G209" s="263"/>
      <c r="H209" s="263"/>
      <c r="I209" s="263"/>
      <c r="J209" s="263"/>
      <c r="K209" s="236"/>
      <c r="L209" s="234"/>
      <c r="M209" s="234"/>
      <c r="N209" s="234"/>
      <c r="O209" s="234"/>
    </row>
    <row r="210" spans="1:43" s="329" customFormat="1" ht="151.80000000000001" x14ac:dyDescent="0.3">
      <c r="A210" s="128" t="s">
        <v>1621</v>
      </c>
      <c r="B210" s="187" t="s">
        <v>512</v>
      </c>
      <c r="C210" s="275"/>
      <c r="D210" s="275"/>
      <c r="E210" s="263"/>
      <c r="F210" s="263"/>
      <c r="G210" s="263"/>
      <c r="H210" s="263"/>
      <c r="I210" s="263"/>
      <c r="J210" s="263"/>
      <c r="K210" s="143">
        <v>570</v>
      </c>
      <c r="L210" s="234">
        <f t="shared" si="12"/>
        <v>113.03100000000001</v>
      </c>
      <c r="M210" s="234">
        <f t="shared" si="13"/>
        <v>62.643000000000001</v>
      </c>
      <c r="N210" s="234">
        <f t="shared" si="14"/>
        <v>116.45100000000001</v>
      </c>
      <c r="O210" s="234">
        <f t="shared" si="15"/>
        <v>66.063000000000002</v>
      </c>
    </row>
    <row r="211" spans="1:43" x14ac:dyDescent="0.3">
      <c r="A211" s="128"/>
      <c r="B211" s="187"/>
      <c r="C211" s="275"/>
      <c r="D211" s="275"/>
      <c r="E211" s="263"/>
      <c r="F211" s="263"/>
      <c r="G211" s="263"/>
      <c r="H211" s="263"/>
      <c r="I211" s="263"/>
      <c r="J211" s="263"/>
      <c r="K211" s="234"/>
      <c r="L211" s="234"/>
      <c r="M211" s="234"/>
      <c r="N211" s="234"/>
      <c r="O211" s="234"/>
    </row>
    <row r="212" spans="1:43" ht="151.80000000000001" x14ac:dyDescent="0.3">
      <c r="A212" s="269" t="s">
        <v>1622</v>
      </c>
      <c r="B212" s="187" t="s">
        <v>513</v>
      </c>
      <c r="C212" s="275"/>
      <c r="D212" s="275"/>
      <c r="E212" s="263"/>
      <c r="F212" s="263"/>
      <c r="G212" s="263"/>
      <c r="H212" s="263"/>
      <c r="I212" s="263"/>
      <c r="J212" s="263"/>
      <c r="K212" s="143">
        <v>550</v>
      </c>
      <c r="L212" s="234">
        <f t="shared" si="12"/>
        <v>109.065</v>
      </c>
      <c r="M212" s="234">
        <f t="shared" si="13"/>
        <v>60.445</v>
      </c>
      <c r="N212" s="234">
        <f t="shared" si="14"/>
        <v>112.36500000000001</v>
      </c>
      <c r="O212" s="234">
        <f t="shared" si="15"/>
        <v>63.745000000000005</v>
      </c>
    </row>
    <row r="213" spans="1:43" s="329" customFormat="1" x14ac:dyDescent="0.3">
      <c r="A213" s="303"/>
      <c r="B213" s="168"/>
      <c r="C213" s="159"/>
      <c r="D213" s="159"/>
      <c r="E213" s="54"/>
      <c r="F213" s="54"/>
      <c r="G213" s="54"/>
      <c r="H213" s="54"/>
      <c r="I213" s="54"/>
      <c r="J213" s="54"/>
      <c r="K213" s="236"/>
      <c r="L213" s="234"/>
      <c r="M213" s="234"/>
      <c r="N213" s="234"/>
      <c r="O213" s="234"/>
    </row>
    <row r="214" spans="1:43" s="16" customFormat="1" ht="27.6" x14ac:dyDescent="0.3">
      <c r="A214" s="186" t="s">
        <v>514</v>
      </c>
      <c r="B214" s="193" t="s">
        <v>287</v>
      </c>
      <c r="C214" s="193" t="s">
        <v>127</v>
      </c>
      <c r="D214" s="193" t="s">
        <v>128</v>
      </c>
      <c r="E214" s="193" t="s">
        <v>515</v>
      </c>
      <c r="F214" s="193" t="s">
        <v>516</v>
      </c>
      <c r="G214" s="193" t="s">
        <v>517</v>
      </c>
      <c r="H214" s="193" t="s">
        <v>518</v>
      </c>
      <c r="I214" s="193" t="s">
        <v>519</v>
      </c>
      <c r="J214" s="193" t="s">
        <v>520</v>
      </c>
      <c r="K214" s="18"/>
      <c r="L214" s="18"/>
      <c r="M214" s="18"/>
      <c r="N214" s="18"/>
      <c r="O214" s="18"/>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row>
    <row r="215" spans="1:43" x14ac:dyDescent="0.3">
      <c r="A215" s="112" t="s">
        <v>521</v>
      </c>
      <c r="B215" s="124"/>
      <c r="C215" s="124"/>
      <c r="D215" s="124"/>
      <c r="E215" s="289"/>
      <c r="F215" s="289"/>
      <c r="G215" s="289"/>
      <c r="H215" s="289"/>
      <c r="I215" s="289"/>
      <c r="J215" s="293"/>
      <c r="K215" s="154"/>
      <c r="L215" s="154"/>
      <c r="M215" s="154"/>
      <c r="N215" s="154"/>
      <c r="O215" s="154"/>
    </row>
    <row r="216" spans="1:43" s="207" customFormat="1" ht="41.4" x14ac:dyDescent="0.3">
      <c r="A216" s="57" t="s">
        <v>522</v>
      </c>
      <c r="B216" s="57" t="s">
        <v>1570</v>
      </c>
      <c r="C216" s="160"/>
      <c r="D216" s="160" t="s">
        <v>294</v>
      </c>
      <c r="E216" s="57" t="s">
        <v>523</v>
      </c>
      <c r="F216" s="57"/>
      <c r="G216" s="57" t="s">
        <v>524</v>
      </c>
      <c r="H216" s="57"/>
      <c r="I216" s="57" t="s">
        <v>525</v>
      </c>
      <c r="J216" s="39"/>
      <c r="K216" s="31">
        <v>0</v>
      </c>
      <c r="L216" s="234">
        <f t="shared" si="12"/>
        <v>0</v>
      </c>
      <c r="M216" s="234">
        <f t="shared" si="13"/>
        <v>0</v>
      </c>
      <c r="N216" s="234">
        <f t="shared" si="14"/>
        <v>0</v>
      </c>
      <c r="O216" s="234">
        <f t="shared" si="15"/>
        <v>0</v>
      </c>
      <c r="P216" s="329"/>
      <c r="Q216" s="329"/>
      <c r="R216" s="329"/>
      <c r="S216" s="329"/>
      <c r="T216" s="329"/>
      <c r="U216" s="329"/>
      <c r="V216" s="329"/>
      <c r="W216" s="329"/>
      <c r="X216" s="329"/>
      <c r="Y216" s="329"/>
      <c r="Z216" s="329"/>
      <c r="AA216" s="329"/>
      <c r="AB216" s="329"/>
      <c r="AC216" s="329"/>
      <c r="AD216" s="329"/>
      <c r="AE216" s="329"/>
      <c r="AF216" s="329"/>
      <c r="AG216" s="329"/>
      <c r="AH216" s="329"/>
      <c r="AI216" s="329"/>
      <c r="AJ216" s="329"/>
      <c r="AK216" s="329"/>
      <c r="AL216" s="329"/>
      <c r="AM216" s="329"/>
      <c r="AN216" s="329"/>
      <c r="AO216" s="329"/>
      <c r="AP216" s="329"/>
      <c r="AQ216" s="329"/>
    </row>
    <row r="217" spans="1:43" ht="41.4" x14ac:dyDescent="0.3">
      <c r="A217" s="82" t="s">
        <v>1638</v>
      </c>
      <c r="B217" s="57" t="s">
        <v>1521</v>
      </c>
      <c r="C217" s="160" t="s">
        <v>294</v>
      </c>
      <c r="D217" s="160" t="s">
        <v>294</v>
      </c>
      <c r="E217" s="57" t="s">
        <v>526</v>
      </c>
      <c r="F217" s="57"/>
      <c r="G217" s="57" t="s">
        <v>527</v>
      </c>
      <c r="H217" s="57"/>
      <c r="I217" s="57" t="s">
        <v>528</v>
      </c>
      <c r="J217" s="39"/>
      <c r="K217" s="31">
        <v>111</v>
      </c>
      <c r="L217" s="234">
        <f t="shared" si="12"/>
        <v>22.011300000000002</v>
      </c>
      <c r="M217" s="234">
        <f t="shared" si="13"/>
        <v>12.1989</v>
      </c>
      <c r="N217" s="234">
        <f t="shared" si="14"/>
        <v>22.677300000000002</v>
      </c>
      <c r="O217" s="234">
        <f t="shared" si="15"/>
        <v>12.8649</v>
      </c>
    </row>
    <row r="218" spans="1:43" s="207" customFormat="1" ht="41.4" x14ac:dyDescent="0.3">
      <c r="A218" s="82" t="s">
        <v>1479</v>
      </c>
      <c r="B218" s="57" t="s">
        <v>1571</v>
      </c>
      <c r="C218" s="160" t="s">
        <v>294</v>
      </c>
      <c r="D218" s="160" t="s">
        <v>294</v>
      </c>
      <c r="E218" s="57" t="s">
        <v>529</v>
      </c>
      <c r="F218" s="57"/>
      <c r="G218" s="57" t="s">
        <v>530</v>
      </c>
      <c r="H218" s="57"/>
      <c r="I218" s="57" t="s">
        <v>531</v>
      </c>
      <c r="J218" s="39"/>
      <c r="K218" s="31">
        <v>111</v>
      </c>
      <c r="L218" s="234">
        <f t="shared" si="12"/>
        <v>22.011300000000002</v>
      </c>
      <c r="M218" s="234">
        <f t="shared" si="13"/>
        <v>12.1989</v>
      </c>
      <c r="N218" s="234">
        <f t="shared" si="14"/>
        <v>22.677300000000002</v>
      </c>
      <c r="O218" s="234">
        <f t="shared" si="15"/>
        <v>12.8649</v>
      </c>
      <c r="P218" s="329"/>
      <c r="Q218" s="329"/>
      <c r="R218" s="329"/>
      <c r="S218" s="329"/>
      <c r="T218" s="329"/>
      <c r="U218" s="329"/>
      <c r="V218" s="329"/>
      <c r="W218" s="329"/>
      <c r="X218" s="329"/>
      <c r="Y218" s="329"/>
      <c r="Z218" s="329"/>
      <c r="AA218" s="329"/>
      <c r="AB218" s="329"/>
      <c r="AC218" s="329"/>
      <c r="AD218" s="329"/>
      <c r="AE218" s="329"/>
      <c r="AF218" s="329"/>
      <c r="AG218" s="329"/>
      <c r="AH218" s="329"/>
      <c r="AI218" s="329"/>
      <c r="AJ218" s="329"/>
      <c r="AK218" s="329"/>
      <c r="AL218" s="329"/>
      <c r="AM218" s="329"/>
      <c r="AN218" s="329"/>
      <c r="AO218" s="329"/>
      <c r="AP218" s="329"/>
      <c r="AQ218" s="329"/>
    </row>
    <row r="219" spans="1:43" ht="41.4" x14ac:dyDescent="0.3">
      <c r="A219" s="82" t="s">
        <v>532</v>
      </c>
      <c r="B219" s="57" t="s">
        <v>1522</v>
      </c>
      <c r="C219" s="160" t="s">
        <v>294</v>
      </c>
      <c r="D219" s="160" t="s">
        <v>294</v>
      </c>
      <c r="E219" s="57" t="s">
        <v>533</v>
      </c>
      <c r="F219" s="57"/>
      <c r="G219" s="57" t="s">
        <v>534</v>
      </c>
      <c r="H219" s="57"/>
      <c r="I219" s="57" t="s">
        <v>535</v>
      </c>
      <c r="J219" s="39"/>
      <c r="K219" s="31">
        <v>122</v>
      </c>
      <c r="L219" s="234">
        <f t="shared" si="12"/>
        <v>24.192599999999999</v>
      </c>
      <c r="M219" s="234">
        <f t="shared" si="13"/>
        <v>13.4078</v>
      </c>
      <c r="N219" s="234">
        <f t="shared" si="14"/>
        <v>24.924600000000002</v>
      </c>
      <c r="O219" s="234">
        <f t="shared" si="15"/>
        <v>14.139800000000001</v>
      </c>
    </row>
    <row r="220" spans="1:43" s="207" customFormat="1" ht="27.6" x14ac:dyDescent="0.3">
      <c r="A220" s="82" t="s">
        <v>536</v>
      </c>
      <c r="B220" s="57" t="s">
        <v>1572</v>
      </c>
      <c r="C220" s="160" t="s">
        <v>294</v>
      </c>
      <c r="D220" s="160" t="s">
        <v>294</v>
      </c>
      <c r="E220" s="57"/>
      <c r="F220" s="57"/>
      <c r="G220" s="57" t="s">
        <v>537</v>
      </c>
      <c r="H220" s="57"/>
      <c r="I220" s="57" t="s">
        <v>538</v>
      </c>
      <c r="J220" s="39"/>
      <c r="K220" s="31">
        <v>122</v>
      </c>
      <c r="L220" s="234">
        <f t="shared" si="12"/>
        <v>24.192599999999999</v>
      </c>
      <c r="M220" s="234">
        <f t="shared" si="13"/>
        <v>13.4078</v>
      </c>
      <c r="N220" s="234">
        <f t="shared" si="14"/>
        <v>24.924600000000002</v>
      </c>
      <c r="O220" s="234">
        <f t="shared" si="15"/>
        <v>14.139800000000001</v>
      </c>
      <c r="P220" s="329"/>
      <c r="Q220" s="329"/>
      <c r="R220" s="329"/>
      <c r="S220" s="329"/>
      <c r="T220" s="329"/>
      <c r="U220" s="329"/>
      <c r="V220" s="329"/>
      <c r="W220" s="329"/>
      <c r="X220" s="329"/>
      <c r="Y220" s="329"/>
      <c r="Z220" s="329"/>
      <c r="AA220" s="329"/>
      <c r="AB220" s="329"/>
      <c r="AC220" s="329"/>
      <c r="AD220" s="329"/>
      <c r="AE220" s="329"/>
      <c r="AF220" s="329"/>
      <c r="AG220" s="329"/>
      <c r="AH220" s="329"/>
      <c r="AI220" s="329"/>
      <c r="AJ220" s="329"/>
      <c r="AK220" s="329"/>
      <c r="AL220" s="329"/>
      <c r="AM220" s="329"/>
      <c r="AN220" s="329"/>
      <c r="AO220" s="329"/>
      <c r="AP220" s="329"/>
      <c r="AQ220" s="329"/>
    </row>
    <row r="221" spans="1:43" ht="27.6" x14ac:dyDescent="0.3">
      <c r="A221" s="82" t="s">
        <v>539</v>
      </c>
      <c r="B221" s="57" t="s">
        <v>1569</v>
      </c>
      <c r="C221" s="160" t="s">
        <v>294</v>
      </c>
      <c r="D221" s="160" t="s">
        <v>294</v>
      </c>
      <c r="E221" s="57"/>
      <c r="F221" s="57"/>
      <c r="G221" s="57" t="s">
        <v>540</v>
      </c>
      <c r="H221" s="57"/>
      <c r="I221" s="57" t="s">
        <v>541</v>
      </c>
      <c r="J221" s="39"/>
      <c r="K221" s="31">
        <v>260</v>
      </c>
      <c r="L221" s="234">
        <f t="shared" si="12"/>
        <v>51.558</v>
      </c>
      <c r="M221" s="234">
        <f t="shared" si="13"/>
        <v>28.573999999999998</v>
      </c>
      <c r="N221" s="234">
        <f t="shared" si="14"/>
        <v>53.118000000000002</v>
      </c>
      <c r="O221" s="234">
        <f t="shared" si="15"/>
        <v>30.134</v>
      </c>
    </row>
    <row r="222" spans="1:43" s="207" customFormat="1" x14ac:dyDescent="0.3">
      <c r="A222" s="82" t="s">
        <v>1523</v>
      </c>
      <c r="B222" s="57" t="s">
        <v>542</v>
      </c>
      <c r="C222" s="160"/>
      <c r="D222" s="160" t="s">
        <v>294</v>
      </c>
      <c r="E222" s="57" t="s">
        <v>543</v>
      </c>
      <c r="F222" s="57"/>
      <c r="G222" s="57"/>
      <c r="H222" s="57"/>
      <c r="I222" s="57"/>
      <c r="J222" s="39"/>
      <c r="K222" s="31">
        <v>82</v>
      </c>
      <c r="L222" s="234">
        <f t="shared" si="12"/>
        <v>16.2606</v>
      </c>
      <c r="M222" s="234">
        <f t="shared" si="13"/>
        <v>9.0117999999999991</v>
      </c>
      <c r="N222" s="234">
        <f t="shared" si="14"/>
        <v>16.752600000000001</v>
      </c>
      <c r="O222" s="234">
        <f t="shared" si="15"/>
        <v>9.5038</v>
      </c>
      <c r="P222" s="329"/>
      <c r="Q222" s="329"/>
      <c r="R222" s="329"/>
      <c r="S222" s="329"/>
      <c r="T222" s="329"/>
      <c r="U222" s="329"/>
      <c r="V222" s="329"/>
      <c r="W222" s="329"/>
      <c r="X222" s="329"/>
      <c r="Y222" s="329"/>
      <c r="Z222" s="329"/>
      <c r="AA222" s="329"/>
      <c r="AB222" s="329"/>
      <c r="AC222" s="329"/>
      <c r="AD222" s="329"/>
      <c r="AE222" s="329"/>
      <c r="AF222" s="329"/>
      <c r="AG222" s="329"/>
      <c r="AH222" s="329"/>
      <c r="AI222" s="329"/>
      <c r="AJ222" s="329"/>
      <c r="AK222" s="329"/>
      <c r="AL222" s="329"/>
      <c r="AM222" s="329"/>
      <c r="AN222" s="329"/>
      <c r="AO222" s="329"/>
      <c r="AP222" s="329"/>
      <c r="AQ222" s="329"/>
    </row>
    <row r="223" spans="1:43" x14ac:dyDescent="0.3">
      <c r="A223" s="82" t="s">
        <v>1524</v>
      </c>
      <c r="B223" s="57" t="s">
        <v>544</v>
      </c>
      <c r="C223" s="160" t="s">
        <v>294</v>
      </c>
      <c r="D223" s="160" t="s">
        <v>294</v>
      </c>
      <c r="E223" s="57" t="s">
        <v>545</v>
      </c>
      <c r="F223" s="57"/>
      <c r="G223" s="57"/>
      <c r="H223" s="57"/>
      <c r="I223" s="57"/>
      <c r="J223" s="39"/>
      <c r="K223" s="31">
        <v>193</v>
      </c>
      <c r="L223" s="234">
        <f t="shared" si="12"/>
        <v>38.271900000000002</v>
      </c>
      <c r="M223" s="234">
        <f t="shared" si="13"/>
        <v>21.210699999999999</v>
      </c>
      <c r="N223" s="234">
        <f t="shared" si="14"/>
        <v>39.429900000000004</v>
      </c>
      <c r="O223" s="234">
        <f t="shared" si="15"/>
        <v>22.3687</v>
      </c>
    </row>
    <row r="224" spans="1:43" x14ac:dyDescent="0.3">
      <c r="A224" s="269" t="s">
        <v>1525</v>
      </c>
      <c r="B224" s="281" t="s">
        <v>546</v>
      </c>
      <c r="C224" s="49" t="s">
        <v>294</v>
      </c>
      <c r="D224" s="49" t="s">
        <v>294</v>
      </c>
      <c r="E224" s="281" t="s">
        <v>547</v>
      </c>
      <c r="F224" s="281"/>
      <c r="G224" s="281"/>
      <c r="H224" s="281"/>
      <c r="I224" s="281"/>
      <c r="J224" s="244"/>
      <c r="K224" s="37">
        <v>204</v>
      </c>
      <c r="L224" s="234">
        <f t="shared" si="12"/>
        <v>40.453200000000002</v>
      </c>
      <c r="M224" s="234">
        <f t="shared" si="13"/>
        <v>22.419599999999999</v>
      </c>
      <c r="N224" s="234">
        <f t="shared" si="14"/>
        <v>41.677199999999999</v>
      </c>
      <c r="O224" s="234">
        <f t="shared" si="15"/>
        <v>23.643599999999999</v>
      </c>
    </row>
    <row r="225" spans="1:43" x14ac:dyDescent="0.3">
      <c r="A225" s="303"/>
      <c r="B225" s="168"/>
      <c r="C225" s="159"/>
      <c r="D225" s="159"/>
      <c r="E225" s="54"/>
      <c r="F225" s="54"/>
      <c r="G225" s="54"/>
      <c r="H225" s="54"/>
      <c r="I225" s="54"/>
      <c r="J225" s="54"/>
      <c r="K225" s="37"/>
      <c r="L225" s="234"/>
      <c r="M225" s="234"/>
      <c r="N225" s="234"/>
      <c r="O225" s="234"/>
    </row>
    <row r="226" spans="1:43" x14ac:dyDescent="0.3">
      <c r="A226" s="112" t="s">
        <v>548</v>
      </c>
      <c r="B226" s="124"/>
      <c r="C226" s="124"/>
      <c r="D226" s="124"/>
      <c r="E226" s="289"/>
      <c r="F226" s="289"/>
      <c r="G226" s="289"/>
      <c r="H226" s="289"/>
      <c r="I226" s="289"/>
      <c r="J226" s="293"/>
      <c r="K226" s="148"/>
      <c r="L226" s="148"/>
      <c r="M226" s="148"/>
      <c r="N226" s="148"/>
      <c r="O226" s="148"/>
    </row>
    <row r="227" spans="1:43" s="207" customFormat="1" x14ac:dyDescent="0.3">
      <c r="A227" s="82" t="s">
        <v>1526</v>
      </c>
      <c r="B227" s="82" t="s">
        <v>554</v>
      </c>
      <c r="C227" s="160"/>
      <c r="D227" s="160" t="s">
        <v>294</v>
      </c>
      <c r="E227" s="57"/>
      <c r="F227" s="57" t="s">
        <v>555</v>
      </c>
      <c r="G227" s="57"/>
      <c r="H227" s="57"/>
      <c r="I227" s="57"/>
      <c r="J227" s="39"/>
      <c r="K227" s="31">
        <v>82</v>
      </c>
      <c r="L227" s="234">
        <f t="shared" si="12"/>
        <v>16.2606</v>
      </c>
      <c r="M227" s="234">
        <f t="shared" si="13"/>
        <v>9.0117999999999991</v>
      </c>
      <c r="N227" s="234">
        <f t="shared" si="14"/>
        <v>16.752600000000001</v>
      </c>
      <c r="O227" s="234">
        <f t="shared" si="15"/>
        <v>9.5038</v>
      </c>
      <c r="P227" s="329"/>
      <c r="Q227" s="329"/>
      <c r="R227" s="329"/>
      <c r="S227" s="329"/>
      <c r="T227" s="329"/>
      <c r="U227" s="329"/>
      <c r="V227" s="329"/>
      <c r="W227" s="329"/>
      <c r="X227" s="329"/>
      <c r="Y227" s="329"/>
      <c r="Z227" s="329"/>
      <c r="AA227" s="329"/>
      <c r="AB227" s="329"/>
      <c r="AC227" s="329"/>
      <c r="AD227" s="329"/>
      <c r="AE227" s="329"/>
      <c r="AF227" s="329"/>
      <c r="AG227" s="329"/>
      <c r="AH227" s="329"/>
      <c r="AI227" s="329"/>
      <c r="AJ227" s="329"/>
      <c r="AK227" s="329"/>
      <c r="AL227" s="329"/>
      <c r="AM227" s="329"/>
      <c r="AN227" s="329"/>
      <c r="AO227" s="329"/>
      <c r="AP227" s="329"/>
      <c r="AQ227" s="329"/>
    </row>
    <row r="228" spans="1:43" ht="41.4" x14ac:dyDescent="0.3">
      <c r="A228" s="269" t="s">
        <v>1527</v>
      </c>
      <c r="B228" s="269" t="s">
        <v>1528</v>
      </c>
      <c r="C228" s="49"/>
      <c r="D228" s="49" t="s">
        <v>294</v>
      </c>
      <c r="E228" s="281"/>
      <c r="F228" s="281" t="s">
        <v>549</v>
      </c>
      <c r="G228" s="281"/>
      <c r="H228" s="281" t="s">
        <v>550</v>
      </c>
      <c r="I228" s="281"/>
      <c r="J228" s="281" t="s">
        <v>551</v>
      </c>
      <c r="K228" s="37">
        <v>97</v>
      </c>
      <c r="L228" s="234">
        <f t="shared" si="12"/>
        <v>19.235099999999999</v>
      </c>
      <c r="M228" s="234">
        <f t="shared" si="13"/>
        <v>10.660299999999999</v>
      </c>
      <c r="N228" s="234">
        <f t="shared" si="14"/>
        <v>19.8171</v>
      </c>
      <c r="O228" s="234">
        <f t="shared" si="15"/>
        <v>11.2423</v>
      </c>
    </row>
    <row r="229" spans="1:43" x14ac:dyDescent="0.3">
      <c r="A229" s="269" t="s">
        <v>1529</v>
      </c>
      <c r="B229" s="269" t="s">
        <v>552</v>
      </c>
      <c r="C229" s="49"/>
      <c r="D229" s="49" t="s">
        <v>294</v>
      </c>
      <c r="E229" s="281"/>
      <c r="F229" s="281" t="s">
        <v>553</v>
      </c>
      <c r="G229" s="281"/>
      <c r="H229" s="281"/>
      <c r="I229" s="281"/>
      <c r="J229" s="281"/>
      <c r="K229" s="37">
        <v>179</v>
      </c>
      <c r="L229" s="234">
        <f t="shared" si="12"/>
        <v>35.495699999999999</v>
      </c>
      <c r="M229" s="234">
        <f t="shared" si="13"/>
        <v>19.6721</v>
      </c>
      <c r="N229" s="234">
        <f t="shared" si="14"/>
        <v>36.569700000000005</v>
      </c>
      <c r="O229" s="234">
        <f t="shared" si="15"/>
        <v>20.746100000000002</v>
      </c>
    </row>
    <row r="230" spans="1:43" x14ac:dyDescent="0.3">
      <c r="A230" s="269"/>
      <c r="B230" s="269"/>
      <c r="C230" s="49"/>
      <c r="D230" s="49"/>
      <c r="E230" s="281"/>
      <c r="F230" s="281"/>
      <c r="G230" s="281"/>
      <c r="H230" s="281"/>
      <c r="I230" s="281"/>
      <c r="J230" s="281"/>
      <c r="K230" s="37"/>
      <c r="L230" s="234"/>
      <c r="M230" s="234"/>
      <c r="N230" s="234"/>
      <c r="O230" s="234"/>
    </row>
    <row r="231" spans="1:43" x14ac:dyDescent="0.3">
      <c r="A231" s="112" t="s">
        <v>340</v>
      </c>
      <c r="B231" s="124"/>
      <c r="C231" s="124"/>
      <c r="D231" s="124"/>
      <c r="E231" s="289"/>
      <c r="F231" s="289"/>
      <c r="G231" s="289"/>
      <c r="H231" s="289"/>
      <c r="I231" s="289"/>
      <c r="J231" s="289"/>
      <c r="K231" s="148"/>
      <c r="L231" s="148"/>
      <c r="M231" s="148"/>
      <c r="N231" s="148"/>
      <c r="O231" s="148"/>
    </row>
    <row r="232" spans="1:43" x14ac:dyDescent="0.3">
      <c r="A232" s="269" t="s">
        <v>556</v>
      </c>
      <c r="B232" s="269" t="s">
        <v>557</v>
      </c>
      <c r="C232" s="49"/>
      <c r="D232" s="49"/>
      <c r="E232" s="281"/>
      <c r="F232" s="281"/>
      <c r="G232" s="281" t="s">
        <v>558</v>
      </c>
      <c r="H232" s="281" t="s">
        <v>559</v>
      </c>
      <c r="I232" s="281" t="s">
        <v>560</v>
      </c>
      <c r="J232" s="281" t="s">
        <v>561</v>
      </c>
      <c r="K232" s="37">
        <v>3</v>
      </c>
      <c r="L232" s="234">
        <f t="shared" si="12"/>
        <v>0.59489999999999998</v>
      </c>
      <c r="M232" s="234">
        <f t="shared" si="13"/>
        <v>0.32969999999999999</v>
      </c>
      <c r="N232" s="234">
        <f t="shared" si="14"/>
        <v>0.6129</v>
      </c>
      <c r="O232" s="234">
        <f t="shared" si="15"/>
        <v>0.34770000000000001</v>
      </c>
    </row>
    <row r="233" spans="1:43" x14ac:dyDescent="0.3">
      <c r="A233" s="269" t="s">
        <v>562</v>
      </c>
      <c r="B233" s="269" t="s">
        <v>341</v>
      </c>
      <c r="C233" s="49"/>
      <c r="D233" s="49"/>
      <c r="E233" s="281"/>
      <c r="F233" s="281"/>
      <c r="G233" s="281" t="s">
        <v>563</v>
      </c>
      <c r="H233" s="281" t="s">
        <v>564</v>
      </c>
      <c r="I233" s="281" t="s">
        <v>565</v>
      </c>
      <c r="J233" s="281" t="s">
        <v>566</v>
      </c>
      <c r="K233" s="37">
        <v>82</v>
      </c>
      <c r="L233" s="234">
        <f t="shared" si="12"/>
        <v>16.2606</v>
      </c>
      <c r="M233" s="234">
        <f t="shared" si="13"/>
        <v>9.0117999999999991</v>
      </c>
      <c r="N233" s="234">
        <f t="shared" si="14"/>
        <v>16.752600000000001</v>
      </c>
      <c r="O233" s="234">
        <f t="shared" si="15"/>
        <v>9.5038</v>
      </c>
    </row>
    <row r="234" spans="1:43" s="330" customFormat="1" x14ac:dyDescent="0.3">
      <c r="A234" s="82" t="s">
        <v>1539</v>
      </c>
      <c r="B234" s="82" t="s">
        <v>1533</v>
      </c>
      <c r="C234" s="160"/>
      <c r="D234" s="160"/>
      <c r="E234" s="57"/>
      <c r="F234" s="57"/>
      <c r="G234" s="57" t="s">
        <v>1540</v>
      </c>
      <c r="H234" s="57" t="s">
        <v>1541</v>
      </c>
      <c r="I234" s="57" t="s">
        <v>1542</v>
      </c>
      <c r="J234" s="57" t="s">
        <v>1543</v>
      </c>
      <c r="K234" s="31">
        <v>82</v>
      </c>
      <c r="L234" s="234">
        <f t="shared" si="12"/>
        <v>16.2606</v>
      </c>
      <c r="M234" s="234">
        <f t="shared" si="13"/>
        <v>9.0117999999999991</v>
      </c>
      <c r="N234" s="234">
        <f t="shared" si="14"/>
        <v>16.752600000000001</v>
      </c>
      <c r="O234" s="234">
        <f t="shared" si="15"/>
        <v>9.5038</v>
      </c>
      <c r="P234" s="221"/>
      <c r="Q234" s="221"/>
      <c r="R234" s="221"/>
      <c r="S234" s="221"/>
      <c r="T234" s="221"/>
      <c r="U234" s="221"/>
      <c r="V234" s="221"/>
      <c r="W234" s="221"/>
      <c r="X234" s="221"/>
      <c r="Y234" s="221"/>
      <c r="Z234" s="221"/>
      <c r="AA234" s="221"/>
      <c r="AB234" s="221"/>
      <c r="AC234" s="221"/>
      <c r="AD234" s="221"/>
      <c r="AE234" s="221"/>
      <c r="AF234" s="221"/>
      <c r="AG234" s="221"/>
      <c r="AH234" s="221"/>
      <c r="AI234" s="221"/>
      <c r="AJ234" s="221"/>
      <c r="AK234" s="221"/>
      <c r="AL234" s="221"/>
      <c r="AM234" s="221"/>
      <c r="AN234" s="221"/>
      <c r="AO234" s="221"/>
      <c r="AP234" s="221"/>
      <c r="AQ234" s="221"/>
    </row>
    <row r="235" spans="1:43" x14ac:dyDescent="0.3">
      <c r="A235" s="269" t="s">
        <v>567</v>
      </c>
      <c r="B235" s="269" t="s">
        <v>347</v>
      </c>
      <c r="C235" s="49"/>
      <c r="D235" s="49"/>
      <c r="E235" s="281"/>
      <c r="F235" s="281"/>
      <c r="G235" s="281" t="s">
        <v>568</v>
      </c>
      <c r="H235" s="281" t="s">
        <v>569</v>
      </c>
      <c r="I235" s="281" t="s">
        <v>570</v>
      </c>
      <c r="J235" s="281" t="s">
        <v>571</v>
      </c>
      <c r="K235" s="37">
        <v>183</v>
      </c>
      <c r="L235" s="234">
        <f t="shared" si="12"/>
        <v>36.288899999999998</v>
      </c>
      <c r="M235" s="234">
        <f t="shared" si="13"/>
        <v>20.111699999999999</v>
      </c>
      <c r="N235" s="234">
        <f t="shared" si="14"/>
        <v>37.386900000000004</v>
      </c>
      <c r="O235" s="234">
        <f t="shared" si="15"/>
        <v>21.209700000000002</v>
      </c>
    </row>
    <row r="236" spans="1:43" x14ac:dyDescent="0.3">
      <c r="A236" s="303"/>
      <c r="B236" s="168"/>
      <c r="C236" s="159"/>
      <c r="D236" s="159"/>
      <c r="E236" s="54"/>
      <c r="F236" s="54"/>
      <c r="G236" s="54"/>
      <c r="H236" s="54"/>
      <c r="I236" s="54"/>
      <c r="J236" s="54"/>
      <c r="K236" s="37"/>
      <c r="L236" s="234"/>
      <c r="M236" s="234"/>
      <c r="N236" s="234"/>
      <c r="O236" s="234"/>
    </row>
    <row r="237" spans="1:43" x14ac:dyDescent="0.3">
      <c r="A237" s="112" t="s">
        <v>353</v>
      </c>
      <c r="B237" s="124"/>
      <c r="C237" s="124"/>
      <c r="D237" s="124"/>
      <c r="E237" s="289"/>
      <c r="F237" s="289"/>
      <c r="G237" s="289"/>
      <c r="H237" s="289"/>
      <c r="I237" s="289"/>
      <c r="J237" s="293"/>
      <c r="K237" s="148"/>
      <c r="L237" s="148"/>
      <c r="M237" s="148"/>
      <c r="N237" s="148"/>
      <c r="O237" s="148"/>
    </row>
    <row r="238" spans="1:43" x14ac:dyDescent="0.3">
      <c r="A238" s="82" t="s">
        <v>1694</v>
      </c>
      <c r="B238" s="82" t="s">
        <v>356</v>
      </c>
      <c r="C238" s="160"/>
      <c r="D238" s="160"/>
      <c r="E238" s="57" t="s">
        <v>572</v>
      </c>
      <c r="F238" s="57" t="s">
        <v>573</v>
      </c>
      <c r="G238" s="57"/>
      <c r="H238" s="57"/>
      <c r="I238" s="57"/>
      <c r="J238" s="39"/>
      <c r="K238" s="31">
        <v>0</v>
      </c>
      <c r="L238" s="234">
        <f t="shared" si="12"/>
        <v>0</v>
      </c>
      <c r="M238" s="234">
        <f t="shared" si="13"/>
        <v>0</v>
      </c>
      <c r="N238" s="234">
        <f t="shared" si="14"/>
        <v>0</v>
      </c>
      <c r="O238" s="234">
        <f t="shared" si="15"/>
        <v>0</v>
      </c>
    </row>
    <row r="239" spans="1:43" x14ac:dyDescent="0.3">
      <c r="A239" s="290" t="s">
        <v>1695</v>
      </c>
      <c r="B239" s="290" t="s">
        <v>576</v>
      </c>
      <c r="C239" s="247"/>
      <c r="D239" s="247"/>
      <c r="E239" s="251" t="s">
        <v>577</v>
      </c>
      <c r="F239" s="251" t="s">
        <v>578</v>
      </c>
      <c r="G239" s="372"/>
      <c r="H239" s="372"/>
      <c r="I239" s="372"/>
      <c r="J239" s="73"/>
      <c r="K239" s="31">
        <v>0</v>
      </c>
      <c r="L239" s="234">
        <f t="shared" si="12"/>
        <v>0</v>
      </c>
      <c r="M239" s="234">
        <f t="shared" si="13"/>
        <v>0</v>
      </c>
      <c r="N239" s="234">
        <f t="shared" si="14"/>
        <v>0</v>
      </c>
      <c r="O239" s="234">
        <f t="shared" si="15"/>
        <v>0</v>
      </c>
    </row>
    <row r="240" spans="1:43" x14ac:dyDescent="0.3">
      <c r="A240" s="269" t="s">
        <v>1696</v>
      </c>
      <c r="B240" s="269" t="s">
        <v>1564</v>
      </c>
      <c r="C240" s="49"/>
      <c r="D240" s="49"/>
      <c r="E240" s="281" t="s">
        <v>579</v>
      </c>
      <c r="F240" s="281" t="s">
        <v>580</v>
      </c>
      <c r="G240" s="281"/>
      <c r="H240" s="281"/>
      <c r="I240" s="281"/>
      <c r="J240" s="244"/>
      <c r="K240" s="37">
        <v>8</v>
      </c>
      <c r="L240" s="234">
        <f t="shared" si="12"/>
        <v>1.5864</v>
      </c>
      <c r="M240" s="234">
        <f t="shared" si="13"/>
        <v>0.87919999999999998</v>
      </c>
      <c r="N240" s="234">
        <f t="shared" si="14"/>
        <v>1.6344000000000001</v>
      </c>
      <c r="O240" s="234">
        <f t="shared" si="15"/>
        <v>0.92720000000000002</v>
      </c>
    </row>
    <row r="241" spans="1:15" s="216" customFormat="1" x14ac:dyDescent="0.3">
      <c r="A241" s="82" t="s">
        <v>1697</v>
      </c>
      <c r="B241" s="82" t="s">
        <v>584</v>
      </c>
      <c r="C241" s="160"/>
      <c r="D241" s="160"/>
      <c r="E241" s="57" t="s">
        <v>581</v>
      </c>
      <c r="F241" s="57" t="s">
        <v>585</v>
      </c>
      <c r="G241" s="57"/>
      <c r="H241" s="57"/>
      <c r="I241" s="57"/>
      <c r="J241" s="39"/>
      <c r="K241" s="31">
        <v>25</v>
      </c>
      <c r="L241" s="234">
        <f t="shared" si="12"/>
        <v>4.9575000000000005</v>
      </c>
      <c r="M241" s="234">
        <f t="shared" si="13"/>
        <v>2.7475000000000001</v>
      </c>
      <c r="N241" s="234">
        <f t="shared" si="14"/>
        <v>5.1074999999999999</v>
      </c>
      <c r="O241" s="234">
        <f t="shared" si="15"/>
        <v>2.8975</v>
      </c>
    </row>
    <row r="242" spans="1:15" x14ac:dyDescent="0.3">
      <c r="A242" s="82" t="s">
        <v>1698</v>
      </c>
      <c r="B242" s="269" t="s">
        <v>1565</v>
      </c>
      <c r="C242" s="49"/>
      <c r="D242" s="49"/>
      <c r="E242" s="281" t="s">
        <v>582</v>
      </c>
      <c r="F242" s="281" t="s">
        <v>583</v>
      </c>
      <c r="G242" s="281"/>
      <c r="H242" s="281"/>
      <c r="I242" s="281"/>
      <c r="J242" s="244"/>
      <c r="K242" s="37">
        <v>36</v>
      </c>
      <c r="L242" s="234">
        <f t="shared" si="12"/>
        <v>7.1387999999999998</v>
      </c>
      <c r="M242" s="234">
        <f t="shared" si="13"/>
        <v>3.9563999999999999</v>
      </c>
      <c r="N242" s="234">
        <f t="shared" si="14"/>
        <v>7.3548</v>
      </c>
      <c r="O242" s="234">
        <f t="shared" si="15"/>
        <v>4.1723999999999997</v>
      </c>
    </row>
    <row r="243" spans="1:15" s="216" customFormat="1" x14ac:dyDescent="0.3">
      <c r="A243" s="82" t="s">
        <v>1699</v>
      </c>
      <c r="B243" s="82" t="s">
        <v>1566</v>
      </c>
      <c r="C243" s="160"/>
      <c r="D243" s="160"/>
      <c r="E243" s="57" t="s">
        <v>586</v>
      </c>
      <c r="F243" s="57" t="s">
        <v>587</v>
      </c>
      <c r="G243" s="57"/>
      <c r="H243" s="57"/>
      <c r="I243" s="57"/>
      <c r="J243" s="39"/>
      <c r="K243" s="31">
        <v>36</v>
      </c>
      <c r="L243" s="234">
        <f t="shared" si="12"/>
        <v>7.1387999999999998</v>
      </c>
      <c r="M243" s="234">
        <f t="shared" si="13"/>
        <v>3.9563999999999999</v>
      </c>
      <c r="N243" s="234">
        <f t="shared" si="14"/>
        <v>7.3548</v>
      </c>
      <c r="O243" s="234">
        <f t="shared" si="15"/>
        <v>4.1723999999999997</v>
      </c>
    </row>
    <row r="244" spans="1:15" x14ac:dyDescent="0.3">
      <c r="A244" s="82" t="s">
        <v>1700</v>
      </c>
      <c r="B244" s="269" t="s">
        <v>1567</v>
      </c>
      <c r="C244" s="49"/>
      <c r="D244" s="49"/>
      <c r="E244" s="281" t="s">
        <v>588</v>
      </c>
      <c r="F244" s="281" t="s">
        <v>589</v>
      </c>
      <c r="G244" s="281"/>
      <c r="H244" s="281"/>
      <c r="I244" s="281"/>
      <c r="J244" s="244"/>
      <c r="K244" s="37">
        <v>41</v>
      </c>
      <c r="L244" s="234">
        <f t="shared" si="12"/>
        <v>8.1303000000000001</v>
      </c>
      <c r="M244" s="234">
        <f t="shared" si="13"/>
        <v>4.5058999999999996</v>
      </c>
      <c r="N244" s="234">
        <f t="shared" si="14"/>
        <v>8.3763000000000005</v>
      </c>
      <c r="O244" s="234">
        <f t="shared" si="15"/>
        <v>4.7519</v>
      </c>
    </row>
    <row r="245" spans="1:15" x14ac:dyDescent="0.3">
      <c r="A245" s="82" t="s">
        <v>1701</v>
      </c>
      <c r="B245" s="269" t="s">
        <v>592</v>
      </c>
      <c r="C245" s="49"/>
      <c r="D245" s="49"/>
      <c r="E245" s="281" t="s">
        <v>593</v>
      </c>
      <c r="F245" s="57" t="s">
        <v>594</v>
      </c>
      <c r="G245" s="281"/>
      <c r="H245" s="281"/>
      <c r="I245" s="281"/>
      <c r="J245" s="244"/>
      <c r="K245" s="37">
        <v>91</v>
      </c>
      <c r="L245" s="234">
        <f t="shared" si="12"/>
        <v>18.045300000000001</v>
      </c>
      <c r="M245" s="234">
        <f t="shared" si="13"/>
        <v>10.0009</v>
      </c>
      <c r="N245" s="234">
        <f t="shared" si="14"/>
        <v>18.5913</v>
      </c>
      <c r="O245" s="234">
        <f t="shared" si="15"/>
        <v>10.546900000000001</v>
      </c>
    </row>
    <row r="246" spans="1:15" x14ac:dyDescent="0.3">
      <c r="A246" s="82" t="s">
        <v>1702</v>
      </c>
      <c r="B246" s="269" t="s">
        <v>1568</v>
      </c>
      <c r="C246" s="49"/>
      <c r="D246" s="49"/>
      <c r="E246" s="281" t="s">
        <v>590</v>
      </c>
      <c r="F246" s="281" t="s">
        <v>591</v>
      </c>
      <c r="G246" s="281"/>
      <c r="H246" s="281"/>
      <c r="I246" s="281"/>
      <c r="J246" s="244"/>
      <c r="K246" s="37">
        <v>91</v>
      </c>
      <c r="L246" s="234">
        <f t="shared" si="12"/>
        <v>18.045300000000001</v>
      </c>
      <c r="M246" s="234">
        <f t="shared" si="13"/>
        <v>10.0009</v>
      </c>
      <c r="N246" s="234">
        <f t="shared" si="14"/>
        <v>18.5913</v>
      </c>
      <c r="O246" s="234">
        <f t="shared" si="15"/>
        <v>10.546900000000001</v>
      </c>
    </row>
    <row r="247" spans="1:15" x14ac:dyDescent="0.3">
      <c r="A247" s="82" t="s">
        <v>1703</v>
      </c>
      <c r="B247" s="269" t="s">
        <v>574</v>
      </c>
      <c r="C247" s="49"/>
      <c r="D247" s="49"/>
      <c r="E247" s="57" t="s">
        <v>575</v>
      </c>
      <c r="F247" s="281" t="s">
        <v>595</v>
      </c>
      <c r="G247" s="281"/>
      <c r="H247" s="281"/>
      <c r="I247" s="281"/>
      <c r="J247" s="244"/>
      <c r="K247" s="37">
        <v>104</v>
      </c>
      <c r="L247" s="234">
        <f t="shared" si="12"/>
        <v>20.623200000000001</v>
      </c>
      <c r="M247" s="234">
        <f>K247*$M$9</f>
        <v>11.429600000000001</v>
      </c>
      <c r="N247" s="234">
        <f t="shared" si="14"/>
        <v>21.247199999999999</v>
      </c>
      <c r="O247" s="234">
        <f t="shared" si="15"/>
        <v>12.053599999999999</v>
      </c>
    </row>
    <row r="248" spans="1:15" x14ac:dyDescent="0.3">
      <c r="A248" s="303"/>
      <c r="B248" s="168"/>
      <c r="C248" s="159"/>
      <c r="D248" s="159"/>
      <c r="E248" s="54"/>
      <c r="F248" s="54"/>
      <c r="G248" s="54"/>
      <c r="H248" s="54"/>
      <c r="I248" s="54"/>
      <c r="J248" s="54"/>
      <c r="K248" s="37"/>
      <c r="L248" s="234"/>
      <c r="M248" s="234"/>
      <c r="N248" s="234"/>
      <c r="O248" s="234"/>
    </row>
    <row r="249" spans="1:15" x14ac:dyDescent="0.3">
      <c r="A249" s="112" t="s">
        <v>178</v>
      </c>
      <c r="B249" s="119"/>
      <c r="C249" s="119"/>
      <c r="D249" s="119"/>
      <c r="E249" s="293"/>
      <c r="F249" s="293"/>
      <c r="G249" s="293"/>
      <c r="H249" s="293"/>
      <c r="I249" s="293"/>
      <c r="J249" s="293"/>
      <c r="K249" s="148"/>
      <c r="L249" s="148"/>
      <c r="M249" s="148"/>
      <c r="N249" s="148"/>
      <c r="O249" s="148"/>
    </row>
    <row r="250" spans="1:15" x14ac:dyDescent="0.3">
      <c r="A250" s="269" t="s">
        <v>1677</v>
      </c>
      <c r="B250" s="269" t="s">
        <v>1530</v>
      </c>
      <c r="C250" s="49"/>
      <c r="D250" s="49"/>
      <c r="E250" s="281"/>
      <c r="F250" s="281"/>
      <c r="G250" s="281" t="s">
        <v>596</v>
      </c>
      <c r="H250" s="281" t="s">
        <v>597</v>
      </c>
      <c r="I250" s="281"/>
      <c r="J250" s="244"/>
      <c r="K250" s="37">
        <v>0</v>
      </c>
      <c r="L250" s="234">
        <f t="shared" si="12"/>
        <v>0</v>
      </c>
      <c r="M250" s="234">
        <f t="shared" si="13"/>
        <v>0</v>
      </c>
      <c r="N250" s="234">
        <f t="shared" si="14"/>
        <v>0</v>
      </c>
      <c r="O250" s="234">
        <f t="shared" si="15"/>
        <v>0</v>
      </c>
    </row>
    <row r="251" spans="1:15" x14ac:dyDescent="0.3">
      <c r="A251" s="269" t="s">
        <v>1704</v>
      </c>
      <c r="B251" s="269" t="s">
        <v>1556</v>
      </c>
      <c r="C251" s="49"/>
      <c r="D251" s="49"/>
      <c r="E251" s="281"/>
      <c r="F251" s="281"/>
      <c r="G251" s="281" t="s">
        <v>598</v>
      </c>
      <c r="H251" s="281" t="s">
        <v>599</v>
      </c>
      <c r="I251" s="281"/>
      <c r="J251" s="244"/>
      <c r="K251" s="37">
        <v>8</v>
      </c>
      <c r="L251" s="234">
        <f t="shared" si="12"/>
        <v>1.5864</v>
      </c>
      <c r="M251" s="234">
        <f t="shared" si="13"/>
        <v>0.87919999999999998</v>
      </c>
      <c r="N251" s="234">
        <f t="shared" si="14"/>
        <v>1.6344000000000001</v>
      </c>
      <c r="O251" s="234">
        <f t="shared" si="15"/>
        <v>0.92720000000000002</v>
      </c>
    </row>
    <row r="252" spans="1:15" x14ac:dyDescent="0.3">
      <c r="A252" s="269" t="s">
        <v>1705</v>
      </c>
      <c r="B252" s="269" t="s">
        <v>1557</v>
      </c>
      <c r="C252" s="49"/>
      <c r="D252" s="49"/>
      <c r="E252" s="281"/>
      <c r="F252" s="281"/>
      <c r="G252" s="281" t="s">
        <v>600</v>
      </c>
      <c r="H252" s="281" t="s">
        <v>601</v>
      </c>
      <c r="I252" s="281"/>
      <c r="J252" s="244"/>
      <c r="K252" s="37">
        <v>11</v>
      </c>
      <c r="L252" s="234">
        <f t="shared" si="12"/>
        <v>2.1813000000000002</v>
      </c>
      <c r="M252" s="234">
        <f t="shared" si="13"/>
        <v>1.2088999999999999</v>
      </c>
      <c r="N252" s="234">
        <f t="shared" si="14"/>
        <v>2.2473000000000001</v>
      </c>
      <c r="O252" s="234">
        <f t="shared" si="15"/>
        <v>1.2749000000000001</v>
      </c>
    </row>
    <row r="253" spans="1:15" x14ac:dyDescent="0.3">
      <c r="A253" s="269" t="s">
        <v>1679</v>
      </c>
      <c r="B253" s="269" t="s">
        <v>1558</v>
      </c>
      <c r="C253" s="49"/>
      <c r="D253" s="49"/>
      <c r="E253" s="281"/>
      <c r="F253" s="281"/>
      <c r="G253" s="281" t="s">
        <v>602</v>
      </c>
      <c r="H253" s="281" t="s">
        <v>603</v>
      </c>
      <c r="I253" s="281"/>
      <c r="J253" s="244"/>
      <c r="K253" s="37">
        <v>30</v>
      </c>
      <c r="L253" s="234">
        <f t="shared" si="12"/>
        <v>5.9489999999999998</v>
      </c>
      <c r="M253" s="234">
        <f t="shared" si="13"/>
        <v>3.2969999999999997</v>
      </c>
      <c r="N253" s="234">
        <f t="shared" si="14"/>
        <v>6.1290000000000004</v>
      </c>
      <c r="O253" s="234">
        <f t="shared" si="15"/>
        <v>3.4770000000000003</v>
      </c>
    </row>
    <row r="254" spans="1:15" x14ac:dyDescent="0.3">
      <c r="A254" s="269" t="s">
        <v>1706</v>
      </c>
      <c r="B254" s="269" t="s">
        <v>1559</v>
      </c>
      <c r="C254" s="49"/>
      <c r="D254" s="49"/>
      <c r="E254" s="281"/>
      <c r="F254" s="281"/>
      <c r="G254" s="281" t="s">
        <v>604</v>
      </c>
      <c r="H254" s="281" t="s">
        <v>605</v>
      </c>
      <c r="I254" s="281"/>
      <c r="J254" s="244"/>
      <c r="K254" s="37">
        <v>36</v>
      </c>
      <c r="L254" s="234">
        <f t="shared" si="12"/>
        <v>7.1387999999999998</v>
      </c>
      <c r="M254" s="234">
        <f t="shared" si="13"/>
        <v>3.9563999999999999</v>
      </c>
      <c r="N254" s="234">
        <f t="shared" si="14"/>
        <v>7.3548</v>
      </c>
      <c r="O254" s="234">
        <f t="shared" si="15"/>
        <v>4.1723999999999997</v>
      </c>
    </row>
    <row r="255" spans="1:15" x14ac:dyDescent="0.3">
      <c r="A255" s="269" t="s">
        <v>1682</v>
      </c>
      <c r="B255" s="269" t="s">
        <v>1560</v>
      </c>
      <c r="C255" s="49"/>
      <c r="D255" s="49"/>
      <c r="E255" s="281"/>
      <c r="F255" s="281"/>
      <c r="G255" s="281" t="s">
        <v>606</v>
      </c>
      <c r="H255" s="281" t="s">
        <v>607</v>
      </c>
      <c r="I255" s="281"/>
      <c r="J255" s="244"/>
      <c r="K255" s="37">
        <v>71</v>
      </c>
      <c r="L255" s="234">
        <f t="shared" si="12"/>
        <v>14.0793</v>
      </c>
      <c r="M255" s="234">
        <f t="shared" si="13"/>
        <v>7.8029000000000002</v>
      </c>
      <c r="N255" s="234">
        <f t="shared" si="14"/>
        <v>14.5053</v>
      </c>
      <c r="O255" s="234">
        <f t="shared" si="15"/>
        <v>8.2288999999999994</v>
      </c>
    </row>
    <row r="256" spans="1:15" x14ac:dyDescent="0.3">
      <c r="A256" s="269" t="s">
        <v>1707</v>
      </c>
      <c r="B256" s="269" t="s">
        <v>1561</v>
      </c>
      <c r="C256" s="49"/>
      <c r="D256" s="49"/>
      <c r="E256" s="281"/>
      <c r="F256" s="281"/>
      <c r="G256" s="281" t="s">
        <v>608</v>
      </c>
      <c r="H256" s="281" t="s">
        <v>609</v>
      </c>
      <c r="I256" s="281"/>
      <c r="J256" s="244"/>
      <c r="K256" s="37">
        <v>82</v>
      </c>
      <c r="L256" s="234">
        <f t="shared" si="12"/>
        <v>16.2606</v>
      </c>
      <c r="M256" s="234">
        <f t="shared" si="13"/>
        <v>9.0117999999999991</v>
      </c>
      <c r="N256" s="234">
        <f t="shared" si="14"/>
        <v>16.752600000000001</v>
      </c>
      <c r="O256" s="234">
        <f t="shared" si="15"/>
        <v>9.5038</v>
      </c>
    </row>
    <row r="257" spans="1:43" x14ac:dyDescent="0.3">
      <c r="A257" s="269" t="s">
        <v>1708</v>
      </c>
      <c r="B257" s="269" t="s">
        <v>610</v>
      </c>
      <c r="C257" s="49"/>
      <c r="D257" s="49"/>
      <c r="E257" s="281"/>
      <c r="F257" s="281"/>
      <c r="G257" s="281" t="s">
        <v>611</v>
      </c>
      <c r="H257" s="281" t="s">
        <v>615</v>
      </c>
      <c r="I257" s="281"/>
      <c r="J257" s="244"/>
      <c r="K257" s="37">
        <v>117</v>
      </c>
      <c r="L257" s="234">
        <f t="shared" si="12"/>
        <v>23.2011</v>
      </c>
      <c r="M257" s="234">
        <f t="shared" si="13"/>
        <v>12.8583</v>
      </c>
      <c r="N257" s="234">
        <f t="shared" si="14"/>
        <v>23.903100000000002</v>
      </c>
      <c r="O257" s="234">
        <f t="shared" si="15"/>
        <v>13.5603</v>
      </c>
    </row>
    <row r="258" spans="1:43" s="310" customFormat="1" x14ac:dyDescent="0.3">
      <c r="A258" s="269" t="s">
        <v>1709</v>
      </c>
      <c r="B258" s="269" t="s">
        <v>1562</v>
      </c>
      <c r="C258" s="49"/>
      <c r="D258" s="49"/>
      <c r="E258" s="281"/>
      <c r="F258" s="281"/>
      <c r="G258" s="281" t="s">
        <v>612</v>
      </c>
      <c r="H258" s="281" t="s">
        <v>613</v>
      </c>
      <c r="I258" s="281"/>
      <c r="J258" s="244"/>
      <c r="K258" s="37">
        <v>117</v>
      </c>
      <c r="L258" s="234">
        <f t="shared" si="12"/>
        <v>23.2011</v>
      </c>
      <c r="M258" s="234">
        <f t="shared" si="13"/>
        <v>12.8583</v>
      </c>
      <c r="N258" s="234">
        <f t="shared" si="14"/>
        <v>23.903100000000002</v>
      </c>
      <c r="O258" s="234">
        <f t="shared" si="15"/>
        <v>13.5603</v>
      </c>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row>
    <row r="259" spans="1:43" s="310" customFormat="1" x14ac:dyDescent="0.3">
      <c r="A259" s="269" t="s">
        <v>1710</v>
      </c>
      <c r="B259" s="269" t="s">
        <v>1563</v>
      </c>
      <c r="C259" s="49"/>
      <c r="D259" s="49"/>
      <c r="E259" s="281"/>
      <c r="F259" s="281"/>
      <c r="G259" s="281" t="s">
        <v>614</v>
      </c>
      <c r="H259" s="170" t="s">
        <v>1532</v>
      </c>
      <c r="I259" s="281"/>
      <c r="J259" s="244"/>
      <c r="K259" s="37">
        <v>128</v>
      </c>
      <c r="L259" s="234">
        <f t="shared" si="12"/>
        <v>25.382400000000001</v>
      </c>
      <c r="M259" s="234">
        <f t="shared" si="13"/>
        <v>14.0672</v>
      </c>
      <c r="N259" s="234">
        <f t="shared" si="14"/>
        <v>26.150400000000001</v>
      </c>
      <c r="O259" s="234">
        <f t="shared" si="15"/>
        <v>14.8352</v>
      </c>
      <c r="P259" s="209"/>
      <c r="Q259" s="209"/>
      <c r="R259" s="209"/>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row>
    <row r="260" spans="1:43" s="42" customFormat="1" x14ac:dyDescent="0.3">
      <c r="A260" s="82" t="s">
        <v>1711</v>
      </c>
      <c r="B260" s="82" t="s">
        <v>616</v>
      </c>
      <c r="C260" s="182"/>
      <c r="D260" s="182"/>
      <c r="E260" s="120"/>
      <c r="F260" s="120"/>
      <c r="G260" s="175" t="s">
        <v>1531</v>
      </c>
      <c r="H260" s="175" t="s">
        <v>617</v>
      </c>
      <c r="I260" s="120"/>
      <c r="J260" s="120"/>
      <c r="K260" s="31">
        <v>158</v>
      </c>
      <c r="L260" s="234">
        <f t="shared" si="12"/>
        <v>31.331400000000002</v>
      </c>
      <c r="M260" s="234">
        <f t="shared" si="13"/>
        <v>17.3642</v>
      </c>
      <c r="N260" s="234">
        <f t="shared" si="14"/>
        <v>32.279400000000003</v>
      </c>
      <c r="O260" s="234">
        <f t="shared" si="15"/>
        <v>18.312200000000001</v>
      </c>
      <c r="P260" s="209"/>
      <c r="Q260" s="209"/>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row>
    <row r="261" spans="1:43" s="42" customFormat="1" x14ac:dyDescent="0.3">
      <c r="A261" s="82"/>
      <c r="B261" s="82"/>
      <c r="C261" s="182"/>
      <c r="D261" s="182"/>
      <c r="E261" s="120"/>
      <c r="F261" s="120"/>
      <c r="G261" s="175"/>
      <c r="H261" s="175"/>
      <c r="I261" s="120"/>
      <c r="J261" s="120"/>
      <c r="K261" s="31"/>
      <c r="L261" s="234"/>
      <c r="M261" s="234"/>
      <c r="N261" s="234"/>
      <c r="O261" s="234"/>
      <c r="P261" s="209"/>
      <c r="Q261" s="209"/>
      <c r="R261" s="209"/>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row>
    <row r="262" spans="1:43" s="310" customFormat="1" x14ac:dyDescent="0.3">
      <c r="A262" s="112" t="s">
        <v>618</v>
      </c>
      <c r="B262" s="119"/>
      <c r="C262" s="119"/>
      <c r="D262" s="119"/>
      <c r="E262" s="293"/>
      <c r="F262" s="293"/>
      <c r="G262" s="293"/>
      <c r="H262" s="293"/>
      <c r="I262" s="293"/>
      <c r="J262" s="293"/>
      <c r="K262" s="148"/>
      <c r="L262" s="148"/>
      <c r="M262" s="148"/>
      <c r="N262" s="148"/>
      <c r="O262" s="148"/>
      <c r="P262" s="209"/>
      <c r="Q262" s="209"/>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row>
    <row r="263" spans="1:43" s="310" customFormat="1" x14ac:dyDescent="0.3">
      <c r="A263" s="269" t="s">
        <v>1712</v>
      </c>
      <c r="B263" s="269" t="s">
        <v>399</v>
      </c>
      <c r="C263" s="49"/>
      <c r="D263" s="49"/>
      <c r="E263" s="281"/>
      <c r="F263" s="281"/>
      <c r="G263" s="281"/>
      <c r="H263" s="281"/>
      <c r="I263" s="81" t="s">
        <v>619</v>
      </c>
      <c r="J263" s="281" t="s">
        <v>620</v>
      </c>
      <c r="K263" s="37">
        <v>0</v>
      </c>
      <c r="L263" s="234">
        <f t="shared" si="12"/>
        <v>0</v>
      </c>
      <c r="M263" s="234">
        <f t="shared" si="13"/>
        <v>0</v>
      </c>
      <c r="N263" s="234">
        <f t="shared" si="14"/>
        <v>0</v>
      </c>
      <c r="O263" s="234">
        <f t="shared" si="15"/>
        <v>0</v>
      </c>
      <c r="P263" s="209"/>
      <c r="Q263" s="209"/>
      <c r="R263" s="209"/>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row>
    <row r="264" spans="1:43" s="310" customFormat="1" x14ac:dyDescent="0.3">
      <c r="A264" s="269" t="s">
        <v>1713</v>
      </c>
      <c r="B264" s="269" t="s">
        <v>621</v>
      </c>
      <c r="C264" s="49"/>
      <c r="D264" s="49"/>
      <c r="E264" s="281"/>
      <c r="F264" s="281"/>
      <c r="G264" s="281"/>
      <c r="H264" s="281"/>
      <c r="I264" s="281" t="s">
        <v>622</v>
      </c>
      <c r="J264" s="281" t="s">
        <v>626</v>
      </c>
      <c r="K264" s="37">
        <v>0</v>
      </c>
      <c r="L264" s="234">
        <f t="shared" si="12"/>
        <v>0</v>
      </c>
      <c r="M264" s="234">
        <f t="shared" si="13"/>
        <v>0</v>
      </c>
      <c r="N264" s="234">
        <f t="shared" si="14"/>
        <v>0</v>
      </c>
      <c r="O264" s="234">
        <f t="shared" si="15"/>
        <v>0</v>
      </c>
      <c r="P264" s="209"/>
      <c r="Q264" s="209"/>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row>
    <row r="265" spans="1:43" s="219" customFormat="1" x14ac:dyDescent="0.3">
      <c r="A265" s="82" t="s">
        <v>1714</v>
      </c>
      <c r="B265" s="82" t="s">
        <v>623</v>
      </c>
      <c r="C265" s="160"/>
      <c r="D265" s="160"/>
      <c r="E265" s="57"/>
      <c r="F265" s="57"/>
      <c r="G265" s="57"/>
      <c r="H265" s="57"/>
      <c r="I265" s="57" t="s">
        <v>624</v>
      </c>
      <c r="J265" s="57" t="s">
        <v>625</v>
      </c>
      <c r="K265" s="31">
        <v>8</v>
      </c>
      <c r="L265" s="234">
        <f t="shared" si="12"/>
        <v>1.5864</v>
      </c>
      <c r="M265" s="234">
        <f t="shared" si="13"/>
        <v>0.87919999999999998</v>
      </c>
      <c r="N265" s="234">
        <f t="shared" si="14"/>
        <v>1.6344000000000001</v>
      </c>
      <c r="O265" s="234">
        <f t="shared" si="15"/>
        <v>0.92720000000000002</v>
      </c>
    </row>
    <row r="266" spans="1:43" s="219" customFormat="1" x14ac:dyDescent="0.3">
      <c r="A266" s="82" t="s">
        <v>1715</v>
      </c>
      <c r="B266" s="82" t="s">
        <v>405</v>
      </c>
      <c r="C266" s="160"/>
      <c r="D266" s="160"/>
      <c r="E266" s="57"/>
      <c r="F266" s="57"/>
      <c r="G266" s="57"/>
      <c r="H266" s="57"/>
      <c r="I266" s="57" t="s">
        <v>627</v>
      </c>
      <c r="J266" s="57"/>
      <c r="K266" s="31">
        <v>30</v>
      </c>
      <c r="L266" s="234">
        <f t="shared" si="12"/>
        <v>5.9489999999999998</v>
      </c>
      <c r="M266" s="234">
        <f t="shared" si="13"/>
        <v>3.2969999999999997</v>
      </c>
      <c r="N266" s="234">
        <f t="shared" si="14"/>
        <v>6.1290000000000004</v>
      </c>
      <c r="O266" s="234">
        <f t="shared" si="15"/>
        <v>3.4770000000000003</v>
      </c>
    </row>
    <row r="267" spans="1:43" s="219" customFormat="1" x14ac:dyDescent="0.3">
      <c r="A267" s="82" t="s">
        <v>1716</v>
      </c>
      <c r="B267" s="82" t="s">
        <v>628</v>
      </c>
      <c r="C267" s="160"/>
      <c r="D267" s="160"/>
      <c r="E267" s="57"/>
      <c r="F267" s="57"/>
      <c r="G267" s="57"/>
      <c r="H267" s="57"/>
      <c r="I267" s="57" t="s">
        <v>629</v>
      </c>
      <c r="J267" s="57"/>
      <c r="K267" s="31">
        <v>30</v>
      </c>
      <c r="L267" s="234">
        <f t="shared" si="12"/>
        <v>5.9489999999999998</v>
      </c>
      <c r="M267" s="234">
        <f t="shared" si="13"/>
        <v>3.2969999999999997</v>
      </c>
      <c r="N267" s="234">
        <f t="shared" si="14"/>
        <v>6.1290000000000004</v>
      </c>
      <c r="O267" s="234">
        <f t="shared" si="15"/>
        <v>3.4770000000000003</v>
      </c>
    </row>
    <row r="268" spans="1:43" s="219" customFormat="1" x14ac:dyDescent="0.3">
      <c r="A268" s="82" t="s">
        <v>1715</v>
      </c>
      <c r="B268" s="82" t="s">
        <v>405</v>
      </c>
      <c r="C268" s="160"/>
      <c r="D268" s="160"/>
      <c r="E268" s="57"/>
      <c r="F268" s="57"/>
      <c r="G268" s="57"/>
      <c r="H268" s="57"/>
      <c r="I268" s="57"/>
      <c r="J268" s="57" t="s">
        <v>630</v>
      </c>
      <c r="K268" s="31">
        <v>36</v>
      </c>
      <c r="L268" s="234">
        <f t="shared" si="12"/>
        <v>7.1387999999999998</v>
      </c>
      <c r="M268" s="234">
        <f t="shared" si="13"/>
        <v>3.9563999999999999</v>
      </c>
      <c r="N268" s="234">
        <f t="shared" si="14"/>
        <v>7.3548</v>
      </c>
      <c r="O268" s="234">
        <f t="shared" si="15"/>
        <v>4.1723999999999997</v>
      </c>
    </row>
    <row r="269" spans="1:43" s="219" customFormat="1" x14ac:dyDescent="0.3">
      <c r="A269" s="82" t="s">
        <v>1716</v>
      </c>
      <c r="B269" s="82" t="s">
        <v>628</v>
      </c>
      <c r="C269" s="160"/>
      <c r="D269" s="160"/>
      <c r="E269" s="57"/>
      <c r="F269" s="57"/>
      <c r="G269" s="57"/>
      <c r="H269" s="57"/>
      <c r="I269" s="57"/>
      <c r="J269" s="57" t="s">
        <v>631</v>
      </c>
      <c r="K269" s="31">
        <v>41</v>
      </c>
      <c r="L269" s="234">
        <f t="shared" si="12"/>
        <v>8.1303000000000001</v>
      </c>
      <c r="M269" s="234">
        <f t="shared" si="13"/>
        <v>4.5058999999999996</v>
      </c>
      <c r="N269" s="234">
        <f t="shared" si="14"/>
        <v>8.3763000000000005</v>
      </c>
      <c r="O269" s="234">
        <f t="shared" si="15"/>
        <v>4.7519</v>
      </c>
    </row>
    <row r="270" spans="1:43" s="310" customFormat="1" x14ac:dyDescent="0.3">
      <c r="A270" s="269" t="s">
        <v>1717</v>
      </c>
      <c r="B270" s="269" t="s">
        <v>632</v>
      </c>
      <c r="C270" s="49"/>
      <c r="D270" s="49"/>
      <c r="E270" s="281"/>
      <c r="F270" s="281"/>
      <c r="G270" s="281"/>
      <c r="H270" s="281"/>
      <c r="I270" s="281" t="s">
        <v>633</v>
      </c>
      <c r="J270" s="281"/>
      <c r="K270" s="37">
        <v>76</v>
      </c>
      <c r="L270" s="234">
        <f t="shared" si="12"/>
        <v>15.0708</v>
      </c>
      <c r="M270" s="234">
        <f t="shared" si="13"/>
        <v>8.3523999999999994</v>
      </c>
      <c r="N270" s="234">
        <f t="shared" si="14"/>
        <v>15.526800000000001</v>
      </c>
      <c r="O270" s="234">
        <f t="shared" si="15"/>
        <v>8.8084000000000007</v>
      </c>
      <c r="P270" s="209"/>
      <c r="Q270" s="209"/>
      <c r="R270" s="209"/>
      <c r="S270" s="209"/>
      <c r="T270" s="209"/>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row>
    <row r="271" spans="1:43" s="219" customFormat="1" x14ac:dyDescent="0.3">
      <c r="A271" s="82" t="s">
        <v>1717</v>
      </c>
      <c r="B271" s="82" t="s">
        <v>632</v>
      </c>
      <c r="C271" s="160"/>
      <c r="D271" s="160"/>
      <c r="E271" s="57"/>
      <c r="F271" s="57"/>
      <c r="G271" s="57"/>
      <c r="H271" s="57"/>
      <c r="I271" s="57"/>
      <c r="J271" s="57" t="s">
        <v>635</v>
      </c>
      <c r="K271" s="31">
        <v>82</v>
      </c>
      <c r="L271" s="234">
        <f t="shared" si="12"/>
        <v>16.2606</v>
      </c>
      <c r="M271" s="234">
        <f t="shared" si="13"/>
        <v>9.0117999999999991</v>
      </c>
      <c r="N271" s="234">
        <f t="shared" si="14"/>
        <v>16.752600000000001</v>
      </c>
      <c r="O271" s="234">
        <f t="shared" si="15"/>
        <v>9.5038</v>
      </c>
    </row>
    <row r="272" spans="1:43" s="330" customFormat="1" x14ac:dyDescent="0.3">
      <c r="A272" s="269" t="s">
        <v>1718</v>
      </c>
      <c r="B272" s="82" t="s">
        <v>636</v>
      </c>
      <c r="C272" s="49"/>
      <c r="D272" s="49"/>
      <c r="E272" s="281"/>
      <c r="F272" s="281"/>
      <c r="G272" s="281"/>
      <c r="H272" s="281"/>
      <c r="I272" s="281" t="s">
        <v>634</v>
      </c>
      <c r="J272" s="281"/>
      <c r="K272" s="37">
        <v>82</v>
      </c>
      <c r="L272" s="234">
        <f t="shared" ref="L272:L336" si="16">K272*$L$9</f>
        <v>16.2606</v>
      </c>
      <c r="M272" s="234">
        <f t="shared" ref="M272:M336" si="17">K272*$M$9</f>
        <v>9.0117999999999991</v>
      </c>
      <c r="N272" s="234">
        <f t="shared" ref="N272:N336" si="18">K272*$N$9</f>
        <v>16.752600000000001</v>
      </c>
      <c r="O272" s="234">
        <f t="shared" ref="O272:O336" si="19">K272*$O$9</f>
        <v>9.5038</v>
      </c>
      <c r="P272" s="221"/>
      <c r="Q272" s="221"/>
      <c r="R272" s="221"/>
      <c r="S272" s="221"/>
      <c r="T272" s="221"/>
      <c r="U272" s="221"/>
      <c r="V272" s="221"/>
      <c r="W272" s="221"/>
      <c r="X272" s="221"/>
      <c r="Y272" s="221"/>
      <c r="Z272" s="221"/>
      <c r="AA272" s="221"/>
      <c r="AB272" s="221"/>
      <c r="AC272" s="221"/>
      <c r="AD272" s="221"/>
      <c r="AE272" s="221"/>
      <c r="AF272" s="221"/>
      <c r="AG272" s="221"/>
      <c r="AH272" s="221"/>
      <c r="AI272" s="221"/>
      <c r="AJ272" s="221"/>
      <c r="AK272" s="221"/>
      <c r="AL272" s="221"/>
      <c r="AM272" s="221"/>
      <c r="AN272" s="221"/>
      <c r="AO272" s="221"/>
      <c r="AP272" s="221"/>
      <c r="AQ272" s="221"/>
    </row>
    <row r="273" spans="1:43" s="330" customFormat="1" x14ac:dyDescent="0.3">
      <c r="A273" s="269" t="s">
        <v>1718</v>
      </c>
      <c r="B273" s="269" t="s">
        <v>636</v>
      </c>
      <c r="C273" s="49"/>
      <c r="D273" s="49"/>
      <c r="E273" s="281"/>
      <c r="F273" s="281"/>
      <c r="G273" s="281"/>
      <c r="H273" s="281"/>
      <c r="I273" s="281"/>
      <c r="J273" s="281" t="s">
        <v>637</v>
      </c>
      <c r="K273" s="37">
        <v>91</v>
      </c>
      <c r="L273" s="234">
        <f t="shared" si="16"/>
        <v>18.045300000000001</v>
      </c>
      <c r="M273" s="234">
        <f t="shared" si="17"/>
        <v>10.0009</v>
      </c>
      <c r="N273" s="234">
        <f t="shared" si="18"/>
        <v>18.5913</v>
      </c>
      <c r="O273" s="234">
        <f t="shared" si="19"/>
        <v>10.546900000000001</v>
      </c>
      <c r="P273" s="221"/>
      <c r="Q273" s="221"/>
      <c r="R273" s="221"/>
      <c r="S273" s="221"/>
      <c r="T273" s="221"/>
      <c r="U273" s="221"/>
      <c r="V273" s="221"/>
      <c r="W273" s="221"/>
      <c r="X273" s="221"/>
      <c r="Y273" s="221"/>
      <c r="Z273" s="221"/>
      <c r="AA273" s="221"/>
      <c r="AB273" s="221"/>
      <c r="AC273" s="221"/>
      <c r="AD273" s="221"/>
      <c r="AE273" s="221"/>
      <c r="AF273" s="221"/>
      <c r="AG273" s="221"/>
      <c r="AH273" s="221"/>
      <c r="AI273" s="221"/>
      <c r="AJ273" s="221"/>
      <c r="AK273" s="221"/>
      <c r="AL273" s="221"/>
      <c r="AM273" s="221"/>
      <c r="AN273" s="221"/>
      <c r="AO273" s="221"/>
      <c r="AP273" s="221"/>
      <c r="AQ273" s="221"/>
    </row>
    <row r="274" spans="1:43" s="330" customFormat="1" x14ac:dyDescent="0.3">
      <c r="A274" s="269" t="s">
        <v>1719</v>
      </c>
      <c r="B274" s="269" t="s">
        <v>638</v>
      </c>
      <c r="C274" s="49"/>
      <c r="D274" s="49"/>
      <c r="E274" s="281"/>
      <c r="F274" s="281"/>
      <c r="G274" s="281"/>
      <c r="H274" s="281"/>
      <c r="I274" s="281" t="s">
        <v>639</v>
      </c>
      <c r="J274" s="281"/>
      <c r="K274" s="37">
        <v>151</v>
      </c>
      <c r="L274" s="234">
        <f t="shared" si="16"/>
        <v>29.943300000000001</v>
      </c>
      <c r="M274" s="234">
        <f t="shared" si="17"/>
        <v>16.594899999999999</v>
      </c>
      <c r="N274" s="234">
        <f t="shared" si="18"/>
        <v>30.849300000000003</v>
      </c>
      <c r="O274" s="234">
        <f t="shared" si="19"/>
        <v>17.500900000000001</v>
      </c>
      <c r="P274" s="221"/>
      <c r="Q274" s="221"/>
      <c r="R274" s="221"/>
      <c r="S274" s="221"/>
      <c r="T274" s="221"/>
      <c r="U274" s="221"/>
      <c r="V274" s="221"/>
      <c r="W274" s="221"/>
      <c r="X274" s="221"/>
      <c r="Y274" s="221"/>
      <c r="Z274" s="221"/>
      <c r="AA274" s="221"/>
      <c r="AB274" s="221"/>
      <c r="AC274" s="221"/>
      <c r="AD274" s="221"/>
      <c r="AE274" s="221"/>
      <c r="AF274" s="221"/>
      <c r="AG274" s="221"/>
      <c r="AH274" s="221"/>
      <c r="AI274" s="221"/>
      <c r="AJ274" s="221"/>
      <c r="AK274" s="221"/>
      <c r="AL274" s="221"/>
      <c r="AM274" s="221"/>
      <c r="AN274" s="221"/>
      <c r="AO274" s="221"/>
      <c r="AP274" s="221"/>
      <c r="AQ274" s="221"/>
    </row>
    <row r="275" spans="1:43" s="330" customFormat="1" x14ac:dyDescent="0.3">
      <c r="A275" s="82" t="s">
        <v>1720</v>
      </c>
      <c r="B275" s="269" t="s">
        <v>640</v>
      </c>
      <c r="C275" s="49"/>
      <c r="D275" s="49"/>
      <c r="E275" s="281"/>
      <c r="F275" s="281"/>
      <c r="G275" s="281"/>
      <c r="H275" s="281"/>
      <c r="I275" s="281" t="s">
        <v>641</v>
      </c>
      <c r="J275" s="281" t="s">
        <v>643</v>
      </c>
      <c r="K275" s="37">
        <v>151</v>
      </c>
      <c r="L275" s="234">
        <f t="shared" si="16"/>
        <v>29.943300000000001</v>
      </c>
      <c r="M275" s="234">
        <f t="shared" si="17"/>
        <v>16.594899999999999</v>
      </c>
      <c r="N275" s="234">
        <f t="shared" si="18"/>
        <v>30.849300000000003</v>
      </c>
      <c r="O275" s="234">
        <f t="shared" si="19"/>
        <v>17.500900000000001</v>
      </c>
      <c r="P275" s="221"/>
      <c r="Q275" s="221"/>
      <c r="R275" s="221"/>
      <c r="S275" s="221"/>
      <c r="T275" s="221"/>
      <c r="U275" s="221"/>
      <c r="V275" s="221"/>
      <c r="W275" s="221"/>
      <c r="X275" s="221"/>
      <c r="Y275" s="221"/>
      <c r="Z275" s="221"/>
      <c r="AA275" s="221"/>
      <c r="AB275" s="221"/>
      <c r="AC275" s="221"/>
      <c r="AD275" s="221"/>
      <c r="AE275" s="221"/>
      <c r="AF275" s="221"/>
      <c r="AG275" s="221"/>
      <c r="AH275" s="221"/>
      <c r="AI275" s="221"/>
      <c r="AJ275" s="221"/>
      <c r="AK275" s="221"/>
      <c r="AL275" s="221"/>
      <c r="AM275" s="221"/>
      <c r="AN275" s="221"/>
      <c r="AO275" s="221"/>
      <c r="AP275" s="221"/>
      <c r="AQ275" s="221"/>
    </row>
    <row r="276" spans="1:43" s="330" customFormat="1" x14ac:dyDescent="0.3">
      <c r="A276" s="269" t="s">
        <v>1721</v>
      </c>
      <c r="B276" s="269" t="s">
        <v>644</v>
      </c>
      <c r="C276" s="49"/>
      <c r="D276" s="49"/>
      <c r="E276" s="281"/>
      <c r="F276" s="281"/>
      <c r="G276" s="281"/>
      <c r="H276" s="281"/>
      <c r="I276" s="281" t="s">
        <v>642</v>
      </c>
      <c r="J276" s="57" t="s">
        <v>645</v>
      </c>
      <c r="K276" s="37">
        <v>151</v>
      </c>
      <c r="L276" s="234">
        <f t="shared" si="16"/>
        <v>29.943300000000001</v>
      </c>
      <c r="M276" s="234">
        <f t="shared" si="17"/>
        <v>16.594899999999999</v>
      </c>
      <c r="N276" s="234">
        <f t="shared" si="18"/>
        <v>30.849300000000003</v>
      </c>
      <c r="O276" s="234">
        <f t="shared" si="19"/>
        <v>17.500900000000001</v>
      </c>
      <c r="P276" s="221"/>
      <c r="Q276" s="221"/>
      <c r="R276" s="221"/>
      <c r="S276" s="221"/>
      <c r="T276" s="221"/>
      <c r="U276" s="221"/>
      <c r="V276" s="221"/>
      <c r="W276" s="221"/>
      <c r="X276" s="221"/>
      <c r="Y276" s="221"/>
      <c r="Z276" s="221"/>
      <c r="AA276" s="221"/>
      <c r="AB276" s="221"/>
      <c r="AC276" s="221"/>
      <c r="AD276" s="221"/>
      <c r="AE276" s="221"/>
      <c r="AF276" s="221"/>
      <c r="AG276" s="221"/>
      <c r="AH276" s="221"/>
      <c r="AI276" s="221"/>
      <c r="AJ276" s="221"/>
      <c r="AK276" s="221"/>
      <c r="AL276" s="221"/>
      <c r="AM276" s="221"/>
      <c r="AN276" s="221"/>
      <c r="AO276" s="221"/>
      <c r="AP276" s="221"/>
      <c r="AQ276" s="221"/>
    </row>
    <row r="277" spans="1:43" s="330" customFormat="1" x14ac:dyDescent="0.3">
      <c r="A277" s="269"/>
      <c r="B277" s="269"/>
      <c r="C277" s="49"/>
      <c r="D277" s="49"/>
      <c r="E277" s="281"/>
      <c r="F277" s="281"/>
      <c r="G277" s="281"/>
      <c r="H277" s="281"/>
      <c r="I277" s="281"/>
      <c r="J277" s="57"/>
      <c r="K277" s="37"/>
      <c r="L277" s="234"/>
      <c r="M277" s="234"/>
      <c r="N277" s="234"/>
      <c r="O277" s="234"/>
      <c r="P277" s="221"/>
      <c r="Q277" s="221"/>
      <c r="R277" s="221"/>
      <c r="S277" s="221"/>
      <c r="T277" s="221"/>
      <c r="U277" s="221"/>
      <c r="V277" s="221"/>
      <c r="W277" s="221"/>
      <c r="X277" s="221"/>
      <c r="Y277" s="221"/>
      <c r="Z277" s="221"/>
      <c r="AA277" s="221"/>
      <c r="AB277" s="221"/>
      <c r="AC277" s="221"/>
      <c r="AD277" s="221"/>
      <c r="AE277" s="221"/>
      <c r="AF277" s="221"/>
      <c r="AG277" s="221"/>
      <c r="AH277" s="221"/>
      <c r="AI277" s="221"/>
      <c r="AJ277" s="221"/>
      <c r="AK277" s="221"/>
      <c r="AL277" s="221"/>
      <c r="AM277" s="221"/>
      <c r="AN277" s="221"/>
      <c r="AO277" s="221"/>
      <c r="AP277" s="221"/>
      <c r="AQ277" s="221"/>
    </row>
    <row r="278" spans="1:43" s="330" customFormat="1" x14ac:dyDescent="0.3">
      <c r="A278" s="112" t="s">
        <v>204</v>
      </c>
      <c r="B278" s="119"/>
      <c r="C278" s="119"/>
      <c r="D278" s="119"/>
      <c r="E278" s="293"/>
      <c r="F278" s="293"/>
      <c r="G278" s="293"/>
      <c r="H278" s="293"/>
      <c r="I278" s="293"/>
      <c r="J278" s="289"/>
      <c r="K278" s="148"/>
      <c r="L278" s="148"/>
      <c r="M278" s="148"/>
      <c r="N278" s="148"/>
      <c r="O278" s="148"/>
      <c r="P278" s="221"/>
      <c r="Q278" s="221"/>
      <c r="R278" s="221"/>
      <c r="S278" s="221"/>
      <c r="T278" s="221"/>
      <c r="U278" s="221"/>
      <c r="V278" s="221"/>
      <c r="W278" s="221"/>
      <c r="X278" s="221"/>
      <c r="Y278" s="221"/>
      <c r="Z278" s="221"/>
      <c r="AA278" s="221"/>
      <c r="AB278" s="221"/>
      <c r="AC278" s="221"/>
      <c r="AD278" s="221"/>
      <c r="AE278" s="221"/>
      <c r="AF278" s="221"/>
      <c r="AG278" s="221"/>
      <c r="AH278" s="221"/>
      <c r="AI278" s="221"/>
      <c r="AJ278" s="221"/>
      <c r="AK278" s="221"/>
      <c r="AL278" s="221"/>
      <c r="AM278" s="221"/>
      <c r="AN278" s="221"/>
      <c r="AO278" s="221"/>
      <c r="AP278" s="221"/>
      <c r="AQ278" s="221"/>
    </row>
    <row r="279" spans="1:43" s="310" customFormat="1" x14ac:dyDescent="0.3">
      <c r="A279" s="269" t="s">
        <v>1639</v>
      </c>
      <c r="B279" s="269" t="s">
        <v>646</v>
      </c>
      <c r="C279" s="49"/>
      <c r="D279" s="49"/>
      <c r="E279" s="281" t="s">
        <v>647</v>
      </c>
      <c r="F279" s="281" t="s">
        <v>648</v>
      </c>
      <c r="G279" s="281" t="s">
        <v>649</v>
      </c>
      <c r="H279" s="281" t="s">
        <v>650</v>
      </c>
      <c r="I279" s="281" t="s">
        <v>651</v>
      </c>
      <c r="J279" s="281" t="s">
        <v>652</v>
      </c>
      <c r="K279" s="37">
        <v>82</v>
      </c>
      <c r="L279" s="234">
        <f t="shared" si="16"/>
        <v>16.2606</v>
      </c>
      <c r="M279" s="234">
        <f t="shared" si="17"/>
        <v>9.0117999999999991</v>
      </c>
      <c r="N279" s="234">
        <f t="shared" si="18"/>
        <v>16.752600000000001</v>
      </c>
      <c r="O279" s="234">
        <f t="shared" si="19"/>
        <v>9.5038</v>
      </c>
      <c r="P279" s="209"/>
      <c r="Q279" s="209"/>
      <c r="R279" s="209"/>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row>
    <row r="280" spans="1:43" s="310" customFormat="1" x14ac:dyDescent="0.3">
      <c r="A280" s="29"/>
      <c r="B280" s="29"/>
      <c r="C280" s="29"/>
      <c r="D280" s="29"/>
      <c r="E280" s="188"/>
      <c r="F280" s="188"/>
      <c r="G280" s="188"/>
      <c r="H280" s="188"/>
      <c r="I280" s="188"/>
      <c r="J280" s="188"/>
      <c r="K280" s="37"/>
      <c r="L280" s="234"/>
      <c r="M280" s="234"/>
      <c r="N280" s="234"/>
      <c r="O280" s="234"/>
      <c r="P280" s="209"/>
      <c r="Q280" s="209"/>
      <c r="R280" s="209"/>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row>
    <row r="281" spans="1:43" s="310" customFormat="1" x14ac:dyDescent="0.3">
      <c r="A281" s="112" t="s">
        <v>653</v>
      </c>
      <c r="B281" s="119"/>
      <c r="C281" s="119"/>
      <c r="D281" s="119"/>
      <c r="E281" s="293"/>
      <c r="F281" s="293"/>
      <c r="G281" s="293"/>
      <c r="H281" s="293"/>
      <c r="I281" s="293"/>
      <c r="J281" s="289"/>
      <c r="K281" s="148"/>
      <c r="L281" s="148"/>
      <c r="M281" s="148"/>
      <c r="N281" s="148"/>
      <c r="O281" s="148"/>
      <c r="P281" s="209"/>
      <c r="Q281" s="209"/>
      <c r="R281" s="209"/>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row>
    <row r="282" spans="1:43" s="330" customFormat="1" x14ac:dyDescent="0.3">
      <c r="A282" s="80" t="s">
        <v>654</v>
      </c>
      <c r="B282" s="269" t="s">
        <v>655</v>
      </c>
      <c r="C282" s="49"/>
      <c r="D282" s="49"/>
      <c r="E282" s="281"/>
      <c r="F282" s="281"/>
      <c r="G282" s="281"/>
      <c r="H282" s="281"/>
      <c r="I282" s="281" t="s">
        <v>656</v>
      </c>
      <c r="J282" s="281" t="s">
        <v>657</v>
      </c>
      <c r="K282" s="37">
        <v>15</v>
      </c>
      <c r="L282" s="234">
        <f t="shared" si="16"/>
        <v>2.9744999999999999</v>
      </c>
      <c r="M282" s="234">
        <f t="shared" si="17"/>
        <v>1.6484999999999999</v>
      </c>
      <c r="N282" s="234">
        <f t="shared" si="18"/>
        <v>3.0645000000000002</v>
      </c>
      <c r="O282" s="234">
        <f t="shared" si="19"/>
        <v>1.7385000000000002</v>
      </c>
      <c r="P282" s="221"/>
      <c r="Q282" s="221"/>
      <c r="R282" s="221"/>
      <c r="S282" s="221"/>
      <c r="T282" s="221"/>
      <c r="U282" s="221"/>
      <c r="V282" s="221"/>
      <c r="W282" s="221"/>
      <c r="X282" s="221"/>
      <c r="Y282" s="221"/>
      <c r="Z282" s="221"/>
      <c r="AA282" s="221"/>
      <c r="AB282" s="221"/>
      <c r="AC282" s="221"/>
      <c r="AD282" s="221"/>
      <c r="AE282" s="221"/>
      <c r="AF282" s="221"/>
      <c r="AG282" s="221"/>
      <c r="AH282" s="221"/>
      <c r="AI282" s="221"/>
      <c r="AJ282" s="221"/>
      <c r="AK282" s="221"/>
      <c r="AL282" s="221"/>
      <c r="AM282" s="221"/>
      <c r="AN282" s="221"/>
      <c r="AO282" s="221"/>
      <c r="AP282" s="221"/>
      <c r="AQ282" s="221"/>
    </row>
    <row r="283" spans="1:43" s="330" customFormat="1" x14ac:dyDescent="0.3">
      <c r="A283" s="29"/>
      <c r="B283" s="29"/>
      <c r="C283" s="229"/>
      <c r="D283" s="229"/>
      <c r="E283" s="188"/>
      <c r="F283" s="188"/>
      <c r="G283" s="188"/>
      <c r="H283" s="188"/>
      <c r="I283" s="188"/>
      <c r="J283" s="188"/>
      <c r="K283" s="37"/>
      <c r="L283" s="234"/>
      <c r="M283" s="234"/>
      <c r="N283" s="234"/>
      <c r="O283" s="234"/>
      <c r="P283" s="221"/>
      <c r="Q283" s="221"/>
      <c r="R283" s="221"/>
      <c r="S283" s="221"/>
      <c r="T283" s="221"/>
      <c r="U283" s="221"/>
      <c r="V283" s="221"/>
      <c r="W283" s="221"/>
      <c r="X283" s="221"/>
      <c r="Y283" s="221"/>
      <c r="Z283" s="221"/>
      <c r="AA283" s="221"/>
      <c r="AB283" s="221"/>
      <c r="AC283" s="221"/>
      <c r="AD283" s="221"/>
      <c r="AE283" s="221"/>
      <c r="AF283" s="221"/>
      <c r="AG283" s="221"/>
      <c r="AH283" s="221"/>
      <c r="AI283" s="221"/>
      <c r="AJ283" s="221"/>
      <c r="AK283" s="221"/>
      <c r="AL283" s="221"/>
      <c r="AM283" s="221"/>
      <c r="AN283" s="221"/>
      <c r="AO283" s="221"/>
      <c r="AP283" s="221"/>
      <c r="AQ283" s="221"/>
    </row>
    <row r="284" spans="1:43" s="330" customFormat="1" x14ac:dyDescent="0.3">
      <c r="A284" s="112" t="s">
        <v>658</v>
      </c>
      <c r="B284" s="119"/>
      <c r="C284" s="119"/>
      <c r="D284" s="119"/>
      <c r="E284" s="293"/>
      <c r="F284" s="293"/>
      <c r="G284" s="293"/>
      <c r="H284" s="293"/>
      <c r="I284" s="293"/>
      <c r="J284" s="289"/>
      <c r="K284" s="148"/>
      <c r="L284" s="148"/>
      <c r="M284" s="148"/>
      <c r="N284" s="148"/>
      <c r="O284" s="148"/>
      <c r="P284" s="221"/>
      <c r="Q284" s="221"/>
      <c r="R284" s="221"/>
      <c r="S284" s="221"/>
      <c r="T284" s="221"/>
      <c r="U284" s="221"/>
      <c r="V284" s="221"/>
      <c r="W284" s="221"/>
      <c r="X284" s="221"/>
      <c r="Y284" s="221"/>
      <c r="Z284" s="221"/>
      <c r="AA284" s="221"/>
      <c r="AB284" s="221"/>
      <c r="AC284" s="221"/>
      <c r="AD284" s="221"/>
      <c r="AE284" s="221"/>
      <c r="AF284" s="221"/>
      <c r="AG284" s="221"/>
      <c r="AH284" s="221"/>
      <c r="AI284" s="221"/>
      <c r="AJ284" s="221"/>
      <c r="AK284" s="221"/>
      <c r="AL284" s="221"/>
      <c r="AM284" s="221"/>
      <c r="AN284" s="221"/>
      <c r="AO284" s="221"/>
      <c r="AP284" s="221"/>
      <c r="AQ284" s="221"/>
    </row>
    <row r="285" spans="1:43" s="226" customFormat="1" x14ac:dyDescent="0.3">
      <c r="A285" s="82" t="s">
        <v>435</v>
      </c>
      <c r="B285" s="82" t="s">
        <v>436</v>
      </c>
      <c r="C285" s="160"/>
      <c r="D285" s="160"/>
      <c r="E285" s="57" t="s">
        <v>659</v>
      </c>
      <c r="F285" s="57" t="s">
        <v>660</v>
      </c>
      <c r="G285" s="57" t="s">
        <v>661</v>
      </c>
      <c r="H285" s="57" t="s">
        <v>662</v>
      </c>
      <c r="I285" s="57" t="s">
        <v>663</v>
      </c>
      <c r="J285" s="57" t="s">
        <v>664</v>
      </c>
      <c r="K285" s="31">
        <v>5</v>
      </c>
      <c r="L285" s="234">
        <f t="shared" si="16"/>
        <v>0.99150000000000005</v>
      </c>
      <c r="M285" s="234">
        <f t="shared" si="17"/>
        <v>0.54949999999999999</v>
      </c>
      <c r="N285" s="234">
        <f t="shared" si="18"/>
        <v>1.0215000000000001</v>
      </c>
      <c r="O285" s="234">
        <f t="shared" si="19"/>
        <v>0.57950000000000002</v>
      </c>
    </row>
    <row r="286" spans="1:43" s="330" customFormat="1" x14ac:dyDescent="0.3">
      <c r="A286" s="303"/>
      <c r="B286" s="168"/>
      <c r="C286" s="159"/>
      <c r="D286" s="159"/>
      <c r="E286" s="54"/>
      <c r="F286" s="54"/>
      <c r="G286" s="54"/>
      <c r="H286" s="54"/>
      <c r="I286" s="54"/>
      <c r="J286" s="63"/>
      <c r="K286" s="37"/>
      <c r="L286" s="234"/>
      <c r="M286" s="234"/>
      <c r="N286" s="234"/>
      <c r="O286" s="234"/>
      <c r="P286" s="221"/>
      <c r="Q286" s="221"/>
      <c r="R286" s="221"/>
      <c r="S286" s="221"/>
      <c r="T286" s="221"/>
      <c r="U286" s="221"/>
      <c r="V286" s="221"/>
      <c r="W286" s="221"/>
      <c r="X286" s="221"/>
      <c r="Y286" s="221"/>
      <c r="Z286" s="221"/>
      <c r="AA286" s="221"/>
      <c r="AB286" s="221"/>
      <c r="AC286" s="221"/>
      <c r="AD286" s="221"/>
      <c r="AE286" s="221"/>
      <c r="AF286" s="221"/>
      <c r="AG286" s="221"/>
      <c r="AH286" s="221"/>
      <c r="AI286" s="221"/>
      <c r="AJ286" s="221"/>
      <c r="AK286" s="221"/>
      <c r="AL286" s="221"/>
      <c r="AM286" s="221"/>
      <c r="AN286" s="221"/>
      <c r="AO286" s="221"/>
      <c r="AP286" s="221"/>
      <c r="AQ286" s="221"/>
    </row>
    <row r="287" spans="1:43" x14ac:dyDescent="0.3">
      <c r="A287" s="112" t="s">
        <v>226</v>
      </c>
      <c r="B287" s="119"/>
      <c r="C287" s="119"/>
      <c r="D287" s="119"/>
      <c r="E287" s="293"/>
      <c r="F287" s="293"/>
      <c r="G287" s="293"/>
      <c r="H287" s="293"/>
      <c r="I287" s="293"/>
      <c r="J287" s="289"/>
      <c r="K287" s="148"/>
      <c r="L287" s="148"/>
      <c r="M287" s="148"/>
      <c r="N287" s="148"/>
      <c r="O287" s="148"/>
    </row>
    <row r="288" spans="1:43" x14ac:dyDescent="0.3">
      <c r="A288" s="269" t="s">
        <v>1642</v>
      </c>
      <c r="B288" s="269" t="s">
        <v>665</v>
      </c>
      <c r="C288" s="49"/>
      <c r="D288" s="49"/>
      <c r="E288" s="281" t="s">
        <v>666</v>
      </c>
      <c r="F288" s="281" t="s">
        <v>667</v>
      </c>
      <c r="G288" s="281" t="s">
        <v>668</v>
      </c>
      <c r="H288" s="281" t="s">
        <v>669</v>
      </c>
      <c r="I288" s="281"/>
      <c r="J288" s="281"/>
      <c r="K288" s="37">
        <v>0</v>
      </c>
      <c r="L288" s="234">
        <f t="shared" si="16"/>
        <v>0</v>
      </c>
      <c r="M288" s="234">
        <f t="shared" si="17"/>
        <v>0</v>
      </c>
      <c r="N288" s="234">
        <f t="shared" si="18"/>
        <v>0</v>
      </c>
      <c r="O288" s="234">
        <f t="shared" si="19"/>
        <v>0</v>
      </c>
    </row>
    <row r="289" spans="1:43" x14ac:dyDescent="0.3">
      <c r="A289" s="269" t="s">
        <v>1643</v>
      </c>
      <c r="B289" s="269" t="s">
        <v>665</v>
      </c>
      <c r="C289" s="49"/>
      <c r="D289" s="49"/>
      <c r="E289" s="281"/>
      <c r="F289" s="281"/>
      <c r="G289" s="281"/>
      <c r="H289" s="281"/>
      <c r="I289" s="281" t="s">
        <v>670</v>
      </c>
      <c r="J289" s="281" t="s">
        <v>671</v>
      </c>
      <c r="K289" s="37">
        <v>0</v>
      </c>
      <c r="L289" s="234">
        <f t="shared" si="16"/>
        <v>0</v>
      </c>
      <c r="M289" s="234">
        <f t="shared" si="17"/>
        <v>0</v>
      </c>
      <c r="N289" s="234">
        <f t="shared" si="18"/>
        <v>0</v>
      </c>
      <c r="O289" s="234">
        <f t="shared" si="19"/>
        <v>0</v>
      </c>
    </row>
    <row r="290" spans="1:43" x14ac:dyDescent="0.3">
      <c r="A290" s="303"/>
      <c r="B290" s="168"/>
      <c r="C290" s="159"/>
      <c r="D290" s="159"/>
      <c r="E290" s="54"/>
      <c r="F290" s="54"/>
      <c r="G290" s="54"/>
      <c r="H290" s="54"/>
      <c r="I290" s="54"/>
      <c r="J290" s="63"/>
      <c r="K290" s="37"/>
      <c r="L290" s="234"/>
      <c r="M290" s="234"/>
      <c r="N290" s="234"/>
      <c r="O290" s="234"/>
    </row>
    <row r="291" spans="1:43" x14ac:dyDescent="0.3">
      <c r="A291" s="112" t="s">
        <v>235</v>
      </c>
      <c r="B291" s="119"/>
      <c r="C291" s="119"/>
      <c r="D291" s="119"/>
      <c r="E291" s="293"/>
      <c r="F291" s="293"/>
      <c r="G291" s="293"/>
      <c r="H291" s="293"/>
      <c r="I291" s="293"/>
      <c r="J291" s="289"/>
      <c r="K291" s="148"/>
      <c r="L291" s="148"/>
      <c r="M291" s="148"/>
      <c r="N291" s="148"/>
      <c r="O291" s="148"/>
    </row>
    <row r="292" spans="1:43" x14ac:dyDescent="0.3">
      <c r="A292" s="269" t="s">
        <v>463</v>
      </c>
      <c r="B292" s="269" t="s">
        <v>464</v>
      </c>
      <c r="C292" s="49"/>
      <c r="D292" s="49"/>
      <c r="E292" s="281" t="s">
        <v>672</v>
      </c>
      <c r="F292" s="281" t="s">
        <v>673</v>
      </c>
      <c r="G292" s="281" t="s">
        <v>674</v>
      </c>
      <c r="H292" s="281" t="s">
        <v>675</v>
      </c>
      <c r="I292" s="281" t="s">
        <v>676</v>
      </c>
      <c r="J292" s="281" t="s">
        <v>677</v>
      </c>
      <c r="K292" s="37">
        <v>2</v>
      </c>
      <c r="L292" s="234">
        <f t="shared" si="16"/>
        <v>0.39660000000000001</v>
      </c>
      <c r="M292" s="234">
        <f t="shared" si="17"/>
        <v>0.2198</v>
      </c>
      <c r="N292" s="234">
        <f t="shared" si="18"/>
        <v>0.40860000000000002</v>
      </c>
      <c r="O292" s="234">
        <f t="shared" si="19"/>
        <v>0.23180000000000001</v>
      </c>
    </row>
    <row r="293" spans="1:43" x14ac:dyDescent="0.3">
      <c r="A293" s="269" t="s">
        <v>98</v>
      </c>
      <c r="B293" s="269" t="s">
        <v>236</v>
      </c>
      <c r="C293" s="49"/>
      <c r="D293" s="49"/>
      <c r="E293" s="281" t="s">
        <v>678</v>
      </c>
      <c r="F293" s="281" t="s">
        <v>679</v>
      </c>
      <c r="G293" s="281" t="s">
        <v>680</v>
      </c>
      <c r="H293" s="281" t="s">
        <v>681</v>
      </c>
      <c r="I293" s="281" t="s">
        <v>682</v>
      </c>
      <c r="J293" s="281" t="s">
        <v>683</v>
      </c>
      <c r="K293" s="37">
        <v>6</v>
      </c>
      <c r="L293" s="234">
        <f t="shared" si="16"/>
        <v>1.1898</v>
      </c>
      <c r="M293" s="234">
        <f t="shared" si="17"/>
        <v>0.65939999999999999</v>
      </c>
      <c r="N293" s="234">
        <f t="shared" si="18"/>
        <v>1.2258</v>
      </c>
      <c r="O293" s="234">
        <f t="shared" si="19"/>
        <v>0.69540000000000002</v>
      </c>
    </row>
    <row r="294" spans="1:43" x14ac:dyDescent="0.3">
      <c r="A294" s="303"/>
      <c r="B294" s="168"/>
      <c r="C294" s="159"/>
      <c r="D294" s="159"/>
      <c r="E294" s="54"/>
      <c r="F294" s="54"/>
      <c r="G294" s="54"/>
      <c r="H294" s="54"/>
      <c r="I294" s="54"/>
      <c r="J294" s="63"/>
      <c r="K294" s="37"/>
      <c r="L294" s="234"/>
      <c r="M294" s="234"/>
      <c r="N294" s="234"/>
      <c r="O294" s="234"/>
    </row>
    <row r="295" spans="1:43" x14ac:dyDescent="0.3">
      <c r="A295" s="112" t="s">
        <v>475</v>
      </c>
      <c r="B295" s="119"/>
      <c r="C295" s="119"/>
      <c r="D295" s="119"/>
      <c r="E295" s="293"/>
      <c r="F295" s="293"/>
      <c r="G295" s="293"/>
      <c r="H295" s="293"/>
      <c r="I295" s="293"/>
      <c r="J295" s="289"/>
      <c r="K295" s="148"/>
      <c r="L295" s="148"/>
      <c r="M295" s="148"/>
      <c r="N295" s="148"/>
      <c r="O295" s="148"/>
    </row>
    <row r="296" spans="1:43" x14ac:dyDescent="0.3">
      <c r="A296" s="269" t="s">
        <v>476</v>
      </c>
      <c r="B296" s="269" t="s">
        <v>477</v>
      </c>
      <c r="C296" s="49"/>
      <c r="D296" s="49"/>
      <c r="E296" s="281" t="s">
        <v>684</v>
      </c>
      <c r="F296" s="281" t="s">
        <v>685</v>
      </c>
      <c r="G296" s="281" t="s">
        <v>686</v>
      </c>
      <c r="H296" s="281" t="s">
        <v>687</v>
      </c>
      <c r="I296" s="281" t="s">
        <v>688</v>
      </c>
      <c r="J296" s="281" t="s">
        <v>689</v>
      </c>
      <c r="K296" s="37">
        <v>6</v>
      </c>
      <c r="L296" s="234">
        <f t="shared" si="16"/>
        <v>1.1898</v>
      </c>
      <c r="M296" s="234">
        <f t="shared" si="17"/>
        <v>0.65939999999999999</v>
      </c>
      <c r="N296" s="234">
        <f t="shared" si="18"/>
        <v>1.2258</v>
      </c>
      <c r="O296" s="234">
        <f t="shared" si="19"/>
        <v>0.69540000000000002</v>
      </c>
    </row>
    <row r="297" spans="1:43" x14ac:dyDescent="0.3">
      <c r="A297" s="269" t="s">
        <v>1637</v>
      </c>
      <c r="B297" s="269" t="s">
        <v>690</v>
      </c>
      <c r="C297" s="49"/>
      <c r="D297" s="49"/>
      <c r="E297" s="281"/>
      <c r="F297" s="281" t="s">
        <v>691</v>
      </c>
      <c r="G297" s="281"/>
      <c r="H297" s="281" t="s">
        <v>692</v>
      </c>
      <c r="I297" s="281"/>
      <c r="J297" s="281" t="s">
        <v>693</v>
      </c>
      <c r="K297" s="37">
        <v>7</v>
      </c>
      <c r="L297" s="234">
        <f t="shared" si="16"/>
        <v>1.3881000000000001</v>
      </c>
      <c r="M297" s="234">
        <f t="shared" si="17"/>
        <v>0.76929999999999998</v>
      </c>
      <c r="N297" s="234">
        <f t="shared" si="18"/>
        <v>1.4301000000000001</v>
      </c>
      <c r="O297" s="234">
        <f t="shared" si="19"/>
        <v>0.81130000000000002</v>
      </c>
    </row>
    <row r="298" spans="1:43" x14ac:dyDescent="0.3">
      <c r="A298" s="269" t="s">
        <v>1636</v>
      </c>
      <c r="B298" s="269" t="s">
        <v>483</v>
      </c>
      <c r="C298" s="49"/>
      <c r="D298" s="49"/>
      <c r="E298" s="281" t="s">
        <v>694</v>
      </c>
      <c r="F298" s="281"/>
      <c r="G298" s="281" t="s">
        <v>695</v>
      </c>
      <c r="H298" s="281"/>
      <c r="I298" s="281" t="s">
        <v>696</v>
      </c>
      <c r="J298" s="281"/>
      <c r="K298" s="37">
        <v>7</v>
      </c>
      <c r="L298" s="234">
        <f t="shared" si="16"/>
        <v>1.3881000000000001</v>
      </c>
      <c r="M298" s="234">
        <f t="shared" si="17"/>
        <v>0.76929999999999998</v>
      </c>
      <c r="N298" s="234">
        <f t="shared" si="18"/>
        <v>1.4301000000000001</v>
      </c>
      <c r="O298" s="234">
        <f t="shared" si="19"/>
        <v>0.81130000000000002</v>
      </c>
    </row>
    <row r="299" spans="1:43" x14ac:dyDescent="0.3">
      <c r="A299" s="269" t="s">
        <v>697</v>
      </c>
      <c r="B299" s="269" t="s">
        <v>487</v>
      </c>
      <c r="C299" s="49"/>
      <c r="D299" s="49"/>
      <c r="E299" s="281" t="s">
        <v>698</v>
      </c>
      <c r="F299" s="281" t="s">
        <v>699</v>
      </c>
      <c r="G299" s="281" t="s">
        <v>700</v>
      </c>
      <c r="H299" s="281" t="s">
        <v>701</v>
      </c>
      <c r="I299" s="281" t="s">
        <v>702</v>
      </c>
      <c r="J299" s="281" t="s">
        <v>703</v>
      </c>
      <c r="K299" s="37">
        <v>87</v>
      </c>
      <c r="L299" s="234">
        <f t="shared" si="16"/>
        <v>17.252099999999999</v>
      </c>
      <c r="M299" s="234">
        <f t="shared" si="17"/>
        <v>9.5612999999999992</v>
      </c>
      <c r="N299" s="234">
        <f t="shared" si="18"/>
        <v>17.774100000000001</v>
      </c>
      <c r="O299" s="234">
        <f t="shared" si="19"/>
        <v>10.083299999999999</v>
      </c>
    </row>
    <row r="300" spans="1:43" x14ac:dyDescent="0.3">
      <c r="A300" s="269" t="s">
        <v>704</v>
      </c>
      <c r="B300" s="269" t="s">
        <v>705</v>
      </c>
      <c r="C300" s="49"/>
      <c r="D300" s="49"/>
      <c r="E300" s="281" t="s">
        <v>706</v>
      </c>
      <c r="F300" s="57" t="s">
        <v>707</v>
      </c>
      <c r="G300" s="57" t="s">
        <v>708</v>
      </c>
      <c r="H300" s="57" t="s">
        <v>709</v>
      </c>
      <c r="I300" s="57" t="s">
        <v>710</v>
      </c>
      <c r="J300" s="57" t="s">
        <v>711</v>
      </c>
      <c r="K300" s="31">
        <v>267</v>
      </c>
      <c r="L300" s="234">
        <f t="shared" si="16"/>
        <v>52.946100000000001</v>
      </c>
      <c r="M300" s="234">
        <f t="shared" si="17"/>
        <v>29.343299999999999</v>
      </c>
      <c r="N300" s="234">
        <f t="shared" si="18"/>
        <v>54.548100000000005</v>
      </c>
      <c r="O300" s="234">
        <f t="shared" si="19"/>
        <v>30.9453</v>
      </c>
    </row>
    <row r="301" spans="1:43" x14ac:dyDescent="0.3">
      <c r="A301" s="303"/>
      <c r="B301" s="168"/>
      <c r="C301" s="159"/>
      <c r="D301" s="159"/>
      <c r="E301" s="54"/>
      <c r="F301" s="54"/>
      <c r="G301" s="54"/>
      <c r="H301" s="54"/>
      <c r="I301" s="54"/>
      <c r="J301" s="63"/>
      <c r="K301" s="37"/>
      <c r="L301" s="234"/>
      <c r="M301" s="234"/>
      <c r="N301" s="234"/>
      <c r="O301" s="234"/>
    </row>
    <row r="302" spans="1:43" x14ac:dyDescent="0.3">
      <c r="A302" s="112" t="s">
        <v>493</v>
      </c>
      <c r="B302" s="119"/>
      <c r="C302" s="119"/>
      <c r="D302" s="119"/>
      <c r="E302" s="293"/>
      <c r="F302" s="293"/>
      <c r="G302" s="293"/>
      <c r="H302" s="293"/>
      <c r="I302" s="293"/>
      <c r="J302" s="289"/>
      <c r="K302" s="148"/>
      <c r="L302" s="148"/>
      <c r="M302" s="148"/>
      <c r="N302" s="148"/>
      <c r="O302" s="148"/>
    </row>
    <row r="303" spans="1:43" x14ac:dyDescent="0.3">
      <c r="A303" s="269" t="s">
        <v>712</v>
      </c>
      <c r="B303" s="269" t="s">
        <v>713</v>
      </c>
      <c r="C303" s="49"/>
      <c r="D303" s="49"/>
      <c r="E303" s="281" t="s">
        <v>714</v>
      </c>
      <c r="F303" s="281" t="s">
        <v>714</v>
      </c>
      <c r="G303" s="281" t="s">
        <v>714</v>
      </c>
      <c r="H303" s="281" t="s">
        <v>714</v>
      </c>
      <c r="I303" s="281" t="s">
        <v>714</v>
      </c>
      <c r="J303" s="281" t="s">
        <v>714</v>
      </c>
      <c r="K303" s="37">
        <v>1</v>
      </c>
      <c r="L303" s="234">
        <f t="shared" si="16"/>
        <v>0.1983</v>
      </c>
      <c r="M303" s="234">
        <f t="shared" si="17"/>
        <v>0.1099</v>
      </c>
      <c r="N303" s="234">
        <f t="shared" si="18"/>
        <v>0.20430000000000001</v>
      </c>
      <c r="O303" s="234">
        <f t="shared" si="19"/>
        <v>0.1159</v>
      </c>
    </row>
    <row r="304" spans="1:43" s="330" customFormat="1" x14ac:dyDescent="0.3">
      <c r="A304" s="269" t="s">
        <v>715</v>
      </c>
      <c r="B304" s="269" t="s">
        <v>716</v>
      </c>
      <c r="C304" s="49"/>
      <c r="D304" s="49"/>
      <c r="E304" s="281" t="s">
        <v>717</v>
      </c>
      <c r="F304" s="281" t="s">
        <v>718</v>
      </c>
      <c r="G304" s="281" t="s">
        <v>719</v>
      </c>
      <c r="H304" s="281" t="s">
        <v>720</v>
      </c>
      <c r="I304" s="281" t="s">
        <v>721</v>
      </c>
      <c r="J304" s="281" t="s">
        <v>722</v>
      </c>
      <c r="K304" s="37">
        <v>7</v>
      </c>
      <c r="L304" s="234">
        <f t="shared" si="16"/>
        <v>1.3881000000000001</v>
      </c>
      <c r="M304" s="234">
        <f t="shared" si="17"/>
        <v>0.76929999999999998</v>
      </c>
      <c r="N304" s="234">
        <f t="shared" si="18"/>
        <v>1.4301000000000001</v>
      </c>
      <c r="O304" s="234">
        <f t="shared" si="19"/>
        <v>0.81130000000000002</v>
      </c>
      <c r="P304" s="221"/>
      <c r="Q304" s="221"/>
      <c r="R304" s="221"/>
      <c r="S304" s="221"/>
      <c r="T304" s="221"/>
      <c r="U304" s="221"/>
      <c r="V304" s="221"/>
      <c r="W304" s="221"/>
      <c r="X304" s="221"/>
      <c r="Y304" s="221"/>
      <c r="Z304" s="221"/>
      <c r="AA304" s="221"/>
      <c r="AB304" s="221"/>
      <c r="AC304" s="221"/>
      <c r="AD304" s="221"/>
      <c r="AE304" s="221"/>
      <c r="AF304" s="221"/>
      <c r="AG304" s="221"/>
      <c r="AH304" s="221"/>
      <c r="AI304" s="221"/>
      <c r="AJ304" s="221"/>
      <c r="AK304" s="221"/>
      <c r="AL304" s="221"/>
      <c r="AM304" s="221"/>
      <c r="AN304" s="221"/>
      <c r="AO304" s="221"/>
      <c r="AP304" s="221"/>
      <c r="AQ304" s="221"/>
    </row>
    <row r="305" spans="1:43" x14ac:dyDescent="0.3">
      <c r="A305" s="128" t="s">
        <v>723</v>
      </c>
      <c r="B305" s="269" t="s">
        <v>495</v>
      </c>
      <c r="C305" s="49"/>
      <c r="D305" s="49"/>
      <c r="E305" s="281"/>
      <c r="F305" s="281"/>
      <c r="G305" s="281"/>
      <c r="H305" s="281"/>
      <c r="I305" s="281" t="s">
        <v>724</v>
      </c>
      <c r="J305" s="281" t="s">
        <v>725</v>
      </c>
      <c r="K305" s="37">
        <v>10</v>
      </c>
      <c r="L305" s="234">
        <f t="shared" si="16"/>
        <v>1.9830000000000001</v>
      </c>
      <c r="M305" s="234">
        <f t="shared" si="17"/>
        <v>1.099</v>
      </c>
      <c r="N305" s="234">
        <f t="shared" si="18"/>
        <v>2.0430000000000001</v>
      </c>
      <c r="O305" s="234">
        <f t="shared" si="19"/>
        <v>1.159</v>
      </c>
    </row>
    <row r="306" spans="1:43" x14ac:dyDescent="0.3">
      <c r="A306" s="128"/>
      <c r="B306" s="187"/>
      <c r="C306" s="275"/>
      <c r="D306" s="275"/>
      <c r="E306" s="263"/>
      <c r="F306" s="263"/>
      <c r="G306" s="263"/>
      <c r="H306" s="263"/>
      <c r="I306" s="263"/>
      <c r="J306" s="166"/>
      <c r="K306" s="37"/>
      <c r="L306" s="234"/>
      <c r="M306" s="234"/>
      <c r="N306" s="234"/>
      <c r="O306" s="234"/>
    </row>
    <row r="307" spans="1:43" x14ac:dyDescent="0.3">
      <c r="A307" s="112" t="s">
        <v>726</v>
      </c>
      <c r="B307" s="124"/>
      <c r="C307" s="124"/>
      <c r="D307" s="124"/>
      <c r="E307" s="289"/>
      <c r="F307" s="289"/>
      <c r="G307" s="289"/>
      <c r="H307" s="289"/>
      <c r="I307" s="289"/>
      <c r="J307" s="289"/>
      <c r="K307" s="148"/>
      <c r="L307" s="148"/>
      <c r="M307" s="148"/>
      <c r="N307" s="148"/>
      <c r="O307" s="148"/>
    </row>
    <row r="308" spans="1:43" x14ac:dyDescent="0.3">
      <c r="A308" s="269" t="s">
        <v>263</v>
      </c>
      <c r="B308" s="269" t="s">
        <v>497</v>
      </c>
      <c r="C308" s="49"/>
      <c r="D308" s="49"/>
      <c r="E308" s="281" t="s">
        <v>727</v>
      </c>
      <c r="F308" s="281" t="s">
        <v>727</v>
      </c>
      <c r="G308" s="281" t="s">
        <v>727</v>
      </c>
      <c r="H308" s="281" t="s">
        <v>727</v>
      </c>
      <c r="I308" s="281" t="s">
        <v>727</v>
      </c>
      <c r="J308" s="281" t="s">
        <v>727</v>
      </c>
      <c r="K308" s="37">
        <v>20</v>
      </c>
      <c r="L308" s="234">
        <f t="shared" si="16"/>
        <v>3.9660000000000002</v>
      </c>
      <c r="M308" s="234">
        <f t="shared" si="17"/>
        <v>2.198</v>
      </c>
      <c r="N308" s="234">
        <f t="shared" si="18"/>
        <v>4.0860000000000003</v>
      </c>
      <c r="O308" s="234">
        <f t="shared" si="19"/>
        <v>2.3180000000000001</v>
      </c>
    </row>
    <row r="309" spans="1:43" x14ac:dyDescent="0.3">
      <c r="A309" s="269" t="s">
        <v>266</v>
      </c>
      <c r="B309" s="269" t="s">
        <v>499</v>
      </c>
      <c r="C309" s="49"/>
      <c r="D309" s="49"/>
      <c r="E309" s="281" t="s">
        <v>728</v>
      </c>
      <c r="F309" s="281" t="s">
        <v>728</v>
      </c>
      <c r="G309" s="281" t="s">
        <v>728</v>
      </c>
      <c r="H309" s="281" t="s">
        <v>728</v>
      </c>
      <c r="I309" s="281" t="s">
        <v>728</v>
      </c>
      <c r="J309" s="281" t="s">
        <v>728</v>
      </c>
      <c r="K309" s="37">
        <v>60</v>
      </c>
      <c r="L309" s="234">
        <f t="shared" si="16"/>
        <v>11.898</v>
      </c>
      <c r="M309" s="234">
        <f t="shared" si="17"/>
        <v>6.5939999999999994</v>
      </c>
      <c r="N309" s="234">
        <f t="shared" si="18"/>
        <v>12.258000000000001</v>
      </c>
      <c r="O309" s="234">
        <f t="shared" si="19"/>
        <v>6.9540000000000006</v>
      </c>
    </row>
    <row r="310" spans="1:43" x14ac:dyDescent="0.3">
      <c r="A310" s="269" t="s">
        <v>269</v>
      </c>
      <c r="B310" s="269" t="s">
        <v>501</v>
      </c>
      <c r="C310" s="49"/>
      <c r="D310" s="49"/>
      <c r="E310" s="281" t="s">
        <v>729</v>
      </c>
      <c r="F310" s="281" t="s">
        <v>729</v>
      </c>
      <c r="G310" s="281" t="s">
        <v>729</v>
      </c>
      <c r="H310" s="281" t="s">
        <v>729</v>
      </c>
      <c r="I310" s="281" t="s">
        <v>729</v>
      </c>
      <c r="J310" s="281" t="s">
        <v>729</v>
      </c>
      <c r="K310" s="37">
        <v>80</v>
      </c>
      <c r="L310" s="234">
        <f t="shared" si="16"/>
        <v>15.864000000000001</v>
      </c>
      <c r="M310" s="234">
        <f t="shared" si="17"/>
        <v>8.7919999999999998</v>
      </c>
      <c r="N310" s="234">
        <f t="shared" si="18"/>
        <v>16.344000000000001</v>
      </c>
      <c r="O310" s="234">
        <f t="shared" si="19"/>
        <v>9.2720000000000002</v>
      </c>
    </row>
    <row r="311" spans="1:43" x14ac:dyDescent="0.3">
      <c r="A311" s="156" t="s">
        <v>503</v>
      </c>
      <c r="B311" s="156" t="s">
        <v>504</v>
      </c>
      <c r="C311" s="123"/>
      <c r="D311" s="123"/>
      <c r="E311" s="188" t="s">
        <v>730</v>
      </c>
      <c r="F311" s="188" t="s">
        <v>730</v>
      </c>
      <c r="G311" s="188" t="s">
        <v>730</v>
      </c>
      <c r="H311" s="188" t="s">
        <v>730</v>
      </c>
      <c r="I311" s="188" t="s">
        <v>730</v>
      </c>
      <c r="J311" s="188" t="s">
        <v>730</v>
      </c>
      <c r="K311" s="37">
        <v>20</v>
      </c>
      <c r="L311" s="234">
        <f t="shared" si="16"/>
        <v>3.9660000000000002</v>
      </c>
      <c r="M311" s="234">
        <f t="shared" si="17"/>
        <v>2.198</v>
      </c>
      <c r="N311" s="234">
        <f t="shared" si="18"/>
        <v>4.0860000000000003</v>
      </c>
      <c r="O311" s="234">
        <f t="shared" si="19"/>
        <v>2.3180000000000001</v>
      </c>
    </row>
    <row r="312" spans="1:43" x14ac:dyDescent="0.3">
      <c r="A312" s="156" t="s">
        <v>271</v>
      </c>
      <c r="B312" s="156" t="s">
        <v>272</v>
      </c>
      <c r="C312" s="123"/>
      <c r="D312" s="123"/>
      <c r="E312" s="298" t="s">
        <v>273</v>
      </c>
      <c r="F312" s="298" t="s">
        <v>273</v>
      </c>
      <c r="G312" s="298" t="s">
        <v>273</v>
      </c>
      <c r="H312" s="298" t="s">
        <v>273</v>
      </c>
      <c r="I312" s="298" t="s">
        <v>273</v>
      </c>
      <c r="J312" s="298" t="s">
        <v>273</v>
      </c>
      <c r="K312" s="37">
        <v>158</v>
      </c>
      <c r="L312" s="234">
        <f t="shared" si="16"/>
        <v>31.331400000000002</v>
      </c>
      <c r="M312" s="234">
        <f t="shared" si="17"/>
        <v>17.3642</v>
      </c>
      <c r="N312" s="234">
        <f t="shared" si="18"/>
        <v>32.279400000000003</v>
      </c>
      <c r="O312" s="234">
        <f t="shared" si="19"/>
        <v>18.312200000000001</v>
      </c>
    </row>
    <row r="313" spans="1:43" x14ac:dyDescent="0.3">
      <c r="A313" s="156" t="s">
        <v>274</v>
      </c>
      <c r="B313" s="156" t="s">
        <v>275</v>
      </c>
      <c r="C313" s="123"/>
      <c r="D313" s="123"/>
      <c r="E313" s="298" t="s">
        <v>731</v>
      </c>
      <c r="F313" s="298" t="s">
        <v>731</v>
      </c>
      <c r="G313" s="298" t="s">
        <v>731</v>
      </c>
      <c r="H313" s="298" t="s">
        <v>731</v>
      </c>
      <c r="I313" s="298" t="s">
        <v>731</v>
      </c>
      <c r="J313" s="298" t="s">
        <v>731</v>
      </c>
      <c r="K313" s="37">
        <v>22</v>
      </c>
      <c r="L313" s="234">
        <f t="shared" si="16"/>
        <v>4.3626000000000005</v>
      </c>
      <c r="M313" s="234">
        <f t="shared" si="17"/>
        <v>2.4177999999999997</v>
      </c>
      <c r="N313" s="234">
        <f t="shared" si="18"/>
        <v>4.4946000000000002</v>
      </c>
      <c r="O313" s="234">
        <f t="shared" si="19"/>
        <v>2.5498000000000003</v>
      </c>
    </row>
    <row r="314" spans="1:43" x14ac:dyDescent="0.3">
      <c r="A314" s="156" t="s">
        <v>278</v>
      </c>
      <c r="B314" s="113" t="s">
        <v>279</v>
      </c>
      <c r="C314" s="123"/>
      <c r="D314" s="123"/>
      <c r="E314" s="57" t="s">
        <v>1553</v>
      </c>
      <c r="F314" s="57" t="s">
        <v>1553</v>
      </c>
      <c r="G314" s="57" t="s">
        <v>1553</v>
      </c>
      <c r="H314" s="57" t="s">
        <v>1553</v>
      </c>
      <c r="I314" s="57" t="s">
        <v>1553</v>
      </c>
      <c r="J314" s="57" t="s">
        <v>1553</v>
      </c>
      <c r="K314" s="37">
        <v>82</v>
      </c>
      <c r="L314" s="234">
        <f t="shared" si="16"/>
        <v>16.2606</v>
      </c>
      <c r="M314" s="234">
        <f t="shared" si="17"/>
        <v>9.0117999999999991</v>
      </c>
      <c r="N314" s="234">
        <f t="shared" si="18"/>
        <v>16.752600000000001</v>
      </c>
      <c r="O314" s="234">
        <f t="shared" si="19"/>
        <v>9.5038</v>
      </c>
    </row>
    <row r="315" spans="1:43" s="308" customFormat="1" x14ac:dyDescent="0.3">
      <c r="A315" s="303"/>
      <c r="B315" s="168"/>
      <c r="C315" s="159"/>
      <c r="D315" s="159"/>
      <c r="E315" s="54"/>
      <c r="F315" s="54"/>
      <c r="G315" s="54"/>
      <c r="H315" s="54"/>
      <c r="I315" s="54"/>
      <c r="J315" s="54"/>
      <c r="K315" s="240"/>
      <c r="L315" s="234"/>
      <c r="M315" s="234"/>
      <c r="N315" s="234"/>
      <c r="O315" s="234"/>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row>
    <row r="316" spans="1:43" s="308" customFormat="1" x14ac:dyDescent="0.3">
      <c r="A316" s="197" t="s">
        <v>732</v>
      </c>
      <c r="B316" s="197"/>
      <c r="C316" s="197"/>
      <c r="D316" s="197"/>
      <c r="E316" s="41"/>
      <c r="F316" s="41"/>
      <c r="G316" s="41"/>
      <c r="H316" s="41"/>
      <c r="I316" s="41"/>
      <c r="J316" s="41"/>
      <c r="K316" s="242"/>
      <c r="L316" s="197"/>
      <c r="M316" s="197"/>
      <c r="N316" s="197"/>
      <c r="O316" s="197"/>
      <c r="P316" s="213"/>
      <c r="Q316" s="213"/>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row>
    <row r="317" spans="1:43" s="16" customFormat="1" ht="82.8" x14ac:dyDescent="0.3">
      <c r="A317" s="36" t="s">
        <v>125</v>
      </c>
      <c r="B317" s="36" t="s">
        <v>126</v>
      </c>
      <c r="C317" s="36" t="s">
        <v>127</v>
      </c>
      <c r="D317" s="36"/>
      <c r="E317" s="246"/>
      <c r="F317" s="246"/>
      <c r="G317" s="246"/>
      <c r="H317" s="246"/>
      <c r="I317" s="246"/>
      <c r="J317" s="246"/>
      <c r="K317" s="191" t="s">
        <v>130</v>
      </c>
      <c r="L317" s="36"/>
      <c r="M317" s="36"/>
      <c r="N317" s="36"/>
      <c r="O317" s="36"/>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row>
    <row r="318" spans="1:43" x14ac:dyDescent="0.3">
      <c r="A318" s="303"/>
      <c r="B318" s="168"/>
      <c r="C318" s="159"/>
      <c r="D318" s="159"/>
      <c r="E318" s="54"/>
      <c r="F318" s="54"/>
      <c r="G318" s="54"/>
      <c r="H318" s="54"/>
      <c r="I318" s="54"/>
      <c r="J318" s="54"/>
      <c r="K318" s="240"/>
      <c r="L318" s="234"/>
      <c r="M318" s="234"/>
      <c r="N318" s="234"/>
      <c r="O318" s="234"/>
    </row>
    <row r="319" spans="1:43" s="216" customFormat="1" ht="151.80000000000001" x14ac:dyDescent="0.3">
      <c r="A319" s="84" t="s">
        <v>1623</v>
      </c>
      <c r="B319" s="62" t="s">
        <v>1494</v>
      </c>
      <c r="C319" s="182"/>
      <c r="D319" s="182"/>
      <c r="E319" s="120"/>
      <c r="F319" s="120"/>
      <c r="G319" s="120"/>
      <c r="H319" s="120"/>
      <c r="I319" s="120"/>
      <c r="J319" s="120"/>
      <c r="K319" s="31">
        <v>689</v>
      </c>
      <c r="L319" s="234">
        <f t="shared" si="16"/>
        <v>136.62870000000001</v>
      </c>
      <c r="M319" s="234">
        <f t="shared" si="17"/>
        <v>75.721099999999993</v>
      </c>
      <c r="N319" s="234">
        <f t="shared" si="18"/>
        <v>140.7627</v>
      </c>
      <c r="O319" s="234">
        <f t="shared" si="19"/>
        <v>79.855100000000007</v>
      </c>
    </row>
    <row r="320" spans="1:43" x14ac:dyDescent="0.3">
      <c r="A320" s="128"/>
      <c r="B320" s="187"/>
      <c r="C320" s="275"/>
      <c r="D320" s="275"/>
      <c r="E320" s="263"/>
      <c r="F320" s="263"/>
      <c r="G320" s="263"/>
      <c r="H320" s="263"/>
      <c r="I320" s="263"/>
      <c r="J320" s="263"/>
      <c r="K320" s="240"/>
      <c r="L320" s="234"/>
      <c r="M320" s="234"/>
      <c r="N320" s="234"/>
      <c r="O320" s="234"/>
    </row>
    <row r="321" spans="1:43" ht="151.80000000000001" x14ac:dyDescent="0.3">
      <c r="A321" s="269" t="s">
        <v>1624</v>
      </c>
      <c r="B321" s="187" t="s">
        <v>733</v>
      </c>
      <c r="C321" s="275"/>
      <c r="D321" s="275"/>
      <c r="E321" s="263"/>
      <c r="F321" s="263"/>
      <c r="G321" s="263"/>
      <c r="H321" s="263"/>
      <c r="I321" s="263"/>
      <c r="J321" s="263"/>
      <c r="K321" s="37">
        <v>873</v>
      </c>
      <c r="L321" s="234">
        <f t="shared" si="16"/>
        <v>173.11590000000001</v>
      </c>
      <c r="M321" s="234">
        <f t="shared" si="17"/>
        <v>95.942700000000002</v>
      </c>
      <c r="N321" s="234">
        <f t="shared" si="18"/>
        <v>178.35390000000001</v>
      </c>
      <c r="O321" s="234">
        <f t="shared" si="19"/>
        <v>101.1807</v>
      </c>
    </row>
    <row r="322" spans="1:43" x14ac:dyDescent="0.3">
      <c r="A322" s="269"/>
      <c r="B322" s="187"/>
      <c r="C322" s="275"/>
      <c r="D322" s="275"/>
      <c r="E322" s="263"/>
      <c r="F322" s="263"/>
      <c r="G322" s="263"/>
      <c r="H322" s="263"/>
      <c r="I322" s="263"/>
      <c r="J322" s="263"/>
      <c r="K322" s="240"/>
      <c r="L322" s="234"/>
      <c r="M322" s="234"/>
      <c r="N322" s="234"/>
      <c r="O322" s="234"/>
    </row>
    <row r="323" spans="1:43" s="16" customFormat="1" ht="27.6" x14ac:dyDescent="0.3">
      <c r="A323" s="169" t="s">
        <v>734</v>
      </c>
      <c r="B323" s="36" t="s">
        <v>287</v>
      </c>
      <c r="C323" s="36" t="s">
        <v>127</v>
      </c>
      <c r="D323" s="36"/>
      <c r="E323" s="36" t="s">
        <v>735</v>
      </c>
      <c r="F323" s="36" t="s">
        <v>733</v>
      </c>
      <c r="G323" s="36"/>
      <c r="H323" s="36"/>
      <c r="I323" s="36"/>
      <c r="J323" s="36"/>
      <c r="K323" s="19"/>
      <c r="L323" s="36"/>
      <c r="M323" s="36"/>
      <c r="N323" s="36"/>
      <c r="O323" s="36"/>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row>
    <row r="324" spans="1:43" x14ac:dyDescent="0.3">
      <c r="A324" s="112" t="s">
        <v>143</v>
      </c>
      <c r="B324" s="119"/>
      <c r="C324" s="119"/>
      <c r="D324" s="119"/>
      <c r="E324" s="293"/>
      <c r="F324" s="293"/>
      <c r="G324" s="293"/>
      <c r="H324" s="293"/>
      <c r="I324" s="293"/>
      <c r="J324" s="293"/>
      <c r="K324" s="131"/>
      <c r="L324" s="131"/>
      <c r="M324" s="131"/>
      <c r="N324" s="131"/>
      <c r="O324" s="131"/>
    </row>
    <row r="325" spans="1:43" s="330" customFormat="1" x14ac:dyDescent="0.3">
      <c r="A325" s="82" t="s">
        <v>1632</v>
      </c>
      <c r="B325" s="82" t="s">
        <v>1631</v>
      </c>
      <c r="C325" s="123" t="s">
        <v>294</v>
      </c>
      <c r="D325" s="123" t="s">
        <v>294</v>
      </c>
      <c r="E325" s="298"/>
      <c r="F325" s="298" t="s">
        <v>736</v>
      </c>
      <c r="G325" s="298"/>
      <c r="H325" s="298"/>
      <c r="I325" s="298"/>
      <c r="J325" s="85"/>
      <c r="K325" s="37">
        <v>122</v>
      </c>
      <c r="L325" s="234">
        <f t="shared" si="16"/>
        <v>24.192599999999999</v>
      </c>
      <c r="M325" s="234">
        <f t="shared" si="17"/>
        <v>13.4078</v>
      </c>
      <c r="N325" s="234">
        <f t="shared" si="18"/>
        <v>24.924600000000002</v>
      </c>
      <c r="O325" s="234">
        <f t="shared" si="19"/>
        <v>14.139800000000001</v>
      </c>
      <c r="P325" s="221"/>
      <c r="Q325" s="221"/>
      <c r="R325" s="221"/>
      <c r="S325" s="221"/>
      <c r="T325" s="221"/>
      <c r="U325" s="221"/>
      <c r="V325" s="221"/>
      <c r="W325" s="221"/>
      <c r="X325" s="221"/>
      <c r="Y325" s="221"/>
      <c r="Z325" s="221"/>
      <c r="AA325" s="221"/>
      <c r="AB325" s="221"/>
      <c r="AC325" s="221"/>
      <c r="AD325" s="221"/>
      <c r="AE325" s="221"/>
      <c r="AF325" s="221"/>
      <c r="AG325" s="221"/>
      <c r="AH325" s="221"/>
      <c r="AI325" s="221"/>
      <c r="AJ325" s="221"/>
      <c r="AK325" s="221"/>
      <c r="AL325" s="221"/>
      <c r="AM325" s="221"/>
      <c r="AN325" s="221"/>
      <c r="AO325" s="221"/>
      <c r="AP325" s="221"/>
      <c r="AQ325" s="221"/>
    </row>
    <row r="326" spans="1:43" s="226" customFormat="1" x14ac:dyDescent="0.3">
      <c r="A326" s="82" t="s">
        <v>1633</v>
      </c>
      <c r="B326" s="82" t="s">
        <v>737</v>
      </c>
      <c r="C326" s="160" t="s">
        <v>294</v>
      </c>
      <c r="D326" s="160" t="s">
        <v>294</v>
      </c>
      <c r="E326" s="57" t="s">
        <v>738</v>
      </c>
      <c r="F326" s="57"/>
      <c r="G326" s="57"/>
      <c r="H326" s="57"/>
      <c r="I326" s="57"/>
      <c r="J326" s="39"/>
      <c r="K326" s="31">
        <v>122</v>
      </c>
      <c r="L326" s="234">
        <f t="shared" si="16"/>
        <v>24.192599999999999</v>
      </c>
      <c r="M326" s="234">
        <f t="shared" si="17"/>
        <v>13.4078</v>
      </c>
      <c r="N326" s="234">
        <f t="shared" si="18"/>
        <v>24.924600000000002</v>
      </c>
      <c r="O326" s="234">
        <f t="shared" si="19"/>
        <v>14.139800000000001</v>
      </c>
    </row>
    <row r="327" spans="1:43" s="226" customFormat="1" x14ac:dyDescent="0.3">
      <c r="A327" s="82" t="s">
        <v>1634</v>
      </c>
      <c r="B327" s="82" t="s">
        <v>739</v>
      </c>
      <c r="C327" s="160" t="s">
        <v>294</v>
      </c>
      <c r="D327" s="160" t="s">
        <v>294</v>
      </c>
      <c r="E327" s="57" t="s">
        <v>740</v>
      </c>
      <c r="F327" s="57"/>
      <c r="G327" s="57"/>
      <c r="H327" s="57"/>
      <c r="I327" s="57"/>
      <c r="J327" s="39"/>
      <c r="K327" s="31">
        <v>249</v>
      </c>
      <c r="L327" s="234">
        <f t="shared" si="16"/>
        <v>49.3767</v>
      </c>
      <c r="M327" s="234">
        <f t="shared" si="17"/>
        <v>27.365099999999998</v>
      </c>
      <c r="N327" s="234">
        <f t="shared" si="18"/>
        <v>50.870699999999999</v>
      </c>
      <c r="O327" s="234">
        <f t="shared" si="19"/>
        <v>28.859100000000002</v>
      </c>
    </row>
    <row r="328" spans="1:43" s="330" customFormat="1" x14ac:dyDescent="0.3">
      <c r="A328" s="156" t="s">
        <v>1635</v>
      </c>
      <c r="B328" s="156" t="s">
        <v>741</v>
      </c>
      <c r="C328" s="123" t="s">
        <v>294</v>
      </c>
      <c r="D328" s="123" t="s">
        <v>294</v>
      </c>
      <c r="E328" s="298"/>
      <c r="F328" s="298" t="s">
        <v>742</v>
      </c>
      <c r="G328" s="298"/>
      <c r="H328" s="298"/>
      <c r="I328" s="298"/>
      <c r="J328" s="85"/>
      <c r="K328" s="37">
        <v>249</v>
      </c>
      <c r="L328" s="234">
        <f t="shared" si="16"/>
        <v>49.3767</v>
      </c>
      <c r="M328" s="234">
        <f t="shared" si="17"/>
        <v>27.365099999999998</v>
      </c>
      <c r="N328" s="234">
        <f t="shared" si="18"/>
        <v>50.870699999999999</v>
      </c>
      <c r="O328" s="234">
        <f t="shared" si="19"/>
        <v>28.859100000000002</v>
      </c>
      <c r="P328" s="221"/>
      <c r="Q328" s="221"/>
      <c r="R328" s="221"/>
      <c r="S328" s="221"/>
      <c r="T328" s="221"/>
      <c r="U328" s="221"/>
      <c r="V328" s="221"/>
      <c r="W328" s="221"/>
      <c r="X328" s="221"/>
      <c r="Y328" s="221"/>
      <c r="Z328" s="221"/>
      <c r="AA328" s="221"/>
      <c r="AB328" s="221"/>
      <c r="AC328" s="221"/>
      <c r="AD328" s="221"/>
      <c r="AE328" s="221"/>
      <c r="AF328" s="221"/>
      <c r="AG328" s="221"/>
      <c r="AH328" s="221"/>
      <c r="AI328" s="221"/>
      <c r="AJ328" s="221"/>
      <c r="AK328" s="221"/>
      <c r="AL328" s="221"/>
      <c r="AM328" s="221"/>
      <c r="AN328" s="221"/>
      <c r="AO328" s="221"/>
      <c r="AP328" s="221"/>
      <c r="AQ328" s="221"/>
    </row>
    <row r="329" spans="1:43" s="330" customFormat="1" x14ac:dyDescent="0.3">
      <c r="A329" s="303"/>
      <c r="B329" s="168"/>
      <c r="C329" s="159"/>
      <c r="D329" s="159"/>
      <c r="E329" s="54"/>
      <c r="F329" s="54"/>
      <c r="G329" s="54"/>
      <c r="H329" s="54"/>
      <c r="I329" s="54"/>
      <c r="J329" s="54"/>
      <c r="K329" s="37"/>
      <c r="L329" s="234">
        <f t="shared" si="16"/>
        <v>0</v>
      </c>
      <c r="M329" s="234">
        <f t="shared" si="17"/>
        <v>0</v>
      </c>
      <c r="N329" s="234">
        <f t="shared" si="18"/>
        <v>0</v>
      </c>
      <c r="O329" s="234">
        <f t="shared" si="19"/>
        <v>0</v>
      </c>
      <c r="P329" s="221"/>
      <c r="Q329" s="221"/>
      <c r="R329" s="221"/>
      <c r="S329" s="221"/>
      <c r="T329" s="221"/>
      <c r="U329" s="221"/>
      <c r="V329" s="221"/>
      <c r="W329" s="221"/>
      <c r="X329" s="221"/>
      <c r="Y329" s="221"/>
      <c r="Z329" s="221"/>
      <c r="AA329" s="221"/>
      <c r="AB329" s="221"/>
      <c r="AC329" s="221"/>
      <c r="AD329" s="221"/>
      <c r="AE329" s="221"/>
      <c r="AF329" s="221"/>
      <c r="AG329" s="221"/>
      <c r="AH329" s="221"/>
      <c r="AI329" s="221"/>
      <c r="AJ329" s="221"/>
      <c r="AK329" s="221"/>
      <c r="AL329" s="221"/>
      <c r="AM329" s="221"/>
      <c r="AN329" s="221"/>
      <c r="AO329" s="221"/>
      <c r="AP329" s="221"/>
      <c r="AQ329" s="221"/>
    </row>
    <row r="330" spans="1:43" s="330" customFormat="1" x14ac:dyDescent="0.3">
      <c r="A330" s="112" t="s">
        <v>1545</v>
      </c>
      <c r="B330" s="119"/>
      <c r="C330" s="119"/>
      <c r="D330" s="119"/>
      <c r="E330" s="293"/>
      <c r="F330" s="293"/>
      <c r="G330" s="293"/>
      <c r="H330" s="293"/>
      <c r="I330" s="293"/>
      <c r="J330" s="293"/>
      <c r="K330" s="131"/>
      <c r="L330" s="131"/>
      <c r="M330" s="131"/>
      <c r="N330" s="131"/>
      <c r="O330" s="131"/>
      <c r="P330" s="221"/>
      <c r="Q330" s="221"/>
      <c r="R330" s="221"/>
      <c r="S330" s="221"/>
      <c r="T330" s="221"/>
      <c r="U330" s="221"/>
      <c r="V330" s="221"/>
      <c r="W330" s="221"/>
      <c r="X330" s="221"/>
      <c r="Y330" s="221"/>
      <c r="Z330" s="221"/>
      <c r="AA330" s="221"/>
      <c r="AB330" s="221"/>
      <c r="AC330" s="221"/>
      <c r="AD330" s="221"/>
      <c r="AE330" s="221"/>
      <c r="AF330" s="221"/>
      <c r="AG330" s="221"/>
      <c r="AH330" s="221"/>
      <c r="AI330" s="221"/>
      <c r="AJ330" s="221"/>
      <c r="AK330" s="221"/>
      <c r="AL330" s="221"/>
      <c r="AM330" s="221"/>
      <c r="AN330" s="221"/>
      <c r="AO330" s="221"/>
      <c r="AP330" s="221"/>
      <c r="AQ330" s="221"/>
    </row>
    <row r="331" spans="1:43" s="225" customFormat="1" x14ac:dyDescent="0.3">
      <c r="A331" s="82" t="s">
        <v>1722</v>
      </c>
      <c r="B331" s="82" t="s">
        <v>743</v>
      </c>
      <c r="C331" s="160"/>
      <c r="D331" s="160"/>
      <c r="E331" s="57" t="s">
        <v>744</v>
      </c>
      <c r="F331" s="57"/>
      <c r="G331" s="57"/>
      <c r="H331" s="57"/>
      <c r="I331" s="57"/>
      <c r="J331" s="39"/>
      <c r="K331" s="31">
        <v>46</v>
      </c>
      <c r="L331" s="234">
        <f t="shared" si="16"/>
        <v>9.1218000000000004</v>
      </c>
      <c r="M331" s="234">
        <f t="shared" si="17"/>
        <v>5.0553999999999997</v>
      </c>
      <c r="N331" s="234">
        <f t="shared" si="18"/>
        <v>9.3978000000000002</v>
      </c>
      <c r="O331" s="234">
        <f t="shared" si="19"/>
        <v>5.3314000000000004</v>
      </c>
      <c r="P331" s="221"/>
      <c r="Q331" s="221"/>
      <c r="R331" s="221"/>
      <c r="S331" s="221"/>
      <c r="T331" s="221"/>
      <c r="U331" s="221"/>
      <c r="V331" s="221"/>
      <c r="W331" s="221"/>
      <c r="X331" s="221"/>
      <c r="Y331" s="221"/>
      <c r="Z331" s="221"/>
      <c r="AA331" s="221"/>
      <c r="AB331" s="221"/>
      <c r="AC331" s="221"/>
      <c r="AD331" s="221"/>
      <c r="AE331" s="221"/>
      <c r="AF331" s="221"/>
      <c r="AG331" s="221"/>
      <c r="AH331" s="221"/>
      <c r="AI331" s="221"/>
      <c r="AJ331" s="221"/>
      <c r="AK331" s="221"/>
      <c r="AL331" s="221"/>
      <c r="AM331" s="221"/>
      <c r="AN331" s="221"/>
      <c r="AO331" s="221"/>
      <c r="AP331" s="221"/>
      <c r="AQ331" s="221"/>
    </row>
    <row r="332" spans="1:43" s="225" customFormat="1" x14ac:dyDescent="0.3">
      <c r="A332" s="82" t="s">
        <v>1723</v>
      </c>
      <c r="B332" s="82" t="s">
        <v>745</v>
      </c>
      <c r="C332" s="160"/>
      <c r="D332" s="160"/>
      <c r="E332" s="57" t="s">
        <v>746</v>
      </c>
      <c r="F332" s="57"/>
      <c r="G332" s="57"/>
      <c r="H332" s="57"/>
      <c r="I332" s="57"/>
      <c r="J332" s="39"/>
      <c r="K332" s="31">
        <v>76</v>
      </c>
      <c r="L332" s="234">
        <f t="shared" si="16"/>
        <v>15.0708</v>
      </c>
      <c r="M332" s="234">
        <f t="shared" si="17"/>
        <v>8.3523999999999994</v>
      </c>
      <c r="N332" s="234">
        <f t="shared" si="18"/>
        <v>15.526800000000001</v>
      </c>
      <c r="O332" s="234">
        <f t="shared" si="19"/>
        <v>8.8084000000000007</v>
      </c>
      <c r="P332" s="221"/>
      <c r="Q332" s="221"/>
      <c r="R332" s="221"/>
      <c r="S332" s="221"/>
      <c r="T332" s="221"/>
      <c r="U332" s="221"/>
      <c r="V332" s="221"/>
      <c r="W332" s="221"/>
      <c r="X332" s="221"/>
      <c r="Y332" s="221"/>
      <c r="Z332" s="221"/>
      <c r="AA332" s="221"/>
      <c r="AB332" s="221"/>
      <c r="AC332" s="221"/>
      <c r="AD332" s="221"/>
      <c r="AE332" s="221"/>
      <c r="AF332" s="221"/>
      <c r="AG332" s="221"/>
      <c r="AH332" s="221"/>
      <c r="AI332" s="221"/>
      <c r="AJ332" s="221"/>
      <c r="AK332" s="221"/>
      <c r="AL332" s="221"/>
      <c r="AM332" s="221"/>
      <c r="AN332" s="221"/>
      <c r="AO332" s="221"/>
      <c r="AP332" s="221"/>
      <c r="AQ332" s="221"/>
    </row>
    <row r="333" spans="1:43" s="225" customFormat="1" x14ac:dyDescent="0.3">
      <c r="A333" s="82" t="s">
        <v>1724</v>
      </c>
      <c r="B333" s="82" t="s">
        <v>747</v>
      </c>
      <c r="C333" s="182"/>
      <c r="D333" s="182"/>
      <c r="E333" s="57" t="s">
        <v>748</v>
      </c>
      <c r="F333" s="120"/>
      <c r="G333" s="120"/>
      <c r="H333" s="120"/>
      <c r="I333" s="120"/>
      <c r="J333" s="120"/>
      <c r="K333" s="31">
        <v>104</v>
      </c>
      <c r="L333" s="234">
        <f t="shared" si="16"/>
        <v>20.623200000000001</v>
      </c>
      <c r="M333" s="234">
        <f t="shared" si="17"/>
        <v>11.429600000000001</v>
      </c>
      <c r="N333" s="234">
        <f t="shared" si="18"/>
        <v>21.247199999999999</v>
      </c>
      <c r="O333" s="234">
        <f t="shared" si="19"/>
        <v>12.053599999999999</v>
      </c>
      <c r="P333" s="221"/>
      <c r="Q333" s="221"/>
      <c r="R333" s="221"/>
      <c r="S333" s="221"/>
      <c r="T333" s="221"/>
      <c r="U333" s="221"/>
      <c r="V333" s="221"/>
      <c r="W333" s="221"/>
      <c r="X333" s="221"/>
      <c r="Y333" s="221"/>
      <c r="Z333" s="221"/>
      <c r="AA333" s="221"/>
      <c r="AB333" s="221"/>
      <c r="AC333" s="221"/>
      <c r="AD333" s="221"/>
      <c r="AE333" s="221"/>
      <c r="AF333" s="221"/>
      <c r="AG333" s="221"/>
      <c r="AH333" s="221"/>
      <c r="AI333" s="221"/>
      <c r="AJ333" s="221"/>
      <c r="AK333" s="221"/>
      <c r="AL333" s="221"/>
      <c r="AM333" s="221"/>
      <c r="AN333" s="221"/>
      <c r="AO333" s="221"/>
      <c r="AP333" s="221"/>
      <c r="AQ333" s="221"/>
    </row>
    <row r="334" spans="1:43" s="225" customFormat="1" x14ac:dyDescent="0.3">
      <c r="A334" s="82"/>
      <c r="B334" s="82"/>
      <c r="C334" s="182"/>
      <c r="D334" s="182"/>
      <c r="E334" s="57"/>
      <c r="F334" s="120"/>
      <c r="G334" s="120"/>
      <c r="H334" s="120"/>
      <c r="I334" s="120"/>
      <c r="J334" s="120"/>
      <c r="K334" s="31"/>
      <c r="L334" s="234"/>
      <c r="M334" s="234"/>
      <c r="N334" s="234"/>
      <c r="O334" s="234"/>
      <c r="P334" s="221"/>
      <c r="Q334" s="221"/>
      <c r="R334" s="221"/>
      <c r="S334" s="221"/>
      <c r="T334" s="221"/>
      <c r="U334" s="221"/>
      <c r="V334" s="221"/>
      <c r="W334" s="221"/>
      <c r="X334" s="221"/>
      <c r="Y334" s="221"/>
      <c r="Z334" s="221"/>
      <c r="AA334" s="221"/>
      <c r="AB334" s="221"/>
      <c r="AC334" s="221"/>
      <c r="AD334" s="221"/>
      <c r="AE334" s="221"/>
      <c r="AF334" s="221"/>
      <c r="AG334" s="221"/>
      <c r="AH334" s="221"/>
      <c r="AI334" s="221"/>
      <c r="AJ334" s="221"/>
      <c r="AK334" s="221"/>
      <c r="AL334" s="221"/>
      <c r="AM334" s="221"/>
      <c r="AN334" s="221"/>
      <c r="AO334" s="221"/>
      <c r="AP334" s="221"/>
      <c r="AQ334" s="221"/>
    </row>
    <row r="335" spans="1:43" s="330" customFormat="1" x14ac:dyDescent="0.3">
      <c r="A335" s="112" t="s">
        <v>749</v>
      </c>
      <c r="B335" s="119"/>
      <c r="C335" s="119"/>
      <c r="D335" s="119"/>
      <c r="E335" s="293"/>
      <c r="F335" s="293"/>
      <c r="G335" s="293"/>
      <c r="H335" s="293"/>
      <c r="I335" s="293"/>
      <c r="J335" s="293"/>
      <c r="K335" s="131"/>
      <c r="L335" s="131"/>
      <c r="M335" s="131"/>
      <c r="N335" s="131"/>
      <c r="O335" s="131"/>
      <c r="P335" s="221"/>
      <c r="Q335" s="221"/>
      <c r="R335" s="221"/>
      <c r="S335" s="221"/>
      <c r="T335" s="221"/>
      <c r="U335" s="221"/>
      <c r="V335" s="221"/>
      <c r="W335" s="221"/>
      <c r="X335" s="221"/>
      <c r="Y335" s="221"/>
      <c r="Z335" s="221"/>
      <c r="AA335" s="221"/>
      <c r="AB335" s="221"/>
      <c r="AC335" s="221"/>
      <c r="AD335" s="221"/>
      <c r="AE335" s="221"/>
      <c r="AF335" s="221"/>
      <c r="AG335" s="221"/>
      <c r="AH335" s="221"/>
      <c r="AI335" s="221"/>
      <c r="AJ335" s="221"/>
      <c r="AK335" s="221"/>
      <c r="AL335" s="221"/>
      <c r="AM335" s="221"/>
      <c r="AN335" s="221"/>
      <c r="AO335" s="221"/>
      <c r="AP335" s="221"/>
      <c r="AQ335" s="221"/>
    </row>
    <row r="336" spans="1:43" s="330" customFormat="1" x14ac:dyDescent="0.3">
      <c r="A336" s="82" t="s">
        <v>1725</v>
      </c>
      <c r="B336" s="156" t="s">
        <v>750</v>
      </c>
      <c r="C336" s="123"/>
      <c r="D336" s="123"/>
      <c r="E336" s="298"/>
      <c r="F336" s="298" t="s">
        <v>751</v>
      </c>
      <c r="G336" s="298"/>
      <c r="H336" s="298"/>
      <c r="I336" s="298"/>
      <c r="J336" s="85"/>
      <c r="K336" s="37">
        <v>57</v>
      </c>
      <c r="L336" s="234">
        <f t="shared" si="16"/>
        <v>11.303100000000001</v>
      </c>
      <c r="M336" s="234">
        <f t="shared" si="17"/>
        <v>6.2642999999999995</v>
      </c>
      <c r="N336" s="234">
        <f t="shared" si="18"/>
        <v>11.645100000000001</v>
      </c>
      <c r="O336" s="234">
        <f t="shared" si="19"/>
        <v>6.6063000000000001</v>
      </c>
      <c r="P336" s="221"/>
      <c r="Q336" s="221"/>
      <c r="R336" s="221"/>
      <c r="S336" s="221"/>
      <c r="T336" s="221"/>
      <c r="U336" s="221"/>
      <c r="V336" s="221"/>
      <c r="W336" s="221"/>
      <c r="X336" s="221"/>
      <c r="Y336" s="221"/>
      <c r="Z336" s="221"/>
      <c r="AA336" s="221"/>
      <c r="AB336" s="221"/>
      <c r="AC336" s="221"/>
      <c r="AD336" s="221"/>
      <c r="AE336" s="221"/>
      <c r="AF336" s="221"/>
      <c r="AG336" s="221"/>
      <c r="AH336" s="221"/>
      <c r="AI336" s="221"/>
      <c r="AJ336" s="221"/>
      <c r="AK336" s="221"/>
      <c r="AL336" s="221"/>
      <c r="AM336" s="221"/>
      <c r="AN336" s="221"/>
      <c r="AO336" s="221"/>
      <c r="AP336" s="221"/>
      <c r="AQ336" s="221"/>
    </row>
    <row r="337" spans="1:43" s="330" customFormat="1" x14ac:dyDescent="0.3">
      <c r="A337" s="303"/>
      <c r="B337" s="168"/>
      <c r="C337" s="159"/>
      <c r="D337" s="159"/>
      <c r="E337" s="54"/>
      <c r="F337" s="54"/>
      <c r="G337" s="54"/>
      <c r="H337" s="54"/>
      <c r="I337" s="54"/>
      <c r="J337" s="54"/>
      <c r="K337" s="37"/>
      <c r="L337" s="234"/>
      <c r="M337" s="234"/>
      <c r="N337" s="234"/>
      <c r="O337" s="234"/>
      <c r="P337" s="221"/>
      <c r="Q337" s="221"/>
      <c r="R337" s="221"/>
      <c r="S337" s="221"/>
      <c r="T337" s="221"/>
      <c r="U337" s="221"/>
      <c r="V337" s="221"/>
      <c r="W337" s="221"/>
      <c r="X337" s="221"/>
      <c r="Y337" s="221"/>
      <c r="Z337" s="221"/>
      <c r="AA337" s="221"/>
      <c r="AB337" s="221"/>
      <c r="AC337" s="221"/>
      <c r="AD337" s="221"/>
      <c r="AE337" s="221"/>
      <c r="AF337" s="221"/>
      <c r="AG337" s="221"/>
      <c r="AH337" s="221"/>
      <c r="AI337" s="221"/>
      <c r="AJ337" s="221"/>
      <c r="AK337" s="221"/>
      <c r="AL337" s="221"/>
      <c r="AM337" s="221"/>
      <c r="AN337" s="221"/>
      <c r="AO337" s="221"/>
      <c r="AP337" s="221"/>
      <c r="AQ337" s="221"/>
    </row>
    <row r="338" spans="1:43" s="330" customFormat="1" x14ac:dyDescent="0.3">
      <c r="A338" s="112" t="s">
        <v>1544</v>
      </c>
      <c r="B338" s="119"/>
      <c r="C338" s="119"/>
      <c r="D338" s="119"/>
      <c r="E338" s="293"/>
      <c r="F338" s="293"/>
      <c r="G338" s="293"/>
      <c r="H338" s="293"/>
      <c r="I338" s="293"/>
      <c r="J338" s="293"/>
      <c r="K338" s="131"/>
      <c r="L338" s="131"/>
      <c r="M338" s="131"/>
      <c r="N338" s="131"/>
      <c r="O338" s="131"/>
      <c r="P338" s="221"/>
      <c r="Q338" s="221"/>
      <c r="R338" s="221"/>
      <c r="S338" s="221"/>
      <c r="T338" s="221"/>
      <c r="U338" s="221"/>
      <c r="V338" s="221"/>
      <c r="W338" s="221"/>
      <c r="X338" s="221"/>
      <c r="Y338" s="221"/>
      <c r="Z338" s="221"/>
      <c r="AA338" s="221"/>
      <c r="AB338" s="221"/>
      <c r="AC338" s="221"/>
      <c r="AD338" s="221"/>
      <c r="AE338" s="221"/>
      <c r="AF338" s="221"/>
      <c r="AG338" s="221"/>
      <c r="AH338" s="221"/>
      <c r="AI338" s="221"/>
      <c r="AJ338" s="221"/>
      <c r="AK338" s="221"/>
      <c r="AL338" s="221"/>
      <c r="AM338" s="221"/>
      <c r="AN338" s="221"/>
      <c r="AO338" s="221"/>
      <c r="AP338" s="221"/>
      <c r="AQ338" s="221"/>
    </row>
    <row r="339" spans="1:43" s="226" customFormat="1" x14ac:dyDescent="0.3">
      <c r="A339" s="82" t="s">
        <v>1625</v>
      </c>
      <c r="B339" s="220" t="s">
        <v>752</v>
      </c>
      <c r="C339" s="227"/>
      <c r="D339" s="227"/>
      <c r="E339" s="57" t="s">
        <v>753</v>
      </c>
      <c r="F339" s="108"/>
      <c r="G339" s="108"/>
      <c r="H339" s="108"/>
      <c r="I339" s="108"/>
      <c r="J339" s="167"/>
      <c r="K339" s="31">
        <v>50</v>
      </c>
      <c r="L339" s="234">
        <f t="shared" ref="L339:L385" si="20">K339*$L$9</f>
        <v>9.9150000000000009</v>
      </c>
      <c r="M339" s="234">
        <f t="shared" ref="M339:M385" si="21">K339*$M$9</f>
        <v>5.4950000000000001</v>
      </c>
      <c r="N339" s="234">
        <f t="shared" ref="N339:N385" si="22">K339*$N$9</f>
        <v>10.215</v>
      </c>
      <c r="O339" s="234">
        <f t="shared" ref="O339:O385" si="23">K339*$O$9</f>
        <v>5.7949999999999999</v>
      </c>
    </row>
    <row r="340" spans="1:43" s="226" customFormat="1" x14ac:dyDescent="0.3">
      <c r="A340" s="82"/>
      <c r="B340" s="220"/>
      <c r="C340" s="227"/>
      <c r="D340" s="227"/>
      <c r="E340" s="57"/>
      <c r="F340" s="108"/>
      <c r="G340" s="108"/>
      <c r="H340" s="108"/>
      <c r="I340" s="108"/>
      <c r="J340" s="167"/>
      <c r="K340" s="31"/>
      <c r="L340" s="234"/>
      <c r="M340" s="234"/>
      <c r="N340" s="234"/>
      <c r="O340" s="234"/>
    </row>
    <row r="341" spans="1:43" s="330" customFormat="1" x14ac:dyDescent="0.3">
      <c r="A341" s="112" t="s">
        <v>226</v>
      </c>
      <c r="B341" s="119"/>
      <c r="C341" s="119"/>
      <c r="D341" s="119"/>
      <c r="E341" s="293"/>
      <c r="F341" s="293"/>
      <c r="G341" s="293"/>
      <c r="H341" s="293"/>
      <c r="I341" s="293"/>
      <c r="J341" s="293"/>
      <c r="K341" s="131"/>
      <c r="L341" s="131"/>
      <c r="M341" s="131"/>
      <c r="N341" s="131"/>
      <c r="O341" s="131"/>
      <c r="P341" s="221"/>
      <c r="Q341" s="221"/>
      <c r="R341" s="221"/>
      <c r="S341" s="221"/>
      <c r="T341" s="221"/>
      <c r="U341" s="221"/>
      <c r="V341" s="221"/>
      <c r="W341" s="221"/>
      <c r="X341" s="221"/>
      <c r="Y341" s="221"/>
      <c r="Z341" s="221"/>
      <c r="AA341" s="221"/>
      <c r="AB341" s="221"/>
      <c r="AC341" s="221"/>
      <c r="AD341" s="221"/>
      <c r="AE341" s="221"/>
      <c r="AF341" s="221"/>
      <c r="AG341" s="221"/>
      <c r="AH341" s="221"/>
      <c r="AI341" s="221"/>
      <c r="AJ341" s="221"/>
      <c r="AK341" s="221"/>
      <c r="AL341" s="221"/>
      <c r="AM341" s="221"/>
      <c r="AN341" s="221"/>
      <c r="AO341" s="221"/>
      <c r="AP341" s="221"/>
      <c r="AQ341" s="221"/>
    </row>
    <row r="342" spans="1:43" s="310" customFormat="1" x14ac:dyDescent="0.3">
      <c r="A342" s="269" t="s">
        <v>754</v>
      </c>
      <c r="B342" s="269" t="s">
        <v>233</v>
      </c>
      <c r="C342" s="123"/>
      <c r="D342" s="123"/>
      <c r="E342" s="298"/>
      <c r="F342" s="298" t="s">
        <v>755</v>
      </c>
      <c r="G342" s="298"/>
      <c r="H342" s="298"/>
      <c r="I342" s="298"/>
      <c r="J342" s="85"/>
      <c r="K342" s="37">
        <v>0</v>
      </c>
      <c r="L342" s="234">
        <f t="shared" si="20"/>
        <v>0</v>
      </c>
      <c r="M342" s="234">
        <f t="shared" si="21"/>
        <v>0</v>
      </c>
      <c r="N342" s="234">
        <f t="shared" si="22"/>
        <v>0</v>
      </c>
      <c r="O342" s="234">
        <f t="shared" si="23"/>
        <v>0</v>
      </c>
      <c r="P342" s="209"/>
      <c r="Q342" s="209"/>
      <c r="R342" s="209"/>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row>
    <row r="343" spans="1:43" s="219" customFormat="1" x14ac:dyDescent="0.3">
      <c r="A343" s="82" t="s">
        <v>756</v>
      </c>
      <c r="B343" s="82" t="s">
        <v>757</v>
      </c>
      <c r="C343" s="182"/>
      <c r="D343" s="182"/>
      <c r="E343" s="57" t="s">
        <v>758</v>
      </c>
      <c r="F343" s="120"/>
      <c r="G343" s="120"/>
      <c r="H343" s="120"/>
      <c r="I343" s="120"/>
      <c r="J343" s="120"/>
      <c r="K343" s="31">
        <v>0</v>
      </c>
      <c r="L343" s="234">
        <f t="shared" si="20"/>
        <v>0</v>
      </c>
      <c r="M343" s="234">
        <f t="shared" si="21"/>
        <v>0</v>
      </c>
      <c r="N343" s="234">
        <f t="shared" si="22"/>
        <v>0</v>
      </c>
      <c r="O343" s="234">
        <f t="shared" si="23"/>
        <v>0</v>
      </c>
    </row>
    <row r="344" spans="1:43" s="219" customFormat="1" x14ac:dyDescent="0.3">
      <c r="A344" s="82"/>
      <c r="B344" s="82"/>
      <c r="C344" s="182"/>
      <c r="D344" s="182"/>
      <c r="E344" s="57"/>
      <c r="F344" s="120"/>
      <c r="G344" s="120"/>
      <c r="H344" s="120"/>
      <c r="I344" s="120"/>
      <c r="J344" s="120"/>
      <c r="K344" s="31"/>
      <c r="L344" s="234"/>
      <c r="M344" s="234"/>
      <c r="N344" s="234"/>
      <c r="O344" s="234"/>
    </row>
    <row r="345" spans="1:43" s="310" customFormat="1" x14ac:dyDescent="0.3">
      <c r="A345" s="112" t="s">
        <v>204</v>
      </c>
      <c r="B345" s="119"/>
      <c r="C345" s="119"/>
      <c r="D345" s="119"/>
      <c r="E345" s="293"/>
      <c r="F345" s="293"/>
      <c r="G345" s="293"/>
      <c r="H345" s="293"/>
      <c r="I345" s="293"/>
      <c r="J345" s="293"/>
      <c r="K345" s="131"/>
      <c r="L345" s="131"/>
      <c r="M345" s="131"/>
      <c r="N345" s="131"/>
      <c r="O345" s="131"/>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row>
    <row r="346" spans="1:43" s="310" customFormat="1" x14ac:dyDescent="0.3">
      <c r="A346" s="269" t="s">
        <v>760</v>
      </c>
      <c r="B346" s="269" t="s">
        <v>760</v>
      </c>
      <c r="C346" s="123"/>
      <c r="D346" s="123"/>
      <c r="E346" s="298"/>
      <c r="F346" s="298" t="s">
        <v>759</v>
      </c>
      <c r="G346" s="298"/>
      <c r="H346" s="298"/>
      <c r="I346" s="298"/>
      <c r="J346" s="85"/>
      <c r="K346" s="37">
        <v>6</v>
      </c>
      <c r="L346" s="234">
        <f t="shared" si="20"/>
        <v>1.1898</v>
      </c>
      <c r="M346" s="234">
        <f t="shared" si="21"/>
        <v>0.65939999999999999</v>
      </c>
      <c r="N346" s="234">
        <f t="shared" si="22"/>
        <v>1.2258</v>
      </c>
      <c r="O346" s="234">
        <f t="shared" si="23"/>
        <v>0.69540000000000002</v>
      </c>
      <c r="P346" s="209"/>
      <c r="Q346" s="209"/>
      <c r="R346" s="209"/>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row>
    <row r="347" spans="1:43" s="219" customFormat="1" x14ac:dyDescent="0.3">
      <c r="A347" s="82" t="s">
        <v>1726</v>
      </c>
      <c r="B347" s="269" t="s">
        <v>763</v>
      </c>
      <c r="C347" s="160"/>
      <c r="D347" s="160"/>
      <c r="E347" s="57" t="s">
        <v>761</v>
      </c>
      <c r="F347" s="57"/>
      <c r="G347" s="57"/>
      <c r="H347" s="57"/>
      <c r="I347" s="57"/>
      <c r="J347" s="39"/>
      <c r="K347" s="31">
        <v>6</v>
      </c>
      <c r="L347" s="234">
        <f t="shared" si="20"/>
        <v>1.1898</v>
      </c>
      <c r="M347" s="234">
        <f t="shared" si="21"/>
        <v>0.65939999999999999</v>
      </c>
      <c r="N347" s="234">
        <f t="shared" si="22"/>
        <v>1.2258</v>
      </c>
      <c r="O347" s="234">
        <f t="shared" si="23"/>
        <v>0.69540000000000002</v>
      </c>
    </row>
    <row r="348" spans="1:43" s="310" customFormat="1" x14ac:dyDescent="0.3">
      <c r="A348" s="269" t="s">
        <v>1727</v>
      </c>
      <c r="B348" s="269" t="s">
        <v>646</v>
      </c>
      <c r="C348" s="123"/>
      <c r="D348" s="123"/>
      <c r="E348" s="298"/>
      <c r="F348" s="298" t="s">
        <v>762</v>
      </c>
      <c r="G348" s="298"/>
      <c r="H348" s="298"/>
      <c r="I348" s="298"/>
      <c r="J348" s="85"/>
      <c r="K348" s="37">
        <v>6</v>
      </c>
      <c r="L348" s="234">
        <f t="shared" si="20"/>
        <v>1.1898</v>
      </c>
      <c r="M348" s="234">
        <f t="shared" si="21"/>
        <v>0.65939999999999999</v>
      </c>
      <c r="N348" s="234">
        <f t="shared" si="22"/>
        <v>1.2258</v>
      </c>
      <c r="O348" s="234">
        <f t="shared" si="23"/>
        <v>0.69540000000000002</v>
      </c>
      <c r="P348" s="209"/>
      <c r="Q348" s="209"/>
      <c r="R348" s="209"/>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row>
    <row r="349" spans="1:43" s="219" customFormat="1" x14ac:dyDescent="0.3">
      <c r="A349" s="82" t="s">
        <v>760</v>
      </c>
      <c r="B349" s="269" t="s">
        <v>760</v>
      </c>
      <c r="C349" s="160"/>
      <c r="D349" s="160"/>
      <c r="E349" s="57" t="s">
        <v>764</v>
      </c>
      <c r="F349" s="57"/>
      <c r="G349" s="57"/>
      <c r="H349" s="57"/>
      <c r="I349" s="57"/>
      <c r="J349" s="39"/>
      <c r="K349" s="31">
        <v>6</v>
      </c>
      <c r="L349" s="234">
        <f t="shared" si="20"/>
        <v>1.1898</v>
      </c>
      <c r="M349" s="234">
        <f t="shared" si="21"/>
        <v>0.65939999999999999</v>
      </c>
      <c r="N349" s="234">
        <f t="shared" si="22"/>
        <v>1.2258</v>
      </c>
      <c r="O349" s="234">
        <f t="shared" si="23"/>
        <v>0.69540000000000002</v>
      </c>
    </row>
    <row r="350" spans="1:43" x14ac:dyDescent="0.3">
      <c r="A350" s="269" t="s">
        <v>1728</v>
      </c>
      <c r="B350" s="269" t="s">
        <v>763</v>
      </c>
      <c r="C350" s="123"/>
      <c r="D350" s="123"/>
      <c r="E350" s="298"/>
      <c r="F350" s="298" t="s">
        <v>765</v>
      </c>
      <c r="G350" s="298"/>
      <c r="H350" s="298"/>
      <c r="I350" s="298"/>
      <c r="J350" s="85"/>
      <c r="K350" s="37">
        <v>82</v>
      </c>
      <c r="L350" s="234">
        <f t="shared" si="20"/>
        <v>16.2606</v>
      </c>
      <c r="M350" s="234">
        <f t="shared" si="21"/>
        <v>9.0117999999999991</v>
      </c>
      <c r="N350" s="234">
        <f t="shared" si="22"/>
        <v>16.752600000000001</v>
      </c>
      <c r="O350" s="234">
        <f t="shared" si="23"/>
        <v>9.5038</v>
      </c>
    </row>
    <row r="351" spans="1:43" s="219" customFormat="1" x14ac:dyDescent="0.3">
      <c r="A351" s="82" t="s">
        <v>1729</v>
      </c>
      <c r="B351" s="269" t="s">
        <v>429</v>
      </c>
      <c r="C351" s="182"/>
      <c r="D351" s="182"/>
      <c r="E351" s="57" t="s">
        <v>766</v>
      </c>
      <c r="F351" s="120"/>
      <c r="G351" s="120"/>
      <c r="H351" s="120"/>
      <c r="I351" s="120"/>
      <c r="J351" s="120"/>
      <c r="K351" s="31">
        <v>0</v>
      </c>
      <c r="L351" s="234">
        <f t="shared" si="20"/>
        <v>0</v>
      </c>
      <c r="M351" s="234">
        <f t="shared" si="21"/>
        <v>0</v>
      </c>
      <c r="N351" s="234">
        <f t="shared" si="22"/>
        <v>0</v>
      </c>
      <c r="O351" s="234">
        <f t="shared" si="23"/>
        <v>0</v>
      </c>
    </row>
    <row r="352" spans="1:43" s="209" customFormat="1" x14ac:dyDescent="0.3">
      <c r="A352" s="303"/>
      <c r="B352" s="156"/>
      <c r="C352" s="159"/>
      <c r="D352" s="159"/>
      <c r="E352" s="298"/>
      <c r="F352" s="54"/>
      <c r="G352" s="54"/>
      <c r="H352" s="54"/>
      <c r="I352" s="54"/>
      <c r="J352" s="54"/>
      <c r="K352" s="37"/>
      <c r="L352" s="234"/>
      <c r="M352" s="234"/>
      <c r="N352" s="234"/>
      <c r="O352" s="234"/>
    </row>
    <row r="353" spans="1:43" s="310" customFormat="1" x14ac:dyDescent="0.3">
      <c r="A353" s="112" t="s">
        <v>653</v>
      </c>
      <c r="B353" s="119"/>
      <c r="C353" s="119"/>
      <c r="D353" s="119"/>
      <c r="E353" s="293"/>
      <c r="F353" s="293"/>
      <c r="G353" s="293"/>
      <c r="H353" s="293"/>
      <c r="I353" s="293"/>
      <c r="J353" s="293"/>
      <c r="K353" s="131"/>
      <c r="L353" s="131"/>
      <c r="M353" s="131"/>
      <c r="N353" s="131"/>
      <c r="O353" s="131"/>
      <c r="P353" s="209"/>
      <c r="Q353" s="209"/>
      <c r="R353" s="209"/>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row>
    <row r="354" spans="1:43" s="310" customFormat="1" x14ac:dyDescent="0.3">
      <c r="A354" s="156" t="s">
        <v>767</v>
      </c>
      <c r="B354" s="156" t="s">
        <v>768</v>
      </c>
      <c r="C354" s="123"/>
      <c r="D354" s="123"/>
      <c r="E354" s="298"/>
      <c r="F354" s="298" t="s">
        <v>769</v>
      </c>
      <c r="G354" s="298"/>
      <c r="H354" s="298"/>
      <c r="I354" s="298"/>
      <c r="J354" s="85"/>
      <c r="K354" s="37">
        <v>0</v>
      </c>
      <c r="L354" s="234">
        <f t="shared" si="20"/>
        <v>0</v>
      </c>
      <c r="M354" s="234">
        <f t="shared" si="21"/>
        <v>0</v>
      </c>
      <c r="N354" s="234">
        <f t="shared" si="22"/>
        <v>0</v>
      </c>
      <c r="O354" s="234">
        <f t="shared" si="23"/>
        <v>0</v>
      </c>
      <c r="P354" s="209"/>
      <c r="Q354" s="209"/>
      <c r="R354" s="209"/>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row>
    <row r="355" spans="1:43" s="310" customFormat="1" x14ac:dyDescent="0.3">
      <c r="A355" s="156" t="s">
        <v>767</v>
      </c>
      <c r="B355" s="156" t="s">
        <v>1628</v>
      </c>
      <c r="C355" s="123"/>
      <c r="D355" s="123"/>
      <c r="E355" s="298" t="s">
        <v>1629</v>
      </c>
      <c r="F355" s="298"/>
      <c r="G355" s="298"/>
      <c r="H355" s="298"/>
      <c r="I355" s="298"/>
      <c r="J355" s="85"/>
      <c r="K355" s="37">
        <v>10</v>
      </c>
      <c r="L355" s="234">
        <f t="shared" ref="L355" si="24">K355*$L$9</f>
        <v>1.9830000000000001</v>
      </c>
      <c r="M355" s="234">
        <f t="shared" ref="M355" si="25">K355*$M$9</f>
        <v>1.099</v>
      </c>
      <c r="N355" s="234">
        <f t="shared" ref="N355" si="26">K355*$N$9</f>
        <v>2.0430000000000001</v>
      </c>
      <c r="O355" s="234">
        <f t="shared" ref="O355" si="27">K355*$O$9</f>
        <v>1.159</v>
      </c>
      <c r="P355" s="209"/>
      <c r="Q355" s="209"/>
      <c r="R355" s="209"/>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row>
    <row r="356" spans="1:43" s="310" customFormat="1" x14ac:dyDescent="0.3">
      <c r="A356" s="303"/>
      <c r="B356" s="168"/>
      <c r="C356" s="159"/>
      <c r="D356" s="159"/>
      <c r="E356" s="54"/>
      <c r="F356" s="54"/>
      <c r="G356" s="54"/>
      <c r="H356" s="54"/>
      <c r="I356" s="54"/>
      <c r="J356" s="54"/>
      <c r="K356" s="37"/>
      <c r="L356" s="234"/>
      <c r="M356" s="234"/>
      <c r="N356" s="234"/>
      <c r="O356" s="234"/>
      <c r="P356" s="209"/>
      <c r="Q356" s="209"/>
      <c r="R356" s="209"/>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row>
    <row r="357" spans="1:43" s="310" customFormat="1" x14ac:dyDescent="0.3">
      <c r="A357" s="112" t="s">
        <v>475</v>
      </c>
      <c r="B357" s="119"/>
      <c r="C357" s="119"/>
      <c r="D357" s="119"/>
      <c r="E357" s="293"/>
      <c r="F357" s="293"/>
      <c r="G357" s="293"/>
      <c r="H357" s="293"/>
      <c r="I357" s="293"/>
      <c r="J357" s="293"/>
      <c r="K357" s="131"/>
      <c r="L357" s="131"/>
      <c r="M357" s="131"/>
      <c r="N357" s="131"/>
      <c r="O357" s="131"/>
      <c r="P357" s="209"/>
      <c r="Q357" s="209"/>
      <c r="R357" s="209"/>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row>
    <row r="358" spans="1:43" s="208" customFormat="1" x14ac:dyDescent="0.3">
      <c r="A358" s="82" t="s">
        <v>476</v>
      </c>
      <c r="B358" s="82" t="s">
        <v>477</v>
      </c>
      <c r="C358" s="160"/>
      <c r="D358" s="160"/>
      <c r="E358" s="57"/>
      <c r="F358" s="57" t="s">
        <v>770</v>
      </c>
      <c r="G358" s="57"/>
      <c r="H358" s="57"/>
      <c r="I358" s="57"/>
      <c r="J358" s="39"/>
      <c r="K358" s="31">
        <v>6</v>
      </c>
      <c r="L358" s="234">
        <f t="shared" si="20"/>
        <v>1.1898</v>
      </c>
      <c r="M358" s="234">
        <f t="shared" si="21"/>
        <v>0.65939999999999999</v>
      </c>
      <c r="N358" s="234">
        <f t="shared" si="22"/>
        <v>1.2258</v>
      </c>
      <c r="O358" s="234">
        <f t="shared" si="23"/>
        <v>0.69540000000000002</v>
      </c>
      <c r="P358" s="209"/>
      <c r="Q358" s="209"/>
      <c r="R358" s="209"/>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row>
    <row r="359" spans="1:43" s="219" customFormat="1" x14ac:dyDescent="0.3">
      <c r="A359" s="82" t="s">
        <v>476</v>
      </c>
      <c r="B359" s="82" t="s">
        <v>477</v>
      </c>
      <c r="C359" s="160"/>
      <c r="D359" s="160"/>
      <c r="E359" s="57" t="s">
        <v>771</v>
      </c>
      <c r="F359" s="57"/>
      <c r="G359" s="57"/>
      <c r="H359" s="57"/>
      <c r="I359" s="57"/>
      <c r="J359" s="39"/>
      <c r="K359" s="31">
        <v>6</v>
      </c>
      <c r="L359" s="234">
        <f t="shared" si="20"/>
        <v>1.1898</v>
      </c>
      <c r="M359" s="234">
        <f t="shared" si="21"/>
        <v>0.65939999999999999</v>
      </c>
      <c r="N359" s="234">
        <f t="shared" si="22"/>
        <v>1.2258</v>
      </c>
      <c r="O359" s="234">
        <f t="shared" si="23"/>
        <v>0.69540000000000002</v>
      </c>
    </row>
    <row r="360" spans="1:43" s="208" customFormat="1" x14ac:dyDescent="0.3">
      <c r="A360" s="82" t="s">
        <v>1730</v>
      </c>
      <c r="B360" s="82" t="s">
        <v>772</v>
      </c>
      <c r="C360" s="160"/>
      <c r="D360" s="160"/>
      <c r="E360" s="57"/>
      <c r="F360" s="57" t="s">
        <v>773</v>
      </c>
      <c r="G360" s="57"/>
      <c r="H360" s="57"/>
      <c r="I360" s="57"/>
      <c r="J360" s="39"/>
      <c r="K360" s="31">
        <v>7</v>
      </c>
      <c r="L360" s="234">
        <f t="shared" si="20"/>
        <v>1.3881000000000001</v>
      </c>
      <c r="M360" s="234">
        <f t="shared" si="21"/>
        <v>0.76929999999999998</v>
      </c>
      <c r="N360" s="234">
        <f t="shared" si="22"/>
        <v>1.4301000000000001</v>
      </c>
      <c r="O360" s="234">
        <f t="shared" si="23"/>
        <v>0.81130000000000002</v>
      </c>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row>
    <row r="361" spans="1:43" s="219" customFormat="1" x14ac:dyDescent="0.3">
      <c r="A361" s="82" t="s">
        <v>1730</v>
      </c>
      <c r="B361" s="82" t="s">
        <v>483</v>
      </c>
      <c r="C361" s="160"/>
      <c r="D361" s="160"/>
      <c r="E361" s="57" t="s">
        <v>774</v>
      </c>
      <c r="F361" s="57"/>
      <c r="G361" s="57"/>
      <c r="H361" s="57"/>
      <c r="I361" s="57"/>
      <c r="J361" s="39"/>
      <c r="K361" s="31">
        <v>7</v>
      </c>
      <c r="L361" s="234">
        <f t="shared" si="20"/>
        <v>1.3881000000000001</v>
      </c>
      <c r="M361" s="234">
        <f t="shared" si="21"/>
        <v>0.76929999999999998</v>
      </c>
      <c r="N361" s="234">
        <f t="shared" si="22"/>
        <v>1.4301000000000001</v>
      </c>
      <c r="O361" s="234">
        <f t="shared" si="23"/>
        <v>0.81130000000000002</v>
      </c>
    </row>
    <row r="362" spans="1:43" s="208" customFormat="1" ht="27.6" x14ac:dyDescent="0.3">
      <c r="A362" s="82" t="s">
        <v>775</v>
      </c>
      <c r="B362" s="82" t="s">
        <v>243</v>
      </c>
      <c r="C362" s="160"/>
      <c r="D362" s="160"/>
      <c r="E362" s="57"/>
      <c r="F362" s="57" t="s">
        <v>776</v>
      </c>
      <c r="G362" s="57"/>
      <c r="H362" s="57"/>
      <c r="I362" s="57"/>
      <c r="J362" s="39"/>
      <c r="K362" s="31">
        <v>87</v>
      </c>
      <c r="L362" s="234">
        <f t="shared" si="20"/>
        <v>17.252099999999999</v>
      </c>
      <c r="M362" s="234">
        <f t="shared" si="21"/>
        <v>9.5612999999999992</v>
      </c>
      <c r="N362" s="234">
        <f t="shared" si="22"/>
        <v>17.774100000000001</v>
      </c>
      <c r="O362" s="234">
        <f t="shared" si="23"/>
        <v>10.083299999999999</v>
      </c>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row>
    <row r="363" spans="1:43" s="219" customFormat="1" x14ac:dyDescent="0.3">
      <c r="A363" s="82" t="s">
        <v>775</v>
      </c>
      <c r="B363" s="82" t="s">
        <v>487</v>
      </c>
      <c r="C363" s="160"/>
      <c r="D363" s="160"/>
      <c r="E363" s="57" t="s">
        <v>777</v>
      </c>
      <c r="F363" s="57"/>
      <c r="G363" s="57"/>
      <c r="H363" s="57"/>
      <c r="I363" s="57"/>
      <c r="J363" s="39"/>
      <c r="K363" s="31">
        <v>87</v>
      </c>
      <c r="L363" s="234">
        <f t="shared" si="20"/>
        <v>17.252099999999999</v>
      </c>
      <c r="M363" s="234">
        <f t="shared" si="21"/>
        <v>9.5612999999999992</v>
      </c>
      <c r="N363" s="234">
        <f t="shared" si="22"/>
        <v>17.774100000000001</v>
      </c>
      <c r="O363" s="234">
        <f t="shared" si="23"/>
        <v>10.083299999999999</v>
      </c>
    </row>
    <row r="364" spans="1:43" s="208" customFormat="1" ht="27.6" x14ac:dyDescent="0.3">
      <c r="A364" s="82" t="s">
        <v>704</v>
      </c>
      <c r="B364" s="82" t="s">
        <v>778</v>
      </c>
      <c r="C364" s="160"/>
      <c r="D364" s="160"/>
      <c r="E364" s="57"/>
      <c r="F364" s="57" t="s">
        <v>779</v>
      </c>
      <c r="G364" s="57"/>
      <c r="H364" s="57"/>
      <c r="I364" s="57"/>
      <c r="J364" s="39"/>
      <c r="K364" s="31">
        <v>267</v>
      </c>
      <c r="L364" s="234">
        <f t="shared" si="20"/>
        <v>52.946100000000001</v>
      </c>
      <c r="M364" s="234">
        <f t="shared" si="21"/>
        <v>29.343299999999999</v>
      </c>
      <c r="N364" s="234">
        <f t="shared" si="22"/>
        <v>54.548100000000005</v>
      </c>
      <c r="O364" s="234">
        <f t="shared" si="23"/>
        <v>30.9453</v>
      </c>
      <c r="P364" s="209"/>
      <c r="Q364" s="209"/>
      <c r="R364" s="209"/>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row>
    <row r="365" spans="1:43" s="219" customFormat="1" x14ac:dyDescent="0.3">
      <c r="A365" s="82" t="s">
        <v>704</v>
      </c>
      <c r="B365" s="82" t="s">
        <v>705</v>
      </c>
      <c r="C365" s="160"/>
      <c r="D365" s="160"/>
      <c r="E365" s="57" t="s">
        <v>780</v>
      </c>
      <c r="F365" s="57"/>
      <c r="G365" s="57"/>
      <c r="H365" s="57"/>
      <c r="I365" s="57"/>
      <c r="J365" s="39"/>
      <c r="K365" s="31">
        <v>267</v>
      </c>
      <c r="L365" s="234">
        <f t="shared" si="20"/>
        <v>52.946100000000001</v>
      </c>
      <c r="M365" s="234">
        <f t="shared" si="21"/>
        <v>29.343299999999999</v>
      </c>
      <c r="N365" s="234">
        <f t="shared" si="22"/>
        <v>54.548100000000005</v>
      </c>
      <c r="O365" s="234">
        <f t="shared" si="23"/>
        <v>30.9453</v>
      </c>
    </row>
    <row r="366" spans="1:43" s="330" customFormat="1" x14ac:dyDescent="0.3">
      <c r="A366" s="303"/>
      <c r="B366" s="168"/>
      <c r="C366" s="159"/>
      <c r="D366" s="159"/>
      <c r="E366" s="54"/>
      <c r="F366" s="54"/>
      <c r="G366" s="54"/>
      <c r="H366" s="54"/>
      <c r="I366" s="54"/>
      <c r="J366" s="54"/>
      <c r="K366" s="37"/>
      <c r="L366" s="234"/>
      <c r="M366" s="234"/>
      <c r="N366" s="234"/>
      <c r="O366" s="234"/>
      <c r="P366" s="221"/>
      <c r="Q366" s="221"/>
      <c r="R366" s="221"/>
      <c r="S366" s="221"/>
      <c r="T366" s="221"/>
      <c r="U366" s="221"/>
      <c r="V366" s="221"/>
      <c r="W366" s="221"/>
      <c r="X366" s="221"/>
      <c r="Y366" s="221"/>
      <c r="Z366" s="221"/>
      <c r="AA366" s="221"/>
      <c r="AB366" s="221"/>
      <c r="AC366" s="221"/>
      <c r="AD366" s="221"/>
      <c r="AE366" s="221"/>
      <c r="AF366" s="221"/>
      <c r="AG366" s="221"/>
      <c r="AH366" s="221"/>
      <c r="AI366" s="221"/>
      <c r="AJ366" s="221"/>
      <c r="AK366" s="221"/>
      <c r="AL366" s="221"/>
      <c r="AM366" s="221"/>
      <c r="AN366" s="221"/>
      <c r="AO366" s="221"/>
      <c r="AP366" s="221"/>
      <c r="AQ366" s="221"/>
    </row>
    <row r="367" spans="1:43" s="330" customFormat="1" x14ac:dyDescent="0.3">
      <c r="A367" s="112" t="s">
        <v>250</v>
      </c>
      <c r="B367" s="119"/>
      <c r="C367" s="119"/>
      <c r="D367" s="119"/>
      <c r="E367" s="293"/>
      <c r="F367" s="293"/>
      <c r="G367" s="293"/>
      <c r="H367" s="293"/>
      <c r="I367" s="293"/>
      <c r="J367" s="293"/>
      <c r="K367" s="131"/>
      <c r="L367" s="131"/>
      <c r="M367" s="131"/>
      <c r="N367" s="131"/>
      <c r="O367" s="131"/>
      <c r="P367" s="221"/>
      <c r="Q367" s="221"/>
      <c r="R367" s="221"/>
      <c r="S367" s="221"/>
      <c r="T367" s="221"/>
      <c r="U367" s="221"/>
      <c r="V367" s="221"/>
      <c r="W367" s="221"/>
      <c r="X367" s="221"/>
      <c r="Y367" s="221"/>
      <c r="Z367" s="221"/>
      <c r="AA367" s="221"/>
      <c r="AB367" s="221"/>
      <c r="AC367" s="221"/>
      <c r="AD367" s="221"/>
      <c r="AE367" s="221"/>
      <c r="AF367" s="221"/>
      <c r="AG367" s="221"/>
      <c r="AH367" s="221"/>
      <c r="AI367" s="221"/>
      <c r="AJ367" s="221"/>
      <c r="AK367" s="221"/>
      <c r="AL367" s="221"/>
      <c r="AM367" s="221"/>
      <c r="AN367" s="221"/>
      <c r="AO367" s="221"/>
      <c r="AP367" s="221"/>
      <c r="AQ367" s="221"/>
    </row>
    <row r="368" spans="1:43" s="226" customFormat="1" x14ac:dyDescent="0.3">
      <c r="A368" s="82" t="s">
        <v>715</v>
      </c>
      <c r="B368" s="82" t="s">
        <v>716</v>
      </c>
      <c r="C368" s="160"/>
      <c r="D368" s="160"/>
      <c r="E368" s="57" t="s">
        <v>781</v>
      </c>
      <c r="F368" s="57"/>
      <c r="G368" s="57"/>
      <c r="H368" s="57"/>
      <c r="I368" s="57"/>
      <c r="J368" s="39"/>
      <c r="K368" s="31">
        <v>7</v>
      </c>
      <c r="L368" s="234">
        <f t="shared" si="20"/>
        <v>1.3881000000000001</v>
      </c>
      <c r="M368" s="234">
        <f t="shared" si="21"/>
        <v>0.76929999999999998</v>
      </c>
      <c r="N368" s="234">
        <f t="shared" si="22"/>
        <v>1.4301000000000001</v>
      </c>
      <c r="O368" s="234">
        <f t="shared" si="23"/>
        <v>0.81130000000000002</v>
      </c>
    </row>
    <row r="369" spans="1:43" s="228" customFormat="1" x14ac:dyDescent="0.3">
      <c r="A369" s="82" t="s">
        <v>712</v>
      </c>
      <c r="B369" s="82" t="s">
        <v>782</v>
      </c>
      <c r="C369" s="160"/>
      <c r="D369" s="160"/>
      <c r="E369" s="298"/>
      <c r="F369" s="57" t="s">
        <v>783</v>
      </c>
      <c r="G369" s="57"/>
      <c r="H369" s="57"/>
      <c r="I369" s="57"/>
      <c r="J369" s="39"/>
      <c r="K369" s="31">
        <v>1</v>
      </c>
      <c r="L369" s="234">
        <f t="shared" si="20"/>
        <v>0.1983</v>
      </c>
      <c r="M369" s="234">
        <f t="shared" si="21"/>
        <v>0.1099</v>
      </c>
      <c r="N369" s="234">
        <f t="shared" si="22"/>
        <v>0.20430000000000001</v>
      </c>
      <c r="O369" s="234">
        <f t="shared" si="23"/>
        <v>0.1159</v>
      </c>
      <c r="P369" s="221"/>
      <c r="Q369" s="221"/>
      <c r="R369" s="221"/>
      <c r="S369" s="221"/>
      <c r="T369" s="221"/>
      <c r="U369" s="221"/>
      <c r="V369" s="221"/>
      <c r="W369" s="221"/>
      <c r="X369" s="221"/>
      <c r="Y369" s="221"/>
      <c r="Z369" s="221"/>
      <c r="AA369" s="221"/>
      <c r="AB369" s="221"/>
      <c r="AC369" s="221"/>
      <c r="AD369" s="221"/>
      <c r="AE369" s="221"/>
      <c r="AF369" s="221"/>
      <c r="AG369" s="221"/>
      <c r="AH369" s="221"/>
      <c r="AI369" s="221"/>
      <c r="AJ369" s="221"/>
      <c r="AK369" s="221"/>
      <c r="AL369" s="221"/>
      <c r="AM369" s="221"/>
      <c r="AN369" s="221"/>
      <c r="AO369" s="221"/>
      <c r="AP369" s="221"/>
      <c r="AQ369" s="221"/>
    </row>
    <row r="370" spans="1:43" s="226" customFormat="1" x14ac:dyDescent="0.3">
      <c r="A370" s="82" t="s">
        <v>712</v>
      </c>
      <c r="B370" s="82" t="s">
        <v>713</v>
      </c>
      <c r="C370" s="182"/>
      <c r="D370" s="182"/>
      <c r="E370" s="57" t="s">
        <v>714</v>
      </c>
      <c r="F370" s="120"/>
      <c r="G370" s="120"/>
      <c r="H370" s="120"/>
      <c r="I370" s="120"/>
      <c r="J370" s="120"/>
      <c r="K370" s="31">
        <v>1</v>
      </c>
      <c r="L370" s="234">
        <f t="shared" si="20"/>
        <v>0.1983</v>
      </c>
      <c r="M370" s="234">
        <f t="shared" si="21"/>
        <v>0.1099</v>
      </c>
      <c r="N370" s="234">
        <f t="shared" si="22"/>
        <v>0.20430000000000001</v>
      </c>
      <c r="O370" s="234">
        <f t="shared" si="23"/>
        <v>0.1159</v>
      </c>
    </row>
    <row r="371" spans="1:43" s="221" customFormat="1" x14ac:dyDescent="0.3">
      <c r="A371" s="303"/>
      <c r="B371" s="156"/>
      <c r="C371" s="159"/>
      <c r="D371" s="159"/>
      <c r="E371" s="298"/>
      <c r="F371" s="54"/>
      <c r="G371" s="54"/>
      <c r="H371" s="54"/>
      <c r="I371" s="54"/>
      <c r="J371" s="54"/>
      <c r="K371" s="37"/>
      <c r="L371" s="234"/>
      <c r="M371" s="234"/>
      <c r="N371" s="234"/>
      <c r="O371" s="234"/>
    </row>
    <row r="372" spans="1:43" s="330" customFormat="1" x14ac:dyDescent="0.3">
      <c r="A372" s="132" t="s">
        <v>235</v>
      </c>
      <c r="B372" s="142"/>
      <c r="C372" s="142"/>
      <c r="D372" s="142"/>
      <c r="E372" s="268"/>
      <c r="F372" s="268"/>
      <c r="G372" s="268"/>
      <c r="H372" s="268"/>
      <c r="I372" s="268"/>
      <c r="J372" s="268"/>
      <c r="K372" s="131"/>
      <c r="L372" s="131"/>
      <c r="M372" s="131"/>
      <c r="N372" s="131"/>
      <c r="O372" s="131"/>
      <c r="P372" s="221"/>
      <c r="Q372" s="221"/>
      <c r="R372" s="221"/>
      <c r="S372" s="221"/>
      <c r="T372" s="221"/>
      <c r="U372" s="221"/>
      <c r="V372" s="221"/>
      <c r="W372" s="221"/>
      <c r="X372" s="221"/>
      <c r="Y372" s="221"/>
      <c r="Z372" s="221"/>
      <c r="AA372" s="221"/>
      <c r="AB372" s="221"/>
      <c r="AC372" s="221"/>
      <c r="AD372" s="221"/>
      <c r="AE372" s="221"/>
      <c r="AF372" s="221"/>
      <c r="AG372" s="221"/>
      <c r="AH372" s="221"/>
      <c r="AI372" s="221"/>
      <c r="AJ372" s="221"/>
      <c r="AK372" s="221"/>
      <c r="AL372" s="221"/>
      <c r="AM372" s="221"/>
      <c r="AN372" s="221"/>
      <c r="AO372" s="221"/>
      <c r="AP372" s="221"/>
      <c r="AQ372" s="221"/>
    </row>
    <row r="373" spans="1:43" s="226" customFormat="1" x14ac:dyDescent="0.3">
      <c r="A373" s="82" t="s">
        <v>98</v>
      </c>
      <c r="B373" s="82" t="s">
        <v>236</v>
      </c>
      <c r="C373" s="182"/>
      <c r="D373" s="182"/>
      <c r="E373" s="57" t="s">
        <v>784</v>
      </c>
      <c r="F373" s="120"/>
      <c r="G373" s="120"/>
      <c r="H373" s="120"/>
      <c r="I373" s="120"/>
      <c r="J373" s="120"/>
      <c r="K373" s="31">
        <v>6</v>
      </c>
      <c r="L373" s="234">
        <f t="shared" si="20"/>
        <v>1.1898</v>
      </c>
      <c r="M373" s="234">
        <f t="shared" si="21"/>
        <v>0.65939999999999999</v>
      </c>
      <c r="N373" s="234">
        <f t="shared" si="22"/>
        <v>1.2258</v>
      </c>
      <c r="O373" s="234">
        <f t="shared" si="23"/>
        <v>0.69540000000000002</v>
      </c>
    </row>
    <row r="374" spans="1:43" s="221" customFormat="1" x14ac:dyDescent="0.3">
      <c r="A374" s="156"/>
      <c r="B374" s="156"/>
      <c r="C374" s="159"/>
      <c r="D374" s="159"/>
      <c r="E374" s="298"/>
      <c r="F374" s="54"/>
      <c r="G374" s="54"/>
      <c r="H374" s="54"/>
      <c r="I374" s="54"/>
      <c r="J374" s="54"/>
      <c r="K374" s="37"/>
      <c r="L374" s="234"/>
      <c r="M374" s="234"/>
      <c r="N374" s="234"/>
      <c r="O374" s="234"/>
    </row>
    <row r="375" spans="1:43" s="330" customFormat="1" x14ac:dyDescent="0.3">
      <c r="A375" s="112" t="s">
        <v>785</v>
      </c>
      <c r="B375" s="124"/>
      <c r="C375" s="124"/>
      <c r="D375" s="124"/>
      <c r="E375" s="289"/>
      <c r="F375" s="289"/>
      <c r="G375" s="289"/>
      <c r="H375" s="289"/>
      <c r="I375" s="289"/>
      <c r="J375" s="293"/>
      <c r="K375" s="131"/>
      <c r="L375" s="131"/>
      <c r="M375" s="131"/>
      <c r="N375" s="131"/>
      <c r="O375" s="131"/>
      <c r="P375" s="221"/>
      <c r="Q375" s="221"/>
      <c r="R375" s="221"/>
      <c r="S375" s="221"/>
      <c r="T375" s="221"/>
      <c r="U375" s="221"/>
      <c r="V375" s="221"/>
      <c r="W375" s="221"/>
      <c r="X375" s="221"/>
      <c r="Y375" s="221"/>
      <c r="Z375" s="221"/>
      <c r="AA375" s="221"/>
      <c r="AB375" s="221"/>
      <c r="AC375" s="221"/>
      <c r="AD375" s="221"/>
      <c r="AE375" s="221"/>
      <c r="AF375" s="221"/>
      <c r="AG375" s="221"/>
      <c r="AH375" s="221"/>
      <c r="AI375" s="221"/>
      <c r="AJ375" s="221"/>
      <c r="AK375" s="221"/>
      <c r="AL375" s="221"/>
      <c r="AM375" s="221"/>
      <c r="AN375" s="221"/>
      <c r="AO375" s="221"/>
      <c r="AP375" s="221"/>
      <c r="AQ375" s="221"/>
    </row>
    <row r="376" spans="1:43" s="228" customFormat="1" x14ac:dyDescent="0.3">
      <c r="A376" s="82" t="s">
        <v>263</v>
      </c>
      <c r="B376" s="82" t="s">
        <v>264</v>
      </c>
      <c r="C376" s="160"/>
      <c r="D376" s="160"/>
      <c r="E376" s="79"/>
      <c r="F376" s="79" t="s">
        <v>786</v>
      </c>
      <c r="G376" s="79"/>
      <c r="H376" s="79"/>
      <c r="I376" s="79"/>
      <c r="J376" s="64"/>
      <c r="K376" s="31">
        <v>10</v>
      </c>
      <c r="L376" s="234">
        <f t="shared" si="20"/>
        <v>1.9830000000000001</v>
      </c>
      <c r="M376" s="234">
        <f t="shared" si="21"/>
        <v>1.099</v>
      </c>
      <c r="N376" s="234">
        <f t="shared" si="22"/>
        <v>2.0430000000000001</v>
      </c>
      <c r="O376" s="234">
        <f t="shared" si="23"/>
        <v>1.159</v>
      </c>
      <c r="P376" s="221"/>
      <c r="Q376" s="221"/>
      <c r="R376" s="221"/>
      <c r="S376" s="221"/>
      <c r="T376" s="221"/>
      <c r="U376" s="221"/>
      <c r="V376" s="221"/>
      <c r="W376" s="221"/>
      <c r="X376" s="221"/>
      <c r="Y376" s="221"/>
      <c r="Z376" s="221"/>
      <c r="AA376" s="221"/>
      <c r="AB376" s="221"/>
      <c r="AC376" s="221"/>
      <c r="AD376" s="221"/>
      <c r="AE376" s="221"/>
      <c r="AF376" s="221"/>
      <c r="AG376" s="221"/>
      <c r="AH376" s="221"/>
      <c r="AI376" s="221"/>
      <c r="AJ376" s="221"/>
      <c r="AK376" s="221"/>
      <c r="AL376" s="221"/>
      <c r="AM376" s="221"/>
      <c r="AN376" s="221"/>
      <c r="AO376" s="221"/>
      <c r="AP376" s="221"/>
      <c r="AQ376" s="221"/>
    </row>
    <row r="377" spans="1:43" s="226" customFormat="1" x14ac:dyDescent="0.3">
      <c r="A377" s="82" t="s">
        <v>263</v>
      </c>
      <c r="B377" s="82" t="s">
        <v>497</v>
      </c>
      <c r="C377" s="160"/>
      <c r="D377" s="160"/>
      <c r="E377" s="57" t="s">
        <v>1737</v>
      </c>
      <c r="F377" s="79"/>
      <c r="G377" s="79"/>
      <c r="H377" s="79"/>
      <c r="I377" s="79"/>
      <c r="J377" s="64"/>
      <c r="K377" s="31">
        <v>10</v>
      </c>
      <c r="L377" s="234">
        <f t="shared" si="20"/>
        <v>1.9830000000000001</v>
      </c>
      <c r="M377" s="234">
        <f t="shared" si="21"/>
        <v>1.099</v>
      </c>
      <c r="N377" s="234">
        <f t="shared" si="22"/>
        <v>2.0430000000000001</v>
      </c>
      <c r="O377" s="234">
        <f t="shared" si="23"/>
        <v>1.159</v>
      </c>
    </row>
    <row r="378" spans="1:43" s="228" customFormat="1" x14ac:dyDescent="0.3">
      <c r="A378" s="82" t="s">
        <v>266</v>
      </c>
      <c r="B378" s="290" t="s">
        <v>267</v>
      </c>
      <c r="C378" s="247"/>
      <c r="D378" s="247"/>
      <c r="E378" s="79"/>
      <c r="F378" s="79" t="s">
        <v>787</v>
      </c>
      <c r="G378" s="79"/>
      <c r="H378" s="79"/>
      <c r="I378" s="79"/>
      <c r="J378" s="64"/>
      <c r="K378" s="31">
        <v>30</v>
      </c>
      <c r="L378" s="234">
        <f t="shared" si="20"/>
        <v>5.9489999999999998</v>
      </c>
      <c r="M378" s="234">
        <f t="shared" si="21"/>
        <v>3.2969999999999997</v>
      </c>
      <c r="N378" s="234">
        <f t="shared" si="22"/>
        <v>6.1290000000000004</v>
      </c>
      <c r="O378" s="234">
        <f t="shared" si="23"/>
        <v>3.4770000000000003</v>
      </c>
      <c r="P378" s="221"/>
      <c r="Q378" s="221"/>
      <c r="R378" s="221"/>
      <c r="S378" s="221"/>
      <c r="T378" s="221"/>
      <c r="U378" s="221"/>
      <c r="V378" s="221"/>
      <c r="W378" s="221"/>
      <c r="X378" s="221"/>
      <c r="Y378" s="221"/>
      <c r="Z378" s="221"/>
      <c r="AA378" s="221"/>
      <c r="AB378" s="221"/>
      <c r="AC378" s="221"/>
      <c r="AD378" s="221"/>
      <c r="AE378" s="221"/>
      <c r="AF378" s="221"/>
      <c r="AG378" s="221"/>
      <c r="AH378" s="221"/>
      <c r="AI378" s="221"/>
      <c r="AJ378" s="221"/>
      <c r="AK378" s="221"/>
      <c r="AL378" s="221"/>
      <c r="AM378" s="221"/>
      <c r="AN378" s="221"/>
      <c r="AO378" s="221"/>
      <c r="AP378" s="221"/>
      <c r="AQ378" s="221"/>
    </row>
    <row r="379" spans="1:43" s="226" customFormat="1" x14ac:dyDescent="0.3">
      <c r="A379" s="82" t="s">
        <v>266</v>
      </c>
      <c r="B379" s="290" t="s">
        <v>499</v>
      </c>
      <c r="C379" s="247"/>
      <c r="D379" s="247"/>
      <c r="E379" s="57" t="s">
        <v>788</v>
      </c>
      <c r="F379" s="79"/>
      <c r="G379" s="79"/>
      <c r="H379" s="79"/>
      <c r="I379" s="79"/>
      <c r="J379" s="64"/>
      <c r="K379" s="31">
        <v>30</v>
      </c>
      <c r="L379" s="234">
        <f t="shared" si="20"/>
        <v>5.9489999999999998</v>
      </c>
      <c r="M379" s="234">
        <f t="shared" si="21"/>
        <v>3.2969999999999997</v>
      </c>
      <c r="N379" s="234">
        <f t="shared" si="22"/>
        <v>6.1290000000000004</v>
      </c>
      <c r="O379" s="234">
        <f t="shared" si="23"/>
        <v>3.4770000000000003</v>
      </c>
    </row>
    <row r="380" spans="1:43" s="228" customFormat="1" x14ac:dyDescent="0.3">
      <c r="A380" s="82" t="s">
        <v>269</v>
      </c>
      <c r="B380" s="82" t="s">
        <v>270</v>
      </c>
      <c r="C380" s="160"/>
      <c r="D380" s="160"/>
      <c r="E380" s="79"/>
      <c r="F380" s="57" t="s">
        <v>789</v>
      </c>
      <c r="G380" s="108"/>
      <c r="H380" s="108"/>
      <c r="I380" s="108"/>
      <c r="J380" s="167"/>
      <c r="K380" s="31">
        <v>60</v>
      </c>
      <c r="L380" s="234">
        <f t="shared" si="20"/>
        <v>11.898</v>
      </c>
      <c r="M380" s="234">
        <f t="shared" si="21"/>
        <v>6.5939999999999994</v>
      </c>
      <c r="N380" s="234">
        <f t="shared" si="22"/>
        <v>12.258000000000001</v>
      </c>
      <c r="O380" s="234">
        <f t="shared" si="23"/>
        <v>6.9540000000000006</v>
      </c>
      <c r="P380" s="221"/>
      <c r="Q380" s="221"/>
      <c r="R380" s="221"/>
      <c r="S380" s="221"/>
      <c r="T380" s="221"/>
      <c r="U380" s="221"/>
      <c r="V380" s="221"/>
      <c r="W380" s="221"/>
      <c r="X380" s="221"/>
      <c r="Y380" s="221"/>
      <c r="Z380" s="221"/>
      <c r="AA380" s="221"/>
      <c r="AB380" s="221"/>
      <c r="AC380" s="221"/>
      <c r="AD380" s="221"/>
      <c r="AE380" s="221"/>
      <c r="AF380" s="221"/>
      <c r="AG380" s="221"/>
      <c r="AH380" s="221"/>
      <c r="AI380" s="221"/>
      <c r="AJ380" s="221"/>
      <c r="AK380" s="221"/>
      <c r="AL380" s="221"/>
      <c r="AM380" s="221"/>
      <c r="AN380" s="221"/>
      <c r="AO380" s="221"/>
      <c r="AP380" s="221"/>
      <c r="AQ380" s="221"/>
    </row>
    <row r="381" spans="1:43" s="226" customFormat="1" x14ac:dyDescent="0.3">
      <c r="A381" s="82" t="s">
        <v>269</v>
      </c>
      <c r="B381" s="82" t="s">
        <v>501</v>
      </c>
      <c r="C381" s="82"/>
      <c r="D381" s="82"/>
      <c r="E381" s="57" t="s">
        <v>790</v>
      </c>
      <c r="F381" s="57"/>
      <c r="G381" s="108"/>
      <c r="H381" s="108"/>
      <c r="I381" s="108"/>
      <c r="J381" s="167"/>
      <c r="K381" s="31">
        <v>60</v>
      </c>
      <c r="L381" s="234">
        <f t="shared" si="20"/>
        <v>11.898</v>
      </c>
      <c r="M381" s="234">
        <f t="shared" si="21"/>
        <v>6.5939999999999994</v>
      </c>
      <c r="N381" s="234">
        <f>K381*$N$9</f>
        <v>12.258000000000001</v>
      </c>
      <c r="O381" s="234">
        <f t="shared" si="23"/>
        <v>6.9540000000000006</v>
      </c>
    </row>
    <row r="382" spans="1:43" s="330" customFormat="1" x14ac:dyDescent="0.3">
      <c r="A382" s="156" t="s">
        <v>503</v>
      </c>
      <c r="B382" s="156" t="s">
        <v>1555</v>
      </c>
      <c r="C382" s="123"/>
      <c r="D382" s="123"/>
      <c r="E382" s="188" t="s">
        <v>791</v>
      </c>
      <c r="F382" s="188" t="s">
        <v>791</v>
      </c>
      <c r="G382" s="188"/>
      <c r="H382" s="188"/>
      <c r="I382" s="188"/>
      <c r="J382" s="75"/>
      <c r="K382" s="44">
        <v>20</v>
      </c>
      <c r="L382" s="234">
        <f t="shared" si="20"/>
        <v>3.9660000000000002</v>
      </c>
      <c r="M382" s="234">
        <f t="shared" si="21"/>
        <v>2.198</v>
      </c>
      <c r="N382" s="234">
        <f t="shared" si="22"/>
        <v>4.0860000000000003</v>
      </c>
      <c r="O382" s="234">
        <f t="shared" si="23"/>
        <v>2.3180000000000001</v>
      </c>
      <c r="P382" s="221"/>
      <c r="Q382" s="221"/>
      <c r="R382" s="221"/>
      <c r="S382" s="221"/>
      <c r="T382" s="221"/>
      <c r="U382" s="221"/>
      <c r="V382" s="221"/>
      <c r="W382" s="221"/>
      <c r="X382" s="221"/>
      <c r="Y382" s="221"/>
      <c r="Z382" s="221"/>
      <c r="AA382" s="221"/>
      <c r="AB382" s="221"/>
      <c r="AC382" s="221"/>
      <c r="AD382" s="221"/>
      <c r="AE382" s="221"/>
      <c r="AF382" s="221"/>
      <c r="AG382" s="221"/>
      <c r="AH382" s="221"/>
      <c r="AI382" s="221"/>
      <c r="AJ382" s="221"/>
      <c r="AK382" s="221"/>
      <c r="AL382" s="221"/>
      <c r="AM382" s="221"/>
      <c r="AN382" s="221"/>
      <c r="AO382" s="221"/>
      <c r="AP382" s="221"/>
      <c r="AQ382" s="221"/>
    </row>
    <row r="383" spans="1:43" s="330" customFormat="1" x14ac:dyDescent="0.3">
      <c r="A383" s="156" t="s">
        <v>271</v>
      </c>
      <c r="B383" s="156" t="s">
        <v>272</v>
      </c>
      <c r="C383" s="123"/>
      <c r="D383" s="123"/>
      <c r="E383" s="298" t="s">
        <v>273</v>
      </c>
      <c r="F383" s="298" t="s">
        <v>273</v>
      </c>
      <c r="G383" s="298"/>
      <c r="H383" s="298"/>
      <c r="I383" s="298"/>
      <c r="J383" s="85"/>
      <c r="K383" s="44">
        <v>158</v>
      </c>
      <c r="L383" s="234">
        <f t="shared" si="20"/>
        <v>31.331400000000002</v>
      </c>
      <c r="M383" s="234">
        <f t="shared" si="21"/>
        <v>17.3642</v>
      </c>
      <c r="N383" s="234">
        <f t="shared" si="22"/>
        <v>32.279400000000003</v>
      </c>
      <c r="O383" s="234">
        <f t="shared" si="23"/>
        <v>18.312200000000001</v>
      </c>
      <c r="P383" s="221"/>
      <c r="Q383" s="221"/>
      <c r="R383" s="221"/>
      <c r="S383" s="221"/>
      <c r="T383" s="221"/>
      <c r="U383" s="221"/>
      <c r="V383" s="221"/>
      <c r="W383" s="221"/>
      <c r="X383" s="221"/>
      <c r="Y383" s="221"/>
      <c r="Z383" s="221"/>
      <c r="AA383" s="221"/>
      <c r="AB383" s="221"/>
      <c r="AC383" s="221"/>
      <c r="AD383" s="221"/>
      <c r="AE383" s="221"/>
      <c r="AF383" s="221"/>
      <c r="AG383" s="221"/>
      <c r="AH383" s="221"/>
      <c r="AI383" s="221"/>
      <c r="AJ383" s="221"/>
      <c r="AK383" s="221"/>
      <c r="AL383" s="221"/>
      <c r="AM383" s="221"/>
      <c r="AN383" s="221"/>
      <c r="AO383" s="221"/>
      <c r="AP383" s="221"/>
      <c r="AQ383" s="221"/>
    </row>
    <row r="384" spans="1:43" s="330" customFormat="1" x14ac:dyDescent="0.3">
      <c r="A384" s="269" t="s">
        <v>274</v>
      </c>
      <c r="B384" s="269" t="s">
        <v>275</v>
      </c>
      <c r="C384" s="123"/>
      <c r="D384" s="123"/>
      <c r="E384" s="281" t="s">
        <v>277</v>
      </c>
      <c r="F384" s="298" t="s">
        <v>277</v>
      </c>
      <c r="G384" s="298"/>
      <c r="H384" s="298"/>
      <c r="I384" s="298"/>
      <c r="J384" s="85"/>
      <c r="K384" s="44">
        <v>158</v>
      </c>
      <c r="L384" s="234">
        <f t="shared" si="20"/>
        <v>31.331400000000002</v>
      </c>
      <c r="M384" s="234">
        <f t="shared" si="21"/>
        <v>17.3642</v>
      </c>
      <c r="N384" s="234">
        <f t="shared" si="22"/>
        <v>32.279400000000003</v>
      </c>
      <c r="O384" s="234">
        <f t="shared" si="23"/>
        <v>18.312200000000001</v>
      </c>
      <c r="P384" s="221"/>
      <c r="Q384" s="221"/>
      <c r="R384" s="221"/>
      <c r="S384" s="221"/>
      <c r="T384" s="221"/>
      <c r="U384" s="221"/>
      <c r="V384" s="221"/>
      <c r="W384" s="221"/>
      <c r="X384" s="221"/>
      <c r="Y384" s="221"/>
      <c r="Z384" s="221"/>
      <c r="AA384" s="221"/>
      <c r="AB384" s="221"/>
      <c r="AC384" s="221"/>
      <c r="AD384" s="221"/>
      <c r="AE384" s="221"/>
      <c r="AF384" s="221"/>
      <c r="AG384" s="221"/>
      <c r="AH384" s="221"/>
      <c r="AI384" s="221"/>
      <c r="AJ384" s="221"/>
      <c r="AK384" s="221"/>
      <c r="AL384" s="221"/>
      <c r="AM384" s="221"/>
      <c r="AN384" s="221"/>
      <c r="AO384" s="221"/>
      <c r="AP384" s="221"/>
      <c r="AQ384" s="221"/>
    </row>
    <row r="385" spans="1:15" x14ac:dyDescent="0.3">
      <c r="A385" s="269" t="s">
        <v>278</v>
      </c>
      <c r="B385" s="171" t="s">
        <v>279</v>
      </c>
      <c r="C385" s="229"/>
      <c r="D385" s="229"/>
      <c r="E385" s="57" t="s">
        <v>1551</v>
      </c>
      <c r="F385" s="57" t="s">
        <v>1551</v>
      </c>
      <c r="G385" s="298"/>
      <c r="H385" s="298"/>
      <c r="I385" s="188"/>
      <c r="J385" s="75"/>
      <c r="K385" s="44">
        <v>52</v>
      </c>
      <c r="L385" s="234">
        <f t="shared" si="20"/>
        <v>10.3116</v>
      </c>
      <c r="M385" s="234">
        <f t="shared" si="21"/>
        <v>5.7148000000000003</v>
      </c>
      <c r="N385" s="234">
        <f t="shared" si="22"/>
        <v>10.6236</v>
      </c>
      <c r="O385" s="234">
        <f t="shared" si="23"/>
        <v>6.0267999999999997</v>
      </c>
    </row>
    <row r="386" spans="1:15" x14ac:dyDescent="0.3">
      <c r="C386" s="307"/>
      <c r="D386" s="307"/>
      <c r="K386" s="214"/>
    </row>
    <row r="387" spans="1:15" x14ac:dyDescent="0.3">
      <c r="C387" s="307"/>
      <c r="D387" s="307"/>
      <c r="K387" s="214"/>
    </row>
    <row r="388" spans="1:15" x14ac:dyDescent="0.3">
      <c r="C388" s="307"/>
      <c r="D388" s="307"/>
      <c r="E388" s="198"/>
      <c r="K388" s="214"/>
    </row>
    <row r="389" spans="1:15" x14ac:dyDescent="0.3">
      <c r="C389" s="307"/>
      <c r="D389" s="307"/>
      <c r="K389" s="214"/>
    </row>
    <row r="390" spans="1:15" x14ac:dyDescent="0.3">
      <c r="C390" s="307"/>
      <c r="D390" s="307"/>
      <c r="K390" s="214"/>
    </row>
    <row r="391" spans="1:15" x14ac:dyDescent="0.3">
      <c r="K391" s="214"/>
    </row>
    <row r="392" spans="1:15" x14ac:dyDescent="0.3">
      <c r="K392" s="214"/>
    </row>
    <row r="393" spans="1:15" x14ac:dyDescent="0.3">
      <c r="K393" s="214"/>
    </row>
    <row r="394" spans="1:15" s="329" customFormat="1" x14ac:dyDescent="0.3">
      <c r="A394" s="307"/>
      <c r="B394" s="307"/>
      <c r="C394" s="308"/>
      <c r="D394" s="308"/>
      <c r="E394" s="265"/>
      <c r="F394" s="265"/>
      <c r="G394" s="265"/>
      <c r="H394" s="265"/>
      <c r="I394" s="265"/>
      <c r="J394" s="198"/>
      <c r="K394" s="214"/>
    </row>
    <row r="395" spans="1:15" s="329" customFormat="1" x14ac:dyDescent="0.3">
      <c r="A395" s="307"/>
      <c r="B395" s="307"/>
      <c r="C395" s="308"/>
      <c r="D395" s="308"/>
      <c r="E395" s="265"/>
      <c r="F395" s="265"/>
      <c r="G395" s="265"/>
      <c r="H395" s="265"/>
      <c r="I395" s="265"/>
      <c r="J395" s="198"/>
      <c r="K395" s="214"/>
    </row>
    <row r="396" spans="1:15" s="329" customFormat="1" x14ac:dyDescent="0.3">
      <c r="A396" s="307"/>
      <c r="B396" s="307"/>
      <c r="C396" s="308"/>
      <c r="D396" s="308"/>
      <c r="E396" s="265"/>
      <c r="F396" s="265"/>
      <c r="G396" s="265"/>
      <c r="H396" s="265"/>
      <c r="I396" s="265"/>
      <c r="J396" s="198"/>
      <c r="K396" s="214"/>
    </row>
    <row r="397" spans="1:15" s="329" customFormat="1" x14ac:dyDescent="0.3">
      <c r="A397" s="307"/>
      <c r="B397" s="307"/>
      <c r="C397" s="308"/>
      <c r="D397" s="308"/>
      <c r="E397" s="265"/>
      <c r="F397" s="265"/>
      <c r="G397" s="265"/>
      <c r="H397" s="265"/>
      <c r="I397" s="265"/>
      <c r="J397" s="198"/>
      <c r="K397" s="214"/>
    </row>
    <row r="398" spans="1:15" s="329" customFormat="1" x14ac:dyDescent="0.3">
      <c r="A398" s="307"/>
      <c r="B398" s="307"/>
      <c r="C398" s="308"/>
      <c r="D398" s="308"/>
      <c r="E398" s="265"/>
      <c r="F398" s="265"/>
      <c r="G398" s="265"/>
      <c r="H398" s="265"/>
      <c r="I398" s="265"/>
      <c r="J398" s="198"/>
      <c r="K398" s="214"/>
    </row>
    <row r="399" spans="1:15" s="329" customFormat="1" x14ac:dyDescent="0.3">
      <c r="A399" s="307"/>
      <c r="B399" s="307"/>
      <c r="C399" s="308"/>
      <c r="D399" s="308"/>
      <c r="E399" s="265"/>
      <c r="F399" s="265"/>
      <c r="G399" s="265"/>
      <c r="H399" s="265"/>
      <c r="I399" s="265"/>
      <c r="J399" s="198"/>
      <c r="K399" s="214"/>
    </row>
    <row r="400" spans="1:15" s="329" customFormat="1" x14ac:dyDescent="0.3">
      <c r="A400" s="307"/>
      <c r="B400" s="307"/>
      <c r="C400" s="308"/>
      <c r="D400" s="308"/>
      <c r="E400" s="265"/>
      <c r="F400" s="265"/>
      <c r="G400" s="265"/>
      <c r="H400" s="265"/>
      <c r="I400" s="265"/>
      <c r="J400" s="198"/>
      <c r="K400" s="214"/>
    </row>
    <row r="401" spans="1:11" s="329" customFormat="1" x14ac:dyDescent="0.3">
      <c r="A401" s="307"/>
      <c r="B401" s="307"/>
      <c r="C401" s="308"/>
      <c r="D401" s="308"/>
      <c r="E401" s="265"/>
      <c r="F401" s="265"/>
      <c r="G401" s="265"/>
      <c r="H401" s="265"/>
      <c r="I401" s="265"/>
      <c r="J401" s="198"/>
      <c r="K401" s="214"/>
    </row>
    <row r="402" spans="1:11" s="329" customFormat="1" x14ac:dyDescent="0.3">
      <c r="A402" s="307"/>
      <c r="B402" s="307"/>
      <c r="C402" s="308"/>
      <c r="D402" s="308"/>
      <c r="E402" s="265"/>
      <c r="F402" s="265"/>
      <c r="G402" s="265"/>
      <c r="H402" s="265"/>
      <c r="I402" s="265"/>
      <c r="J402" s="198"/>
      <c r="K402" s="214"/>
    </row>
  </sheetData>
  <mergeCells count="2">
    <mergeCell ref="L10:M10"/>
    <mergeCell ref="N10:O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2724-9C06-481E-9AF3-37E8A46B4CF1}">
  <sheetPr>
    <tabColor rgb="FF00B0F0"/>
  </sheetPr>
  <dimension ref="A1:N279"/>
  <sheetViews>
    <sheetView zoomScale="80" zoomScaleNormal="80" workbookViewId="0">
      <selection activeCell="A76" sqref="A76:A81"/>
    </sheetView>
  </sheetViews>
  <sheetFormatPr baseColWidth="10" defaultColWidth="9.33203125" defaultRowHeight="13.8" x14ac:dyDescent="0.25"/>
  <cols>
    <col min="1" max="1" width="94.5546875" style="311" customWidth="1"/>
    <col min="2" max="2" width="59.88671875" style="311" customWidth="1"/>
    <col min="3" max="3" width="19" style="311" bestFit="1" customWidth="1"/>
    <col min="4" max="4" width="17.5546875" style="311" bestFit="1" customWidth="1"/>
    <col min="5" max="5" width="9.44140625" style="311" customWidth="1"/>
    <col min="6" max="6" width="30.109375" style="311" customWidth="1"/>
    <col min="7" max="7" width="23.77734375" style="311" customWidth="1"/>
    <col min="8" max="8" width="26.44140625" style="311" customWidth="1"/>
    <col min="9" max="9" width="27.33203125" style="311" customWidth="1"/>
    <col min="10" max="10" width="10.21875" style="311" bestFit="1" customWidth="1"/>
    <col min="11" max="11" width="9.44140625" style="311" bestFit="1" customWidth="1"/>
    <col min="12" max="12" width="9.6640625" style="311" bestFit="1" customWidth="1"/>
    <col min="13" max="13" width="14.6640625" style="311" bestFit="1" customWidth="1"/>
    <col min="14" max="14" width="12.33203125" style="311" bestFit="1" customWidth="1"/>
    <col min="15" max="16384" width="9.33203125" style="311"/>
  </cols>
  <sheetData>
    <row r="1" spans="1:14" x14ac:dyDescent="0.25">
      <c r="D1" s="310"/>
    </row>
    <row r="2" spans="1:14" x14ac:dyDescent="0.25">
      <c r="D2" s="310"/>
    </row>
    <row r="3" spans="1:14" x14ac:dyDescent="0.25">
      <c r="D3" s="310"/>
    </row>
    <row r="4" spans="1:14" x14ac:dyDescent="0.25">
      <c r="D4" s="310"/>
    </row>
    <row r="5" spans="1:14" x14ac:dyDescent="0.25">
      <c r="D5" s="310"/>
    </row>
    <row r="6" spans="1:14" x14ac:dyDescent="0.25">
      <c r="D6" s="310"/>
    </row>
    <row r="7" spans="1:14" ht="15.6" x14ac:dyDescent="0.25">
      <c r="A7" s="151" t="s">
        <v>122</v>
      </c>
      <c r="D7" s="310"/>
    </row>
    <row r="8" spans="1:14" ht="31.2" x14ac:dyDescent="0.25">
      <c r="A8" s="151" t="s">
        <v>123</v>
      </c>
      <c r="B8" s="47"/>
      <c r="C8" s="47"/>
      <c r="D8" s="310"/>
      <c r="E8" s="310"/>
      <c r="F8" s="59" t="s">
        <v>1422</v>
      </c>
      <c r="G8" s="59" t="s">
        <v>1422</v>
      </c>
      <c r="H8" s="59" t="s">
        <v>1422</v>
      </c>
      <c r="I8" s="59" t="s">
        <v>1422</v>
      </c>
      <c r="J8" s="310"/>
      <c r="K8" s="310"/>
      <c r="L8" s="310"/>
      <c r="M8" s="310"/>
      <c r="N8" s="310"/>
    </row>
    <row r="9" spans="1:14" x14ac:dyDescent="0.25">
      <c r="A9" s="286"/>
      <c r="B9" s="47"/>
      <c r="C9" s="47"/>
      <c r="D9" s="178"/>
      <c r="E9" s="310"/>
      <c r="F9" s="261">
        <v>0.1983</v>
      </c>
      <c r="G9" s="261">
        <v>0.1099</v>
      </c>
      <c r="H9" s="261">
        <v>0.20430000000000001</v>
      </c>
      <c r="I9" s="261">
        <v>0.1159</v>
      </c>
      <c r="J9" s="310"/>
      <c r="K9" s="310"/>
      <c r="L9" s="310"/>
      <c r="M9" s="310"/>
      <c r="N9" s="310"/>
    </row>
    <row r="10" spans="1:14" ht="42.75" customHeight="1" x14ac:dyDescent="0.25">
      <c r="A10" s="126" t="s">
        <v>792</v>
      </c>
      <c r="B10" s="40"/>
      <c r="C10" s="100"/>
      <c r="D10" s="297"/>
      <c r="E10" s="310"/>
      <c r="F10" s="403" t="s">
        <v>1423</v>
      </c>
      <c r="G10" s="404"/>
      <c r="H10" s="403" t="s">
        <v>1424</v>
      </c>
      <c r="I10" s="404"/>
      <c r="J10" s="310"/>
      <c r="K10" s="310"/>
      <c r="L10" s="310"/>
      <c r="M10" s="310"/>
      <c r="N10" s="310"/>
    </row>
    <row r="11" spans="1:14" ht="42" customHeight="1" x14ac:dyDescent="0.25">
      <c r="A11" s="302" t="s">
        <v>793</v>
      </c>
      <c r="B11" s="302" t="s">
        <v>794</v>
      </c>
      <c r="C11" s="88" t="s">
        <v>129</v>
      </c>
      <c r="D11" s="292" t="s">
        <v>142</v>
      </c>
      <c r="F11" s="95" t="s">
        <v>1425</v>
      </c>
      <c r="G11" s="23" t="s">
        <v>1426</v>
      </c>
      <c r="H11" s="364" t="s">
        <v>1425</v>
      </c>
      <c r="I11" s="96" t="s">
        <v>1426</v>
      </c>
      <c r="J11" s="310"/>
      <c r="K11" s="310"/>
      <c r="L11" s="310"/>
      <c r="M11" s="310"/>
      <c r="N11" s="310"/>
    </row>
    <row r="12" spans="1:14" x14ac:dyDescent="0.25">
      <c r="A12" s="21" t="s">
        <v>795</v>
      </c>
      <c r="B12" s="50"/>
      <c r="C12" s="50"/>
      <c r="D12" s="6"/>
      <c r="F12" s="284"/>
      <c r="G12" s="138"/>
      <c r="H12" s="284"/>
      <c r="I12" s="138"/>
      <c r="J12" s="310"/>
      <c r="K12" s="310"/>
      <c r="L12" s="310"/>
      <c r="M12" s="310"/>
      <c r="N12" s="310"/>
    </row>
    <row r="13" spans="1:14" x14ac:dyDescent="0.25">
      <c r="A13" s="269" t="s">
        <v>796</v>
      </c>
      <c r="B13" s="281" t="s">
        <v>797</v>
      </c>
      <c r="C13" s="49" t="s">
        <v>798</v>
      </c>
      <c r="D13" s="133">
        <v>47</v>
      </c>
      <c r="F13" s="24">
        <f>D13*$F$9</f>
        <v>9.3201000000000001</v>
      </c>
      <c r="G13" s="105">
        <f>D13*$G$9</f>
        <v>5.1653000000000002</v>
      </c>
      <c r="H13" s="24">
        <f>D13*$H$9</f>
        <v>9.6021000000000001</v>
      </c>
      <c r="I13" s="105">
        <f>D13*$I$9</f>
        <v>5.4473000000000003</v>
      </c>
      <c r="J13" s="310"/>
      <c r="K13" s="310"/>
      <c r="L13" s="310"/>
      <c r="M13" s="310"/>
      <c r="N13" s="310"/>
    </row>
    <row r="14" spans="1:14" x14ac:dyDescent="0.25">
      <c r="A14" s="269" t="s">
        <v>799</v>
      </c>
      <c r="B14" s="281" t="s">
        <v>800</v>
      </c>
      <c r="C14" s="58" t="s">
        <v>801</v>
      </c>
      <c r="D14" s="133">
        <v>89</v>
      </c>
      <c r="F14" s="24">
        <f t="shared" ref="F14:F77" si="0">D14*$F$9</f>
        <v>17.648700000000002</v>
      </c>
      <c r="G14" s="105">
        <f t="shared" ref="G14:G77" si="1">D14*$G$9</f>
        <v>9.7811000000000003</v>
      </c>
      <c r="H14" s="24">
        <f t="shared" ref="H14:H77" si="2">D14*$H$9</f>
        <v>18.182700000000001</v>
      </c>
      <c r="I14" s="105">
        <f t="shared" ref="I14:I77" si="3">D14*$I$9</f>
        <v>10.315100000000001</v>
      </c>
      <c r="J14" s="310"/>
      <c r="K14" s="310"/>
      <c r="L14" s="310"/>
      <c r="M14" s="310"/>
      <c r="N14" s="310"/>
    </row>
    <row r="15" spans="1:14" x14ac:dyDescent="0.25">
      <c r="A15" s="269" t="s">
        <v>802</v>
      </c>
      <c r="B15" s="183" t="s">
        <v>803</v>
      </c>
      <c r="C15" s="49" t="s">
        <v>804</v>
      </c>
      <c r="D15" s="133">
        <v>126</v>
      </c>
      <c r="F15" s="24">
        <f t="shared" si="0"/>
        <v>24.985800000000001</v>
      </c>
      <c r="G15" s="105">
        <f t="shared" si="1"/>
        <v>13.8474</v>
      </c>
      <c r="H15" s="24">
        <f t="shared" si="2"/>
        <v>25.741800000000001</v>
      </c>
      <c r="I15" s="105">
        <f t="shared" si="3"/>
        <v>14.603400000000001</v>
      </c>
      <c r="J15" s="310"/>
      <c r="K15" s="310"/>
      <c r="L15" s="310"/>
      <c r="M15" s="310"/>
      <c r="N15" s="310"/>
    </row>
    <row r="16" spans="1:14" x14ac:dyDescent="0.25">
      <c r="A16" s="269" t="s">
        <v>805</v>
      </c>
      <c r="B16" s="183" t="s">
        <v>806</v>
      </c>
      <c r="C16" s="49" t="s">
        <v>807</v>
      </c>
      <c r="D16" s="133">
        <v>185</v>
      </c>
      <c r="F16" s="24">
        <f t="shared" si="0"/>
        <v>36.685499999999998</v>
      </c>
      <c r="G16" s="105">
        <f t="shared" si="1"/>
        <v>20.331499999999998</v>
      </c>
      <c r="H16" s="24">
        <f t="shared" si="2"/>
        <v>37.795500000000004</v>
      </c>
      <c r="I16" s="105">
        <f t="shared" si="3"/>
        <v>21.441500000000001</v>
      </c>
      <c r="J16" s="310"/>
      <c r="K16" s="310"/>
      <c r="L16" s="310"/>
      <c r="M16" s="310"/>
      <c r="N16" s="310"/>
    </row>
    <row r="17" spans="1:14" x14ac:dyDescent="0.25">
      <c r="A17" s="269"/>
      <c r="B17" s="281"/>
      <c r="C17" s="134"/>
      <c r="D17" s="56"/>
      <c r="F17" s="24"/>
      <c r="G17" s="105"/>
      <c r="H17" s="24"/>
      <c r="I17" s="105"/>
      <c r="J17" s="310"/>
      <c r="K17" s="310"/>
      <c r="L17" s="310"/>
      <c r="M17" s="310"/>
      <c r="N17" s="310"/>
    </row>
    <row r="18" spans="1:14" x14ac:dyDescent="0.25">
      <c r="A18" s="21" t="s">
        <v>808</v>
      </c>
      <c r="B18" s="50"/>
      <c r="C18" s="50"/>
      <c r="D18" s="147"/>
      <c r="F18" s="147"/>
      <c r="G18" s="147"/>
      <c r="H18" s="147"/>
      <c r="I18" s="147"/>
      <c r="J18" s="310"/>
      <c r="K18" s="310"/>
      <c r="L18" s="310"/>
      <c r="M18" s="310"/>
      <c r="N18" s="310"/>
    </row>
    <row r="19" spans="1:14" x14ac:dyDescent="0.25">
      <c r="A19" s="156" t="s">
        <v>809</v>
      </c>
      <c r="B19" s="298" t="s">
        <v>810</v>
      </c>
      <c r="C19" s="55" t="s">
        <v>811</v>
      </c>
      <c r="D19" s="133">
        <v>178</v>
      </c>
      <c r="F19" s="24">
        <f t="shared" si="0"/>
        <v>35.297400000000003</v>
      </c>
      <c r="G19" s="105">
        <f t="shared" si="1"/>
        <v>19.562200000000001</v>
      </c>
      <c r="H19" s="24">
        <f t="shared" si="2"/>
        <v>36.365400000000001</v>
      </c>
      <c r="I19" s="105">
        <f t="shared" si="3"/>
        <v>20.630200000000002</v>
      </c>
      <c r="J19" s="310"/>
      <c r="K19" s="310"/>
      <c r="L19" s="310"/>
      <c r="M19" s="310"/>
      <c r="N19" s="310"/>
    </row>
    <row r="20" spans="1:14" x14ac:dyDescent="0.25">
      <c r="A20" s="156" t="s">
        <v>812</v>
      </c>
      <c r="B20" s="298" t="s">
        <v>1581</v>
      </c>
      <c r="C20" s="55" t="s">
        <v>813</v>
      </c>
      <c r="D20" s="133">
        <v>26</v>
      </c>
      <c r="F20" s="24">
        <f t="shared" si="0"/>
        <v>5.1558000000000002</v>
      </c>
      <c r="G20" s="105">
        <f t="shared" si="1"/>
        <v>2.8574000000000002</v>
      </c>
      <c r="H20" s="24">
        <f t="shared" si="2"/>
        <v>5.3117999999999999</v>
      </c>
      <c r="I20" s="105">
        <f t="shared" si="3"/>
        <v>3.0133999999999999</v>
      </c>
      <c r="J20" s="310"/>
      <c r="K20" s="310"/>
      <c r="L20" s="310"/>
      <c r="M20" s="310"/>
      <c r="N20" s="310"/>
    </row>
    <row r="21" spans="1:14" x14ac:dyDescent="0.25">
      <c r="A21" s="156" t="s">
        <v>814</v>
      </c>
      <c r="B21" s="298" t="s">
        <v>815</v>
      </c>
      <c r="C21" s="55" t="s">
        <v>816</v>
      </c>
      <c r="D21" s="133">
        <v>380</v>
      </c>
      <c r="F21" s="24">
        <f t="shared" si="0"/>
        <v>75.353999999999999</v>
      </c>
      <c r="G21" s="105">
        <f t="shared" si="1"/>
        <v>41.762</v>
      </c>
      <c r="H21" s="24">
        <f t="shared" si="2"/>
        <v>77.634</v>
      </c>
      <c r="I21" s="105">
        <f t="shared" si="3"/>
        <v>44.042000000000002</v>
      </c>
      <c r="J21" s="310"/>
      <c r="K21" s="310"/>
      <c r="L21" s="310"/>
      <c r="M21" s="310"/>
      <c r="N21" s="310"/>
    </row>
    <row r="22" spans="1:14" x14ac:dyDescent="0.25">
      <c r="A22" s="269"/>
      <c r="B22" s="281"/>
      <c r="C22" s="101"/>
      <c r="D22" s="56"/>
      <c r="F22" s="24"/>
      <c r="G22" s="105"/>
      <c r="H22" s="24"/>
      <c r="I22" s="105"/>
      <c r="J22" s="310"/>
      <c r="K22" s="310"/>
      <c r="L22" s="310"/>
      <c r="M22" s="310"/>
      <c r="N22" s="310"/>
    </row>
    <row r="23" spans="1:14" x14ac:dyDescent="0.25">
      <c r="A23" s="21" t="s">
        <v>817</v>
      </c>
      <c r="B23" s="50"/>
      <c r="C23" s="50"/>
      <c r="D23" s="147"/>
      <c r="F23" s="147"/>
      <c r="G23" s="147"/>
      <c r="H23" s="147"/>
      <c r="I23" s="147"/>
      <c r="J23" s="310"/>
      <c r="K23" s="310"/>
      <c r="L23" s="310"/>
      <c r="M23" s="310"/>
      <c r="N23" s="310"/>
    </row>
    <row r="24" spans="1:14" x14ac:dyDescent="0.25">
      <c r="A24" s="269" t="s">
        <v>818</v>
      </c>
      <c r="B24" s="281" t="s">
        <v>819</v>
      </c>
      <c r="C24" s="101" t="s">
        <v>820</v>
      </c>
      <c r="D24" s="133">
        <v>11</v>
      </c>
      <c r="F24" s="24">
        <f t="shared" si="0"/>
        <v>2.1813000000000002</v>
      </c>
      <c r="G24" s="105">
        <f t="shared" si="1"/>
        <v>1.2088999999999999</v>
      </c>
      <c r="H24" s="24">
        <f t="shared" si="2"/>
        <v>2.2473000000000001</v>
      </c>
      <c r="I24" s="105">
        <f t="shared" si="3"/>
        <v>1.2749000000000001</v>
      </c>
      <c r="J24" s="310"/>
      <c r="K24" s="310"/>
      <c r="L24" s="310"/>
      <c r="M24" s="310"/>
      <c r="N24" s="310"/>
    </row>
    <row r="25" spans="1:14" x14ac:dyDescent="0.25">
      <c r="A25" s="269" t="s">
        <v>821</v>
      </c>
      <c r="B25" s="99" t="s">
        <v>822</v>
      </c>
      <c r="C25" s="101" t="s">
        <v>823</v>
      </c>
      <c r="D25" s="133">
        <v>122</v>
      </c>
      <c r="F25" s="24">
        <f t="shared" si="0"/>
        <v>24.192599999999999</v>
      </c>
      <c r="G25" s="105">
        <f t="shared" si="1"/>
        <v>13.4078</v>
      </c>
      <c r="H25" s="24">
        <f t="shared" si="2"/>
        <v>24.924600000000002</v>
      </c>
      <c r="I25" s="105">
        <f t="shared" si="3"/>
        <v>14.139800000000001</v>
      </c>
      <c r="J25" s="310"/>
      <c r="K25" s="310"/>
      <c r="L25" s="310"/>
      <c r="M25" s="310"/>
      <c r="N25" s="310"/>
    </row>
    <row r="26" spans="1:14" x14ac:dyDescent="0.25">
      <c r="A26" s="269" t="s">
        <v>824</v>
      </c>
      <c r="B26" s="128" t="s">
        <v>825</v>
      </c>
      <c r="C26" s="127" t="s">
        <v>826</v>
      </c>
      <c r="D26" s="133">
        <v>14</v>
      </c>
      <c r="F26" s="24">
        <f t="shared" si="0"/>
        <v>2.7762000000000002</v>
      </c>
      <c r="G26" s="105">
        <f t="shared" si="1"/>
        <v>1.5386</v>
      </c>
      <c r="H26" s="24">
        <f t="shared" si="2"/>
        <v>2.8602000000000003</v>
      </c>
      <c r="I26" s="105">
        <f t="shared" si="3"/>
        <v>1.6226</v>
      </c>
      <c r="J26" s="310"/>
      <c r="K26" s="310"/>
      <c r="L26" s="310"/>
      <c r="M26" s="310"/>
      <c r="N26" s="310"/>
    </row>
    <row r="27" spans="1:14" x14ac:dyDescent="0.25">
      <c r="A27" s="269" t="s">
        <v>827</v>
      </c>
      <c r="B27" s="99" t="s">
        <v>827</v>
      </c>
      <c r="C27" s="30" t="s">
        <v>828</v>
      </c>
      <c r="D27" s="133">
        <v>14</v>
      </c>
      <c r="F27" s="24">
        <f t="shared" si="0"/>
        <v>2.7762000000000002</v>
      </c>
      <c r="G27" s="105">
        <f t="shared" si="1"/>
        <v>1.5386</v>
      </c>
      <c r="H27" s="24">
        <f t="shared" si="2"/>
        <v>2.8602000000000003</v>
      </c>
      <c r="I27" s="105">
        <f t="shared" si="3"/>
        <v>1.6226</v>
      </c>
      <c r="J27" s="310"/>
      <c r="K27" s="310"/>
      <c r="L27" s="310"/>
      <c r="M27" s="310"/>
      <c r="N27" s="310"/>
    </row>
    <row r="28" spans="1:14" x14ac:dyDescent="0.25">
      <c r="A28" s="156" t="s">
        <v>829</v>
      </c>
      <c r="B28" s="303" t="s">
        <v>830</v>
      </c>
      <c r="C28" s="55" t="s">
        <v>831</v>
      </c>
      <c r="D28" s="133">
        <v>30</v>
      </c>
      <c r="F28" s="24">
        <f t="shared" si="0"/>
        <v>5.9489999999999998</v>
      </c>
      <c r="G28" s="105">
        <f t="shared" si="1"/>
        <v>3.2969999999999997</v>
      </c>
      <c r="H28" s="24">
        <f t="shared" si="2"/>
        <v>6.1290000000000004</v>
      </c>
      <c r="I28" s="105">
        <f t="shared" si="3"/>
        <v>3.4770000000000003</v>
      </c>
      <c r="J28" s="310"/>
      <c r="K28" s="310"/>
      <c r="L28" s="310"/>
      <c r="M28" s="310"/>
      <c r="N28" s="310"/>
    </row>
    <row r="29" spans="1:14" x14ac:dyDescent="0.25">
      <c r="A29" s="156" t="s">
        <v>832</v>
      </c>
      <c r="B29" s="303" t="s">
        <v>833</v>
      </c>
      <c r="C29" s="55" t="s">
        <v>834</v>
      </c>
      <c r="D29" s="133">
        <v>19</v>
      </c>
      <c r="F29" s="24">
        <f t="shared" si="0"/>
        <v>3.7677</v>
      </c>
      <c r="G29" s="105">
        <f t="shared" si="1"/>
        <v>2.0880999999999998</v>
      </c>
      <c r="H29" s="24">
        <f t="shared" si="2"/>
        <v>3.8817000000000004</v>
      </c>
      <c r="I29" s="105">
        <f t="shared" si="3"/>
        <v>2.2021000000000002</v>
      </c>
      <c r="J29" s="310"/>
      <c r="K29" s="310"/>
      <c r="L29" s="310"/>
      <c r="M29" s="310"/>
      <c r="N29" s="310"/>
    </row>
    <row r="30" spans="1:14" x14ac:dyDescent="0.25">
      <c r="A30" s="51" t="s">
        <v>835</v>
      </c>
      <c r="B30" s="51" t="s">
        <v>836</v>
      </c>
      <c r="C30" s="49" t="s">
        <v>837</v>
      </c>
      <c r="D30" s="133">
        <v>32</v>
      </c>
      <c r="F30" s="24">
        <f t="shared" si="0"/>
        <v>6.3456000000000001</v>
      </c>
      <c r="G30" s="105">
        <f t="shared" si="1"/>
        <v>3.5167999999999999</v>
      </c>
      <c r="H30" s="24">
        <f t="shared" si="2"/>
        <v>6.5376000000000003</v>
      </c>
      <c r="I30" s="105">
        <f t="shared" si="3"/>
        <v>3.7088000000000001</v>
      </c>
      <c r="J30" s="310"/>
      <c r="K30" s="310"/>
      <c r="L30" s="310"/>
      <c r="M30" s="310"/>
      <c r="N30" s="310"/>
    </row>
    <row r="31" spans="1:14" x14ac:dyDescent="0.25">
      <c r="A31" s="51" t="s">
        <v>838</v>
      </c>
      <c r="B31" s="51" t="s">
        <v>839</v>
      </c>
      <c r="C31" s="49" t="s">
        <v>840</v>
      </c>
      <c r="D31" s="133">
        <v>22</v>
      </c>
      <c r="F31" s="24">
        <f t="shared" si="0"/>
        <v>4.3626000000000005</v>
      </c>
      <c r="G31" s="105">
        <f t="shared" si="1"/>
        <v>2.4177999999999997</v>
      </c>
      <c r="H31" s="24">
        <f t="shared" si="2"/>
        <v>4.4946000000000002</v>
      </c>
      <c r="I31" s="105">
        <f t="shared" si="3"/>
        <v>2.5498000000000003</v>
      </c>
      <c r="J31" s="310"/>
      <c r="K31" s="310"/>
      <c r="L31" s="310"/>
      <c r="M31" s="310"/>
      <c r="N31" s="310"/>
    </row>
    <row r="32" spans="1:14" x14ac:dyDescent="0.25">
      <c r="A32" s="269"/>
      <c r="B32" s="281"/>
      <c r="C32" s="49"/>
      <c r="D32" s="56"/>
      <c r="F32" s="24"/>
      <c r="G32" s="105"/>
      <c r="H32" s="24"/>
      <c r="I32" s="105"/>
      <c r="J32" s="310"/>
      <c r="K32" s="310"/>
      <c r="L32" s="310"/>
      <c r="M32" s="310"/>
      <c r="N32" s="310"/>
    </row>
    <row r="33" spans="1:14" x14ac:dyDescent="0.25">
      <c r="A33" s="21" t="s">
        <v>841</v>
      </c>
      <c r="B33" s="50"/>
      <c r="C33" s="50"/>
      <c r="D33" s="147"/>
      <c r="F33" s="147"/>
      <c r="G33" s="147"/>
      <c r="H33" s="147"/>
      <c r="I33" s="147"/>
      <c r="J33" s="310"/>
      <c r="K33" s="310"/>
      <c r="L33" s="310"/>
      <c r="M33" s="310"/>
      <c r="N33" s="310"/>
    </row>
    <row r="34" spans="1:14" x14ac:dyDescent="0.25">
      <c r="A34" s="269" t="s">
        <v>842</v>
      </c>
      <c r="B34" s="281" t="s">
        <v>843</v>
      </c>
      <c r="C34" s="101" t="s">
        <v>844</v>
      </c>
      <c r="D34" s="133">
        <v>4</v>
      </c>
      <c r="F34" s="24">
        <f t="shared" si="0"/>
        <v>0.79320000000000002</v>
      </c>
      <c r="G34" s="105">
        <f t="shared" si="1"/>
        <v>0.43959999999999999</v>
      </c>
      <c r="H34" s="24">
        <f t="shared" si="2"/>
        <v>0.81720000000000004</v>
      </c>
      <c r="I34" s="105">
        <f t="shared" si="3"/>
        <v>0.46360000000000001</v>
      </c>
      <c r="J34" s="310"/>
      <c r="K34" s="310"/>
      <c r="L34" s="310"/>
      <c r="M34" s="310"/>
      <c r="N34" s="310"/>
    </row>
    <row r="35" spans="1:14" x14ac:dyDescent="0.25">
      <c r="A35" s="269" t="s">
        <v>845</v>
      </c>
      <c r="B35" s="281" t="s">
        <v>846</v>
      </c>
      <c r="C35" s="161" t="s">
        <v>847</v>
      </c>
      <c r="D35" s="133">
        <v>13</v>
      </c>
      <c r="F35" s="24">
        <f t="shared" si="0"/>
        <v>2.5779000000000001</v>
      </c>
      <c r="G35" s="105">
        <f t="shared" si="1"/>
        <v>1.4287000000000001</v>
      </c>
      <c r="H35" s="24">
        <f t="shared" si="2"/>
        <v>2.6558999999999999</v>
      </c>
      <c r="I35" s="105">
        <f t="shared" si="3"/>
        <v>1.5066999999999999</v>
      </c>
      <c r="J35" s="310"/>
      <c r="K35" s="310"/>
      <c r="L35" s="310"/>
      <c r="M35" s="310"/>
      <c r="N35" s="310"/>
    </row>
    <row r="36" spans="1:14" x14ac:dyDescent="0.25">
      <c r="A36" s="269" t="s">
        <v>848</v>
      </c>
      <c r="B36" s="281" t="s">
        <v>849</v>
      </c>
      <c r="C36" s="101" t="s">
        <v>850</v>
      </c>
      <c r="D36" s="133">
        <v>17</v>
      </c>
      <c r="F36" s="24">
        <f t="shared" si="0"/>
        <v>3.3711000000000002</v>
      </c>
      <c r="G36" s="105">
        <f t="shared" si="1"/>
        <v>1.8683000000000001</v>
      </c>
      <c r="H36" s="24">
        <f t="shared" si="2"/>
        <v>3.4731000000000001</v>
      </c>
      <c r="I36" s="105">
        <f t="shared" si="3"/>
        <v>1.9702999999999999</v>
      </c>
      <c r="J36" s="310"/>
      <c r="K36" s="310"/>
      <c r="L36" s="310"/>
      <c r="M36" s="310"/>
      <c r="N36" s="310"/>
    </row>
    <row r="37" spans="1:14" x14ac:dyDescent="0.25">
      <c r="A37" s="269" t="s">
        <v>851</v>
      </c>
      <c r="B37" s="281" t="s">
        <v>852</v>
      </c>
      <c r="C37" s="101" t="s">
        <v>853</v>
      </c>
      <c r="D37" s="133">
        <v>28</v>
      </c>
      <c r="F37" s="24">
        <f t="shared" si="0"/>
        <v>5.5524000000000004</v>
      </c>
      <c r="G37" s="105">
        <f t="shared" si="1"/>
        <v>3.0771999999999999</v>
      </c>
      <c r="H37" s="24">
        <f t="shared" si="2"/>
        <v>5.7204000000000006</v>
      </c>
      <c r="I37" s="105">
        <f t="shared" si="3"/>
        <v>3.2452000000000001</v>
      </c>
      <c r="J37" s="310"/>
      <c r="K37" s="310"/>
      <c r="L37" s="310"/>
      <c r="M37" s="310"/>
      <c r="N37" s="310"/>
    </row>
    <row r="38" spans="1:14" x14ac:dyDescent="0.25">
      <c r="A38" s="269" t="s">
        <v>854</v>
      </c>
      <c r="B38" s="281" t="s">
        <v>855</v>
      </c>
      <c r="C38" s="101" t="s">
        <v>856</v>
      </c>
      <c r="D38" s="133">
        <v>32</v>
      </c>
      <c r="F38" s="24">
        <f t="shared" si="0"/>
        <v>6.3456000000000001</v>
      </c>
      <c r="G38" s="105">
        <f t="shared" si="1"/>
        <v>3.5167999999999999</v>
      </c>
      <c r="H38" s="24">
        <f t="shared" si="2"/>
        <v>6.5376000000000003</v>
      </c>
      <c r="I38" s="105">
        <f t="shared" si="3"/>
        <v>3.7088000000000001</v>
      </c>
      <c r="J38" s="310"/>
      <c r="K38" s="310"/>
      <c r="L38" s="310"/>
      <c r="M38" s="310"/>
      <c r="N38" s="310"/>
    </row>
    <row r="39" spans="1:14" x14ac:dyDescent="0.25">
      <c r="A39" s="156" t="s">
        <v>857</v>
      </c>
      <c r="B39" s="298" t="s">
        <v>260</v>
      </c>
      <c r="C39" s="135" t="s">
        <v>858</v>
      </c>
      <c r="D39" s="133">
        <v>33</v>
      </c>
      <c r="F39" s="24">
        <f t="shared" si="0"/>
        <v>6.5438999999999998</v>
      </c>
      <c r="G39" s="105">
        <f t="shared" si="1"/>
        <v>3.6267</v>
      </c>
      <c r="H39" s="24">
        <f t="shared" si="2"/>
        <v>6.7419000000000002</v>
      </c>
      <c r="I39" s="105">
        <f t="shared" si="3"/>
        <v>3.8247</v>
      </c>
      <c r="J39" s="310"/>
      <c r="K39" s="310"/>
      <c r="L39" s="310"/>
      <c r="M39" s="310"/>
      <c r="N39" s="310"/>
    </row>
    <row r="40" spans="1:14" x14ac:dyDescent="0.25">
      <c r="A40" s="269" t="s">
        <v>1583</v>
      </c>
      <c r="B40" s="281" t="s">
        <v>1582</v>
      </c>
      <c r="C40" s="101" t="s">
        <v>859</v>
      </c>
      <c r="D40" s="133">
        <v>36</v>
      </c>
      <c r="F40" s="24">
        <f t="shared" si="0"/>
        <v>7.1387999999999998</v>
      </c>
      <c r="G40" s="105">
        <f t="shared" si="1"/>
        <v>3.9563999999999999</v>
      </c>
      <c r="H40" s="24">
        <f t="shared" si="2"/>
        <v>7.3548</v>
      </c>
      <c r="I40" s="105">
        <f t="shared" si="3"/>
        <v>4.1723999999999997</v>
      </c>
      <c r="J40" s="310"/>
      <c r="K40" s="310"/>
      <c r="L40" s="310"/>
      <c r="M40" s="310"/>
      <c r="N40" s="310"/>
    </row>
    <row r="41" spans="1:14" x14ac:dyDescent="0.25">
      <c r="A41" s="269" t="s">
        <v>860</v>
      </c>
      <c r="B41" s="281" t="s">
        <v>861</v>
      </c>
      <c r="C41" s="101" t="s">
        <v>862</v>
      </c>
      <c r="D41" s="133">
        <v>48</v>
      </c>
      <c r="F41" s="24">
        <f t="shared" si="0"/>
        <v>9.5183999999999997</v>
      </c>
      <c r="G41" s="105">
        <f t="shared" si="1"/>
        <v>5.2751999999999999</v>
      </c>
      <c r="H41" s="24">
        <f t="shared" si="2"/>
        <v>9.8064</v>
      </c>
      <c r="I41" s="105">
        <f t="shared" si="3"/>
        <v>5.5632000000000001</v>
      </c>
      <c r="J41" s="310"/>
      <c r="K41" s="310"/>
      <c r="L41" s="310"/>
      <c r="M41" s="310"/>
      <c r="N41" s="310"/>
    </row>
    <row r="42" spans="1:14" x14ac:dyDescent="0.25">
      <c r="A42" s="269" t="s">
        <v>863</v>
      </c>
      <c r="B42" s="281" t="s">
        <v>864</v>
      </c>
      <c r="C42" s="101" t="s">
        <v>865</v>
      </c>
      <c r="D42" s="133">
        <v>5</v>
      </c>
      <c r="F42" s="24">
        <f t="shared" si="0"/>
        <v>0.99150000000000005</v>
      </c>
      <c r="G42" s="105">
        <f t="shared" si="1"/>
        <v>0.54949999999999999</v>
      </c>
      <c r="H42" s="24">
        <f t="shared" si="2"/>
        <v>1.0215000000000001</v>
      </c>
      <c r="I42" s="105">
        <f t="shared" si="3"/>
        <v>0.57950000000000002</v>
      </c>
      <c r="J42" s="310"/>
      <c r="K42" s="310"/>
      <c r="L42" s="310"/>
      <c r="M42" s="310"/>
      <c r="N42" s="310"/>
    </row>
    <row r="43" spans="1:14" x14ac:dyDescent="0.25">
      <c r="A43" s="269" t="s">
        <v>866</v>
      </c>
      <c r="B43" s="281" t="s">
        <v>867</v>
      </c>
      <c r="C43" s="101" t="s">
        <v>868</v>
      </c>
      <c r="D43" s="133">
        <v>58</v>
      </c>
      <c r="F43" s="24">
        <f t="shared" si="0"/>
        <v>11.5014</v>
      </c>
      <c r="G43" s="105">
        <f t="shared" si="1"/>
        <v>6.3742000000000001</v>
      </c>
      <c r="H43" s="24">
        <f t="shared" si="2"/>
        <v>11.849400000000001</v>
      </c>
      <c r="I43" s="105">
        <f t="shared" si="3"/>
        <v>6.7222</v>
      </c>
      <c r="J43" s="310"/>
      <c r="K43" s="310"/>
      <c r="L43" s="310"/>
      <c r="M43" s="310"/>
      <c r="N43" s="310"/>
    </row>
    <row r="44" spans="1:14" x14ac:dyDescent="0.25">
      <c r="A44" s="269" t="s">
        <v>869</v>
      </c>
      <c r="B44" s="281" t="s">
        <v>870</v>
      </c>
      <c r="C44" s="101" t="s">
        <v>871</v>
      </c>
      <c r="D44" s="133">
        <v>447</v>
      </c>
      <c r="F44" s="24">
        <f t="shared" si="0"/>
        <v>88.640100000000004</v>
      </c>
      <c r="G44" s="105">
        <f t="shared" si="1"/>
        <v>49.125299999999996</v>
      </c>
      <c r="H44" s="24">
        <f t="shared" si="2"/>
        <v>91.322100000000006</v>
      </c>
      <c r="I44" s="105">
        <f t="shared" si="3"/>
        <v>51.807299999999998</v>
      </c>
      <c r="J44" s="310"/>
      <c r="K44" s="310"/>
      <c r="L44" s="310"/>
      <c r="M44" s="310"/>
      <c r="N44" s="310"/>
    </row>
    <row r="45" spans="1:14" x14ac:dyDescent="0.25">
      <c r="A45" s="51" t="s">
        <v>872</v>
      </c>
      <c r="B45" s="51" t="s">
        <v>873</v>
      </c>
      <c r="C45" s="49" t="s">
        <v>874</v>
      </c>
      <c r="D45" s="133">
        <v>10</v>
      </c>
      <c r="F45" s="24">
        <f t="shared" si="0"/>
        <v>1.9830000000000001</v>
      </c>
      <c r="G45" s="105">
        <f t="shared" si="1"/>
        <v>1.099</v>
      </c>
      <c r="H45" s="24">
        <f t="shared" si="2"/>
        <v>2.0430000000000001</v>
      </c>
      <c r="I45" s="105">
        <f t="shared" si="3"/>
        <v>1.159</v>
      </c>
      <c r="J45" s="310"/>
      <c r="K45" s="310"/>
      <c r="L45" s="310"/>
      <c r="M45" s="310"/>
      <c r="N45" s="310"/>
    </row>
    <row r="46" spans="1:14" x14ac:dyDescent="0.25">
      <c r="A46" s="269"/>
      <c r="B46" s="281"/>
      <c r="C46" s="101"/>
      <c r="D46" s="56"/>
      <c r="F46" s="24"/>
      <c r="G46" s="105"/>
      <c r="H46" s="24"/>
      <c r="I46" s="105"/>
      <c r="J46" s="310"/>
      <c r="K46" s="310"/>
      <c r="L46" s="310"/>
      <c r="M46" s="310"/>
      <c r="N46" s="310"/>
    </row>
    <row r="47" spans="1:14" x14ac:dyDescent="0.25">
      <c r="A47" s="21" t="s">
        <v>875</v>
      </c>
      <c r="B47" s="50"/>
      <c r="C47" s="50"/>
      <c r="D47" s="147"/>
      <c r="F47" s="147"/>
      <c r="G47" s="147"/>
      <c r="H47" s="147"/>
      <c r="I47" s="147"/>
      <c r="J47" s="310"/>
      <c r="K47" s="310"/>
      <c r="L47" s="310"/>
      <c r="M47" s="310"/>
      <c r="N47" s="310"/>
    </row>
    <row r="48" spans="1:14" x14ac:dyDescent="0.25">
      <c r="A48" s="156" t="s">
        <v>876</v>
      </c>
      <c r="B48" s="303" t="s">
        <v>877</v>
      </c>
      <c r="C48" s="55" t="s">
        <v>878</v>
      </c>
      <c r="D48" s="133">
        <v>18</v>
      </c>
      <c r="F48" s="24">
        <f t="shared" si="0"/>
        <v>3.5693999999999999</v>
      </c>
      <c r="G48" s="105">
        <f t="shared" si="1"/>
        <v>1.9782</v>
      </c>
      <c r="H48" s="24">
        <f t="shared" si="2"/>
        <v>3.6774</v>
      </c>
      <c r="I48" s="105">
        <f t="shared" si="3"/>
        <v>2.0861999999999998</v>
      </c>
      <c r="J48" s="310"/>
      <c r="K48" s="310"/>
      <c r="L48" s="310"/>
      <c r="M48" s="310"/>
      <c r="N48" s="310"/>
    </row>
    <row r="49" spans="1:14" x14ac:dyDescent="0.25">
      <c r="A49" s="156" t="s">
        <v>879</v>
      </c>
      <c r="B49" s="303" t="s">
        <v>880</v>
      </c>
      <c r="C49" s="55" t="s">
        <v>881</v>
      </c>
      <c r="D49" s="133">
        <v>66</v>
      </c>
      <c r="F49" s="24">
        <f t="shared" si="0"/>
        <v>13.0878</v>
      </c>
      <c r="G49" s="105">
        <f t="shared" si="1"/>
        <v>7.2534000000000001</v>
      </c>
      <c r="H49" s="24">
        <f t="shared" si="2"/>
        <v>13.4838</v>
      </c>
      <c r="I49" s="105">
        <f t="shared" si="3"/>
        <v>7.6494</v>
      </c>
      <c r="J49" s="310"/>
      <c r="K49" s="310"/>
      <c r="L49" s="310"/>
      <c r="M49" s="310"/>
      <c r="N49" s="310"/>
    </row>
    <row r="50" spans="1:14" x14ac:dyDescent="0.25">
      <c r="A50" s="282"/>
      <c r="B50" s="282"/>
      <c r="C50" s="35"/>
      <c r="D50" s="56"/>
      <c r="F50" s="24"/>
      <c r="G50" s="105"/>
      <c r="H50" s="24"/>
      <c r="I50" s="105"/>
      <c r="J50" s="310"/>
      <c r="K50" s="310"/>
      <c r="L50" s="310"/>
      <c r="M50" s="310"/>
      <c r="N50" s="310"/>
    </row>
    <row r="51" spans="1:14" x14ac:dyDescent="0.25">
      <c r="A51" s="21" t="s">
        <v>882</v>
      </c>
      <c r="B51" s="50"/>
      <c r="C51" s="50"/>
      <c r="D51" s="147"/>
      <c r="F51" s="147"/>
      <c r="G51" s="147"/>
      <c r="H51" s="147"/>
      <c r="I51" s="147"/>
      <c r="J51" s="310"/>
      <c r="K51" s="310"/>
      <c r="L51" s="310"/>
      <c r="M51" s="310"/>
      <c r="N51" s="310"/>
    </row>
    <row r="52" spans="1:14" x14ac:dyDescent="0.25">
      <c r="A52" s="298" t="s">
        <v>883</v>
      </c>
      <c r="B52" s="298" t="s">
        <v>883</v>
      </c>
      <c r="C52" s="55" t="s">
        <v>884</v>
      </c>
      <c r="D52" s="133">
        <v>28</v>
      </c>
      <c r="F52" s="24">
        <f t="shared" si="0"/>
        <v>5.5524000000000004</v>
      </c>
      <c r="G52" s="105">
        <f t="shared" si="1"/>
        <v>3.0771999999999999</v>
      </c>
      <c r="H52" s="24">
        <f t="shared" si="2"/>
        <v>5.7204000000000006</v>
      </c>
      <c r="I52" s="105">
        <f t="shared" si="3"/>
        <v>3.2452000000000001</v>
      </c>
      <c r="J52" s="310"/>
      <c r="K52" s="310"/>
      <c r="L52" s="310"/>
      <c r="M52" s="310"/>
      <c r="N52" s="310"/>
    </row>
    <row r="53" spans="1:14" ht="14.25" customHeight="1" x14ac:dyDescent="0.25">
      <c r="A53" s="298" t="s">
        <v>885</v>
      </c>
      <c r="B53" s="298" t="s">
        <v>885</v>
      </c>
      <c r="C53" s="121" t="s">
        <v>886</v>
      </c>
      <c r="D53" s="133">
        <v>48</v>
      </c>
      <c r="F53" s="24">
        <f t="shared" si="0"/>
        <v>9.5183999999999997</v>
      </c>
      <c r="G53" s="105">
        <f t="shared" si="1"/>
        <v>5.2751999999999999</v>
      </c>
      <c r="H53" s="24">
        <f t="shared" si="2"/>
        <v>9.8064</v>
      </c>
      <c r="I53" s="105">
        <f t="shared" si="3"/>
        <v>5.5632000000000001</v>
      </c>
      <c r="J53" s="310"/>
      <c r="K53" s="310"/>
      <c r="L53" s="310"/>
      <c r="M53" s="310"/>
      <c r="N53" s="310"/>
    </row>
    <row r="54" spans="1:14" ht="14.25" customHeight="1" x14ac:dyDescent="0.25">
      <c r="A54" s="281" t="s">
        <v>887</v>
      </c>
      <c r="B54" s="281" t="s">
        <v>888</v>
      </c>
      <c r="C54" s="35" t="s">
        <v>889</v>
      </c>
      <c r="D54" s="56">
        <v>21</v>
      </c>
      <c r="F54" s="24">
        <f t="shared" si="0"/>
        <v>4.1642999999999999</v>
      </c>
      <c r="G54" s="105">
        <f t="shared" si="1"/>
        <v>2.3079000000000001</v>
      </c>
      <c r="H54" s="24">
        <f t="shared" si="2"/>
        <v>4.2903000000000002</v>
      </c>
      <c r="I54" s="105">
        <f t="shared" si="3"/>
        <v>2.4339</v>
      </c>
      <c r="J54" s="310"/>
      <c r="K54" s="310"/>
      <c r="L54" s="310"/>
      <c r="M54" s="310"/>
      <c r="N54" s="310"/>
    </row>
    <row r="55" spans="1:14" ht="14.25" customHeight="1" x14ac:dyDescent="0.25">
      <c r="A55" s="269" t="s">
        <v>890</v>
      </c>
      <c r="B55" s="269" t="s">
        <v>891</v>
      </c>
      <c r="C55" s="49" t="s">
        <v>892</v>
      </c>
      <c r="D55" s="256">
        <v>24</v>
      </c>
      <c r="F55" s="24">
        <f t="shared" si="0"/>
        <v>4.7591999999999999</v>
      </c>
      <c r="G55" s="105">
        <f t="shared" si="1"/>
        <v>2.6375999999999999</v>
      </c>
      <c r="H55" s="24">
        <f t="shared" si="2"/>
        <v>4.9032</v>
      </c>
      <c r="I55" s="105">
        <f t="shared" si="3"/>
        <v>2.7816000000000001</v>
      </c>
      <c r="J55" s="310"/>
      <c r="K55" s="310"/>
      <c r="L55" s="310"/>
      <c r="M55" s="310"/>
      <c r="N55" s="310"/>
    </row>
    <row r="56" spans="1:14" ht="14.25" customHeight="1" x14ac:dyDescent="0.25">
      <c r="A56" s="269" t="s">
        <v>893</v>
      </c>
      <c r="B56" s="269" t="s">
        <v>894</v>
      </c>
      <c r="C56" s="49" t="s">
        <v>895</v>
      </c>
      <c r="D56" s="256">
        <v>28</v>
      </c>
      <c r="F56" s="24">
        <f t="shared" si="0"/>
        <v>5.5524000000000004</v>
      </c>
      <c r="G56" s="105">
        <f t="shared" si="1"/>
        <v>3.0771999999999999</v>
      </c>
      <c r="H56" s="24">
        <f t="shared" si="2"/>
        <v>5.7204000000000006</v>
      </c>
      <c r="I56" s="105">
        <f t="shared" si="3"/>
        <v>3.2452000000000001</v>
      </c>
      <c r="J56" s="310"/>
      <c r="K56" s="310"/>
      <c r="L56" s="310"/>
      <c r="M56" s="310"/>
      <c r="N56" s="310"/>
    </row>
    <row r="57" spans="1:14" x14ac:dyDescent="0.25">
      <c r="A57" s="269" t="s">
        <v>896</v>
      </c>
      <c r="B57" s="128" t="s">
        <v>897</v>
      </c>
      <c r="C57" s="101" t="s">
        <v>898</v>
      </c>
      <c r="D57" s="56">
        <v>31</v>
      </c>
      <c r="F57" s="24">
        <f t="shared" si="0"/>
        <v>6.1473000000000004</v>
      </c>
      <c r="G57" s="105">
        <f t="shared" si="1"/>
        <v>3.4068999999999998</v>
      </c>
      <c r="H57" s="24">
        <f t="shared" si="2"/>
        <v>6.3333000000000004</v>
      </c>
      <c r="I57" s="105">
        <f t="shared" si="3"/>
        <v>3.5929000000000002</v>
      </c>
      <c r="J57" s="310"/>
      <c r="K57" s="310"/>
      <c r="L57" s="310"/>
      <c r="M57" s="310"/>
      <c r="N57" s="310"/>
    </row>
    <row r="58" spans="1:14" ht="14.25" customHeight="1" x14ac:dyDescent="0.25">
      <c r="A58" s="269" t="s">
        <v>899</v>
      </c>
      <c r="B58" s="128" t="s">
        <v>900</v>
      </c>
      <c r="C58" s="49" t="s">
        <v>901</v>
      </c>
      <c r="D58" s="60">
        <v>35</v>
      </c>
      <c r="F58" s="24">
        <f t="shared" si="0"/>
        <v>6.9405000000000001</v>
      </c>
      <c r="G58" s="105">
        <f t="shared" si="1"/>
        <v>3.8464999999999998</v>
      </c>
      <c r="H58" s="24">
        <f t="shared" si="2"/>
        <v>7.1505000000000001</v>
      </c>
      <c r="I58" s="105">
        <f t="shared" si="3"/>
        <v>4.0564999999999998</v>
      </c>
      <c r="J58" s="310"/>
      <c r="K58" s="310"/>
      <c r="L58" s="310"/>
      <c r="M58" s="310"/>
      <c r="N58" s="310"/>
    </row>
    <row r="59" spans="1:14" ht="14.25" customHeight="1" x14ac:dyDescent="0.25">
      <c r="A59" s="281" t="s">
        <v>902</v>
      </c>
      <c r="B59" s="281" t="s">
        <v>903</v>
      </c>
      <c r="C59" s="35" t="s">
        <v>904</v>
      </c>
      <c r="D59" s="56">
        <v>42</v>
      </c>
      <c r="F59" s="24">
        <f t="shared" si="0"/>
        <v>8.3285999999999998</v>
      </c>
      <c r="G59" s="105">
        <f t="shared" si="1"/>
        <v>4.6158000000000001</v>
      </c>
      <c r="H59" s="24">
        <f t="shared" si="2"/>
        <v>8.5806000000000004</v>
      </c>
      <c r="I59" s="105">
        <f t="shared" si="3"/>
        <v>4.8677999999999999</v>
      </c>
      <c r="J59" s="310"/>
      <c r="K59" s="310"/>
      <c r="L59" s="310"/>
      <c r="M59" s="310"/>
      <c r="N59" s="310"/>
    </row>
    <row r="60" spans="1:14" ht="27.6" x14ac:dyDescent="0.25">
      <c r="A60" s="281" t="s">
        <v>905</v>
      </c>
      <c r="B60" s="281" t="s">
        <v>906</v>
      </c>
      <c r="C60" s="101" t="s">
        <v>907</v>
      </c>
      <c r="D60" s="56">
        <v>71</v>
      </c>
      <c r="F60" s="24">
        <f t="shared" si="0"/>
        <v>14.0793</v>
      </c>
      <c r="G60" s="105">
        <f t="shared" si="1"/>
        <v>7.8029000000000002</v>
      </c>
      <c r="H60" s="24">
        <f t="shared" si="2"/>
        <v>14.5053</v>
      </c>
      <c r="I60" s="105">
        <f t="shared" si="3"/>
        <v>8.2288999999999994</v>
      </c>
      <c r="J60" s="310"/>
      <c r="K60" s="310"/>
      <c r="L60" s="310"/>
      <c r="M60" s="310"/>
      <c r="N60" s="310"/>
    </row>
    <row r="61" spans="1:14" x14ac:dyDescent="0.25">
      <c r="A61" s="38" t="s">
        <v>908</v>
      </c>
      <c r="B61" s="46" t="s">
        <v>909</v>
      </c>
      <c r="C61" s="134" t="s">
        <v>910</v>
      </c>
      <c r="D61" s="56">
        <v>79</v>
      </c>
      <c r="F61" s="24">
        <f t="shared" si="0"/>
        <v>15.665700000000001</v>
      </c>
      <c r="G61" s="105">
        <f t="shared" si="1"/>
        <v>8.6821000000000002</v>
      </c>
      <c r="H61" s="24">
        <f t="shared" si="2"/>
        <v>16.139700000000001</v>
      </c>
      <c r="I61" s="105">
        <f t="shared" si="3"/>
        <v>9.1561000000000003</v>
      </c>
      <c r="J61" s="310"/>
      <c r="K61" s="310"/>
      <c r="L61" s="310"/>
      <c r="M61" s="310"/>
      <c r="N61" s="310"/>
    </row>
    <row r="62" spans="1:14" x14ac:dyDescent="0.25">
      <c r="A62" s="269" t="s">
        <v>911</v>
      </c>
      <c r="B62" s="281" t="s">
        <v>912</v>
      </c>
      <c r="C62" s="101" t="s">
        <v>913</v>
      </c>
      <c r="D62" s="56">
        <v>93</v>
      </c>
      <c r="F62" s="24">
        <f t="shared" si="0"/>
        <v>18.4419</v>
      </c>
      <c r="G62" s="105">
        <f t="shared" si="1"/>
        <v>10.220699999999999</v>
      </c>
      <c r="H62" s="24">
        <f t="shared" si="2"/>
        <v>18.9999</v>
      </c>
      <c r="I62" s="105">
        <f t="shared" si="3"/>
        <v>10.778700000000001</v>
      </c>
      <c r="J62" s="310"/>
      <c r="K62" s="310"/>
      <c r="L62" s="310"/>
      <c r="M62" s="310"/>
      <c r="N62" s="310"/>
    </row>
    <row r="63" spans="1:14" x14ac:dyDescent="0.25">
      <c r="A63" s="269" t="s">
        <v>914</v>
      </c>
      <c r="B63" s="281" t="s">
        <v>915</v>
      </c>
      <c r="C63" s="101" t="s">
        <v>916</v>
      </c>
      <c r="D63" s="56">
        <v>105</v>
      </c>
      <c r="F63" s="24">
        <f t="shared" si="0"/>
        <v>20.8215</v>
      </c>
      <c r="G63" s="105">
        <f t="shared" si="1"/>
        <v>11.5395</v>
      </c>
      <c r="H63" s="24">
        <f t="shared" si="2"/>
        <v>21.451499999999999</v>
      </c>
      <c r="I63" s="105">
        <f t="shared" si="3"/>
        <v>12.169500000000001</v>
      </c>
      <c r="J63" s="310"/>
      <c r="K63" s="310"/>
      <c r="L63" s="310"/>
      <c r="M63" s="310"/>
      <c r="N63" s="310"/>
    </row>
    <row r="64" spans="1:14" x14ac:dyDescent="0.25">
      <c r="A64" s="269" t="s">
        <v>917</v>
      </c>
      <c r="B64" s="281" t="s">
        <v>918</v>
      </c>
      <c r="C64" s="101" t="s">
        <v>919</v>
      </c>
      <c r="D64" s="56">
        <v>121</v>
      </c>
      <c r="F64" s="24">
        <f t="shared" si="0"/>
        <v>23.994299999999999</v>
      </c>
      <c r="G64" s="105">
        <f t="shared" si="1"/>
        <v>13.2979</v>
      </c>
      <c r="H64" s="24">
        <f t="shared" si="2"/>
        <v>24.720300000000002</v>
      </c>
      <c r="I64" s="105">
        <f t="shared" si="3"/>
        <v>14.023900000000001</v>
      </c>
      <c r="J64" s="310"/>
      <c r="K64" s="310"/>
      <c r="L64" s="310"/>
      <c r="M64" s="310"/>
      <c r="N64" s="310"/>
    </row>
    <row r="65" spans="1:14" ht="27.6" x14ac:dyDescent="0.25">
      <c r="A65" s="269" t="s">
        <v>920</v>
      </c>
      <c r="B65" s="281" t="s">
        <v>921</v>
      </c>
      <c r="C65" s="101" t="s">
        <v>922</v>
      </c>
      <c r="D65" s="56">
        <v>130</v>
      </c>
      <c r="F65" s="24">
        <f t="shared" si="0"/>
        <v>25.779</v>
      </c>
      <c r="G65" s="105">
        <f t="shared" si="1"/>
        <v>14.286999999999999</v>
      </c>
      <c r="H65" s="24">
        <f t="shared" si="2"/>
        <v>26.559000000000001</v>
      </c>
      <c r="I65" s="105">
        <f t="shared" si="3"/>
        <v>15.067</v>
      </c>
      <c r="J65" s="310"/>
      <c r="K65" s="310"/>
      <c r="L65" s="310"/>
      <c r="M65" s="310"/>
      <c r="N65" s="310"/>
    </row>
    <row r="66" spans="1:14" ht="27.6" x14ac:dyDescent="0.25">
      <c r="A66" s="156" t="s">
        <v>923</v>
      </c>
      <c r="B66" s="298" t="s">
        <v>924</v>
      </c>
      <c r="C66" s="55" t="s">
        <v>925</v>
      </c>
      <c r="D66" s="133">
        <v>45</v>
      </c>
      <c r="F66" s="24">
        <f t="shared" si="0"/>
        <v>8.9235000000000007</v>
      </c>
      <c r="G66" s="105">
        <f t="shared" si="1"/>
        <v>4.9455</v>
      </c>
      <c r="H66" s="24">
        <f t="shared" si="2"/>
        <v>9.1935000000000002</v>
      </c>
      <c r="I66" s="105">
        <f t="shared" si="3"/>
        <v>5.2155000000000005</v>
      </c>
      <c r="J66" s="310"/>
      <c r="K66" s="310"/>
      <c r="L66" s="310"/>
      <c r="M66" s="310"/>
      <c r="N66" s="310"/>
    </row>
    <row r="67" spans="1:14" x14ac:dyDescent="0.25">
      <c r="A67" s="109" t="s">
        <v>926</v>
      </c>
      <c r="B67" s="109" t="s">
        <v>927</v>
      </c>
      <c r="C67" s="121" t="s">
        <v>928</v>
      </c>
      <c r="D67" s="133">
        <v>84</v>
      </c>
      <c r="F67" s="24">
        <f t="shared" si="0"/>
        <v>16.6572</v>
      </c>
      <c r="G67" s="105">
        <f t="shared" si="1"/>
        <v>9.2316000000000003</v>
      </c>
      <c r="H67" s="24">
        <f t="shared" si="2"/>
        <v>17.161200000000001</v>
      </c>
      <c r="I67" s="105">
        <f t="shared" si="3"/>
        <v>9.7355999999999998</v>
      </c>
      <c r="J67" s="310"/>
      <c r="K67" s="310"/>
      <c r="L67" s="310"/>
      <c r="M67" s="310"/>
      <c r="N67" s="310"/>
    </row>
    <row r="68" spans="1:14" x14ac:dyDescent="0.25">
      <c r="A68" s="156" t="s">
        <v>929</v>
      </c>
      <c r="B68" s="298" t="s">
        <v>930</v>
      </c>
      <c r="C68" s="55" t="s">
        <v>931</v>
      </c>
      <c r="D68" s="133">
        <v>134</v>
      </c>
      <c r="F68" s="24">
        <f t="shared" si="0"/>
        <v>26.572200000000002</v>
      </c>
      <c r="G68" s="105">
        <f t="shared" si="1"/>
        <v>14.726599999999999</v>
      </c>
      <c r="H68" s="24">
        <f t="shared" si="2"/>
        <v>27.376200000000001</v>
      </c>
      <c r="I68" s="105">
        <f t="shared" si="3"/>
        <v>15.5306</v>
      </c>
      <c r="J68" s="310"/>
      <c r="K68" s="310"/>
      <c r="L68" s="310"/>
      <c r="M68" s="310"/>
      <c r="N68" s="310"/>
    </row>
    <row r="69" spans="1:14" x14ac:dyDescent="0.25">
      <c r="A69" s="156" t="s">
        <v>932</v>
      </c>
      <c r="B69" s="298" t="s">
        <v>933</v>
      </c>
      <c r="C69" s="55" t="s">
        <v>934</v>
      </c>
      <c r="D69" s="133">
        <v>223</v>
      </c>
      <c r="F69" s="24">
        <f t="shared" si="0"/>
        <v>44.2209</v>
      </c>
      <c r="G69" s="105">
        <f t="shared" si="1"/>
        <v>24.5077</v>
      </c>
      <c r="H69" s="24">
        <f t="shared" si="2"/>
        <v>45.558900000000001</v>
      </c>
      <c r="I69" s="105">
        <f t="shared" si="3"/>
        <v>25.845700000000001</v>
      </c>
      <c r="J69" s="310"/>
      <c r="K69" s="310"/>
      <c r="L69" s="310"/>
      <c r="M69" s="310"/>
      <c r="N69" s="310"/>
    </row>
    <row r="70" spans="1:14" x14ac:dyDescent="0.25">
      <c r="A70" s="156" t="s">
        <v>935</v>
      </c>
      <c r="B70" s="156" t="s">
        <v>936</v>
      </c>
      <c r="C70" s="123" t="s">
        <v>937</v>
      </c>
      <c r="D70" s="133">
        <v>112</v>
      </c>
      <c r="F70" s="24">
        <f t="shared" si="0"/>
        <v>22.209600000000002</v>
      </c>
      <c r="G70" s="105">
        <f t="shared" si="1"/>
        <v>12.3088</v>
      </c>
      <c r="H70" s="24">
        <f t="shared" si="2"/>
        <v>22.881600000000002</v>
      </c>
      <c r="I70" s="105">
        <f t="shared" si="3"/>
        <v>12.9808</v>
      </c>
      <c r="J70" s="310"/>
      <c r="K70" s="310"/>
      <c r="L70" s="310"/>
      <c r="M70" s="310"/>
      <c r="N70" s="310"/>
    </row>
    <row r="71" spans="1:14" x14ac:dyDescent="0.25">
      <c r="A71" s="269" t="s">
        <v>938</v>
      </c>
      <c r="B71" s="269" t="s">
        <v>939</v>
      </c>
      <c r="C71" s="49" t="s">
        <v>940</v>
      </c>
      <c r="D71" s="56">
        <v>65</v>
      </c>
      <c r="F71" s="24">
        <f t="shared" si="0"/>
        <v>12.8895</v>
      </c>
      <c r="G71" s="105">
        <f t="shared" si="1"/>
        <v>7.1434999999999995</v>
      </c>
      <c r="H71" s="24">
        <f t="shared" si="2"/>
        <v>13.279500000000001</v>
      </c>
      <c r="I71" s="105">
        <f t="shared" si="3"/>
        <v>7.5335000000000001</v>
      </c>
      <c r="J71" s="310"/>
      <c r="K71" s="310"/>
      <c r="L71" s="310"/>
      <c r="M71" s="310"/>
      <c r="N71" s="310"/>
    </row>
    <row r="72" spans="1:14" x14ac:dyDescent="0.25">
      <c r="A72" s="269" t="s">
        <v>941</v>
      </c>
      <c r="B72" s="269" t="s">
        <v>942</v>
      </c>
      <c r="C72" s="49" t="s">
        <v>943</v>
      </c>
      <c r="D72" s="56">
        <v>120</v>
      </c>
      <c r="F72" s="24">
        <f t="shared" si="0"/>
        <v>23.795999999999999</v>
      </c>
      <c r="G72" s="105">
        <f t="shared" si="1"/>
        <v>13.187999999999999</v>
      </c>
      <c r="H72" s="24">
        <f t="shared" si="2"/>
        <v>24.516000000000002</v>
      </c>
      <c r="I72" s="105">
        <f t="shared" si="3"/>
        <v>13.908000000000001</v>
      </c>
    </row>
    <row r="73" spans="1:14" s="245" customFormat="1" x14ac:dyDescent="0.25">
      <c r="A73" s="82" t="s">
        <v>944</v>
      </c>
      <c r="B73" s="87" t="s">
        <v>945</v>
      </c>
      <c r="C73" s="155" t="s">
        <v>946</v>
      </c>
      <c r="D73" s="258">
        <v>465</v>
      </c>
      <c r="F73" s="24">
        <f t="shared" si="0"/>
        <v>92.209500000000006</v>
      </c>
      <c r="G73" s="105">
        <f t="shared" si="1"/>
        <v>51.103499999999997</v>
      </c>
      <c r="H73" s="24">
        <f t="shared" si="2"/>
        <v>94.999499999999998</v>
      </c>
      <c r="I73" s="105">
        <f t="shared" si="3"/>
        <v>53.893500000000003</v>
      </c>
    </row>
    <row r="74" spans="1:14" x14ac:dyDescent="0.25">
      <c r="A74" s="38"/>
      <c r="B74" s="46"/>
      <c r="C74" s="134"/>
      <c r="D74" s="56"/>
      <c r="F74" s="24"/>
      <c r="G74" s="105"/>
      <c r="H74" s="24"/>
      <c r="I74" s="105"/>
      <c r="J74" s="310"/>
      <c r="K74" s="310"/>
      <c r="L74" s="310"/>
      <c r="M74" s="310"/>
      <c r="N74" s="310"/>
    </row>
    <row r="75" spans="1:14" x14ac:dyDescent="0.25">
      <c r="A75" s="21" t="s">
        <v>947</v>
      </c>
      <c r="B75" s="50"/>
      <c r="C75" s="50"/>
      <c r="D75" s="147"/>
      <c r="F75" s="147"/>
      <c r="G75" s="147"/>
      <c r="H75" s="147"/>
      <c r="I75" s="147"/>
      <c r="J75" s="310"/>
      <c r="K75" s="310"/>
      <c r="L75" s="310"/>
      <c r="M75" s="310"/>
      <c r="N75" s="310"/>
    </row>
    <row r="76" spans="1:14" x14ac:dyDescent="0.25">
      <c r="A76" s="156" t="s">
        <v>1731</v>
      </c>
      <c r="B76" s="298" t="s">
        <v>948</v>
      </c>
      <c r="C76" s="123" t="s">
        <v>949</v>
      </c>
      <c r="D76" s="133">
        <v>30</v>
      </c>
      <c r="F76" s="24">
        <f t="shared" si="0"/>
        <v>5.9489999999999998</v>
      </c>
      <c r="G76" s="105">
        <f t="shared" si="1"/>
        <v>3.2969999999999997</v>
      </c>
      <c r="H76" s="24">
        <f t="shared" si="2"/>
        <v>6.1290000000000004</v>
      </c>
      <c r="I76" s="105">
        <f t="shared" si="3"/>
        <v>3.4770000000000003</v>
      </c>
      <c r="J76" s="310"/>
      <c r="K76" s="310"/>
      <c r="L76" s="310"/>
      <c r="M76" s="310"/>
      <c r="N76" s="310"/>
    </row>
    <row r="77" spans="1:14" x14ac:dyDescent="0.25">
      <c r="A77" s="156" t="s">
        <v>1732</v>
      </c>
      <c r="B77" s="298" t="s">
        <v>950</v>
      </c>
      <c r="C77" s="123" t="s">
        <v>951</v>
      </c>
      <c r="D77" s="133">
        <v>29</v>
      </c>
      <c r="F77" s="24">
        <f t="shared" si="0"/>
        <v>5.7507000000000001</v>
      </c>
      <c r="G77" s="105">
        <f t="shared" si="1"/>
        <v>3.1871</v>
      </c>
      <c r="H77" s="24">
        <f t="shared" si="2"/>
        <v>5.9247000000000005</v>
      </c>
      <c r="I77" s="105">
        <f t="shared" si="3"/>
        <v>3.3611</v>
      </c>
      <c r="J77" s="310"/>
      <c r="K77" s="310"/>
      <c r="L77" s="310"/>
      <c r="M77" s="310"/>
      <c r="N77" s="310"/>
    </row>
    <row r="78" spans="1:14" x14ac:dyDescent="0.25">
      <c r="A78" s="156" t="s">
        <v>1733</v>
      </c>
      <c r="B78" s="298" t="s">
        <v>952</v>
      </c>
      <c r="C78" s="123" t="s">
        <v>953</v>
      </c>
      <c r="D78" s="133">
        <v>25</v>
      </c>
      <c r="F78" s="24">
        <f t="shared" ref="F78:F141" si="4">D78*$F$9</f>
        <v>4.9575000000000005</v>
      </c>
      <c r="G78" s="105">
        <f t="shared" ref="G78:G141" si="5">D78*$G$9</f>
        <v>2.7475000000000001</v>
      </c>
      <c r="H78" s="24">
        <f t="shared" ref="H78:H141" si="6">D78*$H$9</f>
        <v>5.1074999999999999</v>
      </c>
      <c r="I78" s="105">
        <f t="shared" ref="I78:I141" si="7">D78*$I$9</f>
        <v>2.8975</v>
      </c>
      <c r="J78" s="310"/>
      <c r="K78" s="310"/>
      <c r="L78" s="310"/>
      <c r="M78" s="310"/>
      <c r="N78" s="310"/>
    </row>
    <row r="79" spans="1:14" x14ac:dyDescent="0.25">
      <c r="A79" s="156" t="s">
        <v>1734</v>
      </c>
      <c r="B79" s="298" t="s">
        <v>954</v>
      </c>
      <c r="C79" s="123" t="s">
        <v>955</v>
      </c>
      <c r="D79" s="133">
        <v>24</v>
      </c>
      <c r="F79" s="24">
        <f t="shared" si="4"/>
        <v>4.7591999999999999</v>
      </c>
      <c r="G79" s="105">
        <f t="shared" si="5"/>
        <v>2.6375999999999999</v>
      </c>
      <c r="H79" s="24">
        <f t="shared" si="6"/>
        <v>4.9032</v>
      </c>
      <c r="I79" s="105">
        <f t="shared" si="7"/>
        <v>2.7816000000000001</v>
      </c>
      <c r="J79" s="310"/>
      <c r="K79" s="310"/>
      <c r="L79" s="310"/>
      <c r="M79" s="310"/>
      <c r="N79" s="310"/>
    </row>
    <row r="80" spans="1:14" x14ac:dyDescent="0.25">
      <c r="A80" s="156" t="s">
        <v>1735</v>
      </c>
      <c r="B80" s="298" t="s">
        <v>956</v>
      </c>
      <c r="C80" s="123" t="s">
        <v>957</v>
      </c>
      <c r="D80" s="133">
        <v>24</v>
      </c>
      <c r="F80" s="24">
        <f t="shared" si="4"/>
        <v>4.7591999999999999</v>
      </c>
      <c r="G80" s="105">
        <f t="shared" si="5"/>
        <v>2.6375999999999999</v>
      </c>
      <c r="H80" s="24">
        <f t="shared" si="6"/>
        <v>4.9032</v>
      </c>
      <c r="I80" s="105">
        <f t="shared" si="7"/>
        <v>2.7816000000000001</v>
      </c>
      <c r="J80" s="310"/>
      <c r="K80" s="310"/>
      <c r="L80" s="310"/>
      <c r="M80" s="310"/>
      <c r="N80" s="310"/>
    </row>
    <row r="81" spans="1:14" x14ac:dyDescent="0.25">
      <c r="A81" s="156" t="s">
        <v>1736</v>
      </c>
      <c r="B81" s="298" t="s">
        <v>956</v>
      </c>
      <c r="C81" s="123" t="s">
        <v>958</v>
      </c>
      <c r="D81" s="133">
        <v>24</v>
      </c>
      <c r="F81" s="24">
        <f t="shared" si="4"/>
        <v>4.7591999999999999</v>
      </c>
      <c r="G81" s="105">
        <f t="shared" si="5"/>
        <v>2.6375999999999999</v>
      </c>
      <c r="H81" s="24">
        <f t="shared" si="6"/>
        <v>4.9032</v>
      </c>
      <c r="I81" s="105">
        <f t="shared" si="7"/>
        <v>2.7816000000000001</v>
      </c>
      <c r="J81" s="310"/>
      <c r="K81" s="310"/>
      <c r="L81" s="310"/>
      <c r="M81" s="310"/>
      <c r="N81" s="310"/>
    </row>
    <row r="82" spans="1:14" x14ac:dyDescent="0.25">
      <c r="A82" s="269"/>
      <c r="B82" s="281"/>
      <c r="C82" s="49"/>
      <c r="D82" s="56"/>
      <c r="F82" s="24"/>
      <c r="G82" s="105"/>
      <c r="H82" s="24"/>
      <c r="I82" s="105"/>
      <c r="J82" s="310"/>
      <c r="K82" s="310"/>
      <c r="L82" s="310"/>
      <c r="M82" s="310"/>
      <c r="N82" s="310"/>
    </row>
    <row r="83" spans="1:14" x14ac:dyDescent="0.25">
      <c r="A83" s="21" t="s">
        <v>959</v>
      </c>
      <c r="B83" s="50"/>
      <c r="C83" s="50"/>
      <c r="D83" s="147"/>
      <c r="F83" s="147"/>
      <c r="G83" s="147"/>
      <c r="H83" s="147"/>
      <c r="I83" s="147"/>
      <c r="J83" s="310"/>
      <c r="K83" s="310"/>
      <c r="L83" s="310"/>
      <c r="M83" s="310"/>
      <c r="N83" s="310"/>
    </row>
    <row r="84" spans="1:14" x14ac:dyDescent="0.25">
      <c r="A84" s="269" t="s">
        <v>960</v>
      </c>
      <c r="B84" s="281" t="s">
        <v>961</v>
      </c>
      <c r="C84" s="49" t="s">
        <v>962</v>
      </c>
      <c r="D84" s="133">
        <v>19</v>
      </c>
      <c r="F84" s="24">
        <f t="shared" si="4"/>
        <v>3.7677</v>
      </c>
      <c r="G84" s="105">
        <f t="shared" si="5"/>
        <v>2.0880999999999998</v>
      </c>
      <c r="H84" s="24">
        <f t="shared" si="6"/>
        <v>3.8817000000000004</v>
      </c>
      <c r="I84" s="105">
        <f t="shared" si="7"/>
        <v>2.2021000000000002</v>
      </c>
      <c r="J84" s="310"/>
      <c r="K84" s="310"/>
      <c r="L84" s="310"/>
      <c r="M84" s="310"/>
      <c r="N84" s="310"/>
    </row>
    <row r="85" spans="1:14" x14ac:dyDescent="0.25">
      <c r="A85" s="269" t="s">
        <v>963</v>
      </c>
      <c r="B85" s="281" t="s">
        <v>964</v>
      </c>
      <c r="C85" s="49" t="s">
        <v>965</v>
      </c>
      <c r="D85" s="133">
        <v>19</v>
      </c>
      <c r="F85" s="24">
        <f t="shared" si="4"/>
        <v>3.7677</v>
      </c>
      <c r="G85" s="105">
        <f t="shared" si="5"/>
        <v>2.0880999999999998</v>
      </c>
      <c r="H85" s="24">
        <f t="shared" si="6"/>
        <v>3.8817000000000004</v>
      </c>
      <c r="I85" s="105">
        <f t="shared" si="7"/>
        <v>2.2021000000000002</v>
      </c>
      <c r="J85" s="310"/>
      <c r="K85" s="310"/>
      <c r="L85" s="310"/>
      <c r="M85" s="310"/>
      <c r="N85" s="310"/>
    </row>
    <row r="86" spans="1:14" x14ac:dyDescent="0.25">
      <c r="A86" s="269" t="s">
        <v>966</v>
      </c>
      <c r="B86" s="281" t="s">
        <v>967</v>
      </c>
      <c r="C86" s="49" t="s">
        <v>968</v>
      </c>
      <c r="D86" s="133">
        <v>14</v>
      </c>
      <c r="F86" s="24">
        <f t="shared" si="4"/>
        <v>2.7762000000000002</v>
      </c>
      <c r="G86" s="105">
        <f t="shared" si="5"/>
        <v>1.5386</v>
      </c>
      <c r="H86" s="24">
        <f t="shared" si="6"/>
        <v>2.8602000000000003</v>
      </c>
      <c r="I86" s="105">
        <f t="shared" si="7"/>
        <v>1.6226</v>
      </c>
      <c r="J86" s="310"/>
      <c r="K86" s="310"/>
      <c r="L86" s="310"/>
      <c r="M86" s="310"/>
      <c r="N86" s="310"/>
    </row>
    <row r="87" spans="1:14" x14ac:dyDescent="0.25">
      <c r="A87" s="269" t="s">
        <v>969</v>
      </c>
      <c r="B87" s="281" t="s">
        <v>970</v>
      </c>
      <c r="C87" s="49" t="s">
        <v>971</v>
      </c>
      <c r="D87" s="133">
        <v>8</v>
      </c>
      <c r="F87" s="24">
        <f t="shared" si="4"/>
        <v>1.5864</v>
      </c>
      <c r="G87" s="105">
        <f t="shared" si="5"/>
        <v>0.87919999999999998</v>
      </c>
      <c r="H87" s="24">
        <f t="shared" si="6"/>
        <v>1.6344000000000001</v>
      </c>
      <c r="I87" s="105">
        <f t="shared" si="7"/>
        <v>0.92720000000000002</v>
      </c>
      <c r="J87" s="310"/>
      <c r="K87" s="310"/>
      <c r="L87" s="310"/>
      <c r="M87" s="310"/>
      <c r="N87" s="310"/>
    </row>
    <row r="88" spans="1:14" x14ac:dyDescent="0.25">
      <c r="A88" s="269"/>
      <c r="B88" s="281"/>
      <c r="C88" s="49"/>
      <c r="D88" s="56"/>
      <c r="F88" s="24"/>
      <c r="G88" s="105"/>
      <c r="H88" s="24"/>
      <c r="I88" s="105"/>
      <c r="J88" s="310"/>
      <c r="K88" s="310"/>
      <c r="L88" s="310"/>
      <c r="M88" s="310"/>
      <c r="N88" s="310"/>
    </row>
    <row r="89" spans="1:14" x14ac:dyDescent="0.25">
      <c r="A89" s="21" t="s">
        <v>972</v>
      </c>
      <c r="B89" s="50"/>
      <c r="C89" s="50"/>
      <c r="D89" s="147"/>
      <c r="F89" s="147"/>
      <c r="G89" s="147"/>
      <c r="H89" s="147"/>
      <c r="I89" s="147"/>
      <c r="J89" s="310"/>
      <c r="K89" s="310"/>
      <c r="L89" s="310"/>
      <c r="M89" s="310"/>
      <c r="N89" s="310"/>
    </row>
    <row r="90" spans="1:14" x14ac:dyDescent="0.25">
      <c r="A90" s="91" t="s">
        <v>973</v>
      </c>
      <c r="B90" s="91" t="s">
        <v>974</v>
      </c>
      <c r="C90" s="101" t="s">
        <v>1493</v>
      </c>
      <c r="D90" s="133">
        <v>887</v>
      </c>
      <c r="F90" s="24">
        <f t="shared" si="4"/>
        <v>175.8921</v>
      </c>
      <c r="G90" s="105">
        <f t="shared" si="5"/>
        <v>97.481300000000005</v>
      </c>
      <c r="H90" s="24">
        <f t="shared" si="6"/>
        <v>181.2141</v>
      </c>
      <c r="I90" s="105">
        <f t="shared" si="7"/>
        <v>102.80330000000001</v>
      </c>
      <c r="J90" s="310"/>
      <c r="K90" s="310"/>
      <c r="L90" s="310"/>
      <c r="M90" s="310"/>
      <c r="N90" s="310"/>
    </row>
    <row r="91" spans="1:14" x14ac:dyDescent="0.25">
      <c r="A91" s="91" t="s">
        <v>975</v>
      </c>
      <c r="B91" s="91" t="s">
        <v>1584</v>
      </c>
      <c r="C91" s="101" t="s">
        <v>976</v>
      </c>
      <c r="D91" s="133">
        <v>698</v>
      </c>
      <c r="F91" s="24">
        <f t="shared" si="4"/>
        <v>138.4134</v>
      </c>
      <c r="G91" s="105">
        <f t="shared" si="5"/>
        <v>76.7102</v>
      </c>
      <c r="H91" s="24">
        <f t="shared" si="6"/>
        <v>142.60140000000001</v>
      </c>
      <c r="I91" s="105">
        <f t="shared" si="7"/>
        <v>80.898200000000003</v>
      </c>
      <c r="J91" s="310"/>
      <c r="K91" s="310"/>
      <c r="L91" s="310"/>
      <c r="M91" s="310"/>
      <c r="N91" s="310"/>
    </row>
    <row r="92" spans="1:14" x14ac:dyDescent="0.25">
      <c r="A92" s="128" t="s">
        <v>977</v>
      </c>
      <c r="B92" s="282" t="s">
        <v>1585</v>
      </c>
      <c r="C92" s="101" t="s">
        <v>978</v>
      </c>
      <c r="D92" s="133">
        <v>272</v>
      </c>
      <c r="F92" s="24">
        <f t="shared" si="4"/>
        <v>53.937600000000003</v>
      </c>
      <c r="G92" s="105">
        <f t="shared" si="5"/>
        <v>29.892800000000001</v>
      </c>
      <c r="H92" s="24">
        <f t="shared" si="6"/>
        <v>55.569600000000001</v>
      </c>
      <c r="I92" s="105">
        <f t="shared" si="7"/>
        <v>31.524799999999999</v>
      </c>
      <c r="J92" s="310"/>
      <c r="K92" s="310"/>
      <c r="L92" s="310"/>
      <c r="M92" s="310"/>
      <c r="N92" s="310"/>
    </row>
    <row r="93" spans="1:14" x14ac:dyDescent="0.25">
      <c r="A93" s="52" t="s">
        <v>979</v>
      </c>
      <c r="B93" s="52" t="s">
        <v>980</v>
      </c>
      <c r="C93" s="101" t="s">
        <v>981</v>
      </c>
      <c r="D93" s="133">
        <v>203</v>
      </c>
      <c r="F93" s="24">
        <f t="shared" si="4"/>
        <v>40.254899999999999</v>
      </c>
      <c r="G93" s="105">
        <f t="shared" si="5"/>
        <v>22.309699999999999</v>
      </c>
      <c r="H93" s="24">
        <f t="shared" si="6"/>
        <v>41.472900000000003</v>
      </c>
      <c r="I93" s="105">
        <f t="shared" si="7"/>
        <v>23.527699999999999</v>
      </c>
      <c r="J93" s="310"/>
      <c r="K93" s="310"/>
      <c r="L93" s="310"/>
      <c r="M93" s="310"/>
      <c r="N93" s="310"/>
    </row>
    <row r="94" spans="1:14" s="245" customFormat="1" ht="27.6" x14ac:dyDescent="0.25">
      <c r="A94" s="140" t="s">
        <v>982</v>
      </c>
      <c r="B94" s="257" t="s">
        <v>983</v>
      </c>
      <c r="C94" s="163" t="s">
        <v>984</v>
      </c>
      <c r="D94" s="90">
        <v>203</v>
      </c>
      <c r="F94" s="24">
        <f t="shared" si="4"/>
        <v>40.254899999999999</v>
      </c>
      <c r="G94" s="105">
        <f t="shared" si="5"/>
        <v>22.309699999999999</v>
      </c>
      <c r="H94" s="24">
        <f t="shared" si="6"/>
        <v>41.472900000000003</v>
      </c>
      <c r="I94" s="105">
        <f t="shared" si="7"/>
        <v>23.527699999999999</v>
      </c>
      <c r="J94" s="219"/>
      <c r="K94" s="219"/>
      <c r="L94" s="219"/>
      <c r="M94" s="219"/>
      <c r="N94" s="219"/>
    </row>
    <row r="95" spans="1:14" x14ac:dyDescent="0.25">
      <c r="A95" s="52" t="s">
        <v>985</v>
      </c>
      <c r="B95" s="52" t="s">
        <v>986</v>
      </c>
      <c r="C95" s="101" t="s">
        <v>987</v>
      </c>
      <c r="D95" s="133">
        <v>165</v>
      </c>
      <c r="F95" s="24">
        <f t="shared" si="4"/>
        <v>32.719500000000004</v>
      </c>
      <c r="G95" s="105">
        <f t="shared" si="5"/>
        <v>18.133499999999998</v>
      </c>
      <c r="H95" s="24">
        <f t="shared" si="6"/>
        <v>33.709499999999998</v>
      </c>
      <c r="I95" s="105">
        <f t="shared" si="7"/>
        <v>19.1235</v>
      </c>
      <c r="J95" s="310"/>
      <c r="K95" s="310"/>
      <c r="L95" s="310"/>
      <c r="M95" s="310"/>
      <c r="N95" s="310"/>
    </row>
    <row r="96" spans="1:14" x14ac:dyDescent="0.25">
      <c r="A96" s="52" t="s">
        <v>988</v>
      </c>
      <c r="B96" s="52" t="s">
        <v>989</v>
      </c>
      <c r="C96" s="101" t="s">
        <v>990</v>
      </c>
      <c r="D96" s="133">
        <v>164</v>
      </c>
      <c r="F96" s="24">
        <f t="shared" si="4"/>
        <v>32.5212</v>
      </c>
      <c r="G96" s="105">
        <f t="shared" si="5"/>
        <v>18.023599999999998</v>
      </c>
      <c r="H96" s="24">
        <f t="shared" si="6"/>
        <v>33.505200000000002</v>
      </c>
      <c r="I96" s="105">
        <f t="shared" si="7"/>
        <v>19.0076</v>
      </c>
      <c r="J96" s="310"/>
      <c r="K96" s="310"/>
      <c r="L96" s="310"/>
      <c r="M96" s="310"/>
      <c r="N96" s="310"/>
    </row>
    <row r="97" spans="1:14" x14ac:dyDescent="0.25">
      <c r="A97" s="52" t="s">
        <v>991</v>
      </c>
      <c r="B97" s="52" t="s">
        <v>992</v>
      </c>
      <c r="C97" s="101" t="s">
        <v>993</v>
      </c>
      <c r="D97" s="133">
        <v>151</v>
      </c>
      <c r="F97" s="24">
        <f t="shared" si="4"/>
        <v>29.943300000000001</v>
      </c>
      <c r="G97" s="105">
        <f t="shared" si="5"/>
        <v>16.594899999999999</v>
      </c>
      <c r="H97" s="24">
        <f t="shared" si="6"/>
        <v>30.849300000000003</v>
      </c>
      <c r="I97" s="105">
        <f t="shared" si="7"/>
        <v>17.500900000000001</v>
      </c>
      <c r="J97" s="310"/>
      <c r="K97" s="310"/>
      <c r="L97" s="310"/>
      <c r="M97" s="310"/>
      <c r="N97" s="310"/>
    </row>
    <row r="98" spans="1:14" s="245" customFormat="1" ht="27.6" x14ac:dyDescent="0.25">
      <c r="A98" s="28" t="s">
        <v>994</v>
      </c>
      <c r="B98" s="190" t="s">
        <v>995</v>
      </c>
      <c r="C98" s="163" t="s">
        <v>996</v>
      </c>
      <c r="D98" s="90">
        <v>151</v>
      </c>
      <c r="F98" s="24">
        <f t="shared" si="4"/>
        <v>29.943300000000001</v>
      </c>
      <c r="G98" s="105">
        <f t="shared" si="5"/>
        <v>16.594899999999999</v>
      </c>
      <c r="H98" s="24">
        <f t="shared" si="6"/>
        <v>30.849300000000003</v>
      </c>
      <c r="I98" s="105">
        <f t="shared" si="7"/>
        <v>17.500900000000001</v>
      </c>
      <c r="J98" s="219"/>
      <c r="K98" s="219"/>
      <c r="L98" s="219"/>
      <c r="M98" s="219"/>
      <c r="N98" s="219"/>
    </row>
    <row r="99" spans="1:14" x14ac:dyDescent="0.25">
      <c r="A99" s="52" t="s">
        <v>997</v>
      </c>
      <c r="B99" s="52" t="s">
        <v>998</v>
      </c>
      <c r="C99" s="101" t="s">
        <v>999</v>
      </c>
      <c r="D99" s="133">
        <v>131</v>
      </c>
      <c r="F99" s="24">
        <f t="shared" si="4"/>
        <v>25.9773</v>
      </c>
      <c r="G99" s="105">
        <f t="shared" si="5"/>
        <v>14.3969</v>
      </c>
      <c r="H99" s="24">
        <f t="shared" si="6"/>
        <v>26.763300000000001</v>
      </c>
      <c r="I99" s="105">
        <f t="shared" si="7"/>
        <v>15.1829</v>
      </c>
      <c r="J99" s="310"/>
      <c r="K99" s="310"/>
      <c r="L99" s="310"/>
      <c r="M99" s="310"/>
      <c r="N99" s="310"/>
    </row>
    <row r="100" spans="1:14" s="245" customFormat="1" ht="27.6" x14ac:dyDescent="0.25">
      <c r="A100" s="28" t="s">
        <v>1000</v>
      </c>
      <c r="B100" s="190" t="s">
        <v>1001</v>
      </c>
      <c r="C100" s="163" t="s">
        <v>1002</v>
      </c>
      <c r="D100" s="90">
        <v>131</v>
      </c>
      <c r="F100" s="24">
        <f t="shared" si="4"/>
        <v>25.9773</v>
      </c>
      <c r="G100" s="105">
        <f t="shared" si="5"/>
        <v>14.3969</v>
      </c>
      <c r="H100" s="24">
        <f t="shared" si="6"/>
        <v>26.763300000000001</v>
      </c>
      <c r="I100" s="105">
        <f t="shared" si="7"/>
        <v>15.1829</v>
      </c>
      <c r="J100" s="219"/>
      <c r="K100" s="219"/>
      <c r="L100" s="219"/>
      <c r="M100" s="219"/>
      <c r="N100" s="219"/>
    </row>
    <row r="101" spans="1:14" x14ac:dyDescent="0.25">
      <c r="A101" s="52" t="s">
        <v>1003</v>
      </c>
      <c r="B101" s="52" t="s">
        <v>1004</v>
      </c>
      <c r="C101" s="101" t="s">
        <v>1005</v>
      </c>
      <c r="D101" s="133">
        <v>128</v>
      </c>
      <c r="F101" s="24">
        <f t="shared" si="4"/>
        <v>25.382400000000001</v>
      </c>
      <c r="G101" s="105">
        <f t="shared" si="5"/>
        <v>14.0672</v>
      </c>
      <c r="H101" s="24">
        <f t="shared" si="6"/>
        <v>26.150400000000001</v>
      </c>
      <c r="I101" s="105">
        <f t="shared" si="7"/>
        <v>14.8352</v>
      </c>
      <c r="J101" s="310"/>
      <c r="K101" s="310"/>
      <c r="L101" s="310"/>
      <c r="M101" s="310"/>
      <c r="N101" s="310"/>
    </row>
    <row r="102" spans="1:14" x14ac:dyDescent="0.25">
      <c r="A102" s="67"/>
      <c r="B102" s="67"/>
      <c r="C102" s="49"/>
      <c r="D102" s="56"/>
      <c r="F102" s="24"/>
      <c r="G102" s="105"/>
      <c r="H102" s="24"/>
      <c r="I102" s="105"/>
      <c r="J102" s="310"/>
      <c r="K102" s="310"/>
      <c r="L102" s="310"/>
      <c r="M102" s="310"/>
      <c r="N102" s="310"/>
    </row>
    <row r="103" spans="1:14" x14ac:dyDescent="0.25">
      <c r="A103" s="21" t="s">
        <v>1006</v>
      </c>
      <c r="B103" s="50"/>
      <c r="C103" s="50"/>
      <c r="D103" s="147"/>
      <c r="F103" s="147"/>
      <c r="G103" s="147"/>
      <c r="H103" s="147"/>
      <c r="I103" s="147"/>
      <c r="J103" s="310"/>
      <c r="K103" s="310"/>
      <c r="L103" s="310"/>
      <c r="M103" s="310"/>
      <c r="N103" s="310"/>
    </row>
    <row r="104" spans="1:14" s="245" customFormat="1" x14ac:dyDescent="0.25">
      <c r="A104" s="84" t="s">
        <v>1007</v>
      </c>
      <c r="B104" s="152" t="s">
        <v>1008</v>
      </c>
      <c r="C104" s="127" t="s">
        <v>1009</v>
      </c>
      <c r="D104" s="258">
        <v>747</v>
      </c>
      <c r="F104" s="24">
        <f t="shared" si="4"/>
        <v>148.1301</v>
      </c>
      <c r="G104" s="105">
        <f t="shared" si="5"/>
        <v>82.095299999999995</v>
      </c>
      <c r="H104" s="24">
        <f t="shared" si="6"/>
        <v>152.6121</v>
      </c>
      <c r="I104" s="105">
        <f t="shared" si="7"/>
        <v>86.577300000000008</v>
      </c>
      <c r="J104" s="219"/>
      <c r="K104" s="219"/>
      <c r="L104" s="219"/>
      <c r="M104" s="219"/>
      <c r="N104" s="219"/>
    </row>
    <row r="105" spans="1:14" x14ac:dyDescent="0.25">
      <c r="A105" s="65" t="s">
        <v>1010</v>
      </c>
      <c r="B105" s="103" t="s">
        <v>1011</v>
      </c>
      <c r="C105" s="153" t="s">
        <v>1012</v>
      </c>
      <c r="D105" s="133">
        <v>344</v>
      </c>
      <c r="F105" s="24">
        <f t="shared" si="4"/>
        <v>68.215199999999996</v>
      </c>
      <c r="G105" s="105">
        <f t="shared" si="5"/>
        <v>37.805599999999998</v>
      </c>
      <c r="H105" s="24">
        <f t="shared" si="6"/>
        <v>70.279200000000003</v>
      </c>
      <c r="I105" s="105">
        <f t="shared" si="7"/>
        <v>39.869599999999998</v>
      </c>
      <c r="J105" s="310"/>
      <c r="K105" s="310"/>
      <c r="L105" s="310"/>
      <c r="M105" s="310"/>
      <c r="N105" s="310"/>
    </row>
    <row r="106" spans="1:14" s="245" customFormat="1" ht="27.6" x14ac:dyDescent="0.25">
      <c r="A106" s="77" t="s">
        <v>1013</v>
      </c>
      <c r="B106" s="77" t="s">
        <v>1014</v>
      </c>
      <c r="C106" s="163" t="s">
        <v>1015</v>
      </c>
      <c r="D106" s="90">
        <v>344</v>
      </c>
      <c r="F106" s="24">
        <f t="shared" si="4"/>
        <v>68.215199999999996</v>
      </c>
      <c r="G106" s="105">
        <f t="shared" si="5"/>
        <v>37.805599999999998</v>
      </c>
      <c r="H106" s="24">
        <f t="shared" si="6"/>
        <v>70.279200000000003</v>
      </c>
      <c r="I106" s="105">
        <f t="shared" si="7"/>
        <v>39.869599999999998</v>
      </c>
      <c r="J106" s="219"/>
      <c r="K106" s="219"/>
      <c r="L106" s="219"/>
      <c r="M106" s="219"/>
      <c r="N106" s="219"/>
    </row>
    <row r="107" spans="1:14" ht="27.6" x14ac:dyDescent="0.25">
      <c r="A107" s="282" t="s">
        <v>1016</v>
      </c>
      <c r="B107" s="282" t="s">
        <v>1017</v>
      </c>
      <c r="C107" s="61" t="s">
        <v>1018</v>
      </c>
      <c r="D107" s="133">
        <v>167</v>
      </c>
      <c r="F107" s="24">
        <f t="shared" si="4"/>
        <v>33.116100000000003</v>
      </c>
      <c r="G107" s="105">
        <f t="shared" si="5"/>
        <v>18.353300000000001</v>
      </c>
      <c r="H107" s="24">
        <f t="shared" si="6"/>
        <v>34.118099999999998</v>
      </c>
      <c r="I107" s="105">
        <f t="shared" si="7"/>
        <v>19.3553</v>
      </c>
      <c r="J107" s="310"/>
      <c r="K107" s="310"/>
      <c r="L107" s="310"/>
      <c r="M107" s="310"/>
      <c r="N107" s="310"/>
    </row>
    <row r="108" spans="1:14" ht="27.6" x14ac:dyDescent="0.25">
      <c r="A108" s="65" t="s">
        <v>1019</v>
      </c>
      <c r="B108" s="103" t="s">
        <v>1020</v>
      </c>
      <c r="C108" s="153" t="s">
        <v>1021</v>
      </c>
      <c r="D108" s="133">
        <v>265</v>
      </c>
      <c r="F108" s="24">
        <f t="shared" si="4"/>
        <v>52.549500000000002</v>
      </c>
      <c r="G108" s="105">
        <f t="shared" si="5"/>
        <v>29.1235</v>
      </c>
      <c r="H108" s="24">
        <f t="shared" si="6"/>
        <v>54.139500000000005</v>
      </c>
      <c r="I108" s="105">
        <f t="shared" si="7"/>
        <v>30.7135</v>
      </c>
      <c r="J108" s="310"/>
      <c r="K108" s="310"/>
      <c r="L108" s="310"/>
      <c r="M108" s="310"/>
      <c r="N108" s="310"/>
    </row>
    <row r="109" spans="1:14" s="245" customFormat="1" ht="27.6" x14ac:dyDescent="0.25">
      <c r="A109" s="77" t="s">
        <v>1586</v>
      </c>
      <c r="B109" s="190" t="s">
        <v>1022</v>
      </c>
      <c r="C109" s="118" t="s">
        <v>1023</v>
      </c>
      <c r="D109" s="90">
        <v>265</v>
      </c>
      <c r="F109" s="24">
        <f t="shared" si="4"/>
        <v>52.549500000000002</v>
      </c>
      <c r="G109" s="105">
        <f t="shared" si="5"/>
        <v>29.1235</v>
      </c>
      <c r="H109" s="24">
        <f t="shared" si="6"/>
        <v>54.139500000000005</v>
      </c>
      <c r="I109" s="105">
        <f t="shared" si="7"/>
        <v>30.7135</v>
      </c>
      <c r="J109" s="219"/>
      <c r="K109" s="219"/>
      <c r="L109" s="219"/>
      <c r="M109" s="219"/>
      <c r="N109" s="219"/>
    </row>
    <row r="110" spans="1:14" x14ac:dyDescent="0.25">
      <c r="A110" s="65" t="s">
        <v>1024</v>
      </c>
      <c r="B110" s="103" t="s">
        <v>1025</v>
      </c>
      <c r="C110" s="153" t="s">
        <v>1026</v>
      </c>
      <c r="D110" s="133">
        <v>197</v>
      </c>
      <c r="F110" s="24">
        <f t="shared" si="4"/>
        <v>39.065100000000001</v>
      </c>
      <c r="G110" s="105">
        <f t="shared" si="5"/>
        <v>21.650299999999998</v>
      </c>
      <c r="H110" s="24">
        <f t="shared" si="6"/>
        <v>40.247100000000003</v>
      </c>
      <c r="I110" s="105">
        <f t="shared" si="7"/>
        <v>22.8323</v>
      </c>
      <c r="J110" s="310"/>
      <c r="K110" s="310"/>
      <c r="L110" s="310"/>
      <c r="M110" s="310"/>
      <c r="N110" s="310"/>
    </row>
    <row r="111" spans="1:14" x14ac:dyDescent="0.25">
      <c r="A111" s="65" t="s">
        <v>1027</v>
      </c>
      <c r="B111" s="103" t="s">
        <v>1028</v>
      </c>
      <c r="C111" s="153" t="s">
        <v>1029</v>
      </c>
      <c r="D111" s="133">
        <v>141</v>
      </c>
      <c r="F111" s="24">
        <f t="shared" si="4"/>
        <v>27.9603</v>
      </c>
      <c r="G111" s="105">
        <f t="shared" si="5"/>
        <v>15.495899999999999</v>
      </c>
      <c r="H111" s="24">
        <f t="shared" si="6"/>
        <v>28.8063</v>
      </c>
      <c r="I111" s="105">
        <f t="shared" si="7"/>
        <v>16.341899999999999</v>
      </c>
      <c r="J111" s="310"/>
      <c r="K111" s="310"/>
      <c r="L111" s="310"/>
      <c r="M111" s="310"/>
      <c r="N111" s="310"/>
    </row>
    <row r="112" spans="1:14" x14ac:dyDescent="0.25">
      <c r="A112" s="282" t="s">
        <v>1030</v>
      </c>
      <c r="B112" s="282" t="s">
        <v>1031</v>
      </c>
      <c r="C112" s="49" t="s">
        <v>1032</v>
      </c>
      <c r="D112" s="133">
        <v>119</v>
      </c>
      <c r="F112" s="24">
        <f t="shared" si="4"/>
        <v>23.5977</v>
      </c>
      <c r="G112" s="105">
        <f t="shared" si="5"/>
        <v>13.078099999999999</v>
      </c>
      <c r="H112" s="24">
        <f t="shared" si="6"/>
        <v>24.311700000000002</v>
      </c>
      <c r="I112" s="105">
        <f t="shared" si="7"/>
        <v>13.7921</v>
      </c>
      <c r="J112" s="310"/>
      <c r="K112" s="310"/>
      <c r="L112" s="310"/>
      <c r="M112" s="310"/>
      <c r="N112" s="310"/>
    </row>
    <row r="113" spans="1:14" x14ac:dyDescent="0.25">
      <c r="A113" s="282" t="s">
        <v>1033</v>
      </c>
      <c r="B113" s="282" t="s">
        <v>1034</v>
      </c>
      <c r="C113" s="49" t="s">
        <v>1035</v>
      </c>
      <c r="D113" s="133">
        <v>107</v>
      </c>
      <c r="F113" s="24">
        <f t="shared" si="4"/>
        <v>21.2181</v>
      </c>
      <c r="G113" s="105">
        <f t="shared" si="5"/>
        <v>11.7593</v>
      </c>
      <c r="H113" s="24">
        <f t="shared" si="6"/>
        <v>21.860100000000003</v>
      </c>
      <c r="I113" s="105">
        <f t="shared" si="7"/>
        <v>12.401300000000001</v>
      </c>
      <c r="J113" s="310"/>
      <c r="K113" s="310"/>
      <c r="L113" s="310"/>
      <c r="M113" s="310"/>
      <c r="N113" s="310"/>
    </row>
    <row r="114" spans="1:14" x14ac:dyDescent="0.25">
      <c r="A114" s="282"/>
      <c r="B114" s="282"/>
      <c r="C114" s="49"/>
      <c r="D114" s="56"/>
      <c r="F114" s="24"/>
      <c r="G114" s="105"/>
      <c r="H114" s="24"/>
      <c r="I114" s="105"/>
      <c r="J114" s="310"/>
      <c r="K114" s="310"/>
      <c r="L114" s="310"/>
      <c r="M114" s="310"/>
      <c r="N114" s="310"/>
    </row>
    <row r="115" spans="1:14" x14ac:dyDescent="0.25">
      <c r="A115" s="21" t="s">
        <v>1036</v>
      </c>
      <c r="B115" s="50"/>
      <c r="C115" s="50"/>
      <c r="D115" s="147"/>
      <c r="F115" s="147"/>
      <c r="G115" s="147"/>
      <c r="H115" s="147"/>
      <c r="I115" s="147"/>
      <c r="J115" s="310"/>
      <c r="K115" s="310"/>
      <c r="L115" s="310"/>
      <c r="M115" s="310"/>
      <c r="N115" s="310"/>
    </row>
    <row r="116" spans="1:14" x14ac:dyDescent="0.25">
      <c r="A116" s="89" t="s">
        <v>1587</v>
      </c>
      <c r="B116" s="282" t="s">
        <v>1037</v>
      </c>
      <c r="C116" s="49" t="s">
        <v>1038</v>
      </c>
      <c r="D116" s="133">
        <v>19</v>
      </c>
      <c r="F116" s="24">
        <f t="shared" si="4"/>
        <v>3.7677</v>
      </c>
      <c r="G116" s="105">
        <f t="shared" si="5"/>
        <v>2.0880999999999998</v>
      </c>
      <c r="H116" s="24">
        <f t="shared" si="6"/>
        <v>3.8817000000000004</v>
      </c>
      <c r="I116" s="105">
        <f t="shared" si="7"/>
        <v>2.2021000000000002</v>
      </c>
      <c r="J116" s="310"/>
      <c r="K116" s="310"/>
      <c r="L116" s="310"/>
      <c r="M116" s="310"/>
      <c r="N116" s="310"/>
    </row>
    <row r="117" spans="1:14" x14ac:dyDescent="0.25">
      <c r="A117" s="259" t="s">
        <v>1588</v>
      </c>
      <c r="B117" s="109" t="s">
        <v>1039</v>
      </c>
      <c r="C117" s="123" t="s">
        <v>1040</v>
      </c>
      <c r="D117" s="133">
        <v>18</v>
      </c>
      <c r="F117" s="24">
        <f t="shared" si="4"/>
        <v>3.5693999999999999</v>
      </c>
      <c r="G117" s="105">
        <f t="shared" si="5"/>
        <v>1.9782</v>
      </c>
      <c r="H117" s="24">
        <f t="shared" si="6"/>
        <v>3.6774</v>
      </c>
      <c r="I117" s="105">
        <f t="shared" si="7"/>
        <v>2.0861999999999998</v>
      </c>
      <c r="J117" s="310"/>
      <c r="K117" s="310"/>
      <c r="L117" s="310"/>
      <c r="M117" s="310"/>
      <c r="N117" s="310"/>
    </row>
    <row r="118" spans="1:14" x14ac:dyDescent="0.25">
      <c r="A118" s="259" t="s">
        <v>1589</v>
      </c>
      <c r="B118" s="109" t="s">
        <v>1041</v>
      </c>
      <c r="C118" s="123" t="s">
        <v>1042</v>
      </c>
      <c r="D118" s="133">
        <v>19</v>
      </c>
      <c r="F118" s="24">
        <f t="shared" si="4"/>
        <v>3.7677</v>
      </c>
      <c r="G118" s="105">
        <f t="shared" si="5"/>
        <v>2.0880999999999998</v>
      </c>
      <c r="H118" s="24">
        <f t="shared" si="6"/>
        <v>3.8817000000000004</v>
      </c>
      <c r="I118" s="105">
        <f t="shared" si="7"/>
        <v>2.2021000000000002</v>
      </c>
      <c r="J118" s="310"/>
      <c r="K118" s="310"/>
      <c r="L118" s="310"/>
      <c r="M118" s="310"/>
      <c r="N118" s="310"/>
    </row>
    <row r="119" spans="1:14" x14ac:dyDescent="0.25">
      <c r="A119" s="89" t="s">
        <v>1590</v>
      </c>
      <c r="B119" s="282" t="s">
        <v>1043</v>
      </c>
      <c r="C119" s="49" t="s">
        <v>1044</v>
      </c>
      <c r="D119" s="133">
        <v>19</v>
      </c>
      <c r="F119" s="24">
        <f t="shared" si="4"/>
        <v>3.7677</v>
      </c>
      <c r="G119" s="105">
        <f t="shared" si="5"/>
        <v>2.0880999999999998</v>
      </c>
      <c r="H119" s="24">
        <f t="shared" si="6"/>
        <v>3.8817000000000004</v>
      </c>
      <c r="I119" s="105">
        <f t="shared" si="7"/>
        <v>2.2021000000000002</v>
      </c>
      <c r="J119" s="310"/>
      <c r="K119" s="310"/>
      <c r="L119" s="310"/>
      <c r="M119" s="310"/>
      <c r="N119" s="310"/>
    </row>
    <row r="120" spans="1:14" x14ac:dyDescent="0.25">
      <c r="A120" s="89" t="s">
        <v>1591</v>
      </c>
      <c r="B120" s="282" t="s">
        <v>1045</v>
      </c>
      <c r="C120" s="35" t="s">
        <v>1046</v>
      </c>
      <c r="D120" s="133">
        <v>18</v>
      </c>
      <c r="F120" s="24">
        <f t="shared" si="4"/>
        <v>3.5693999999999999</v>
      </c>
      <c r="G120" s="105">
        <f t="shared" si="5"/>
        <v>1.9782</v>
      </c>
      <c r="H120" s="24">
        <f t="shared" si="6"/>
        <v>3.6774</v>
      </c>
      <c r="I120" s="105">
        <f t="shared" si="7"/>
        <v>2.0861999999999998</v>
      </c>
      <c r="J120" s="310"/>
      <c r="K120" s="310"/>
      <c r="L120" s="310"/>
      <c r="M120" s="310"/>
      <c r="N120" s="310"/>
    </row>
    <row r="121" spans="1:14" x14ac:dyDescent="0.25">
      <c r="A121" s="282" t="s">
        <v>1047</v>
      </c>
      <c r="B121" s="282" t="s">
        <v>1048</v>
      </c>
      <c r="C121" s="123" t="s">
        <v>1049</v>
      </c>
      <c r="D121" s="133">
        <v>149</v>
      </c>
      <c r="F121" s="24">
        <f t="shared" si="4"/>
        <v>29.546700000000001</v>
      </c>
      <c r="G121" s="105">
        <f t="shared" si="5"/>
        <v>16.3751</v>
      </c>
      <c r="H121" s="24">
        <f t="shared" si="6"/>
        <v>30.4407</v>
      </c>
      <c r="I121" s="105">
        <f t="shared" si="7"/>
        <v>17.269100000000002</v>
      </c>
      <c r="J121" s="310"/>
      <c r="K121" s="310"/>
      <c r="L121" s="310"/>
      <c r="M121" s="310"/>
      <c r="N121" s="310"/>
    </row>
    <row r="122" spans="1:14" x14ac:dyDescent="0.25">
      <c r="A122" s="282" t="s">
        <v>1050</v>
      </c>
      <c r="B122" s="282" t="s">
        <v>1051</v>
      </c>
      <c r="C122" s="49" t="s">
        <v>1052</v>
      </c>
      <c r="D122" s="133">
        <v>23</v>
      </c>
      <c r="F122" s="24">
        <f t="shared" si="4"/>
        <v>4.5609000000000002</v>
      </c>
      <c r="G122" s="105">
        <f t="shared" si="5"/>
        <v>2.5276999999999998</v>
      </c>
      <c r="H122" s="24">
        <f t="shared" si="6"/>
        <v>4.6989000000000001</v>
      </c>
      <c r="I122" s="105">
        <f t="shared" si="7"/>
        <v>2.6657000000000002</v>
      </c>
      <c r="J122" s="310"/>
      <c r="K122" s="310"/>
      <c r="L122" s="310"/>
      <c r="M122" s="310"/>
      <c r="N122" s="310"/>
    </row>
    <row r="123" spans="1:14" x14ac:dyDescent="0.25">
      <c r="A123" s="269"/>
      <c r="B123" s="281"/>
      <c r="C123" s="49"/>
      <c r="D123" s="56"/>
      <c r="F123" s="24"/>
      <c r="G123" s="105"/>
      <c r="H123" s="24"/>
      <c r="I123" s="105"/>
      <c r="J123" s="310"/>
      <c r="K123" s="310"/>
      <c r="L123" s="310"/>
      <c r="M123" s="310"/>
      <c r="N123" s="310"/>
    </row>
    <row r="124" spans="1:14" x14ac:dyDescent="0.25">
      <c r="A124" s="21" t="s">
        <v>1053</v>
      </c>
      <c r="B124" s="50"/>
      <c r="C124" s="50"/>
      <c r="D124" s="147"/>
      <c r="F124" s="147"/>
      <c r="G124" s="147"/>
      <c r="H124" s="147"/>
      <c r="I124" s="147"/>
      <c r="J124" s="310"/>
      <c r="K124" s="310"/>
      <c r="L124" s="310"/>
      <c r="M124" s="310"/>
      <c r="N124" s="310"/>
    </row>
    <row r="125" spans="1:14" x14ac:dyDescent="0.25">
      <c r="A125" s="269" t="s">
        <v>1054</v>
      </c>
      <c r="B125" s="281" t="s">
        <v>1055</v>
      </c>
      <c r="C125" s="49" t="s">
        <v>1056</v>
      </c>
      <c r="D125" s="133">
        <v>160</v>
      </c>
      <c r="F125" s="24">
        <f t="shared" si="4"/>
        <v>31.728000000000002</v>
      </c>
      <c r="G125" s="105">
        <f t="shared" si="5"/>
        <v>17.584</v>
      </c>
      <c r="H125" s="24">
        <f t="shared" si="6"/>
        <v>32.688000000000002</v>
      </c>
      <c r="I125" s="105">
        <f t="shared" si="7"/>
        <v>18.544</v>
      </c>
      <c r="J125" s="310"/>
      <c r="K125" s="310"/>
      <c r="L125" s="310"/>
      <c r="M125" s="310"/>
      <c r="N125" s="310"/>
    </row>
    <row r="126" spans="1:14" s="69" customFormat="1" x14ac:dyDescent="0.25">
      <c r="A126" s="269" t="s">
        <v>1057</v>
      </c>
      <c r="B126" s="281" t="s">
        <v>1058</v>
      </c>
      <c r="C126" s="49" t="s">
        <v>1059</v>
      </c>
      <c r="D126" s="133">
        <v>94</v>
      </c>
      <c r="F126" s="24">
        <f t="shared" si="4"/>
        <v>18.6402</v>
      </c>
      <c r="G126" s="105">
        <f t="shared" si="5"/>
        <v>10.3306</v>
      </c>
      <c r="H126" s="24">
        <f t="shared" si="6"/>
        <v>19.2042</v>
      </c>
      <c r="I126" s="105">
        <f t="shared" si="7"/>
        <v>10.894600000000001</v>
      </c>
    </row>
    <row r="127" spans="1:14" x14ac:dyDescent="0.25">
      <c r="A127" s="269" t="s">
        <v>1060</v>
      </c>
      <c r="B127" s="281" t="s">
        <v>1061</v>
      </c>
      <c r="C127" s="49" t="s">
        <v>1062</v>
      </c>
      <c r="D127" s="133">
        <v>153</v>
      </c>
      <c r="F127" s="24">
        <f t="shared" si="4"/>
        <v>30.3399</v>
      </c>
      <c r="G127" s="105">
        <f t="shared" si="5"/>
        <v>16.814699999999998</v>
      </c>
      <c r="H127" s="24">
        <f t="shared" si="6"/>
        <v>31.257900000000003</v>
      </c>
      <c r="I127" s="105">
        <f t="shared" si="7"/>
        <v>17.732700000000001</v>
      </c>
      <c r="J127" s="310"/>
      <c r="K127" s="310"/>
      <c r="L127" s="310"/>
      <c r="M127" s="310"/>
      <c r="N127" s="310"/>
    </row>
    <row r="128" spans="1:14" s="195" customFormat="1" x14ac:dyDescent="0.25">
      <c r="A128" s="269" t="s">
        <v>1063</v>
      </c>
      <c r="B128" s="281" t="s">
        <v>1064</v>
      </c>
      <c r="C128" s="49" t="s">
        <v>1065</v>
      </c>
      <c r="D128" s="172">
        <v>76</v>
      </c>
      <c r="E128" s="209"/>
      <c r="F128" s="24">
        <f t="shared" si="4"/>
        <v>15.0708</v>
      </c>
      <c r="G128" s="105">
        <f t="shared" si="5"/>
        <v>8.3523999999999994</v>
      </c>
      <c r="H128" s="24">
        <f t="shared" si="6"/>
        <v>15.526800000000001</v>
      </c>
      <c r="I128" s="105">
        <f t="shared" si="7"/>
        <v>8.8084000000000007</v>
      </c>
      <c r="J128" s="209"/>
      <c r="K128" s="209"/>
      <c r="L128" s="209"/>
      <c r="M128" s="209"/>
    </row>
    <row r="129" spans="1:14" x14ac:dyDescent="0.25">
      <c r="A129" s="38"/>
      <c r="B129" s="46"/>
      <c r="C129" s="93"/>
      <c r="D129" s="56"/>
      <c r="F129" s="24"/>
      <c r="G129" s="105"/>
      <c r="H129" s="24"/>
      <c r="I129" s="105"/>
      <c r="J129" s="310"/>
      <c r="K129" s="310"/>
      <c r="L129" s="310"/>
      <c r="M129" s="310"/>
      <c r="N129" s="310"/>
    </row>
    <row r="130" spans="1:14" x14ac:dyDescent="0.25">
      <c r="A130" s="21" t="s">
        <v>1066</v>
      </c>
      <c r="B130" s="50"/>
      <c r="C130" s="50"/>
      <c r="D130" s="147"/>
      <c r="F130" s="147"/>
      <c r="G130" s="147"/>
      <c r="H130" s="147"/>
      <c r="I130" s="147"/>
      <c r="J130" s="310"/>
      <c r="K130" s="310"/>
      <c r="L130" s="310"/>
      <c r="M130" s="310"/>
      <c r="N130" s="310"/>
    </row>
    <row r="131" spans="1:14" x14ac:dyDescent="0.25">
      <c r="A131" s="269" t="s">
        <v>1592</v>
      </c>
      <c r="B131" s="281" t="s">
        <v>1067</v>
      </c>
      <c r="C131" s="49" t="s">
        <v>1068</v>
      </c>
      <c r="D131" s="133">
        <v>12</v>
      </c>
      <c r="F131" s="24">
        <f t="shared" si="4"/>
        <v>2.3795999999999999</v>
      </c>
      <c r="G131" s="105">
        <f t="shared" si="5"/>
        <v>1.3188</v>
      </c>
      <c r="H131" s="24">
        <f t="shared" si="6"/>
        <v>2.4516</v>
      </c>
      <c r="I131" s="105">
        <f t="shared" si="7"/>
        <v>1.3908</v>
      </c>
      <c r="J131" s="310"/>
      <c r="K131" s="310"/>
      <c r="L131" s="310"/>
      <c r="M131" s="310"/>
      <c r="N131" s="310"/>
    </row>
    <row r="132" spans="1:14" x14ac:dyDescent="0.25">
      <c r="A132" s="269" t="s">
        <v>1593</v>
      </c>
      <c r="B132" s="281" t="s">
        <v>1069</v>
      </c>
      <c r="C132" s="49" t="s">
        <v>1070</v>
      </c>
      <c r="D132" s="133">
        <v>8</v>
      </c>
      <c r="F132" s="24">
        <f t="shared" si="4"/>
        <v>1.5864</v>
      </c>
      <c r="G132" s="105">
        <f t="shared" si="5"/>
        <v>0.87919999999999998</v>
      </c>
      <c r="H132" s="24">
        <f t="shared" si="6"/>
        <v>1.6344000000000001</v>
      </c>
      <c r="I132" s="105">
        <f t="shared" si="7"/>
        <v>0.92720000000000002</v>
      </c>
      <c r="J132" s="310"/>
      <c r="K132" s="310"/>
      <c r="L132" s="310"/>
      <c r="M132" s="310"/>
      <c r="N132" s="310"/>
    </row>
    <row r="133" spans="1:14" x14ac:dyDescent="0.25">
      <c r="A133" s="282" t="s">
        <v>1071</v>
      </c>
      <c r="B133" s="282" t="s">
        <v>1072</v>
      </c>
      <c r="C133" s="35" t="s">
        <v>1073</v>
      </c>
      <c r="D133" s="133">
        <v>16</v>
      </c>
      <c r="F133" s="24">
        <f t="shared" si="4"/>
        <v>3.1728000000000001</v>
      </c>
      <c r="G133" s="105">
        <f t="shared" si="5"/>
        <v>1.7584</v>
      </c>
      <c r="H133" s="24">
        <f t="shared" si="6"/>
        <v>3.2688000000000001</v>
      </c>
      <c r="I133" s="105">
        <f t="shared" si="7"/>
        <v>1.8544</v>
      </c>
      <c r="J133" s="310"/>
      <c r="K133" s="310"/>
      <c r="L133" s="310"/>
      <c r="M133" s="310"/>
      <c r="N133" s="310"/>
    </row>
    <row r="134" spans="1:14" x14ac:dyDescent="0.25">
      <c r="A134" s="282" t="s">
        <v>1074</v>
      </c>
      <c r="B134" s="282" t="s">
        <v>1075</v>
      </c>
      <c r="C134" s="35" t="s">
        <v>1076</v>
      </c>
      <c r="D134" s="133">
        <v>12</v>
      </c>
      <c r="F134" s="24">
        <f t="shared" si="4"/>
        <v>2.3795999999999999</v>
      </c>
      <c r="G134" s="105">
        <f t="shared" si="5"/>
        <v>1.3188</v>
      </c>
      <c r="H134" s="24">
        <f t="shared" si="6"/>
        <v>2.4516</v>
      </c>
      <c r="I134" s="105">
        <f t="shared" si="7"/>
        <v>1.3908</v>
      </c>
      <c r="J134" s="310"/>
      <c r="K134" s="310"/>
      <c r="L134" s="310"/>
      <c r="M134" s="310"/>
      <c r="N134" s="310"/>
    </row>
    <row r="135" spans="1:14" x14ac:dyDescent="0.25">
      <c r="A135" s="282" t="s">
        <v>1077</v>
      </c>
      <c r="B135" s="282" t="s">
        <v>1078</v>
      </c>
      <c r="C135" s="35" t="s">
        <v>1079</v>
      </c>
      <c r="D135" s="133">
        <v>8</v>
      </c>
      <c r="F135" s="24">
        <f t="shared" si="4"/>
        <v>1.5864</v>
      </c>
      <c r="G135" s="105">
        <f t="shared" si="5"/>
        <v>0.87919999999999998</v>
      </c>
      <c r="H135" s="24">
        <f t="shared" si="6"/>
        <v>1.6344000000000001</v>
      </c>
      <c r="I135" s="105">
        <f t="shared" si="7"/>
        <v>0.92720000000000002</v>
      </c>
      <c r="J135" s="310"/>
      <c r="K135" s="310"/>
      <c r="L135" s="310"/>
      <c r="M135" s="310"/>
      <c r="N135" s="310"/>
    </row>
    <row r="136" spans="1:14" x14ac:dyDescent="0.25">
      <c r="A136" s="269" t="s">
        <v>1080</v>
      </c>
      <c r="B136" s="281" t="s">
        <v>1081</v>
      </c>
      <c r="C136" s="101" t="s">
        <v>1082</v>
      </c>
      <c r="D136" s="133">
        <v>14</v>
      </c>
      <c r="F136" s="24">
        <f t="shared" si="4"/>
        <v>2.7762000000000002</v>
      </c>
      <c r="G136" s="105">
        <f t="shared" si="5"/>
        <v>1.5386</v>
      </c>
      <c r="H136" s="24">
        <f t="shared" si="6"/>
        <v>2.8602000000000003</v>
      </c>
      <c r="I136" s="105">
        <f t="shared" si="7"/>
        <v>1.6226</v>
      </c>
      <c r="J136" s="310"/>
      <c r="K136" s="310"/>
      <c r="L136" s="310"/>
      <c r="M136" s="310"/>
      <c r="N136" s="310"/>
    </row>
    <row r="137" spans="1:14" x14ac:dyDescent="0.25">
      <c r="A137" s="269" t="s">
        <v>1594</v>
      </c>
      <c r="B137" s="281" t="s">
        <v>1083</v>
      </c>
      <c r="C137" s="101" t="s">
        <v>1084</v>
      </c>
      <c r="D137" s="133">
        <v>13</v>
      </c>
      <c r="F137" s="24">
        <f t="shared" si="4"/>
        <v>2.5779000000000001</v>
      </c>
      <c r="G137" s="105">
        <f t="shared" si="5"/>
        <v>1.4287000000000001</v>
      </c>
      <c r="H137" s="24">
        <f t="shared" si="6"/>
        <v>2.6558999999999999</v>
      </c>
      <c r="I137" s="105">
        <f t="shared" si="7"/>
        <v>1.5066999999999999</v>
      </c>
      <c r="J137" s="310"/>
      <c r="K137" s="310"/>
      <c r="L137" s="310"/>
      <c r="M137" s="310"/>
      <c r="N137" s="310"/>
    </row>
    <row r="138" spans="1:14" x14ac:dyDescent="0.25">
      <c r="A138" s="269" t="s">
        <v>1085</v>
      </c>
      <c r="B138" s="281" t="s">
        <v>1086</v>
      </c>
      <c r="C138" s="101" t="s">
        <v>1087</v>
      </c>
      <c r="D138" s="133">
        <v>11</v>
      </c>
      <c r="F138" s="24">
        <f t="shared" si="4"/>
        <v>2.1813000000000002</v>
      </c>
      <c r="G138" s="105">
        <f t="shared" si="5"/>
        <v>1.2088999999999999</v>
      </c>
      <c r="H138" s="24">
        <f t="shared" si="6"/>
        <v>2.2473000000000001</v>
      </c>
      <c r="I138" s="105">
        <f t="shared" si="7"/>
        <v>1.2749000000000001</v>
      </c>
      <c r="J138" s="310"/>
      <c r="K138" s="310"/>
      <c r="L138" s="310"/>
      <c r="M138" s="310"/>
      <c r="N138" s="310"/>
    </row>
    <row r="139" spans="1:14" x14ac:dyDescent="0.25">
      <c r="A139" s="38" t="s">
        <v>1088</v>
      </c>
      <c r="B139" s="46" t="s">
        <v>1089</v>
      </c>
      <c r="C139" s="93" t="s">
        <v>1090</v>
      </c>
      <c r="D139" s="133">
        <v>35</v>
      </c>
      <c r="F139" s="24">
        <f t="shared" si="4"/>
        <v>6.9405000000000001</v>
      </c>
      <c r="G139" s="105">
        <f t="shared" si="5"/>
        <v>3.8464999999999998</v>
      </c>
      <c r="H139" s="24">
        <f t="shared" si="6"/>
        <v>7.1505000000000001</v>
      </c>
      <c r="I139" s="105">
        <f t="shared" si="7"/>
        <v>4.0564999999999998</v>
      </c>
      <c r="J139" s="310"/>
      <c r="K139" s="310"/>
      <c r="L139" s="310"/>
      <c r="M139" s="310"/>
      <c r="N139" s="310"/>
    </row>
    <row r="140" spans="1:14" x14ac:dyDescent="0.25">
      <c r="A140" s="269" t="s">
        <v>1091</v>
      </c>
      <c r="B140" s="281" t="s">
        <v>1092</v>
      </c>
      <c r="C140" s="101" t="s">
        <v>1093</v>
      </c>
      <c r="D140" s="133">
        <v>9</v>
      </c>
      <c r="F140" s="24">
        <f t="shared" si="4"/>
        <v>1.7847</v>
      </c>
      <c r="G140" s="105">
        <f t="shared" si="5"/>
        <v>0.98909999999999998</v>
      </c>
      <c r="H140" s="24">
        <f t="shared" si="6"/>
        <v>1.8387</v>
      </c>
      <c r="I140" s="105">
        <f t="shared" si="7"/>
        <v>1.0430999999999999</v>
      </c>
      <c r="J140" s="310"/>
      <c r="K140" s="310"/>
      <c r="L140" s="310"/>
      <c r="M140" s="310"/>
      <c r="N140" s="310"/>
    </row>
    <row r="141" spans="1:14" x14ac:dyDescent="0.25">
      <c r="A141" s="269" t="s">
        <v>1094</v>
      </c>
      <c r="B141" s="281" t="s">
        <v>1095</v>
      </c>
      <c r="C141" s="101" t="s">
        <v>1096</v>
      </c>
      <c r="D141" s="133">
        <v>8</v>
      </c>
      <c r="F141" s="24">
        <f t="shared" si="4"/>
        <v>1.5864</v>
      </c>
      <c r="G141" s="105">
        <f t="shared" si="5"/>
        <v>0.87919999999999998</v>
      </c>
      <c r="H141" s="24">
        <f t="shared" si="6"/>
        <v>1.6344000000000001</v>
      </c>
      <c r="I141" s="105">
        <f t="shared" si="7"/>
        <v>0.92720000000000002</v>
      </c>
      <c r="J141" s="310"/>
      <c r="K141" s="310"/>
      <c r="L141" s="310"/>
      <c r="M141" s="310"/>
      <c r="N141" s="310"/>
    </row>
    <row r="142" spans="1:14" x14ac:dyDescent="0.25">
      <c r="A142" s="269" t="s">
        <v>1097</v>
      </c>
      <c r="B142" s="281" t="s">
        <v>1098</v>
      </c>
      <c r="C142" s="101" t="s">
        <v>1099</v>
      </c>
      <c r="D142" s="133">
        <v>6</v>
      </c>
      <c r="F142" s="24">
        <f t="shared" ref="F142:F188" si="8">D142*$F$9</f>
        <v>1.1898</v>
      </c>
      <c r="G142" s="105">
        <f t="shared" ref="G142:G188" si="9">D142*$G$9</f>
        <v>0.65939999999999999</v>
      </c>
      <c r="H142" s="24">
        <f t="shared" ref="H142:H188" si="10">D142*$H$9</f>
        <v>1.2258</v>
      </c>
      <c r="I142" s="105">
        <f t="shared" ref="I142:I188" si="11">D142*$I$9</f>
        <v>0.69540000000000002</v>
      </c>
      <c r="J142" s="310"/>
      <c r="K142" s="310"/>
      <c r="L142" s="310"/>
      <c r="M142" s="310"/>
      <c r="N142" s="310"/>
    </row>
    <row r="143" spans="1:14" x14ac:dyDescent="0.25">
      <c r="A143" s="269" t="s">
        <v>1100</v>
      </c>
      <c r="B143" s="281" t="s">
        <v>1101</v>
      </c>
      <c r="C143" s="101" t="s">
        <v>1102</v>
      </c>
      <c r="D143" s="133">
        <v>6</v>
      </c>
      <c r="F143" s="24">
        <f t="shared" si="8"/>
        <v>1.1898</v>
      </c>
      <c r="G143" s="105">
        <f t="shared" si="9"/>
        <v>0.65939999999999999</v>
      </c>
      <c r="H143" s="24">
        <f t="shared" si="10"/>
        <v>1.2258</v>
      </c>
      <c r="I143" s="105">
        <f t="shared" si="11"/>
        <v>0.69540000000000002</v>
      </c>
      <c r="J143" s="310"/>
      <c r="K143" s="310"/>
      <c r="L143" s="310"/>
      <c r="M143" s="310"/>
      <c r="N143" s="310"/>
    </row>
    <row r="144" spans="1:14" x14ac:dyDescent="0.25">
      <c r="A144" s="269" t="s">
        <v>1103</v>
      </c>
      <c r="B144" s="281" t="s">
        <v>1104</v>
      </c>
      <c r="C144" s="101" t="s">
        <v>1105</v>
      </c>
      <c r="D144" s="133">
        <v>18</v>
      </c>
      <c r="F144" s="24">
        <f t="shared" si="8"/>
        <v>3.5693999999999999</v>
      </c>
      <c r="G144" s="105">
        <f t="shared" si="9"/>
        <v>1.9782</v>
      </c>
      <c r="H144" s="24">
        <f t="shared" si="10"/>
        <v>3.6774</v>
      </c>
      <c r="I144" s="105">
        <f t="shared" si="11"/>
        <v>2.0861999999999998</v>
      </c>
      <c r="J144" s="310"/>
      <c r="K144" s="310"/>
      <c r="L144" s="310"/>
      <c r="M144" s="310"/>
      <c r="N144" s="310"/>
    </row>
    <row r="145" spans="1:14" x14ac:dyDescent="0.25">
      <c r="A145" s="282" t="s">
        <v>1106</v>
      </c>
      <c r="B145" s="282" t="s">
        <v>1107</v>
      </c>
      <c r="C145" s="35" t="s">
        <v>1108</v>
      </c>
      <c r="D145" s="133">
        <v>14</v>
      </c>
      <c r="F145" s="24">
        <f t="shared" si="8"/>
        <v>2.7762000000000002</v>
      </c>
      <c r="G145" s="105">
        <f t="shared" si="9"/>
        <v>1.5386</v>
      </c>
      <c r="H145" s="24">
        <f t="shared" si="10"/>
        <v>2.8602000000000003</v>
      </c>
      <c r="I145" s="105">
        <f t="shared" si="11"/>
        <v>1.6226</v>
      </c>
      <c r="J145" s="310"/>
      <c r="K145" s="310"/>
      <c r="L145" s="310"/>
      <c r="M145" s="310"/>
      <c r="N145" s="310"/>
    </row>
    <row r="146" spans="1:14" x14ac:dyDescent="0.25">
      <c r="A146" s="282" t="s">
        <v>1109</v>
      </c>
      <c r="B146" s="282" t="s">
        <v>1110</v>
      </c>
      <c r="C146" s="35" t="s">
        <v>1111</v>
      </c>
      <c r="D146" s="133">
        <v>12</v>
      </c>
      <c r="F146" s="24">
        <f t="shared" si="8"/>
        <v>2.3795999999999999</v>
      </c>
      <c r="G146" s="105">
        <f t="shared" si="9"/>
        <v>1.3188</v>
      </c>
      <c r="H146" s="24">
        <f t="shared" si="10"/>
        <v>2.4516</v>
      </c>
      <c r="I146" s="105">
        <f t="shared" si="11"/>
        <v>1.3908</v>
      </c>
      <c r="J146" s="310"/>
      <c r="K146" s="310"/>
      <c r="L146" s="310"/>
      <c r="M146" s="310"/>
      <c r="N146" s="310"/>
    </row>
    <row r="147" spans="1:14" x14ac:dyDescent="0.25">
      <c r="A147" s="282"/>
      <c r="B147" s="282"/>
      <c r="C147" s="162"/>
      <c r="D147" s="56"/>
      <c r="F147" s="24"/>
      <c r="G147" s="105"/>
      <c r="H147" s="24"/>
      <c r="I147" s="105"/>
      <c r="J147" s="310"/>
      <c r="K147" s="310"/>
      <c r="L147" s="310"/>
      <c r="M147" s="310"/>
      <c r="N147" s="310"/>
    </row>
    <row r="148" spans="1:14" x14ac:dyDescent="0.25">
      <c r="A148" s="21" t="s">
        <v>1112</v>
      </c>
      <c r="B148" s="50"/>
      <c r="C148" s="50"/>
      <c r="D148" s="147"/>
      <c r="F148" s="147"/>
      <c r="G148" s="147"/>
      <c r="H148" s="147"/>
      <c r="I148" s="147"/>
      <c r="J148" s="310"/>
      <c r="K148" s="310"/>
      <c r="L148" s="310"/>
      <c r="M148" s="310"/>
      <c r="N148" s="310"/>
    </row>
    <row r="149" spans="1:14" x14ac:dyDescent="0.25">
      <c r="A149" s="156" t="s">
        <v>1595</v>
      </c>
      <c r="B149" s="298" t="s">
        <v>1113</v>
      </c>
      <c r="C149" s="123" t="s">
        <v>1114</v>
      </c>
      <c r="D149" s="133">
        <v>11</v>
      </c>
      <c r="F149" s="24">
        <f t="shared" si="8"/>
        <v>2.1813000000000002</v>
      </c>
      <c r="G149" s="105">
        <f t="shared" si="9"/>
        <v>1.2088999999999999</v>
      </c>
      <c r="H149" s="24">
        <f t="shared" si="10"/>
        <v>2.2473000000000001</v>
      </c>
      <c r="I149" s="105">
        <f t="shared" si="11"/>
        <v>1.2749000000000001</v>
      </c>
      <c r="J149" s="310"/>
      <c r="K149" s="310"/>
      <c r="L149" s="310"/>
      <c r="M149" s="310"/>
      <c r="N149" s="310"/>
    </row>
    <row r="150" spans="1:14" x14ac:dyDescent="0.25">
      <c r="A150" s="156" t="s">
        <v>1115</v>
      </c>
      <c r="B150" s="298" t="s">
        <v>1116</v>
      </c>
      <c r="C150" s="123" t="s">
        <v>1117</v>
      </c>
      <c r="D150" s="133">
        <v>9</v>
      </c>
      <c r="F150" s="24">
        <f t="shared" si="8"/>
        <v>1.7847</v>
      </c>
      <c r="G150" s="105">
        <f t="shared" si="9"/>
        <v>0.98909999999999998</v>
      </c>
      <c r="H150" s="24">
        <f t="shared" si="10"/>
        <v>1.8387</v>
      </c>
      <c r="I150" s="105">
        <f t="shared" si="11"/>
        <v>1.0430999999999999</v>
      </c>
      <c r="J150" s="310"/>
      <c r="K150" s="310"/>
      <c r="L150" s="310"/>
      <c r="M150" s="310"/>
      <c r="N150" s="310"/>
    </row>
    <row r="151" spans="1:14" x14ac:dyDescent="0.25">
      <c r="A151" s="269"/>
      <c r="B151" s="281"/>
      <c r="C151" s="49"/>
      <c r="D151" s="56"/>
      <c r="F151" s="24"/>
      <c r="G151" s="105"/>
      <c r="H151" s="24"/>
      <c r="I151" s="105"/>
      <c r="J151" s="310"/>
      <c r="K151" s="310"/>
      <c r="L151" s="310"/>
      <c r="M151" s="310"/>
      <c r="N151" s="310"/>
    </row>
    <row r="152" spans="1:14" x14ac:dyDescent="0.25">
      <c r="A152" s="21" t="s">
        <v>1118</v>
      </c>
      <c r="B152" s="50"/>
      <c r="C152" s="50"/>
      <c r="D152" s="147"/>
      <c r="F152" s="147"/>
      <c r="G152" s="147"/>
      <c r="H152" s="147"/>
      <c r="I152" s="147"/>
      <c r="J152" s="310"/>
      <c r="K152" s="310"/>
      <c r="L152" s="310"/>
      <c r="M152" s="310"/>
      <c r="N152" s="310"/>
    </row>
    <row r="153" spans="1:14" x14ac:dyDescent="0.25">
      <c r="A153" s="269" t="s">
        <v>1119</v>
      </c>
      <c r="B153" s="281" t="s">
        <v>1120</v>
      </c>
      <c r="C153" s="123" t="s">
        <v>1121</v>
      </c>
      <c r="D153" s="133">
        <v>16</v>
      </c>
      <c r="F153" s="24">
        <f t="shared" si="8"/>
        <v>3.1728000000000001</v>
      </c>
      <c r="G153" s="105">
        <f t="shared" si="9"/>
        <v>1.7584</v>
      </c>
      <c r="H153" s="24">
        <f t="shared" si="10"/>
        <v>3.2688000000000001</v>
      </c>
      <c r="I153" s="105">
        <f t="shared" si="11"/>
        <v>1.8544</v>
      </c>
      <c r="J153" s="310"/>
      <c r="K153" s="310"/>
      <c r="L153" s="310"/>
      <c r="M153" s="310"/>
      <c r="N153" s="310"/>
    </row>
    <row r="154" spans="1:14" s="195" customFormat="1" x14ac:dyDescent="0.25">
      <c r="A154" s="269" t="s">
        <v>1122</v>
      </c>
      <c r="B154" s="281" t="s">
        <v>1123</v>
      </c>
      <c r="C154" s="160" t="s">
        <v>1124</v>
      </c>
      <c r="D154" s="172">
        <v>25</v>
      </c>
      <c r="F154" s="24">
        <f t="shared" si="8"/>
        <v>4.9575000000000005</v>
      </c>
      <c r="G154" s="105">
        <f t="shared" si="9"/>
        <v>2.7475000000000001</v>
      </c>
      <c r="H154" s="24">
        <f t="shared" si="10"/>
        <v>5.1074999999999999</v>
      </c>
      <c r="I154" s="105">
        <f t="shared" si="11"/>
        <v>2.8975</v>
      </c>
      <c r="J154" s="209"/>
      <c r="K154" s="209"/>
      <c r="L154" s="209"/>
      <c r="M154" s="209"/>
      <c r="N154" s="209"/>
    </row>
    <row r="155" spans="1:14" x14ac:dyDescent="0.25">
      <c r="A155" s="269" t="s">
        <v>1125</v>
      </c>
      <c r="B155" s="281" t="s">
        <v>1126</v>
      </c>
      <c r="C155" s="160" t="s">
        <v>1127</v>
      </c>
      <c r="D155" s="133">
        <v>12</v>
      </c>
      <c r="F155" s="24">
        <f t="shared" si="8"/>
        <v>2.3795999999999999</v>
      </c>
      <c r="G155" s="105">
        <f t="shared" si="9"/>
        <v>1.3188</v>
      </c>
      <c r="H155" s="24">
        <f t="shared" si="10"/>
        <v>2.4516</v>
      </c>
      <c r="I155" s="105">
        <f t="shared" si="11"/>
        <v>1.3908</v>
      </c>
      <c r="J155" s="310"/>
      <c r="K155" s="310"/>
      <c r="L155" s="310"/>
      <c r="M155" s="310"/>
      <c r="N155" s="310"/>
    </row>
    <row r="156" spans="1:14" s="195" customFormat="1" x14ac:dyDescent="0.25">
      <c r="A156" s="269" t="s">
        <v>1128</v>
      </c>
      <c r="B156" s="281" t="s">
        <v>1129</v>
      </c>
      <c r="C156" s="160" t="s">
        <v>1130</v>
      </c>
      <c r="D156" s="172">
        <v>27</v>
      </c>
      <c r="F156" s="24">
        <f t="shared" si="8"/>
        <v>5.3540999999999999</v>
      </c>
      <c r="G156" s="105">
        <f t="shared" si="9"/>
        <v>2.9672999999999998</v>
      </c>
      <c r="H156" s="24">
        <f t="shared" si="10"/>
        <v>5.5161000000000007</v>
      </c>
      <c r="I156" s="105">
        <f t="shared" si="11"/>
        <v>3.1293000000000002</v>
      </c>
      <c r="J156" s="209"/>
      <c r="K156" s="209"/>
      <c r="L156" s="209"/>
      <c r="M156" s="209"/>
      <c r="N156" s="209"/>
    </row>
    <row r="157" spans="1:14" x14ac:dyDescent="0.25">
      <c r="A157" s="269" t="s">
        <v>1131</v>
      </c>
      <c r="B157" s="281" t="s">
        <v>1123</v>
      </c>
      <c r="C157" s="123" t="s">
        <v>1132</v>
      </c>
      <c r="D157" s="133">
        <v>12</v>
      </c>
      <c r="F157" s="24">
        <f t="shared" si="8"/>
        <v>2.3795999999999999</v>
      </c>
      <c r="G157" s="105">
        <f t="shared" si="9"/>
        <v>1.3188</v>
      </c>
      <c r="H157" s="24">
        <f t="shared" si="10"/>
        <v>2.4516</v>
      </c>
      <c r="I157" s="105">
        <f t="shared" si="11"/>
        <v>1.3908</v>
      </c>
      <c r="J157" s="310"/>
      <c r="K157" s="310"/>
      <c r="L157" s="310"/>
      <c r="M157" s="310"/>
      <c r="N157" s="310"/>
    </row>
    <row r="158" spans="1:14" x14ac:dyDescent="0.25">
      <c r="A158" s="269"/>
      <c r="B158" s="281"/>
      <c r="C158" s="49"/>
      <c r="D158" s="56"/>
      <c r="F158" s="24"/>
      <c r="G158" s="105"/>
      <c r="H158" s="24"/>
      <c r="I158" s="105"/>
      <c r="J158" s="310"/>
      <c r="K158" s="310"/>
      <c r="L158" s="310"/>
      <c r="M158" s="310"/>
      <c r="N158" s="310"/>
    </row>
    <row r="159" spans="1:14" x14ac:dyDescent="0.25">
      <c r="A159" s="21" t="s">
        <v>1133</v>
      </c>
      <c r="B159" s="50"/>
      <c r="C159" s="50"/>
      <c r="D159" s="147"/>
      <c r="E159" s="310"/>
      <c r="F159" s="147"/>
      <c r="G159" s="147"/>
      <c r="H159" s="147"/>
      <c r="I159" s="147"/>
      <c r="J159" s="310"/>
      <c r="K159" s="310"/>
      <c r="L159" s="310"/>
      <c r="M159" s="310"/>
    </row>
    <row r="160" spans="1:14" x14ac:dyDescent="0.25">
      <c r="A160" s="156" t="s">
        <v>1134</v>
      </c>
      <c r="B160" s="298" t="s">
        <v>1135</v>
      </c>
      <c r="C160" s="123" t="s">
        <v>1136</v>
      </c>
      <c r="D160" s="133">
        <v>8</v>
      </c>
      <c r="E160" s="310"/>
      <c r="F160" s="24">
        <f t="shared" si="8"/>
        <v>1.5864</v>
      </c>
      <c r="G160" s="105">
        <f t="shared" si="9"/>
        <v>0.87919999999999998</v>
      </c>
      <c r="H160" s="24">
        <f t="shared" si="10"/>
        <v>1.6344000000000001</v>
      </c>
      <c r="I160" s="105">
        <f t="shared" si="11"/>
        <v>0.92720000000000002</v>
      </c>
      <c r="J160" s="310"/>
      <c r="K160" s="310"/>
      <c r="L160" s="310"/>
      <c r="M160" s="310"/>
    </row>
    <row r="161" spans="1:14" x14ac:dyDescent="0.25">
      <c r="A161" s="156" t="s">
        <v>1137</v>
      </c>
      <c r="B161" s="298" t="s">
        <v>1138</v>
      </c>
      <c r="C161" s="123" t="s">
        <v>1139</v>
      </c>
      <c r="D161" s="133">
        <v>171</v>
      </c>
      <c r="E161" s="310"/>
      <c r="F161" s="24">
        <f t="shared" si="8"/>
        <v>33.909300000000002</v>
      </c>
      <c r="G161" s="105">
        <f t="shared" si="9"/>
        <v>18.792899999999999</v>
      </c>
      <c r="H161" s="24">
        <f t="shared" si="10"/>
        <v>34.935300000000005</v>
      </c>
      <c r="I161" s="105">
        <f t="shared" si="11"/>
        <v>19.818899999999999</v>
      </c>
      <c r="J161" s="310"/>
      <c r="K161" s="310"/>
      <c r="L161" s="310"/>
      <c r="M161" s="310"/>
    </row>
    <row r="162" spans="1:14" x14ac:dyDescent="0.25">
      <c r="A162" s="156" t="s">
        <v>1140</v>
      </c>
      <c r="B162" s="298" t="s">
        <v>1141</v>
      </c>
      <c r="C162" s="123" t="s">
        <v>1142</v>
      </c>
      <c r="D162" s="133">
        <v>9</v>
      </c>
      <c r="E162" s="279"/>
      <c r="F162" s="24">
        <f t="shared" si="8"/>
        <v>1.7847</v>
      </c>
      <c r="G162" s="105">
        <f t="shared" si="9"/>
        <v>0.98909999999999998</v>
      </c>
      <c r="H162" s="24">
        <f t="shared" si="10"/>
        <v>1.8387</v>
      </c>
      <c r="I162" s="105">
        <f t="shared" si="11"/>
        <v>1.0430999999999999</v>
      </c>
      <c r="J162" s="260"/>
      <c r="K162" s="285"/>
    </row>
    <row r="163" spans="1:14" x14ac:dyDescent="0.25">
      <c r="A163" s="156" t="s">
        <v>1143</v>
      </c>
      <c r="B163" s="298" t="s">
        <v>1141</v>
      </c>
      <c r="C163" s="123" t="s">
        <v>1144</v>
      </c>
      <c r="D163" s="133">
        <v>151</v>
      </c>
      <c r="F163" s="24">
        <f t="shared" si="8"/>
        <v>29.943300000000001</v>
      </c>
      <c r="G163" s="105">
        <f t="shared" si="9"/>
        <v>16.594899999999999</v>
      </c>
      <c r="H163" s="24">
        <f t="shared" si="10"/>
        <v>30.849300000000003</v>
      </c>
      <c r="I163" s="105">
        <f t="shared" si="11"/>
        <v>17.500900000000001</v>
      </c>
      <c r="J163" s="116"/>
      <c r="K163" s="116"/>
      <c r="L163" s="32"/>
    </row>
    <row r="164" spans="1:14" x14ac:dyDescent="0.25">
      <c r="A164" s="156" t="s">
        <v>1145</v>
      </c>
      <c r="B164" s="298" t="s">
        <v>1146</v>
      </c>
      <c r="C164" s="123" t="s">
        <v>1147</v>
      </c>
      <c r="D164" s="133">
        <v>35</v>
      </c>
      <c r="F164" s="24">
        <f t="shared" si="8"/>
        <v>6.9405000000000001</v>
      </c>
      <c r="G164" s="105">
        <f t="shared" si="9"/>
        <v>3.8464999999999998</v>
      </c>
      <c r="H164" s="24">
        <f t="shared" si="10"/>
        <v>7.1505000000000001</v>
      </c>
      <c r="I164" s="105">
        <f t="shared" si="11"/>
        <v>4.0564999999999998</v>
      </c>
      <c r="J164" s="310"/>
      <c r="K164" s="310"/>
      <c r="L164" s="310"/>
    </row>
    <row r="165" spans="1:14" x14ac:dyDescent="0.25">
      <c r="A165" s="269" t="s">
        <v>1148</v>
      </c>
      <c r="B165" s="281" t="s">
        <v>1149</v>
      </c>
      <c r="C165" s="123" t="s">
        <v>1150</v>
      </c>
      <c r="D165" s="133">
        <v>12</v>
      </c>
      <c r="F165" s="24">
        <f t="shared" si="8"/>
        <v>2.3795999999999999</v>
      </c>
      <c r="G165" s="105">
        <f t="shared" si="9"/>
        <v>1.3188</v>
      </c>
      <c r="H165" s="24">
        <f t="shared" si="10"/>
        <v>2.4516</v>
      </c>
      <c r="I165" s="105">
        <f t="shared" si="11"/>
        <v>1.3908</v>
      </c>
      <c r="J165" s="310"/>
      <c r="K165" s="310"/>
      <c r="L165" s="310"/>
    </row>
    <row r="166" spans="1:14" x14ac:dyDescent="0.25">
      <c r="A166" s="269" t="s">
        <v>1151</v>
      </c>
      <c r="B166" s="281" t="s">
        <v>1152</v>
      </c>
      <c r="C166" s="123" t="s">
        <v>1153</v>
      </c>
      <c r="D166" s="133">
        <v>15</v>
      </c>
      <c r="F166" s="24">
        <f t="shared" si="8"/>
        <v>2.9744999999999999</v>
      </c>
      <c r="G166" s="105">
        <f t="shared" si="9"/>
        <v>1.6484999999999999</v>
      </c>
      <c r="H166" s="24">
        <f t="shared" si="10"/>
        <v>3.0645000000000002</v>
      </c>
      <c r="I166" s="105">
        <f t="shared" si="11"/>
        <v>1.7385000000000002</v>
      </c>
      <c r="J166" s="310"/>
      <c r="K166" s="310"/>
      <c r="L166" s="310"/>
    </row>
    <row r="167" spans="1:14" x14ac:dyDescent="0.25">
      <c r="A167" s="269" t="s">
        <v>1154</v>
      </c>
      <c r="B167" s="281" t="s">
        <v>1155</v>
      </c>
      <c r="C167" s="123" t="s">
        <v>1156</v>
      </c>
      <c r="D167" s="133">
        <v>6</v>
      </c>
      <c r="F167" s="24">
        <f t="shared" si="8"/>
        <v>1.1898</v>
      </c>
      <c r="G167" s="105">
        <f t="shared" si="9"/>
        <v>0.65939999999999999</v>
      </c>
      <c r="H167" s="24">
        <f t="shared" si="10"/>
        <v>1.2258</v>
      </c>
      <c r="I167" s="105">
        <f t="shared" si="11"/>
        <v>0.69540000000000002</v>
      </c>
      <c r="J167" s="310"/>
      <c r="K167" s="310"/>
      <c r="L167" s="310"/>
    </row>
    <row r="168" spans="1:14" x14ac:dyDescent="0.25">
      <c r="A168" s="269" t="s">
        <v>1157</v>
      </c>
      <c r="B168" s="281" t="s">
        <v>1158</v>
      </c>
      <c r="C168" s="123" t="s">
        <v>1159</v>
      </c>
      <c r="D168" s="133">
        <v>9</v>
      </c>
      <c r="F168" s="24">
        <f t="shared" si="8"/>
        <v>1.7847</v>
      </c>
      <c r="G168" s="105">
        <f t="shared" si="9"/>
        <v>0.98909999999999998</v>
      </c>
      <c r="H168" s="24">
        <f t="shared" si="10"/>
        <v>1.8387</v>
      </c>
      <c r="I168" s="105">
        <f t="shared" si="11"/>
        <v>1.0430999999999999</v>
      </c>
      <c r="J168" s="310"/>
      <c r="K168" s="310"/>
      <c r="L168" s="310"/>
      <c r="M168" s="310"/>
      <c r="N168" s="310"/>
    </row>
    <row r="169" spans="1:14" x14ac:dyDescent="0.25">
      <c r="A169" s="269" t="s">
        <v>1160</v>
      </c>
      <c r="B169" s="281" t="s">
        <v>1161</v>
      </c>
      <c r="C169" s="43" t="s">
        <v>1162</v>
      </c>
      <c r="D169" s="133">
        <v>13</v>
      </c>
      <c r="F169" s="24">
        <f t="shared" si="8"/>
        <v>2.5779000000000001</v>
      </c>
      <c r="G169" s="105">
        <f t="shared" si="9"/>
        <v>1.4287000000000001</v>
      </c>
      <c r="H169" s="24">
        <f t="shared" si="10"/>
        <v>2.6558999999999999</v>
      </c>
      <c r="I169" s="105">
        <f t="shared" si="11"/>
        <v>1.5066999999999999</v>
      </c>
      <c r="J169" s="310"/>
      <c r="K169" s="310"/>
      <c r="L169" s="310"/>
      <c r="M169" s="310"/>
      <c r="N169" s="310"/>
    </row>
    <row r="170" spans="1:14" x14ac:dyDescent="0.25">
      <c r="A170" s="269" t="s">
        <v>1163</v>
      </c>
      <c r="B170" s="281" t="s">
        <v>1164</v>
      </c>
      <c r="C170" s="123" t="s">
        <v>1165</v>
      </c>
      <c r="D170" s="133">
        <v>30</v>
      </c>
      <c r="F170" s="24">
        <f t="shared" si="8"/>
        <v>5.9489999999999998</v>
      </c>
      <c r="G170" s="105">
        <f t="shared" si="9"/>
        <v>3.2969999999999997</v>
      </c>
      <c r="H170" s="24">
        <f t="shared" si="10"/>
        <v>6.1290000000000004</v>
      </c>
      <c r="I170" s="105">
        <f t="shared" si="11"/>
        <v>3.4770000000000003</v>
      </c>
      <c r="J170" s="310"/>
      <c r="K170" s="310"/>
      <c r="L170" s="310"/>
      <c r="M170" s="310"/>
      <c r="N170" s="310"/>
    </row>
    <row r="171" spans="1:14" x14ac:dyDescent="0.25">
      <c r="A171" s="156" t="s">
        <v>1166</v>
      </c>
      <c r="B171" s="298" t="s">
        <v>1167</v>
      </c>
      <c r="C171" s="123" t="s">
        <v>1168</v>
      </c>
      <c r="D171" s="133">
        <v>37</v>
      </c>
      <c r="F171" s="24">
        <f t="shared" si="8"/>
        <v>7.3371000000000004</v>
      </c>
      <c r="G171" s="105">
        <f t="shared" si="9"/>
        <v>4.0663</v>
      </c>
      <c r="H171" s="24">
        <f t="shared" si="10"/>
        <v>7.5590999999999999</v>
      </c>
      <c r="I171" s="105">
        <f t="shared" si="11"/>
        <v>4.2883000000000004</v>
      </c>
      <c r="J171" s="310"/>
      <c r="K171" s="310"/>
      <c r="L171" s="310"/>
      <c r="M171" s="310"/>
      <c r="N171" s="310"/>
    </row>
    <row r="172" spans="1:14" x14ac:dyDescent="0.25">
      <c r="A172" s="269" t="s">
        <v>1169</v>
      </c>
      <c r="B172" s="281" t="s">
        <v>1170</v>
      </c>
      <c r="C172" s="123" t="s">
        <v>1171</v>
      </c>
      <c r="D172" s="133">
        <v>191</v>
      </c>
      <c r="F172" s="24">
        <f t="shared" si="8"/>
        <v>37.875300000000003</v>
      </c>
      <c r="G172" s="105">
        <f t="shared" si="9"/>
        <v>20.9909</v>
      </c>
      <c r="H172" s="24">
        <f t="shared" si="10"/>
        <v>39.021300000000004</v>
      </c>
      <c r="I172" s="105">
        <f t="shared" si="11"/>
        <v>22.136900000000001</v>
      </c>
      <c r="J172" s="310"/>
      <c r="K172" s="310"/>
      <c r="L172" s="310"/>
      <c r="M172" s="310"/>
      <c r="N172" s="310"/>
    </row>
    <row r="173" spans="1:14" x14ac:dyDescent="0.25">
      <c r="A173" s="269" t="s">
        <v>1172</v>
      </c>
      <c r="B173" s="281" t="s">
        <v>1173</v>
      </c>
      <c r="C173" s="123" t="s">
        <v>1174</v>
      </c>
      <c r="D173" s="133">
        <v>141</v>
      </c>
      <c r="F173" s="24">
        <f t="shared" si="8"/>
        <v>27.9603</v>
      </c>
      <c r="G173" s="105">
        <f t="shared" si="9"/>
        <v>15.495899999999999</v>
      </c>
      <c r="H173" s="24">
        <f t="shared" si="10"/>
        <v>28.8063</v>
      </c>
      <c r="I173" s="105">
        <f t="shared" si="11"/>
        <v>16.341899999999999</v>
      </c>
      <c r="J173" s="310"/>
      <c r="K173" s="310"/>
      <c r="L173" s="310"/>
      <c r="M173" s="310"/>
      <c r="N173" s="310"/>
    </row>
    <row r="174" spans="1:14" ht="14.25" customHeight="1" x14ac:dyDescent="0.25">
      <c r="A174" s="269" t="s">
        <v>1175</v>
      </c>
      <c r="B174" s="269" t="s">
        <v>1176</v>
      </c>
      <c r="C174" s="123" t="s">
        <v>1177</v>
      </c>
      <c r="D174" s="133">
        <v>6</v>
      </c>
      <c r="F174" s="24">
        <f t="shared" si="8"/>
        <v>1.1898</v>
      </c>
      <c r="G174" s="105">
        <f t="shared" si="9"/>
        <v>0.65939999999999999</v>
      </c>
      <c r="H174" s="24">
        <f t="shared" si="10"/>
        <v>1.2258</v>
      </c>
      <c r="I174" s="105">
        <f t="shared" si="11"/>
        <v>0.69540000000000002</v>
      </c>
      <c r="J174" s="310"/>
      <c r="K174" s="310"/>
      <c r="L174" s="310"/>
      <c r="M174" s="310"/>
      <c r="N174" s="310"/>
    </row>
    <row r="175" spans="1:14" x14ac:dyDescent="0.25">
      <c r="A175" s="269" t="s">
        <v>1178</v>
      </c>
      <c r="B175" s="269" t="s">
        <v>1179</v>
      </c>
      <c r="C175" s="123" t="s">
        <v>1180</v>
      </c>
      <c r="D175" s="133">
        <v>6</v>
      </c>
      <c r="F175" s="24">
        <f t="shared" si="8"/>
        <v>1.1898</v>
      </c>
      <c r="G175" s="105">
        <f t="shared" si="9"/>
        <v>0.65939999999999999</v>
      </c>
      <c r="H175" s="24">
        <f t="shared" si="10"/>
        <v>1.2258</v>
      </c>
      <c r="I175" s="105">
        <f t="shared" si="11"/>
        <v>0.69540000000000002</v>
      </c>
      <c r="J175" s="310"/>
      <c r="K175" s="310"/>
      <c r="L175" s="310"/>
      <c r="M175" s="310"/>
      <c r="N175" s="310"/>
    </row>
    <row r="176" spans="1:14" x14ac:dyDescent="0.25">
      <c r="A176" s="269" t="s">
        <v>1181</v>
      </c>
      <c r="B176" s="269" t="s">
        <v>1182</v>
      </c>
      <c r="C176" s="123" t="s">
        <v>1183</v>
      </c>
      <c r="D176" s="133">
        <v>8</v>
      </c>
      <c r="F176" s="24">
        <f t="shared" si="8"/>
        <v>1.5864</v>
      </c>
      <c r="G176" s="105">
        <f t="shared" si="9"/>
        <v>0.87919999999999998</v>
      </c>
      <c r="H176" s="24">
        <f t="shared" si="10"/>
        <v>1.6344000000000001</v>
      </c>
      <c r="I176" s="105">
        <f t="shared" si="11"/>
        <v>0.92720000000000002</v>
      </c>
      <c r="J176" s="310"/>
      <c r="K176" s="310"/>
      <c r="L176" s="310"/>
      <c r="M176" s="310"/>
      <c r="N176" s="310"/>
    </row>
    <row r="177" spans="1:14" x14ac:dyDescent="0.25">
      <c r="A177" s="269" t="s">
        <v>1184</v>
      </c>
      <c r="B177" s="269" t="s">
        <v>1185</v>
      </c>
      <c r="C177" s="123" t="s">
        <v>1186</v>
      </c>
      <c r="D177" s="133">
        <v>8</v>
      </c>
      <c r="F177" s="24">
        <f t="shared" si="8"/>
        <v>1.5864</v>
      </c>
      <c r="G177" s="105">
        <f t="shared" si="9"/>
        <v>0.87919999999999998</v>
      </c>
      <c r="H177" s="24">
        <f t="shared" si="10"/>
        <v>1.6344000000000001</v>
      </c>
      <c r="I177" s="105">
        <f t="shared" si="11"/>
        <v>0.92720000000000002</v>
      </c>
      <c r="J177" s="310"/>
      <c r="K177" s="310"/>
      <c r="L177" s="310"/>
      <c r="M177" s="310"/>
      <c r="N177" s="310"/>
    </row>
    <row r="178" spans="1:14" x14ac:dyDescent="0.25">
      <c r="A178" s="269" t="s">
        <v>1187</v>
      </c>
      <c r="B178" s="269" t="s">
        <v>1188</v>
      </c>
      <c r="C178" s="123" t="s">
        <v>1189</v>
      </c>
      <c r="D178" s="133">
        <v>9</v>
      </c>
      <c r="F178" s="24">
        <f t="shared" si="8"/>
        <v>1.7847</v>
      </c>
      <c r="G178" s="105">
        <f t="shared" si="9"/>
        <v>0.98909999999999998</v>
      </c>
      <c r="H178" s="24">
        <f t="shared" si="10"/>
        <v>1.8387</v>
      </c>
      <c r="I178" s="105">
        <f t="shared" si="11"/>
        <v>1.0430999999999999</v>
      </c>
      <c r="J178" s="310"/>
      <c r="K178" s="310"/>
      <c r="L178" s="310"/>
      <c r="M178" s="310"/>
      <c r="N178" s="310"/>
    </row>
    <row r="179" spans="1:14" x14ac:dyDescent="0.25">
      <c r="A179" s="269" t="s">
        <v>1190</v>
      </c>
      <c r="B179" s="269" t="s">
        <v>1191</v>
      </c>
      <c r="C179" s="123" t="s">
        <v>1192</v>
      </c>
      <c r="D179" s="133">
        <v>9</v>
      </c>
      <c r="F179" s="24">
        <f t="shared" si="8"/>
        <v>1.7847</v>
      </c>
      <c r="G179" s="105">
        <f t="shared" si="9"/>
        <v>0.98909999999999998</v>
      </c>
      <c r="H179" s="24">
        <f t="shared" si="10"/>
        <v>1.8387</v>
      </c>
      <c r="I179" s="105">
        <f t="shared" si="11"/>
        <v>1.0430999999999999</v>
      </c>
    </row>
    <row r="180" spans="1:14" x14ac:dyDescent="0.25">
      <c r="A180" s="269" t="s">
        <v>1193</v>
      </c>
      <c r="B180" s="269" t="s">
        <v>1194</v>
      </c>
      <c r="C180" s="123" t="s">
        <v>1195</v>
      </c>
      <c r="D180" s="133">
        <v>16</v>
      </c>
      <c r="F180" s="24">
        <f t="shared" si="8"/>
        <v>3.1728000000000001</v>
      </c>
      <c r="G180" s="105">
        <f t="shared" si="9"/>
        <v>1.7584</v>
      </c>
      <c r="H180" s="24">
        <f t="shared" si="10"/>
        <v>3.2688000000000001</v>
      </c>
      <c r="I180" s="105">
        <f t="shared" si="11"/>
        <v>1.8544</v>
      </c>
    </row>
    <row r="181" spans="1:14" x14ac:dyDescent="0.25">
      <c r="A181" s="269" t="s">
        <v>1196</v>
      </c>
      <c r="B181" s="269" t="s">
        <v>1197</v>
      </c>
      <c r="C181" s="123" t="s">
        <v>1198</v>
      </c>
      <c r="D181" s="133">
        <v>23</v>
      </c>
      <c r="F181" s="24">
        <f t="shared" si="8"/>
        <v>4.5609000000000002</v>
      </c>
      <c r="G181" s="105">
        <f t="shared" si="9"/>
        <v>2.5276999999999998</v>
      </c>
      <c r="H181" s="24">
        <f t="shared" si="10"/>
        <v>4.6989000000000001</v>
      </c>
      <c r="I181" s="105">
        <f t="shared" si="11"/>
        <v>2.6657000000000002</v>
      </c>
    </row>
    <row r="182" spans="1:14" x14ac:dyDescent="0.25">
      <c r="A182" s="269" t="s">
        <v>1199</v>
      </c>
      <c r="B182" s="269" t="s">
        <v>1200</v>
      </c>
      <c r="C182" s="123" t="s">
        <v>1201</v>
      </c>
      <c r="D182" s="133">
        <v>27</v>
      </c>
      <c r="F182" s="24">
        <f t="shared" si="8"/>
        <v>5.3540999999999999</v>
      </c>
      <c r="G182" s="105">
        <f t="shared" si="9"/>
        <v>2.9672999999999998</v>
      </c>
      <c r="H182" s="24">
        <f t="shared" si="10"/>
        <v>5.5161000000000007</v>
      </c>
      <c r="I182" s="105">
        <f t="shared" si="11"/>
        <v>3.1293000000000002</v>
      </c>
    </row>
    <row r="183" spans="1:14" x14ac:dyDescent="0.25">
      <c r="A183" s="269" t="s">
        <v>1202</v>
      </c>
      <c r="B183" s="269" t="s">
        <v>1203</v>
      </c>
      <c r="C183" s="123" t="s">
        <v>1204</v>
      </c>
      <c r="D183" s="133">
        <v>29</v>
      </c>
      <c r="F183" s="24">
        <f t="shared" si="8"/>
        <v>5.7507000000000001</v>
      </c>
      <c r="G183" s="105">
        <f t="shared" si="9"/>
        <v>3.1871</v>
      </c>
      <c r="H183" s="24">
        <f t="shared" si="10"/>
        <v>5.9247000000000005</v>
      </c>
      <c r="I183" s="105">
        <f t="shared" si="11"/>
        <v>3.3611</v>
      </c>
    </row>
    <row r="184" spans="1:14" x14ac:dyDescent="0.25">
      <c r="A184" s="269" t="s">
        <v>1205</v>
      </c>
      <c r="B184" s="269" t="s">
        <v>1206</v>
      </c>
      <c r="C184" s="123" t="s">
        <v>1207</v>
      </c>
      <c r="D184" s="133">
        <v>31</v>
      </c>
      <c r="F184" s="24">
        <f t="shared" si="8"/>
        <v>6.1473000000000004</v>
      </c>
      <c r="G184" s="105">
        <f t="shared" si="9"/>
        <v>3.4068999999999998</v>
      </c>
      <c r="H184" s="24">
        <f t="shared" si="10"/>
        <v>6.3333000000000004</v>
      </c>
      <c r="I184" s="105">
        <f t="shared" si="11"/>
        <v>3.5929000000000002</v>
      </c>
    </row>
    <row r="185" spans="1:14" x14ac:dyDescent="0.25">
      <c r="A185" s="269" t="s">
        <v>1208</v>
      </c>
      <c r="B185" s="269" t="s">
        <v>1209</v>
      </c>
      <c r="C185" s="123" t="s">
        <v>1210</v>
      </c>
      <c r="D185" s="133">
        <v>64</v>
      </c>
      <c r="F185" s="24">
        <f t="shared" si="8"/>
        <v>12.6912</v>
      </c>
      <c r="G185" s="105">
        <f t="shared" si="9"/>
        <v>7.0335999999999999</v>
      </c>
      <c r="H185" s="24">
        <f t="shared" si="10"/>
        <v>13.075200000000001</v>
      </c>
      <c r="I185" s="105">
        <f t="shared" si="11"/>
        <v>7.4176000000000002</v>
      </c>
    </row>
    <row r="186" spans="1:14" x14ac:dyDescent="0.25">
      <c r="A186" s="269"/>
      <c r="B186" s="281"/>
      <c r="C186" s="123"/>
      <c r="D186" s="56"/>
      <c r="F186" s="24"/>
      <c r="G186" s="105"/>
      <c r="H186" s="24"/>
      <c r="I186" s="105"/>
    </row>
    <row r="187" spans="1:14" x14ac:dyDescent="0.25">
      <c r="A187" s="21" t="s">
        <v>1211</v>
      </c>
      <c r="B187" s="50"/>
      <c r="C187" s="50"/>
      <c r="D187" s="147"/>
      <c r="F187" s="147"/>
      <c r="G187" s="147"/>
      <c r="H187" s="147"/>
      <c r="I187" s="147"/>
    </row>
    <row r="188" spans="1:14" x14ac:dyDescent="0.25">
      <c r="A188" s="269" t="s">
        <v>1212</v>
      </c>
      <c r="B188" s="269" t="s">
        <v>1213</v>
      </c>
      <c r="C188" s="49" t="s">
        <v>1214</v>
      </c>
      <c r="D188" s="133">
        <v>2471</v>
      </c>
      <c r="F188" s="105">
        <f t="shared" si="8"/>
        <v>489.99930000000001</v>
      </c>
      <c r="G188" s="105">
        <f t="shared" si="9"/>
        <v>271.56290000000001</v>
      </c>
      <c r="H188" s="105">
        <f t="shared" si="10"/>
        <v>504.82530000000003</v>
      </c>
      <c r="I188" s="105">
        <f t="shared" si="11"/>
        <v>286.38890000000004</v>
      </c>
    </row>
    <row r="189" spans="1:14" s="369" customFormat="1" x14ac:dyDescent="0.25">
      <c r="A189" s="365"/>
      <c r="B189" s="366"/>
      <c r="C189" s="367"/>
      <c r="D189" s="368"/>
      <c r="F189" s="370"/>
      <c r="G189" s="370"/>
      <c r="H189" s="339"/>
      <c r="I189" s="339"/>
      <c r="J189" s="339"/>
      <c r="K189" s="339"/>
      <c r="L189" s="339"/>
      <c r="M189" s="339"/>
      <c r="N189" s="339"/>
    </row>
    <row r="190" spans="1:14" s="369" customFormat="1" ht="27.6" x14ac:dyDescent="0.25">
      <c r="A190" s="365"/>
      <c r="B190" s="366"/>
      <c r="C190" s="367"/>
      <c r="D190" s="368"/>
      <c r="F190" s="59" t="s">
        <v>1422</v>
      </c>
      <c r="G190" s="59" t="s">
        <v>1422</v>
      </c>
      <c r="H190" s="339"/>
      <c r="I190" s="339"/>
      <c r="J190" s="339"/>
      <c r="K190" s="339"/>
      <c r="L190" s="339"/>
      <c r="M190" s="339"/>
      <c r="N190" s="339"/>
    </row>
    <row r="191" spans="1:14" s="369" customFormat="1" x14ac:dyDescent="0.25">
      <c r="A191" s="365"/>
      <c r="B191" s="366"/>
      <c r="C191" s="367"/>
      <c r="D191" s="368"/>
      <c r="F191" s="139">
        <v>0.25186999999999998</v>
      </c>
      <c r="G191" s="139">
        <v>0.12719</v>
      </c>
      <c r="H191" s="339"/>
      <c r="I191" s="339"/>
      <c r="J191" s="339"/>
      <c r="K191" s="339"/>
      <c r="L191" s="339"/>
      <c r="M191" s="339"/>
      <c r="N191" s="339"/>
    </row>
    <row r="192" spans="1:14" s="369" customFormat="1" x14ac:dyDescent="0.25">
      <c r="A192" s="365"/>
      <c r="B192" s="366"/>
      <c r="C192" s="367"/>
      <c r="D192" s="368"/>
      <c r="F192" s="403" t="s">
        <v>1427</v>
      </c>
      <c r="G192" s="404"/>
      <c r="H192" s="339"/>
      <c r="I192" s="339"/>
      <c r="J192" s="339"/>
      <c r="K192" s="339"/>
      <c r="L192" s="339"/>
      <c r="M192" s="339"/>
      <c r="N192" s="339"/>
    </row>
    <row r="193" spans="1:14" s="369" customFormat="1" x14ac:dyDescent="0.25">
      <c r="A193" s="365"/>
      <c r="B193" s="366"/>
      <c r="C193" s="367"/>
      <c r="D193" s="368"/>
      <c r="F193" s="95" t="s">
        <v>1425</v>
      </c>
      <c r="G193" s="23" t="s">
        <v>1426</v>
      </c>
      <c r="H193" s="339"/>
      <c r="I193" s="339"/>
      <c r="J193" s="339"/>
      <c r="K193" s="339"/>
      <c r="L193" s="339"/>
      <c r="M193" s="339"/>
      <c r="N193" s="339"/>
    </row>
    <row r="194" spans="1:14" x14ac:dyDescent="0.25">
      <c r="A194" s="21" t="s">
        <v>1215</v>
      </c>
      <c r="B194" s="50"/>
      <c r="C194" s="50"/>
      <c r="D194" s="147"/>
      <c r="F194" s="147"/>
      <c r="G194" s="147"/>
      <c r="H194" s="310"/>
      <c r="I194" s="310"/>
      <c r="J194" s="310"/>
      <c r="K194" s="310"/>
      <c r="L194" s="310"/>
      <c r="M194" s="310"/>
      <c r="N194" s="310"/>
    </row>
    <row r="195" spans="1:14" x14ac:dyDescent="0.25">
      <c r="A195" s="269" t="s">
        <v>1596</v>
      </c>
      <c r="B195" s="281" t="s">
        <v>1216</v>
      </c>
      <c r="C195" s="49" t="s">
        <v>1217</v>
      </c>
      <c r="D195" s="56">
        <v>3</v>
      </c>
      <c r="F195" s="105">
        <f t="shared" ref="F195:F205" si="12">D195*$F$191</f>
        <v>0.75560999999999989</v>
      </c>
      <c r="G195" s="105">
        <f t="shared" ref="G195:G205" si="13">D195*$G$191</f>
        <v>0.38156999999999996</v>
      </c>
      <c r="H195" s="310"/>
      <c r="I195" s="310"/>
      <c r="J195" s="310"/>
      <c r="K195" s="310"/>
      <c r="L195" s="310"/>
      <c r="M195" s="310"/>
      <c r="N195" s="310"/>
    </row>
    <row r="196" spans="1:14" ht="27.6" x14ac:dyDescent="0.25">
      <c r="A196" s="51" t="s">
        <v>1218</v>
      </c>
      <c r="B196" s="282" t="s">
        <v>1219</v>
      </c>
      <c r="C196" s="49" t="s">
        <v>1220</v>
      </c>
      <c r="D196" s="56">
        <v>5</v>
      </c>
      <c r="F196" s="24">
        <f t="shared" si="12"/>
        <v>1.25935</v>
      </c>
      <c r="G196" s="105">
        <f t="shared" si="13"/>
        <v>0.63595000000000002</v>
      </c>
      <c r="H196" s="310"/>
      <c r="I196" s="310"/>
      <c r="J196" s="310"/>
      <c r="K196" s="310"/>
      <c r="L196" s="310"/>
      <c r="M196" s="310"/>
      <c r="N196" s="310"/>
    </row>
    <row r="197" spans="1:14" x14ac:dyDescent="0.25">
      <c r="A197" s="51" t="s">
        <v>1221</v>
      </c>
      <c r="B197" s="282" t="s">
        <v>1219</v>
      </c>
      <c r="C197" s="49" t="s">
        <v>1220</v>
      </c>
      <c r="D197" s="56">
        <v>5</v>
      </c>
      <c r="F197" s="24">
        <f t="shared" si="12"/>
        <v>1.25935</v>
      </c>
      <c r="G197" s="105">
        <f t="shared" si="13"/>
        <v>0.63595000000000002</v>
      </c>
      <c r="H197" s="310"/>
      <c r="I197" s="310"/>
      <c r="J197" s="310"/>
      <c r="K197" s="310"/>
      <c r="L197" s="310"/>
      <c r="M197" s="310"/>
      <c r="N197" s="310"/>
    </row>
    <row r="198" spans="1:14" x14ac:dyDescent="0.25">
      <c r="A198" s="269" t="s">
        <v>1597</v>
      </c>
      <c r="B198" s="281" t="s">
        <v>1222</v>
      </c>
      <c r="C198" s="49" t="s">
        <v>1223</v>
      </c>
      <c r="D198" s="56">
        <v>3</v>
      </c>
      <c r="F198" s="24">
        <f t="shared" si="12"/>
        <v>0.75560999999999989</v>
      </c>
      <c r="G198" s="105">
        <f t="shared" si="13"/>
        <v>0.38156999999999996</v>
      </c>
      <c r="H198" s="310"/>
      <c r="I198" s="310"/>
      <c r="J198" s="310"/>
      <c r="K198" s="310"/>
      <c r="L198" s="310"/>
      <c r="M198" s="310"/>
      <c r="N198" s="310"/>
    </row>
    <row r="199" spans="1:14" ht="27.6" x14ac:dyDescent="0.25">
      <c r="A199" s="269" t="s">
        <v>1224</v>
      </c>
      <c r="B199" s="281" t="s">
        <v>1225</v>
      </c>
      <c r="C199" s="49" t="s">
        <v>1226</v>
      </c>
      <c r="D199" s="56">
        <v>6</v>
      </c>
      <c r="F199" s="24">
        <f t="shared" si="12"/>
        <v>1.5112199999999998</v>
      </c>
      <c r="G199" s="105">
        <f t="shared" si="13"/>
        <v>0.76313999999999993</v>
      </c>
      <c r="H199" s="310"/>
      <c r="I199" s="310"/>
      <c r="J199" s="310"/>
      <c r="K199" s="310"/>
      <c r="L199" s="310"/>
      <c r="M199" s="310"/>
      <c r="N199" s="310"/>
    </row>
    <row r="200" spans="1:14" x14ac:dyDescent="0.25">
      <c r="A200" s="269" t="s">
        <v>1598</v>
      </c>
      <c r="B200" s="281" t="s">
        <v>1227</v>
      </c>
      <c r="C200" s="49" t="s">
        <v>1228</v>
      </c>
      <c r="D200" s="56">
        <v>6</v>
      </c>
      <c r="F200" s="24">
        <f t="shared" si="12"/>
        <v>1.5112199999999998</v>
      </c>
      <c r="G200" s="105">
        <f t="shared" si="13"/>
        <v>0.76313999999999993</v>
      </c>
      <c r="H200" s="310"/>
      <c r="I200" s="310"/>
      <c r="J200" s="310"/>
      <c r="K200" s="310"/>
      <c r="L200" s="310"/>
      <c r="M200" s="310"/>
      <c r="N200" s="310"/>
    </row>
    <row r="201" spans="1:14" ht="27.6" x14ac:dyDescent="0.25">
      <c r="A201" s="269" t="s">
        <v>1599</v>
      </c>
      <c r="B201" s="281" t="s">
        <v>1229</v>
      </c>
      <c r="C201" s="49" t="s">
        <v>1230</v>
      </c>
      <c r="D201" s="56">
        <v>2</v>
      </c>
      <c r="F201" s="24">
        <f t="shared" si="12"/>
        <v>0.50373999999999997</v>
      </c>
      <c r="G201" s="105">
        <f t="shared" si="13"/>
        <v>0.25438</v>
      </c>
      <c r="H201" s="310"/>
      <c r="I201" s="310"/>
      <c r="J201" s="310"/>
      <c r="K201" s="310"/>
      <c r="L201" s="310"/>
      <c r="M201" s="310"/>
      <c r="N201" s="310"/>
    </row>
    <row r="202" spans="1:14" ht="27.6" x14ac:dyDescent="0.25">
      <c r="A202" s="269" t="s">
        <v>1600</v>
      </c>
      <c r="B202" s="281" t="s">
        <v>1231</v>
      </c>
      <c r="C202" s="49" t="s">
        <v>1232</v>
      </c>
      <c r="D202" s="56">
        <v>2</v>
      </c>
      <c r="F202" s="24">
        <f t="shared" si="12"/>
        <v>0.50373999999999997</v>
      </c>
      <c r="G202" s="105">
        <f t="shared" si="13"/>
        <v>0.25438</v>
      </c>
      <c r="H202" s="310"/>
      <c r="I202" s="310"/>
      <c r="J202" s="310"/>
      <c r="K202" s="310"/>
      <c r="L202" s="310"/>
      <c r="M202" s="310"/>
      <c r="N202" s="310"/>
    </row>
    <row r="203" spans="1:14" ht="27.6" x14ac:dyDescent="0.25">
      <c r="A203" s="269" t="s">
        <v>1601</v>
      </c>
      <c r="B203" s="281" t="s">
        <v>1233</v>
      </c>
      <c r="C203" s="49" t="s">
        <v>1234</v>
      </c>
      <c r="D203" s="56">
        <v>2</v>
      </c>
      <c r="F203" s="24">
        <f t="shared" si="12"/>
        <v>0.50373999999999997</v>
      </c>
      <c r="G203" s="105">
        <f t="shared" si="13"/>
        <v>0.25438</v>
      </c>
      <c r="H203" s="310"/>
      <c r="I203" s="310"/>
      <c r="J203" s="310"/>
      <c r="K203" s="310"/>
      <c r="L203" s="310"/>
      <c r="M203" s="310"/>
      <c r="N203" s="310"/>
    </row>
    <row r="204" spans="1:14" x14ac:dyDescent="0.25">
      <c r="A204" s="156" t="s">
        <v>1235</v>
      </c>
      <c r="B204" s="298" t="s">
        <v>1236</v>
      </c>
      <c r="C204" s="123" t="s">
        <v>1237</v>
      </c>
      <c r="D204" s="280">
        <v>5</v>
      </c>
      <c r="F204" s="24">
        <f t="shared" si="12"/>
        <v>1.25935</v>
      </c>
      <c r="G204" s="105">
        <f t="shared" si="13"/>
        <v>0.63595000000000002</v>
      </c>
      <c r="H204" s="310"/>
      <c r="I204" s="310"/>
      <c r="J204" s="310"/>
      <c r="K204" s="310"/>
      <c r="L204" s="310"/>
      <c r="M204" s="310"/>
      <c r="N204" s="310"/>
    </row>
    <row r="205" spans="1:14" x14ac:dyDescent="0.25">
      <c r="A205" s="156" t="s">
        <v>1238</v>
      </c>
      <c r="B205" s="298" t="s">
        <v>1239</v>
      </c>
      <c r="C205" s="123" t="s">
        <v>1240</v>
      </c>
      <c r="D205" s="280">
        <v>20</v>
      </c>
      <c r="F205" s="24">
        <f t="shared" si="12"/>
        <v>5.0373999999999999</v>
      </c>
      <c r="G205" s="105">
        <f t="shared" si="13"/>
        <v>2.5438000000000001</v>
      </c>
      <c r="H205" s="310"/>
      <c r="I205" s="310"/>
      <c r="J205" s="310"/>
      <c r="K205" s="310"/>
      <c r="L205" s="310"/>
      <c r="M205" s="310"/>
      <c r="N205" s="310"/>
    </row>
    <row r="206" spans="1:14" x14ac:dyDescent="0.25">
      <c r="A206" s="156"/>
      <c r="B206" s="298"/>
      <c r="C206" s="123"/>
      <c r="D206" s="280"/>
      <c r="F206" s="24"/>
      <c r="G206" s="105"/>
      <c r="H206" s="310"/>
      <c r="I206" s="310"/>
      <c r="J206" s="310"/>
      <c r="K206" s="310"/>
      <c r="L206" s="310"/>
      <c r="M206" s="310"/>
      <c r="N206" s="310"/>
    </row>
    <row r="207" spans="1:14" x14ac:dyDescent="0.25">
      <c r="A207" s="21" t="s">
        <v>1241</v>
      </c>
      <c r="B207" s="50"/>
      <c r="C207" s="50"/>
      <c r="D207" s="147"/>
      <c r="F207" s="147"/>
      <c r="G207" s="147"/>
      <c r="H207" s="310"/>
      <c r="I207" s="310"/>
      <c r="J207" s="310"/>
      <c r="K207" s="310"/>
      <c r="L207" s="310"/>
      <c r="M207" s="310"/>
      <c r="N207" s="310"/>
    </row>
    <row r="208" spans="1:14" x14ac:dyDescent="0.25">
      <c r="A208" s="282" t="s">
        <v>1242</v>
      </c>
      <c r="B208" s="282" t="s">
        <v>1242</v>
      </c>
      <c r="C208" s="49" t="s">
        <v>1243</v>
      </c>
      <c r="D208" s="56">
        <v>23</v>
      </c>
      <c r="F208" s="24">
        <f>D208*$F$191</f>
        <v>5.7930099999999998</v>
      </c>
      <c r="G208" s="105">
        <f>D208*$G$191</f>
        <v>2.92537</v>
      </c>
      <c r="H208" s="310"/>
      <c r="I208" s="310"/>
      <c r="J208" s="310"/>
      <c r="K208" s="310"/>
      <c r="L208" s="310"/>
      <c r="M208" s="310"/>
      <c r="N208" s="310"/>
    </row>
    <row r="209" spans="1:14" x14ac:dyDescent="0.25">
      <c r="A209" s="282" t="s">
        <v>1244</v>
      </c>
      <c r="B209" s="282" t="s">
        <v>1244</v>
      </c>
      <c r="C209" s="49" t="s">
        <v>1245</v>
      </c>
      <c r="D209" s="56">
        <v>10</v>
      </c>
      <c r="F209" s="24">
        <f>D209*$F$191</f>
        <v>2.5186999999999999</v>
      </c>
      <c r="G209" s="105">
        <f>D209*$G$191</f>
        <v>1.2719</v>
      </c>
      <c r="H209" s="310"/>
      <c r="I209" s="310"/>
      <c r="J209" s="310"/>
      <c r="K209" s="310"/>
      <c r="L209" s="310"/>
      <c r="M209" s="310"/>
      <c r="N209" s="310"/>
    </row>
    <row r="210" spans="1:14" x14ac:dyDescent="0.25">
      <c r="A210" s="282" t="s">
        <v>1246</v>
      </c>
      <c r="B210" s="282" t="s">
        <v>1246</v>
      </c>
      <c r="C210" s="49" t="s">
        <v>1247</v>
      </c>
      <c r="D210" s="56">
        <v>2</v>
      </c>
      <c r="F210" s="24">
        <f>D210*$F$191</f>
        <v>0.50373999999999997</v>
      </c>
      <c r="G210" s="105">
        <f>D210*$G$191</f>
        <v>0.25438</v>
      </c>
      <c r="H210" s="310"/>
      <c r="I210" s="310"/>
      <c r="J210" s="310"/>
      <c r="K210" s="310"/>
      <c r="L210" s="310"/>
      <c r="M210" s="310"/>
      <c r="N210" s="310"/>
    </row>
    <row r="211" spans="1:14" x14ac:dyDescent="0.25">
      <c r="A211" s="282"/>
      <c r="B211" s="282"/>
      <c r="C211" s="49"/>
      <c r="D211" s="56"/>
      <c r="F211" s="24"/>
      <c r="G211" s="105"/>
      <c r="H211" s="310"/>
      <c r="I211" s="310"/>
      <c r="J211" s="310"/>
      <c r="K211" s="310"/>
      <c r="L211" s="310"/>
      <c r="M211" s="310"/>
      <c r="N211" s="310"/>
    </row>
    <row r="212" spans="1:14" ht="27.6" x14ac:dyDescent="0.25">
      <c r="A212" s="21" t="s">
        <v>1248</v>
      </c>
      <c r="B212" s="50"/>
      <c r="C212" s="50"/>
      <c r="D212" s="147"/>
      <c r="F212" s="147"/>
      <c r="G212" s="147"/>
      <c r="H212" s="310"/>
      <c r="I212" s="310"/>
      <c r="J212" s="310"/>
      <c r="K212" s="310"/>
      <c r="L212" s="310"/>
      <c r="M212" s="310"/>
      <c r="N212" s="310"/>
    </row>
    <row r="213" spans="1:14" x14ac:dyDescent="0.25">
      <c r="A213" s="282" t="s">
        <v>1249</v>
      </c>
      <c r="B213" s="282" t="s">
        <v>1250</v>
      </c>
      <c r="C213" s="49" t="s">
        <v>1251</v>
      </c>
      <c r="D213" s="56">
        <v>75</v>
      </c>
      <c r="F213" s="24">
        <f>D213*$F$191</f>
        <v>18.890249999999998</v>
      </c>
      <c r="G213" s="105">
        <f>D213*$G$191</f>
        <v>9.5392499999999991</v>
      </c>
      <c r="H213" s="310"/>
      <c r="I213" s="310"/>
      <c r="J213" s="310"/>
      <c r="K213" s="310"/>
      <c r="L213" s="310"/>
      <c r="M213" s="310"/>
      <c r="N213" s="310"/>
    </row>
    <row r="214" spans="1:14" x14ac:dyDescent="0.25">
      <c r="A214" s="282" t="s">
        <v>1252</v>
      </c>
      <c r="B214" s="282" t="s">
        <v>1253</v>
      </c>
      <c r="C214" s="49" t="s">
        <v>1254</v>
      </c>
      <c r="D214" s="56">
        <v>36</v>
      </c>
      <c r="F214" s="24">
        <f>D214*$F$191</f>
        <v>9.0673199999999987</v>
      </c>
      <c r="G214" s="105">
        <f>D214*$G$191</f>
        <v>4.5788399999999996</v>
      </c>
      <c r="H214" s="310"/>
      <c r="I214" s="310"/>
      <c r="J214" s="310"/>
      <c r="K214" s="310"/>
      <c r="L214" s="310"/>
      <c r="M214" s="310"/>
      <c r="N214" s="310"/>
    </row>
    <row r="215" spans="1:14" x14ac:dyDescent="0.25">
      <c r="A215" s="282" t="s">
        <v>1255</v>
      </c>
      <c r="B215" s="282" t="s">
        <v>1256</v>
      </c>
      <c r="C215" s="49" t="s">
        <v>1257</v>
      </c>
      <c r="D215" s="56">
        <v>75</v>
      </c>
      <c r="F215" s="24">
        <f>D215*$F$191</f>
        <v>18.890249999999998</v>
      </c>
      <c r="G215" s="105">
        <f>D215*$G$191</f>
        <v>9.5392499999999991</v>
      </c>
      <c r="H215" s="310"/>
      <c r="I215" s="310"/>
      <c r="J215" s="310"/>
      <c r="K215" s="310"/>
      <c r="L215" s="310"/>
      <c r="M215" s="310"/>
      <c r="N215" s="310"/>
    </row>
    <row r="216" spans="1:14" x14ac:dyDescent="0.25">
      <c r="A216" s="282" t="s">
        <v>1258</v>
      </c>
      <c r="B216" s="282" t="s">
        <v>1259</v>
      </c>
      <c r="C216" s="49" t="s">
        <v>1260</v>
      </c>
      <c r="D216" s="56">
        <v>36</v>
      </c>
      <c r="F216" s="24">
        <f>D216*$F$191</f>
        <v>9.0673199999999987</v>
      </c>
      <c r="G216" s="105">
        <f>D216*$G$191</f>
        <v>4.5788399999999996</v>
      </c>
      <c r="H216" s="310"/>
      <c r="I216" s="310"/>
      <c r="J216" s="310"/>
      <c r="K216" s="310"/>
      <c r="L216" s="310"/>
      <c r="M216" s="310"/>
      <c r="N216" s="310"/>
    </row>
    <row r="217" spans="1:14" x14ac:dyDescent="0.25">
      <c r="A217" s="282"/>
      <c r="B217" s="282"/>
      <c r="C217" s="49"/>
      <c r="D217" s="56"/>
      <c r="F217" s="24"/>
      <c r="G217" s="105"/>
      <c r="H217" s="310"/>
      <c r="I217" s="310"/>
      <c r="J217" s="310"/>
      <c r="K217" s="310"/>
      <c r="L217" s="310"/>
      <c r="M217" s="310"/>
      <c r="N217" s="310"/>
    </row>
    <row r="218" spans="1:14" ht="27.6" x14ac:dyDescent="0.25">
      <c r="A218" s="21" t="s">
        <v>1261</v>
      </c>
      <c r="B218" s="50"/>
      <c r="C218" s="50"/>
      <c r="D218" s="147"/>
      <c r="F218" s="147"/>
      <c r="G218" s="147"/>
      <c r="H218" s="310"/>
      <c r="I218" s="310"/>
      <c r="J218" s="310"/>
      <c r="K218" s="310"/>
      <c r="L218" s="310"/>
      <c r="M218" s="310"/>
      <c r="N218" s="310"/>
    </row>
    <row r="219" spans="1:14" x14ac:dyDescent="0.25">
      <c r="A219" s="109" t="s">
        <v>1262</v>
      </c>
      <c r="B219" s="109" t="s">
        <v>1263</v>
      </c>
      <c r="C219" s="123" t="s">
        <v>1264</v>
      </c>
      <c r="D219" s="280">
        <v>8</v>
      </c>
      <c r="F219" s="24">
        <f t="shared" ref="F219:F229" si="14">D219*$F$191</f>
        <v>2.0149599999999999</v>
      </c>
      <c r="G219" s="105">
        <f t="shared" ref="G219:G229" si="15">D219*$G$191</f>
        <v>1.01752</v>
      </c>
      <c r="H219" s="310"/>
      <c r="I219" s="310"/>
      <c r="J219" s="310"/>
      <c r="K219" s="310"/>
      <c r="L219" s="310"/>
      <c r="M219" s="310"/>
      <c r="N219" s="310"/>
    </row>
    <row r="220" spans="1:14" x14ac:dyDescent="0.25">
      <c r="A220" s="109" t="s">
        <v>1265</v>
      </c>
      <c r="B220" s="109" t="s">
        <v>1265</v>
      </c>
      <c r="C220" s="123" t="s">
        <v>1266</v>
      </c>
      <c r="D220" s="280">
        <v>6</v>
      </c>
      <c r="F220" s="24">
        <f t="shared" si="14"/>
        <v>1.5112199999999998</v>
      </c>
      <c r="G220" s="105">
        <f t="shared" si="15"/>
        <v>0.76313999999999993</v>
      </c>
      <c r="H220" s="310"/>
      <c r="I220" s="310"/>
      <c r="J220" s="310"/>
      <c r="K220" s="310"/>
      <c r="L220" s="310"/>
      <c r="M220" s="310"/>
      <c r="N220" s="310"/>
    </row>
    <row r="221" spans="1:14" x14ac:dyDescent="0.25">
      <c r="A221" s="109" t="s">
        <v>1267</v>
      </c>
      <c r="B221" s="109" t="s">
        <v>1268</v>
      </c>
      <c r="C221" s="123" t="s">
        <v>1269</v>
      </c>
      <c r="D221" s="280">
        <v>18</v>
      </c>
      <c r="F221" s="24">
        <f t="shared" si="14"/>
        <v>4.5336599999999994</v>
      </c>
      <c r="G221" s="105">
        <f t="shared" si="15"/>
        <v>2.2894199999999998</v>
      </c>
      <c r="H221" s="310"/>
      <c r="I221" s="310"/>
      <c r="J221" s="310"/>
      <c r="K221" s="310"/>
      <c r="L221" s="310"/>
      <c r="M221" s="310"/>
      <c r="N221" s="310"/>
    </row>
    <row r="222" spans="1:14" x14ac:dyDescent="0.25">
      <c r="A222" s="109" t="s">
        <v>1270</v>
      </c>
      <c r="B222" s="109" t="s">
        <v>1271</v>
      </c>
      <c r="C222" s="123" t="s">
        <v>1272</v>
      </c>
      <c r="D222" s="280">
        <v>8</v>
      </c>
      <c r="F222" s="24">
        <f t="shared" si="14"/>
        <v>2.0149599999999999</v>
      </c>
      <c r="G222" s="105">
        <f t="shared" si="15"/>
        <v>1.01752</v>
      </c>
      <c r="H222" s="310"/>
      <c r="I222" s="310"/>
      <c r="J222" s="310"/>
      <c r="K222" s="310"/>
      <c r="L222" s="310"/>
      <c r="M222" s="310"/>
      <c r="N222" s="310"/>
    </row>
    <row r="223" spans="1:14" x14ac:dyDescent="0.25">
      <c r="A223" s="109" t="s">
        <v>1273</v>
      </c>
      <c r="B223" s="109" t="s">
        <v>1274</v>
      </c>
      <c r="C223" s="123" t="s">
        <v>1275</v>
      </c>
      <c r="D223" s="280">
        <v>4</v>
      </c>
      <c r="F223" s="24">
        <f t="shared" si="14"/>
        <v>1.0074799999999999</v>
      </c>
      <c r="G223" s="105">
        <f t="shared" si="15"/>
        <v>0.50875999999999999</v>
      </c>
      <c r="H223" s="310"/>
      <c r="I223" s="310"/>
      <c r="J223" s="310"/>
      <c r="K223" s="310"/>
      <c r="L223" s="310"/>
      <c r="M223" s="310"/>
      <c r="N223" s="310"/>
    </row>
    <row r="224" spans="1:14" x14ac:dyDescent="0.25">
      <c r="A224" s="109" t="s">
        <v>1276</v>
      </c>
      <c r="B224" s="109" t="s">
        <v>1277</v>
      </c>
      <c r="C224" s="123" t="s">
        <v>1278</v>
      </c>
      <c r="D224" s="280">
        <v>4</v>
      </c>
      <c r="F224" s="24">
        <f t="shared" si="14"/>
        <v>1.0074799999999999</v>
      </c>
      <c r="G224" s="105">
        <f t="shared" si="15"/>
        <v>0.50875999999999999</v>
      </c>
      <c r="H224" s="310"/>
      <c r="I224" s="310"/>
      <c r="J224" s="310"/>
      <c r="K224" s="310"/>
      <c r="L224" s="310"/>
      <c r="M224" s="310"/>
      <c r="N224" s="310"/>
    </row>
    <row r="225" spans="1:14" x14ac:dyDescent="0.25">
      <c r="A225" s="109" t="s">
        <v>1279</v>
      </c>
      <c r="B225" s="109" t="s">
        <v>1280</v>
      </c>
      <c r="C225" s="123" t="s">
        <v>1281</v>
      </c>
      <c r="D225" s="280">
        <v>4</v>
      </c>
      <c r="F225" s="24">
        <f t="shared" si="14"/>
        <v>1.0074799999999999</v>
      </c>
      <c r="G225" s="105">
        <f t="shared" si="15"/>
        <v>0.50875999999999999</v>
      </c>
      <c r="H225" s="310"/>
      <c r="I225" s="310"/>
      <c r="J225" s="310"/>
      <c r="K225" s="310"/>
      <c r="L225" s="310"/>
      <c r="M225" s="310"/>
      <c r="N225" s="310"/>
    </row>
    <row r="226" spans="1:14" x14ac:dyDescent="0.25">
      <c r="A226" s="109" t="s">
        <v>1282</v>
      </c>
      <c r="B226" s="109" t="s">
        <v>1283</v>
      </c>
      <c r="C226" s="123" t="s">
        <v>1284</v>
      </c>
      <c r="D226" s="280">
        <v>4</v>
      </c>
      <c r="F226" s="24">
        <f t="shared" si="14"/>
        <v>1.0074799999999999</v>
      </c>
      <c r="G226" s="105">
        <f t="shared" si="15"/>
        <v>0.50875999999999999</v>
      </c>
      <c r="H226" s="310"/>
      <c r="I226" s="310"/>
      <c r="J226" s="310"/>
      <c r="K226" s="310"/>
      <c r="L226" s="310"/>
      <c r="M226" s="310"/>
      <c r="N226" s="310"/>
    </row>
    <row r="227" spans="1:14" x14ac:dyDescent="0.25">
      <c r="A227" s="109" t="s">
        <v>1285</v>
      </c>
      <c r="B227" s="109" t="s">
        <v>1286</v>
      </c>
      <c r="C227" s="123" t="s">
        <v>1287</v>
      </c>
      <c r="D227" s="280">
        <v>10</v>
      </c>
      <c r="F227" s="24">
        <f t="shared" si="14"/>
        <v>2.5186999999999999</v>
      </c>
      <c r="G227" s="105">
        <f t="shared" si="15"/>
        <v>1.2719</v>
      </c>
      <c r="H227" s="310"/>
      <c r="I227" s="310"/>
      <c r="J227" s="310"/>
      <c r="K227" s="310"/>
      <c r="L227" s="310"/>
      <c r="M227" s="310"/>
      <c r="N227" s="310"/>
    </row>
    <row r="228" spans="1:14" x14ac:dyDescent="0.25">
      <c r="A228" s="109" t="s">
        <v>1288</v>
      </c>
      <c r="B228" s="109" t="s">
        <v>1289</v>
      </c>
      <c r="C228" s="123" t="s">
        <v>1290</v>
      </c>
      <c r="D228" s="280">
        <v>4</v>
      </c>
      <c r="F228" s="24">
        <f t="shared" si="14"/>
        <v>1.0074799999999999</v>
      </c>
      <c r="G228" s="105">
        <f t="shared" si="15"/>
        <v>0.50875999999999999</v>
      </c>
      <c r="H228" s="310"/>
      <c r="I228" s="310"/>
      <c r="J228" s="310"/>
      <c r="K228" s="310"/>
      <c r="L228" s="310"/>
      <c r="M228" s="310"/>
      <c r="N228" s="310"/>
    </row>
    <row r="229" spans="1:14" x14ac:dyDescent="0.25">
      <c r="A229" s="109" t="s">
        <v>1291</v>
      </c>
      <c r="B229" s="109" t="s">
        <v>1292</v>
      </c>
      <c r="C229" s="123" t="s">
        <v>1293</v>
      </c>
      <c r="D229" s="280">
        <v>18</v>
      </c>
      <c r="F229" s="24">
        <f t="shared" si="14"/>
        <v>4.5336599999999994</v>
      </c>
      <c r="G229" s="105">
        <f t="shared" si="15"/>
        <v>2.2894199999999998</v>
      </c>
      <c r="H229" s="310"/>
      <c r="I229" s="310"/>
      <c r="J229" s="310"/>
      <c r="K229" s="310"/>
      <c r="L229" s="310"/>
      <c r="M229" s="310"/>
      <c r="N229" s="310"/>
    </row>
    <row r="230" spans="1:14" x14ac:dyDescent="0.25">
      <c r="A230" s="282"/>
      <c r="B230" s="282"/>
      <c r="C230" s="282"/>
      <c r="D230" s="250"/>
      <c r="F230" s="24"/>
      <c r="G230" s="105"/>
      <c r="H230" s="310"/>
      <c r="I230" s="310"/>
      <c r="J230" s="310"/>
      <c r="K230" s="310"/>
      <c r="L230" s="310"/>
      <c r="M230" s="310"/>
      <c r="N230" s="310"/>
    </row>
    <row r="231" spans="1:14" x14ac:dyDescent="0.25">
      <c r="A231" s="21" t="s">
        <v>1294</v>
      </c>
      <c r="B231" s="50"/>
      <c r="C231" s="50"/>
      <c r="D231" s="147"/>
      <c r="F231" s="147"/>
      <c r="G231" s="147"/>
      <c r="H231" s="310"/>
      <c r="I231" s="310"/>
      <c r="J231" s="310"/>
      <c r="K231" s="310"/>
      <c r="L231" s="310"/>
      <c r="M231" s="310"/>
      <c r="N231" s="310"/>
    </row>
    <row r="232" spans="1:14" ht="27.6" x14ac:dyDescent="0.25">
      <c r="A232" s="281" t="s">
        <v>1295</v>
      </c>
      <c r="B232" s="281" t="s">
        <v>1296</v>
      </c>
      <c r="C232" s="49" t="s">
        <v>1297</v>
      </c>
      <c r="D232" s="144">
        <v>69</v>
      </c>
      <c r="F232" s="24">
        <f>D232*$F$191</f>
        <v>17.37903</v>
      </c>
      <c r="G232" s="105">
        <f>D232*$G$191</f>
        <v>8.7761099999999992</v>
      </c>
      <c r="H232" s="310"/>
      <c r="I232" s="310"/>
      <c r="J232" s="310"/>
      <c r="K232" s="310"/>
      <c r="L232" s="310"/>
      <c r="M232" s="310"/>
      <c r="N232" s="310"/>
    </row>
    <row r="233" spans="1:14" ht="27.6" x14ac:dyDescent="0.25">
      <c r="A233" s="281" t="s">
        <v>1295</v>
      </c>
      <c r="B233" s="281" t="s">
        <v>1298</v>
      </c>
      <c r="C233" s="49" t="s">
        <v>1299</v>
      </c>
      <c r="D233" s="144">
        <v>62</v>
      </c>
      <c r="F233" s="24">
        <f>D233*$F$191</f>
        <v>15.615939999999998</v>
      </c>
      <c r="G233" s="105">
        <f>D233*$G$191</f>
        <v>7.8857799999999996</v>
      </c>
      <c r="H233" s="310"/>
      <c r="I233" s="310"/>
      <c r="J233" s="310"/>
      <c r="K233" s="310"/>
      <c r="L233" s="310"/>
      <c r="M233" s="310"/>
      <c r="N233" s="310"/>
    </row>
    <row r="234" spans="1:14" ht="27.6" x14ac:dyDescent="0.25">
      <c r="A234" s="281" t="s">
        <v>1300</v>
      </c>
      <c r="B234" s="281" t="s">
        <v>1301</v>
      </c>
      <c r="C234" s="49" t="s">
        <v>1302</v>
      </c>
      <c r="D234" s="176">
        <v>48</v>
      </c>
      <c r="F234" s="24">
        <f>D234*$F$191</f>
        <v>12.089759999999998</v>
      </c>
      <c r="G234" s="105">
        <f>D234*$G$191</f>
        <v>6.1051199999999994</v>
      </c>
      <c r="H234" s="310"/>
      <c r="I234" s="310"/>
      <c r="J234" s="310"/>
      <c r="K234" s="310"/>
      <c r="L234" s="310"/>
      <c r="M234" s="310"/>
      <c r="N234" s="310"/>
    </row>
    <row r="235" spans="1:14" x14ac:dyDescent="0.25">
      <c r="A235" s="97"/>
      <c r="B235" s="97"/>
      <c r="C235" s="49"/>
      <c r="D235" s="56"/>
      <c r="F235" s="24"/>
      <c r="G235" s="105"/>
      <c r="H235" s="310"/>
      <c r="I235" s="310"/>
      <c r="J235" s="310"/>
      <c r="K235" s="310"/>
      <c r="L235" s="310"/>
      <c r="M235" s="310"/>
      <c r="N235" s="310"/>
    </row>
    <row r="236" spans="1:14" ht="27.6" x14ac:dyDescent="0.25">
      <c r="A236" s="21" t="s">
        <v>1303</v>
      </c>
      <c r="B236" s="50"/>
      <c r="C236" s="50"/>
      <c r="D236" s="147"/>
      <c r="F236" s="147"/>
      <c r="G236" s="147"/>
      <c r="H236" s="310"/>
      <c r="I236" s="310"/>
      <c r="J236" s="310"/>
      <c r="K236" s="310"/>
      <c r="L236" s="310"/>
      <c r="M236" s="310"/>
      <c r="N236" s="310"/>
    </row>
    <row r="237" spans="1:14" ht="27.6" x14ac:dyDescent="0.25">
      <c r="A237" s="298" t="s">
        <v>1304</v>
      </c>
      <c r="B237" s="298" t="s">
        <v>1305</v>
      </c>
      <c r="C237" s="123" t="s">
        <v>1306</v>
      </c>
      <c r="D237" s="177">
        <v>50</v>
      </c>
      <c r="F237" s="24">
        <f>D237*$F$191</f>
        <v>12.593499999999999</v>
      </c>
      <c r="G237" s="105">
        <f>D237*$G$191</f>
        <v>6.3594999999999997</v>
      </c>
      <c r="H237" s="310"/>
      <c r="I237" s="310"/>
      <c r="J237" s="310"/>
      <c r="K237" s="310"/>
      <c r="L237" s="310"/>
      <c r="M237" s="310"/>
      <c r="N237" s="310"/>
    </row>
    <row r="238" spans="1:14" ht="27.6" x14ac:dyDescent="0.25">
      <c r="A238" s="298" t="s">
        <v>1307</v>
      </c>
      <c r="B238" s="298" t="s">
        <v>1305</v>
      </c>
      <c r="C238" s="123" t="s">
        <v>1308</v>
      </c>
      <c r="D238" s="177">
        <v>18</v>
      </c>
      <c r="F238" s="24">
        <f>D238*$F$191</f>
        <v>4.5336599999999994</v>
      </c>
      <c r="G238" s="105">
        <f>D238*$G$191</f>
        <v>2.2894199999999998</v>
      </c>
      <c r="H238" s="310"/>
      <c r="I238" s="310"/>
      <c r="J238" s="310"/>
      <c r="K238" s="310"/>
      <c r="L238" s="310"/>
      <c r="M238" s="310"/>
      <c r="N238" s="310"/>
    </row>
    <row r="239" spans="1:14" x14ac:dyDescent="0.25">
      <c r="A239" s="298" t="s">
        <v>1309</v>
      </c>
      <c r="B239" s="298" t="s">
        <v>1305</v>
      </c>
      <c r="C239" s="123" t="s">
        <v>1310</v>
      </c>
      <c r="D239" s="158">
        <v>36</v>
      </c>
      <c r="F239" s="24">
        <f>D239*$F$191</f>
        <v>9.0673199999999987</v>
      </c>
      <c r="G239" s="105">
        <f>D239*$G$191</f>
        <v>4.5788399999999996</v>
      </c>
      <c r="H239" s="310"/>
      <c r="I239" s="310"/>
      <c r="J239" s="310"/>
      <c r="K239" s="310"/>
      <c r="L239" s="310"/>
      <c r="M239" s="310"/>
      <c r="N239" s="310"/>
    </row>
    <row r="240" spans="1:14" x14ac:dyDescent="0.25">
      <c r="A240" s="281"/>
      <c r="B240" s="281"/>
      <c r="C240" s="49"/>
      <c r="D240" s="56"/>
      <c r="F240" s="24"/>
      <c r="G240" s="105"/>
      <c r="H240" s="310"/>
      <c r="I240" s="310"/>
      <c r="J240" s="310"/>
      <c r="K240" s="310"/>
      <c r="L240" s="310"/>
      <c r="M240" s="310"/>
      <c r="N240" s="310"/>
    </row>
    <row r="241" spans="1:14" ht="27.6" x14ac:dyDescent="0.25">
      <c r="A241" s="21" t="s">
        <v>1311</v>
      </c>
      <c r="B241" s="50"/>
      <c r="C241" s="50"/>
      <c r="D241" s="147"/>
      <c r="F241" s="147"/>
      <c r="G241" s="147"/>
      <c r="H241" s="310"/>
      <c r="I241" s="310"/>
      <c r="J241" s="310"/>
      <c r="K241" s="310"/>
      <c r="L241" s="310"/>
      <c r="M241" s="310"/>
      <c r="N241" s="310"/>
    </row>
    <row r="242" spans="1:14" x14ac:dyDescent="0.25">
      <c r="A242" s="269" t="s">
        <v>1312</v>
      </c>
      <c r="B242" s="281" t="s">
        <v>1305</v>
      </c>
      <c r="C242" s="49" t="s">
        <v>1313</v>
      </c>
      <c r="D242" s="144">
        <v>90</v>
      </c>
      <c r="F242" s="24">
        <f>D242*$F$191</f>
        <v>22.668299999999999</v>
      </c>
      <c r="G242" s="105">
        <f>D242*$G$191</f>
        <v>11.447099999999999</v>
      </c>
      <c r="H242" s="310"/>
      <c r="I242" s="310"/>
      <c r="J242" s="310"/>
      <c r="K242" s="310"/>
      <c r="L242" s="310"/>
      <c r="M242" s="310"/>
      <c r="N242" s="310"/>
    </row>
    <row r="243" spans="1:14" x14ac:dyDescent="0.25">
      <c r="A243" s="281" t="s">
        <v>1314</v>
      </c>
      <c r="B243" s="281" t="s">
        <v>1305</v>
      </c>
      <c r="C243" s="49" t="s">
        <v>1315</v>
      </c>
      <c r="D243" s="144">
        <v>18</v>
      </c>
      <c r="F243" s="24">
        <f>D243*$F$191</f>
        <v>4.5336599999999994</v>
      </c>
      <c r="G243" s="105">
        <f>D243*$G$191</f>
        <v>2.2894199999999998</v>
      </c>
      <c r="H243" s="310"/>
      <c r="I243" s="310"/>
      <c r="J243" s="310"/>
      <c r="K243" s="310"/>
      <c r="L243" s="310"/>
      <c r="M243" s="310"/>
      <c r="N243" s="310"/>
    </row>
    <row r="244" spans="1:14" x14ac:dyDescent="0.25">
      <c r="A244" s="281" t="s">
        <v>1316</v>
      </c>
      <c r="B244" s="281" t="s">
        <v>1305</v>
      </c>
      <c r="C244" s="49" t="s">
        <v>1317</v>
      </c>
      <c r="D244" s="176">
        <v>36</v>
      </c>
      <c r="F244" s="24">
        <f>D244*$F$191</f>
        <v>9.0673199999999987</v>
      </c>
      <c r="G244" s="105">
        <f>D244*$G$191</f>
        <v>4.5788399999999996</v>
      </c>
      <c r="H244" s="310"/>
      <c r="I244" s="310"/>
      <c r="J244" s="310"/>
      <c r="K244" s="310"/>
      <c r="L244" s="310"/>
      <c r="M244" s="310"/>
      <c r="N244" s="310"/>
    </row>
    <row r="245" spans="1:14" x14ac:dyDescent="0.25">
      <c r="A245" s="281"/>
      <c r="B245" s="281"/>
      <c r="C245" s="49"/>
      <c r="D245" s="56"/>
      <c r="F245" s="24"/>
      <c r="G245" s="105"/>
      <c r="H245" s="310"/>
      <c r="I245" s="310"/>
      <c r="J245" s="310"/>
      <c r="K245" s="310"/>
      <c r="L245" s="310"/>
      <c r="M245" s="310"/>
      <c r="N245" s="310"/>
    </row>
    <row r="246" spans="1:14" ht="27.6" x14ac:dyDescent="0.25">
      <c r="A246" s="21" t="s">
        <v>1318</v>
      </c>
      <c r="B246" s="50"/>
      <c r="C246" s="50"/>
      <c r="D246" s="147"/>
      <c r="F246" s="147"/>
      <c r="G246" s="147"/>
      <c r="H246" s="310"/>
      <c r="I246" s="310"/>
      <c r="J246" s="310"/>
      <c r="K246" s="310"/>
      <c r="L246" s="310"/>
      <c r="M246" s="310"/>
      <c r="N246" s="310"/>
    </row>
    <row r="247" spans="1:14" ht="27.6" x14ac:dyDescent="0.25">
      <c r="A247" s="269" t="s">
        <v>1319</v>
      </c>
      <c r="B247" s="281" t="s">
        <v>1320</v>
      </c>
      <c r="C247" s="49" t="s">
        <v>1321</v>
      </c>
      <c r="D247" s="144">
        <v>11030</v>
      </c>
      <c r="F247" s="24">
        <f t="shared" ref="F247:F275" si="16">D247*$F$191</f>
        <v>2778.1261</v>
      </c>
      <c r="G247" s="105">
        <f t="shared" ref="G247:G275" si="17">D247*$G$191</f>
        <v>1402.9057</v>
      </c>
      <c r="H247" s="310"/>
      <c r="I247" s="310"/>
      <c r="J247" s="310"/>
      <c r="K247" s="310"/>
      <c r="L247" s="310"/>
      <c r="M247" s="310"/>
      <c r="N247" s="310"/>
    </row>
    <row r="248" spans="1:14" ht="41.4" x14ac:dyDescent="0.25">
      <c r="A248" s="269" t="s">
        <v>1322</v>
      </c>
      <c r="B248" s="281" t="s">
        <v>1323</v>
      </c>
      <c r="C248" s="49" t="s">
        <v>1324</v>
      </c>
      <c r="D248" s="144">
        <v>6</v>
      </c>
      <c r="F248" s="24">
        <f t="shared" si="16"/>
        <v>1.5112199999999998</v>
      </c>
      <c r="G248" s="105">
        <f t="shared" si="17"/>
        <v>0.76313999999999993</v>
      </c>
      <c r="H248" s="310"/>
      <c r="I248" s="310"/>
      <c r="J248" s="310"/>
      <c r="K248" s="310"/>
      <c r="L248" s="310"/>
      <c r="M248" s="310"/>
      <c r="N248" s="310"/>
    </row>
    <row r="249" spans="1:14" ht="41.4" x14ac:dyDescent="0.25">
      <c r="A249" s="269" t="s">
        <v>1325</v>
      </c>
      <c r="B249" s="281" t="s">
        <v>1326</v>
      </c>
      <c r="C249" s="49" t="s">
        <v>1327</v>
      </c>
      <c r="D249" s="250">
        <v>5</v>
      </c>
      <c r="F249" s="24">
        <f t="shared" si="16"/>
        <v>1.25935</v>
      </c>
      <c r="G249" s="105">
        <f t="shared" si="17"/>
        <v>0.63595000000000002</v>
      </c>
      <c r="H249" s="310"/>
      <c r="I249" s="310"/>
      <c r="J249" s="310"/>
      <c r="K249" s="310"/>
      <c r="L249" s="310"/>
      <c r="M249" s="310"/>
      <c r="N249" s="310"/>
    </row>
    <row r="250" spans="1:14" ht="41.4" x14ac:dyDescent="0.25">
      <c r="A250" s="269" t="s">
        <v>1328</v>
      </c>
      <c r="B250" s="281" t="s">
        <v>1329</v>
      </c>
      <c r="C250" s="49" t="s">
        <v>1330</v>
      </c>
      <c r="D250" s="250">
        <v>4</v>
      </c>
      <c r="F250" s="24">
        <f t="shared" si="16"/>
        <v>1.0074799999999999</v>
      </c>
      <c r="G250" s="105">
        <f t="shared" si="17"/>
        <v>0.50875999999999999</v>
      </c>
      <c r="H250" s="310"/>
      <c r="I250" s="310"/>
      <c r="J250" s="310"/>
      <c r="K250" s="310"/>
      <c r="L250" s="310"/>
      <c r="M250" s="310"/>
      <c r="N250" s="310"/>
    </row>
    <row r="251" spans="1:14" ht="41.4" x14ac:dyDescent="0.25">
      <c r="A251" s="269" t="s">
        <v>1331</v>
      </c>
      <c r="B251" s="281" t="s">
        <v>1332</v>
      </c>
      <c r="C251" s="49" t="s">
        <v>1333</v>
      </c>
      <c r="D251" s="250">
        <v>4</v>
      </c>
      <c r="F251" s="24">
        <f t="shared" si="16"/>
        <v>1.0074799999999999</v>
      </c>
      <c r="G251" s="105">
        <f t="shared" si="17"/>
        <v>0.50875999999999999</v>
      </c>
      <c r="H251" s="310"/>
      <c r="I251" s="310"/>
      <c r="J251" s="310"/>
      <c r="K251" s="310"/>
      <c r="L251" s="310"/>
      <c r="M251" s="310"/>
      <c r="N251" s="310"/>
    </row>
    <row r="252" spans="1:14" ht="27.6" x14ac:dyDescent="0.25">
      <c r="A252" s="269" t="s">
        <v>1334</v>
      </c>
      <c r="B252" s="281" t="s">
        <v>1335</v>
      </c>
      <c r="C252" s="49" t="s">
        <v>1336</v>
      </c>
      <c r="D252" s="250">
        <v>3</v>
      </c>
      <c r="F252" s="24">
        <f t="shared" si="16"/>
        <v>0.75560999999999989</v>
      </c>
      <c r="G252" s="105">
        <f t="shared" si="17"/>
        <v>0.38156999999999996</v>
      </c>
      <c r="H252" s="310"/>
      <c r="I252" s="310"/>
      <c r="J252" s="310"/>
      <c r="K252" s="310"/>
      <c r="L252" s="310"/>
      <c r="M252" s="310"/>
      <c r="N252" s="310"/>
    </row>
    <row r="253" spans="1:14" ht="27.6" x14ac:dyDescent="0.25">
      <c r="A253" s="269" t="s">
        <v>1337</v>
      </c>
      <c r="B253" s="281" t="s">
        <v>1338</v>
      </c>
      <c r="C253" s="49" t="s">
        <v>1339</v>
      </c>
      <c r="D253" s="250">
        <v>2</v>
      </c>
      <c r="F253" s="24">
        <f t="shared" si="16"/>
        <v>0.50373999999999997</v>
      </c>
      <c r="G253" s="105">
        <f t="shared" si="17"/>
        <v>0.25438</v>
      </c>
      <c r="H253" s="310"/>
      <c r="I253" s="310"/>
      <c r="J253" s="310"/>
      <c r="K253" s="310"/>
      <c r="L253" s="310"/>
      <c r="M253" s="310"/>
      <c r="N253" s="310"/>
    </row>
    <row r="254" spans="1:14" ht="27.6" x14ac:dyDescent="0.25">
      <c r="A254" s="269" t="s">
        <v>1340</v>
      </c>
      <c r="B254" s="281" t="s">
        <v>1341</v>
      </c>
      <c r="C254" s="49" t="s">
        <v>1342</v>
      </c>
      <c r="D254" s="250">
        <v>1</v>
      </c>
      <c r="F254" s="24">
        <f t="shared" si="16"/>
        <v>0.25186999999999998</v>
      </c>
      <c r="G254" s="105">
        <f t="shared" si="17"/>
        <v>0.12719</v>
      </c>
      <c r="H254" s="310"/>
      <c r="I254" s="310"/>
      <c r="J254" s="310"/>
      <c r="K254" s="310"/>
      <c r="L254" s="310"/>
      <c r="M254" s="310"/>
      <c r="N254" s="310"/>
    </row>
    <row r="255" spans="1:14" ht="27.6" x14ac:dyDescent="0.25">
      <c r="A255" s="269" t="s">
        <v>1343</v>
      </c>
      <c r="B255" s="281" t="s">
        <v>1344</v>
      </c>
      <c r="C255" s="49" t="s">
        <v>1345</v>
      </c>
      <c r="D255" s="250">
        <v>1</v>
      </c>
      <c r="F255" s="24">
        <f t="shared" si="16"/>
        <v>0.25186999999999998</v>
      </c>
      <c r="G255" s="105">
        <f t="shared" si="17"/>
        <v>0.12719</v>
      </c>
      <c r="H255" s="310"/>
      <c r="I255" s="310"/>
      <c r="J255" s="310"/>
      <c r="K255" s="310"/>
      <c r="L255" s="310"/>
      <c r="M255" s="310"/>
      <c r="N255" s="310"/>
    </row>
    <row r="256" spans="1:14" ht="27.6" x14ac:dyDescent="0.25">
      <c r="A256" s="269" t="s">
        <v>1346</v>
      </c>
      <c r="B256" s="281" t="s">
        <v>1347</v>
      </c>
      <c r="C256" s="49" t="s">
        <v>1348</v>
      </c>
      <c r="D256" s="250">
        <v>1</v>
      </c>
      <c r="F256" s="24">
        <f t="shared" si="16"/>
        <v>0.25186999999999998</v>
      </c>
      <c r="G256" s="105">
        <f t="shared" si="17"/>
        <v>0.12719</v>
      </c>
      <c r="H256" s="310"/>
      <c r="I256" s="310"/>
      <c r="J256" s="310"/>
      <c r="K256" s="310"/>
      <c r="L256" s="310"/>
      <c r="M256" s="310"/>
      <c r="N256" s="310"/>
    </row>
    <row r="257" spans="1:14" x14ac:dyDescent="0.25">
      <c r="A257" s="269" t="s">
        <v>1349</v>
      </c>
      <c r="B257" s="281" t="s">
        <v>1350</v>
      </c>
      <c r="C257" s="49" t="s">
        <v>1351</v>
      </c>
      <c r="D257" s="250">
        <v>25</v>
      </c>
      <c r="F257" s="24">
        <f t="shared" si="16"/>
        <v>6.2967499999999994</v>
      </c>
      <c r="G257" s="105">
        <f t="shared" si="17"/>
        <v>3.1797499999999999</v>
      </c>
      <c r="H257" s="310"/>
      <c r="I257" s="310"/>
      <c r="J257" s="310"/>
      <c r="K257" s="310"/>
      <c r="L257" s="310"/>
      <c r="M257" s="310"/>
      <c r="N257" s="310"/>
    </row>
    <row r="258" spans="1:14" x14ac:dyDescent="0.25">
      <c r="A258" s="269" t="s">
        <v>1352</v>
      </c>
      <c r="B258" s="281" t="s">
        <v>1353</v>
      </c>
      <c r="C258" s="49" t="s">
        <v>1354</v>
      </c>
      <c r="D258" s="250">
        <v>14</v>
      </c>
      <c r="F258" s="24">
        <f t="shared" si="16"/>
        <v>3.5261799999999996</v>
      </c>
      <c r="G258" s="105">
        <f t="shared" si="17"/>
        <v>1.7806599999999999</v>
      </c>
      <c r="H258" s="310"/>
      <c r="I258" s="310"/>
      <c r="J258" s="310"/>
      <c r="K258" s="310"/>
      <c r="L258" s="310"/>
      <c r="M258" s="310"/>
      <c r="N258" s="310"/>
    </row>
    <row r="259" spans="1:14" x14ac:dyDescent="0.25">
      <c r="A259" s="269" t="s">
        <v>1355</v>
      </c>
      <c r="B259" s="281" t="s">
        <v>1356</v>
      </c>
      <c r="C259" s="101" t="s">
        <v>1357</v>
      </c>
      <c r="D259" s="250">
        <v>3</v>
      </c>
      <c r="F259" s="24">
        <f t="shared" si="16"/>
        <v>0.75560999999999989</v>
      </c>
      <c r="G259" s="105">
        <f t="shared" si="17"/>
        <v>0.38156999999999996</v>
      </c>
      <c r="H259" s="310"/>
      <c r="I259" s="310"/>
      <c r="J259" s="310"/>
      <c r="K259" s="310"/>
      <c r="L259" s="310"/>
      <c r="M259" s="310"/>
      <c r="N259" s="310"/>
    </row>
    <row r="260" spans="1:14" x14ac:dyDescent="0.25">
      <c r="A260" s="269" t="s">
        <v>1358</v>
      </c>
      <c r="B260" s="281" t="s">
        <v>1359</v>
      </c>
      <c r="C260" s="101" t="s">
        <v>1360</v>
      </c>
      <c r="D260" s="250">
        <v>3</v>
      </c>
      <c r="F260" s="24">
        <f t="shared" si="16"/>
        <v>0.75560999999999989</v>
      </c>
      <c r="G260" s="105">
        <f t="shared" si="17"/>
        <v>0.38156999999999996</v>
      </c>
      <c r="H260" s="310"/>
      <c r="I260" s="310"/>
      <c r="J260" s="310"/>
      <c r="K260" s="310"/>
      <c r="L260" s="310"/>
      <c r="M260" s="310"/>
      <c r="N260" s="310"/>
    </row>
    <row r="261" spans="1:14" x14ac:dyDescent="0.25">
      <c r="A261" s="269" t="s">
        <v>1361</v>
      </c>
      <c r="B261" s="281" t="s">
        <v>1362</v>
      </c>
      <c r="C261" s="101" t="s">
        <v>1363</v>
      </c>
      <c r="D261" s="250">
        <v>2</v>
      </c>
      <c r="F261" s="24">
        <f t="shared" si="16"/>
        <v>0.50373999999999997</v>
      </c>
      <c r="G261" s="105">
        <f t="shared" si="17"/>
        <v>0.25438</v>
      </c>
      <c r="H261" s="310"/>
      <c r="I261" s="310"/>
      <c r="J261" s="310"/>
      <c r="K261" s="310"/>
      <c r="L261" s="310"/>
      <c r="M261" s="310"/>
      <c r="N261" s="310"/>
    </row>
    <row r="262" spans="1:14" x14ac:dyDescent="0.25">
      <c r="A262" s="269" t="s">
        <v>1364</v>
      </c>
      <c r="B262" s="281" t="s">
        <v>1365</v>
      </c>
      <c r="C262" s="101" t="s">
        <v>1366</v>
      </c>
      <c r="D262" s="250">
        <v>5</v>
      </c>
      <c r="F262" s="24">
        <f t="shared" si="16"/>
        <v>1.25935</v>
      </c>
      <c r="G262" s="105">
        <f t="shared" si="17"/>
        <v>0.63595000000000002</v>
      </c>
      <c r="H262" s="310"/>
      <c r="I262" s="310"/>
      <c r="J262" s="310"/>
      <c r="K262" s="310"/>
      <c r="L262" s="310"/>
      <c r="M262" s="310"/>
      <c r="N262" s="310"/>
    </row>
    <row r="263" spans="1:14" x14ac:dyDescent="0.25">
      <c r="A263" s="269" t="s">
        <v>1367</v>
      </c>
      <c r="B263" s="269" t="s">
        <v>1368</v>
      </c>
      <c r="C263" s="49" t="s">
        <v>1369</v>
      </c>
      <c r="D263" s="250">
        <v>150</v>
      </c>
      <c r="F263" s="24">
        <f t="shared" si="16"/>
        <v>37.780499999999996</v>
      </c>
      <c r="G263" s="105">
        <f t="shared" si="17"/>
        <v>19.078499999999998</v>
      </c>
      <c r="H263" s="310"/>
      <c r="I263" s="310"/>
      <c r="J263" s="310"/>
      <c r="K263" s="310"/>
      <c r="L263" s="310"/>
      <c r="M263" s="310"/>
      <c r="N263" s="310"/>
    </row>
    <row r="264" spans="1:14" x14ac:dyDescent="0.25">
      <c r="A264" s="269" t="s">
        <v>1370</v>
      </c>
      <c r="B264" s="281" t="s">
        <v>1371</v>
      </c>
      <c r="C264" s="49" t="s">
        <v>1372</v>
      </c>
      <c r="D264" s="250">
        <v>1</v>
      </c>
      <c r="F264" s="24">
        <f t="shared" si="16"/>
        <v>0.25186999999999998</v>
      </c>
      <c r="G264" s="105">
        <f t="shared" si="17"/>
        <v>0.12719</v>
      </c>
      <c r="H264" s="310"/>
      <c r="I264" s="310"/>
      <c r="J264" s="310"/>
      <c r="K264" s="310"/>
      <c r="L264" s="310"/>
      <c r="M264" s="310"/>
      <c r="N264" s="310"/>
    </row>
    <row r="265" spans="1:14" x14ac:dyDescent="0.25">
      <c r="A265" s="269" t="s">
        <v>1373</v>
      </c>
      <c r="B265" s="281" t="s">
        <v>1250</v>
      </c>
      <c r="C265" s="49" t="s">
        <v>1374</v>
      </c>
      <c r="D265" s="250">
        <v>75</v>
      </c>
      <c r="F265" s="24">
        <f t="shared" si="16"/>
        <v>18.890249999999998</v>
      </c>
      <c r="G265" s="105">
        <f t="shared" si="17"/>
        <v>9.5392499999999991</v>
      </c>
      <c r="H265" s="310"/>
      <c r="I265" s="310"/>
      <c r="J265" s="310"/>
      <c r="K265" s="310"/>
      <c r="L265" s="310"/>
      <c r="M265" s="310"/>
      <c r="N265" s="310"/>
    </row>
    <row r="266" spans="1:14" x14ac:dyDescent="0.25">
      <c r="A266" s="269" t="s">
        <v>1375</v>
      </c>
      <c r="B266" s="281" t="s">
        <v>1253</v>
      </c>
      <c r="C266" s="49" t="s">
        <v>1376</v>
      </c>
      <c r="D266" s="250">
        <v>36</v>
      </c>
      <c r="F266" s="24">
        <f t="shared" si="16"/>
        <v>9.0673199999999987</v>
      </c>
      <c r="G266" s="105">
        <f t="shared" si="17"/>
        <v>4.5788399999999996</v>
      </c>
      <c r="H266" s="310"/>
      <c r="I266" s="310"/>
      <c r="J266" s="310"/>
      <c r="K266" s="310"/>
      <c r="L266" s="310"/>
      <c r="M266" s="310"/>
      <c r="N266" s="310"/>
    </row>
    <row r="267" spans="1:14" x14ac:dyDescent="0.25">
      <c r="A267" s="269" t="s">
        <v>1377</v>
      </c>
      <c r="B267" s="281" t="s">
        <v>1256</v>
      </c>
      <c r="C267" s="49" t="s">
        <v>1378</v>
      </c>
      <c r="D267" s="250">
        <v>75</v>
      </c>
      <c r="F267" s="24">
        <f t="shared" si="16"/>
        <v>18.890249999999998</v>
      </c>
      <c r="G267" s="105">
        <f t="shared" si="17"/>
        <v>9.5392499999999991</v>
      </c>
      <c r="H267" s="310"/>
      <c r="I267" s="310"/>
      <c r="J267" s="310"/>
      <c r="K267" s="310"/>
      <c r="L267" s="310"/>
      <c r="M267" s="310"/>
      <c r="N267" s="310"/>
    </row>
    <row r="268" spans="1:14" x14ac:dyDescent="0.25">
      <c r="A268" s="269" t="s">
        <v>1379</v>
      </c>
      <c r="B268" s="281" t="s">
        <v>1259</v>
      </c>
      <c r="C268" s="49" t="s">
        <v>1380</v>
      </c>
      <c r="D268" s="250">
        <v>36</v>
      </c>
      <c r="F268" s="24">
        <f t="shared" si="16"/>
        <v>9.0673199999999987</v>
      </c>
      <c r="G268" s="105">
        <f t="shared" si="17"/>
        <v>4.5788399999999996</v>
      </c>
      <c r="H268" s="310"/>
      <c r="I268" s="310"/>
      <c r="J268" s="310"/>
      <c r="K268" s="310"/>
      <c r="L268" s="310"/>
      <c r="M268" s="310"/>
      <c r="N268" s="310"/>
    </row>
    <row r="269" spans="1:14" x14ac:dyDescent="0.25">
      <c r="A269" s="269" t="s">
        <v>1602</v>
      </c>
      <c r="B269" s="281" t="s">
        <v>1381</v>
      </c>
      <c r="C269" s="49" t="s">
        <v>1382</v>
      </c>
      <c r="D269" s="250">
        <v>25</v>
      </c>
      <c r="F269" s="24">
        <f t="shared" si="16"/>
        <v>6.2967499999999994</v>
      </c>
      <c r="G269" s="105">
        <f t="shared" si="17"/>
        <v>3.1797499999999999</v>
      </c>
      <c r="H269" s="310"/>
      <c r="I269" s="310"/>
      <c r="J269" s="310"/>
      <c r="K269" s="310"/>
      <c r="L269" s="310"/>
      <c r="M269" s="310"/>
      <c r="N269" s="310"/>
    </row>
    <row r="270" spans="1:14" x14ac:dyDescent="0.25">
      <c r="A270" s="269" t="s">
        <v>1383</v>
      </c>
      <c r="B270" s="281" t="s">
        <v>1383</v>
      </c>
      <c r="C270" s="49" t="s">
        <v>1384</v>
      </c>
      <c r="D270" s="250">
        <v>3</v>
      </c>
      <c r="F270" s="24">
        <f t="shared" si="16"/>
        <v>0.75560999999999989</v>
      </c>
      <c r="G270" s="105">
        <f t="shared" si="17"/>
        <v>0.38156999999999996</v>
      </c>
      <c r="H270" s="310"/>
      <c r="I270" s="310"/>
      <c r="J270" s="310"/>
      <c r="K270" s="310"/>
      <c r="L270" s="310"/>
      <c r="M270" s="310"/>
      <c r="N270" s="310"/>
    </row>
    <row r="271" spans="1:14" x14ac:dyDescent="0.25">
      <c r="A271" s="269" t="s">
        <v>1385</v>
      </c>
      <c r="B271" s="281" t="s">
        <v>1385</v>
      </c>
      <c r="C271" s="101" t="s">
        <v>1386</v>
      </c>
      <c r="D271" s="250">
        <v>2</v>
      </c>
      <c r="E271" s="310"/>
      <c r="F271" s="24">
        <f t="shared" si="16"/>
        <v>0.50373999999999997</v>
      </c>
      <c r="G271" s="105">
        <f t="shared" si="17"/>
        <v>0.25438</v>
      </c>
      <c r="H271" s="310"/>
      <c r="I271" s="310"/>
      <c r="J271" s="310"/>
      <c r="K271" s="310"/>
      <c r="L271" s="310"/>
      <c r="M271" s="310"/>
      <c r="N271" s="310"/>
    </row>
    <row r="272" spans="1:14" x14ac:dyDescent="0.25">
      <c r="A272" s="269" t="s">
        <v>1387</v>
      </c>
      <c r="B272" s="281" t="s">
        <v>1387</v>
      </c>
      <c r="C272" s="101" t="s">
        <v>1388</v>
      </c>
      <c r="D272" s="250">
        <v>4</v>
      </c>
      <c r="F272" s="24">
        <f t="shared" si="16"/>
        <v>1.0074799999999999</v>
      </c>
      <c r="G272" s="105">
        <f t="shared" si="17"/>
        <v>0.50875999999999999</v>
      </c>
    </row>
    <row r="273" spans="1:14" x14ac:dyDescent="0.25">
      <c r="A273" s="269" t="s">
        <v>1389</v>
      </c>
      <c r="B273" s="281" t="s">
        <v>1389</v>
      </c>
      <c r="C273" s="101" t="s">
        <v>1390</v>
      </c>
      <c r="D273" s="250">
        <v>4</v>
      </c>
      <c r="F273" s="24">
        <f t="shared" si="16"/>
        <v>1.0074799999999999</v>
      </c>
      <c r="G273" s="105">
        <f t="shared" si="17"/>
        <v>0.50875999999999999</v>
      </c>
    </row>
    <row r="274" spans="1:14" x14ac:dyDescent="0.25">
      <c r="A274" s="269" t="s">
        <v>1391</v>
      </c>
      <c r="B274" s="281" t="s">
        <v>1391</v>
      </c>
      <c r="C274" s="101" t="s">
        <v>1392</v>
      </c>
      <c r="D274" s="250">
        <v>4</v>
      </c>
      <c r="F274" s="24">
        <f t="shared" si="16"/>
        <v>1.0074799999999999</v>
      </c>
      <c r="G274" s="105">
        <f t="shared" si="17"/>
        <v>0.50875999999999999</v>
      </c>
    </row>
    <row r="275" spans="1:14" x14ac:dyDescent="0.25">
      <c r="A275" s="269" t="s">
        <v>1393</v>
      </c>
      <c r="B275" s="281" t="s">
        <v>1393</v>
      </c>
      <c r="C275" s="101" t="s">
        <v>1394</v>
      </c>
      <c r="D275" s="250">
        <v>3</v>
      </c>
      <c r="F275" s="24">
        <f t="shared" si="16"/>
        <v>0.75560999999999989</v>
      </c>
      <c r="G275" s="105">
        <f t="shared" si="17"/>
        <v>0.38156999999999996</v>
      </c>
    </row>
    <row r="276" spans="1:14" x14ac:dyDescent="0.25">
      <c r="A276" s="310"/>
      <c r="B276" s="310"/>
      <c r="C276" s="53"/>
    </row>
    <row r="277" spans="1:14" ht="27.6" x14ac:dyDescent="0.25">
      <c r="A277" s="92" t="s">
        <v>792</v>
      </c>
      <c r="B277" s="88" t="s">
        <v>126</v>
      </c>
      <c r="C277" s="88"/>
      <c r="D277" s="287" t="s">
        <v>142</v>
      </c>
      <c r="E277" s="88" t="s">
        <v>290</v>
      </c>
      <c r="F277" s="88" t="s">
        <v>292</v>
      </c>
      <c r="G277" s="88" t="s">
        <v>515</v>
      </c>
      <c r="H277" s="88" t="s">
        <v>516</v>
      </c>
      <c r="I277" s="88" t="s">
        <v>517</v>
      </c>
      <c r="J277" s="88" t="s">
        <v>518</v>
      </c>
      <c r="K277" s="88" t="s">
        <v>519</v>
      </c>
      <c r="L277" s="88" t="s">
        <v>520</v>
      </c>
      <c r="M277" s="88" t="s">
        <v>735</v>
      </c>
      <c r="N277" s="88" t="s">
        <v>733</v>
      </c>
    </row>
    <row r="278" spans="1:14" x14ac:dyDescent="0.25">
      <c r="A278" s="21" t="s">
        <v>1395</v>
      </c>
      <c r="B278" s="50"/>
      <c r="C278" s="50"/>
      <c r="D278" s="164"/>
      <c r="E278" s="50"/>
      <c r="F278" s="50"/>
      <c r="G278" s="50"/>
      <c r="H278" s="50"/>
      <c r="I278" s="50"/>
      <c r="J278" s="50"/>
      <c r="K278" s="50"/>
      <c r="L278" s="50"/>
      <c r="M278" s="50"/>
      <c r="N278" s="50"/>
    </row>
    <row r="279" spans="1:14" ht="27.6" x14ac:dyDescent="0.25">
      <c r="A279" s="269" t="s">
        <v>1396</v>
      </c>
      <c r="B279" s="281" t="s">
        <v>1397</v>
      </c>
      <c r="C279" s="101"/>
      <c r="D279" s="76">
        <v>110</v>
      </c>
      <c r="E279" s="113" t="s">
        <v>1398</v>
      </c>
      <c r="F279" s="156" t="s">
        <v>1399</v>
      </c>
      <c r="G279" s="156" t="s">
        <v>1400</v>
      </c>
      <c r="H279" s="156" t="s">
        <v>1401</v>
      </c>
      <c r="I279" s="156" t="s">
        <v>1402</v>
      </c>
      <c r="J279" s="156" t="s">
        <v>1605</v>
      </c>
      <c r="K279" s="156" t="s">
        <v>1403</v>
      </c>
      <c r="L279" s="156" t="s">
        <v>1404</v>
      </c>
      <c r="M279" s="123" t="s">
        <v>1485</v>
      </c>
      <c r="N279" s="123" t="s">
        <v>1405</v>
      </c>
    </row>
  </sheetData>
  <mergeCells count="3">
    <mergeCell ref="F192:G192"/>
    <mergeCell ref="F10:G10"/>
    <mergeCell ref="H10:I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83E5F-B9AB-432A-99F7-E647F9A0ACB2}">
  <sheetPr>
    <tabColor rgb="FF00B0F0"/>
  </sheetPr>
  <dimension ref="A7:O15"/>
  <sheetViews>
    <sheetView zoomScale="80" zoomScaleNormal="80" workbookViewId="0">
      <selection activeCell="L26" sqref="L26"/>
    </sheetView>
  </sheetViews>
  <sheetFormatPr baseColWidth="10" defaultColWidth="11.44140625" defaultRowHeight="13.8" x14ac:dyDescent="0.3"/>
  <cols>
    <col min="1" max="1" width="22.44140625" style="310" customWidth="1"/>
    <col min="2" max="2" width="11.6640625" style="310" customWidth="1"/>
    <col min="3" max="3" width="64.6640625" style="310" bestFit="1" customWidth="1"/>
    <col min="4" max="4" width="20.77734375" style="310" bestFit="1" customWidth="1"/>
    <col min="5" max="5" width="9.88671875" style="310" bestFit="1" customWidth="1"/>
    <col min="6" max="6" width="19.44140625" style="310" bestFit="1" customWidth="1"/>
    <col min="7" max="7" width="5.77734375" style="310" customWidth="1"/>
    <col min="8" max="8" width="35.6640625" style="310" bestFit="1" customWidth="1"/>
    <col min="9" max="9" width="19" style="310" bestFit="1" customWidth="1"/>
    <col min="10" max="10" width="11" style="310" bestFit="1" customWidth="1"/>
    <col min="11" max="11" width="11.44140625" style="310"/>
    <col min="12" max="12" width="31.109375" style="53" customWidth="1"/>
    <col min="13" max="13" width="30.5546875" style="53" customWidth="1"/>
    <col min="14" max="14" width="30.109375" style="53" customWidth="1"/>
    <col min="15" max="15" width="29.77734375" style="53" customWidth="1"/>
    <col min="16" max="16384" width="11.44140625" style="310"/>
  </cols>
  <sheetData>
    <row r="7" spans="1:15" ht="15.6" x14ac:dyDescent="0.3">
      <c r="A7" s="357" t="s">
        <v>122</v>
      </c>
      <c r="L7" s="405" t="s">
        <v>1421</v>
      </c>
      <c r="M7" s="406"/>
      <c r="N7" s="406"/>
      <c r="O7" s="407"/>
    </row>
    <row r="8" spans="1:15" s="306" customFormat="1" ht="27.6" x14ac:dyDescent="0.3">
      <c r="A8" s="357" t="s">
        <v>1626</v>
      </c>
      <c r="B8" s="286"/>
      <c r="C8" s="286"/>
      <c r="D8" s="286"/>
      <c r="E8" s="286"/>
      <c r="F8" s="286"/>
      <c r="G8" s="286"/>
      <c r="H8" s="310"/>
      <c r="L8" s="59" t="s">
        <v>1422</v>
      </c>
      <c r="M8" s="59" t="s">
        <v>1422</v>
      </c>
      <c r="N8" s="59" t="s">
        <v>1422</v>
      </c>
      <c r="O8" s="59" t="s">
        <v>1422</v>
      </c>
    </row>
    <row r="9" spans="1:15" s="306" customFormat="1" x14ac:dyDescent="0.25">
      <c r="A9" s="286"/>
      <c r="B9" s="286"/>
      <c r="C9" s="286"/>
      <c r="D9" s="286"/>
      <c r="E9" s="286"/>
      <c r="F9" s="286"/>
      <c r="G9" s="286"/>
      <c r="H9" s="311"/>
      <c r="L9" s="261">
        <v>0.1983</v>
      </c>
      <c r="M9" s="261">
        <v>0.1099</v>
      </c>
      <c r="N9" s="261">
        <v>0.20430000000000001</v>
      </c>
      <c r="O9" s="261">
        <v>0.1159</v>
      </c>
    </row>
    <row r="10" spans="1:15" x14ac:dyDescent="0.3">
      <c r="A10" s="400" t="s">
        <v>1406</v>
      </c>
      <c r="B10" s="401"/>
      <c r="C10" s="401"/>
      <c r="D10" s="401"/>
      <c r="E10" s="401"/>
      <c r="F10" s="401"/>
      <c r="G10" s="401"/>
      <c r="H10" s="401"/>
      <c r="I10" s="401"/>
      <c r="J10" s="402"/>
      <c r="L10" s="403" t="s">
        <v>1423</v>
      </c>
      <c r="M10" s="404"/>
      <c r="N10" s="408" t="s">
        <v>1424</v>
      </c>
      <c r="O10" s="408"/>
    </row>
    <row r="11" spans="1:15" s="53" customFormat="1" x14ac:dyDescent="0.3">
      <c r="A11" s="70" t="s">
        <v>1407</v>
      </c>
      <c r="B11" s="130" t="s">
        <v>129</v>
      </c>
      <c r="C11" s="70" t="s">
        <v>1408</v>
      </c>
      <c r="D11" s="70" t="s">
        <v>1409</v>
      </c>
      <c r="E11" s="70" t="s">
        <v>1410</v>
      </c>
      <c r="F11" s="70" t="s">
        <v>1411</v>
      </c>
      <c r="G11" s="70" t="s">
        <v>1412</v>
      </c>
      <c r="H11" s="70" t="s">
        <v>1603</v>
      </c>
      <c r="I11" s="136" t="s">
        <v>1413</v>
      </c>
      <c r="J11" s="59" t="s">
        <v>142</v>
      </c>
      <c r="L11" s="283" t="s">
        <v>1425</v>
      </c>
      <c r="M11" s="96" t="s">
        <v>1426</v>
      </c>
      <c r="N11" s="283" t="s">
        <v>1425</v>
      </c>
      <c r="O11" s="96" t="s">
        <v>1426</v>
      </c>
    </row>
    <row r="12" spans="1:15" x14ac:dyDescent="0.3">
      <c r="A12" s="397" t="s">
        <v>1604</v>
      </c>
      <c r="B12" s="398"/>
      <c r="C12" s="398"/>
      <c r="D12" s="398"/>
      <c r="E12" s="398"/>
      <c r="F12" s="398"/>
      <c r="G12" s="398"/>
      <c r="H12" s="398"/>
      <c r="I12" s="398"/>
      <c r="J12" s="399"/>
    </row>
    <row r="13" spans="1:15" s="360" customFormat="1" x14ac:dyDescent="0.3">
      <c r="A13" s="358" t="s">
        <v>1484</v>
      </c>
      <c r="B13" s="359" t="s">
        <v>1580</v>
      </c>
      <c r="C13" s="359" t="s">
        <v>1417</v>
      </c>
      <c r="D13" s="359" t="s">
        <v>1480</v>
      </c>
      <c r="E13" s="359" t="s">
        <v>1414</v>
      </c>
      <c r="F13" s="359" t="s">
        <v>1481</v>
      </c>
      <c r="G13" s="359" t="s">
        <v>1418</v>
      </c>
      <c r="H13" s="359" t="s">
        <v>1482</v>
      </c>
      <c r="I13" s="359" t="s">
        <v>1483</v>
      </c>
      <c r="J13" s="237">
        <v>707</v>
      </c>
      <c r="L13" s="362">
        <f>J13*$L$9</f>
        <v>140.19810000000001</v>
      </c>
      <c r="M13" s="362">
        <f>J13*$M$9</f>
        <v>77.699299999999994</v>
      </c>
      <c r="N13" s="362">
        <f>J13*$N$9</f>
        <v>144.4401</v>
      </c>
      <c r="O13" s="362">
        <f>J13*$O$9</f>
        <v>81.941299999999998</v>
      </c>
    </row>
    <row r="14" spans="1:15" s="216" customFormat="1" x14ac:dyDescent="0.3">
      <c r="A14" s="358" t="s">
        <v>1484</v>
      </c>
      <c r="B14" s="227" t="s">
        <v>1419</v>
      </c>
      <c r="C14" s="359" t="s">
        <v>1579</v>
      </c>
      <c r="D14" s="227" t="s">
        <v>1480</v>
      </c>
      <c r="E14" s="227" t="s">
        <v>1414</v>
      </c>
      <c r="F14" s="227" t="s">
        <v>1481</v>
      </c>
      <c r="G14" s="227" t="s">
        <v>294</v>
      </c>
      <c r="H14" s="227" t="s">
        <v>1420</v>
      </c>
      <c r="I14" s="361" t="s">
        <v>1416</v>
      </c>
      <c r="J14" s="237">
        <v>616</v>
      </c>
      <c r="L14" s="362">
        <f>J14*$L$9</f>
        <v>122.1528</v>
      </c>
      <c r="M14" s="362">
        <f>J14*$M$9</f>
        <v>67.698399999999992</v>
      </c>
      <c r="N14" s="362">
        <f>J14*$N$9</f>
        <v>125.84880000000001</v>
      </c>
      <c r="O14" s="362">
        <f>J14*$O$9</f>
        <v>71.394400000000005</v>
      </c>
    </row>
    <row r="15" spans="1:15" x14ac:dyDescent="0.25">
      <c r="I15" s="311"/>
    </row>
  </sheetData>
  <mergeCells count="5">
    <mergeCell ref="A12:J12"/>
    <mergeCell ref="L7:O7"/>
    <mergeCell ref="L10:M10"/>
    <mergeCell ref="N10:O10"/>
    <mergeCell ref="A10:J10"/>
  </mergeCells>
  <conditionalFormatting sqref="B11">
    <cfRule type="duplicateValues" dxfId="7" priority="2"/>
    <cfRule type="duplicateValues" dxfId="6" priority="3"/>
    <cfRule type="duplicateValues" dxfId="5" priority="4"/>
  </conditionalFormatting>
  <conditionalFormatting sqref="B14">
    <cfRule type="duplicateValues" dxfId="4"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ED45-919A-4BC6-B47F-0F657A5C3AEE}">
  <sheetPr>
    <tabColor rgb="FFFFC000"/>
  </sheetPr>
  <dimension ref="A1:AQ402"/>
  <sheetViews>
    <sheetView zoomScale="80" zoomScaleNormal="80" workbookViewId="0">
      <selection activeCell="B392" sqref="B392"/>
    </sheetView>
  </sheetViews>
  <sheetFormatPr baseColWidth="10" defaultColWidth="51.33203125" defaultRowHeight="13.8" x14ac:dyDescent="0.3"/>
  <cols>
    <col min="1" max="1" width="145.109375" style="307" bestFit="1" customWidth="1"/>
    <col min="2" max="2" width="112.88671875" style="307" bestFit="1" customWidth="1"/>
    <col min="3" max="3" width="5.5546875" style="308" bestFit="1" customWidth="1"/>
    <col min="4" max="4" width="4.6640625" style="308" bestFit="1" customWidth="1"/>
    <col min="5" max="5" width="13.77734375" style="265" bestFit="1" customWidth="1"/>
    <col min="6" max="6" width="18.88671875" style="265" bestFit="1" customWidth="1"/>
    <col min="7" max="7" width="11" style="265" bestFit="1" customWidth="1"/>
    <col min="8" max="8" width="10" style="265" bestFit="1" customWidth="1"/>
    <col min="9" max="9" width="12.6640625" style="265" bestFit="1" customWidth="1"/>
    <col min="10" max="10" width="11.6640625" style="198" bestFit="1" customWidth="1"/>
    <col min="11" max="11" width="15.109375" style="211" bestFit="1" customWidth="1"/>
    <col min="12" max="12" width="18.33203125" style="329" customWidth="1"/>
    <col min="13" max="13" width="15.109375" style="329" bestFit="1" customWidth="1"/>
    <col min="14" max="15" width="13.44140625" style="329" bestFit="1" customWidth="1"/>
    <col min="16" max="16" width="11.21875" style="329" bestFit="1" customWidth="1"/>
    <col min="17" max="17" width="13.6640625" style="329" bestFit="1" customWidth="1"/>
    <col min="18" max="18" width="25.77734375" style="329" bestFit="1" customWidth="1"/>
    <col min="19" max="43" width="51.33203125" style="329"/>
    <col min="44" max="16384" width="51.33203125" style="307"/>
  </cols>
  <sheetData>
    <row r="1" spans="1:43" x14ac:dyDescent="0.3">
      <c r="E1" s="265" t="s">
        <v>121</v>
      </c>
    </row>
    <row r="7" spans="1:43" s="330" customFormat="1" ht="30.6" customHeight="1" x14ac:dyDescent="0.3">
      <c r="A7" s="151" t="s">
        <v>122</v>
      </c>
      <c r="B7" s="286"/>
      <c r="C7" s="47"/>
      <c r="D7" s="47"/>
      <c r="E7" s="150"/>
      <c r="F7" s="150"/>
      <c r="G7" s="150"/>
      <c r="H7" s="150"/>
      <c r="I7" s="150"/>
      <c r="J7" s="150"/>
      <c r="K7" s="222"/>
      <c r="L7" s="409" t="s">
        <v>1428</v>
      </c>
      <c r="M7" s="409"/>
      <c r="N7" s="409"/>
      <c r="O7" s="409"/>
      <c r="P7" s="409"/>
      <c r="Q7" s="409"/>
      <c r="R7" s="409"/>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c r="AQ7" s="221"/>
    </row>
    <row r="8" spans="1:43" s="330" customFormat="1" ht="31.2" x14ac:dyDescent="0.3">
      <c r="A8" s="151" t="s">
        <v>123</v>
      </c>
      <c r="B8" s="286"/>
      <c r="C8" s="47"/>
      <c r="D8" s="47"/>
      <c r="E8" s="150"/>
      <c r="F8" s="150"/>
      <c r="G8" s="150"/>
      <c r="H8" s="150"/>
      <c r="I8" s="150"/>
      <c r="J8" s="150"/>
      <c r="K8" s="307"/>
      <c r="L8" s="334" t="s">
        <v>1429</v>
      </c>
      <c r="M8" s="334" t="s">
        <v>1430</v>
      </c>
      <c r="N8" s="334" t="s">
        <v>1431</v>
      </c>
      <c r="O8" s="334" t="s">
        <v>1432</v>
      </c>
      <c r="P8" s="334" t="s">
        <v>1433</v>
      </c>
      <c r="Q8" s="334" t="s">
        <v>1434</v>
      </c>
      <c r="R8" s="334" t="s">
        <v>1435</v>
      </c>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row>
    <row r="9" spans="1:43" s="330" customFormat="1" x14ac:dyDescent="0.3">
      <c r="A9" s="47"/>
      <c r="B9" s="47"/>
      <c r="C9" s="47"/>
      <c r="D9" s="47"/>
      <c r="E9" s="150"/>
      <c r="F9" s="150"/>
      <c r="G9" s="150"/>
      <c r="H9" s="150"/>
      <c r="I9" s="150"/>
      <c r="J9" s="150"/>
      <c r="K9" s="255"/>
      <c r="L9" s="335">
        <v>0.3765</v>
      </c>
      <c r="M9" s="335">
        <v>0.3765</v>
      </c>
      <c r="N9" s="335">
        <v>0.45200000000000001</v>
      </c>
      <c r="O9" s="335">
        <v>0.379</v>
      </c>
      <c r="P9" s="335">
        <v>0.499</v>
      </c>
      <c r="Q9" s="335">
        <v>0.43</v>
      </c>
      <c r="R9" s="335">
        <v>0.48299999999999998</v>
      </c>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row>
    <row r="10" spans="1:43" s="224" customFormat="1" x14ac:dyDescent="0.3">
      <c r="A10" s="271" t="s">
        <v>124</v>
      </c>
      <c r="B10" s="271"/>
      <c r="C10" s="271"/>
      <c r="D10" s="271"/>
      <c r="E10" s="271"/>
      <c r="F10" s="271"/>
      <c r="G10" s="271"/>
      <c r="H10" s="271"/>
      <c r="I10" s="271"/>
      <c r="J10" s="271"/>
      <c r="K10" s="266"/>
      <c r="L10" s="403" t="s">
        <v>1436</v>
      </c>
      <c r="M10" s="410"/>
      <c r="N10" s="410"/>
      <c r="O10" s="410"/>
      <c r="P10" s="410"/>
      <c r="Q10" s="410"/>
      <c r="R10" s="404"/>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row>
    <row r="11" spans="1:43" s="13" customFormat="1" ht="82.8" x14ac:dyDescent="0.3">
      <c r="A11" s="22" t="s">
        <v>125</v>
      </c>
      <c r="B11" s="22" t="s">
        <v>126</v>
      </c>
      <c r="C11" s="22" t="s">
        <v>127</v>
      </c>
      <c r="D11" s="22" t="s">
        <v>128</v>
      </c>
      <c r="E11" s="22"/>
      <c r="F11" s="22"/>
      <c r="G11" s="22"/>
      <c r="H11" s="22"/>
      <c r="I11" s="22"/>
      <c r="J11" s="22"/>
      <c r="K11" s="264" t="s">
        <v>130</v>
      </c>
      <c r="L11" s="336" t="s">
        <v>1437</v>
      </c>
      <c r="M11" s="336" t="s">
        <v>1437</v>
      </c>
      <c r="N11" s="336" t="s">
        <v>1437</v>
      </c>
      <c r="O11" s="336" t="s">
        <v>1437</v>
      </c>
      <c r="P11" s="336" t="s">
        <v>1437</v>
      </c>
      <c r="Q11" s="336" t="s">
        <v>1437</v>
      </c>
      <c r="R11" s="336" t="s">
        <v>1437</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row>
    <row r="12" spans="1:43" s="330" customFormat="1" ht="165.6" x14ac:dyDescent="0.3">
      <c r="A12" s="156" t="s">
        <v>1607</v>
      </c>
      <c r="B12" s="168" t="s">
        <v>131</v>
      </c>
      <c r="C12" s="159"/>
      <c r="D12" s="159"/>
      <c r="E12" s="54"/>
      <c r="F12" s="54"/>
      <c r="G12" s="54"/>
      <c r="H12" s="54"/>
      <c r="I12" s="54"/>
      <c r="J12" s="54"/>
      <c r="K12" s="143">
        <v>361</v>
      </c>
      <c r="L12" s="234">
        <f>K12*$L$9</f>
        <v>135.91650000000001</v>
      </c>
      <c r="M12" s="234">
        <f>K12*$M$9</f>
        <v>135.91650000000001</v>
      </c>
      <c r="N12" s="234">
        <f>K12*$N$9</f>
        <v>163.172</v>
      </c>
      <c r="O12" s="234">
        <f>K12*$O$9</f>
        <v>136.81899999999999</v>
      </c>
      <c r="P12" s="234">
        <f>K12*$P$9</f>
        <v>180.13900000000001</v>
      </c>
      <c r="Q12" s="234">
        <f>K12*$Q$9</f>
        <v>155.22999999999999</v>
      </c>
      <c r="R12" s="234">
        <f>K12*$R$9</f>
        <v>174.363</v>
      </c>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row>
    <row r="13" spans="1:43" s="330" customFormat="1" x14ac:dyDescent="0.3">
      <c r="A13" s="303"/>
      <c r="B13" s="168"/>
      <c r="C13" s="159"/>
      <c r="D13" s="159"/>
      <c r="E13" s="54"/>
      <c r="F13" s="54"/>
      <c r="G13" s="54"/>
      <c r="H13" s="54"/>
      <c r="I13" s="54"/>
      <c r="J13" s="54"/>
      <c r="K13" s="236"/>
      <c r="L13" s="234"/>
      <c r="M13" s="234"/>
      <c r="N13" s="234"/>
      <c r="O13" s="234"/>
      <c r="P13" s="234"/>
      <c r="Q13" s="234"/>
      <c r="R13" s="234"/>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row>
    <row r="14" spans="1:43" s="330" customFormat="1" ht="165.6" x14ac:dyDescent="0.3">
      <c r="A14" s="303" t="s">
        <v>1608</v>
      </c>
      <c r="B14" s="168" t="s">
        <v>132</v>
      </c>
      <c r="C14" s="159"/>
      <c r="D14" s="159"/>
      <c r="E14" s="54"/>
      <c r="F14" s="54"/>
      <c r="G14" s="54"/>
      <c r="H14" s="54"/>
      <c r="I14" s="54"/>
      <c r="J14" s="54"/>
      <c r="K14" s="143">
        <v>341</v>
      </c>
      <c r="L14" s="234">
        <f t="shared" ref="L14:L73" si="0">K14*$L$9</f>
        <v>128.38650000000001</v>
      </c>
      <c r="M14" s="234">
        <f t="shared" ref="M14:M73" si="1">K14*$M$9</f>
        <v>128.38650000000001</v>
      </c>
      <c r="N14" s="234">
        <f t="shared" ref="N14:N73" si="2">K14*$N$9</f>
        <v>154.13200000000001</v>
      </c>
      <c r="O14" s="234">
        <f t="shared" ref="O14:O73" si="3">K14*$O$9</f>
        <v>129.239</v>
      </c>
      <c r="P14" s="234">
        <f t="shared" ref="P14:P73" si="4">K14*$P$9</f>
        <v>170.15899999999999</v>
      </c>
      <c r="Q14" s="234">
        <f t="shared" ref="Q14:Q73" si="5">K14*$Q$9</f>
        <v>146.63</v>
      </c>
      <c r="R14" s="234">
        <f t="shared" ref="R14:R73" si="6">K14*$R$9</f>
        <v>164.703</v>
      </c>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row>
    <row r="15" spans="1:43" s="330" customFormat="1" x14ac:dyDescent="0.3">
      <c r="A15" s="303"/>
      <c r="B15" s="168"/>
      <c r="C15" s="159"/>
      <c r="D15" s="159"/>
      <c r="E15" s="54"/>
      <c r="F15" s="54"/>
      <c r="G15" s="54"/>
      <c r="H15" s="54"/>
      <c r="I15" s="54"/>
      <c r="J15" s="54"/>
      <c r="K15" s="233"/>
      <c r="L15" s="234"/>
      <c r="M15" s="234"/>
      <c r="N15" s="234"/>
      <c r="O15" s="234"/>
      <c r="P15" s="234"/>
      <c r="Q15" s="234"/>
      <c r="R15" s="234"/>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row>
    <row r="16" spans="1:43" s="330" customFormat="1" ht="165.6" x14ac:dyDescent="0.3">
      <c r="A16" s="156" t="s">
        <v>1609</v>
      </c>
      <c r="B16" s="168" t="s">
        <v>133</v>
      </c>
      <c r="C16" s="159"/>
      <c r="D16" s="159"/>
      <c r="E16" s="54"/>
      <c r="F16" s="54"/>
      <c r="G16" s="54"/>
      <c r="H16" s="54"/>
      <c r="I16" s="54"/>
      <c r="J16" s="54"/>
      <c r="K16" s="143">
        <v>361</v>
      </c>
      <c r="L16" s="234">
        <f t="shared" si="0"/>
        <v>135.91650000000001</v>
      </c>
      <c r="M16" s="234">
        <f t="shared" si="1"/>
        <v>135.91650000000001</v>
      </c>
      <c r="N16" s="234">
        <f t="shared" si="2"/>
        <v>163.172</v>
      </c>
      <c r="O16" s="234">
        <f t="shared" si="3"/>
        <v>136.81899999999999</v>
      </c>
      <c r="P16" s="234">
        <f t="shared" si="4"/>
        <v>180.13900000000001</v>
      </c>
      <c r="Q16" s="234">
        <f t="shared" si="5"/>
        <v>155.22999999999999</v>
      </c>
      <c r="R16" s="234">
        <f t="shared" si="6"/>
        <v>174.363</v>
      </c>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row>
    <row r="17" spans="1:43" x14ac:dyDescent="0.3">
      <c r="A17" s="303"/>
      <c r="B17" s="168"/>
      <c r="C17" s="159"/>
      <c r="D17" s="159"/>
      <c r="E17" s="54"/>
      <c r="F17" s="54"/>
      <c r="G17" s="54"/>
      <c r="H17" s="54"/>
      <c r="I17" s="54"/>
      <c r="J17" s="54"/>
      <c r="K17" s="234"/>
      <c r="L17" s="234"/>
      <c r="M17" s="234"/>
      <c r="N17" s="234"/>
      <c r="O17" s="234"/>
      <c r="P17" s="234"/>
      <c r="Q17" s="234"/>
      <c r="R17" s="234"/>
    </row>
    <row r="18" spans="1:43" ht="165.6" x14ac:dyDescent="0.3">
      <c r="A18" s="270" t="s">
        <v>1610</v>
      </c>
      <c r="B18" s="168" t="s">
        <v>134</v>
      </c>
      <c r="C18" s="159"/>
      <c r="D18" s="159"/>
      <c r="E18" s="54"/>
      <c r="F18" s="54"/>
      <c r="G18" s="54"/>
      <c r="H18" s="54"/>
      <c r="I18" s="54"/>
      <c r="J18" s="54"/>
      <c r="K18" s="143">
        <v>341</v>
      </c>
      <c r="L18" s="234">
        <f t="shared" si="0"/>
        <v>128.38650000000001</v>
      </c>
      <c r="M18" s="234">
        <f t="shared" si="1"/>
        <v>128.38650000000001</v>
      </c>
      <c r="N18" s="234">
        <f t="shared" si="2"/>
        <v>154.13200000000001</v>
      </c>
      <c r="O18" s="234">
        <f t="shared" si="3"/>
        <v>129.239</v>
      </c>
      <c r="P18" s="234">
        <f t="shared" si="4"/>
        <v>170.15899999999999</v>
      </c>
      <c r="Q18" s="234">
        <f t="shared" si="5"/>
        <v>146.63</v>
      </c>
      <c r="R18" s="234">
        <f t="shared" si="6"/>
        <v>164.703</v>
      </c>
    </row>
    <row r="19" spans="1:43" x14ac:dyDescent="0.3">
      <c r="A19" s="303"/>
      <c r="B19" s="168"/>
      <c r="C19" s="159"/>
      <c r="D19" s="159"/>
      <c r="E19" s="54"/>
      <c r="F19" s="54"/>
      <c r="G19" s="54"/>
      <c r="H19" s="54"/>
      <c r="I19" s="54"/>
      <c r="J19" s="54"/>
      <c r="K19" s="234"/>
      <c r="L19" s="234"/>
      <c r="M19" s="234"/>
      <c r="N19" s="234"/>
      <c r="O19" s="234"/>
      <c r="P19" s="234"/>
      <c r="Q19" s="234"/>
      <c r="R19" s="234"/>
    </row>
    <row r="20" spans="1:43" ht="151.80000000000001" x14ac:dyDescent="0.3">
      <c r="A20" s="125" t="s">
        <v>1611</v>
      </c>
      <c r="B20" s="168" t="s">
        <v>135</v>
      </c>
      <c r="C20" s="159"/>
      <c r="D20" s="159"/>
      <c r="E20" s="54"/>
      <c r="F20" s="54"/>
      <c r="G20" s="54"/>
      <c r="H20" s="54"/>
      <c r="I20" s="54"/>
      <c r="J20" s="54"/>
      <c r="K20" s="143">
        <v>449</v>
      </c>
      <c r="L20" s="234">
        <f t="shared" si="0"/>
        <v>169.04849999999999</v>
      </c>
      <c r="M20" s="234">
        <f t="shared" si="1"/>
        <v>169.04849999999999</v>
      </c>
      <c r="N20" s="234">
        <f t="shared" si="2"/>
        <v>202.94800000000001</v>
      </c>
      <c r="O20" s="234">
        <f t="shared" si="3"/>
        <v>170.17099999999999</v>
      </c>
      <c r="P20" s="234">
        <f t="shared" si="4"/>
        <v>224.05099999999999</v>
      </c>
      <c r="Q20" s="234">
        <f t="shared" si="5"/>
        <v>193.07</v>
      </c>
      <c r="R20" s="234">
        <f t="shared" si="6"/>
        <v>216.86699999999999</v>
      </c>
    </row>
    <row r="21" spans="1:43" x14ac:dyDescent="0.3">
      <c r="A21" s="303"/>
      <c r="B21" s="168"/>
      <c r="C21" s="159"/>
      <c r="D21" s="159"/>
      <c r="E21" s="54"/>
      <c r="F21" s="54"/>
      <c r="G21" s="54"/>
      <c r="H21" s="54"/>
      <c r="I21" s="54"/>
      <c r="J21" s="54"/>
      <c r="K21" s="234"/>
      <c r="L21" s="234"/>
      <c r="M21" s="234"/>
      <c r="N21" s="234"/>
      <c r="O21" s="234"/>
      <c r="P21" s="234"/>
      <c r="Q21" s="234"/>
      <c r="R21" s="234"/>
    </row>
    <row r="22" spans="1:43" s="16" customFormat="1" ht="27.6" x14ac:dyDescent="0.3">
      <c r="A22" s="276" t="s">
        <v>136</v>
      </c>
      <c r="B22" s="22" t="s">
        <v>126</v>
      </c>
      <c r="C22" s="22" t="s">
        <v>127</v>
      </c>
      <c r="D22" s="22" t="s">
        <v>128</v>
      </c>
      <c r="E22" s="22" t="s">
        <v>137</v>
      </c>
      <c r="F22" s="22" t="s">
        <v>138</v>
      </c>
      <c r="G22" s="22" t="s">
        <v>139</v>
      </c>
      <c r="H22" s="22" t="s">
        <v>140</v>
      </c>
      <c r="I22" s="22" t="s">
        <v>141</v>
      </c>
      <c r="J22" s="22"/>
      <c r="K22" s="14"/>
      <c r="L22" s="14"/>
      <c r="M22" s="14"/>
      <c r="N22" s="14"/>
      <c r="O22" s="14"/>
      <c r="P22" s="14"/>
      <c r="Q22" s="14"/>
      <c r="R22" s="14"/>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row>
    <row r="23" spans="1:43" x14ac:dyDescent="0.3">
      <c r="A23" s="112" t="s">
        <v>143</v>
      </c>
      <c r="B23" s="124"/>
      <c r="C23" s="124"/>
      <c r="D23" s="124"/>
      <c r="E23" s="289"/>
      <c r="F23" s="289"/>
      <c r="G23" s="289"/>
      <c r="H23" s="289"/>
      <c r="I23" s="289"/>
      <c r="J23" s="293"/>
      <c r="K23" s="235"/>
      <c r="L23" s="235"/>
      <c r="M23" s="235"/>
      <c r="N23" s="235"/>
      <c r="O23" s="235"/>
      <c r="P23" s="235"/>
      <c r="Q23" s="235"/>
      <c r="R23" s="235"/>
    </row>
    <row r="24" spans="1:43" x14ac:dyDescent="0.3">
      <c r="A24" s="156" t="s">
        <v>1655</v>
      </c>
      <c r="B24" s="156" t="s">
        <v>144</v>
      </c>
      <c r="C24" s="123"/>
      <c r="D24" s="123"/>
      <c r="E24" s="298"/>
      <c r="F24" s="298" t="s">
        <v>145</v>
      </c>
      <c r="G24" s="298"/>
      <c r="H24" s="298" t="s">
        <v>146</v>
      </c>
      <c r="I24" s="298" t="s">
        <v>147</v>
      </c>
      <c r="J24" s="85"/>
      <c r="K24" s="143">
        <v>64</v>
      </c>
      <c r="L24" s="234">
        <f t="shared" si="0"/>
        <v>24.096</v>
      </c>
      <c r="M24" s="234">
        <f t="shared" si="1"/>
        <v>24.096</v>
      </c>
      <c r="N24" s="234">
        <f t="shared" si="2"/>
        <v>28.928000000000001</v>
      </c>
      <c r="O24" s="234">
        <f t="shared" si="3"/>
        <v>24.256</v>
      </c>
      <c r="P24" s="234">
        <f t="shared" si="4"/>
        <v>31.936</v>
      </c>
      <c r="Q24" s="234">
        <f t="shared" si="5"/>
        <v>27.52</v>
      </c>
      <c r="R24" s="234">
        <f t="shared" si="6"/>
        <v>30.911999999999999</v>
      </c>
    </row>
    <row r="25" spans="1:43" x14ac:dyDescent="0.3">
      <c r="A25" s="156" t="s">
        <v>1659</v>
      </c>
      <c r="B25" s="156" t="s">
        <v>148</v>
      </c>
      <c r="C25" s="123"/>
      <c r="D25" s="123"/>
      <c r="E25" s="298"/>
      <c r="F25" s="298" t="s">
        <v>149</v>
      </c>
      <c r="G25" s="298"/>
      <c r="H25" s="298" t="s">
        <v>150</v>
      </c>
      <c r="J25" s="85"/>
      <c r="K25" s="143">
        <v>64</v>
      </c>
      <c r="L25" s="234">
        <f t="shared" si="0"/>
        <v>24.096</v>
      </c>
      <c r="M25" s="234">
        <f t="shared" si="1"/>
        <v>24.096</v>
      </c>
      <c r="N25" s="234">
        <f t="shared" si="2"/>
        <v>28.928000000000001</v>
      </c>
      <c r="O25" s="234">
        <f t="shared" si="3"/>
        <v>24.256</v>
      </c>
      <c r="P25" s="234">
        <f t="shared" si="4"/>
        <v>31.936</v>
      </c>
      <c r="Q25" s="234">
        <f t="shared" si="5"/>
        <v>27.52</v>
      </c>
      <c r="R25" s="234">
        <f t="shared" si="6"/>
        <v>30.911999999999999</v>
      </c>
    </row>
    <row r="26" spans="1:43" x14ac:dyDescent="0.3">
      <c r="A26" s="113" t="s">
        <v>1658</v>
      </c>
      <c r="B26" s="156" t="s">
        <v>151</v>
      </c>
      <c r="C26" s="123"/>
      <c r="D26" s="123"/>
      <c r="E26" s="298"/>
      <c r="F26" s="298"/>
      <c r="G26" s="298"/>
      <c r="H26" s="298"/>
      <c r="I26" s="298" t="s">
        <v>152</v>
      </c>
      <c r="J26" s="85"/>
      <c r="K26" s="143">
        <v>64</v>
      </c>
      <c r="L26" s="234">
        <f t="shared" si="0"/>
        <v>24.096</v>
      </c>
      <c r="M26" s="234">
        <f t="shared" si="1"/>
        <v>24.096</v>
      </c>
      <c r="N26" s="234">
        <f t="shared" si="2"/>
        <v>28.928000000000001</v>
      </c>
      <c r="O26" s="234">
        <f t="shared" si="3"/>
        <v>24.256</v>
      </c>
      <c r="P26" s="234">
        <f t="shared" si="4"/>
        <v>31.936</v>
      </c>
      <c r="Q26" s="234">
        <f t="shared" si="5"/>
        <v>27.52</v>
      </c>
      <c r="R26" s="234">
        <f t="shared" si="6"/>
        <v>30.911999999999999</v>
      </c>
    </row>
    <row r="27" spans="1:43" x14ac:dyDescent="0.3">
      <c r="A27" s="156" t="s">
        <v>1656</v>
      </c>
      <c r="B27" s="156" t="s">
        <v>153</v>
      </c>
      <c r="C27" s="123"/>
      <c r="D27" s="123"/>
      <c r="E27" s="298" t="s">
        <v>154</v>
      </c>
      <c r="F27" s="298"/>
      <c r="G27" s="298" t="s">
        <v>155</v>
      </c>
      <c r="H27" s="298"/>
      <c r="I27" s="298"/>
      <c r="J27" s="85"/>
      <c r="K27" s="143">
        <v>82</v>
      </c>
      <c r="L27" s="234">
        <f t="shared" si="0"/>
        <v>30.873000000000001</v>
      </c>
      <c r="M27" s="234">
        <f t="shared" si="1"/>
        <v>30.873000000000001</v>
      </c>
      <c r="N27" s="234">
        <f t="shared" si="2"/>
        <v>37.064</v>
      </c>
      <c r="O27" s="234">
        <f t="shared" si="3"/>
        <v>31.077999999999999</v>
      </c>
      <c r="P27" s="234">
        <f t="shared" si="4"/>
        <v>40.917999999999999</v>
      </c>
      <c r="Q27" s="234">
        <f t="shared" si="5"/>
        <v>35.26</v>
      </c>
      <c r="R27" s="234">
        <f t="shared" si="6"/>
        <v>39.606000000000002</v>
      </c>
    </row>
    <row r="28" spans="1:43" x14ac:dyDescent="0.3">
      <c r="A28" s="156" t="s">
        <v>1657</v>
      </c>
      <c r="B28" s="156" t="s">
        <v>156</v>
      </c>
      <c r="C28" s="123"/>
      <c r="D28" s="123"/>
      <c r="E28" s="298" t="s">
        <v>157</v>
      </c>
      <c r="F28" s="298"/>
      <c r="G28" s="298"/>
      <c r="H28" s="298"/>
      <c r="I28" s="298"/>
      <c r="J28" s="85"/>
      <c r="K28" s="143">
        <v>209</v>
      </c>
      <c r="L28" s="234">
        <f t="shared" si="0"/>
        <v>78.688500000000005</v>
      </c>
      <c r="M28" s="234">
        <f t="shared" si="1"/>
        <v>78.688500000000005</v>
      </c>
      <c r="N28" s="234">
        <f t="shared" si="2"/>
        <v>94.468000000000004</v>
      </c>
      <c r="O28" s="234">
        <f t="shared" si="3"/>
        <v>79.210999999999999</v>
      </c>
      <c r="P28" s="234">
        <f t="shared" si="4"/>
        <v>104.291</v>
      </c>
      <c r="Q28" s="234">
        <f t="shared" si="5"/>
        <v>89.87</v>
      </c>
      <c r="R28" s="234">
        <f t="shared" si="6"/>
        <v>100.947</v>
      </c>
    </row>
    <row r="29" spans="1:43" x14ac:dyDescent="0.3">
      <c r="A29" s="303"/>
      <c r="B29" s="168"/>
      <c r="C29" s="159"/>
      <c r="D29" s="159"/>
      <c r="E29" s="54"/>
      <c r="F29" s="54"/>
      <c r="G29" s="54"/>
      <c r="H29" s="54"/>
      <c r="I29" s="54"/>
      <c r="J29" s="54"/>
      <c r="K29" s="143"/>
      <c r="L29" s="234"/>
      <c r="M29" s="234"/>
      <c r="N29" s="234"/>
      <c r="O29" s="234"/>
      <c r="P29" s="234"/>
      <c r="Q29" s="234"/>
      <c r="R29" s="234"/>
    </row>
    <row r="30" spans="1:43" x14ac:dyDescent="0.3">
      <c r="A30" s="112" t="s">
        <v>158</v>
      </c>
      <c r="B30" s="124"/>
      <c r="C30" s="124"/>
      <c r="D30" s="124"/>
      <c r="E30" s="289"/>
      <c r="F30" s="289"/>
      <c r="G30" s="289"/>
      <c r="H30" s="289"/>
      <c r="I30" s="289"/>
      <c r="J30" s="293"/>
      <c r="K30" s="235"/>
      <c r="L30" s="235"/>
      <c r="M30" s="235"/>
      <c r="N30" s="235"/>
      <c r="O30" s="235"/>
      <c r="P30" s="235"/>
      <c r="Q30" s="235"/>
      <c r="R30" s="235"/>
    </row>
    <row r="31" spans="1:43" x14ac:dyDescent="0.3">
      <c r="A31" s="156" t="s">
        <v>159</v>
      </c>
      <c r="B31" s="156" t="s">
        <v>159</v>
      </c>
      <c r="C31" s="123"/>
      <c r="D31" s="123"/>
      <c r="E31" s="298" t="s">
        <v>160</v>
      </c>
      <c r="F31" s="298" t="s">
        <v>161</v>
      </c>
      <c r="G31" s="298" t="s">
        <v>162</v>
      </c>
      <c r="H31" s="298" t="s">
        <v>163</v>
      </c>
      <c r="I31" s="298" t="s">
        <v>164</v>
      </c>
      <c r="J31" s="85"/>
      <c r="K31" s="143">
        <v>41</v>
      </c>
      <c r="L31" s="234">
        <f t="shared" si="0"/>
        <v>15.436500000000001</v>
      </c>
      <c r="M31" s="234">
        <f t="shared" si="1"/>
        <v>15.436500000000001</v>
      </c>
      <c r="N31" s="234">
        <f t="shared" si="2"/>
        <v>18.532</v>
      </c>
      <c r="O31" s="234">
        <f t="shared" si="3"/>
        <v>15.539</v>
      </c>
      <c r="P31" s="234">
        <f t="shared" si="4"/>
        <v>20.459</v>
      </c>
      <c r="Q31" s="234">
        <f t="shared" si="5"/>
        <v>17.63</v>
      </c>
      <c r="R31" s="234">
        <f t="shared" si="6"/>
        <v>19.803000000000001</v>
      </c>
    </row>
    <row r="32" spans="1:43" x14ac:dyDescent="0.3">
      <c r="A32" s="156" t="s">
        <v>165</v>
      </c>
      <c r="B32" s="156" t="s">
        <v>165</v>
      </c>
      <c r="C32" s="123"/>
      <c r="D32" s="123"/>
      <c r="E32" s="298" t="s">
        <v>166</v>
      </c>
      <c r="F32" s="298"/>
      <c r="G32" s="298" t="s">
        <v>167</v>
      </c>
      <c r="H32" s="298"/>
      <c r="I32" s="298" t="s">
        <v>168</v>
      </c>
      <c r="J32" s="85"/>
      <c r="K32" s="143">
        <v>128</v>
      </c>
      <c r="L32" s="234">
        <f t="shared" si="0"/>
        <v>48.192</v>
      </c>
      <c r="M32" s="234">
        <f t="shared" si="1"/>
        <v>48.192</v>
      </c>
      <c r="N32" s="234">
        <f t="shared" si="2"/>
        <v>57.856000000000002</v>
      </c>
      <c r="O32" s="234">
        <f t="shared" si="3"/>
        <v>48.512</v>
      </c>
      <c r="P32" s="234">
        <f t="shared" si="4"/>
        <v>63.872</v>
      </c>
      <c r="Q32" s="234">
        <f t="shared" si="5"/>
        <v>55.04</v>
      </c>
      <c r="R32" s="234">
        <f t="shared" si="6"/>
        <v>61.823999999999998</v>
      </c>
    </row>
    <row r="33" spans="1:18" x14ac:dyDescent="0.3">
      <c r="A33" s="303"/>
      <c r="B33" s="168"/>
      <c r="C33" s="159"/>
      <c r="D33" s="159"/>
      <c r="E33" s="54"/>
      <c r="F33" s="54"/>
      <c r="G33" s="54"/>
      <c r="H33" s="54"/>
      <c r="I33" s="54"/>
      <c r="J33" s="54"/>
      <c r="K33" s="143"/>
      <c r="L33" s="234"/>
      <c r="M33" s="234"/>
      <c r="N33" s="234"/>
      <c r="O33" s="234"/>
      <c r="P33" s="234"/>
      <c r="Q33" s="234"/>
      <c r="R33" s="234"/>
    </row>
    <row r="34" spans="1:18" s="329" customFormat="1" x14ac:dyDescent="0.3">
      <c r="A34" s="132" t="s">
        <v>169</v>
      </c>
      <c r="B34" s="300"/>
      <c r="C34" s="300"/>
      <c r="D34" s="300"/>
      <c r="E34" s="268"/>
      <c r="F34" s="268"/>
      <c r="G34" s="268"/>
      <c r="H34" s="268"/>
      <c r="I34" s="268"/>
      <c r="J34" s="268"/>
      <c r="K34" s="235"/>
      <c r="L34" s="235"/>
      <c r="M34" s="235"/>
      <c r="N34" s="235"/>
      <c r="O34" s="235"/>
      <c r="P34" s="235"/>
      <c r="Q34" s="235"/>
      <c r="R34" s="235"/>
    </row>
    <row r="35" spans="1:18" s="329" customFormat="1" x14ac:dyDescent="0.3">
      <c r="A35" s="156" t="s">
        <v>1472</v>
      </c>
      <c r="B35" s="156" t="s">
        <v>170</v>
      </c>
      <c r="C35" s="123"/>
      <c r="D35" s="123"/>
      <c r="E35" s="298"/>
      <c r="F35" s="298"/>
      <c r="G35" s="298"/>
      <c r="H35" s="298"/>
      <c r="I35" s="298" t="s">
        <v>171</v>
      </c>
      <c r="J35" s="85"/>
      <c r="K35" s="143">
        <v>41</v>
      </c>
      <c r="L35" s="234">
        <f t="shared" si="0"/>
        <v>15.436500000000001</v>
      </c>
      <c r="M35" s="234">
        <f t="shared" si="1"/>
        <v>15.436500000000001</v>
      </c>
      <c r="N35" s="234">
        <f t="shared" si="2"/>
        <v>18.532</v>
      </c>
      <c r="O35" s="234">
        <f t="shared" si="3"/>
        <v>15.539</v>
      </c>
      <c r="P35" s="234">
        <f t="shared" si="4"/>
        <v>20.459</v>
      </c>
      <c r="Q35" s="234">
        <f t="shared" si="5"/>
        <v>17.63</v>
      </c>
      <c r="R35" s="234">
        <f t="shared" si="6"/>
        <v>19.803000000000001</v>
      </c>
    </row>
    <row r="36" spans="1:18" s="329" customFormat="1" x14ac:dyDescent="0.3">
      <c r="A36" s="156" t="s">
        <v>1660</v>
      </c>
      <c r="B36" s="156" t="s">
        <v>172</v>
      </c>
      <c r="C36" s="123"/>
      <c r="D36" s="123"/>
      <c r="E36" s="298"/>
      <c r="F36" s="298"/>
      <c r="G36" s="298"/>
      <c r="H36" s="298"/>
      <c r="I36" s="298" t="s">
        <v>173</v>
      </c>
      <c r="J36" s="85"/>
      <c r="K36" s="143">
        <v>82</v>
      </c>
      <c r="L36" s="234">
        <f t="shared" si="0"/>
        <v>30.873000000000001</v>
      </c>
      <c r="M36" s="234">
        <f t="shared" si="1"/>
        <v>30.873000000000001</v>
      </c>
      <c r="N36" s="234">
        <f t="shared" si="2"/>
        <v>37.064</v>
      </c>
      <c r="O36" s="234">
        <f t="shared" si="3"/>
        <v>31.077999999999999</v>
      </c>
      <c r="P36" s="234">
        <f t="shared" si="4"/>
        <v>40.917999999999999</v>
      </c>
      <c r="Q36" s="234">
        <f t="shared" si="5"/>
        <v>35.26</v>
      </c>
      <c r="R36" s="234">
        <f t="shared" si="6"/>
        <v>39.606000000000002</v>
      </c>
    </row>
    <row r="37" spans="1:18" s="329" customFormat="1" x14ac:dyDescent="0.3">
      <c r="A37" s="156" t="s">
        <v>1661</v>
      </c>
      <c r="B37" s="156" t="s">
        <v>174</v>
      </c>
      <c r="C37" s="123"/>
      <c r="D37" s="123"/>
      <c r="E37" s="298"/>
      <c r="F37" s="298"/>
      <c r="G37" s="298"/>
      <c r="H37" s="298"/>
      <c r="I37" s="298" t="s">
        <v>175</v>
      </c>
      <c r="J37" s="85"/>
      <c r="K37" s="143">
        <v>82</v>
      </c>
      <c r="L37" s="234">
        <f t="shared" si="0"/>
        <v>30.873000000000001</v>
      </c>
      <c r="M37" s="234">
        <f t="shared" si="1"/>
        <v>30.873000000000001</v>
      </c>
      <c r="N37" s="234">
        <f t="shared" si="2"/>
        <v>37.064</v>
      </c>
      <c r="O37" s="234">
        <f t="shared" si="3"/>
        <v>31.077999999999999</v>
      </c>
      <c r="P37" s="234">
        <f t="shared" si="4"/>
        <v>40.917999999999999</v>
      </c>
      <c r="Q37" s="234">
        <f t="shared" si="5"/>
        <v>35.26</v>
      </c>
      <c r="R37" s="234">
        <f t="shared" si="6"/>
        <v>39.606000000000002</v>
      </c>
    </row>
    <row r="38" spans="1:18" s="329" customFormat="1" x14ac:dyDescent="0.3">
      <c r="A38" s="156" t="s">
        <v>1662</v>
      </c>
      <c r="B38" s="156" t="s">
        <v>176</v>
      </c>
      <c r="C38" s="123"/>
      <c r="D38" s="123"/>
      <c r="E38" s="298"/>
      <c r="F38" s="298"/>
      <c r="G38" s="298"/>
      <c r="H38" s="298"/>
      <c r="I38" s="298" t="s">
        <v>177</v>
      </c>
      <c r="J38" s="85"/>
      <c r="K38" s="143">
        <v>91</v>
      </c>
      <c r="L38" s="234">
        <f t="shared" si="0"/>
        <v>34.261499999999998</v>
      </c>
      <c r="M38" s="234">
        <f t="shared" si="1"/>
        <v>34.261499999999998</v>
      </c>
      <c r="N38" s="234">
        <f t="shared" si="2"/>
        <v>41.131999999999998</v>
      </c>
      <c r="O38" s="234">
        <f t="shared" si="3"/>
        <v>34.488999999999997</v>
      </c>
      <c r="P38" s="234">
        <f t="shared" si="4"/>
        <v>45.408999999999999</v>
      </c>
      <c r="Q38" s="234">
        <f t="shared" si="5"/>
        <v>39.130000000000003</v>
      </c>
      <c r="R38" s="234">
        <f t="shared" si="6"/>
        <v>43.952999999999996</v>
      </c>
    </row>
    <row r="39" spans="1:18" s="329" customFormat="1" x14ac:dyDescent="0.3">
      <c r="A39" s="303"/>
      <c r="B39" s="168"/>
      <c r="C39" s="159"/>
      <c r="D39" s="159"/>
      <c r="E39" s="54"/>
      <c r="F39" s="54"/>
      <c r="G39" s="54"/>
      <c r="H39" s="54"/>
      <c r="I39" s="54"/>
      <c r="J39" s="54"/>
      <c r="K39" s="143"/>
      <c r="L39" s="234"/>
      <c r="M39" s="234"/>
      <c r="N39" s="234"/>
      <c r="O39" s="234"/>
      <c r="P39" s="234"/>
      <c r="Q39" s="234"/>
      <c r="R39" s="234"/>
    </row>
    <row r="40" spans="1:18" s="329" customFormat="1" x14ac:dyDescent="0.3">
      <c r="A40" s="132" t="s">
        <v>178</v>
      </c>
      <c r="B40" s="300"/>
      <c r="C40" s="300"/>
      <c r="D40" s="300"/>
      <c r="E40" s="268"/>
      <c r="F40" s="268"/>
      <c r="G40" s="268"/>
      <c r="H40" s="268"/>
      <c r="I40" s="268"/>
      <c r="J40" s="268"/>
      <c r="K40" s="235"/>
      <c r="L40" s="235"/>
      <c r="M40" s="235"/>
      <c r="N40" s="235"/>
      <c r="O40" s="235"/>
      <c r="P40" s="235"/>
      <c r="Q40" s="235"/>
      <c r="R40" s="235"/>
    </row>
    <row r="41" spans="1:18" s="329" customFormat="1" x14ac:dyDescent="0.3">
      <c r="A41" s="156" t="s">
        <v>1473</v>
      </c>
      <c r="B41" s="156" t="s">
        <v>179</v>
      </c>
      <c r="C41" s="123"/>
      <c r="D41" s="123"/>
      <c r="E41" s="298" t="s">
        <v>180</v>
      </c>
      <c r="F41" s="298" t="s">
        <v>181</v>
      </c>
      <c r="G41" s="298"/>
      <c r="H41" s="298"/>
      <c r="I41" s="298"/>
      <c r="J41" s="85"/>
      <c r="K41" s="143">
        <v>16</v>
      </c>
      <c r="L41" s="234">
        <f t="shared" si="0"/>
        <v>6.024</v>
      </c>
      <c r="M41" s="234">
        <f t="shared" si="1"/>
        <v>6.024</v>
      </c>
      <c r="N41" s="234">
        <f t="shared" si="2"/>
        <v>7.2320000000000002</v>
      </c>
      <c r="O41" s="234">
        <f t="shared" si="3"/>
        <v>6.0640000000000001</v>
      </c>
      <c r="P41" s="234">
        <f t="shared" si="4"/>
        <v>7.984</v>
      </c>
      <c r="Q41" s="234">
        <f t="shared" si="5"/>
        <v>6.88</v>
      </c>
      <c r="R41" s="234">
        <f t="shared" si="6"/>
        <v>7.7279999999999998</v>
      </c>
    </row>
    <row r="42" spans="1:18" s="329" customFormat="1" x14ac:dyDescent="0.3">
      <c r="A42" s="82" t="s">
        <v>1548</v>
      </c>
      <c r="B42" s="156" t="s">
        <v>182</v>
      </c>
      <c r="C42" s="123"/>
      <c r="D42" s="123"/>
      <c r="E42" s="298" t="s">
        <v>183</v>
      </c>
      <c r="F42" s="298" t="s">
        <v>184</v>
      </c>
      <c r="G42" s="298"/>
      <c r="H42" s="298"/>
      <c r="I42" s="298"/>
      <c r="J42" s="85"/>
      <c r="K42" s="143">
        <v>16</v>
      </c>
      <c r="L42" s="234">
        <f t="shared" si="0"/>
        <v>6.024</v>
      </c>
      <c r="M42" s="234">
        <f t="shared" si="1"/>
        <v>6.024</v>
      </c>
      <c r="N42" s="234">
        <f t="shared" si="2"/>
        <v>7.2320000000000002</v>
      </c>
      <c r="O42" s="234">
        <f t="shared" si="3"/>
        <v>6.0640000000000001</v>
      </c>
      <c r="P42" s="234">
        <f t="shared" si="4"/>
        <v>7.984</v>
      </c>
      <c r="Q42" s="234">
        <f t="shared" si="5"/>
        <v>6.88</v>
      </c>
      <c r="R42" s="234">
        <f t="shared" si="6"/>
        <v>7.7279999999999998</v>
      </c>
    </row>
    <row r="43" spans="1:18" s="329" customFormat="1" x14ac:dyDescent="0.3">
      <c r="A43" s="156" t="s">
        <v>1474</v>
      </c>
      <c r="B43" s="156" t="s">
        <v>185</v>
      </c>
      <c r="C43" s="123"/>
      <c r="D43" s="123"/>
      <c r="E43" s="298" t="s">
        <v>186</v>
      </c>
      <c r="F43" s="298"/>
      <c r="G43" s="298"/>
      <c r="H43" s="298"/>
      <c r="I43" s="298"/>
      <c r="J43" s="85"/>
      <c r="K43" s="143">
        <v>41</v>
      </c>
      <c r="L43" s="234">
        <f t="shared" si="0"/>
        <v>15.436500000000001</v>
      </c>
      <c r="M43" s="234">
        <f t="shared" si="1"/>
        <v>15.436500000000001</v>
      </c>
      <c r="N43" s="234">
        <f t="shared" si="2"/>
        <v>18.532</v>
      </c>
      <c r="O43" s="234">
        <f t="shared" si="3"/>
        <v>15.539</v>
      </c>
      <c r="P43" s="234">
        <f t="shared" si="4"/>
        <v>20.459</v>
      </c>
      <c r="Q43" s="234">
        <f t="shared" si="5"/>
        <v>17.63</v>
      </c>
      <c r="R43" s="234">
        <f t="shared" si="6"/>
        <v>19.803000000000001</v>
      </c>
    </row>
    <row r="44" spans="1:18" s="329" customFormat="1" x14ac:dyDescent="0.3">
      <c r="A44" s="156" t="s">
        <v>1478</v>
      </c>
      <c r="B44" s="156" t="s">
        <v>187</v>
      </c>
      <c r="C44" s="123"/>
      <c r="D44" s="123"/>
      <c r="E44" s="298" t="s">
        <v>188</v>
      </c>
      <c r="F44" s="298"/>
      <c r="G44" s="298"/>
      <c r="H44" s="298"/>
      <c r="I44" s="298"/>
      <c r="J44" s="85"/>
      <c r="K44" s="143">
        <v>82</v>
      </c>
      <c r="L44" s="234">
        <f t="shared" si="0"/>
        <v>30.873000000000001</v>
      </c>
      <c r="M44" s="234">
        <f t="shared" si="1"/>
        <v>30.873000000000001</v>
      </c>
      <c r="N44" s="234">
        <f t="shared" si="2"/>
        <v>37.064</v>
      </c>
      <c r="O44" s="234">
        <f t="shared" si="3"/>
        <v>31.077999999999999</v>
      </c>
      <c r="P44" s="234">
        <f t="shared" si="4"/>
        <v>40.917999999999999</v>
      </c>
      <c r="Q44" s="234">
        <f t="shared" si="5"/>
        <v>35.26</v>
      </c>
      <c r="R44" s="234">
        <f t="shared" si="6"/>
        <v>39.606000000000002</v>
      </c>
    </row>
    <row r="45" spans="1:18" s="329" customFormat="1" x14ac:dyDescent="0.3">
      <c r="A45" s="156" t="s">
        <v>1663</v>
      </c>
      <c r="B45" s="156" t="s">
        <v>189</v>
      </c>
      <c r="C45" s="123"/>
      <c r="D45" s="123"/>
      <c r="E45" s="298" t="s">
        <v>190</v>
      </c>
      <c r="F45" s="298" t="s">
        <v>191</v>
      </c>
      <c r="G45" s="298"/>
      <c r="H45" s="298"/>
      <c r="I45" s="298"/>
      <c r="J45" s="85"/>
      <c r="K45" s="143">
        <v>82</v>
      </c>
      <c r="L45" s="234">
        <f t="shared" si="0"/>
        <v>30.873000000000001</v>
      </c>
      <c r="M45" s="234">
        <f t="shared" si="1"/>
        <v>30.873000000000001</v>
      </c>
      <c r="N45" s="234">
        <f t="shared" si="2"/>
        <v>37.064</v>
      </c>
      <c r="O45" s="234">
        <f t="shared" si="3"/>
        <v>31.077999999999999</v>
      </c>
      <c r="P45" s="234">
        <f t="shared" si="4"/>
        <v>40.917999999999999</v>
      </c>
      <c r="Q45" s="234">
        <f t="shared" si="5"/>
        <v>35.26</v>
      </c>
      <c r="R45" s="234">
        <f t="shared" si="6"/>
        <v>39.606000000000002</v>
      </c>
    </row>
    <row r="46" spans="1:18" s="329" customFormat="1" x14ac:dyDescent="0.3">
      <c r="A46" s="303"/>
      <c r="B46" s="168"/>
      <c r="C46" s="159"/>
      <c r="D46" s="159"/>
      <c r="E46" s="54"/>
      <c r="F46" s="54"/>
      <c r="G46" s="54"/>
      <c r="H46" s="54"/>
      <c r="I46" s="54"/>
      <c r="J46" s="54"/>
      <c r="K46" s="143"/>
      <c r="L46" s="234"/>
      <c r="M46" s="234"/>
      <c r="N46" s="234"/>
      <c r="O46" s="234"/>
      <c r="P46" s="234"/>
      <c r="Q46" s="234"/>
      <c r="R46" s="234"/>
    </row>
    <row r="47" spans="1:18" s="329" customFormat="1" x14ac:dyDescent="0.3">
      <c r="A47" s="132" t="s">
        <v>192</v>
      </c>
      <c r="B47" s="300"/>
      <c r="C47" s="300"/>
      <c r="D47" s="300"/>
      <c r="E47" s="273"/>
      <c r="F47" s="273"/>
      <c r="G47" s="273"/>
      <c r="H47" s="273"/>
      <c r="I47" s="273"/>
      <c r="J47" s="268"/>
      <c r="K47" s="235"/>
      <c r="L47" s="235"/>
      <c r="M47" s="235"/>
      <c r="N47" s="235"/>
      <c r="O47" s="235"/>
      <c r="P47" s="235"/>
      <c r="Q47" s="235"/>
      <c r="R47" s="235"/>
    </row>
    <row r="48" spans="1:18" s="329" customFormat="1" x14ac:dyDescent="0.3">
      <c r="A48" s="156" t="s">
        <v>1475</v>
      </c>
      <c r="B48" s="156" t="s">
        <v>193</v>
      </c>
      <c r="C48" s="123"/>
      <c r="D48" s="123"/>
      <c r="E48" s="298"/>
      <c r="F48" s="298"/>
      <c r="G48" s="298" t="s">
        <v>194</v>
      </c>
      <c r="H48" s="298" t="s">
        <v>195</v>
      </c>
      <c r="I48" s="298"/>
      <c r="J48" s="85"/>
      <c r="K48" s="143">
        <v>13</v>
      </c>
      <c r="L48" s="234">
        <f t="shared" si="0"/>
        <v>4.8944999999999999</v>
      </c>
      <c r="M48" s="234">
        <f t="shared" si="1"/>
        <v>4.8944999999999999</v>
      </c>
      <c r="N48" s="234">
        <f t="shared" si="2"/>
        <v>5.8760000000000003</v>
      </c>
      <c r="O48" s="234">
        <f t="shared" si="3"/>
        <v>4.9269999999999996</v>
      </c>
      <c r="P48" s="234">
        <f t="shared" si="4"/>
        <v>6.4870000000000001</v>
      </c>
      <c r="Q48" s="234">
        <f t="shared" si="5"/>
        <v>5.59</v>
      </c>
      <c r="R48" s="234">
        <f t="shared" si="6"/>
        <v>6.2789999999999999</v>
      </c>
    </row>
    <row r="49" spans="1:43" x14ac:dyDescent="0.3">
      <c r="A49" s="156" t="s">
        <v>1476</v>
      </c>
      <c r="B49" s="156" t="s">
        <v>196</v>
      </c>
      <c r="C49" s="123"/>
      <c r="D49" s="123"/>
      <c r="E49" s="298"/>
      <c r="F49" s="298"/>
      <c r="G49" s="298" t="s">
        <v>197</v>
      </c>
      <c r="H49" s="298" t="s">
        <v>198</v>
      </c>
      <c r="I49" s="298"/>
      <c r="J49" s="85"/>
      <c r="K49" s="143">
        <v>13</v>
      </c>
      <c r="L49" s="234">
        <f t="shared" si="0"/>
        <v>4.8944999999999999</v>
      </c>
      <c r="M49" s="234">
        <f t="shared" si="1"/>
        <v>4.8944999999999999</v>
      </c>
      <c r="N49" s="234">
        <f t="shared" si="2"/>
        <v>5.8760000000000003</v>
      </c>
      <c r="O49" s="234">
        <f t="shared" si="3"/>
        <v>4.9269999999999996</v>
      </c>
      <c r="P49" s="234">
        <f t="shared" si="4"/>
        <v>6.4870000000000001</v>
      </c>
      <c r="Q49" s="234">
        <f t="shared" si="5"/>
        <v>5.59</v>
      </c>
      <c r="R49" s="234">
        <f t="shared" si="6"/>
        <v>6.2789999999999999</v>
      </c>
    </row>
    <row r="50" spans="1:43" x14ac:dyDescent="0.3">
      <c r="A50" s="156" t="s">
        <v>1477</v>
      </c>
      <c r="B50" s="156" t="s">
        <v>199</v>
      </c>
      <c r="C50" s="123"/>
      <c r="D50" s="123"/>
      <c r="E50" s="298"/>
      <c r="F50" s="298"/>
      <c r="G50" s="298" t="s">
        <v>200</v>
      </c>
      <c r="H50" s="298"/>
      <c r="I50" s="298"/>
      <c r="J50" s="85"/>
      <c r="K50" s="143">
        <v>46</v>
      </c>
      <c r="L50" s="234">
        <f t="shared" si="0"/>
        <v>17.318999999999999</v>
      </c>
      <c r="M50" s="234">
        <f t="shared" si="1"/>
        <v>17.318999999999999</v>
      </c>
      <c r="N50" s="234">
        <f t="shared" si="2"/>
        <v>20.792000000000002</v>
      </c>
      <c r="O50" s="234">
        <f t="shared" si="3"/>
        <v>17.434000000000001</v>
      </c>
      <c r="P50" s="234">
        <f t="shared" si="4"/>
        <v>22.954000000000001</v>
      </c>
      <c r="Q50" s="234">
        <f t="shared" si="5"/>
        <v>19.78</v>
      </c>
      <c r="R50" s="234">
        <f t="shared" si="6"/>
        <v>22.218</v>
      </c>
    </row>
    <row r="51" spans="1:43" x14ac:dyDescent="0.3">
      <c r="A51" s="156" t="s">
        <v>1664</v>
      </c>
      <c r="B51" s="156" t="s">
        <v>201</v>
      </c>
      <c r="C51" s="123"/>
      <c r="D51" s="123"/>
      <c r="E51" s="298"/>
      <c r="F51" s="298"/>
      <c r="G51" s="298" t="s">
        <v>202</v>
      </c>
      <c r="H51" s="298" t="s">
        <v>203</v>
      </c>
      <c r="I51" s="298"/>
      <c r="J51" s="85"/>
      <c r="K51" s="143">
        <v>91</v>
      </c>
      <c r="L51" s="234">
        <f t="shared" si="0"/>
        <v>34.261499999999998</v>
      </c>
      <c r="M51" s="234">
        <f t="shared" si="1"/>
        <v>34.261499999999998</v>
      </c>
      <c r="N51" s="234">
        <f t="shared" si="2"/>
        <v>41.131999999999998</v>
      </c>
      <c r="O51" s="234">
        <f t="shared" si="3"/>
        <v>34.488999999999997</v>
      </c>
      <c r="P51" s="234">
        <f t="shared" si="4"/>
        <v>45.408999999999999</v>
      </c>
      <c r="Q51" s="234">
        <f t="shared" si="5"/>
        <v>39.130000000000003</v>
      </c>
      <c r="R51" s="234">
        <f t="shared" si="6"/>
        <v>43.952999999999996</v>
      </c>
    </row>
    <row r="52" spans="1:43" x14ac:dyDescent="0.3">
      <c r="A52" s="303"/>
      <c r="B52" s="168"/>
      <c r="C52" s="159"/>
      <c r="D52" s="159"/>
      <c r="E52" s="54"/>
      <c r="F52" s="54"/>
      <c r="G52" s="54"/>
      <c r="H52" s="54"/>
      <c r="I52" s="54"/>
      <c r="J52" s="54"/>
      <c r="K52" s="143"/>
      <c r="L52" s="234"/>
      <c r="M52" s="234"/>
      <c r="N52" s="234"/>
      <c r="O52" s="234"/>
      <c r="P52" s="234"/>
      <c r="Q52" s="234"/>
      <c r="R52" s="234"/>
    </row>
    <row r="53" spans="1:43" x14ac:dyDescent="0.3">
      <c r="A53" s="132" t="s">
        <v>204</v>
      </c>
      <c r="B53" s="300"/>
      <c r="C53" s="300"/>
      <c r="D53" s="300"/>
      <c r="E53" s="268"/>
      <c r="F53" s="268"/>
      <c r="G53" s="268"/>
      <c r="H53" s="268"/>
      <c r="I53" s="268"/>
      <c r="J53" s="268"/>
      <c r="K53" s="235"/>
      <c r="L53" s="235"/>
      <c r="M53" s="235"/>
      <c r="N53" s="235"/>
      <c r="O53" s="235"/>
      <c r="P53" s="235"/>
      <c r="Q53" s="235"/>
      <c r="R53" s="235"/>
    </row>
    <row r="54" spans="1:43" x14ac:dyDescent="0.3">
      <c r="A54" s="156" t="s">
        <v>205</v>
      </c>
      <c r="B54" s="156" t="s">
        <v>206</v>
      </c>
      <c r="C54" s="123"/>
      <c r="D54" s="123"/>
      <c r="E54" s="298" t="s">
        <v>207</v>
      </c>
      <c r="F54" s="298" t="s">
        <v>208</v>
      </c>
      <c r="G54" s="298" t="s">
        <v>209</v>
      </c>
      <c r="H54" s="298" t="s">
        <v>210</v>
      </c>
      <c r="I54" s="298" t="s">
        <v>211</v>
      </c>
      <c r="J54" s="85"/>
      <c r="K54" s="143">
        <v>30</v>
      </c>
      <c r="L54" s="234">
        <f t="shared" si="0"/>
        <v>11.295</v>
      </c>
      <c r="M54" s="234">
        <f t="shared" si="1"/>
        <v>11.295</v>
      </c>
      <c r="N54" s="234">
        <f t="shared" si="2"/>
        <v>13.56</v>
      </c>
      <c r="O54" s="234">
        <f t="shared" si="3"/>
        <v>11.370000000000001</v>
      </c>
      <c r="P54" s="234">
        <f t="shared" si="4"/>
        <v>14.97</v>
      </c>
      <c r="Q54" s="234">
        <f t="shared" si="5"/>
        <v>12.9</v>
      </c>
      <c r="R54" s="234">
        <f t="shared" si="6"/>
        <v>14.49</v>
      </c>
    </row>
    <row r="55" spans="1:43" x14ac:dyDescent="0.3">
      <c r="A55" s="156" t="s">
        <v>212</v>
      </c>
      <c r="B55" s="156" t="s">
        <v>213</v>
      </c>
      <c r="C55" s="123"/>
      <c r="D55" s="123"/>
      <c r="E55" s="298" t="s">
        <v>214</v>
      </c>
      <c r="F55" s="298" t="s">
        <v>215</v>
      </c>
      <c r="G55" s="298" t="s">
        <v>216</v>
      </c>
      <c r="H55" s="298" t="s">
        <v>217</v>
      </c>
      <c r="I55" s="298" t="s">
        <v>218</v>
      </c>
      <c r="J55" s="85"/>
      <c r="K55" s="143">
        <v>104</v>
      </c>
      <c r="L55" s="234">
        <f t="shared" si="0"/>
        <v>39.155999999999999</v>
      </c>
      <c r="M55" s="234">
        <f t="shared" si="1"/>
        <v>39.155999999999999</v>
      </c>
      <c r="N55" s="234">
        <f t="shared" si="2"/>
        <v>47.008000000000003</v>
      </c>
      <c r="O55" s="234">
        <f t="shared" si="3"/>
        <v>39.415999999999997</v>
      </c>
      <c r="P55" s="234">
        <f t="shared" si="4"/>
        <v>51.896000000000001</v>
      </c>
      <c r="Q55" s="234">
        <f t="shared" si="5"/>
        <v>44.72</v>
      </c>
      <c r="R55" s="234">
        <f t="shared" si="6"/>
        <v>50.231999999999999</v>
      </c>
    </row>
    <row r="56" spans="1:43" s="330" customFormat="1" x14ac:dyDescent="0.3">
      <c r="A56" s="82" t="s">
        <v>1665</v>
      </c>
      <c r="B56" s="156" t="s">
        <v>219</v>
      </c>
      <c r="C56" s="123"/>
      <c r="D56" s="123"/>
      <c r="E56" s="298"/>
      <c r="F56" s="298"/>
      <c r="G56" s="298" t="s">
        <v>220</v>
      </c>
      <c r="H56" s="298"/>
      <c r="I56" s="298"/>
      <c r="J56" s="85"/>
      <c r="K56" s="143">
        <v>40</v>
      </c>
      <c r="L56" s="234">
        <f t="shared" si="0"/>
        <v>15.06</v>
      </c>
      <c r="M56" s="234">
        <f t="shared" si="1"/>
        <v>15.06</v>
      </c>
      <c r="N56" s="234">
        <f t="shared" si="2"/>
        <v>18.080000000000002</v>
      </c>
      <c r="O56" s="234">
        <f t="shared" si="3"/>
        <v>15.16</v>
      </c>
      <c r="P56" s="234">
        <f t="shared" si="4"/>
        <v>19.96</v>
      </c>
      <c r="Q56" s="234">
        <f t="shared" si="5"/>
        <v>17.2</v>
      </c>
      <c r="R56" s="234">
        <f t="shared" si="6"/>
        <v>19.32</v>
      </c>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row>
    <row r="57" spans="1:43" s="330" customFormat="1" x14ac:dyDescent="0.3">
      <c r="A57" s="303"/>
      <c r="B57" s="168"/>
      <c r="C57" s="159"/>
      <c r="D57" s="159"/>
      <c r="E57" s="54"/>
      <c r="F57" s="54"/>
      <c r="G57" s="54"/>
      <c r="H57" s="54"/>
      <c r="I57" s="54"/>
      <c r="J57" s="54"/>
      <c r="K57" s="143"/>
      <c r="L57" s="234"/>
      <c r="M57" s="234"/>
      <c r="N57" s="234"/>
      <c r="O57" s="234"/>
      <c r="P57" s="234"/>
      <c r="Q57" s="234"/>
      <c r="R57" s="234"/>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row>
    <row r="58" spans="1:43" s="330" customFormat="1" x14ac:dyDescent="0.3">
      <c r="A58" s="132" t="s">
        <v>221</v>
      </c>
      <c r="B58" s="300"/>
      <c r="C58" s="300"/>
      <c r="D58" s="300"/>
      <c r="E58" s="268"/>
      <c r="F58" s="268"/>
      <c r="G58" s="268"/>
      <c r="H58" s="268"/>
      <c r="I58" s="268"/>
      <c r="J58" s="268"/>
      <c r="K58" s="235"/>
      <c r="L58" s="235"/>
      <c r="M58" s="235"/>
      <c r="N58" s="235"/>
      <c r="O58" s="235"/>
      <c r="P58" s="235"/>
      <c r="Q58" s="235"/>
      <c r="R58" s="235"/>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row>
    <row r="59" spans="1:43" s="330" customFormat="1" x14ac:dyDescent="0.3">
      <c r="A59" s="82" t="s">
        <v>435</v>
      </c>
      <c r="B59" s="156" t="s">
        <v>222</v>
      </c>
      <c r="C59" s="123"/>
      <c r="D59" s="123"/>
      <c r="E59" s="57" t="s">
        <v>1549</v>
      </c>
      <c r="F59" s="298" t="s">
        <v>223</v>
      </c>
      <c r="G59" s="298" t="s">
        <v>224</v>
      </c>
      <c r="H59" s="298" t="s">
        <v>225</v>
      </c>
      <c r="I59" s="298"/>
      <c r="J59" s="85"/>
      <c r="K59" s="143">
        <v>5</v>
      </c>
      <c r="L59" s="234">
        <f t="shared" si="0"/>
        <v>1.8825000000000001</v>
      </c>
      <c r="M59" s="234">
        <f t="shared" si="1"/>
        <v>1.8825000000000001</v>
      </c>
      <c r="N59" s="234">
        <f t="shared" si="2"/>
        <v>2.2600000000000002</v>
      </c>
      <c r="O59" s="234">
        <f t="shared" si="3"/>
        <v>1.895</v>
      </c>
      <c r="P59" s="234">
        <f t="shared" si="4"/>
        <v>2.4950000000000001</v>
      </c>
      <c r="Q59" s="234">
        <f t="shared" si="5"/>
        <v>2.15</v>
      </c>
      <c r="R59" s="234">
        <f t="shared" si="6"/>
        <v>2.415</v>
      </c>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row>
    <row r="60" spans="1:43" s="330" customFormat="1" x14ac:dyDescent="0.3">
      <c r="A60" s="303"/>
      <c r="B60" s="168"/>
      <c r="C60" s="159"/>
      <c r="D60" s="159"/>
      <c r="E60" s="54"/>
      <c r="F60" s="54"/>
      <c r="G60" s="54"/>
      <c r="H60" s="54"/>
      <c r="I60" s="54"/>
      <c r="J60" s="54"/>
      <c r="K60" s="143"/>
      <c r="L60" s="234"/>
      <c r="M60" s="234"/>
      <c r="N60" s="234"/>
      <c r="O60" s="234"/>
      <c r="P60" s="234"/>
      <c r="Q60" s="234"/>
      <c r="R60" s="234"/>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row>
    <row r="61" spans="1:43" s="330" customFormat="1" x14ac:dyDescent="0.3">
      <c r="A61" s="132" t="s">
        <v>226</v>
      </c>
      <c r="B61" s="300" t="s">
        <v>227</v>
      </c>
      <c r="C61" s="300"/>
      <c r="D61" s="300"/>
      <c r="E61" s="273" t="s">
        <v>227</v>
      </c>
      <c r="F61" s="273"/>
      <c r="G61" s="273"/>
      <c r="H61" s="273"/>
      <c r="I61" s="273"/>
      <c r="J61" s="268"/>
      <c r="K61" s="235"/>
      <c r="L61" s="235"/>
      <c r="M61" s="235"/>
      <c r="N61" s="235"/>
      <c r="O61" s="235"/>
      <c r="P61" s="235"/>
      <c r="Q61" s="235"/>
      <c r="R61" s="235"/>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row>
    <row r="62" spans="1:43" s="330" customFormat="1" x14ac:dyDescent="0.3">
      <c r="A62" s="156" t="s">
        <v>1654</v>
      </c>
      <c r="B62" s="156" t="s">
        <v>228</v>
      </c>
      <c r="C62" s="123"/>
      <c r="D62" s="123"/>
      <c r="E62" s="298" t="s">
        <v>229</v>
      </c>
      <c r="F62" s="298" t="s">
        <v>230</v>
      </c>
      <c r="G62" s="298" t="s">
        <v>231</v>
      </c>
      <c r="H62" s="298" t="s">
        <v>232</v>
      </c>
      <c r="I62" s="298"/>
      <c r="J62" s="85"/>
      <c r="K62" s="143">
        <v>15</v>
      </c>
      <c r="L62" s="234">
        <f t="shared" si="0"/>
        <v>5.6475</v>
      </c>
      <c r="M62" s="234">
        <f t="shared" si="1"/>
        <v>5.6475</v>
      </c>
      <c r="N62" s="234">
        <f t="shared" si="2"/>
        <v>6.78</v>
      </c>
      <c r="O62" s="234">
        <f t="shared" si="3"/>
        <v>5.6850000000000005</v>
      </c>
      <c r="P62" s="234">
        <f t="shared" si="4"/>
        <v>7.4850000000000003</v>
      </c>
      <c r="Q62" s="234">
        <f t="shared" si="5"/>
        <v>6.45</v>
      </c>
      <c r="R62" s="234">
        <f t="shared" si="6"/>
        <v>7.2450000000000001</v>
      </c>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row>
    <row r="63" spans="1:43" s="330" customFormat="1" x14ac:dyDescent="0.3">
      <c r="A63" s="156" t="s">
        <v>1654</v>
      </c>
      <c r="B63" s="156" t="s">
        <v>233</v>
      </c>
      <c r="C63" s="123"/>
      <c r="D63" s="123"/>
      <c r="E63" s="298"/>
      <c r="F63" s="298"/>
      <c r="G63" s="298"/>
      <c r="H63" s="298"/>
      <c r="I63" s="298" t="s">
        <v>234</v>
      </c>
      <c r="J63" s="85"/>
      <c r="K63" s="143">
        <v>0</v>
      </c>
      <c r="L63" s="234">
        <f t="shared" si="0"/>
        <v>0</v>
      </c>
      <c r="M63" s="234">
        <f t="shared" si="1"/>
        <v>0</v>
      </c>
      <c r="N63" s="234">
        <f t="shared" si="2"/>
        <v>0</v>
      </c>
      <c r="O63" s="234">
        <f t="shared" si="3"/>
        <v>0</v>
      </c>
      <c r="P63" s="234">
        <f t="shared" si="4"/>
        <v>0</v>
      </c>
      <c r="Q63" s="234">
        <f t="shared" si="5"/>
        <v>0</v>
      </c>
      <c r="R63" s="234">
        <f t="shared" si="6"/>
        <v>0</v>
      </c>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row>
    <row r="64" spans="1:43" s="330" customFormat="1" x14ac:dyDescent="0.3">
      <c r="A64" s="303"/>
      <c r="B64" s="168"/>
      <c r="C64" s="159"/>
      <c r="D64" s="159"/>
      <c r="E64" s="54"/>
      <c r="F64" s="54"/>
      <c r="G64" s="54"/>
      <c r="H64" s="54"/>
      <c r="I64" s="54"/>
      <c r="J64" s="54"/>
      <c r="K64" s="143"/>
      <c r="L64" s="234"/>
      <c r="M64" s="234"/>
      <c r="N64" s="234"/>
      <c r="O64" s="234"/>
      <c r="P64" s="234"/>
      <c r="Q64" s="234"/>
      <c r="R64" s="234"/>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row>
    <row r="65" spans="1:43" s="330" customFormat="1" x14ac:dyDescent="0.3">
      <c r="A65" s="132" t="s">
        <v>235</v>
      </c>
      <c r="B65" s="300"/>
      <c r="C65" s="300"/>
      <c r="D65" s="300"/>
      <c r="E65" s="268"/>
      <c r="F65" s="268"/>
      <c r="G65" s="268"/>
      <c r="H65" s="268"/>
      <c r="I65" s="268"/>
      <c r="J65" s="268"/>
      <c r="K65" s="235"/>
      <c r="L65" s="235"/>
      <c r="M65" s="235"/>
      <c r="N65" s="235"/>
      <c r="O65" s="235"/>
      <c r="P65" s="235"/>
      <c r="Q65" s="235"/>
      <c r="R65" s="235"/>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row>
    <row r="66" spans="1:43" s="330" customFormat="1" x14ac:dyDescent="0.3">
      <c r="A66" s="156" t="s">
        <v>98</v>
      </c>
      <c r="B66" s="156" t="s">
        <v>236</v>
      </c>
      <c r="C66" s="123"/>
      <c r="D66" s="123"/>
      <c r="E66" s="298" t="s">
        <v>237</v>
      </c>
      <c r="F66" s="298" t="s">
        <v>238</v>
      </c>
      <c r="G66" s="298" t="s">
        <v>239</v>
      </c>
      <c r="H66" s="298" t="s">
        <v>240</v>
      </c>
      <c r="I66" s="298" t="s">
        <v>241</v>
      </c>
      <c r="J66" s="85"/>
      <c r="K66" s="143">
        <v>6</v>
      </c>
      <c r="L66" s="234">
        <f t="shared" si="0"/>
        <v>2.2589999999999999</v>
      </c>
      <c r="M66" s="234">
        <f t="shared" si="1"/>
        <v>2.2589999999999999</v>
      </c>
      <c r="N66" s="234">
        <f t="shared" si="2"/>
        <v>2.7120000000000002</v>
      </c>
      <c r="O66" s="234">
        <f t="shared" si="3"/>
        <v>2.274</v>
      </c>
      <c r="P66" s="234">
        <f t="shared" si="4"/>
        <v>2.9939999999999998</v>
      </c>
      <c r="Q66" s="234">
        <f t="shared" si="5"/>
        <v>2.58</v>
      </c>
      <c r="R66" s="234">
        <f t="shared" si="6"/>
        <v>2.8979999999999997</v>
      </c>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row>
    <row r="67" spans="1:43" s="330" customFormat="1" x14ac:dyDescent="0.3">
      <c r="A67" s="303"/>
      <c r="B67" s="168"/>
      <c r="C67" s="159"/>
      <c r="D67" s="159"/>
      <c r="E67" s="54"/>
      <c r="F67" s="54"/>
      <c r="G67" s="54"/>
      <c r="H67" s="54"/>
      <c r="I67" s="54"/>
      <c r="J67" s="54"/>
      <c r="K67" s="143"/>
      <c r="L67" s="234"/>
      <c r="M67" s="234"/>
      <c r="N67" s="234"/>
      <c r="O67" s="234"/>
      <c r="P67" s="234"/>
      <c r="Q67" s="234"/>
      <c r="R67" s="234"/>
      <c r="S67" s="221"/>
      <c r="T67" s="221"/>
      <c r="U67" s="221"/>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row>
    <row r="68" spans="1:43" s="330" customFormat="1" x14ac:dyDescent="0.3">
      <c r="A68" s="132" t="s">
        <v>242</v>
      </c>
      <c r="B68" s="300"/>
      <c r="C68" s="300"/>
      <c r="D68" s="300"/>
      <c r="E68" s="268"/>
      <c r="F68" s="268"/>
      <c r="G68" s="268"/>
      <c r="H68" s="268"/>
      <c r="I68" s="268"/>
      <c r="J68" s="268"/>
      <c r="K68" s="235"/>
      <c r="L68" s="235"/>
      <c r="M68" s="235"/>
      <c r="N68" s="235"/>
      <c r="O68" s="235"/>
      <c r="P68" s="235"/>
      <c r="Q68" s="235"/>
      <c r="R68" s="235"/>
      <c r="S68" s="221"/>
      <c r="T68" s="221"/>
      <c r="U68" s="221"/>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row>
    <row r="69" spans="1:43" s="330" customFormat="1" x14ac:dyDescent="0.3">
      <c r="A69" s="156" t="s">
        <v>775</v>
      </c>
      <c r="B69" s="156" t="s">
        <v>243</v>
      </c>
      <c r="C69" s="123"/>
      <c r="D69" s="123"/>
      <c r="E69" s="298" t="s">
        <v>244</v>
      </c>
      <c r="F69" s="298"/>
      <c r="G69" s="298"/>
      <c r="H69" s="298"/>
      <c r="I69" s="298"/>
      <c r="J69" s="85"/>
      <c r="K69" s="143">
        <v>117</v>
      </c>
      <c r="L69" s="234">
        <f t="shared" si="0"/>
        <v>44.0505</v>
      </c>
      <c r="M69" s="234">
        <f t="shared" si="1"/>
        <v>44.0505</v>
      </c>
      <c r="N69" s="234">
        <f t="shared" si="2"/>
        <v>52.884</v>
      </c>
      <c r="O69" s="234">
        <f t="shared" si="3"/>
        <v>44.343000000000004</v>
      </c>
      <c r="P69" s="234">
        <f t="shared" si="4"/>
        <v>58.383000000000003</v>
      </c>
      <c r="Q69" s="234">
        <f t="shared" si="5"/>
        <v>50.31</v>
      </c>
      <c r="R69" s="234">
        <f t="shared" si="6"/>
        <v>56.510999999999996</v>
      </c>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row>
    <row r="70" spans="1:43" s="330" customFormat="1" x14ac:dyDescent="0.3">
      <c r="A70" s="156" t="s">
        <v>775</v>
      </c>
      <c r="B70" s="156" t="s">
        <v>243</v>
      </c>
      <c r="C70" s="123"/>
      <c r="D70" s="123"/>
      <c r="E70" s="298"/>
      <c r="F70" s="298"/>
      <c r="G70" s="298" t="s">
        <v>245</v>
      </c>
      <c r="H70" s="298"/>
      <c r="I70" s="298"/>
      <c r="J70" s="85"/>
      <c r="K70" s="143">
        <v>112</v>
      </c>
      <c r="L70" s="234">
        <f t="shared" si="0"/>
        <v>42.167999999999999</v>
      </c>
      <c r="M70" s="234">
        <f t="shared" si="1"/>
        <v>42.167999999999999</v>
      </c>
      <c r="N70" s="234">
        <f t="shared" si="2"/>
        <v>50.624000000000002</v>
      </c>
      <c r="O70" s="234">
        <f t="shared" si="3"/>
        <v>42.448</v>
      </c>
      <c r="P70" s="234">
        <f t="shared" si="4"/>
        <v>55.887999999999998</v>
      </c>
      <c r="Q70" s="234">
        <f t="shared" si="5"/>
        <v>48.16</v>
      </c>
      <c r="R70" s="234">
        <f t="shared" si="6"/>
        <v>54.095999999999997</v>
      </c>
      <c r="S70" s="221"/>
      <c r="T70" s="221"/>
      <c r="U70" s="221"/>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row>
    <row r="71" spans="1:43" s="330" customFormat="1" x14ac:dyDescent="0.3">
      <c r="A71" s="303"/>
      <c r="B71" s="168"/>
      <c r="C71" s="159"/>
      <c r="D71" s="159"/>
      <c r="E71" s="54"/>
      <c r="F71" s="54"/>
      <c r="G71" s="54"/>
      <c r="H71" s="54"/>
      <c r="I71" s="54"/>
      <c r="J71" s="54"/>
      <c r="K71" s="143"/>
      <c r="L71" s="234"/>
      <c r="M71" s="234"/>
      <c r="N71" s="234"/>
      <c r="O71" s="234"/>
      <c r="P71" s="234"/>
      <c r="Q71" s="234"/>
      <c r="R71" s="234"/>
      <c r="S71" s="221"/>
      <c r="T71" s="221"/>
      <c r="U71" s="221"/>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row>
    <row r="72" spans="1:43" s="330" customFormat="1" x14ac:dyDescent="0.3">
      <c r="A72" s="132" t="s">
        <v>246</v>
      </c>
      <c r="B72" s="300"/>
      <c r="C72" s="300"/>
      <c r="D72" s="300"/>
      <c r="E72" s="268"/>
      <c r="F72" s="268"/>
      <c r="G72" s="268"/>
      <c r="H72" s="268"/>
      <c r="I72" s="268"/>
      <c r="J72" s="268"/>
      <c r="K72" s="235"/>
      <c r="L72" s="235"/>
      <c r="M72" s="235"/>
      <c r="N72" s="235"/>
      <c r="O72" s="235"/>
      <c r="P72" s="235"/>
      <c r="Q72" s="235"/>
      <c r="R72" s="235"/>
      <c r="S72" s="221"/>
      <c r="T72" s="221"/>
      <c r="U72" s="221"/>
      <c r="V72" s="221"/>
      <c r="W72" s="221"/>
      <c r="X72" s="221"/>
      <c r="Y72" s="221"/>
      <c r="Z72" s="221"/>
      <c r="AA72" s="221"/>
      <c r="AB72" s="221"/>
      <c r="AC72" s="221"/>
      <c r="AD72" s="221"/>
      <c r="AE72" s="221"/>
      <c r="AF72" s="221"/>
      <c r="AG72" s="221"/>
      <c r="AH72" s="221"/>
      <c r="AI72" s="221"/>
      <c r="AJ72" s="221"/>
      <c r="AK72" s="221"/>
      <c r="AL72" s="221"/>
      <c r="AM72" s="221"/>
      <c r="AN72" s="221"/>
      <c r="AO72" s="221"/>
      <c r="AP72" s="221"/>
      <c r="AQ72" s="221"/>
    </row>
    <row r="73" spans="1:43" s="330" customFormat="1" x14ac:dyDescent="0.3">
      <c r="A73" s="156" t="s">
        <v>247</v>
      </c>
      <c r="B73" s="156" t="s">
        <v>248</v>
      </c>
      <c r="C73" s="123"/>
      <c r="D73" s="123"/>
      <c r="E73" s="298" t="s">
        <v>249</v>
      </c>
      <c r="F73" s="298"/>
      <c r="G73" s="298"/>
      <c r="H73" s="298"/>
      <c r="I73" s="298"/>
      <c r="J73" s="85"/>
      <c r="K73" s="143">
        <v>10</v>
      </c>
      <c r="L73" s="234">
        <f t="shared" si="0"/>
        <v>3.7650000000000001</v>
      </c>
      <c r="M73" s="234">
        <f t="shared" si="1"/>
        <v>3.7650000000000001</v>
      </c>
      <c r="N73" s="234">
        <f t="shared" si="2"/>
        <v>4.5200000000000005</v>
      </c>
      <c r="O73" s="234">
        <f t="shared" si="3"/>
        <v>3.79</v>
      </c>
      <c r="P73" s="234">
        <f t="shared" si="4"/>
        <v>4.99</v>
      </c>
      <c r="Q73" s="234">
        <f t="shared" si="5"/>
        <v>4.3</v>
      </c>
      <c r="R73" s="234">
        <f t="shared" si="6"/>
        <v>4.83</v>
      </c>
      <c r="S73" s="221"/>
      <c r="T73" s="221"/>
      <c r="U73" s="221"/>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row>
    <row r="74" spans="1:43" s="330" customFormat="1" x14ac:dyDescent="0.3">
      <c r="A74" s="303"/>
      <c r="B74" s="168"/>
      <c r="C74" s="159"/>
      <c r="D74" s="159"/>
      <c r="E74" s="54"/>
      <c r="F74" s="54"/>
      <c r="G74" s="54"/>
      <c r="H74" s="54"/>
      <c r="I74" s="54"/>
      <c r="J74" s="54"/>
      <c r="K74" s="143"/>
      <c r="L74" s="234"/>
      <c r="M74" s="234"/>
      <c r="N74" s="234"/>
      <c r="O74" s="234"/>
      <c r="P74" s="234"/>
      <c r="Q74" s="234"/>
      <c r="R74" s="234"/>
      <c r="S74" s="221"/>
      <c r="T74" s="221"/>
      <c r="U74" s="221"/>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row>
    <row r="75" spans="1:43" s="330" customFormat="1" x14ac:dyDescent="0.3">
      <c r="A75" s="132" t="s">
        <v>250</v>
      </c>
      <c r="B75" s="300"/>
      <c r="C75" s="300"/>
      <c r="D75" s="300"/>
      <c r="E75" s="268"/>
      <c r="F75" s="268"/>
      <c r="G75" s="268"/>
      <c r="H75" s="268"/>
      <c r="I75" s="268"/>
      <c r="J75" s="268"/>
      <c r="K75" s="235"/>
      <c r="L75" s="235"/>
      <c r="M75" s="235"/>
      <c r="N75" s="235"/>
      <c r="O75" s="235"/>
      <c r="P75" s="235"/>
      <c r="Q75" s="235"/>
      <c r="R75" s="235"/>
      <c r="S75" s="221"/>
      <c r="T75" s="221"/>
      <c r="U75" s="221"/>
      <c r="V75" s="221"/>
      <c r="W75" s="221"/>
      <c r="X75" s="221"/>
      <c r="Y75" s="221"/>
      <c r="Z75" s="221"/>
      <c r="AA75" s="221"/>
      <c r="AB75" s="221"/>
      <c r="AC75" s="221"/>
      <c r="AD75" s="221"/>
      <c r="AE75" s="221"/>
      <c r="AF75" s="221"/>
      <c r="AG75" s="221"/>
      <c r="AH75" s="221"/>
      <c r="AI75" s="221"/>
      <c r="AJ75" s="221"/>
      <c r="AK75" s="221"/>
      <c r="AL75" s="221"/>
      <c r="AM75" s="221"/>
      <c r="AN75" s="221"/>
      <c r="AO75" s="221"/>
      <c r="AP75" s="221"/>
      <c r="AQ75" s="221"/>
    </row>
    <row r="76" spans="1:43" s="330" customFormat="1" x14ac:dyDescent="0.3">
      <c r="A76" s="156" t="s">
        <v>251</v>
      </c>
      <c r="B76" s="156" t="s">
        <v>252</v>
      </c>
      <c r="C76" s="123"/>
      <c r="D76" s="123"/>
      <c r="E76" s="298" t="s">
        <v>253</v>
      </c>
      <c r="F76" s="298" t="s">
        <v>254</v>
      </c>
      <c r="G76" s="298" t="s">
        <v>255</v>
      </c>
      <c r="H76" s="298" t="s">
        <v>256</v>
      </c>
      <c r="I76" s="298" t="s">
        <v>257</v>
      </c>
      <c r="J76" s="85"/>
      <c r="K76" s="143">
        <v>0</v>
      </c>
      <c r="L76" s="234">
        <f t="shared" ref="L76:L138" si="7">K76*$L$9</f>
        <v>0</v>
      </c>
      <c r="M76" s="234">
        <f t="shared" ref="M76:M138" si="8">K76*$M$9</f>
        <v>0</v>
      </c>
      <c r="N76" s="234">
        <f t="shared" ref="N76:N138" si="9">K76*$N$9</f>
        <v>0</v>
      </c>
      <c r="O76" s="234">
        <f t="shared" ref="O76:O138" si="10">K76*$O$9</f>
        <v>0</v>
      </c>
      <c r="P76" s="234">
        <f t="shared" ref="P76:P138" si="11">K76*$P$9</f>
        <v>0</v>
      </c>
      <c r="Q76" s="234">
        <f t="shared" ref="Q76:Q138" si="12">K76*$Q$9</f>
        <v>0</v>
      </c>
      <c r="R76" s="234">
        <f t="shared" ref="R76:R138" si="13">K76*$R$9</f>
        <v>0</v>
      </c>
      <c r="S76" s="221"/>
      <c r="T76" s="221"/>
      <c r="U76" s="221"/>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row>
    <row r="77" spans="1:43" s="330" customFormat="1" x14ac:dyDescent="0.3">
      <c r="A77" s="303"/>
      <c r="B77" s="168"/>
      <c r="C77" s="159"/>
      <c r="D77" s="159"/>
      <c r="E77" s="54"/>
      <c r="F77" s="54"/>
      <c r="G77" s="54"/>
      <c r="H77" s="54"/>
      <c r="I77" s="54"/>
      <c r="J77" s="54"/>
      <c r="K77" s="143"/>
      <c r="L77" s="234"/>
      <c r="M77" s="234"/>
      <c r="N77" s="234"/>
      <c r="O77" s="234"/>
      <c r="P77" s="234"/>
      <c r="Q77" s="234"/>
      <c r="R77" s="234"/>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row>
    <row r="78" spans="1:43" s="330" customFormat="1" x14ac:dyDescent="0.3">
      <c r="A78" s="132" t="s">
        <v>258</v>
      </c>
      <c r="B78" s="300"/>
      <c r="C78" s="300"/>
      <c r="D78" s="300"/>
      <c r="E78" s="268"/>
      <c r="F78" s="268"/>
      <c r="G78" s="268"/>
      <c r="H78" s="268"/>
      <c r="I78" s="268"/>
      <c r="J78" s="268"/>
      <c r="K78" s="235"/>
      <c r="L78" s="235"/>
      <c r="M78" s="235"/>
      <c r="N78" s="235"/>
      <c r="O78" s="235"/>
      <c r="P78" s="235"/>
      <c r="Q78" s="235"/>
      <c r="R78" s="235"/>
      <c r="S78" s="221"/>
      <c r="T78" s="221"/>
      <c r="U78" s="221"/>
      <c r="V78" s="221"/>
      <c r="W78" s="221"/>
      <c r="X78" s="221"/>
      <c r="Y78" s="221"/>
      <c r="Z78" s="221"/>
      <c r="AA78" s="221"/>
      <c r="AB78" s="221"/>
      <c r="AC78" s="221"/>
      <c r="AD78" s="221"/>
      <c r="AE78" s="221"/>
      <c r="AF78" s="221"/>
      <c r="AG78" s="221"/>
      <c r="AH78" s="221"/>
      <c r="AI78" s="221"/>
      <c r="AJ78" s="221"/>
      <c r="AK78" s="221"/>
      <c r="AL78" s="221"/>
      <c r="AM78" s="221"/>
      <c r="AN78" s="221"/>
      <c r="AO78" s="221"/>
      <c r="AP78" s="221"/>
      <c r="AQ78" s="221"/>
    </row>
    <row r="79" spans="1:43" s="330" customFormat="1" x14ac:dyDescent="0.3">
      <c r="A79" s="156" t="s">
        <v>259</v>
      </c>
      <c r="B79" s="156" t="s">
        <v>260</v>
      </c>
      <c r="C79" s="123"/>
      <c r="D79" s="123"/>
      <c r="E79" s="298"/>
      <c r="F79" s="298"/>
      <c r="G79" s="298"/>
      <c r="H79" s="298"/>
      <c r="I79" s="298" t="s">
        <v>261</v>
      </c>
      <c r="J79" s="85"/>
      <c r="K79" s="143">
        <v>33</v>
      </c>
      <c r="L79" s="234">
        <f t="shared" si="7"/>
        <v>12.4245</v>
      </c>
      <c r="M79" s="234">
        <f t="shared" si="8"/>
        <v>12.4245</v>
      </c>
      <c r="N79" s="234">
        <f t="shared" si="9"/>
        <v>14.916</v>
      </c>
      <c r="O79" s="234">
        <f t="shared" si="10"/>
        <v>12.507</v>
      </c>
      <c r="P79" s="234">
        <f t="shared" si="11"/>
        <v>16.466999999999999</v>
      </c>
      <c r="Q79" s="234">
        <f t="shared" si="12"/>
        <v>14.19</v>
      </c>
      <c r="R79" s="234">
        <f t="shared" si="13"/>
        <v>15.939</v>
      </c>
      <c r="S79" s="221"/>
      <c r="T79" s="221"/>
      <c r="U79" s="221"/>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row>
    <row r="80" spans="1:43" x14ac:dyDescent="0.3">
      <c r="A80" s="303"/>
      <c r="B80" s="168"/>
      <c r="C80" s="159"/>
      <c r="D80" s="159"/>
      <c r="E80" s="54"/>
      <c r="F80" s="54"/>
      <c r="G80" s="54"/>
      <c r="H80" s="54"/>
      <c r="I80" s="54"/>
      <c r="J80" s="54"/>
      <c r="K80" s="143"/>
      <c r="L80" s="234"/>
      <c r="M80" s="234"/>
      <c r="N80" s="234"/>
      <c r="O80" s="234"/>
      <c r="P80" s="234"/>
      <c r="Q80" s="234"/>
      <c r="R80" s="234"/>
    </row>
    <row r="81" spans="1:43" x14ac:dyDescent="0.3">
      <c r="A81" s="112" t="s">
        <v>262</v>
      </c>
      <c r="B81" s="124"/>
      <c r="C81" s="124"/>
      <c r="D81" s="124"/>
      <c r="E81" s="293"/>
      <c r="F81" s="293"/>
      <c r="G81" s="293"/>
      <c r="H81" s="293"/>
      <c r="I81" s="293"/>
      <c r="J81" s="293"/>
      <c r="K81" s="235"/>
      <c r="L81" s="235"/>
      <c r="M81" s="235"/>
      <c r="N81" s="235"/>
      <c r="O81" s="235"/>
      <c r="P81" s="235"/>
      <c r="Q81" s="235"/>
      <c r="R81" s="235"/>
    </row>
    <row r="82" spans="1:43" x14ac:dyDescent="0.3">
      <c r="A82" s="156" t="s">
        <v>263</v>
      </c>
      <c r="B82" s="156" t="s">
        <v>264</v>
      </c>
      <c r="C82" s="123"/>
      <c r="D82" s="123"/>
      <c r="E82" s="298" t="s">
        <v>265</v>
      </c>
      <c r="F82" s="298" t="s">
        <v>265</v>
      </c>
      <c r="G82" s="298" t="s">
        <v>265</v>
      </c>
      <c r="H82" s="298" t="s">
        <v>265</v>
      </c>
      <c r="I82" s="298" t="s">
        <v>265</v>
      </c>
      <c r="J82" s="85"/>
      <c r="K82" s="143">
        <v>10</v>
      </c>
      <c r="L82" s="234">
        <f t="shared" si="7"/>
        <v>3.7650000000000001</v>
      </c>
      <c r="M82" s="234">
        <f t="shared" si="8"/>
        <v>3.7650000000000001</v>
      </c>
      <c r="N82" s="234">
        <f t="shared" si="9"/>
        <v>4.5200000000000005</v>
      </c>
      <c r="O82" s="234">
        <f t="shared" si="10"/>
        <v>3.79</v>
      </c>
      <c r="P82" s="234">
        <f t="shared" si="11"/>
        <v>4.99</v>
      </c>
      <c r="Q82" s="234">
        <f t="shared" si="12"/>
        <v>4.3</v>
      </c>
      <c r="R82" s="234">
        <f t="shared" si="13"/>
        <v>4.83</v>
      </c>
    </row>
    <row r="83" spans="1:43" x14ac:dyDescent="0.3">
      <c r="A83" s="156" t="s">
        <v>266</v>
      </c>
      <c r="B83" s="113" t="s">
        <v>267</v>
      </c>
      <c r="C83" s="288"/>
      <c r="D83" s="288"/>
      <c r="E83" s="298" t="s">
        <v>268</v>
      </c>
      <c r="F83" s="298" t="s">
        <v>268</v>
      </c>
      <c r="G83" s="298" t="s">
        <v>268</v>
      </c>
      <c r="H83" s="298" t="s">
        <v>268</v>
      </c>
      <c r="I83" s="298" t="s">
        <v>268</v>
      </c>
      <c r="J83" s="85"/>
      <c r="K83" s="143">
        <v>30</v>
      </c>
      <c r="L83" s="234">
        <f t="shared" si="7"/>
        <v>11.295</v>
      </c>
      <c r="M83" s="234">
        <f t="shared" si="8"/>
        <v>11.295</v>
      </c>
      <c r="N83" s="234">
        <f t="shared" si="9"/>
        <v>13.56</v>
      </c>
      <c r="O83" s="234">
        <f t="shared" si="10"/>
        <v>11.370000000000001</v>
      </c>
      <c r="P83" s="234">
        <f t="shared" si="11"/>
        <v>14.97</v>
      </c>
      <c r="Q83" s="234">
        <f t="shared" si="12"/>
        <v>12.9</v>
      </c>
      <c r="R83" s="234">
        <f t="shared" si="13"/>
        <v>14.49</v>
      </c>
    </row>
    <row r="84" spans="1:43" x14ac:dyDescent="0.3">
      <c r="A84" s="156" t="s">
        <v>271</v>
      </c>
      <c r="B84" s="156" t="s">
        <v>272</v>
      </c>
      <c r="C84" s="123"/>
      <c r="D84" s="123"/>
      <c r="E84" s="298" t="s">
        <v>273</v>
      </c>
      <c r="F84" s="298" t="s">
        <v>273</v>
      </c>
      <c r="G84" s="298" t="s">
        <v>273</v>
      </c>
      <c r="H84" s="298" t="s">
        <v>273</v>
      </c>
      <c r="I84" s="298" t="s">
        <v>273</v>
      </c>
      <c r="J84" s="85"/>
      <c r="K84" s="143">
        <v>158</v>
      </c>
      <c r="L84" s="234">
        <f t="shared" si="7"/>
        <v>59.487000000000002</v>
      </c>
      <c r="M84" s="234">
        <f t="shared" si="8"/>
        <v>59.487000000000002</v>
      </c>
      <c r="N84" s="234">
        <f t="shared" si="9"/>
        <v>71.415999999999997</v>
      </c>
      <c r="O84" s="234">
        <f t="shared" si="10"/>
        <v>59.881999999999998</v>
      </c>
      <c r="P84" s="234">
        <f t="shared" si="11"/>
        <v>78.841999999999999</v>
      </c>
      <c r="Q84" s="234">
        <f t="shared" si="12"/>
        <v>67.94</v>
      </c>
      <c r="R84" s="234">
        <f t="shared" si="13"/>
        <v>76.313999999999993</v>
      </c>
    </row>
    <row r="85" spans="1:43" x14ac:dyDescent="0.3">
      <c r="A85" s="156" t="s">
        <v>274</v>
      </c>
      <c r="B85" s="156" t="s">
        <v>275</v>
      </c>
      <c r="C85" s="123"/>
      <c r="D85" s="123"/>
      <c r="E85" s="298" t="s">
        <v>276</v>
      </c>
      <c r="F85" s="298" t="s">
        <v>276</v>
      </c>
      <c r="G85" s="298" t="s">
        <v>276</v>
      </c>
      <c r="H85" s="298" t="s">
        <v>276</v>
      </c>
      <c r="I85" s="298" t="s">
        <v>277</v>
      </c>
      <c r="J85" s="85"/>
      <c r="K85" s="143">
        <v>22</v>
      </c>
      <c r="L85" s="234">
        <f t="shared" si="7"/>
        <v>8.2829999999999995</v>
      </c>
      <c r="M85" s="234">
        <f t="shared" si="8"/>
        <v>8.2829999999999995</v>
      </c>
      <c r="N85" s="234">
        <f t="shared" si="9"/>
        <v>9.9440000000000008</v>
      </c>
      <c r="O85" s="234">
        <f t="shared" si="10"/>
        <v>8.338000000000001</v>
      </c>
      <c r="P85" s="234">
        <f t="shared" si="11"/>
        <v>10.978</v>
      </c>
      <c r="Q85" s="234">
        <f t="shared" si="12"/>
        <v>9.4599999999999991</v>
      </c>
      <c r="R85" s="234">
        <f t="shared" si="13"/>
        <v>10.625999999999999</v>
      </c>
    </row>
    <row r="86" spans="1:43" x14ac:dyDescent="0.3">
      <c r="A86" s="156" t="s">
        <v>278</v>
      </c>
      <c r="B86" s="290" t="s">
        <v>279</v>
      </c>
      <c r="C86" s="123"/>
      <c r="D86" s="123"/>
      <c r="E86" s="57" t="s">
        <v>1550</v>
      </c>
      <c r="F86" s="57" t="s">
        <v>1550</v>
      </c>
      <c r="G86" s="57" t="s">
        <v>1550</v>
      </c>
      <c r="H86" s="57" t="s">
        <v>1550</v>
      </c>
      <c r="I86" s="57" t="s">
        <v>1551</v>
      </c>
      <c r="J86" s="39"/>
      <c r="K86" s="296">
        <v>52</v>
      </c>
      <c r="L86" s="234">
        <f t="shared" si="7"/>
        <v>19.577999999999999</v>
      </c>
      <c r="M86" s="234">
        <f t="shared" si="8"/>
        <v>19.577999999999999</v>
      </c>
      <c r="N86" s="234">
        <f t="shared" si="9"/>
        <v>23.504000000000001</v>
      </c>
      <c r="O86" s="234">
        <f t="shared" si="10"/>
        <v>19.707999999999998</v>
      </c>
      <c r="P86" s="234">
        <f t="shared" si="11"/>
        <v>25.948</v>
      </c>
      <c r="Q86" s="234">
        <f t="shared" si="12"/>
        <v>22.36</v>
      </c>
      <c r="R86" s="234">
        <f t="shared" si="13"/>
        <v>25.116</v>
      </c>
    </row>
    <row r="87" spans="1:43" x14ac:dyDescent="0.3">
      <c r="A87" s="303"/>
      <c r="B87" s="168"/>
      <c r="C87" s="159"/>
      <c r="D87" s="159"/>
      <c r="E87" s="54"/>
      <c r="F87" s="54"/>
      <c r="G87" s="54"/>
      <c r="H87" s="54"/>
      <c r="I87" s="54"/>
      <c r="J87" s="54"/>
      <c r="K87" s="234"/>
      <c r="L87" s="234"/>
      <c r="M87" s="234"/>
      <c r="N87" s="234"/>
      <c r="O87" s="234"/>
      <c r="P87" s="234"/>
      <c r="Q87" s="234"/>
      <c r="R87" s="234"/>
    </row>
    <row r="88" spans="1:43" s="308" customFormat="1" x14ac:dyDescent="0.3">
      <c r="A88" s="98" t="s">
        <v>280</v>
      </c>
      <c r="B88" s="98"/>
      <c r="C88" s="98"/>
      <c r="D88" s="98"/>
      <c r="E88" s="98"/>
      <c r="F88" s="98"/>
      <c r="G88" s="98"/>
      <c r="H88" s="98"/>
      <c r="I88" s="98"/>
      <c r="J88" s="98"/>
      <c r="K88" s="238"/>
      <c r="L88" s="98"/>
      <c r="M88" s="98"/>
      <c r="N88" s="98"/>
      <c r="O88" s="98"/>
      <c r="P88" s="98"/>
      <c r="Q88" s="98"/>
      <c r="R88" s="98"/>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row>
    <row r="89" spans="1:43" s="16" customFormat="1" ht="82.8" x14ac:dyDescent="0.3">
      <c r="A89" s="114" t="s">
        <v>125</v>
      </c>
      <c r="B89" s="114" t="s">
        <v>126</v>
      </c>
      <c r="C89" s="114" t="s">
        <v>127</v>
      </c>
      <c r="D89" s="114" t="s">
        <v>128</v>
      </c>
      <c r="E89" s="114"/>
      <c r="F89" s="114"/>
      <c r="G89" s="114"/>
      <c r="H89" s="114"/>
      <c r="I89" s="114"/>
      <c r="J89" s="114"/>
      <c r="K89" s="86" t="s">
        <v>130</v>
      </c>
      <c r="L89" s="114"/>
      <c r="M89" s="114"/>
      <c r="N89" s="114"/>
      <c r="O89" s="114"/>
      <c r="P89" s="114"/>
      <c r="Q89" s="114"/>
      <c r="R89" s="114"/>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row>
    <row r="90" spans="1:43" x14ac:dyDescent="0.3">
      <c r="A90" s="303"/>
      <c r="B90" s="168"/>
      <c r="C90" s="159"/>
      <c r="D90" s="159"/>
      <c r="E90" s="54"/>
      <c r="F90" s="54"/>
      <c r="G90" s="54"/>
      <c r="H90" s="54"/>
      <c r="I90" s="54"/>
      <c r="J90" s="54"/>
      <c r="K90" s="234"/>
      <c r="L90" s="234"/>
      <c r="M90" s="234"/>
      <c r="N90" s="234"/>
      <c r="O90" s="234"/>
      <c r="P90" s="234"/>
      <c r="Q90" s="234"/>
      <c r="R90" s="234"/>
    </row>
    <row r="91" spans="1:43" ht="151.80000000000001" x14ac:dyDescent="0.3">
      <c r="A91" s="128" t="s">
        <v>1612</v>
      </c>
      <c r="B91" s="187" t="s">
        <v>281</v>
      </c>
      <c r="C91" s="275"/>
      <c r="D91" s="275"/>
      <c r="E91" s="263"/>
      <c r="F91" s="263"/>
      <c r="G91" s="263"/>
      <c r="H91" s="263"/>
      <c r="I91" s="263"/>
      <c r="J91" s="263"/>
      <c r="K91" s="143">
        <v>466</v>
      </c>
      <c r="L91" s="234">
        <f t="shared" si="7"/>
        <v>175.44900000000001</v>
      </c>
      <c r="M91" s="234">
        <f t="shared" si="8"/>
        <v>175.44900000000001</v>
      </c>
      <c r="N91" s="234">
        <f t="shared" si="9"/>
        <v>210.63200000000001</v>
      </c>
      <c r="O91" s="234">
        <f t="shared" si="10"/>
        <v>176.614</v>
      </c>
      <c r="P91" s="234">
        <f t="shared" si="11"/>
        <v>232.53399999999999</v>
      </c>
      <c r="Q91" s="234">
        <f t="shared" si="12"/>
        <v>200.38</v>
      </c>
      <c r="R91" s="234">
        <f t="shared" si="13"/>
        <v>225.078</v>
      </c>
    </row>
    <row r="92" spans="1:43" x14ac:dyDescent="0.3">
      <c r="A92" s="128"/>
      <c r="B92" s="187"/>
      <c r="C92" s="275"/>
      <c r="D92" s="275"/>
      <c r="E92" s="263"/>
      <c r="F92" s="263"/>
      <c r="G92" s="263"/>
      <c r="H92" s="263"/>
      <c r="I92" s="263"/>
      <c r="J92" s="263"/>
      <c r="K92" s="234"/>
      <c r="L92" s="234"/>
      <c r="M92" s="234"/>
      <c r="N92" s="234"/>
      <c r="O92" s="234"/>
      <c r="P92" s="234"/>
      <c r="Q92" s="234"/>
      <c r="R92" s="234"/>
    </row>
    <row r="93" spans="1:43" ht="151.80000000000001" x14ac:dyDescent="0.3">
      <c r="A93" s="128" t="s">
        <v>1613</v>
      </c>
      <c r="B93" s="187" t="s">
        <v>282</v>
      </c>
      <c r="C93" s="275"/>
      <c r="D93" s="275"/>
      <c r="E93" s="263"/>
      <c r="F93" s="263"/>
      <c r="G93" s="263"/>
      <c r="H93" s="263"/>
      <c r="I93" s="263"/>
      <c r="J93" s="263"/>
      <c r="K93" s="143">
        <v>463</v>
      </c>
      <c r="L93" s="234">
        <f t="shared" si="7"/>
        <v>174.31950000000001</v>
      </c>
      <c r="M93" s="234">
        <f t="shared" si="8"/>
        <v>174.31950000000001</v>
      </c>
      <c r="N93" s="234">
        <f t="shared" si="9"/>
        <v>209.27600000000001</v>
      </c>
      <c r="O93" s="234">
        <f t="shared" si="10"/>
        <v>175.477</v>
      </c>
      <c r="P93" s="234">
        <f t="shared" si="11"/>
        <v>231.03700000000001</v>
      </c>
      <c r="Q93" s="234">
        <f t="shared" si="12"/>
        <v>199.09</v>
      </c>
      <c r="R93" s="234">
        <f t="shared" si="13"/>
        <v>223.62899999999999</v>
      </c>
    </row>
    <row r="94" spans="1:43" x14ac:dyDescent="0.3">
      <c r="A94" s="128"/>
      <c r="B94" s="187"/>
      <c r="C94" s="275"/>
      <c r="D94" s="275"/>
      <c r="E94" s="263"/>
      <c r="F94" s="263"/>
      <c r="G94" s="263"/>
      <c r="H94" s="263"/>
      <c r="I94" s="263"/>
      <c r="J94" s="263"/>
      <c r="K94" s="234"/>
      <c r="L94" s="234"/>
      <c r="M94" s="234"/>
      <c r="N94" s="234"/>
      <c r="O94" s="234"/>
      <c r="P94" s="234"/>
      <c r="Q94" s="234"/>
      <c r="R94" s="234"/>
    </row>
    <row r="95" spans="1:43" ht="151.80000000000001" x14ac:dyDescent="0.3">
      <c r="A95" s="84" t="s">
        <v>1614</v>
      </c>
      <c r="B95" s="187" t="s">
        <v>283</v>
      </c>
      <c r="C95" s="275"/>
      <c r="D95" s="275"/>
      <c r="E95" s="263"/>
      <c r="F95" s="263"/>
      <c r="G95" s="263"/>
      <c r="H95" s="263"/>
      <c r="I95" s="263"/>
      <c r="J95" s="263"/>
      <c r="K95" s="143">
        <v>445</v>
      </c>
      <c r="L95" s="234">
        <f t="shared" si="7"/>
        <v>167.54249999999999</v>
      </c>
      <c r="M95" s="234">
        <f t="shared" si="8"/>
        <v>167.54249999999999</v>
      </c>
      <c r="N95" s="234">
        <f t="shared" si="9"/>
        <v>201.14000000000001</v>
      </c>
      <c r="O95" s="234">
        <f t="shared" si="10"/>
        <v>168.655</v>
      </c>
      <c r="P95" s="234">
        <f t="shared" si="11"/>
        <v>222.05500000000001</v>
      </c>
      <c r="Q95" s="234">
        <f t="shared" si="12"/>
        <v>191.35</v>
      </c>
      <c r="R95" s="234">
        <f t="shared" si="13"/>
        <v>214.935</v>
      </c>
    </row>
    <row r="96" spans="1:43" x14ac:dyDescent="0.3">
      <c r="A96" s="128"/>
      <c r="B96" s="187"/>
      <c r="C96" s="275"/>
      <c r="D96" s="275"/>
      <c r="E96" s="263"/>
      <c r="F96" s="263"/>
      <c r="G96" s="263"/>
      <c r="H96" s="263"/>
      <c r="I96" s="263"/>
      <c r="J96" s="263"/>
      <c r="K96" s="234"/>
      <c r="L96" s="234"/>
      <c r="M96" s="234"/>
      <c r="N96" s="234"/>
      <c r="O96" s="234"/>
      <c r="P96" s="234"/>
      <c r="Q96" s="234"/>
      <c r="R96" s="234"/>
    </row>
    <row r="97" spans="1:43" ht="151.80000000000001" x14ac:dyDescent="0.3">
      <c r="A97" s="269" t="s">
        <v>1615</v>
      </c>
      <c r="B97" s="187" t="s">
        <v>284</v>
      </c>
      <c r="C97" s="275"/>
      <c r="D97" s="275"/>
      <c r="E97" s="263"/>
      <c r="F97" s="263"/>
      <c r="G97" s="263"/>
      <c r="H97" s="263"/>
      <c r="I97" s="263"/>
      <c r="J97" s="263"/>
      <c r="K97" s="143">
        <v>465</v>
      </c>
      <c r="L97" s="234">
        <f t="shared" si="7"/>
        <v>175.07249999999999</v>
      </c>
      <c r="M97" s="234">
        <f t="shared" si="8"/>
        <v>175.07249999999999</v>
      </c>
      <c r="N97" s="234">
        <f t="shared" si="9"/>
        <v>210.18</v>
      </c>
      <c r="O97" s="234">
        <f t="shared" si="10"/>
        <v>176.23500000000001</v>
      </c>
      <c r="P97" s="234">
        <f t="shared" si="11"/>
        <v>232.035</v>
      </c>
      <c r="Q97" s="234">
        <f t="shared" si="12"/>
        <v>199.95</v>
      </c>
      <c r="R97" s="234">
        <f t="shared" si="13"/>
        <v>224.595</v>
      </c>
    </row>
    <row r="98" spans="1:43" x14ac:dyDescent="0.3">
      <c r="A98" s="128"/>
      <c r="B98" s="187"/>
      <c r="C98" s="275"/>
      <c r="D98" s="275"/>
      <c r="E98" s="263"/>
      <c r="F98" s="263"/>
      <c r="G98" s="263"/>
      <c r="H98" s="263"/>
      <c r="I98" s="263"/>
      <c r="J98" s="263"/>
      <c r="K98" s="234"/>
      <c r="L98" s="234"/>
      <c r="M98" s="234"/>
      <c r="N98" s="234"/>
      <c r="O98" s="234"/>
      <c r="P98" s="234"/>
      <c r="Q98" s="234"/>
      <c r="R98" s="234"/>
    </row>
    <row r="99" spans="1:43" ht="151.80000000000001" x14ac:dyDescent="0.3">
      <c r="A99" s="84" t="s">
        <v>1616</v>
      </c>
      <c r="B99" s="187" t="s">
        <v>285</v>
      </c>
      <c r="C99" s="275"/>
      <c r="D99" s="275"/>
      <c r="E99" s="263"/>
      <c r="F99" s="263"/>
      <c r="G99" s="263"/>
      <c r="H99" s="263"/>
      <c r="I99" s="263"/>
      <c r="J99" s="263"/>
      <c r="K99" s="143">
        <v>447</v>
      </c>
      <c r="L99" s="234">
        <f t="shared" si="7"/>
        <v>168.2955</v>
      </c>
      <c r="M99" s="234">
        <f t="shared" si="8"/>
        <v>168.2955</v>
      </c>
      <c r="N99" s="234">
        <f t="shared" si="9"/>
        <v>202.04400000000001</v>
      </c>
      <c r="O99" s="234">
        <f t="shared" si="10"/>
        <v>169.41300000000001</v>
      </c>
      <c r="P99" s="234">
        <f t="shared" si="11"/>
        <v>223.053</v>
      </c>
      <c r="Q99" s="234">
        <f t="shared" si="12"/>
        <v>192.21</v>
      </c>
      <c r="R99" s="234">
        <f t="shared" si="13"/>
        <v>215.90099999999998</v>
      </c>
    </row>
    <row r="100" spans="1:43" s="308" customFormat="1" x14ac:dyDescent="0.3">
      <c r="A100" s="303"/>
      <c r="B100" s="168"/>
      <c r="C100" s="159"/>
      <c r="D100" s="159"/>
      <c r="E100" s="54"/>
      <c r="F100" s="54"/>
      <c r="G100" s="54"/>
      <c r="H100" s="54"/>
      <c r="I100" s="54"/>
      <c r="J100" s="54"/>
      <c r="K100" s="234"/>
      <c r="L100" s="234"/>
      <c r="M100" s="234"/>
      <c r="N100" s="234"/>
      <c r="O100" s="234"/>
      <c r="P100" s="234"/>
      <c r="Q100" s="234"/>
      <c r="R100" s="234"/>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row>
    <row r="101" spans="1:43" s="16" customFormat="1" ht="27.6" x14ac:dyDescent="0.3">
      <c r="A101" s="26" t="s">
        <v>286</v>
      </c>
      <c r="B101" s="114" t="s">
        <v>287</v>
      </c>
      <c r="C101" s="114" t="s">
        <v>127</v>
      </c>
      <c r="D101" s="114" t="s">
        <v>128</v>
      </c>
      <c r="E101" s="114" t="s">
        <v>288</v>
      </c>
      <c r="F101" s="114" t="s">
        <v>289</v>
      </c>
      <c r="G101" s="114" t="s">
        <v>290</v>
      </c>
      <c r="H101" s="114" t="s">
        <v>291</v>
      </c>
      <c r="I101" s="114" t="s">
        <v>292</v>
      </c>
      <c r="J101" s="114"/>
      <c r="K101" s="17"/>
      <c r="L101" s="17"/>
      <c r="M101" s="17"/>
      <c r="N101" s="17"/>
      <c r="O101" s="17"/>
      <c r="P101" s="17"/>
      <c r="Q101" s="17"/>
      <c r="R101" s="17"/>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row>
    <row r="102" spans="1:43" x14ac:dyDescent="0.3">
      <c r="A102" s="112" t="s">
        <v>143</v>
      </c>
      <c r="B102" s="124" t="s">
        <v>293</v>
      </c>
      <c r="C102" s="124"/>
      <c r="D102" s="124"/>
      <c r="E102" s="289"/>
      <c r="F102" s="289"/>
      <c r="G102" s="289"/>
      <c r="H102" s="289"/>
      <c r="I102" s="289"/>
      <c r="J102" s="293"/>
      <c r="K102" s="235"/>
      <c r="L102" s="235"/>
      <c r="M102" s="235"/>
      <c r="N102" s="235"/>
      <c r="O102" s="235"/>
      <c r="P102" s="235"/>
      <c r="Q102" s="235"/>
      <c r="R102" s="235"/>
    </row>
    <row r="103" spans="1:43" s="330" customFormat="1" ht="41.4" x14ac:dyDescent="0.3">
      <c r="A103" s="82" t="s">
        <v>1653</v>
      </c>
      <c r="B103" s="82" t="s">
        <v>1495</v>
      </c>
      <c r="C103" s="160"/>
      <c r="D103" s="160" t="s">
        <v>294</v>
      </c>
      <c r="E103" s="57" t="s">
        <v>295</v>
      </c>
      <c r="F103" s="57" t="s">
        <v>296</v>
      </c>
      <c r="G103" s="57"/>
      <c r="H103" s="57" t="s">
        <v>311</v>
      </c>
      <c r="I103" s="57"/>
      <c r="J103" s="39"/>
      <c r="K103" s="31">
        <v>0</v>
      </c>
      <c r="L103" s="234">
        <f t="shared" si="7"/>
        <v>0</v>
      </c>
      <c r="M103" s="234">
        <f t="shared" si="8"/>
        <v>0</v>
      </c>
      <c r="N103" s="234">
        <f t="shared" si="9"/>
        <v>0</v>
      </c>
      <c r="O103" s="234">
        <f t="shared" si="10"/>
        <v>0</v>
      </c>
      <c r="P103" s="234">
        <f t="shared" si="11"/>
        <v>0</v>
      </c>
      <c r="Q103" s="234">
        <f t="shared" si="12"/>
        <v>0</v>
      </c>
      <c r="R103" s="234">
        <f t="shared" si="13"/>
        <v>0</v>
      </c>
      <c r="S103" s="221"/>
      <c r="T103" s="221"/>
      <c r="U103" s="221"/>
      <c r="V103" s="221"/>
      <c r="W103" s="221"/>
      <c r="X103" s="221"/>
      <c r="Y103" s="221"/>
      <c r="Z103" s="221"/>
      <c r="AA103" s="221"/>
      <c r="AB103" s="221"/>
      <c r="AC103" s="221"/>
      <c r="AD103" s="221"/>
      <c r="AE103" s="221"/>
      <c r="AF103" s="221"/>
      <c r="AG103" s="221"/>
      <c r="AH103" s="221"/>
      <c r="AI103" s="221"/>
      <c r="AJ103" s="221"/>
      <c r="AK103" s="221"/>
      <c r="AL103" s="221"/>
      <c r="AM103" s="221"/>
      <c r="AN103" s="221"/>
      <c r="AO103" s="221"/>
      <c r="AP103" s="221"/>
      <c r="AQ103" s="221"/>
    </row>
    <row r="104" spans="1:43" s="330" customFormat="1" ht="41.4" x14ac:dyDescent="0.3">
      <c r="A104" s="82" t="s">
        <v>1496</v>
      </c>
      <c r="B104" s="82" t="s">
        <v>1503</v>
      </c>
      <c r="C104" s="160" t="s">
        <v>294</v>
      </c>
      <c r="D104" s="160" t="s">
        <v>294</v>
      </c>
      <c r="E104" s="57" t="s">
        <v>297</v>
      </c>
      <c r="F104" s="57" t="s">
        <v>303</v>
      </c>
      <c r="G104" s="57"/>
      <c r="H104" s="57" t="s">
        <v>312</v>
      </c>
      <c r="I104" s="57"/>
      <c r="J104" s="39"/>
      <c r="K104" s="31">
        <v>156</v>
      </c>
      <c r="L104" s="234">
        <f t="shared" si="7"/>
        <v>58.734000000000002</v>
      </c>
      <c r="M104" s="234">
        <f t="shared" si="8"/>
        <v>58.734000000000002</v>
      </c>
      <c r="N104" s="234">
        <f t="shared" si="9"/>
        <v>70.512</v>
      </c>
      <c r="O104" s="234">
        <f t="shared" si="10"/>
        <v>59.124000000000002</v>
      </c>
      <c r="P104" s="234">
        <f t="shared" si="11"/>
        <v>77.843999999999994</v>
      </c>
      <c r="Q104" s="234">
        <f t="shared" si="12"/>
        <v>67.08</v>
      </c>
      <c r="R104" s="234">
        <f t="shared" si="13"/>
        <v>75.347999999999999</v>
      </c>
      <c r="S104" s="221"/>
      <c r="T104" s="221"/>
      <c r="U104" s="221"/>
      <c r="V104" s="221"/>
      <c r="W104" s="221"/>
      <c r="X104" s="221"/>
      <c r="Y104" s="221"/>
      <c r="Z104" s="221"/>
      <c r="AA104" s="221"/>
      <c r="AB104" s="221"/>
      <c r="AC104" s="221"/>
      <c r="AD104" s="221"/>
      <c r="AE104" s="221"/>
      <c r="AF104" s="221"/>
      <c r="AG104" s="221"/>
      <c r="AH104" s="221"/>
      <c r="AI104" s="221"/>
      <c r="AJ104" s="221"/>
      <c r="AK104" s="221"/>
      <c r="AL104" s="221"/>
      <c r="AM104" s="221"/>
      <c r="AN104" s="221"/>
      <c r="AO104" s="221"/>
      <c r="AP104" s="221"/>
      <c r="AQ104" s="221"/>
    </row>
    <row r="105" spans="1:43" s="330" customFormat="1" ht="41.4" x14ac:dyDescent="0.3">
      <c r="A105" s="82" t="s">
        <v>1497</v>
      </c>
      <c r="B105" s="82" t="s">
        <v>1504</v>
      </c>
      <c r="C105" s="160" t="s">
        <v>294</v>
      </c>
      <c r="D105" s="160" t="s">
        <v>294</v>
      </c>
      <c r="E105" s="57" t="s">
        <v>298</v>
      </c>
      <c r="F105" s="57" t="s">
        <v>304</v>
      </c>
      <c r="G105" s="57"/>
      <c r="H105" s="57" t="s">
        <v>313</v>
      </c>
      <c r="I105" s="57"/>
      <c r="J105" s="39"/>
      <c r="K105" s="31">
        <v>156</v>
      </c>
      <c r="L105" s="234">
        <f t="shared" si="7"/>
        <v>58.734000000000002</v>
      </c>
      <c r="M105" s="234">
        <f t="shared" si="8"/>
        <v>58.734000000000002</v>
      </c>
      <c r="N105" s="234">
        <f t="shared" si="9"/>
        <v>70.512</v>
      </c>
      <c r="O105" s="234">
        <f t="shared" si="10"/>
        <v>59.124000000000002</v>
      </c>
      <c r="P105" s="234">
        <f t="shared" si="11"/>
        <v>77.843999999999994</v>
      </c>
      <c r="Q105" s="234">
        <f t="shared" si="12"/>
        <v>67.08</v>
      </c>
      <c r="R105" s="234">
        <f t="shared" si="13"/>
        <v>75.347999999999999</v>
      </c>
      <c r="S105" s="221"/>
      <c r="T105" s="221"/>
      <c r="U105" s="221"/>
      <c r="V105" s="221"/>
      <c r="W105" s="221"/>
      <c r="X105" s="221"/>
      <c r="Y105" s="221"/>
      <c r="Z105" s="221"/>
      <c r="AA105" s="221"/>
      <c r="AB105" s="221"/>
      <c r="AC105" s="221"/>
      <c r="AD105" s="221"/>
      <c r="AE105" s="221"/>
      <c r="AF105" s="221"/>
      <c r="AG105" s="221"/>
      <c r="AH105" s="221"/>
      <c r="AI105" s="221"/>
      <c r="AJ105" s="221"/>
      <c r="AK105" s="221"/>
      <c r="AL105" s="221"/>
      <c r="AM105" s="221"/>
      <c r="AN105" s="221"/>
      <c r="AO105" s="221"/>
      <c r="AP105" s="221"/>
      <c r="AQ105" s="221"/>
    </row>
    <row r="106" spans="1:43" s="330" customFormat="1" ht="41.4" x14ac:dyDescent="0.3">
      <c r="A106" s="82" t="s">
        <v>1498</v>
      </c>
      <c r="B106" s="82" t="s">
        <v>1505</v>
      </c>
      <c r="C106" s="160"/>
      <c r="D106" s="160" t="s">
        <v>294</v>
      </c>
      <c r="E106" s="57" t="s">
        <v>299</v>
      </c>
      <c r="F106" s="57" t="s">
        <v>305</v>
      </c>
      <c r="G106" s="57"/>
      <c r="H106" s="57" t="s">
        <v>318</v>
      </c>
      <c r="I106" s="57"/>
      <c r="J106" s="39"/>
      <c r="K106" s="31">
        <v>150</v>
      </c>
      <c r="L106" s="234">
        <f t="shared" si="7"/>
        <v>56.475000000000001</v>
      </c>
      <c r="M106" s="234">
        <f t="shared" si="8"/>
        <v>56.475000000000001</v>
      </c>
      <c r="N106" s="234">
        <f t="shared" si="9"/>
        <v>67.8</v>
      </c>
      <c r="O106" s="234">
        <f t="shared" si="10"/>
        <v>56.85</v>
      </c>
      <c r="P106" s="234">
        <f t="shared" si="11"/>
        <v>74.849999999999994</v>
      </c>
      <c r="Q106" s="234">
        <f t="shared" si="12"/>
        <v>64.5</v>
      </c>
      <c r="R106" s="234">
        <f t="shared" si="13"/>
        <v>72.45</v>
      </c>
      <c r="S106" s="221"/>
      <c r="T106" s="221"/>
      <c r="U106" s="221"/>
      <c r="V106" s="221"/>
      <c r="W106" s="221"/>
      <c r="X106" s="221"/>
      <c r="Y106" s="221"/>
      <c r="Z106" s="221"/>
      <c r="AA106" s="221"/>
      <c r="AB106" s="221"/>
      <c r="AC106" s="221"/>
      <c r="AD106" s="221"/>
      <c r="AE106" s="221"/>
      <c r="AF106" s="221"/>
      <c r="AG106" s="221"/>
      <c r="AH106" s="221"/>
      <c r="AI106" s="221"/>
      <c r="AJ106" s="221"/>
      <c r="AK106" s="221"/>
      <c r="AL106" s="221"/>
      <c r="AM106" s="221"/>
      <c r="AN106" s="221"/>
      <c r="AO106" s="221"/>
      <c r="AP106" s="221"/>
      <c r="AQ106" s="221"/>
    </row>
    <row r="107" spans="1:43" s="225" customFormat="1" ht="41.4" x14ac:dyDescent="0.3">
      <c r="A107" s="82" t="s">
        <v>1499</v>
      </c>
      <c r="B107" s="82" t="s">
        <v>1506</v>
      </c>
      <c r="C107" s="160"/>
      <c r="D107" s="160" t="s">
        <v>294</v>
      </c>
      <c r="E107" s="57" t="s">
        <v>300</v>
      </c>
      <c r="F107" s="57" t="s">
        <v>306</v>
      </c>
      <c r="G107" s="57"/>
      <c r="H107" s="57" t="s">
        <v>319</v>
      </c>
      <c r="I107" s="57"/>
      <c r="J107" s="39"/>
      <c r="K107" s="31">
        <v>150</v>
      </c>
      <c r="L107" s="234">
        <f t="shared" si="7"/>
        <v>56.475000000000001</v>
      </c>
      <c r="M107" s="234">
        <f t="shared" si="8"/>
        <v>56.475000000000001</v>
      </c>
      <c r="N107" s="234">
        <f t="shared" si="9"/>
        <v>67.8</v>
      </c>
      <c r="O107" s="234">
        <f t="shared" si="10"/>
        <v>56.85</v>
      </c>
      <c r="P107" s="234">
        <f t="shared" si="11"/>
        <v>74.849999999999994</v>
      </c>
      <c r="Q107" s="234">
        <f t="shared" si="12"/>
        <v>64.5</v>
      </c>
      <c r="R107" s="234">
        <f t="shared" si="13"/>
        <v>72.45</v>
      </c>
      <c r="S107" s="221"/>
      <c r="T107" s="221"/>
      <c r="U107" s="221"/>
      <c r="V107" s="221"/>
      <c r="W107" s="221"/>
      <c r="X107" s="221"/>
      <c r="Y107" s="221"/>
      <c r="Z107" s="221"/>
      <c r="AA107" s="221"/>
      <c r="AB107" s="221"/>
      <c r="AC107" s="221"/>
      <c r="AD107" s="221"/>
      <c r="AE107" s="221"/>
      <c r="AF107" s="221"/>
      <c r="AG107" s="221"/>
      <c r="AH107" s="221"/>
      <c r="AI107" s="221"/>
      <c r="AJ107" s="221"/>
      <c r="AK107" s="221"/>
      <c r="AL107" s="221"/>
      <c r="AM107" s="221"/>
      <c r="AN107" s="221"/>
      <c r="AO107" s="221"/>
      <c r="AP107" s="221"/>
      <c r="AQ107" s="221"/>
    </row>
    <row r="108" spans="1:43" s="225" customFormat="1" ht="41.4" x14ac:dyDescent="0.3">
      <c r="A108" s="82" t="s">
        <v>1500</v>
      </c>
      <c r="B108" s="82" t="s">
        <v>1507</v>
      </c>
      <c r="C108" s="160" t="s">
        <v>294</v>
      </c>
      <c r="D108" s="160" t="s">
        <v>294</v>
      </c>
      <c r="E108" s="57" t="s">
        <v>301</v>
      </c>
      <c r="F108" s="57" t="s">
        <v>308</v>
      </c>
      <c r="G108" s="57"/>
      <c r="H108" s="57" t="s">
        <v>322</v>
      </c>
      <c r="I108" s="57"/>
      <c r="J108" s="39"/>
      <c r="K108" s="31">
        <v>150</v>
      </c>
      <c r="L108" s="234">
        <f t="shared" si="7"/>
        <v>56.475000000000001</v>
      </c>
      <c r="M108" s="234">
        <f t="shared" si="8"/>
        <v>56.475000000000001</v>
      </c>
      <c r="N108" s="234">
        <f t="shared" si="9"/>
        <v>67.8</v>
      </c>
      <c r="O108" s="234">
        <f t="shared" si="10"/>
        <v>56.85</v>
      </c>
      <c r="P108" s="234">
        <f t="shared" si="11"/>
        <v>74.849999999999994</v>
      </c>
      <c r="Q108" s="234">
        <f t="shared" si="12"/>
        <v>64.5</v>
      </c>
      <c r="R108" s="234">
        <f t="shared" si="13"/>
        <v>72.45</v>
      </c>
      <c r="S108" s="221"/>
      <c r="T108" s="221"/>
      <c r="U108" s="221"/>
      <c r="V108" s="221"/>
      <c r="W108" s="221"/>
      <c r="X108" s="221"/>
      <c r="Y108" s="221"/>
      <c r="Z108" s="221"/>
      <c r="AA108" s="221"/>
      <c r="AB108" s="221"/>
      <c r="AC108" s="221"/>
      <c r="AD108" s="221"/>
      <c r="AE108" s="221"/>
      <c r="AF108" s="221"/>
      <c r="AG108" s="221"/>
      <c r="AH108" s="221"/>
      <c r="AI108" s="221"/>
      <c r="AJ108" s="221"/>
      <c r="AK108" s="221"/>
      <c r="AL108" s="221"/>
      <c r="AM108" s="221"/>
      <c r="AN108" s="221"/>
      <c r="AO108" s="221"/>
      <c r="AP108" s="221"/>
      <c r="AQ108" s="221"/>
    </row>
    <row r="109" spans="1:43" s="225" customFormat="1" ht="41.4" x14ac:dyDescent="0.3">
      <c r="A109" s="82" t="s">
        <v>1501</v>
      </c>
      <c r="B109" s="82" t="s">
        <v>1508</v>
      </c>
      <c r="C109" s="160" t="s">
        <v>294</v>
      </c>
      <c r="D109" s="160" t="s">
        <v>294</v>
      </c>
      <c r="E109" s="57" t="s">
        <v>302</v>
      </c>
      <c r="F109" s="57" t="s">
        <v>307</v>
      </c>
      <c r="G109" s="57"/>
      <c r="H109" s="57" t="s">
        <v>323</v>
      </c>
      <c r="I109" s="57"/>
      <c r="J109" s="39"/>
      <c r="K109" s="31">
        <v>150</v>
      </c>
      <c r="L109" s="234">
        <f t="shared" si="7"/>
        <v>56.475000000000001</v>
      </c>
      <c r="M109" s="234">
        <f t="shared" si="8"/>
        <v>56.475000000000001</v>
      </c>
      <c r="N109" s="234">
        <f t="shared" si="9"/>
        <v>67.8</v>
      </c>
      <c r="O109" s="234">
        <f t="shared" si="10"/>
        <v>56.85</v>
      </c>
      <c r="P109" s="234">
        <f t="shared" si="11"/>
        <v>74.849999999999994</v>
      </c>
      <c r="Q109" s="234">
        <f t="shared" si="12"/>
        <v>64.5</v>
      </c>
      <c r="R109" s="234">
        <f t="shared" si="13"/>
        <v>72.45</v>
      </c>
      <c r="S109" s="221"/>
      <c r="T109" s="221"/>
      <c r="U109" s="221"/>
      <c r="V109" s="221"/>
      <c r="W109" s="221"/>
      <c r="X109" s="221"/>
      <c r="Y109" s="221"/>
      <c r="Z109" s="221"/>
      <c r="AA109" s="221"/>
      <c r="AB109" s="221"/>
      <c r="AC109" s="221"/>
      <c r="AD109" s="221"/>
      <c r="AE109" s="221"/>
      <c r="AF109" s="221"/>
      <c r="AG109" s="221"/>
      <c r="AH109" s="221"/>
      <c r="AI109" s="221"/>
      <c r="AJ109" s="221"/>
      <c r="AK109" s="221"/>
      <c r="AL109" s="221"/>
      <c r="AM109" s="221"/>
      <c r="AN109" s="221"/>
      <c r="AO109" s="221"/>
      <c r="AP109" s="221"/>
      <c r="AQ109" s="221"/>
    </row>
    <row r="110" spans="1:43" s="330" customFormat="1" x14ac:dyDescent="0.3">
      <c r="A110" s="82" t="s">
        <v>1502</v>
      </c>
      <c r="B110" s="82" t="s">
        <v>309</v>
      </c>
      <c r="C110" s="160" t="s">
        <v>294</v>
      </c>
      <c r="D110" s="160" t="s">
        <v>294</v>
      </c>
      <c r="E110" s="57"/>
      <c r="F110" s="57" t="s">
        <v>310</v>
      </c>
      <c r="G110" s="57"/>
      <c r="H110" s="57"/>
      <c r="I110" s="57"/>
      <c r="J110" s="39"/>
      <c r="K110" s="31">
        <v>335</v>
      </c>
      <c r="L110" s="234">
        <f t="shared" si="7"/>
        <v>126.1275</v>
      </c>
      <c r="M110" s="234">
        <f t="shared" si="8"/>
        <v>126.1275</v>
      </c>
      <c r="N110" s="234">
        <f t="shared" si="9"/>
        <v>151.42000000000002</v>
      </c>
      <c r="O110" s="234">
        <f t="shared" si="10"/>
        <v>126.965</v>
      </c>
      <c r="P110" s="234">
        <f t="shared" si="11"/>
        <v>167.16499999999999</v>
      </c>
      <c r="Q110" s="234">
        <f t="shared" si="12"/>
        <v>144.05000000000001</v>
      </c>
      <c r="R110" s="234">
        <f t="shared" si="13"/>
        <v>161.80500000000001</v>
      </c>
      <c r="S110" s="221"/>
      <c r="T110" s="221"/>
      <c r="U110" s="221"/>
      <c r="V110" s="221"/>
      <c r="W110" s="221"/>
      <c r="X110" s="221"/>
      <c r="Y110" s="221"/>
      <c r="Z110" s="221"/>
      <c r="AA110" s="221"/>
      <c r="AB110" s="221"/>
      <c r="AC110" s="221"/>
      <c r="AD110" s="221"/>
      <c r="AE110" s="221"/>
      <c r="AF110" s="221"/>
      <c r="AG110" s="221"/>
      <c r="AH110" s="221"/>
      <c r="AI110" s="221"/>
      <c r="AJ110" s="221"/>
      <c r="AK110" s="221"/>
      <c r="AL110" s="221"/>
      <c r="AM110" s="221"/>
      <c r="AN110" s="221"/>
      <c r="AO110" s="221"/>
      <c r="AP110" s="221"/>
      <c r="AQ110" s="221"/>
    </row>
    <row r="111" spans="1:43" s="330" customFormat="1" x14ac:dyDescent="0.3">
      <c r="A111" s="82" t="s">
        <v>1650</v>
      </c>
      <c r="B111" s="82" t="s">
        <v>314</v>
      </c>
      <c r="C111" s="160" t="s">
        <v>294</v>
      </c>
      <c r="D111" s="160" t="s">
        <v>294</v>
      </c>
      <c r="E111" s="57"/>
      <c r="F111" s="57"/>
      <c r="G111" s="57"/>
      <c r="H111" s="57" t="s">
        <v>315</v>
      </c>
      <c r="I111" s="57"/>
      <c r="J111" s="39"/>
      <c r="K111" s="31">
        <v>156</v>
      </c>
      <c r="L111" s="234">
        <f t="shared" si="7"/>
        <v>58.734000000000002</v>
      </c>
      <c r="M111" s="234">
        <f t="shared" si="8"/>
        <v>58.734000000000002</v>
      </c>
      <c r="N111" s="234">
        <f t="shared" si="9"/>
        <v>70.512</v>
      </c>
      <c r="O111" s="234">
        <f t="shared" si="10"/>
        <v>59.124000000000002</v>
      </c>
      <c r="P111" s="234">
        <f t="shared" si="11"/>
        <v>77.843999999999994</v>
      </c>
      <c r="Q111" s="234">
        <f t="shared" si="12"/>
        <v>67.08</v>
      </c>
      <c r="R111" s="234">
        <f t="shared" si="13"/>
        <v>75.347999999999999</v>
      </c>
      <c r="S111" s="221"/>
      <c r="T111" s="221"/>
      <c r="U111" s="221"/>
      <c r="V111" s="221"/>
      <c r="W111" s="221"/>
      <c r="X111" s="221"/>
      <c r="Y111" s="221"/>
      <c r="Z111" s="221"/>
      <c r="AA111" s="221"/>
      <c r="AB111" s="221"/>
      <c r="AC111" s="221"/>
      <c r="AD111" s="221"/>
      <c r="AE111" s="221"/>
      <c r="AF111" s="221"/>
      <c r="AG111" s="221"/>
      <c r="AH111" s="221"/>
      <c r="AI111" s="221"/>
      <c r="AJ111" s="221"/>
      <c r="AK111" s="221"/>
      <c r="AL111" s="221"/>
      <c r="AM111" s="221"/>
      <c r="AN111" s="221"/>
      <c r="AO111" s="221"/>
      <c r="AP111" s="221"/>
      <c r="AQ111" s="221"/>
    </row>
    <row r="112" spans="1:43" s="225" customFormat="1" x14ac:dyDescent="0.3">
      <c r="A112" s="82" t="s">
        <v>1651</v>
      </c>
      <c r="B112" s="82" t="s">
        <v>316</v>
      </c>
      <c r="C112" s="111" t="s">
        <v>294</v>
      </c>
      <c r="D112" s="111" t="s">
        <v>294</v>
      </c>
      <c r="E112" s="120"/>
      <c r="F112" s="120"/>
      <c r="G112" s="120"/>
      <c r="H112" s="175" t="s">
        <v>317</v>
      </c>
      <c r="I112" s="120"/>
      <c r="J112" s="120"/>
      <c r="K112" s="31">
        <v>156</v>
      </c>
      <c r="L112" s="234">
        <f t="shared" si="7"/>
        <v>58.734000000000002</v>
      </c>
      <c r="M112" s="234">
        <f t="shared" si="8"/>
        <v>58.734000000000002</v>
      </c>
      <c r="N112" s="234">
        <f t="shared" si="9"/>
        <v>70.512</v>
      </c>
      <c r="O112" s="234">
        <f t="shared" si="10"/>
        <v>59.124000000000002</v>
      </c>
      <c r="P112" s="234">
        <f t="shared" si="11"/>
        <v>77.843999999999994</v>
      </c>
      <c r="Q112" s="234">
        <f t="shared" si="12"/>
        <v>67.08</v>
      </c>
      <c r="R112" s="234">
        <f t="shared" si="13"/>
        <v>75.347999999999999</v>
      </c>
      <c r="S112" s="221"/>
      <c r="T112" s="221"/>
      <c r="U112" s="221"/>
      <c r="V112" s="221"/>
      <c r="W112" s="221"/>
      <c r="X112" s="221"/>
      <c r="Y112" s="221"/>
      <c r="Z112" s="221"/>
      <c r="AA112" s="221"/>
      <c r="AB112" s="221"/>
      <c r="AC112" s="221"/>
      <c r="AD112" s="221"/>
      <c r="AE112" s="221"/>
      <c r="AF112" s="221"/>
      <c r="AG112" s="221"/>
      <c r="AH112" s="221"/>
      <c r="AI112" s="221"/>
      <c r="AJ112" s="221"/>
      <c r="AK112" s="221"/>
      <c r="AL112" s="221"/>
      <c r="AM112" s="221"/>
      <c r="AN112" s="221"/>
      <c r="AO112" s="221"/>
      <c r="AP112" s="221"/>
      <c r="AQ112" s="221"/>
    </row>
    <row r="113" spans="1:43" s="330" customFormat="1" x14ac:dyDescent="0.3">
      <c r="A113" s="82" t="s">
        <v>1652</v>
      </c>
      <c r="B113" s="82" t="s">
        <v>320</v>
      </c>
      <c r="C113" s="160"/>
      <c r="D113" s="160" t="s">
        <v>294</v>
      </c>
      <c r="E113" s="57"/>
      <c r="F113" s="57"/>
      <c r="G113" s="57"/>
      <c r="H113" s="57" t="s">
        <v>321</v>
      </c>
      <c r="I113" s="57"/>
      <c r="J113" s="39"/>
      <c r="K113" s="31">
        <v>277</v>
      </c>
      <c r="L113" s="234">
        <f t="shared" si="7"/>
        <v>104.29049999999999</v>
      </c>
      <c r="M113" s="234">
        <f t="shared" si="8"/>
        <v>104.29049999999999</v>
      </c>
      <c r="N113" s="234">
        <f t="shared" si="9"/>
        <v>125.20400000000001</v>
      </c>
      <c r="O113" s="234">
        <f t="shared" si="10"/>
        <v>104.983</v>
      </c>
      <c r="P113" s="234">
        <f t="shared" si="11"/>
        <v>138.22300000000001</v>
      </c>
      <c r="Q113" s="234">
        <f t="shared" si="12"/>
        <v>119.11</v>
      </c>
      <c r="R113" s="234">
        <f t="shared" si="13"/>
        <v>133.791</v>
      </c>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row>
    <row r="114" spans="1:43" s="330" customFormat="1" x14ac:dyDescent="0.3">
      <c r="A114" s="82" t="s">
        <v>1648</v>
      </c>
      <c r="B114" s="82" t="s">
        <v>324</v>
      </c>
      <c r="C114" s="160" t="s">
        <v>294</v>
      </c>
      <c r="D114" s="160" t="s">
        <v>294</v>
      </c>
      <c r="E114" s="57"/>
      <c r="F114" s="57"/>
      <c r="G114" s="57"/>
      <c r="H114" s="57" t="s">
        <v>325</v>
      </c>
      <c r="I114" s="57"/>
      <c r="J114" s="39"/>
      <c r="K114" s="31">
        <v>277</v>
      </c>
      <c r="L114" s="234">
        <f t="shared" si="7"/>
        <v>104.29049999999999</v>
      </c>
      <c r="M114" s="234">
        <f t="shared" si="8"/>
        <v>104.29049999999999</v>
      </c>
      <c r="N114" s="234">
        <f t="shared" si="9"/>
        <v>125.20400000000001</v>
      </c>
      <c r="O114" s="234">
        <f t="shared" si="10"/>
        <v>104.983</v>
      </c>
      <c r="P114" s="234">
        <f t="shared" si="11"/>
        <v>138.22300000000001</v>
      </c>
      <c r="Q114" s="234">
        <f t="shared" si="12"/>
        <v>119.11</v>
      </c>
      <c r="R114" s="234">
        <f t="shared" si="13"/>
        <v>133.791</v>
      </c>
      <c r="S114" s="221"/>
      <c r="T114" s="221"/>
      <c r="U114" s="221"/>
      <c r="V114" s="221"/>
      <c r="W114" s="221"/>
      <c r="X114" s="221"/>
      <c r="Y114" s="221"/>
      <c r="Z114" s="221"/>
      <c r="AA114" s="221"/>
      <c r="AB114" s="221"/>
      <c r="AC114" s="221"/>
      <c r="AD114" s="221"/>
      <c r="AE114" s="221"/>
      <c r="AF114" s="221"/>
      <c r="AG114" s="221"/>
      <c r="AH114" s="221"/>
      <c r="AI114" s="221"/>
      <c r="AJ114" s="221"/>
      <c r="AK114" s="221"/>
      <c r="AL114" s="221"/>
      <c r="AM114" s="221"/>
      <c r="AN114" s="221"/>
      <c r="AO114" s="221"/>
      <c r="AP114" s="221"/>
      <c r="AQ114" s="221"/>
    </row>
    <row r="115" spans="1:43" s="225" customFormat="1" x14ac:dyDescent="0.3">
      <c r="A115" s="82" t="s">
        <v>1649</v>
      </c>
      <c r="B115" s="82" t="s">
        <v>326</v>
      </c>
      <c r="C115" s="111" t="s">
        <v>294</v>
      </c>
      <c r="D115" s="111" t="s">
        <v>294</v>
      </c>
      <c r="E115" s="120"/>
      <c r="F115" s="120"/>
      <c r="G115" s="120"/>
      <c r="H115" s="175" t="s">
        <v>327</v>
      </c>
      <c r="I115" s="120"/>
      <c r="J115" s="120"/>
      <c r="K115" s="31">
        <v>277</v>
      </c>
      <c r="L115" s="234">
        <f t="shared" si="7"/>
        <v>104.29049999999999</v>
      </c>
      <c r="M115" s="234">
        <f t="shared" si="8"/>
        <v>104.29049999999999</v>
      </c>
      <c r="N115" s="234">
        <f t="shared" si="9"/>
        <v>125.20400000000001</v>
      </c>
      <c r="O115" s="234">
        <f t="shared" si="10"/>
        <v>104.983</v>
      </c>
      <c r="P115" s="234">
        <f t="shared" si="11"/>
        <v>138.22300000000001</v>
      </c>
      <c r="Q115" s="234">
        <f t="shared" si="12"/>
        <v>119.11</v>
      </c>
      <c r="R115" s="234">
        <f t="shared" si="13"/>
        <v>133.791</v>
      </c>
      <c r="S115" s="221"/>
      <c r="T115" s="221"/>
      <c r="U115" s="221"/>
      <c r="V115" s="221"/>
      <c r="W115" s="221"/>
      <c r="X115" s="221"/>
      <c r="Y115" s="221"/>
      <c r="Z115" s="221"/>
      <c r="AA115" s="221"/>
      <c r="AB115" s="221"/>
      <c r="AC115" s="221"/>
      <c r="AD115" s="221"/>
      <c r="AE115" s="221"/>
      <c r="AF115" s="221"/>
      <c r="AG115" s="221"/>
      <c r="AH115" s="221"/>
      <c r="AI115" s="221"/>
      <c r="AJ115" s="221"/>
      <c r="AK115" s="221"/>
      <c r="AL115" s="221"/>
      <c r="AM115" s="221"/>
      <c r="AN115" s="221"/>
      <c r="AO115" s="221"/>
      <c r="AP115" s="221"/>
      <c r="AQ115" s="221"/>
    </row>
    <row r="116" spans="1:43" s="225" customFormat="1" ht="27.6" x14ac:dyDescent="0.3">
      <c r="A116" s="82" t="s">
        <v>1512</v>
      </c>
      <c r="B116" s="82" t="s">
        <v>1509</v>
      </c>
      <c r="C116" s="160"/>
      <c r="D116" s="160"/>
      <c r="E116" s="57"/>
      <c r="F116" s="57"/>
      <c r="G116" s="57" t="s">
        <v>328</v>
      </c>
      <c r="H116" s="57"/>
      <c r="I116" s="57" t="s">
        <v>331</v>
      </c>
      <c r="J116" s="39"/>
      <c r="K116" s="31">
        <v>0</v>
      </c>
      <c r="L116" s="234">
        <f t="shared" si="7"/>
        <v>0</v>
      </c>
      <c r="M116" s="234">
        <f t="shared" si="8"/>
        <v>0</v>
      </c>
      <c r="N116" s="234">
        <f t="shared" si="9"/>
        <v>0</v>
      </c>
      <c r="O116" s="234">
        <f t="shared" si="10"/>
        <v>0</v>
      </c>
      <c r="P116" s="234">
        <f t="shared" si="11"/>
        <v>0</v>
      </c>
      <c r="Q116" s="234">
        <f t="shared" si="12"/>
        <v>0</v>
      </c>
      <c r="R116" s="234">
        <f t="shared" si="13"/>
        <v>0</v>
      </c>
      <c r="S116" s="221"/>
      <c r="T116" s="221"/>
      <c r="U116" s="221"/>
      <c r="V116" s="221"/>
      <c r="W116" s="221"/>
      <c r="X116" s="221"/>
      <c r="Y116" s="221"/>
      <c r="Z116" s="221"/>
      <c r="AA116" s="221"/>
      <c r="AB116" s="221"/>
      <c r="AC116" s="221"/>
      <c r="AD116" s="221"/>
      <c r="AE116" s="221"/>
      <c r="AF116" s="221"/>
      <c r="AG116" s="221"/>
      <c r="AH116" s="221"/>
      <c r="AI116" s="221"/>
      <c r="AJ116" s="221"/>
      <c r="AK116" s="221"/>
      <c r="AL116" s="221"/>
      <c r="AM116" s="221"/>
      <c r="AN116" s="221"/>
      <c r="AO116" s="221"/>
      <c r="AP116" s="221"/>
      <c r="AQ116" s="221"/>
    </row>
    <row r="117" spans="1:43" s="330" customFormat="1" ht="27.6" x14ac:dyDescent="0.3">
      <c r="A117" s="82" t="s">
        <v>1511</v>
      </c>
      <c r="B117" s="82" t="s">
        <v>1510</v>
      </c>
      <c r="C117" s="160"/>
      <c r="D117" s="160"/>
      <c r="E117" s="57"/>
      <c r="F117" s="57"/>
      <c r="G117" s="57" t="s">
        <v>329</v>
      </c>
      <c r="H117" s="57"/>
      <c r="I117" s="57" t="s">
        <v>332</v>
      </c>
      <c r="J117" s="39"/>
      <c r="K117" s="31">
        <v>36</v>
      </c>
      <c r="L117" s="234">
        <f t="shared" si="7"/>
        <v>13.554</v>
      </c>
      <c r="M117" s="234">
        <f t="shared" si="8"/>
        <v>13.554</v>
      </c>
      <c r="N117" s="234">
        <f t="shared" si="9"/>
        <v>16.272000000000002</v>
      </c>
      <c r="O117" s="234">
        <f t="shared" si="10"/>
        <v>13.644</v>
      </c>
      <c r="P117" s="234">
        <f t="shared" si="11"/>
        <v>17.963999999999999</v>
      </c>
      <c r="Q117" s="234">
        <f t="shared" si="12"/>
        <v>15.48</v>
      </c>
      <c r="R117" s="234">
        <f t="shared" si="13"/>
        <v>17.387999999999998</v>
      </c>
      <c r="S117" s="221"/>
      <c r="T117" s="221"/>
      <c r="U117" s="221"/>
      <c r="V117" s="221"/>
      <c r="W117" s="221"/>
      <c r="X117" s="221"/>
      <c r="Y117" s="221"/>
      <c r="Z117" s="221"/>
      <c r="AA117" s="221"/>
      <c r="AB117" s="221"/>
      <c r="AC117" s="221"/>
      <c r="AD117" s="221"/>
      <c r="AE117" s="221"/>
      <c r="AF117" s="221"/>
      <c r="AG117" s="221"/>
      <c r="AH117" s="221"/>
      <c r="AI117" s="221"/>
      <c r="AJ117" s="221"/>
      <c r="AK117" s="221"/>
      <c r="AL117" s="221"/>
      <c r="AM117" s="221"/>
      <c r="AN117" s="221"/>
      <c r="AO117" s="221"/>
      <c r="AP117" s="221"/>
      <c r="AQ117" s="221"/>
    </row>
    <row r="118" spans="1:43" s="225" customFormat="1" ht="27.6" x14ac:dyDescent="0.3">
      <c r="A118" s="82" t="s">
        <v>1514</v>
      </c>
      <c r="B118" s="82" t="s">
        <v>1513</v>
      </c>
      <c r="C118" s="160"/>
      <c r="D118" s="160"/>
      <c r="E118" s="57"/>
      <c r="F118" s="57"/>
      <c r="G118" s="57" t="s">
        <v>330</v>
      </c>
      <c r="H118" s="57"/>
      <c r="I118" s="57" t="s">
        <v>333</v>
      </c>
      <c r="J118" s="39"/>
      <c r="K118" s="31">
        <v>36</v>
      </c>
      <c r="L118" s="234">
        <f t="shared" si="7"/>
        <v>13.554</v>
      </c>
      <c r="M118" s="234">
        <f t="shared" si="8"/>
        <v>13.554</v>
      </c>
      <c r="N118" s="234">
        <f t="shared" si="9"/>
        <v>16.272000000000002</v>
      </c>
      <c r="O118" s="234">
        <f t="shared" si="10"/>
        <v>13.644</v>
      </c>
      <c r="P118" s="234">
        <f t="shared" si="11"/>
        <v>17.963999999999999</v>
      </c>
      <c r="Q118" s="234">
        <f t="shared" si="12"/>
        <v>15.48</v>
      </c>
      <c r="R118" s="234">
        <f t="shared" si="13"/>
        <v>17.387999999999998</v>
      </c>
      <c r="S118" s="221"/>
      <c r="T118" s="221"/>
      <c r="U118" s="221"/>
      <c r="V118" s="221"/>
      <c r="W118" s="221"/>
      <c r="X118" s="221"/>
      <c r="Y118" s="221"/>
      <c r="Z118" s="221"/>
      <c r="AA118" s="221"/>
      <c r="AB118" s="221"/>
      <c r="AC118" s="221"/>
      <c r="AD118" s="221"/>
      <c r="AE118" s="221"/>
      <c r="AF118" s="221"/>
      <c r="AG118" s="221"/>
      <c r="AH118" s="221"/>
      <c r="AI118" s="221"/>
      <c r="AJ118" s="221"/>
      <c r="AK118" s="221"/>
      <c r="AL118" s="221"/>
      <c r="AM118" s="221"/>
      <c r="AN118" s="221"/>
      <c r="AO118" s="221"/>
      <c r="AP118" s="221"/>
      <c r="AQ118" s="221"/>
    </row>
    <row r="119" spans="1:43" s="330" customFormat="1" ht="27.6" x14ac:dyDescent="0.3">
      <c r="A119" s="82" t="s">
        <v>1517</v>
      </c>
      <c r="B119" s="82" t="s">
        <v>1515</v>
      </c>
      <c r="C119" s="160"/>
      <c r="D119" s="160"/>
      <c r="E119" s="57"/>
      <c r="F119" s="57"/>
      <c r="G119" s="57" t="s">
        <v>334</v>
      </c>
      <c r="H119" s="57"/>
      <c r="I119" s="57" t="s">
        <v>337</v>
      </c>
      <c r="J119" s="39"/>
      <c r="K119" s="31">
        <v>99</v>
      </c>
      <c r="L119" s="234">
        <f t="shared" si="7"/>
        <v>37.273499999999999</v>
      </c>
      <c r="M119" s="234">
        <f t="shared" si="8"/>
        <v>37.273499999999999</v>
      </c>
      <c r="N119" s="234">
        <f t="shared" si="9"/>
        <v>44.748000000000005</v>
      </c>
      <c r="O119" s="234">
        <f t="shared" si="10"/>
        <v>37.521000000000001</v>
      </c>
      <c r="P119" s="234">
        <f t="shared" si="11"/>
        <v>49.401000000000003</v>
      </c>
      <c r="Q119" s="234">
        <f t="shared" si="12"/>
        <v>42.57</v>
      </c>
      <c r="R119" s="234">
        <f t="shared" si="13"/>
        <v>47.817</v>
      </c>
      <c r="S119" s="221"/>
      <c r="T119" s="221"/>
      <c r="U119" s="221"/>
      <c r="V119" s="221"/>
      <c r="W119" s="221"/>
      <c r="X119" s="221"/>
      <c r="Y119" s="221"/>
      <c r="Z119" s="221"/>
      <c r="AA119" s="221"/>
      <c r="AB119" s="221"/>
      <c r="AC119" s="221"/>
      <c r="AD119" s="221"/>
      <c r="AE119" s="221"/>
      <c r="AF119" s="221"/>
      <c r="AG119" s="221"/>
      <c r="AH119" s="221"/>
      <c r="AI119" s="221"/>
      <c r="AJ119" s="221"/>
      <c r="AK119" s="221"/>
      <c r="AL119" s="221"/>
      <c r="AM119" s="221"/>
      <c r="AN119" s="221"/>
      <c r="AO119" s="221"/>
      <c r="AP119" s="221"/>
      <c r="AQ119" s="221"/>
    </row>
    <row r="120" spans="1:43" s="330" customFormat="1" ht="27.6" x14ac:dyDescent="0.3">
      <c r="A120" s="82" t="s">
        <v>1518</v>
      </c>
      <c r="B120" s="82" t="s">
        <v>1516</v>
      </c>
      <c r="C120" s="160"/>
      <c r="D120" s="160"/>
      <c r="E120" s="57"/>
      <c r="F120" s="57"/>
      <c r="G120" s="57" t="s">
        <v>338</v>
      </c>
      <c r="H120" s="57"/>
      <c r="I120" s="57" t="s">
        <v>336</v>
      </c>
      <c r="J120" s="39"/>
      <c r="K120" s="31">
        <v>99</v>
      </c>
      <c r="L120" s="234">
        <f t="shared" si="7"/>
        <v>37.273499999999999</v>
      </c>
      <c r="M120" s="234">
        <f t="shared" si="8"/>
        <v>37.273499999999999</v>
      </c>
      <c r="N120" s="234">
        <f t="shared" si="9"/>
        <v>44.748000000000005</v>
      </c>
      <c r="O120" s="234">
        <f t="shared" si="10"/>
        <v>37.521000000000001</v>
      </c>
      <c r="P120" s="234">
        <f t="shared" si="11"/>
        <v>49.401000000000003</v>
      </c>
      <c r="Q120" s="234">
        <f t="shared" si="12"/>
        <v>42.57</v>
      </c>
      <c r="R120" s="234">
        <f t="shared" si="13"/>
        <v>47.817</v>
      </c>
      <c r="S120" s="221"/>
      <c r="T120" s="221"/>
      <c r="U120" s="221"/>
      <c r="V120" s="221"/>
      <c r="W120" s="221"/>
      <c r="X120" s="221"/>
      <c r="Y120" s="221"/>
      <c r="Z120" s="221"/>
      <c r="AA120" s="221"/>
      <c r="AB120" s="221"/>
      <c r="AC120" s="221"/>
      <c r="AD120" s="221"/>
      <c r="AE120" s="221"/>
      <c r="AF120" s="221"/>
      <c r="AG120" s="221"/>
      <c r="AH120" s="221"/>
      <c r="AI120" s="221"/>
      <c r="AJ120" s="221"/>
      <c r="AK120" s="221"/>
      <c r="AL120" s="221"/>
      <c r="AM120" s="221"/>
      <c r="AN120" s="221"/>
      <c r="AO120" s="221"/>
      <c r="AP120" s="221"/>
      <c r="AQ120" s="221"/>
    </row>
    <row r="121" spans="1:43" s="225" customFormat="1" ht="27.6" x14ac:dyDescent="0.3">
      <c r="A121" s="82" t="s">
        <v>1520</v>
      </c>
      <c r="B121" s="82" t="s">
        <v>1519</v>
      </c>
      <c r="C121" s="160"/>
      <c r="D121" s="160"/>
      <c r="E121" s="57"/>
      <c r="F121" s="57"/>
      <c r="G121" s="57" t="s">
        <v>335</v>
      </c>
      <c r="H121" s="57"/>
      <c r="I121" s="57" t="s">
        <v>339</v>
      </c>
      <c r="J121" s="39"/>
      <c r="K121" s="31">
        <v>99</v>
      </c>
      <c r="L121" s="234">
        <f t="shared" si="7"/>
        <v>37.273499999999999</v>
      </c>
      <c r="M121" s="234">
        <f t="shared" si="8"/>
        <v>37.273499999999999</v>
      </c>
      <c r="N121" s="234">
        <f t="shared" si="9"/>
        <v>44.748000000000005</v>
      </c>
      <c r="O121" s="234">
        <f t="shared" si="10"/>
        <v>37.521000000000001</v>
      </c>
      <c r="P121" s="234">
        <f t="shared" si="11"/>
        <v>49.401000000000003</v>
      </c>
      <c r="Q121" s="234">
        <f t="shared" si="12"/>
        <v>42.57</v>
      </c>
      <c r="R121" s="234">
        <f t="shared" si="13"/>
        <v>47.817</v>
      </c>
      <c r="S121" s="221"/>
      <c r="T121" s="221"/>
      <c r="U121" s="221"/>
      <c r="V121" s="221"/>
      <c r="W121" s="221"/>
      <c r="X121" s="221"/>
      <c r="Y121" s="221"/>
      <c r="Z121" s="221"/>
      <c r="AA121" s="221"/>
      <c r="AB121" s="221"/>
      <c r="AC121" s="221"/>
      <c r="AD121" s="221"/>
      <c r="AE121" s="221"/>
      <c r="AF121" s="221"/>
      <c r="AG121" s="221"/>
      <c r="AH121" s="221"/>
      <c r="AI121" s="221"/>
      <c r="AJ121" s="221"/>
      <c r="AK121" s="221"/>
      <c r="AL121" s="221"/>
      <c r="AM121" s="221"/>
      <c r="AN121" s="221"/>
      <c r="AO121" s="221"/>
      <c r="AP121" s="221"/>
      <c r="AQ121" s="221"/>
    </row>
    <row r="122" spans="1:43" s="330" customFormat="1" x14ac:dyDescent="0.3">
      <c r="A122" s="269"/>
      <c r="B122" s="269"/>
      <c r="C122" s="49"/>
      <c r="D122" s="49"/>
      <c r="E122" s="281"/>
      <c r="F122" s="281"/>
      <c r="G122" s="281"/>
      <c r="H122" s="281"/>
      <c r="I122" s="281"/>
      <c r="J122" s="244"/>
      <c r="K122" s="37"/>
      <c r="L122" s="234"/>
      <c r="M122" s="234"/>
      <c r="N122" s="234"/>
      <c r="O122" s="234"/>
      <c r="P122" s="234"/>
      <c r="Q122" s="234"/>
      <c r="R122" s="234"/>
      <c r="S122" s="221"/>
      <c r="T122" s="221"/>
      <c r="U122" s="221"/>
      <c r="V122" s="221"/>
      <c r="W122" s="221"/>
      <c r="X122" s="221"/>
      <c r="Y122" s="221"/>
      <c r="Z122" s="221"/>
      <c r="AA122" s="221"/>
      <c r="AB122" s="221"/>
      <c r="AC122" s="221"/>
      <c r="AD122" s="221"/>
      <c r="AE122" s="221"/>
      <c r="AF122" s="221"/>
      <c r="AG122" s="221"/>
      <c r="AH122" s="221"/>
      <c r="AI122" s="221"/>
      <c r="AJ122" s="221"/>
      <c r="AK122" s="221"/>
      <c r="AL122" s="221"/>
      <c r="AM122" s="221"/>
      <c r="AN122" s="221"/>
      <c r="AO122" s="221"/>
      <c r="AP122" s="221"/>
      <c r="AQ122" s="221"/>
    </row>
    <row r="123" spans="1:43" s="330" customFormat="1" x14ac:dyDescent="0.3">
      <c r="A123" s="112" t="s">
        <v>340</v>
      </c>
      <c r="B123" s="112"/>
      <c r="C123" s="112"/>
      <c r="D123" s="112"/>
      <c r="E123" s="293"/>
      <c r="F123" s="293"/>
      <c r="G123" s="293"/>
      <c r="H123" s="293"/>
      <c r="I123" s="293"/>
      <c r="J123" s="293"/>
      <c r="K123" s="239"/>
      <c r="L123" s="239"/>
      <c r="M123" s="239"/>
      <c r="N123" s="239"/>
      <c r="O123" s="239"/>
      <c r="P123" s="239"/>
      <c r="Q123" s="239"/>
      <c r="R123" s="239"/>
      <c r="S123" s="221"/>
      <c r="T123" s="221"/>
      <c r="U123" s="221"/>
      <c r="V123" s="221"/>
      <c r="W123" s="221"/>
      <c r="X123" s="221"/>
      <c r="Y123" s="221"/>
      <c r="Z123" s="221"/>
      <c r="AA123" s="221"/>
      <c r="AB123" s="221"/>
      <c r="AC123" s="221"/>
      <c r="AD123" s="221"/>
      <c r="AE123" s="221"/>
      <c r="AF123" s="221"/>
      <c r="AG123" s="221"/>
      <c r="AH123" s="221"/>
      <c r="AI123" s="221"/>
      <c r="AJ123" s="221"/>
      <c r="AK123" s="221"/>
      <c r="AL123" s="221"/>
      <c r="AM123" s="221"/>
      <c r="AN123" s="221"/>
      <c r="AO123" s="221"/>
      <c r="AP123" s="221"/>
      <c r="AQ123" s="221"/>
    </row>
    <row r="124" spans="1:43" s="330" customFormat="1" x14ac:dyDescent="0.3">
      <c r="A124" s="269" t="s">
        <v>341</v>
      </c>
      <c r="B124" s="269" t="s">
        <v>341</v>
      </c>
      <c r="C124" s="49"/>
      <c r="D124" s="49"/>
      <c r="E124" s="281" t="s">
        <v>342</v>
      </c>
      <c r="F124" s="281" t="s">
        <v>343</v>
      </c>
      <c r="G124" s="281" t="s">
        <v>344</v>
      </c>
      <c r="H124" s="281" t="s">
        <v>345</v>
      </c>
      <c r="I124" s="281" t="s">
        <v>346</v>
      </c>
      <c r="J124" s="244"/>
      <c r="K124" s="37">
        <v>82</v>
      </c>
      <c r="L124" s="234">
        <f t="shared" si="7"/>
        <v>30.873000000000001</v>
      </c>
      <c r="M124" s="234">
        <f t="shared" si="8"/>
        <v>30.873000000000001</v>
      </c>
      <c r="N124" s="234">
        <f t="shared" si="9"/>
        <v>37.064</v>
      </c>
      <c r="O124" s="234">
        <f t="shared" si="10"/>
        <v>31.077999999999999</v>
      </c>
      <c r="P124" s="234">
        <f t="shared" si="11"/>
        <v>40.917999999999999</v>
      </c>
      <c r="Q124" s="234">
        <f t="shared" si="12"/>
        <v>35.26</v>
      </c>
      <c r="R124" s="234">
        <f t="shared" si="13"/>
        <v>39.606000000000002</v>
      </c>
      <c r="S124" s="221"/>
      <c r="T124" s="221"/>
      <c r="U124" s="221"/>
      <c r="V124" s="221"/>
      <c r="W124" s="221"/>
      <c r="X124" s="221"/>
      <c r="Y124" s="221"/>
      <c r="Z124" s="221"/>
      <c r="AA124" s="221"/>
      <c r="AB124" s="221"/>
      <c r="AC124" s="221"/>
      <c r="AD124" s="221"/>
      <c r="AE124" s="221"/>
      <c r="AF124" s="221"/>
      <c r="AG124" s="221"/>
      <c r="AH124" s="221"/>
      <c r="AI124" s="221"/>
      <c r="AJ124" s="221"/>
      <c r="AK124" s="221"/>
      <c r="AL124" s="221"/>
      <c r="AM124" s="221"/>
      <c r="AN124" s="221"/>
      <c r="AO124" s="221"/>
      <c r="AP124" s="221"/>
      <c r="AQ124" s="221"/>
    </row>
    <row r="125" spans="1:43" s="330" customFormat="1" x14ac:dyDescent="0.3">
      <c r="A125" s="82" t="s">
        <v>1533</v>
      </c>
      <c r="B125" s="82" t="s">
        <v>1533</v>
      </c>
      <c r="C125" s="160"/>
      <c r="D125" s="160"/>
      <c r="E125" s="57" t="s">
        <v>1534</v>
      </c>
      <c r="F125" s="57" t="s">
        <v>1535</v>
      </c>
      <c r="G125" s="57" t="s">
        <v>1536</v>
      </c>
      <c r="H125" s="57" t="s">
        <v>1537</v>
      </c>
      <c r="I125" s="57" t="s">
        <v>1538</v>
      </c>
      <c r="J125" s="39"/>
      <c r="K125" s="31">
        <v>82</v>
      </c>
      <c r="L125" s="234">
        <f t="shared" si="7"/>
        <v>30.873000000000001</v>
      </c>
      <c r="M125" s="234">
        <f t="shared" si="8"/>
        <v>30.873000000000001</v>
      </c>
      <c r="N125" s="234">
        <f t="shared" si="9"/>
        <v>37.064</v>
      </c>
      <c r="O125" s="234">
        <f t="shared" si="10"/>
        <v>31.077999999999999</v>
      </c>
      <c r="P125" s="234">
        <f t="shared" si="11"/>
        <v>40.917999999999999</v>
      </c>
      <c r="Q125" s="234">
        <f t="shared" si="12"/>
        <v>35.26</v>
      </c>
      <c r="R125" s="234">
        <f t="shared" si="13"/>
        <v>39.606000000000002</v>
      </c>
      <c r="S125" s="221"/>
      <c r="T125" s="221"/>
      <c r="U125" s="221"/>
      <c r="V125" s="221"/>
      <c r="W125" s="221"/>
      <c r="X125" s="221"/>
      <c r="Y125" s="221"/>
      <c r="Z125" s="221"/>
      <c r="AA125" s="221"/>
      <c r="AB125" s="221"/>
      <c r="AC125" s="221"/>
      <c r="AD125" s="221"/>
      <c r="AE125" s="221"/>
      <c r="AF125" s="221"/>
      <c r="AG125" s="221"/>
      <c r="AH125" s="221"/>
      <c r="AI125" s="221"/>
      <c r="AJ125" s="221"/>
      <c r="AK125" s="221"/>
      <c r="AL125" s="221"/>
      <c r="AM125" s="221"/>
      <c r="AN125" s="221"/>
      <c r="AO125" s="221"/>
      <c r="AP125" s="221"/>
      <c r="AQ125" s="221"/>
    </row>
    <row r="126" spans="1:43" s="330" customFormat="1" x14ac:dyDescent="0.3">
      <c r="A126" s="269" t="s">
        <v>347</v>
      </c>
      <c r="B126" s="269" t="s">
        <v>347</v>
      </c>
      <c r="C126" s="49"/>
      <c r="D126" s="49"/>
      <c r="E126" s="141" t="s">
        <v>348</v>
      </c>
      <c r="F126" s="281" t="s">
        <v>349</v>
      </c>
      <c r="G126" s="281" t="s">
        <v>350</v>
      </c>
      <c r="H126" s="281" t="s">
        <v>351</v>
      </c>
      <c r="I126" s="281" t="s">
        <v>352</v>
      </c>
      <c r="J126" s="244"/>
      <c r="K126" s="37">
        <v>183</v>
      </c>
      <c r="L126" s="234">
        <f t="shared" si="7"/>
        <v>68.899500000000003</v>
      </c>
      <c r="M126" s="234">
        <f t="shared" si="8"/>
        <v>68.899500000000003</v>
      </c>
      <c r="N126" s="234">
        <f t="shared" si="9"/>
        <v>82.716000000000008</v>
      </c>
      <c r="O126" s="234">
        <f t="shared" si="10"/>
        <v>69.356999999999999</v>
      </c>
      <c r="P126" s="234">
        <f t="shared" si="11"/>
        <v>91.316999999999993</v>
      </c>
      <c r="Q126" s="234">
        <f t="shared" si="12"/>
        <v>78.69</v>
      </c>
      <c r="R126" s="234">
        <f t="shared" si="13"/>
        <v>88.388999999999996</v>
      </c>
      <c r="S126" s="221"/>
      <c r="T126" s="221"/>
      <c r="U126" s="221"/>
      <c r="V126" s="221"/>
      <c r="W126" s="221"/>
      <c r="X126" s="221"/>
      <c r="Y126" s="221"/>
      <c r="Z126" s="221"/>
      <c r="AA126" s="221"/>
      <c r="AB126" s="221"/>
      <c r="AC126" s="221"/>
      <c r="AD126" s="221"/>
      <c r="AE126" s="221"/>
      <c r="AF126" s="221"/>
      <c r="AG126" s="221"/>
      <c r="AH126" s="221"/>
      <c r="AI126" s="221"/>
      <c r="AJ126" s="221"/>
      <c r="AK126" s="221"/>
      <c r="AL126" s="221"/>
      <c r="AM126" s="221"/>
      <c r="AN126" s="221"/>
      <c r="AO126" s="221"/>
      <c r="AP126" s="221"/>
      <c r="AQ126" s="221"/>
    </row>
    <row r="127" spans="1:43" s="221" customFormat="1" x14ac:dyDescent="0.3">
      <c r="A127" s="303"/>
      <c r="B127" s="262"/>
      <c r="C127" s="159"/>
      <c r="D127" s="159"/>
      <c r="E127" s="34"/>
      <c r="F127" s="54"/>
      <c r="G127" s="54"/>
      <c r="H127" s="54"/>
      <c r="I127" s="54"/>
      <c r="J127" s="54"/>
      <c r="K127" s="37"/>
      <c r="L127" s="234"/>
      <c r="M127" s="234"/>
      <c r="N127" s="234"/>
      <c r="O127" s="234"/>
      <c r="P127" s="234"/>
      <c r="Q127" s="234"/>
      <c r="R127" s="234"/>
    </row>
    <row r="128" spans="1:43" s="330" customFormat="1" x14ac:dyDescent="0.3">
      <c r="A128" s="112" t="s">
        <v>353</v>
      </c>
      <c r="B128" s="112"/>
      <c r="C128" s="112"/>
      <c r="D128" s="112"/>
      <c r="E128" s="293"/>
      <c r="F128" s="293"/>
      <c r="G128" s="293"/>
      <c r="H128" s="293"/>
      <c r="I128" s="293"/>
      <c r="J128" s="293"/>
      <c r="K128" s="239"/>
      <c r="L128" s="239"/>
      <c r="M128" s="239"/>
      <c r="N128" s="239"/>
      <c r="O128" s="239"/>
      <c r="P128" s="239"/>
      <c r="Q128" s="239"/>
      <c r="R128" s="239"/>
      <c r="S128" s="221"/>
      <c r="T128" s="221"/>
      <c r="U128" s="221"/>
      <c r="V128" s="221"/>
      <c r="W128" s="221"/>
      <c r="X128" s="221"/>
      <c r="Y128" s="221"/>
      <c r="Z128" s="221"/>
      <c r="AA128" s="221"/>
      <c r="AB128" s="221"/>
      <c r="AC128" s="221"/>
      <c r="AD128" s="221"/>
      <c r="AE128" s="221"/>
      <c r="AF128" s="221"/>
      <c r="AG128" s="221"/>
      <c r="AH128" s="221"/>
      <c r="AI128" s="221"/>
      <c r="AJ128" s="221"/>
      <c r="AK128" s="221"/>
      <c r="AL128" s="221"/>
      <c r="AM128" s="221"/>
      <c r="AN128" s="221"/>
      <c r="AO128" s="221"/>
      <c r="AP128" s="221"/>
      <c r="AQ128" s="221"/>
    </row>
    <row r="129" spans="1:43" s="207" customFormat="1" x14ac:dyDescent="0.3">
      <c r="A129" s="82" t="s">
        <v>1666</v>
      </c>
      <c r="B129" s="82" t="s">
        <v>354</v>
      </c>
      <c r="C129" s="160"/>
      <c r="D129" s="160"/>
      <c r="E129" s="57" t="s">
        <v>355</v>
      </c>
      <c r="F129" s="57"/>
      <c r="G129" s="57"/>
      <c r="H129" s="57"/>
      <c r="I129" s="57"/>
      <c r="J129" s="39"/>
      <c r="K129" s="31">
        <v>0</v>
      </c>
      <c r="L129" s="234">
        <f t="shared" si="7"/>
        <v>0</v>
      </c>
      <c r="M129" s="234">
        <f t="shared" si="8"/>
        <v>0</v>
      </c>
      <c r="N129" s="234">
        <f t="shared" si="9"/>
        <v>0</v>
      </c>
      <c r="O129" s="234">
        <f t="shared" si="10"/>
        <v>0</v>
      </c>
      <c r="P129" s="234">
        <f t="shared" si="11"/>
        <v>0</v>
      </c>
      <c r="Q129" s="234">
        <f t="shared" si="12"/>
        <v>0</v>
      </c>
      <c r="R129" s="234">
        <f t="shared" si="13"/>
        <v>0</v>
      </c>
      <c r="S129" s="329"/>
      <c r="T129" s="329"/>
      <c r="U129" s="329"/>
      <c r="V129" s="329"/>
      <c r="W129" s="329"/>
      <c r="X129" s="329"/>
      <c r="Y129" s="329"/>
      <c r="Z129" s="329"/>
      <c r="AA129" s="329"/>
      <c r="AB129" s="329"/>
      <c r="AC129" s="329"/>
      <c r="AD129" s="329"/>
      <c r="AE129" s="329"/>
      <c r="AF129" s="329"/>
      <c r="AG129" s="329"/>
      <c r="AH129" s="329"/>
      <c r="AI129" s="329"/>
      <c r="AJ129" s="329"/>
      <c r="AK129" s="329"/>
      <c r="AL129" s="329"/>
      <c r="AM129" s="329"/>
      <c r="AN129" s="329"/>
      <c r="AO129" s="329"/>
      <c r="AP129" s="329"/>
      <c r="AQ129" s="329"/>
    </row>
    <row r="130" spans="1:43" s="330" customFormat="1" x14ac:dyDescent="0.3">
      <c r="A130" s="82" t="s">
        <v>1667</v>
      </c>
      <c r="B130" s="82" t="s">
        <v>356</v>
      </c>
      <c r="C130" s="160"/>
      <c r="D130" s="160"/>
      <c r="E130" s="57" t="s">
        <v>357</v>
      </c>
      <c r="F130" s="57"/>
      <c r="G130" s="57"/>
      <c r="H130" s="57"/>
      <c r="I130" s="57"/>
      <c r="J130" s="39"/>
      <c r="K130" s="31">
        <v>0</v>
      </c>
      <c r="L130" s="234">
        <f t="shared" si="7"/>
        <v>0</v>
      </c>
      <c r="M130" s="234">
        <f t="shared" si="8"/>
        <v>0</v>
      </c>
      <c r="N130" s="234">
        <f t="shared" si="9"/>
        <v>0</v>
      </c>
      <c r="O130" s="234">
        <f t="shared" si="10"/>
        <v>0</v>
      </c>
      <c r="P130" s="234">
        <f t="shared" si="11"/>
        <v>0</v>
      </c>
      <c r="Q130" s="234">
        <f t="shared" si="12"/>
        <v>0</v>
      </c>
      <c r="R130" s="234">
        <f t="shared" si="13"/>
        <v>0</v>
      </c>
      <c r="S130" s="221"/>
      <c r="T130" s="221"/>
      <c r="U130" s="221"/>
      <c r="V130" s="221"/>
      <c r="W130" s="221"/>
      <c r="X130" s="221"/>
      <c r="Y130" s="221"/>
      <c r="Z130" s="221"/>
      <c r="AA130" s="221"/>
      <c r="AB130" s="221"/>
      <c r="AC130" s="221"/>
      <c r="AD130" s="221"/>
      <c r="AE130" s="221"/>
      <c r="AF130" s="221"/>
      <c r="AG130" s="221"/>
      <c r="AH130" s="221"/>
      <c r="AI130" s="221"/>
      <c r="AJ130" s="221"/>
      <c r="AK130" s="221"/>
      <c r="AL130" s="221"/>
      <c r="AM130" s="221"/>
      <c r="AN130" s="221"/>
      <c r="AO130" s="221"/>
      <c r="AP130" s="221"/>
      <c r="AQ130" s="221"/>
    </row>
    <row r="131" spans="1:43" s="207" customFormat="1" x14ac:dyDescent="0.3">
      <c r="A131" s="82" t="s">
        <v>1668</v>
      </c>
      <c r="B131" s="82" t="s">
        <v>358</v>
      </c>
      <c r="C131" s="160"/>
      <c r="D131" s="160"/>
      <c r="E131" s="57" t="s">
        <v>359</v>
      </c>
      <c r="F131" s="57"/>
      <c r="G131" s="57"/>
      <c r="H131" s="57"/>
      <c r="I131" s="57"/>
      <c r="J131" s="39"/>
      <c r="K131" s="31">
        <v>0</v>
      </c>
      <c r="L131" s="234">
        <f t="shared" si="7"/>
        <v>0</v>
      </c>
      <c r="M131" s="234">
        <f t="shared" si="8"/>
        <v>0</v>
      </c>
      <c r="N131" s="234">
        <f t="shared" si="9"/>
        <v>0</v>
      </c>
      <c r="O131" s="234">
        <f t="shared" si="10"/>
        <v>0</v>
      </c>
      <c r="P131" s="234">
        <f t="shared" si="11"/>
        <v>0</v>
      </c>
      <c r="Q131" s="234">
        <f t="shared" si="12"/>
        <v>0</v>
      </c>
      <c r="R131" s="234">
        <f t="shared" si="13"/>
        <v>0</v>
      </c>
      <c r="S131" s="329"/>
      <c r="T131" s="329"/>
      <c r="U131" s="329"/>
      <c r="V131" s="329"/>
      <c r="W131" s="329"/>
      <c r="X131" s="329"/>
      <c r="Y131" s="329"/>
      <c r="Z131" s="329"/>
      <c r="AA131" s="329"/>
      <c r="AB131" s="329"/>
      <c r="AC131" s="329"/>
      <c r="AD131" s="329"/>
      <c r="AE131" s="329"/>
      <c r="AF131" s="329"/>
      <c r="AG131" s="329"/>
      <c r="AH131" s="329"/>
      <c r="AI131" s="329"/>
      <c r="AJ131" s="329"/>
      <c r="AK131" s="329"/>
      <c r="AL131" s="329"/>
      <c r="AM131" s="329"/>
      <c r="AN131" s="329"/>
      <c r="AO131" s="329"/>
      <c r="AP131" s="329"/>
      <c r="AQ131" s="329"/>
    </row>
    <row r="132" spans="1:43" s="330" customFormat="1" x14ac:dyDescent="0.3">
      <c r="A132" s="82" t="s">
        <v>1669</v>
      </c>
      <c r="B132" s="82" t="s">
        <v>360</v>
      </c>
      <c r="C132" s="160"/>
      <c r="D132" s="160"/>
      <c r="E132" s="57" t="s">
        <v>361</v>
      </c>
      <c r="F132" s="57"/>
      <c r="G132" s="57"/>
      <c r="H132" s="57"/>
      <c r="I132" s="57"/>
      <c r="J132" s="39"/>
      <c r="K132" s="31">
        <v>25</v>
      </c>
      <c r="L132" s="234">
        <f t="shared" si="7"/>
        <v>9.4124999999999996</v>
      </c>
      <c r="M132" s="234">
        <f t="shared" si="8"/>
        <v>9.4124999999999996</v>
      </c>
      <c r="N132" s="234">
        <f t="shared" si="9"/>
        <v>11.3</v>
      </c>
      <c r="O132" s="234">
        <f t="shared" si="10"/>
        <v>9.4749999999999996</v>
      </c>
      <c r="P132" s="234">
        <f t="shared" si="11"/>
        <v>12.475</v>
      </c>
      <c r="Q132" s="234">
        <f t="shared" si="12"/>
        <v>10.75</v>
      </c>
      <c r="R132" s="234">
        <f t="shared" si="13"/>
        <v>12.074999999999999</v>
      </c>
      <c r="S132" s="221"/>
      <c r="T132" s="221"/>
      <c r="U132" s="221"/>
      <c r="V132" s="221"/>
      <c r="W132" s="221"/>
      <c r="X132" s="221"/>
      <c r="Y132" s="221"/>
      <c r="Z132" s="221"/>
      <c r="AA132" s="221"/>
      <c r="AB132" s="221"/>
      <c r="AC132" s="221"/>
      <c r="AD132" s="221"/>
      <c r="AE132" s="221"/>
      <c r="AF132" s="221"/>
      <c r="AG132" s="221"/>
      <c r="AH132" s="221"/>
      <c r="AI132" s="221"/>
      <c r="AJ132" s="221"/>
      <c r="AK132" s="221"/>
      <c r="AL132" s="221"/>
      <c r="AM132" s="221"/>
      <c r="AN132" s="221"/>
      <c r="AO132" s="221"/>
      <c r="AP132" s="221"/>
      <c r="AQ132" s="221"/>
    </row>
    <row r="133" spans="1:43" s="207" customFormat="1" x14ac:dyDescent="0.3">
      <c r="A133" s="82" t="s">
        <v>1670</v>
      </c>
      <c r="B133" s="82" t="s">
        <v>1554</v>
      </c>
      <c r="C133" s="160"/>
      <c r="D133" s="160"/>
      <c r="E133" s="57" t="s">
        <v>362</v>
      </c>
      <c r="F133" s="57"/>
      <c r="G133" s="57"/>
      <c r="H133" s="57"/>
      <c r="I133" s="57"/>
      <c r="J133" s="39"/>
      <c r="K133" s="31">
        <v>25</v>
      </c>
      <c r="L133" s="234">
        <f t="shared" si="7"/>
        <v>9.4124999999999996</v>
      </c>
      <c r="M133" s="234">
        <f t="shared" si="8"/>
        <v>9.4124999999999996</v>
      </c>
      <c r="N133" s="234">
        <f t="shared" si="9"/>
        <v>11.3</v>
      </c>
      <c r="O133" s="234">
        <f t="shared" si="10"/>
        <v>9.4749999999999996</v>
      </c>
      <c r="P133" s="234">
        <f t="shared" si="11"/>
        <v>12.475</v>
      </c>
      <c r="Q133" s="234">
        <f t="shared" si="12"/>
        <v>10.75</v>
      </c>
      <c r="R133" s="234">
        <f t="shared" si="13"/>
        <v>12.074999999999999</v>
      </c>
      <c r="S133" s="329"/>
      <c r="T133" s="329"/>
      <c r="U133" s="329"/>
      <c r="V133" s="329"/>
      <c r="W133" s="329"/>
      <c r="X133" s="329"/>
      <c r="Y133" s="329"/>
      <c r="Z133" s="329"/>
      <c r="AA133" s="329"/>
      <c r="AB133" s="329"/>
      <c r="AC133" s="329"/>
      <c r="AD133" s="329"/>
      <c r="AE133" s="329"/>
      <c r="AF133" s="329"/>
      <c r="AG133" s="329"/>
      <c r="AH133" s="329"/>
      <c r="AI133" s="329"/>
      <c r="AJ133" s="329"/>
      <c r="AK133" s="329"/>
      <c r="AL133" s="329"/>
      <c r="AM133" s="329"/>
      <c r="AN133" s="329"/>
      <c r="AO133" s="329"/>
      <c r="AP133" s="329"/>
      <c r="AQ133" s="329"/>
    </row>
    <row r="134" spans="1:43" s="330" customFormat="1" x14ac:dyDescent="0.3">
      <c r="A134" s="82" t="s">
        <v>1671</v>
      </c>
      <c r="B134" s="82" t="s">
        <v>363</v>
      </c>
      <c r="C134" s="160"/>
      <c r="D134" s="160"/>
      <c r="E134" s="57" t="s">
        <v>364</v>
      </c>
      <c r="F134" s="57"/>
      <c r="G134" s="57"/>
      <c r="H134" s="57"/>
      <c r="I134" s="57"/>
      <c r="J134" s="39"/>
      <c r="K134" s="31">
        <v>46</v>
      </c>
      <c r="L134" s="234">
        <f t="shared" si="7"/>
        <v>17.318999999999999</v>
      </c>
      <c r="M134" s="234">
        <f t="shared" si="8"/>
        <v>17.318999999999999</v>
      </c>
      <c r="N134" s="234">
        <f t="shared" si="9"/>
        <v>20.792000000000002</v>
      </c>
      <c r="O134" s="234">
        <f t="shared" si="10"/>
        <v>17.434000000000001</v>
      </c>
      <c r="P134" s="234">
        <f t="shared" si="11"/>
        <v>22.954000000000001</v>
      </c>
      <c r="Q134" s="234">
        <f t="shared" si="12"/>
        <v>19.78</v>
      </c>
      <c r="R134" s="234">
        <f t="shared" si="13"/>
        <v>22.218</v>
      </c>
      <c r="S134" s="221"/>
      <c r="T134" s="221"/>
      <c r="U134" s="221"/>
      <c r="V134" s="221"/>
      <c r="W134" s="221"/>
      <c r="X134" s="221"/>
      <c r="Y134" s="221"/>
      <c r="Z134" s="221"/>
      <c r="AA134" s="221"/>
      <c r="AB134" s="221"/>
      <c r="AC134" s="221"/>
      <c r="AD134" s="221"/>
      <c r="AE134" s="221"/>
      <c r="AF134" s="221"/>
      <c r="AG134" s="221"/>
      <c r="AH134" s="221"/>
      <c r="AI134" s="221"/>
      <c r="AJ134" s="221"/>
      <c r="AK134" s="221"/>
      <c r="AL134" s="221"/>
      <c r="AM134" s="221"/>
      <c r="AN134" s="221"/>
      <c r="AO134" s="221"/>
      <c r="AP134" s="221"/>
      <c r="AQ134" s="221"/>
    </row>
    <row r="135" spans="1:43" x14ac:dyDescent="0.3">
      <c r="A135" s="82" t="s">
        <v>1672</v>
      </c>
      <c r="B135" s="82" t="s">
        <v>365</v>
      </c>
      <c r="C135" s="160"/>
      <c r="D135" s="160"/>
      <c r="E135" s="57" t="s">
        <v>1606</v>
      </c>
      <c r="F135" s="57"/>
      <c r="G135" s="57"/>
      <c r="H135" s="57"/>
      <c r="I135" s="57"/>
      <c r="J135" s="39"/>
      <c r="K135" s="31">
        <v>46</v>
      </c>
      <c r="L135" s="234">
        <f t="shared" si="7"/>
        <v>17.318999999999999</v>
      </c>
      <c r="M135" s="234">
        <f t="shared" si="8"/>
        <v>17.318999999999999</v>
      </c>
      <c r="N135" s="234">
        <f t="shared" si="9"/>
        <v>20.792000000000002</v>
      </c>
      <c r="O135" s="234">
        <f t="shared" si="10"/>
        <v>17.434000000000001</v>
      </c>
      <c r="P135" s="234">
        <f t="shared" si="11"/>
        <v>22.954000000000001</v>
      </c>
      <c r="Q135" s="234">
        <f t="shared" si="12"/>
        <v>19.78</v>
      </c>
      <c r="R135" s="234">
        <f t="shared" si="13"/>
        <v>22.218</v>
      </c>
    </row>
    <row r="136" spans="1:43" s="207" customFormat="1" x14ac:dyDescent="0.3">
      <c r="A136" s="82" t="s">
        <v>1673</v>
      </c>
      <c r="B136" s="82" t="s">
        <v>366</v>
      </c>
      <c r="C136" s="160"/>
      <c r="D136" s="160"/>
      <c r="E136" s="57" t="s">
        <v>367</v>
      </c>
      <c r="F136" s="57"/>
      <c r="G136" s="57"/>
      <c r="H136" s="57"/>
      <c r="I136" s="57"/>
      <c r="J136" s="39"/>
      <c r="K136" s="31">
        <v>46</v>
      </c>
      <c r="L136" s="234">
        <f t="shared" si="7"/>
        <v>17.318999999999999</v>
      </c>
      <c r="M136" s="234">
        <f t="shared" si="8"/>
        <v>17.318999999999999</v>
      </c>
      <c r="N136" s="234">
        <f t="shared" si="9"/>
        <v>20.792000000000002</v>
      </c>
      <c r="O136" s="234">
        <f t="shared" si="10"/>
        <v>17.434000000000001</v>
      </c>
      <c r="P136" s="234">
        <f t="shared" si="11"/>
        <v>22.954000000000001</v>
      </c>
      <c r="Q136" s="234">
        <f t="shared" si="12"/>
        <v>19.78</v>
      </c>
      <c r="R136" s="234">
        <f t="shared" si="13"/>
        <v>22.218</v>
      </c>
      <c r="S136" s="329"/>
      <c r="T136" s="329"/>
      <c r="U136" s="329"/>
      <c r="V136" s="329"/>
      <c r="W136" s="329"/>
      <c r="X136" s="329"/>
      <c r="Y136" s="329"/>
      <c r="Z136" s="329"/>
      <c r="AA136" s="329"/>
      <c r="AB136" s="329"/>
      <c r="AC136" s="329"/>
      <c r="AD136" s="329"/>
      <c r="AE136" s="329"/>
      <c r="AF136" s="329"/>
      <c r="AG136" s="329"/>
      <c r="AH136" s="329"/>
      <c r="AI136" s="329"/>
      <c r="AJ136" s="329"/>
      <c r="AK136" s="329"/>
      <c r="AL136" s="329"/>
      <c r="AM136" s="329"/>
      <c r="AN136" s="329"/>
      <c r="AO136" s="329"/>
      <c r="AP136" s="329"/>
      <c r="AQ136" s="329"/>
    </row>
    <row r="137" spans="1:43" x14ac:dyDescent="0.3">
      <c r="A137" s="82" t="s">
        <v>1674</v>
      </c>
      <c r="B137" s="82" t="s">
        <v>368</v>
      </c>
      <c r="C137" s="160"/>
      <c r="D137" s="160"/>
      <c r="E137" s="57" t="s">
        <v>369</v>
      </c>
      <c r="F137" s="57"/>
      <c r="G137" s="57"/>
      <c r="H137" s="57"/>
      <c r="I137" s="57"/>
      <c r="J137" s="39"/>
      <c r="K137" s="31">
        <v>57</v>
      </c>
      <c r="L137" s="234">
        <f t="shared" si="7"/>
        <v>21.4605</v>
      </c>
      <c r="M137" s="234">
        <f t="shared" si="8"/>
        <v>21.4605</v>
      </c>
      <c r="N137" s="234">
        <f t="shared" si="9"/>
        <v>25.763999999999999</v>
      </c>
      <c r="O137" s="234">
        <f t="shared" si="10"/>
        <v>21.603000000000002</v>
      </c>
      <c r="P137" s="234">
        <f t="shared" si="11"/>
        <v>28.443000000000001</v>
      </c>
      <c r="Q137" s="234">
        <f t="shared" si="12"/>
        <v>24.509999999999998</v>
      </c>
      <c r="R137" s="234">
        <f t="shared" si="13"/>
        <v>27.530999999999999</v>
      </c>
    </row>
    <row r="138" spans="1:43" s="207" customFormat="1" x14ac:dyDescent="0.3">
      <c r="A138" s="82" t="s">
        <v>1675</v>
      </c>
      <c r="B138" s="82" t="s">
        <v>370</v>
      </c>
      <c r="C138" s="160"/>
      <c r="D138" s="160"/>
      <c r="E138" s="57" t="s">
        <v>371</v>
      </c>
      <c r="F138" s="57"/>
      <c r="G138" s="57"/>
      <c r="H138" s="57"/>
      <c r="I138" s="57"/>
      <c r="J138" s="39"/>
      <c r="K138" s="31">
        <v>57</v>
      </c>
      <c r="L138" s="234">
        <f t="shared" si="7"/>
        <v>21.4605</v>
      </c>
      <c r="M138" s="234">
        <f t="shared" si="8"/>
        <v>21.4605</v>
      </c>
      <c r="N138" s="234">
        <f t="shared" si="9"/>
        <v>25.763999999999999</v>
      </c>
      <c r="O138" s="234">
        <f t="shared" si="10"/>
        <v>21.603000000000002</v>
      </c>
      <c r="P138" s="234">
        <f t="shared" si="11"/>
        <v>28.443000000000001</v>
      </c>
      <c r="Q138" s="234">
        <f t="shared" si="12"/>
        <v>24.509999999999998</v>
      </c>
      <c r="R138" s="234">
        <f t="shared" si="13"/>
        <v>27.530999999999999</v>
      </c>
      <c r="S138" s="329"/>
      <c r="T138" s="329"/>
      <c r="U138" s="329"/>
      <c r="V138" s="329"/>
      <c r="W138" s="329"/>
      <c r="X138" s="329"/>
      <c r="Y138" s="329"/>
      <c r="Z138" s="329"/>
      <c r="AA138" s="329"/>
      <c r="AB138" s="329"/>
      <c r="AC138" s="329"/>
      <c r="AD138" s="329"/>
      <c r="AE138" s="329"/>
      <c r="AF138" s="329"/>
      <c r="AG138" s="329"/>
      <c r="AH138" s="329"/>
      <c r="AI138" s="329"/>
      <c r="AJ138" s="329"/>
      <c r="AK138" s="329"/>
      <c r="AL138" s="329"/>
      <c r="AM138" s="329"/>
      <c r="AN138" s="329"/>
      <c r="AO138" s="329"/>
      <c r="AP138" s="329"/>
      <c r="AQ138" s="329"/>
    </row>
    <row r="139" spans="1:43" x14ac:dyDescent="0.3">
      <c r="A139" s="128"/>
      <c r="B139" s="187"/>
      <c r="C139" s="275"/>
      <c r="D139" s="275"/>
      <c r="E139" s="263"/>
      <c r="F139" s="263"/>
      <c r="G139" s="263"/>
      <c r="H139" s="263"/>
      <c r="I139" s="263"/>
      <c r="J139" s="263"/>
      <c r="K139" s="37"/>
      <c r="L139" s="234"/>
      <c r="M139" s="234"/>
      <c r="N139" s="234"/>
      <c r="O139" s="234"/>
      <c r="P139" s="234"/>
      <c r="Q139" s="234"/>
      <c r="R139" s="234"/>
    </row>
    <row r="140" spans="1:43" x14ac:dyDescent="0.3">
      <c r="A140" s="112" t="s">
        <v>178</v>
      </c>
      <c r="B140" s="112"/>
      <c r="C140" s="112"/>
      <c r="D140" s="112"/>
      <c r="E140" s="293"/>
      <c r="F140" s="293"/>
      <c r="G140" s="293"/>
      <c r="H140" s="293"/>
      <c r="I140" s="293"/>
      <c r="J140" s="293"/>
      <c r="K140" s="239"/>
      <c r="L140" s="239"/>
      <c r="M140" s="239"/>
      <c r="N140" s="239"/>
      <c r="O140" s="239"/>
      <c r="P140" s="239"/>
      <c r="Q140" s="239"/>
      <c r="R140" s="239"/>
    </row>
    <row r="141" spans="1:43" x14ac:dyDescent="0.3">
      <c r="A141" s="269" t="s">
        <v>1676</v>
      </c>
      <c r="B141" s="269" t="s">
        <v>1573</v>
      </c>
      <c r="C141" s="49"/>
      <c r="D141" s="49"/>
      <c r="E141" s="281"/>
      <c r="F141" s="281" t="s">
        <v>372</v>
      </c>
      <c r="G141" s="281" t="s">
        <v>373</v>
      </c>
      <c r="H141" s="281"/>
      <c r="I141" s="281"/>
      <c r="J141" s="244"/>
      <c r="K141" s="37">
        <v>11</v>
      </c>
      <c r="L141" s="234">
        <f t="shared" ref="L141:L204" si="14">K141*$L$9</f>
        <v>4.1414999999999997</v>
      </c>
      <c r="M141" s="234">
        <f t="shared" ref="M141:M204" si="15">K141*$M$9</f>
        <v>4.1414999999999997</v>
      </c>
      <c r="N141" s="234">
        <f t="shared" ref="N141:N204" si="16">K141*$N$9</f>
        <v>4.9720000000000004</v>
      </c>
      <c r="O141" s="234">
        <f t="shared" ref="O141:O204" si="17">K141*$O$9</f>
        <v>4.1690000000000005</v>
      </c>
      <c r="P141" s="234">
        <f t="shared" ref="P141:P202" si="18">K141*$P$9</f>
        <v>5.4889999999999999</v>
      </c>
      <c r="Q141" s="234">
        <f t="shared" ref="Q141:Q202" si="19">K141*$Q$9</f>
        <v>4.7299999999999995</v>
      </c>
      <c r="R141" s="234">
        <f t="shared" ref="R141:R202" si="20">K141*$R$9</f>
        <v>5.3129999999999997</v>
      </c>
    </row>
    <row r="142" spans="1:43" s="207" customFormat="1" x14ac:dyDescent="0.3">
      <c r="A142" s="82" t="s">
        <v>1677</v>
      </c>
      <c r="B142" s="82" t="s">
        <v>374</v>
      </c>
      <c r="C142" s="182"/>
      <c r="D142" s="182"/>
      <c r="E142" s="120"/>
      <c r="F142" s="57" t="s">
        <v>375</v>
      </c>
      <c r="G142" s="57" t="s">
        <v>376</v>
      </c>
      <c r="H142" s="120"/>
      <c r="I142" s="120"/>
      <c r="J142" s="120"/>
      <c r="K142" s="31">
        <v>0</v>
      </c>
      <c r="L142" s="234">
        <f t="shared" si="14"/>
        <v>0</v>
      </c>
      <c r="M142" s="234">
        <f t="shared" si="15"/>
        <v>0</v>
      </c>
      <c r="N142" s="234">
        <f t="shared" si="16"/>
        <v>0</v>
      </c>
      <c r="O142" s="234">
        <f t="shared" si="17"/>
        <v>0</v>
      </c>
      <c r="P142" s="234">
        <f t="shared" si="18"/>
        <v>0</v>
      </c>
      <c r="Q142" s="234">
        <f t="shared" si="19"/>
        <v>0</v>
      </c>
      <c r="R142" s="234">
        <f t="shared" si="20"/>
        <v>0</v>
      </c>
      <c r="S142" s="329"/>
      <c r="T142" s="329"/>
      <c r="U142" s="329"/>
      <c r="V142" s="329"/>
      <c r="W142" s="329"/>
      <c r="X142" s="329"/>
      <c r="Y142" s="329"/>
      <c r="Z142" s="329"/>
      <c r="AA142" s="329"/>
      <c r="AB142" s="329"/>
      <c r="AC142" s="329"/>
      <c r="AD142" s="329"/>
      <c r="AE142" s="329"/>
      <c r="AF142" s="329"/>
      <c r="AG142" s="329"/>
      <c r="AH142" s="329"/>
      <c r="AI142" s="329"/>
      <c r="AJ142" s="329"/>
      <c r="AK142" s="329"/>
      <c r="AL142" s="329"/>
      <c r="AM142" s="329"/>
      <c r="AN142" s="329"/>
      <c r="AO142" s="329"/>
      <c r="AP142" s="329"/>
      <c r="AQ142" s="329"/>
    </row>
    <row r="143" spans="1:43" x14ac:dyDescent="0.3">
      <c r="A143" s="82" t="s">
        <v>1678</v>
      </c>
      <c r="B143" s="82" t="s">
        <v>1574</v>
      </c>
      <c r="C143" s="160"/>
      <c r="D143" s="160"/>
      <c r="E143" s="57"/>
      <c r="F143" s="57" t="s">
        <v>377</v>
      </c>
      <c r="G143" s="57" t="s">
        <v>378</v>
      </c>
      <c r="H143" s="57"/>
      <c r="I143" s="57"/>
      <c r="J143" s="39"/>
      <c r="K143" s="31">
        <v>13</v>
      </c>
      <c r="L143" s="234">
        <f t="shared" si="14"/>
        <v>4.8944999999999999</v>
      </c>
      <c r="M143" s="234">
        <f t="shared" si="15"/>
        <v>4.8944999999999999</v>
      </c>
      <c r="N143" s="234">
        <f t="shared" si="16"/>
        <v>5.8760000000000003</v>
      </c>
      <c r="O143" s="234">
        <f t="shared" si="17"/>
        <v>4.9269999999999996</v>
      </c>
      <c r="P143" s="234">
        <f t="shared" si="18"/>
        <v>6.4870000000000001</v>
      </c>
      <c r="Q143" s="234">
        <f t="shared" si="19"/>
        <v>5.59</v>
      </c>
      <c r="R143" s="234">
        <f t="shared" si="20"/>
        <v>6.2789999999999999</v>
      </c>
    </row>
    <row r="144" spans="1:43" x14ac:dyDescent="0.3">
      <c r="A144" s="82" t="s">
        <v>1679</v>
      </c>
      <c r="B144" s="82" t="s">
        <v>1558</v>
      </c>
      <c r="C144" s="160"/>
      <c r="D144" s="160"/>
      <c r="E144" s="57"/>
      <c r="F144" s="57" t="s">
        <v>379</v>
      </c>
      <c r="G144" s="57" t="s">
        <v>380</v>
      </c>
      <c r="H144" s="57"/>
      <c r="I144" s="57"/>
      <c r="J144" s="39"/>
      <c r="K144" s="31">
        <v>25</v>
      </c>
      <c r="L144" s="234">
        <f t="shared" si="14"/>
        <v>9.4124999999999996</v>
      </c>
      <c r="M144" s="234">
        <f t="shared" si="15"/>
        <v>9.4124999999999996</v>
      </c>
      <c r="N144" s="234">
        <f t="shared" si="16"/>
        <v>11.3</v>
      </c>
      <c r="O144" s="234">
        <f t="shared" si="17"/>
        <v>9.4749999999999996</v>
      </c>
      <c r="P144" s="234">
        <f t="shared" si="18"/>
        <v>12.475</v>
      </c>
      <c r="Q144" s="234">
        <f t="shared" si="19"/>
        <v>10.75</v>
      </c>
      <c r="R144" s="234">
        <f t="shared" si="20"/>
        <v>12.074999999999999</v>
      </c>
    </row>
    <row r="145" spans="1:43" x14ac:dyDescent="0.3">
      <c r="A145" s="82" t="s">
        <v>1680</v>
      </c>
      <c r="B145" s="82" t="s">
        <v>1575</v>
      </c>
      <c r="C145" s="160"/>
      <c r="D145" s="160"/>
      <c r="E145" s="57"/>
      <c r="F145" s="57" t="s">
        <v>381</v>
      </c>
      <c r="G145" s="57" t="s">
        <v>382</v>
      </c>
      <c r="H145" s="57"/>
      <c r="I145" s="57"/>
      <c r="J145" s="39"/>
      <c r="K145" s="31">
        <v>41</v>
      </c>
      <c r="L145" s="234">
        <f t="shared" si="14"/>
        <v>15.436500000000001</v>
      </c>
      <c r="M145" s="234">
        <f t="shared" si="15"/>
        <v>15.436500000000001</v>
      </c>
      <c r="N145" s="234">
        <f t="shared" si="16"/>
        <v>18.532</v>
      </c>
      <c r="O145" s="234">
        <f t="shared" si="17"/>
        <v>15.539</v>
      </c>
      <c r="P145" s="234">
        <f t="shared" si="18"/>
        <v>20.459</v>
      </c>
      <c r="Q145" s="234">
        <f t="shared" si="19"/>
        <v>17.63</v>
      </c>
      <c r="R145" s="234">
        <f t="shared" si="20"/>
        <v>19.803000000000001</v>
      </c>
    </row>
    <row r="146" spans="1:43" x14ac:dyDescent="0.3">
      <c r="A146" s="82" t="s">
        <v>1681</v>
      </c>
      <c r="B146" s="82" t="s">
        <v>1576</v>
      </c>
      <c r="C146" s="160"/>
      <c r="D146" s="160"/>
      <c r="E146" s="57"/>
      <c r="F146" s="57" t="s">
        <v>383</v>
      </c>
      <c r="G146" s="57" t="s">
        <v>384</v>
      </c>
      <c r="H146" s="57"/>
      <c r="I146" s="57"/>
      <c r="J146" s="39"/>
      <c r="K146" s="31">
        <v>71</v>
      </c>
      <c r="L146" s="234">
        <f t="shared" si="14"/>
        <v>26.7315</v>
      </c>
      <c r="M146" s="234">
        <f t="shared" si="15"/>
        <v>26.7315</v>
      </c>
      <c r="N146" s="234">
        <f t="shared" si="16"/>
        <v>32.091999999999999</v>
      </c>
      <c r="O146" s="234">
        <f t="shared" si="17"/>
        <v>26.908999999999999</v>
      </c>
      <c r="P146" s="234">
        <f t="shared" si="18"/>
        <v>35.429000000000002</v>
      </c>
      <c r="Q146" s="234">
        <f t="shared" si="19"/>
        <v>30.53</v>
      </c>
      <c r="R146" s="234">
        <f t="shared" si="20"/>
        <v>34.292999999999999</v>
      </c>
    </row>
    <row r="147" spans="1:43" s="207" customFormat="1" x14ac:dyDescent="0.3">
      <c r="A147" s="82" t="s">
        <v>1682</v>
      </c>
      <c r="B147" s="82" t="s">
        <v>385</v>
      </c>
      <c r="C147" s="182"/>
      <c r="D147" s="182"/>
      <c r="E147" s="120"/>
      <c r="F147" s="57" t="s">
        <v>386</v>
      </c>
      <c r="G147" s="57" t="s">
        <v>387</v>
      </c>
      <c r="H147" s="120"/>
      <c r="I147" s="120"/>
      <c r="J147" s="120"/>
      <c r="K147" s="31">
        <v>71</v>
      </c>
      <c r="L147" s="234">
        <f t="shared" si="14"/>
        <v>26.7315</v>
      </c>
      <c r="M147" s="234">
        <f t="shared" si="15"/>
        <v>26.7315</v>
      </c>
      <c r="N147" s="234">
        <f t="shared" si="16"/>
        <v>32.091999999999999</v>
      </c>
      <c r="O147" s="234">
        <f t="shared" si="17"/>
        <v>26.908999999999999</v>
      </c>
      <c r="P147" s="234">
        <f t="shared" si="18"/>
        <v>35.429000000000002</v>
      </c>
      <c r="Q147" s="234">
        <f t="shared" si="19"/>
        <v>30.53</v>
      </c>
      <c r="R147" s="234">
        <f t="shared" si="20"/>
        <v>34.292999999999999</v>
      </c>
      <c r="S147" s="329"/>
      <c r="T147" s="329"/>
      <c r="U147" s="329"/>
      <c r="V147" s="329"/>
      <c r="W147" s="329"/>
      <c r="X147" s="329"/>
      <c r="Y147" s="329"/>
      <c r="Z147" s="329"/>
      <c r="AA147" s="329"/>
      <c r="AB147" s="329"/>
      <c r="AC147" s="329"/>
      <c r="AD147" s="329"/>
      <c r="AE147" s="329"/>
      <c r="AF147" s="329"/>
      <c r="AG147" s="329"/>
      <c r="AH147" s="329"/>
      <c r="AI147" s="329"/>
      <c r="AJ147" s="329"/>
      <c r="AK147" s="329"/>
      <c r="AL147" s="329"/>
      <c r="AM147" s="329"/>
      <c r="AN147" s="329"/>
      <c r="AO147" s="329"/>
      <c r="AP147" s="329"/>
      <c r="AQ147" s="329"/>
    </row>
    <row r="148" spans="1:43" x14ac:dyDescent="0.3">
      <c r="A148" s="82" t="s">
        <v>1683</v>
      </c>
      <c r="B148" s="82" t="s">
        <v>1577</v>
      </c>
      <c r="C148" s="160"/>
      <c r="D148" s="160"/>
      <c r="E148" s="57"/>
      <c r="F148" s="57" t="s">
        <v>388</v>
      </c>
      <c r="G148" s="57" t="s">
        <v>389</v>
      </c>
      <c r="H148" s="57"/>
      <c r="I148" s="57"/>
      <c r="J148" s="39"/>
      <c r="K148" s="31">
        <v>82</v>
      </c>
      <c r="L148" s="234">
        <f t="shared" si="14"/>
        <v>30.873000000000001</v>
      </c>
      <c r="M148" s="234">
        <f t="shared" si="15"/>
        <v>30.873000000000001</v>
      </c>
      <c r="N148" s="234">
        <f t="shared" si="16"/>
        <v>37.064</v>
      </c>
      <c r="O148" s="234">
        <f t="shared" si="17"/>
        <v>31.077999999999999</v>
      </c>
      <c r="P148" s="234">
        <f t="shared" si="18"/>
        <v>40.917999999999999</v>
      </c>
      <c r="Q148" s="234">
        <f t="shared" si="19"/>
        <v>35.26</v>
      </c>
      <c r="R148" s="234">
        <f t="shared" si="20"/>
        <v>39.606000000000002</v>
      </c>
    </row>
    <row r="149" spans="1:43" s="207" customFormat="1" x14ac:dyDescent="0.3">
      <c r="A149" s="82" t="s">
        <v>1684</v>
      </c>
      <c r="B149" s="82" t="s">
        <v>390</v>
      </c>
      <c r="C149" s="182"/>
      <c r="D149" s="182"/>
      <c r="E149" s="120"/>
      <c r="F149" s="57" t="s">
        <v>391</v>
      </c>
      <c r="G149" s="57" t="s">
        <v>392</v>
      </c>
      <c r="H149" s="120"/>
      <c r="I149" s="120"/>
      <c r="J149" s="120"/>
      <c r="K149" s="31">
        <v>117</v>
      </c>
      <c r="L149" s="234">
        <f t="shared" si="14"/>
        <v>44.0505</v>
      </c>
      <c r="M149" s="234">
        <f t="shared" si="15"/>
        <v>44.0505</v>
      </c>
      <c r="N149" s="234">
        <f t="shared" si="16"/>
        <v>52.884</v>
      </c>
      <c r="O149" s="234">
        <f t="shared" si="17"/>
        <v>44.343000000000004</v>
      </c>
      <c r="P149" s="234">
        <f t="shared" si="18"/>
        <v>58.383000000000003</v>
      </c>
      <c r="Q149" s="234">
        <f t="shared" si="19"/>
        <v>50.31</v>
      </c>
      <c r="R149" s="234">
        <f t="shared" si="20"/>
        <v>56.510999999999996</v>
      </c>
      <c r="S149" s="329"/>
      <c r="T149" s="329"/>
      <c r="U149" s="329"/>
      <c r="V149" s="329"/>
      <c r="W149" s="329"/>
      <c r="X149" s="329"/>
      <c r="Y149" s="329"/>
      <c r="Z149" s="329"/>
      <c r="AA149" s="329"/>
      <c r="AB149" s="329"/>
      <c r="AC149" s="329"/>
      <c r="AD149" s="329"/>
      <c r="AE149" s="329"/>
      <c r="AF149" s="329"/>
      <c r="AG149" s="329"/>
      <c r="AH149" s="329"/>
      <c r="AI149" s="329"/>
      <c r="AJ149" s="329"/>
      <c r="AK149" s="329"/>
      <c r="AL149" s="329"/>
      <c r="AM149" s="329"/>
      <c r="AN149" s="329"/>
      <c r="AO149" s="329"/>
      <c r="AP149" s="329"/>
      <c r="AQ149" s="329"/>
    </row>
    <row r="150" spans="1:43" x14ac:dyDescent="0.3">
      <c r="A150" s="269" t="s">
        <v>1685</v>
      </c>
      <c r="B150" s="269" t="s">
        <v>1578</v>
      </c>
      <c r="C150" s="49"/>
      <c r="D150" s="49"/>
      <c r="E150" s="281"/>
      <c r="F150" s="281" t="s">
        <v>393</v>
      </c>
      <c r="G150" s="281" t="s">
        <v>394</v>
      </c>
      <c r="H150" s="281"/>
      <c r="I150" s="281"/>
      <c r="J150" s="244"/>
      <c r="K150" s="37">
        <v>117</v>
      </c>
      <c r="L150" s="234">
        <f t="shared" si="14"/>
        <v>44.0505</v>
      </c>
      <c r="M150" s="234">
        <f t="shared" si="15"/>
        <v>44.0505</v>
      </c>
      <c r="N150" s="234">
        <f t="shared" si="16"/>
        <v>52.884</v>
      </c>
      <c r="O150" s="234">
        <f t="shared" si="17"/>
        <v>44.343000000000004</v>
      </c>
      <c r="P150" s="234">
        <f t="shared" si="18"/>
        <v>58.383000000000003</v>
      </c>
      <c r="Q150" s="234">
        <f t="shared" si="19"/>
        <v>50.31</v>
      </c>
      <c r="R150" s="234">
        <f t="shared" si="20"/>
        <v>56.510999999999996</v>
      </c>
    </row>
    <row r="151" spans="1:43" x14ac:dyDescent="0.3">
      <c r="A151" s="269"/>
      <c r="B151" s="269"/>
      <c r="C151" s="49"/>
      <c r="D151" s="49"/>
      <c r="E151" s="281"/>
      <c r="F151" s="281"/>
      <c r="G151" s="281"/>
      <c r="H151" s="281"/>
      <c r="I151" s="281"/>
      <c r="J151" s="244"/>
      <c r="K151" s="37"/>
      <c r="L151" s="234"/>
      <c r="M151" s="234"/>
      <c r="N151" s="234"/>
      <c r="O151" s="234"/>
      <c r="P151" s="234"/>
      <c r="Q151" s="234"/>
      <c r="R151" s="234"/>
    </row>
    <row r="152" spans="1:43" x14ac:dyDescent="0.3">
      <c r="A152" s="112" t="s">
        <v>395</v>
      </c>
      <c r="B152" s="112"/>
      <c r="C152" s="112"/>
      <c r="D152" s="112"/>
      <c r="E152" s="293"/>
      <c r="F152" s="293"/>
      <c r="G152" s="293"/>
      <c r="H152" s="293"/>
      <c r="I152" s="293"/>
      <c r="J152" s="293"/>
      <c r="K152" s="235"/>
      <c r="L152" s="239"/>
      <c r="M152" s="239"/>
      <c r="N152" s="239"/>
      <c r="O152" s="239"/>
      <c r="P152" s="239"/>
      <c r="Q152" s="239"/>
      <c r="R152" s="239"/>
    </row>
    <row r="153" spans="1:43" s="330" customFormat="1" x14ac:dyDescent="0.3">
      <c r="A153" s="269" t="s">
        <v>1686</v>
      </c>
      <c r="B153" s="269" t="s">
        <v>396</v>
      </c>
      <c r="C153" s="49"/>
      <c r="D153" s="49"/>
      <c r="E153" s="281"/>
      <c r="F153" s="281"/>
      <c r="G153" s="281"/>
      <c r="H153" s="281" t="s">
        <v>397</v>
      </c>
      <c r="I153" s="281" t="s">
        <v>398</v>
      </c>
      <c r="J153" s="244"/>
      <c r="K153" s="37">
        <v>12</v>
      </c>
      <c r="L153" s="234">
        <f t="shared" si="14"/>
        <v>4.5179999999999998</v>
      </c>
      <c r="M153" s="234">
        <f t="shared" si="15"/>
        <v>4.5179999999999998</v>
      </c>
      <c r="N153" s="234">
        <f t="shared" si="16"/>
        <v>5.4240000000000004</v>
      </c>
      <c r="O153" s="234">
        <f t="shared" si="17"/>
        <v>4.548</v>
      </c>
      <c r="P153" s="234">
        <f t="shared" si="18"/>
        <v>5.9879999999999995</v>
      </c>
      <c r="Q153" s="234">
        <f t="shared" si="19"/>
        <v>5.16</v>
      </c>
      <c r="R153" s="234">
        <f t="shared" si="20"/>
        <v>5.7959999999999994</v>
      </c>
      <c r="S153" s="221"/>
      <c r="T153" s="221"/>
      <c r="U153" s="221"/>
      <c r="V153" s="221"/>
      <c r="W153" s="221"/>
      <c r="X153" s="221"/>
      <c r="Y153" s="221"/>
      <c r="Z153" s="221"/>
      <c r="AA153" s="221"/>
      <c r="AB153" s="221"/>
      <c r="AC153" s="221"/>
      <c r="AD153" s="221"/>
      <c r="AE153" s="221"/>
      <c r="AF153" s="221"/>
      <c r="AG153" s="221"/>
      <c r="AH153" s="221"/>
      <c r="AI153" s="221"/>
      <c r="AJ153" s="221"/>
      <c r="AK153" s="221"/>
      <c r="AL153" s="221"/>
      <c r="AM153" s="221"/>
      <c r="AN153" s="221"/>
      <c r="AO153" s="221"/>
      <c r="AP153" s="221"/>
      <c r="AQ153" s="221"/>
    </row>
    <row r="154" spans="1:43" s="225" customFormat="1" x14ac:dyDescent="0.3">
      <c r="A154" s="82" t="s">
        <v>1687</v>
      </c>
      <c r="B154" s="82" t="s">
        <v>399</v>
      </c>
      <c r="C154" s="160"/>
      <c r="D154" s="160"/>
      <c r="E154" s="57"/>
      <c r="F154" s="57"/>
      <c r="G154" s="57"/>
      <c r="H154" s="57" t="s">
        <v>400</v>
      </c>
      <c r="I154" s="57" t="s">
        <v>401</v>
      </c>
      <c r="J154" s="39"/>
      <c r="K154" s="31">
        <v>0</v>
      </c>
      <c r="L154" s="234">
        <f t="shared" si="14"/>
        <v>0</v>
      </c>
      <c r="M154" s="234">
        <f t="shared" si="15"/>
        <v>0</v>
      </c>
      <c r="N154" s="234">
        <f t="shared" si="16"/>
        <v>0</v>
      </c>
      <c r="O154" s="234">
        <f t="shared" si="17"/>
        <v>0</v>
      </c>
      <c r="P154" s="234">
        <f t="shared" si="18"/>
        <v>0</v>
      </c>
      <c r="Q154" s="234">
        <f t="shared" si="19"/>
        <v>0</v>
      </c>
      <c r="R154" s="234">
        <f t="shared" si="20"/>
        <v>0</v>
      </c>
      <c r="S154" s="221"/>
      <c r="T154" s="221"/>
      <c r="U154" s="221"/>
      <c r="V154" s="221"/>
      <c r="W154" s="221"/>
      <c r="X154" s="221"/>
      <c r="Y154" s="221"/>
      <c r="Z154" s="221"/>
      <c r="AA154" s="221"/>
      <c r="AB154" s="221"/>
      <c r="AC154" s="221"/>
      <c r="AD154" s="221"/>
      <c r="AE154" s="221"/>
      <c r="AF154" s="221"/>
      <c r="AG154" s="221"/>
      <c r="AH154" s="221"/>
      <c r="AI154" s="221"/>
      <c r="AJ154" s="221"/>
      <c r="AK154" s="221"/>
      <c r="AL154" s="221"/>
      <c r="AM154" s="221"/>
      <c r="AN154" s="221"/>
      <c r="AO154" s="221"/>
      <c r="AP154" s="221"/>
      <c r="AQ154" s="221"/>
    </row>
    <row r="155" spans="1:43" s="330" customFormat="1" x14ac:dyDescent="0.3">
      <c r="A155" s="82" t="s">
        <v>1686</v>
      </c>
      <c r="B155" s="82" t="s">
        <v>402</v>
      </c>
      <c r="C155" s="160"/>
      <c r="D155" s="160"/>
      <c r="E155" s="57"/>
      <c r="F155" s="57"/>
      <c r="G155" s="57"/>
      <c r="H155" s="57" t="s">
        <v>403</v>
      </c>
      <c r="I155" s="57" t="s">
        <v>404</v>
      </c>
      <c r="J155" s="39"/>
      <c r="K155" s="31">
        <v>11</v>
      </c>
      <c r="L155" s="234">
        <f t="shared" si="14"/>
        <v>4.1414999999999997</v>
      </c>
      <c r="M155" s="234">
        <f t="shared" si="15"/>
        <v>4.1414999999999997</v>
      </c>
      <c r="N155" s="234">
        <f t="shared" si="16"/>
        <v>4.9720000000000004</v>
      </c>
      <c r="O155" s="234">
        <f t="shared" si="17"/>
        <v>4.1690000000000005</v>
      </c>
      <c r="P155" s="234">
        <f t="shared" si="18"/>
        <v>5.4889999999999999</v>
      </c>
      <c r="Q155" s="234">
        <f t="shared" si="19"/>
        <v>4.7299999999999995</v>
      </c>
      <c r="R155" s="234">
        <f t="shared" si="20"/>
        <v>5.3129999999999997</v>
      </c>
      <c r="S155" s="221"/>
      <c r="T155" s="221"/>
      <c r="U155" s="221"/>
      <c r="V155" s="221"/>
      <c r="W155" s="221"/>
      <c r="X155" s="221"/>
      <c r="Y155" s="221"/>
      <c r="Z155" s="221"/>
      <c r="AA155" s="221"/>
      <c r="AB155" s="221"/>
      <c r="AC155" s="221"/>
      <c r="AD155" s="221"/>
      <c r="AE155" s="221"/>
      <c r="AF155" s="221"/>
      <c r="AG155" s="221"/>
      <c r="AH155" s="221"/>
      <c r="AI155" s="221"/>
      <c r="AJ155" s="221"/>
      <c r="AK155" s="221"/>
      <c r="AL155" s="221"/>
      <c r="AM155" s="221"/>
      <c r="AN155" s="221"/>
      <c r="AO155" s="221"/>
      <c r="AP155" s="221"/>
      <c r="AQ155" s="221"/>
    </row>
    <row r="156" spans="1:43" s="330" customFormat="1" x14ac:dyDescent="0.3">
      <c r="A156" s="82" t="s">
        <v>1688</v>
      </c>
      <c r="B156" s="82" t="s">
        <v>405</v>
      </c>
      <c r="C156" s="160"/>
      <c r="D156" s="160"/>
      <c r="E156" s="57"/>
      <c r="F156" s="57"/>
      <c r="G156" s="57"/>
      <c r="H156" s="57" t="s">
        <v>406</v>
      </c>
      <c r="I156" s="57" t="s">
        <v>407</v>
      </c>
      <c r="J156" s="39"/>
      <c r="K156" s="31">
        <v>30</v>
      </c>
      <c r="L156" s="234">
        <f t="shared" si="14"/>
        <v>11.295</v>
      </c>
      <c r="M156" s="234">
        <f t="shared" si="15"/>
        <v>11.295</v>
      </c>
      <c r="N156" s="234">
        <f t="shared" si="16"/>
        <v>13.56</v>
      </c>
      <c r="O156" s="234">
        <f t="shared" si="17"/>
        <v>11.370000000000001</v>
      </c>
      <c r="P156" s="234">
        <f t="shared" si="18"/>
        <v>14.97</v>
      </c>
      <c r="Q156" s="234">
        <f t="shared" si="19"/>
        <v>12.9</v>
      </c>
      <c r="R156" s="234">
        <f t="shared" si="20"/>
        <v>14.49</v>
      </c>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row>
    <row r="157" spans="1:43" s="225" customFormat="1" x14ac:dyDescent="0.3">
      <c r="A157" s="82" t="s">
        <v>1689</v>
      </c>
      <c r="B157" s="82" t="s">
        <v>408</v>
      </c>
      <c r="C157" s="160"/>
      <c r="D157" s="160"/>
      <c r="E157" s="57"/>
      <c r="F157" s="57"/>
      <c r="G157" s="57"/>
      <c r="H157" s="57" t="s">
        <v>409</v>
      </c>
      <c r="I157" s="57" t="s">
        <v>410</v>
      </c>
      <c r="J157" s="39"/>
      <c r="K157" s="31">
        <v>30</v>
      </c>
      <c r="L157" s="234">
        <f t="shared" si="14"/>
        <v>11.295</v>
      </c>
      <c r="M157" s="234">
        <f t="shared" si="15"/>
        <v>11.295</v>
      </c>
      <c r="N157" s="234">
        <f t="shared" si="16"/>
        <v>13.56</v>
      </c>
      <c r="O157" s="234">
        <f t="shared" si="17"/>
        <v>11.370000000000001</v>
      </c>
      <c r="P157" s="234">
        <f t="shared" si="18"/>
        <v>14.97</v>
      </c>
      <c r="Q157" s="234">
        <f t="shared" si="19"/>
        <v>12.9</v>
      </c>
      <c r="R157" s="234">
        <f t="shared" si="20"/>
        <v>14.49</v>
      </c>
      <c r="S157" s="221"/>
      <c r="T157" s="221"/>
      <c r="U157" s="221"/>
      <c r="V157" s="221"/>
      <c r="W157" s="221"/>
      <c r="X157" s="221"/>
      <c r="Y157" s="221"/>
      <c r="Z157" s="221"/>
      <c r="AA157" s="221"/>
      <c r="AB157" s="221"/>
      <c r="AC157" s="221"/>
      <c r="AD157" s="221"/>
      <c r="AE157" s="221"/>
      <c r="AF157" s="221"/>
      <c r="AG157" s="221"/>
      <c r="AH157" s="221"/>
      <c r="AI157" s="221"/>
      <c r="AJ157" s="221"/>
      <c r="AK157" s="221"/>
      <c r="AL157" s="221"/>
      <c r="AM157" s="221"/>
      <c r="AN157" s="221"/>
      <c r="AO157" s="221"/>
      <c r="AP157" s="221"/>
      <c r="AQ157" s="221"/>
    </row>
    <row r="158" spans="1:43" s="330" customFormat="1" x14ac:dyDescent="0.3">
      <c r="A158" s="269" t="s">
        <v>1690</v>
      </c>
      <c r="B158" s="269" t="s">
        <v>411</v>
      </c>
      <c r="C158" s="49"/>
      <c r="D158" s="49"/>
      <c r="E158" s="281"/>
      <c r="F158" s="281"/>
      <c r="G158" s="281"/>
      <c r="H158" s="281" t="s">
        <v>412</v>
      </c>
      <c r="I158" s="281" t="s">
        <v>413</v>
      </c>
      <c r="J158" s="244"/>
      <c r="K158" s="37">
        <v>76</v>
      </c>
      <c r="L158" s="234">
        <f t="shared" si="14"/>
        <v>28.614000000000001</v>
      </c>
      <c r="M158" s="234">
        <f t="shared" si="15"/>
        <v>28.614000000000001</v>
      </c>
      <c r="N158" s="234">
        <f t="shared" si="16"/>
        <v>34.352000000000004</v>
      </c>
      <c r="O158" s="234">
        <f t="shared" si="17"/>
        <v>28.804000000000002</v>
      </c>
      <c r="P158" s="234">
        <f t="shared" si="18"/>
        <v>37.923999999999999</v>
      </c>
      <c r="Q158" s="234">
        <f t="shared" si="19"/>
        <v>32.68</v>
      </c>
      <c r="R158" s="234">
        <f t="shared" si="20"/>
        <v>36.707999999999998</v>
      </c>
      <c r="S158" s="221"/>
      <c r="T158" s="221"/>
      <c r="U158" s="221"/>
      <c r="V158" s="221"/>
      <c r="W158" s="221"/>
      <c r="X158" s="221"/>
      <c r="Y158" s="221"/>
      <c r="Z158" s="221"/>
      <c r="AA158" s="221"/>
      <c r="AB158" s="221"/>
      <c r="AC158" s="221"/>
      <c r="AD158" s="221"/>
      <c r="AE158" s="221"/>
      <c r="AF158" s="221"/>
      <c r="AG158" s="221"/>
      <c r="AH158" s="221"/>
      <c r="AI158" s="221"/>
      <c r="AJ158" s="221"/>
      <c r="AK158" s="221"/>
      <c r="AL158" s="221"/>
      <c r="AM158" s="221"/>
      <c r="AN158" s="221"/>
      <c r="AO158" s="221"/>
      <c r="AP158" s="221"/>
      <c r="AQ158" s="221"/>
    </row>
    <row r="159" spans="1:43" s="330" customFormat="1" x14ac:dyDescent="0.3">
      <c r="A159" s="269" t="s">
        <v>1691</v>
      </c>
      <c r="B159" s="269" t="s">
        <v>414</v>
      </c>
      <c r="C159" s="49"/>
      <c r="D159" s="49"/>
      <c r="E159" s="281"/>
      <c r="F159" s="281"/>
      <c r="G159" s="281"/>
      <c r="H159" s="281" t="s">
        <v>415</v>
      </c>
      <c r="I159" s="281" t="s">
        <v>416</v>
      </c>
      <c r="J159" s="244"/>
      <c r="K159" s="37">
        <v>87</v>
      </c>
      <c r="L159" s="234">
        <f t="shared" si="14"/>
        <v>32.755499999999998</v>
      </c>
      <c r="M159" s="234">
        <f t="shared" si="15"/>
        <v>32.755499999999998</v>
      </c>
      <c r="N159" s="234">
        <f t="shared" si="16"/>
        <v>39.323999999999998</v>
      </c>
      <c r="O159" s="234">
        <f t="shared" si="17"/>
        <v>32.972999999999999</v>
      </c>
      <c r="P159" s="234">
        <f t="shared" si="18"/>
        <v>43.412999999999997</v>
      </c>
      <c r="Q159" s="234">
        <f t="shared" si="19"/>
        <v>37.409999999999997</v>
      </c>
      <c r="R159" s="234">
        <f t="shared" si="20"/>
        <v>42.021000000000001</v>
      </c>
      <c r="S159" s="221"/>
      <c r="T159" s="221"/>
      <c r="U159" s="221"/>
      <c r="V159" s="221"/>
      <c r="W159" s="221"/>
      <c r="X159" s="221"/>
      <c r="Y159" s="221"/>
      <c r="Z159" s="221"/>
      <c r="AA159" s="221"/>
      <c r="AB159" s="221"/>
      <c r="AC159" s="221"/>
      <c r="AD159" s="221"/>
      <c r="AE159" s="221"/>
      <c r="AF159" s="221"/>
      <c r="AG159" s="221"/>
      <c r="AH159" s="221"/>
      <c r="AI159" s="221"/>
      <c r="AJ159" s="221"/>
      <c r="AK159" s="221"/>
      <c r="AL159" s="221"/>
      <c r="AM159" s="221"/>
      <c r="AN159" s="221"/>
      <c r="AO159" s="221"/>
      <c r="AP159" s="221"/>
      <c r="AQ159" s="221"/>
    </row>
    <row r="160" spans="1:43" s="225" customFormat="1" x14ac:dyDescent="0.3">
      <c r="A160" s="82" t="s">
        <v>1692</v>
      </c>
      <c r="B160" s="82" t="s">
        <v>417</v>
      </c>
      <c r="C160" s="160"/>
      <c r="D160" s="160"/>
      <c r="E160" s="57"/>
      <c r="F160" s="57"/>
      <c r="G160" s="57"/>
      <c r="H160" s="57" t="s">
        <v>418</v>
      </c>
      <c r="I160" s="57" t="s">
        <v>419</v>
      </c>
      <c r="J160" s="39"/>
      <c r="K160" s="31">
        <v>151</v>
      </c>
      <c r="L160" s="234">
        <f t="shared" si="14"/>
        <v>56.851500000000001</v>
      </c>
      <c r="M160" s="234">
        <f t="shared" si="15"/>
        <v>56.851500000000001</v>
      </c>
      <c r="N160" s="234">
        <f t="shared" si="16"/>
        <v>68.251999999999995</v>
      </c>
      <c r="O160" s="234">
        <f t="shared" si="17"/>
        <v>57.228999999999999</v>
      </c>
      <c r="P160" s="234">
        <f t="shared" si="18"/>
        <v>75.349000000000004</v>
      </c>
      <c r="Q160" s="234">
        <f t="shared" si="19"/>
        <v>64.929999999999993</v>
      </c>
      <c r="R160" s="234">
        <f t="shared" si="20"/>
        <v>72.932999999999993</v>
      </c>
      <c r="S160" s="221"/>
      <c r="T160" s="221"/>
      <c r="U160" s="221"/>
      <c r="V160" s="221"/>
      <c r="W160" s="221"/>
      <c r="X160" s="221"/>
      <c r="Y160" s="221"/>
      <c r="Z160" s="221"/>
      <c r="AA160" s="221"/>
      <c r="AB160" s="221"/>
      <c r="AC160" s="221"/>
      <c r="AD160" s="221"/>
      <c r="AE160" s="221"/>
      <c r="AF160" s="221"/>
      <c r="AG160" s="221"/>
      <c r="AH160" s="221"/>
      <c r="AI160" s="221"/>
      <c r="AJ160" s="221"/>
      <c r="AK160" s="221"/>
      <c r="AL160" s="221"/>
      <c r="AM160" s="221"/>
      <c r="AN160" s="221"/>
      <c r="AO160" s="221"/>
      <c r="AP160" s="221"/>
      <c r="AQ160" s="221"/>
    </row>
    <row r="161" spans="1:43" s="225" customFormat="1" x14ac:dyDescent="0.3">
      <c r="A161" s="82" t="s">
        <v>1693</v>
      </c>
      <c r="B161" s="82" t="s">
        <v>420</v>
      </c>
      <c r="C161" s="160"/>
      <c r="D161" s="160"/>
      <c r="E161" s="57"/>
      <c r="F161" s="57"/>
      <c r="G161" s="57"/>
      <c r="H161" s="57" t="s">
        <v>421</v>
      </c>
      <c r="I161" s="57" t="s">
        <v>422</v>
      </c>
      <c r="J161" s="39"/>
      <c r="K161" s="31">
        <v>151</v>
      </c>
      <c r="L161" s="234">
        <f t="shared" si="14"/>
        <v>56.851500000000001</v>
      </c>
      <c r="M161" s="234">
        <f t="shared" si="15"/>
        <v>56.851500000000001</v>
      </c>
      <c r="N161" s="234">
        <f t="shared" si="16"/>
        <v>68.251999999999995</v>
      </c>
      <c r="O161" s="234">
        <f t="shared" si="17"/>
        <v>57.228999999999999</v>
      </c>
      <c r="P161" s="234">
        <f t="shared" si="18"/>
        <v>75.349000000000004</v>
      </c>
      <c r="Q161" s="234">
        <f t="shared" si="19"/>
        <v>64.929999999999993</v>
      </c>
      <c r="R161" s="234">
        <f t="shared" si="20"/>
        <v>72.932999999999993</v>
      </c>
      <c r="S161" s="221"/>
      <c r="T161" s="221"/>
      <c r="U161" s="221"/>
      <c r="V161" s="221"/>
      <c r="W161" s="221"/>
      <c r="X161" s="221"/>
      <c r="Y161" s="221"/>
      <c r="Z161" s="221"/>
      <c r="AA161" s="221"/>
      <c r="AB161" s="221"/>
      <c r="AC161" s="221"/>
      <c r="AD161" s="221"/>
      <c r="AE161" s="221"/>
      <c r="AF161" s="221"/>
      <c r="AG161" s="221"/>
      <c r="AH161" s="221"/>
      <c r="AI161" s="221"/>
      <c r="AJ161" s="221"/>
      <c r="AK161" s="221"/>
      <c r="AL161" s="221"/>
      <c r="AM161" s="221"/>
      <c r="AN161" s="221"/>
      <c r="AO161" s="221"/>
      <c r="AP161" s="221"/>
      <c r="AQ161" s="221"/>
    </row>
    <row r="162" spans="1:43" s="330" customFormat="1" x14ac:dyDescent="0.3">
      <c r="A162" s="128"/>
      <c r="B162" s="187"/>
      <c r="C162" s="275"/>
      <c r="D162" s="275"/>
      <c r="E162" s="263"/>
      <c r="F162" s="263"/>
      <c r="G162" s="263"/>
      <c r="H162" s="263"/>
      <c r="I162" s="263"/>
      <c r="J162" s="263"/>
      <c r="K162" s="37"/>
      <c r="L162" s="234"/>
      <c r="M162" s="234"/>
      <c r="N162" s="234"/>
      <c r="O162" s="234"/>
      <c r="P162" s="234"/>
      <c r="Q162" s="234"/>
      <c r="R162" s="234"/>
      <c r="S162" s="221"/>
      <c r="T162" s="221"/>
      <c r="U162" s="221"/>
      <c r="V162" s="221"/>
      <c r="W162" s="221"/>
      <c r="X162" s="221"/>
      <c r="Y162" s="221"/>
      <c r="Z162" s="221"/>
      <c r="AA162" s="221"/>
      <c r="AB162" s="221"/>
      <c r="AC162" s="221"/>
      <c r="AD162" s="221"/>
      <c r="AE162" s="221"/>
      <c r="AF162" s="221"/>
      <c r="AG162" s="221"/>
      <c r="AH162" s="221"/>
      <c r="AI162" s="221"/>
      <c r="AJ162" s="221"/>
      <c r="AK162" s="221"/>
      <c r="AL162" s="221"/>
      <c r="AM162" s="221"/>
      <c r="AN162" s="221"/>
      <c r="AO162" s="221"/>
      <c r="AP162" s="221"/>
      <c r="AQ162" s="221"/>
    </row>
    <row r="163" spans="1:43" s="330" customFormat="1" x14ac:dyDescent="0.3">
      <c r="A163" s="112" t="s">
        <v>204</v>
      </c>
      <c r="B163" s="112"/>
      <c r="C163" s="112"/>
      <c r="D163" s="112"/>
      <c r="E163" s="293"/>
      <c r="F163" s="293"/>
      <c r="G163" s="293"/>
      <c r="H163" s="293"/>
      <c r="I163" s="293"/>
      <c r="J163" s="293"/>
      <c r="K163" s="239"/>
      <c r="L163" s="239"/>
      <c r="M163" s="239"/>
      <c r="N163" s="239"/>
      <c r="O163" s="239"/>
      <c r="P163" s="239"/>
      <c r="Q163" s="239"/>
      <c r="R163" s="239"/>
      <c r="S163" s="221"/>
      <c r="T163" s="221"/>
      <c r="U163" s="221"/>
      <c r="V163" s="221"/>
      <c r="W163" s="221"/>
      <c r="X163" s="221"/>
      <c r="Y163" s="221"/>
      <c r="Z163" s="221"/>
      <c r="AA163" s="221"/>
      <c r="AB163" s="221"/>
      <c r="AC163" s="221"/>
      <c r="AD163" s="221"/>
      <c r="AE163" s="221"/>
      <c r="AF163" s="221"/>
      <c r="AG163" s="221"/>
      <c r="AH163" s="221"/>
      <c r="AI163" s="221"/>
      <c r="AJ163" s="221"/>
      <c r="AK163" s="221"/>
      <c r="AL163" s="221"/>
      <c r="AM163" s="221"/>
      <c r="AN163" s="221"/>
      <c r="AO163" s="221"/>
      <c r="AP163" s="221"/>
      <c r="AQ163" s="221"/>
    </row>
    <row r="164" spans="1:43" s="330" customFormat="1" x14ac:dyDescent="0.3">
      <c r="A164" s="269" t="s">
        <v>205</v>
      </c>
      <c r="B164" s="269" t="s">
        <v>423</v>
      </c>
      <c r="C164" s="49"/>
      <c r="D164" s="49"/>
      <c r="E164" s="281" t="s">
        <v>424</v>
      </c>
      <c r="F164" s="281" t="s">
        <v>425</v>
      </c>
      <c r="G164" s="281" t="s">
        <v>426</v>
      </c>
      <c r="H164" s="281" t="s">
        <v>427</v>
      </c>
      <c r="I164" s="281" t="s">
        <v>428</v>
      </c>
      <c r="J164" s="244"/>
      <c r="K164" s="37">
        <v>30</v>
      </c>
      <c r="L164" s="234">
        <f t="shared" si="14"/>
        <v>11.295</v>
      </c>
      <c r="M164" s="234">
        <f t="shared" si="15"/>
        <v>11.295</v>
      </c>
      <c r="N164" s="234">
        <f t="shared" si="16"/>
        <v>13.56</v>
      </c>
      <c r="O164" s="234">
        <f t="shared" si="17"/>
        <v>11.370000000000001</v>
      </c>
      <c r="P164" s="234">
        <f t="shared" si="18"/>
        <v>14.97</v>
      </c>
      <c r="Q164" s="234">
        <f t="shared" si="19"/>
        <v>12.9</v>
      </c>
      <c r="R164" s="234">
        <f t="shared" si="20"/>
        <v>14.49</v>
      </c>
      <c r="S164" s="221"/>
      <c r="T164" s="221"/>
      <c r="U164" s="221"/>
      <c r="V164" s="221"/>
      <c r="W164" s="221"/>
      <c r="X164" s="221"/>
      <c r="Y164" s="221"/>
      <c r="Z164" s="221"/>
      <c r="AA164" s="221"/>
      <c r="AB164" s="221"/>
      <c r="AC164" s="221"/>
      <c r="AD164" s="221"/>
      <c r="AE164" s="221"/>
      <c r="AF164" s="221"/>
      <c r="AG164" s="221"/>
      <c r="AH164" s="221"/>
      <c r="AI164" s="221"/>
      <c r="AJ164" s="221"/>
      <c r="AK164" s="221"/>
      <c r="AL164" s="221"/>
      <c r="AM164" s="221"/>
      <c r="AN164" s="221"/>
      <c r="AO164" s="221"/>
      <c r="AP164" s="221"/>
      <c r="AQ164" s="221"/>
    </row>
    <row r="165" spans="1:43" x14ac:dyDescent="0.3">
      <c r="A165" s="269" t="s">
        <v>212</v>
      </c>
      <c r="B165" s="269" t="s">
        <v>429</v>
      </c>
      <c r="C165" s="49"/>
      <c r="D165" s="49"/>
      <c r="E165" s="281" t="s">
        <v>430</v>
      </c>
      <c r="F165" s="281" t="s">
        <v>431</v>
      </c>
      <c r="G165" s="281" t="s">
        <v>432</v>
      </c>
      <c r="H165" s="281" t="s">
        <v>433</v>
      </c>
      <c r="I165" s="281" t="s">
        <v>434</v>
      </c>
      <c r="J165" s="244"/>
      <c r="K165" s="37">
        <v>104</v>
      </c>
      <c r="L165" s="234">
        <f t="shared" si="14"/>
        <v>39.155999999999999</v>
      </c>
      <c r="M165" s="234">
        <f t="shared" si="15"/>
        <v>39.155999999999999</v>
      </c>
      <c r="N165" s="234">
        <f t="shared" si="16"/>
        <v>47.008000000000003</v>
      </c>
      <c r="O165" s="234">
        <f t="shared" si="17"/>
        <v>39.415999999999997</v>
      </c>
      <c r="P165" s="234">
        <f t="shared" si="18"/>
        <v>51.896000000000001</v>
      </c>
      <c r="Q165" s="234">
        <f t="shared" si="19"/>
        <v>44.72</v>
      </c>
      <c r="R165" s="234">
        <f t="shared" si="20"/>
        <v>50.231999999999999</v>
      </c>
    </row>
    <row r="166" spans="1:43" x14ac:dyDescent="0.3">
      <c r="A166" s="128"/>
      <c r="B166" s="187"/>
      <c r="C166" s="275"/>
      <c r="D166" s="275"/>
      <c r="E166" s="263"/>
      <c r="F166" s="263"/>
      <c r="G166" s="263"/>
      <c r="H166" s="263"/>
      <c r="I166" s="263"/>
      <c r="J166" s="263"/>
      <c r="K166" s="37"/>
      <c r="L166" s="234">
        <f t="shared" si="14"/>
        <v>0</v>
      </c>
      <c r="M166" s="234">
        <f t="shared" si="15"/>
        <v>0</v>
      </c>
      <c r="N166" s="234">
        <f t="shared" si="16"/>
        <v>0</v>
      </c>
      <c r="O166" s="234">
        <f t="shared" si="17"/>
        <v>0</v>
      </c>
      <c r="P166" s="234"/>
      <c r="Q166" s="234"/>
      <c r="R166" s="234"/>
    </row>
    <row r="167" spans="1:43" x14ac:dyDescent="0.3">
      <c r="A167" s="112" t="s">
        <v>221</v>
      </c>
      <c r="B167" s="112"/>
      <c r="C167" s="112"/>
      <c r="D167" s="112"/>
      <c r="E167" s="293"/>
      <c r="F167" s="293"/>
      <c r="G167" s="293"/>
      <c r="H167" s="293"/>
      <c r="I167" s="293"/>
      <c r="J167" s="293"/>
      <c r="K167" s="239"/>
      <c r="L167" s="239"/>
      <c r="M167" s="239"/>
      <c r="N167" s="239"/>
      <c r="O167" s="239"/>
      <c r="P167" s="239"/>
      <c r="Q167" s="239"/>
      <c r="R167" s="239"/>
    </row>
    <row r="168" spans="1:43" x14ac:dyDescent="0.3">
      <c r="A168" s="82" t="s">
        <v>435</v>
      </c>
      <c r="B168" s="82" t="s">
        <v>436</v>
      </c>
      <c r="C168" s="160"/>
      <c r="D168" s="160"/>
      <c r="E168" s="57" t="s">
        <v>437</v>
      </c>
      <c r="F168" s="57" t="s">
        <v>438</v>
      </c>
      <c r="G168" s="57" t="s">
        <v>439</v>
      </c>
      <c r="H168" s="57" t="s">
        <v>440</v>
      </c>
      <c r="I168" s="57" t="s">
        <v>441</v>
      </c>
      <c r="J168" s="39"/>
      <c r="K168" s="31">
        <v>5</v>
      </c>
      <c r="L168" s="234">
        <f t="shared" si="14"/>
        <v>1.8825000000000001</v>
      </c>
      <c r="M168" s="234">
        <f t="shared" si="15"/>
        <v>1.8825000000000001</v>
      </c>
      <c r="N168" s="234">
        <f t="shared" si="16"/>
        <v>2.2600000000000002</v>
      </c>
      <c r="O168" s="234">
        <f t="shared" si="17"/>
        <v>1.895</v>
      </c>
      <c r="P168" s="234">
        <f t="shared" si="18"/>
        <v>2.4950000000000001</v>
      </c>
      <c r="Q168" s="234">
        <f t="shared" si="19"/>
        <v>2.15</v>
      </c>
      <c r="R168" s="234">
        <f t="shared" si="20"/>
        <v>2.415</v>
      </c>
    </row>
    <row r="169" spans="1:43" x14ac:dyDescent="0.3">
      <c r="A169" s="128"/>
      <c r="B169" s="187"/>
      <c r="C169" s="275"/>
      <c r="D169" s="275"/>
      <c r="E169" s="263"/>
      <c r="F169" s="263"/>
      <c r="G169" s="263"/>
      <c r="H169" s="263"/>
      <c r="I169" s="263"/>
      <c r="J169" s="263"/>
      <c r="K169" s="37"/>
      <c r="L169" s="234"/>
      <c r="M169" s="234"/>
      <c r="N169" s="234"/>
      <c r="O169" s="234"/>
      <c r="P169" s="234"/>
      <c r="Q169" s="234"/>
      <c r="R169" s="234"/>
    </row>
    <row r="170" spans="1:43" x14ac:dyDescent="0.3">
      <c r="A170" s="112" t="s">
        <v>226</v>
      </c>
      <c r="B170" s="112"/>
      <c r="C170" s="112"/>
      <c r="D170" s="112"/>
      <c r="E170" s="293"/>
      <c r="F170" s="293"/>
      <c r="G170" s="293"/>
      <c r="H170" s="293"/>
      <c r="I170" s="293"/>
      <c r="J170" s="293"/>
      <c r="K170" s="239"/>
      <c r="L170" s="239"/>
      <c r="M170" s="239"/>
      <c r="N170" s="239"/>
      <c r="O170" s="239"/>
      <c r="P170" s="239"/>
      <c r="Q170" s="239"/>
      <c r="R170" s="239"/>
    </row>
    <row r="171" spans="1:43" x14ac:dyDescent="0.3">
      <c r="A171" s="82" t="s">
        <v>1640</v>
      </c>
      <c r="B171" s="82" t="s">
        <v>442</v>
      </c>
      <c r="C171" s="160"/>
      <c r="D171" s="160"/>
      <c r="E171" s="57" t="s">
        <v>443</v>
      </c>
      <c r="F171" s="57" t="s">
        <v>444</v>
      </c>
      <c r="G171" s="57" t="s">
        <v>445</v>
      </c>
      <c r="H171" s="57"/>
      <c r="I171" s="57"/>
      <c r="J171" s="39"/>
      <c r="K171" s="31">
        <v>0</v>
      </c>
      <c r="L171" s="234">
        <f t="shared" si="14"/>
        <v>0</v>
      </c>
      <c r="M171" s="234">
        <f t="shared" si="15"/>
        <v>0</v>
      </c>
      <c r="N171" s="234">
        <f t="shared" si="16"/>
        <v>0</v>
      </c>
      <c r="O171" s="234">
        <f t="shared" si="17"/>
        <v>0</v>
      </c>
      <c r="P171" s="234">
        <f t="shared" si="18"/>
        <v>0</v>
      </c>
      <c r="Q171" s="234">
        <f t="shared" si="19"/>
        <v>0</v>
      </c>
      <c r="R171" s="234">
        <f t="shared" si="20"/>
        <v>0</v>
      </c>
    </row>
    <row r="172" spans="1:43" x14ac:dyDescent="0.3">
      <c r="A172" s="82" t="s">
        <v>1644</v>
      </c>
      <c r="B172" s="82" t="s">
        <v>446</v>
      </c>
      <c r="C172" s="160"/>
      <c r="D172" s="160"/>
      <c r="E172" s="57" t="s">
        <v>447</v>
      </c>
      <c r="F172" s="57" t="s">
        <v>448</v>
      </c>
      <c r="G172" s="57" t="s">
        <v>449</v>
      </c>
      <c r="H172" s="57"/>
      <c r="I172" s="57"/>
      <c r="J172" s="39"/>
      <c r="K172" s="31">
        <v>0</v>
      </c>
      <c r="L172" s="234">
        <f t="shared" si="14"/>
        <v>0</v>
      </c>
      <c r="M172" s="234">
        <f t="shared" si="15"/>
        <v>0</v>
      </c>
      <c r="N172" s="234">
        <f t="shared" si="16"/>
        <v>0</v>
      </c>
      <c r="O172" s="234">
        <f t="shared" si="17"/>
        <v>0</v>
      </c>
      <c r="P172" s="234">
        <f t="shared" si="18"/>
        <v>0</v>
      </c>
      <c r="Q172" s="234">
        <f t="shared" si="19"/>
        <v>0</v>
      </c>
      <c r="R172" s="234">
        <f t="shared" si="20"/>
        <v>0</v>
      </c>
    </row>
    <row r="173" spans="1:43" x14ac:dyDescent="0.3">
      <c r="A173" s="82" t="s">
        <v>1645</v>
      </c>
      <c r="B173" s="82" t="s">
        <v>450</v>
      </c>
      <c r="C173" s="160"/>
      <c r="D173" s="160"/>
      <c r="E173" s="57" t="s">
        <v>451</v>
      </c>
      <c r="F173" s="57" t="s">
        <v>452</v>
      </c>
      <c r="G173" s="57" t="s">
        <v>453</v>
      </c>
      <c r="H173" s="57"/>
      <c r="I173" s="57"/>
      <c r="J173" s="39"/>
      <c r="K173" s="31">
        <v>0</v>
      </c>
      <c r="L173" s="234">
        <f t="shared" si="14"/>
        <v>0</v>
      </c>
      <c r="M173" s="234">
        <f t="shared" si="15"/>
        <v>0</v>
      </c>
      <c r="N173" s="234">
        <f t="shared" si="16"/>
        <v>0</v>
      </c>
      <c r="O173" s="234">
        <f t="shared" si="17"/>
        <v>0</v>
      </c>
      <c r="P173" s="234">
        <f t="shared" si="18"/>
        <v>0</v>
      </c>
      <c r="Q173" s="234">
        <f t="shared" si="19"/>
        <v>0</v>
      </c>
      <c r="R173" s="234">
        <f t="shared" si="20"/>
        <v>0</v>
      </c>
    </row>
    <row r="174" spans="1:43" s="207" customFormat="1" x14ac:dyDescent="0.3">
      <c r="A174" s="82" t="s">
        <v>1641</v>
      </c>
      <c r="B174" s="82" t="s">
        <v>454</v>
      </c>
      <c r="C174" s="182"/>
      <c r="D174" s="182"/>
      <c r="E174" s="120"/>
      <c r="F174" s="57"/>
      <c r="G174" s="120"/>
      <c r="H174" s="57" t="s">
        <v>455</v>
      </c>
      <c r="I174" s="57" t="s">
        <v>456</v>
      </c>
      <c r="J174" s="120"/>
      <c r="K174" s="31">
        <v>0</v>
      </c>
      <c r="L174" s="234">
        <f t="shared" si="14"/>
        <v>0</v>
      </c>
      <c r="M174" s="234">
        <f t="shared" si="15"/>
        <v>0</v>
      </c>
      <c r="N174" s="234">
        <f t="shared" si="16"/>
        <v>0</v>
      </c>
      <c r="O174" s="234">
        <f t="shared" si="17"/>
        <v>0</v>
      </c>
      <c r="P174" s="234">
        <f t="shared" si="18"/>
        <v>0</v>
      </c>
      <c r="Q174" s="234">
        <f t="shared" si="19"/>
        <v>0</v>
      </c>
      <c r="R174" s="234">
        <f t="shared" si="20"/>
        <v>0</v>
      </c>
      <c r="S174" s="329"/>
      <c r="T174" s="329"/>
      <c r="U174" s="329"/>
      <c r="V174" s="329"/>
      <c r="W174" s="329"/>
      <c r="X174" s="329"/>
      <c r="Y174" s="329"/>
      <c r="Z174" s="329"/>
      <c r="AA174" s="329"/>
      <c r="AB174" s="329"/>
      <c r="AC174" s="329"/>
      <c r="AD174" s="329"/>
      <c r="AE174" s="329"/>
      <c r="AF174" s="329"/>
      <c r="AG174" s="329"/>
      <c r="AH174" s="329"/>
      <c r="AI174" s="329"/>
      <c r="AJ174" s="329"/>
      <c r="AK174" s="329"/>
      <c r="AL174" s="329"/>
      <c r="AM174" s="329"/>
      <c r="AN174" s="329"/>
      <c r="AO174" s="329"/>
      <c r="AP174" s="329"/>
      <c r="AQ174" s="329"/>
    </row>
    <row r="175" spans="1:43" s="207" customFormat="1" x14ac:dyDescent="0.3">
      <c r="A175" s="82" t="s">
        <v>1646</v>
      </c>
      <c r="B175" s="82" t="s">
        <v>457</v>
      </c>
      <c r="C175" s="182"/>
      <c r="D175" s="182"/>
      <c r="E175" s="120"/>
      <c r="F175" s="120"/>
      <c r="G175" s="120"/>
      <c r="H175" s="57" t="s">
        <v>458</v>
      </c>
      <c r="I175" s="57" t="s">
        <v>459</v>
      </c>
      <c r="J175" s="120"/>
      <c r="K175" s="31">
        <v>0</v>
      </c>
      <c r="L175" s="234">
        <f t="shared" si="14"/>
        <v>0</v>
      </c>
      <c r="M175" s="234">
        <f t="shared" si="15"/>
        <v>0</v>
      </c>
      <c r="N175" s="234">
        <f t="shared" si="16"/>
        <v>0</v>
      </c>
      <c r="O175" s="234">
        <f t="shared" si="17"/>
        <v>0</v>
      </c>
      <c r="P175" s="234">
        <f t="shared" si="18"/>
        <v>0</v>
      </c>
      <c r="Q175" s="234">
        <f t="shared" si="19"/>
        <v>0</v>
      </c>
      <c r="R175" s="234">
        <f t="shared" si="20"/>
        <v>0</v>
      </c>
      <c r="S175" s="329"/>
      <c r="T175" s="329"/>
      <c r="U175" s="329"/>
      <c r="V175" s="329"/>
      <c r="W175" s="329"/>
      <c r="X175" s="329"/>
      <c r="Y175" s="329"/>
      <c r="Z175" s="329"/>
      <c r="AA175" s="329"/>
      <c r="AB175" s="329"/>
      <c r="AC175" s="329"/>
      <c r="AD175" s="329"/>
      <c r="AE175" s="329"/>
      <c r="AF175" s="329"/>
      <c r="AG175" s="329"/>
      <c r="AH175" s="329"/>
      <c r="AI175" s="329"/>
      <c r="AJ175" s="329"/>
      <c r="AK175" s="329"/>
      <c r="AL175" s="329"/>
      <c r="AM175" s="329"/>
      <c r="AN175" s="329"/>
      <c r="AO175" s="329"/>
      <c r="AP175" s="329"/>
      <c r="AQ175" s="329"/>
    </row>
    <row r="176" spans="1:43" s="207" customFormat="1" x14ac:dyDescent="0.3">
      <c r="A176" s="82" t="s">
        <v>1647</v>
      </c>
      <c r="B176" s="82" t="s">
        <v>460</v>
      </c>
      <c r="C176" s="182"/>
      <c r="D176" s="182"/>
      <c r="E176" s="120"/>
      <c r="F176" s="120"/>
      <c r="G176" s="120"/>
      <c r="H176" s="57" t="s">
        <v>461</v>
      </c>
      <c r="I176" s="57" t="s">
        <v>462</v>
      </c>
      <c r="J176" s="120"/>
      <c r="K176" s="31">
        <v>0</v>
      </c>
      <c r="L176" s="234">
        <f t="shared" si="14"/>
        <v>0</v>
      </c>
      <c r="M176" s="234">
        <f t="shared" si="15"/>
        <v>0</v>
      </c>
      <c r="N176" s="234">
        <f t="shared" si="16"/>
        <v>0</v>
      </c>
      <c r="O176" s="234">
        <f t="shared" si="17"/>
        <v>0</v>
      </c>
      <c r="P176" s="234">
        <f t="shared" si="18"/>
        <v>0</v>
      </c>
      <c r="Q176" s="234">
        <f t="shared" si="19"/>
        <v>0</v>
      </c>
      <c r="R176" s="234">
        <f t="shared" si="20"/>
        <v>0</v>
      </c>
      <c r="S176" s="329"/>
      <c r="T176" s="329"/>
      <c r="U176" s="329"/>
      <c r="V176" s="329"/>
      <c r="W176" s="329"/>
      <c r="X176" s="329"/>
      <c r="Y176" s="329"/>
      <c r="Z176" s="329"/>
      <c r="AA176" s="329"/>
      <c r="AB176" s="329"/>
      <c r="AC176" s="329"/>
      <c r="AD176" s="329"/>
      <c r="AE176" s="329"/>
      <c r="AF176" s="329"/>
      <c r="AG176" s="329"/>
      <c r="AH176" s="329"/>
      <c r="AI176" s="329"/>
      <c r="AJ176" s="329"/>
      <c r="AK176" s="329"/>
      <c r="AL176" s="329"/>
      <c r="AM176" s="329"/>
      <c r="AN176" s="329"/>
      <c r="AO176" s="329"/>
      <c r="AP176" s="329"/>
      <c r="AQ176" s="329"/>
    </row>
    <row r="177" spans="1:43" s="207" customFormat="1" x14ac:dyDescent="0.3">
      <c r="A177" s="82"/>
      <c r="B177" s="82"/>
      <c r="C177" s="182"/>
      <c r="D177" s="182"/>
      <c r="E177" s="120"/>
      <c r="F177" s="120"/>
      <c r="G177" s="120"/>
      <c r="H177" s="57"/>
      <c r="I177" s="57"/>
      <c r="J177" s="120"/>
      <c r="K177" s="31"/>
      <c r="L177" s="234"/>
      <c r="M177" s="234"/>
      <c r="N177" s="234"/>
      <c r="O177" s="234"/>
      <c r="P177" s="234"/>
      <c r="Q177" s="234"/>
      <c r="R177" s="234"/>
      <c r="S177" s="329"/>
      <c r="T177" s="329"/>
      <c r="U177" s="329"/>
      <c r="V177" s="329"/>
      <c r="W177" s="329"/>
      <c r="X177" s="329"/>
      <c r="Y177" s="329"/>
      <c r="Z177" s="329"/>
      <c r="AA177" s="329"/>
      <c r="AB177" s="329"/>
      <c r="AC177" s="329"/>
      <c r="AD177" s="329"/>
      <c r="AE177" s="329"/>
      <c r="AF177" s="329"/>
      <c r="AG177" s="329"/>
      <c r="AH177" s="329"/>
      <c r="AI177" s="329"/>
      <c r="AJ177" s="329"/>
      <c r="AK177" s="329"/>
      <c r="AL177" s="329"/>
      <c r="AM177" s="329"/>
      <c r="AN177" s="329"/>
      <c r="AO177" s="329"/>
      <c r="AP177" s="329"/>
      <c r="AQ177" s="329"/>
    </row>
    <row r="178" spans="1:43" x14ac:dyDescent="0.3">
      <c r="A178" s="112" t="s">
        <v>235</v>
      </c>
      <c r="B178" s="112"/>
      <c r="C178" s="112"/>
      <c r="D178" s="112"/>
      <c r="E178" s="293"/>
      <c r="F178" s="293"/>
      <c r="G178" s="293"/>
      <c r="H178" s="293"/>
      <c r="I178" s="293"/>
      <c r="J178" s="293"/>
      <c r="K178" s="239"/>
      <c r="L178" s="239"/>
      <c r="M178" s="239"/>
      <c r="N178" s="239"/>
      <c r="O178" s="239"/>
      <c r="P178" s="239"/>
      <c r="Q178" s="239"/>
      <c r="R178" s="239"/>
    </row>
    <row r="179" spans="1:43" x14ac:dyDescent="0.3">
      <c r="A179" s="269" t="s">
        <v>463</v>
      </c>
      <c r="B179" s="269" t="s">
        <v>464</v>
      </c>
      <c r="C179" s="49"/>
      <c r="D179" s="49"/>
      <c r="E179" s="281" t="s">
        <v>465</v>
      </c>
      <c r="F179" s="281" t="s">
        <v>466</v>
      </c>
      <c r="G179" s="281" t="s">
        <v>467</v>
      </c>
      <c r="H179" s="281" t="s">
        <v>468</v>
      </c>
      <c r="I179" s="281" t="s">
        <v>469</v>
      </c>
      <c r="J179" s="244"/>
      <c r="K179" s="37">
        <v>2</v>
      </c>
      <c r="L179" s="234">
        <f t="shared" si="14"/>
        <v>0.753</v>
      </c>
      <c r="M179" s="234">
        <f t="shared" si="15"/>
        <v>0.753</v>
      </c>
      <c r="N179" s="234">
        <f t="shared" si="16"/>
        <v>0.90400000000000003</v>
      </c>
      <c r="O179" s="234">
        <f t="shared" si="17"/>
        <v>0.75800000000000001</v>
      </c>
      <c r="P179" s="234">
        <f t="shared" si="18"/>
        <v>0.998</v>
      </c>
      <c r="Q179" s="234">
        <f t="shared" si="19"/>
        <v>0.86</v>
      </c>
      <c r="R179" s="234">
        <f t="shared" si="20"/>
        <v>0.96599999999999997</v>
      </c>
    </row>
    <row r="180" spans="1:43" x14ac:dyDescent="0.3">
      <c r="A180" s="269" t="s">
        <v>98</v>
      </c>
      <c r="B180" s="269" t="s">
        <v>236</v>
      </c>
      <c r="C180" s="49"/>
      <c r="D180" s="49"/>
      <c r="E180" s="281" t="s">
        <v>470</v>
      </c>
      <c r="F180" s="281" t="s">
        <v>471</v>
      </c>
      <c r="G180" s="281" t="s">
        <v>472</v>
      </c>
      <c r="H180" s="281" t="s">
        <v>473</v>
      </c>
      <c r="I180" s="281" t="s">
        <v>474</v>
      </c>
      <c r="J180" s="244"/>
      <c r="K180" s="37">
        <v>6</v>
      </c>
      <c r="L180" s="234">
        <f t="shared" si="14"/>
        <v>2.2589999999999999</v>
      </c>
      <c r="M180" s="234">
        <f t="shared" si="15"/>
        <v>2.2589999999999999</v>
      </c>
      <c r="N180" s="234">
        <f t="shared" si="16"/>
        <v>2.7120000000000002</v>
      </c>
      <c r="O180" s="234">
        <f t="shared" si="17"/>
        <v>2.274</v>
      </c>
      <c r="P180" s="234">
        <f t="shared" si="18"/>
        <v>2.9939999999999998</v>
      </c>
      <c r="Q180" s="234">
        <f t="shared" si="19"/>
        <v>2.58</v>
      </c>
      <c r="R180" s="234">
        <f t="shared" si="20"/>
        <v>2.8979999999999997</v>
      </c>
    </row>
    <row r="181" spans="1:43" x14ac:dyDescent="0.3">
      <c r="A181" s="128"/>
      <c r="B181" s="187"/>
      <c r="C181" s="275"/>
      <c r="D181" s="275"/>
      <c r="E181" s="263"/>
      <c r="F181" s="263"/>
      <c r="G181" s="263"/>
      <c r="H181" s="263"/>
      <c r="I181" s="263"/>
      <c r="J181" s="263"/>
      <c r="K181" s="37"/>
      <c r="L181" s="234"/>
      <c r="M181" s="234"/>
      <c r="N181" s="234"/>
      <c r="O181" s="234"/>
      <c r="P181" s="234"/>
      <c r="Q181" s="234"/>
      <c r="R181" s="234"/>
    </row>
    <row r="182" spans="1:43" x14ac:dyDescent="0.3">
      <c r="A182" s="112" t="s">
        <v>475</v>
      </c>
      <c r="B182" s="112"/>
      <c r="C182" s="112"/>
      <c r="D182" s="112"/>
      <c r="E182" s="293"/>
      <c r="F182" s="293"/>
      <c r="G182" s="293"/>
      <c r="H182" s="293"/>
      <c r="I182" s="293"/>
      <c r="J182" s="293"/>
      <c r="K182" s="239"/>
      <c r="L182" s="239"/>
      <c r="M182" s="239"/>
      <c r="N182" s="239"/>
      <c r="O182" s="239"/>
      <c r="P182" s="239"/>
      <c r="Q182" s="239"/>
      <c r="R182" s="239"/>
    </row>
    <row r="183" spans="1:43" x14ac:dyDescent="0.3">
      <c r="A183" s="269" t="s">
        <v>476</v>
      </c>
      <c r="B183" s="269" t="s">
        <v>477</v>
      </c>
      <c r="C183" s="49"/>
      <c r="D183" s="49"/>
      <c r="E183" s="281" t="s">
        <v>478</v>
      </c>
      <c r="F183" s="281" t="s">
        <v>479</v>
      </c>
      <c r="G183" s="281" t="s">
        <v>480</v>
      </c>
      <c r="H183" s="281" t="s">
        <v>481</v>
      </c>
      <c r="I183" s="281" t="s">
        <v>482</v>
      </c>
      <c r="J183" s="244"/>
      <c r="K183" s="37">
        <v>6</v>
      </c>
      <c r="L183" s="234">
        <f t="shared" si="14"/>
        <v>2.2589999999999999</v>
      </c>
      <c r="M183" s="234">
        <f t="shared" si="15"/>
        <v>2.2589999999999999</v>
      </c>
      <c r="N183" s="234">
        <f t="shared" si="16"/>
        <v>2.7120000000000002</v>
      </c>
      <c r="O183" s="234">
        <f t="shared" si="17"/>
        <v>2.274</v>
      </c>
      <c r="P183" s="234">
        <f t="shared" si="18"/>
        <v>2.9939999999999998</v>
      </c>
      <c r="Q183" s="234">
        <f t="shared" si="19"/>
        <v>2.58</v>
      </c>
      <c r="R183" s="234">
        <f t="shared" si="20"/>
        <v>2.8979999999999997</v>
      </c>
    </row>
    <row r="184" spans="1:43" x14ac:dyDescent="0.3">
      <c r="A184" s="269" t="s">
        <v>1636</v>
      </c>
      <c r="B184" s="269" t="s">
        <v>483</v>
      </c>
      <c r="C184" s="49"/>
      <c r="D184" s="49"/>
      <c r="E184" s="281" t="s">
        <v>484</v>
      </c>
      <c r="F184" s="281" t="s">
        <v>485</v>
      </c>
      <c r="G184" s="281"/>
      <c r="H184" s="281" t="s">
        <v>486</v>
      </c>
      <c r="I184" s="281"/>
      <c r="J184" s="244"/>
      <c r="K184" s="37">
        <v>7</v>
      </c>
      <c r="L184" s="234">
        <f t="shared" si="14"/>
        <v>2.6355</v>
      </c>
      <c r="M184" s="234">
        <f t="shared" si="15"/>
        <v>2.6355</v>
      </c>
      <c r="N184" s="234">
        <f t="shared" si="16"/>
        <v>3.1640000000000001</v>
      </c>
      <c r="O184" s="234">
        <f t="shared" si="17"/>
        <v>2.653</v>
      </c>
      <c r="P184" s="234">
        <f t="shared" si="18"/>
        <v>3.4929999999999999</v>
      </c>
      <c r="Q184" s="234">
        <f t="shared" si="19"/>
        <v>3.01</v>
      </c>
      <c r="R184" s="234">
        <f t="shared" si="20"/>
        <v>3.3809999999999998</v>
      </c>
    </row>
    <row r="185" spans="1:43" x14ac:dyDescent="0.3">
      <c r="A185" s="269" t="s">
        <v>775</v>
      </c>
      <c r="B185" s="269" t="s">
        <v>487</v>
      </c>
      <c r="C185" s="49"/>
      <c r="D185" s="49"/>
      <c r="E185" s="141" t="s">
        <v>492</v>
      </c>
      <c r="F185" s="281" t="s">
        <v>488</v>
      </c>
      <c r="G185" s="281" t="s">
        <v>490</v>
      </c>
      <c r="H185" s="281" t="s">
        <v>489</v>
      </c>
      <c r="I185" s="281" t="s">
        <v>491</v>
      </c>
      <c r="J185" s="244"/>
      <c r="K185" s="37">
        <v>87</v>
      </c>
      <c r="L185" s="234">
        <f t="shared" si="14"/>
        <v>32.755499999999998</v>
      </c>
      <c r="M185" s="234">
        <f t="shared" si="15"/>
        <v>32.755499999999998</v>
      </c>
      <c r="N185" s="234">
        <f t="shared" si="16"/>
        <v>39.323999999999998</v>
      </c>
      <c r="O185" s="234">
        <f t="shared" si="17"/>
        <v>32.972999999999999</v>
      </c>
      <c r="P185" s="234">
        <f t="shared" si="18"/>
        <v>43.412999999999997</v>
      </c>
      <c r="Q185" s="234">
        <f t="shared" si="19"/>
        <v>37.409999999999997</v>
      </c>
      <c r="R185" s="234">
        <f t="shared" si="20"/>
        <v>42.021000000000001</v>
      </c>
    </row>
    <row r="186" spans="1:43" x14ac:dyDescent="0.3">
      <c r="A186" s="269"/>
      <c r="B186" s="269"/>
      <c r="C186" s="49"/>
      <c r="D186" s="49"/>
      <c r="E186" s="141"/>
      <c r="F186" s="281"/>
      <c r="G186" s="281"/>
      <c r="H186" s="281"/>
      <c r="I186" s="281"/>
      <c r="J186" s="244"/>
      <c r="K186" s="37"/>
      <c r="L186" s="234"/>
      <c r="M186" s="234"/>
      <c r="N186" s="234"/>
      <c r="O186" s="234"/>
      <c r="P186" s="234"/>
      <c r="Q186" s="234"/>
      <c r="R186" s="234"/>
    </row>
    <row r="187" spans="1:43" x14ac:dyDescent="0.3">
      <c r="A187" s="112" t="s">
        <v>493</v>
      </c>
      <c r="B187" s="112"/>
      <c r="C187" s="112"/>
      <c r="D187" s="112"/>
      <c r="E187" s="293"/>
      <c r="F187" s="293"/>
      <c r="G187" s="293"/>
      <c r="H187" s="293"/>
      <c r="I187" s="293"/>
      <c r="J187" s="293"/>
      <c r="K187" s="239"/>
      <c r="L187" s="239"/>
      <c r="M187" s="239"/>
      <c r="N187" s="239"/>
      <c r="O187" s="239"/>
      <c r="P187" s="239"/>
      <c r="Q187" s="239"/>
      <c r="R187" s="239"/>
    </row>
    <row r="188" spans="1:43" s="207" customFormat="1" x14ac:dyDescent="0.3">
      <c r="A188" s="84" t="s">
        <v>494</v>
      </c>
      <c r="B188" s="25" t="s">
        <v>495</v>
      </c>
      <c r="C188" s="182"/>
      <c r="D188" s="182"/>
      <c r="E188" s="120"/>
      <c r="F188" s="120"/>
      <c r="G188" s="120"/>
      <c r="H188" s="108" t="s">
        <v>496</v>
      </c>
      <c r="I188" s="108"/>
      <c r="J188" s="120"/>
      <c r="K188" s="31">
        <v>10</v>
      </c>
      <c r="L188" s="234">
        <f t="shared" si="14"/>
        <v>3.7650000000000001</v>
      </c>
      <c r="M188" s="234">
        <f t="shared" si="15"/>
        <v>3.7650000000000001</v>
      </c>
      <c r="N188" s="234">
        <f t="shared" si="16"/>
        <v>4.5200000000000005</v>
      </c>
      <c r="O188" s="234">
        <f t="shared" si="17"/>
        <v>3.79</v>
      </c>
      <c r="P188" s="234">
        <f t="shared" si="18"/>
        <v>4.99</v>
      </c>
      <c r="Q188" s="234">
        <f t="shared" si="19"/>
        <v>4.3</v>
      </c>
      <c r="R188" s="234">
        <f t="shared" si="20"/>
        <v>4.83</v>
      </c>
      <c r="S188" s="329"/>
      <c r="T188" s="329"/>
      <c r="U188" s="329"/>
      <c r="V188" s="329"/>
      <c r="W188" s="329"/>
      <c r="X188" s="329"/>
      <c r="Y188" s="329"/>
      <c r="Z188" s="329"/>
      <c r="AA188" s="329"/>
      <c r="AB188" s="329"/>
      <c r="AC188" s="329"/>
      <c r="AD188" s="329"/>
      <c r="AE188" s="329"/>
      <c r="AF188" s="329"/>
      <c r="AG188" s="329"/>
      <c r="AH188" s="329"/>
      <c r="AI188" s="329"/>
      <c r="AJ188" s="329"/>
      <c r="AK188" s="329"/>
      <c r="AL188" s="329"/>
      <c r="AM188" s="329"/>
      <c r="AN188" s="329"/>
      <c r="AO188" s="329"/>
      <c r="AP188" s="329"/>
      <c r="AQ188" s="329"/>
    </row>
    <row r="189" spans="1:43" s="329" customFormat="1" x14ac:dyDescent="0.3">
      <c r="A189" s="303"/>
      <c r="B189" s="168"/>
      <c r="C189" s="159"/>
      <c r="D189" s="159"/>
      <c r="E189" s="54"/>
      <c r="F189" s="54"/>
      <c r="G189" s="54"/>
      <c r="H189" s="54"/>
      <c r="I189" s="78"/>
      <c r="J189" s="54"/>
      <c r="K189" s="37"/>
      <c r="L189" s="234"/>
      <c r="M189" s="234"/>
      <c r="N189" s="234"/>
      <c r="O189" s="234"/>
      <c r="P189" s="234"/>
      <c r="Q189" s="234"/>
      <c r="R189" s="234"/>
    </row>
    <row r="190" spans="1:43" x14ac:dyDescent="0.3">
      <c r="A190" s="112" t="s">
        <v>262</v>
      </c>
      <c r="B190" s="112"/>
      <c r="C190" s="112"/>
      <c r="D190" s="112"/>
      <c r="E190" s="293"/>
      <c r="F190" s="293"/>
      <c r="G190" s="293"/>
      <c r="H190" s="293"/>
      <c r="I190" s="293"/>
      <c r="J190" s="293"/>
      <c r="K190" s="239"/>
      <c r="L190" s="239"/>
      <c r="M190" s="239"/>
      <c r="N190" s="239"/>
      <c r="O190" s="239"/>
      <c r="P190" s="239"/>
      <c r="Q190" s="239"/>
      <c r="R190" s="239"/>
    </row>
    <row r="191" spans="1:43" x14ac:dyDescent="0.3">
      <c r="A191" s="269" t="s">
        <v>263</v>
      </c>
      <c r="B191" s="269" t="s">
        <v>497</v>
      </c>
      <c r="C191" s="49"/>
      <c r="D191" s="49"/>
      <c r="E191" s="281" t="s">
        <v>498</v>
      </c>
      <c r="F191" s="281" t="s">
        <v>498</v>
      </c>
      <c r="G191" s="281" t="s">
        <v>498</v>
      </c>
      <c r="H191" s="281" t="s">
        <v>498</v>
      </c>
      <c r="I191" s="281" t="s">
        <v>498</v>
      </c>
      <c r="J191" s="244"/>
      <c r="K191" s="71">
        <v>20</v>
      </c>
      <c r="L191" s="234">
        <f t="shared" si="14"/>
        <v>7.53</v>
      </c>
      <c r="M191" s="234">
        <f t="shared" si="15"/>
        <v>7.53</v>
      </c>
      <c r="N191" s="234">
        <f t="shared" si="16"/>
        <v>9.0400000000000009</v>
      </c>
      <c r="O191" s="234">
        <f t="shared" si="17"/>
        <v>7.58</v>
      </c>
      <c r="P191" s="234">
        <f t="shared" si="18"/>
        <v>9.98</v>
      </c>
      <c r="Q191" s="234">
        <f t="shared" si="19"/>
        <v>8.6</v>
      </c>
      <c r="R191" s="234">
        <f t="shared" si="20"/>
        <v>9.66</v>
      </c>
    </row>
    <row r="192" spans="1:43" x14ac:dyDescent="0.3">
      <c r="A192" s="269" t="s">
        <v>266</v>
      </c>
      <c r="B192" s="269" t="s">
        <v>499</v>
      </c>
      <c r="C192" s="49"/>
      <c r="D192" s="49"/>
      <c r="E192" s="281" t="s">
        <v>500</v>
      </c>
      <c r="F192" s="281" t="s">
        <v>500</v>
      </c>
      <c r="G192" s="281" t="s">
        <v>500</v>
      </c>
      <c r="H192" s="281" t="s">
        <v>500</v>
      </c>
      <c r="I192" s="281" t="s">
        <v>500</v>
      </c>
      <c r="J192" s="244"/>
      <c r="K192" s="71">
        <v>30</v>
      </c>
      <c r="L192" s="234">
        <f t="shared" si="14"/>
        <v>11.295</v>
      </c>
      <c r="M192" s="234">
        <f t="shared" si="15"/>
        <v>11.295</v>
      </c>
      <c r="N192" s="234">
        <f t="shared" si="16"/>
        <v>13.56</v>
      </c>
      <c r="O192" s="234">
        <f t="shared" si="17"/>
        <v>11.370000000000001</v>
      </c>
      <c r="P192" s="234">
        <f t="shared" si="18"/>
        <v>14.97</v>
      </c>
      <c r="Q192" s="234">
        <f t="shared" si="19"/>
        <v>12.9</v>
      </c>
      <c r="R192" s="234">
        <f t="shared" si="20"/>
        <v>14.49</v>
      </c>
    </row>
    <row r="193" spans="1:43" x14ac:dyDescent="0.3">
      <c r="A193" s="269" t="s">
        <v>269</v>
      </c>
      <c r="B193" s="269" t="s">
        <v>501</v>
      </c>
      <c r="C193" s="49"/>
      <c r="D193" s="49"/>
      <c r="E193" s="281" t="s">
        <v>502</v>
      </c>
      <c r="F193" s="281" t="s">
        <v>502</v>
      </c>
      <c r="G193" s="281" t="s">
        <v>502</v>
      </c>
      <c r="H193" s="281" t="s">
        <v>502</v>
      </c>
      <c r="I193" s="281" t="s">
        <v>502</v>
      </c>
      <c r="J193" s="244"/>
      <c r="K193" s="71">
        <v>50</v>
      </c>
      <c r="L193" s="234">
        <f t="shared" si="14"/>
        <v>18.824999999999999</v>
      </c>
      <c r="M193" s="234">
        <f t="shared" si="15"/>
        <v>18.824999999999999</v>
      </c>
      <c r="N193" s="234">
        <f t="shared" si="16"/>
        <v>22.6</v>
      </c>
      <c r="O193" s="234">
        <f t="shared" si="17"/>
        <v>18.95</v>
      </c>
      <c r="P193" s="234">
        <f t="shared" si="18"/>
        <v>24.95</v>
      </c>
      <c r="Q193" s="234">
        <f t="shared" si="19"/>
        <v>21.5</v>
      </c>
      <c r="R193" s="234">
        <f t="shared" si="20"/>
        <v>24.15</v>
      </c>
    </row>
    <row r="194" spans="1:43" x14ac:dyDescent="0.3">
      <c r="A194" s="156" t="s">
        <v>503</v>
      </c>
      <c r="B194" s="156" t="s">
        <v>504</v>
      </c>
      <c r="C194" s="123"/>
      <c r="D194" s="123"/>
      <c r="E194" s="188" t="s">
        <v>505</v>
      </c>
      <c r="F194" s="188" t="s">
        <v>505</v>
      </c>
      <c r="G194" s="188" t="s">
        <v>505</v>
      </c>
      <c r="H194" s="188" t="s">
        <v>505</v>
      </c>
      <c r="I194" s="188" t="s">
        <v>505</v>
      </c>
      <c r="J194" s="75"/>
      <c r="K194" s="44">
        <v>20</v>
      </c>
      <c r="L194" s="234">
        <f t="shared" si="14"/>
        <v>7.53</v>
      </c>
      <c r="M194" s="234">
        <f t="shared" si="15"/>
        <v>7.53</v>
      </c>
      <c r="N194" s="234">
        <f t="shared" si="16"/>
        <v>9.0400000000000009</v>
      </c>
      <c r="O194" s="234">
        <f t="shared" si="17"/>
        <v>7.58</v>
      </c>
      <c r="P194" s="234">
        <f t="shared" si="18"/>
        <v>9.98</v>
      </c>
      <c r="Q194" s="234">
        <f t="shared" si="19"/>
        <v>8.6</v>
      </c>
      <c r="R194" s="234">
        <f t="shared" si="20"/>
        <v>9.66</v>
      </c>
    </row>
    <row r="195" spans="1:43" x14ac:dyDescent="0.3">
      <c r="A195" s="156" t="s">
        <v>271</v>
      </c>
      <c r="B195" s="156" t="s">
        <v>272</v>
      </c>
      <c r="C195" s="123"/>
      <c r="D195" s="123"/>
      <c r="E195" s="298" t="s">
        <v>273</v>
      </c>
      <c r="F195" s="298" t="s">
        <v>273</v>
      </c>
      <c r="G195" s="298" t="s">
        <v>273</v>
      </c>
      <c r="H195" s="298" t="s">
        <v>273</v>
      </c>
      <c r="I195" s="298" t="s">
        <v>273</v>
      </c>
      <c r="J195" s="85"/>
      <c r="K195" s="44">
        <v>158</v>
      </c>
      <c r="L195" s="234">
        <f t="shared" si="14"/>
        <v>59.487000000000002</v>
      </c>
      <c r="M195" s="234">
        <f t="shared" si="15"/>
        <v>59.487000000000002</v>
      </c>
      <c r="N195" s="234">
        <f t="shared" si="16"/>
        <v>71.415999999999997</v>
      </c>
      <c r="O195" s="234">
        <f t="shared" si="17"/>
        <v>59.881999999999998</v>
      </c>
      <c r="P195" s="234">
        <f t="shared" si="18"/>
        <v>78.841999999999999</v>
      </c>
      <c r="Q195" s="234">
        <f t="shared" si="19"/>
        <v>67.94</v>
      </c>
      <c r="R195" s="234">
        <f t="shared" si="20"/>
        <v>76.313999999999993</v>
      </c>
    </row>
    <row r="196" spans="1:43" x14ac:dyDescent="0.3">
      <c r="A196" s="156" t="s">
        <v>274</v>
      </c>
      <c r="B196" s="156" t="s">
        <v>275</v>
      </c>
      <c r="C196" s="123"/>
      <c r="D196" s="123"/>
      <c r="E196" s="298" t="s">
        <v>506</v>
      </c>
      <c r="F196" s="298" t="s">
        <v>506</v>
      </c>
      <c r="G196" s="298" t="s">
        <v>506</v>
      </c>
      <c r="H196" s="298" t="s">
        <v>506</v>
      </c>
      <c r="I196" s="298" t="s">
        <v>506</v>
      </c>
      <c r="J196" s="85"/>
      <c r="K196" s="44">
        <v>22</v>
      </c>
      <c r="L196" s="234">
        <f t="shared" si="14"/>
        <v>8.2829999999999995</v>
      </c>
      <c r="M196" s="234">
        <f t="shared" si="15"/>
        <v>8.2829999999999995</v>
      </c>
      <c r="N196" s="234">
        <f t="shared" si="16"/>
        <v>9.9440000000000008</v>
      </c>
      <c r="O196" s="234">
        <f t="shared" si="17"/>
        <v>8.338000000000001</v>
      </c>
      <c r="P196" s="234">
        <f t="shared" si="18"/>
        <v>10.978</v>
      </c>
      <c r="Q196" s="234">
        <f t="shared" si="19"/>
        <v>9.4599999999999991</v>
      </c>
      <c r="R196" s="234">
        <f t="shared" si="20"/>
        <v>10.625999999999999</v>
      </c>
    </row>
    <row r="197" spans="1:43" s="308" customFormat="1" x14ac:dyDescent="0.3">
      <c r="A197" s="156" t="s">
        <v>278</v>
      </c>
      <c r="B197" s="113" t="s">
        <v>279</v>
      </c>
      <c r="C197" s="123"/>
      <c r="D197" s="123"/>
      <c r="E197" s="298" t="s">
        <v>1552</v>
      </c>
      <c r="F197" s="298" t="s">
        <v>1552</v>
      </c>
      <c r="G197" s="298" t="s">
        <v>1552</v>
      </c>
      <c r="H197" s="298" t="s">
        <v>1552</v>
      </c>
      <c r="I197" s="298" t="s">
        <v>1552</v>
      </c>
      <c r="J197" s="85"/>
      <c r="K197" s="44">
        <v>52</v>
      </c>
      <c r="L197" s="234">
        <f t="shared" si="14"/>
        <v>19.577999999999999</v>
      </c>
      <c r="M197" s="234">
        <f t="shared" si="15"/>
        <v>19.577999999999999</v>
      </c>
      <c r="N197" s="234">
        <f t="shared" si="16"/>
        <v>23.504000000000001</v>
      </c>
      <c r="O197" s="234">
        <f t="shared" si="17"/>
        <v>19.707999999999998</v>
      </c>
      <c r="P197" s="234">
        <f t="shared" si="18"/>
        <v>25.948</v>
      </c>
      <c r="Q197" s="234">
        <f t="shared" si="19"/>
        <v>22.36</v>
      </c>
      <c r="R197" s="234">
        <f t="shared" si="20"/>
        <v>25.116</v>
      </c>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row>
    <row r="198" spans="1:43" s="308" customFormat="1" x14ac:dyDescent="0.3">
      <c r="A198" s="303"/>
      <c r="B198" s="168"/>
      <c r="C198" s="159"/>
      <c r="D198" s="159"/>
      <c r="E198" s="54"/>
      <c r="F198" s="54"/>
      <c r="G198" s="54"/>
      <c r="H198" s="54"/>
      <c r="I198" s="54"/>
      <c r="J198" s="54"/>
      <c r="K198" s="234"/>
      <c r="L198" s="234"/>
      <c r="M198" s="234"/>
      <c r="N198" s="234"/>
      <c r="O198" s="234"/>
      <c r="P198" s="234"/>
      <c r="Q198" s="234"/>
      <c r="R198" s="234"/>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row>
    <row r="199" spans="1:43" s="308" customFormat="1" x14ac:dyDescent="0.3">
      <c r="A199" s="48" t="s">
        <v>507</v>
      </c>
      <c r="B199" s="48"/>
      <c r="C199" s="48"/>
      <c r="D199" s="48"/>
      <c r="E199" s="48"/>
      <c r="F199" s="48"/>
      <c r="G199" s="48"/>
      <c r="H199" s="48"/>
      <c r="I199" s="48"/>
      <c r="J199" s="48"/>
      <c r="K199" s="241"/>
      <c r="L199" s="48"/>
      <c r="M199" s="48"/>
      <c r="N199" s="48"/>
      <c r="O199" s="48"/>
      <c r="P199" s="48"/>
      <c r="Q199" s="48"/>
      <c r="R199" s="48"/>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row>
    <row r="200" spans="1:43" s="16" customFormat="1" ht="82.8" x14ac:dyDescent="0.3">
      <c r="A200" s="193" t="s">
        <v>125</v>
      </c>
      <c r="B200" s="193" t="s">
        <v>126</v>
      </c>
      <c r="C200" s="193" t="s">
        <v>127</v>
      </c>
      <c r="D200" s="193" t="s">
        <v>128</v>
      </c>
      <c r="E200" s="193"/>
      <c r="F200" s="193"/>
      <c r="G200" s="193"/>
      <c r="H200" s="193"/>
      <c r="I200" s="193"/>
      <c r="J200" s="193"/>
      <c r="K200" s="174" t="s">
        <v>130</v>
      </c>
      <c r="L200" s="193"/>
      <c r="M200" s="193"/>
      <c r="N200" s="193"/>
      <c r="O200" s="193"/>
      <c r="P200" s="193"/>
      <c r="Q200" s="193"/>
      <c r="R200" s="193"/>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row>
    <row r="201" spans="1:43" x14ac:dyDescent="0.3">
      <c r="A201" s="173"/>
      <c r="B201" s="187"/>
      <c r="C201" s="275"/>
      <c r="D201" s="275"/>
      <c r="E201" s="263"/>
      <c r="F201" s="263"/>
      <c r="G201" s="263"/>
      <c r="H201" s="263"/>
      <c r="I201" s="263"/>
      <c r="J201" s="263"/>
      <c r="K201" s="234"/>
      <c r="L201" s="234"/>
      <c r="M201" s="234"/>
      <c r="N201" s="234"/>
      <c r="O201" s="234"/>
      <c r="P201" s="234"/>
      <c r="Q201" s="234"/>
      <c r="R201" s="234"/>
    </row>
    <row r="202" spans="1:43" ht="151.80000000000001" x14ac:dyDescent="0.3">
      <c r="A202" s="128" t="s">
        <v>1617</v>
      </c>
      <c r="B202" s="187" t="s">
        <v>508</v>
      </c>
      <c r="C202" s="275"/>
      <c r="D202" s="275"/>
      <c r="E202" s="263"/>
      <c r="F202" s="263"/>
      <c r="G202" s="263"/>
      <c r="H202" s="263"/>
      <c r="I202" s="263"/>
      <c r="J202" s="263"/>
      <c r="K202" s="143">
        <v>562</v>
      </c>
      <c r="L202" s="234">
        <f t="shared" si="14"/>
        <v>211.59299999999999</v>
      </c>
      <c r="M202" s="234">
        <f t="shared" si="15"/>
        <v>211.59299999999999</v>
      </c>
      <c r="N202" s="234">
        <f t="shared" si="16"/>
        <v>254.024</v>
      </c>
      <c r="O202" s="234">
        <f t="shared" si="17"/>
        <v>212.99799999999999</v>
      </c>
      <c r="P202" s="234">
        <f t="shared" si="18"/>
        <v>280.43799999999999</v>
      </c>
      <c r="Q202" s="234">
        <f t="shared" si="19"/>
        <v>241.66</v>
      </c>
      <c r="R202" s="234">
        <f t="shared" si="20"/>
        <v>271.44599999999997</v>
      </c>
    </row>
    <row r="203" spans="1:43" x14ac:dyDescent="0.3">
      <c r="A203" s="128"/>
      <c r="B203" s="187"/>
      <c r="C203" s="275"/>
      <c r="D203" s="275"/>
      <c r="E203" s="263"/>
      <c r="F203" s="263"/>
      <c r="G203" s="263"/>
      <c r="H203" s="263"/>
      <c r="I203" s="263"/>
      <c r="J203" s="263"/>
      <c r="K203" s="234"/>
      <c r="L203" s="234"/>
      <c r="M203" s="234"/>
      <c r="N203" s="234"/>
      <c r="O203" s="234"/>
      <c r="P203" s="234"/>
      <c r="Q203" s="234"/>
      <c r="R203" s="234"/>
    </row>
    <row r="204" spans="1:43" ht="151.80000000000001" x14ac:dyDescent="0.3">
      <c r="A204" s="269" t="s">
        <v>1618</v>
      </c>
      <c r="B204" s="187" t="s">
        <v>509</v>
      </c>
      <c r="C204" s="275"/>
      <c r="D204" s="275"/>
      <c r="E204" s="263"/>
      <c r="F204" s="263"/>
      <c r="G204" s="263"/>
      <c r="H204" s="263"/>
      <c r="I204" s="263"/>
      <c r="J204" s="263"/>
      <c r="K204" s="143">
        <v>544</v>
      </c>
      <c r="L204" s="234">
        <f t="shared" si="14"/>
        <v>204.816</v>
      </c>
      <c r="M204" s="234">
        <f t="shared" si="15"/>
        <v>204.816</v>
      </c>
      <c r="N204" s="234">
        <f t="shared" si="16"/>
        <v>245.88800000000001</v>
      </c>
      <c r="O204" s="234">
        <f t="shared" si="17"/>
        <v>206.17599999999999</v>
      </c>
      <c r="P204" s="234">
        <f t="shared" ref="P204:P266" si="21">K204*$P$9</f>
        <v>271.45600000000002</v>
      </c>
      <c r="Q204" s="234">
        <f t="shared" ref="Q204:Q266" si="22">K204*$Q$9</f>
        <v>233.92</v>
      </c>
      <c r="R204" s="234">
        <f t="shared" ref="R204:R266" si="23">K204*$R$9</f>
        <v>262.75200000000001</v>
      </c>
    </row>
    <row r="205" spans="1:43" s="329" customFormat="1" x14ac:dyDescent="0.3">
      <c r="A205" s="128"/>
      <c r="B205" s="187"/>
      <c r="C205" s="275"/>
      <c r="D205" s="275"/>
      <c r="E205" s="263"/>
      <c r="F205" s="263"/>
      <c r="G205" s="263"/>
      <c r="H205" s="263"/>
      <c r="I205" s="263"/>
      <c r="J205" s="263"/>
      <c r="K205" s="236"/>
      <c r="L205" s="234"/>
      <c r="M205" s="234"/>
      <c r="N205" s="234"/>
      <c r="O205" s="234"/>
      <c r="P205" s="234"/>
      <c r="Q205" s="234"/>
      <c r="R205" s="234"/>
    </row>
    <row r="206" spans="1:43" ht="151.80000000000001" x14ac:dyDescent="0.3">
      <c r="A206" s="128" t="s">
        <v>1619</v>
      </c>
      <c r="B206" s="187" t="s">
        <v>510</v>
      </c>
      <c r="C206" s="275"/>
      <c r="D206" s="275"/>
      <c r="E206" s="263"/>
      <c r="F206" s="263"/>
      <c r="G206" s="263"/>
      <c r="H206" s="263"/>
      <c r="I206" s="263"/>
      <c r="J206" s="263"/>
      <c r="K206" s="143">
        <v>562</v>
      </c>
      <c r="L206" s="234">
        <f t="shared" ref="L206:L269" si="24">K206*$L$9</f>
        <v>211.59299999999999</v>
      </c>
      <c r="M206" s="234">
        <f t="shared" ref="M206:M271" si="25">K206*$M$9</f>
        <v>211.59299999999999</v>
      </c>
      <c r="N206" s="234">
        <f t="shared" ref="N206:N271" si="26">K206*$N$9</f>
        <v>254.024</v>
      </c>
      <c r="O206" s="234">
        <f t="shared" ref="O206:O271" si="27">K206*$O$9</f>
        <v>212.99799999999999</v>
      </c>
      <c r="P206" s="234">
        <f t="shared" si="21"/>
        <v>280.43799999999999</v>
      </c>
      <c r="Q206" s="234">
        <f t="shared" si="22"/>
        <v>241.66</v>
      </c>
      <c r="R206" s="234">
        <f t="shared" si="23"/>
        <v>271.44599999999997</v>
      </c>
    </row>
    <row r="207" spans="1:43" x14ac:dyDescent="0.3">
      <c r="A207" s="128"/>
      <c r="B207" s="187"/>
      <c r="C207" s="275"/>
      <c r="D207" s="275"/>
      <c r="E207" s="263"/>
      <c r="F207" s="263"/>
      <c r="G207" s="263"/>
      <c r="H207" s="263"/>
      <c r="I207" s="263"/>
      <c r="J207" s="263"/>
      <c r="K207" s="234"/>
      <c r="L207" s="234"/>
      <c r="M207" s="234"/>
      <c r="N207" s="234"/>
      <c r="O207" s="234"/>
      <c r="P207" s="234"/>
      <c r="Q207" s="234"/>
      <c r="R207" s="234"/>
    </row>
    <row r="208" spans="1:43" ht="151.80000000000001" x14ac:dyDescent="0.3">
      <c r="A208" s="128" t="s">
        <v>1620</v>
      </c>
      <c r="B208" s="187" t="s">
        <v>511</v>
      </c>
      <c r="C208" s="275"/>
      <c r="D208" s="275"/>
      <c r="E208" s="263"/>
      <c r="F208" s="263"/>
      <c r="G208" s="263"/>
      <c r="H208" s="263"/>
      <c r="I208" s="263"/>
      <c r="J208" s="263"/>
      <c r="K208" s="143">
        <v>544</v>
      </c>
      <c r="L208" s="234">
        <f t="shared" si="24"/>
        <v>204.816</v>
      </c>
      <c r="M208" s="234">
        <f t="shared" si="25"/>
        <v>204.816</v>
      </c>
      <c r="N208" s="234">
        <f t="shared" si="26"/>
        <v>245.88800000000001</v>
      </c>
      <c r="O208" s="234">
        <f t="shared" si="27"/>
        <v>206.17599999999999</v>
      </c>
      <c r="P208" s="234">
        <f t="shared" si="21"/>
        <v>271.45600000000002</v>
      </c>
      <c r="Q208" s="234">
        <f t="shared" si="22"/>
        <v>233.92</v>
      </c>
      <c r="R208" s="234">
        <f t="shared" si="23"/>
        <v>262.75200000000001</v>
      </c>
    </row>
    <row r="209" spans="1:43" s="329" customFormat="1" x14ac:dyDescent="0.3">
      <c r="A209" s="128"/>
      <c r="B209" s="187"/>
      <c r="C209" s="275"/>
      <c r="D209" s="275"/>
      <c r="E209" s="263"/>
      <c r="F209" s="263"/>
      <c r="G209" s="263"/>
      <c r="H209" s="263"/>
      <c r="I209" s="263"/>
      <c r="J209" s="263"/>
      <c r="K209" s="236"/>
      <c r="L209" s="234"/>
      <c r="M209" s="234"/>
      <c r="N209" s="234"/>
      <c r="O209" s="234"/>
      <c r="P209" s="234"/>
      <c r="Q209" s="234"/>
      <c r="R209" s="234"/>
    </row>
    <row r="210" spans="1:43" s="329" customFormat="1" ht="151.80000000000001" x14ac:dyDescent="0.3">
      <c r="A210" s="128" t="s">
        <v>1621</v>
      </c>
      <c r="B210" s="187" t="s">
        <v>512</v>
      </c>
      <c r="C210" s="275"/>
      <c r="D210" s="275"/>
      <c r="E210" s="263"/>
      <c r="F210" s="263"/>
      <c r="G210" s="263"/>
      <c r="H210" s="263"/>
      <c r="I210" s="263"/>
      <c r="J210" s="263"/>
      <c r="K210" s="143">
        <v>570</v>
      </c>
      <c r="L210" s="234">
        <f t="shared" si="24"/>
        <v>214.60499999999999</v>
      </c>
      <c r="M210" s="234">
        <f t="shared" si="25"/>
        <v>214.60499999999999</v>
      </c>
      <c r="N210" s="234">
        <f t="shared" si="26"/>
        <v>257.64</v>
      </c>
      <c r="O210" s="234">
        <f t="shared" si="27"/>
        <v>216.03</v>
      </c>
      <c r="P210" s="234">
        <f t="shared" si="21"/>
        <v>284.43</v>
      </c>
      <c r="Q210" s="234">
        <f t="shared" si="22"/>
        <v>245.1</v>
      </c>
      <c r="R210" s="234">
        <f t="shared" si="23"/>
        <v>275.31</v>
      </c>
    </row>
    <row r="211" spans="1:43" x14ac:dyDescent="0.3">
      <c r="A211" s="128"/>
      <c r="B211" s="187"/>
      <c r="C211" s="275"/>
      <c r="D211" s="275"/>
      <c r="E211" s="263"/>
      <c r="F211" s="263"/>
      <c r="G211" s="263"/>
      <c r="H211" s="263"/>
      <c r="I211" s="263"/>
      <c r="J211" s="263"/>
      <c r="K211" s="234"/>
      <c r="L211" s="234"/>
      <c r="M211" s="234"/>
      <c r="N211" s="234"/>
      <c r="O211" s="234"/>
      <c r="P211" s="234"/>
      <c r="Q211" s="234"/>
      <c r="R211" s="234"/>
    </row>
    <row r="212" spans="1:43" ht="151.80000000000001" x14ac:dyDescent="0.3">
      <c r="A212" s="269" t="s">
        <v>1622</v>
      </c>
      <c r="B212" s="187" t="s">
        <v>513</v>
      </c>
      <c r="C212" s="275"/>
      <c r="D212" s="275"/>
      <c r="E212" s="263"/>
      <c r="F212" s="263"/>
      <c r="G212" s="263"/>
      <c r="H212" s="263"/>
      <c r="I212" s="263"/>
      <c r="J212" s="263"/>
      <c r="K212" s="143">
        <v>550</v>
      </c>
      <c r="L212" s="234">
        <f t="shared" si="24"/>
        <v>207.07499999999999</v>
      </c>
      <c r="M212" s="234">
        <f t="shared" si="25"/>
        <v>207.07499999999999</v>
      </c>
      <c r="N212" s="234">
        <f t="shared" si="26"/>
        <v>248.6</v>
      </c>
      <c r="O212" s="234">
        <f t="shared" si="27"/>
        <v>208.45</v>
      </c>
      <c r="P212" s="234">
        <f t="shared" si="21"/>
        <v>274.45</v>
      </c>
      <c r="Q212" s="234">
        <f t="shared" si="22"/>
        <v>236.5</v>
      </c>
      <c r="R212" s="234">
        <f t="shared" si="23"/>
        <v>265.64999999999998</v>
      </c>
    </row>
    <row r="213" spans="1:43" s="329" customFormat="1" x14ac:dyDescent="0.3">
      <c r="A213" s="303"/>
      <c r="B213" s="168"/>
      <c r="C213" s="159"/>
      <c r="D213" s="159"/>
      <c r="E213" s="54"/>
      <c r="F213" s="54"/>
      <c r="G213" s="54"/>
      <c r="H213" s="54"/>
      <c r="I213" s="54"/>
      <c r="J213" s="54"/>
      <c r="K213" s="236"/>
      <c r="L213" s="234"/>
      <c r="M213" s="234"/>
      <c r="N213" s="234"/>
      <c r="O213" s="234"/>
      <c r="P213" s="234"/>
      <c r="Q213" s="234"/>
      <c r="R213" s="234"/>
    </row>
    <row r="214" spans="1:43" s="16" customFormat="1" ht="27.6" x14ac:dyDescent="0.3">
      <c r="A214" s="186" t="s">
        <v>514</v>
      </c>
      <c r="B214" s="193" t="s">
        <v>287</v>
      </c>
      <c r="C214" s="193" t="s">
        <v>127</v>
      </c>
      <c r="D214" s="193" t="s">
        <v>128</v>
      </c>
      <c r="E214" s="193" t="s">
        <v>515</v>
      </c>
      <c r="F214" s="193" t="s">
        <v>516</v>
      </c>
      <c r="G214" s="193" t="s">
        <v>517</v>
      </c>
      <c r="H214" s="193" t="s">
        <v>518</v>
      </c>
      <c r="I214" s="193" t="s">
        <v>519</v>
      </c>
      <c r="J214" s="193" t="s">
        <v>520</v>
      </c>
      <c r="K214" s="18"/>
      <c r="L214" s="18"/>
      <c r="M214" s="18"/>
      <c r="N214" s="18"/>
      <c r="O214" s="18"/>
      <c r="P214" s="18"/>
      <c r="Q214" s="18"/>
      <c r="R214" s="18"/>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row>
    <row r="215" spans="1:43" x14ac:dyDescent="0.3">
      <c r="A215" s="112" t="s">
        <v>521</v>
      </c>
      <c r="B215" s="124"/>
      <c r="C215" s="124"/>
      <c r="D215" s="124"/>
      <c r="E215" s="289"/>
      <c r="F215" s="289"/>
      <c r="G215" s="289"/>
      <c r="H215" s="289"/>
      <c r="I215" s="289"/>
      <c r="J215" s="293"/>
      <c r="K215" s="154"/>
      <c r="L215" s="154"/>
      <c r="M215" s="154"/>
      <c r="N215" s="154"/>
      <c r="O215" s="154"/>
      <c r="P215" s="154"/>
      <c r="Q215" s="154"/>
      <c r="R215" s="154"/>
    </row>
    <row r="216" spans="1:43" s="207" customFormat="1" ht="41.4" x14ac:dyDescent="0.3">
      <c r="A216" s="57" t="s">
        <v>522</v>
      </c>
      <c r="B216" s="57" t="s">
        <v>1570</v>
      </c>
      <c r="C216" s="160"/>
      <c r="D216" s="160" t="s">
        <v>294</v>
      </c>
      <c r="E216" s="57" t="s">
        <v>523</v>
      </c>
      <c r="F216" s="57"/>
      <c r="G216" s="57" t="s">
        <v>524</v>
      </c>
      <c r="H216" s="57"/>
      <c r="I216" s="57" t="s">
        <v>525</v>
      </c>
      <c r="J216" s="39"/>
      <c r="K216" s="31">
        <v>0</v>
      </c>
      <c r="L216" s="234">
        <f t="shared" si="24"/>
        <v>0</v>
      </c>
      <c r="M216" s="234">
        <f t="shared" si="25"/>
        <v>0</v>
      </c>
      <c r="N216" s="234">
        <f t="shared" si="26"/>
        <v>0</v>
      </c>
      <c r="O216" s="234">
        <f t="shared" si="27"/>
        <v>0</v>
      </c>
      <c r="P216" s="234">
        <f t="shared" si="21"/>
        <v>0</v>
      </c>
      <c r="Q216" s="234">
        <f t="shared" si="22"/>
        <v>0</v>
      </c>
      <c r="R216" s="234">
        <f t="shared" si="23"/>
        <v>0</v>
      </c>
      <c r="S216" s="329"/>
      <c r="T216" s="329"/>
      <c r="U216" s="329"/>
      <c r="V216" s="329"/>
      <c r="W216" s="329"/>
      <c r="X216" s="329"/>
      <c r="Y216" s="329"/>
      <c r="Z216" s="329"/>
      <c r="AA216" s="329"/>
      <c r="AB216" s="329"/>
      <c r="AC216" s="329"/>
      <c r="AD216" s="329"/>
      <c r="AE216" s="329"/>
      <c r="AF216" s="329"/>
      <c r="AG216" s="329"/>
      <c r="AH216" s="329"/>
      <c r="AI216" s="329"/>
      <c r="AJ216" s="329"/>
      <c r="AK216" s="329"/>
      <c r="AL216" s="329"/>
      <c r="AM216" s="329"/>
      <c r="AN216" s="329"/>
      <c r="AO216" s="329"/>
      <c r="AP216" s="329"/>
      <c r="AQ216" s="329"/>
    </row>
    <row r="217" spans="1:43" ht="41.4" x14ac:dyDescent="0.3">
      <c r="A217" s="82" t="s">
        <v>1638</v>
      </c>
      <c r="B217" s="57" t="s">
        <v>1521</v>
      </c>
      <c r="C217" s="160" t="s">
        <v>294</v>
      </c>
      <c r="D217" s="160" t="s">
        <v>294</v>
      </c>
      <c r="E217" s="57" t="s">
        <v>526</v>
      </c>
      <c r="F217" s="57"/>
      <c r="G217" s="57" t="s">
        <v>527</v>
      </c>
      <c r="H217" s="57"/>
      <c r="I217" s="57" t="s">
        <v>528</v>
      </c>
      <c r="J217" s="39"/>
      <c r="K217" s="31">
        <v>111</v>
      </c>
      <c r="L217" s="234">
        <f t="shared" si="24"/>
        <v>41.791499999999999</v>
      </c>
      <c r="M217" s="234">
        <f t="shared" si="25"/>
        <v>41.791499999999999</v>
      </c>
      <c r="N217" s="234">
        <f t="shared" si="26"/>
        <v>50.172000000000004</v>
      </c>
      <c r="O217" s="234">
        <f t="shared" si="27"/>
        <v>42.069000000000003</v>
      </c>
      <c r="P217" s="234">
        <f t="shared" si="21"/>
        <v>55.389000000000003</v>
      </c>
      <c r="Q217" s="234">
        <f t="shared" si="22"/>
        <v>47.73</v>
      </c>
      <c r="R217" s="234">
        <f t="shared" si="23"/>
        <v>53.613</v>
      </c>
    </row>
    <row r="218" spans="1:43" s="207" customFormat="1" ht="41.4" x14ac:dyDescent="0.3">
      <c r="A218" s="82" t="s">
        <v>1479</v>
      </c>
      <c r="B218" s="57" t="s">
        <v>1571</v>
      </c>
      <c r="C218" s="160" t="s">
        <v>294</v>
      </c>
      <c r="D218" s="160" t="s">
        <v>294</v>
      </c>
      <c r="E218" s="57" t="s">
        <v>529</v>
      </c>
      <c r="F218" s="57"/>
      <c r="G218" s="57" t="s">
        <v>530</v>
      </c>
      <c r="H218" s="57"/>
      <c r="I218" s="57" t="s">
        <v>531</v>
      </c>
      <c r="J218" s="39"/>
      <c r="K218" s="31">
        <v>111</v>
      </c>
      <c r="L218" s="234">
        <f t="shared" si="24"/>
        <v>41.791499999999999</v>
      </c>
      <c r="M218" s="234">
        <f t="shared" si="25"/>
        <v>41.791499999999999</v>
      </c>
      <c r="N218" s="234">
        <f t="shared" si="26"/>
        <v>50.172000000000004</v>
      </c>
      <c r="O218" s="234">
        <f t="shared" si="27"/>
        <v>42.069000000000003</v>
      </c>
      <c r="P218" s="234">
        <f t="shared" si="21"/>
        <v>55.389000000000003</v>
      </c>
      <c r="Q218" s="234">
        <f t="shared" si="22"/>
        <v>47.73</v>
      </c>
      <c r="R218" s="234">
        <f t="shared" si="23"/>
        <v>53.613</v>
      </c>
      <c r="S218" s="329"/>
      <c r="T218" s="329"/>
      <c r="U218" s="329"/>
      <c r="V218" s="329"/>
      <c r="W218" s="329"/>
      <c r="X218" s="329"/>
      <c r="Y218" s="329"/>
      <c r="Z218" s="329"/>
      <c r="AA218" s="329"/>
      <c r="AB218" s="329"/>
      <c r="AC218" s="329"/>
      <c r="AD218" s="329"/>
      <c r="AE218" s="329"/>
      <c r="AF218" s="329"/>
      <c r="AG218" s="329"/>
      <c r="AH218" s="329"/>
      <c r="AI218" s="329"/>
      <c r="AJ218" s="329"/>
      <c r="AK218" s="329"/>
      <c r="AL218" s="329"/>
      <c r="AM218" s="329"/>
      <c r="AN218" s="329"/>
      <c r="AO218" s="329"/>
      <c r="AP218" s="329"/>
      <c r="AQ218" s="329"/>
    </row>
    <row r="219" spans="1:43" ht="41.4" x14ac:dyDescent="0.3">
      <c r="A219" s="82" t="s">
        <v>532</v>
      </c>
      <c r="B219" s="57" t="s">
        <v>1522</v>
      </c>
      <c r="C219" s="160" t="s">
        <v>294</v>
      </c>
      <c r="D219" s="160" t="s">
        <v>294</v>
      </c>
      <c r="E219" s="57" t="s">
        <v>533</v>
      </c>
      <c r="F219" s="57"/>
      <c r="G219" s="57" t="s">
        <v>534</v>
      </c>
      <c r="H219" s="57"/>
      <c r="I219" s="57" t="s">
        <v>535</v>
      </c>
      <c r="J219" s="39"/>
      <c r="K219" s="31">
        <v>122</v>
      </c>
      <c r="L219" s="234">
        <f t="shared" si="24"/>
        <v>45.933</v>
      </c>
      <c r="M219" s="234">
        <f t="shared" si="25"/>
        <v>45.933</v>
      </c>
      <c r="N219" s="234">
        <f t="shared" si="26"/>
        <v>55.143999999999998</v>
      </c>
      <c r="O219" s="234">
        <f t="shared" si="27"/>
        <v>46.238</v>
      </c>
      <c r="P219" s="234">
        <f t="shared" si="21"/>
        <v>60.878</v>
      </c>
      <c r="Q219" s="234">
        <f t="shared" si="22"/>
        <v>52.46</v>
      </c>
      <c r="R219" s="234">
        <f t="shared" si="23"/>
        <v>58.925999999999995</v>
      </c>
    </row>
    <row r="220" spans="1:43" s="207" customFormat="1" ht="27.6" x14ac:dyDescent="0.3">
      <c r="A220" s="82" t="s">
        <v>536</v>
      </c>
      <c r="B220" s="57" t="s">
        <v>1572</v>
      </c>
      <c r="C220" s="160" t="s">
        <v>294</v>
      </c>
      <c r="D220" s="160" t="s">
        <v>294</v>
      </c>
      <c r="E220" s="57"/>
      <c r="F220" s="57"/>
      <c r="G220" s="57" t="s">
        <v>537</v>
      </c>
      <c r="H220" s="57"/>
      <c r="I220" s="57" t="s">
        <v>538</v>
      </c>
      <c r="J220" s="39"/>
      <c r="K220" s="31">
        <v>122</v>
      </c>
      <c r="L220" s="234">
        <f t="shared" si="24"/>
        <v>45.933</v>
      </c>
      <c r="M220" s="234">
        <f t="shared" si="25"/>
        <v>45.933</v>
      </c>
      <c r="N220" s="234">
        <f t="shared" si="26"/>
        <v>55.143999999999998</v>
      </c>
      <c r="O220" s="234">
        <f t="shared" si="27"/>
        <v>46.238</v>
      </c>
      <c r="P220" s="234">
        <f t="shared" si="21"/>
        <v>60.878</v>
      </c>
      <c r="Q220" s="234">
        <f t="shared" si="22"/>
        <v>52.46</v>
      </c>
      <c r="R220" s="234">
        <f t="shared" si="23"/>
        <v>58.925999999999995</v>
      </c>
      <c r="S220" s="329"/>
      <c r="T220" s="329"/>
      <c r="U220" s="329"/>
      <c r="V220" s="329"/>
      <c r="W220" s="329"/>
      <c r="X220" s="329"/>
      <c r="Y220" s="329"/>
      <c r="Z220" s="329"/>
      <c r="AA220" s="329"/>
      <c r="AB220" s="329"/>
      <c r="AC220" s="329"/>
      <c r="AD220" s="329"/>
      <c r="AE220" s="329"/>
      <c r="AF220" s="329"/>
      <c r="AG220" s="329"/>
      <c r="AH220" s="329"/>
      <c r="AI220" s="329"/>
      <c r="AJ220" s="329"/>
      <c r="AK220" s="329"/>
      <c r="AL220" s="329"/>
      <c r="AM220" s="329"/>
      <c r="AN220" s="329"/>
      <c r="AO220" s="329"/>
      <c r="AP220" s="329"/>
      <c r="AQ220" s="329"/>
    </row>
    <row r="221" spans="1:43" ht="27.6" x14ac:dyDescent="0.3">
      <c r="A221" s="82" t="s">
        <v>539</v>
      </c>
      <c r="B221" s="57" t="s">
        <v>1569</v>
      </c>
      <c r="C221" s="160" t="s">
        <v>294</v>
      </c>
      <c r="D221" s="160" t="s">
        <v>294</v>
      </c>
      <c r="E221" s="57"/>
      <c r="F221" s="57"/>
      <c r="G221" s="57" t="s">
        <v>540</v>
      </c>
      <c r="H221" s="57"/>
      <c r="I221" s="57" t="s">
        <v>541</v>
      </c>
      <c r="J221" s="39"/>
      <c r="K221" s="31">
        <v>260</v>
      </c>
      <c r="L221" s="234">
        <f t="shared" si="24"/>
        <v>97.89</v>
      </c>
      <c r="M221" s="234">
        <f t="shared" si="25"/>
        <v>97.89</v>
      </c>
      <c r="N221" s="234">
        <f t="shared" si="26"/>
        <v>117.52000000000001</v>
      </c>
      <c r="O221" s="234">
        <f t="shared" si="27"/>
        <v>98.54</v>
      </c>
      <c r="P221" s="234">
        <f t="shared" si="21"/>
        <v>129.74</v>
      </c>
      <c r="Q221" s="234">
        <f t="shared" si="22"/>
        <v>111.8</v>
      </c>
      <c r="R221" s="234">
        <f t="shared" si="23"/>
        <v>125.58</v>
      </c>
    </row>
    <row r="222" spans="1:43" s="207" customFormat="1" x14ac:dyDescent="0.3">
      <c r="A222" s="82" t="s">
        <v>1523</v>
      </c>
      <c r="B222" s="57" t="s">
        <v>542</v>
      </c>
      <c r="C222" s="160"/>
      <c r="D222" s="160" t="s">
        <v>294</v>
      </c>
      <c r="E222" s="57" t="s">
        <v>543</v>
      </c>
      <c r="F222" s="57"/>
      <c r="G222" s="57"/>
      <c r="H222" s="57"/>
      <c r="I222" s="57"/>
      <c r="J222" s="39"/>
      <c r="K222" s="31">
        <v>82</v>
      </c>
      <c r="L222" s="234">
        <f t="shared" si="24"/>
        <v>30.873000000000001</v>
      </c>
      <c r="M222" s="234">
        <f t="shared" si="25"/>
        <v>30.873000000000001</v>
      </c>
      <c r="N222" s="234">
        <f t="shared" si="26"/>
        <v>37.064</v>
      </c>
      <c r="O222" s="234">
        <f t="shared" si="27"/>
        <v>31.077999999999999</v>
      </c>
      <c r="P222" s="234">
        <f t="shared" si="21"/>
        <v>40.917999999999999</v>
      </c>
      <c r="Q222" s="234">
        <f t="shared" si="22"/>
        <v>35.26</v>
      </c>
      <c r="R222" s="234">
        <f t="shared" si="23"/>
        <v>39.606000000000002</v>
      </c>
      <c r="S222" s="329"/>
      <c r="T222" s="329"/>
      <c r="U222" s="329"/>
      <c r="V222" s="329"/>
      <c r="W222" s="329"/>
      <c r="X222" s="329"/>
      <c r="Y222" s="329"/>
      <c r="Z222" s="329"/>
      <c r="AA222" s="329"/>
      <c r="AB222" s="329"/>
      <c r="AC222" s="329"/>
      <c r="AD222" s="329"/>
      <c r="AE222" s="329"/>
      <c r="AF222" s="329"/>
      <c r="AG222" s="329"/>
      <c r="AH222" s="329"/>
      <c r="AI222" s="329"/>
      <c r="AJ222" s="329"/>
      <c r="AK222" s="329"/>
      <c r="AL222" s="329"/>
      <c r="AM222" s="329"/>
      <c r="AN222" s="329"/>
      <c r="AO222" s="329"/>
      <c r="AP222" s="329"/>
      <c r="AQ222" s="329"/>
    </row>
    <row r="223" spans="1:43" x14ac:dyDescent="0.3">
      <c r="A223" s="82" t="s">
        <v>1524</v>
      </c>
      <c r="B223" s="57" t="s">
        <v>544</v>
      </c>
      <c r="C223" s="160" t="s">
        <v>294</v>
      </c>
      <c r="D223" s="160" t="s">
        <v>294</v>
      </c>
      <c r="E223" s="57" t="s">
        <v>545</v>
      </c>
      <c r="F223" s="57"/>
      <c r="G223" s="57"/>
      <c r="H223" s="57"/>
      <c r="I223" s="57"/>
      <c r="J223" s="39"/>
      <c r="K223" s="31">
        <v>193</v>
      </c>
      <c r="L223" s="234">
        <f t="shared" si="24"/>
        <v>72.664500000000004</v>
      </c>
      <c r="M223" s="234">
        <f t="shared" si="25"/>
        <v>72.664500000000004</v>
      </c>
      <c r="N223" s="234">
        <f t="shared" si="26"/>
        <v>87.236000000000004</v>
      </c>
      <c r="O223" s="234">
        <f t="shared" si="27"/>
        <v>73.147000000000006</v>
      </c>
      <c r="P223" s="234">
        <f t="shared" si="21"/>
        <v>96.307000000000002</v>
      </c>
      <c r="Q223" s="234">
        <f t="shared" si="22"/>
        <v>82.99</v>
      </c>
      <c r="R223" s="234">
        <f t="shared" si="23"/>
        <v>93.218999999999994</v>
      </c>
    </row>
    <row r="224" spans="1:43" x14ac:dyDescent="0.3">
      <c r="A224" s="269" t="s">
        <v>1525</v>
      </c>
      <c r="B224" s="281" t="s">
        <v>546</v>
      </c>
      <c r="C224" s="49" t="s">
        <v>294</v>
      </c>
      <c r="D224" s="49" t="s">
        <v>294</v>
      </c>
      <c r="E224" s="281" t="s">
        <v>547</v>
      </c>
      <c r="F224" s="281"/>
      <c r="G224" s="281"/>
      <c r="H224" s="281"/>
      <c r="I224" s="281"/>
      <c r="J224" s="244"/>
      <c r="K224" s="37">
        <v>204</v>
      </c>
      <c r="L224" s="234">
        <f t="shared" si="24"/>
        <v>76.805999999999997</v>
      </c>
      <c r="M224" s="234">
        <f t="shared" si="25"/>
        <v>76.805999999999997</v>
      </c>
      <c r="N224" s="234">
        <f t="shared" si="26"/>
        <v>92.207999999999998</v>
      </c>
      <c r="O224" s="234">
        <f t="shared" si="27"/>
        <v>77.316000000000003</v>
      </c>
      <c r="P224" s="234">
        <f t="shared" si="21"/>
        <v>101.79600000000001</v>
      </c>
      <c r="Q224" s="234">
        <f t="shared" si="22"/>
        <v>87.72</v>
      </c>
      <c r="R224" s="234">
        <f t="shared" si="23"/>
        <v>98.531999999999996</v>
      </c>
    </row>
    <row r="225" spans="1:43" x14ac:dyDescent="0.3">
      <c r="A225" s="303"/>
      <c r="B225" s="168"/>
      <c r="C225" s="159"/>
      <c r="D225" s="159"/>
      <c r="E225" s="54"/>
      <c r="F225" s="54"/>
      <c r="G225" s="54"/>
      <c r="H225" s="54"/>
      <c r="I225" s="54"/>
      <c r="J225" s="54"/>
      <c r="K225" s="37"/>
      <c r="L225" s="234"/>
      <c r="M225" s="234"/>
      <c r="N225" s="234"/>
      <c r="O225" s="234"/>
      <c r="P225" s="234"/>
      <c r="Q225" s="234"/>
      <c r="R225" s="234"/>
    </row>
    <row r="226" spans="1:43" x14ac:dyDescent="0.3">
      <c r="A226" s="112" t="s">
        <v>548</v>
      </c>
      <c r="B226" s="124"/>
      <c r="C226" s="124"/>
      <c r="D226" s="124"/>
      <c r="E226" s="289"/>
      <c r="F226" s="289"/>
      <c r="G226" s="289"/>
      <c r="H226" s="289"/>
      <c r="I226" s="289"/>
      <c r="J226" s="293"/>
      <c r="K226" s="148"/>
      <c r="L226" s="148"/>
      <c r="M226" s="148"/>
      <c r="N226" s="148"/>
      <c r="O226" s="148"/>
      <c r="P226" s="148"/>
      <c r="Q226" s="148"/>
      <c r="R226" s="148"/>
    </row>
    <row r="227" spans="1:43" s="207" customFormat="1" x14ac:dyDescent="0.3">
      <c r="A227" s="82" t="s">
        <v>1526</v>
      </c>
      <c r="B227" s="82" t="s">
        <v>554</v>
      </c>
      <c r="C227" s="160"/>
      <c r="D227" s="160" t="s">
        <v>294</v>
      </c>
      <c r="E227" s="57"/>
      <c r="F227" s="57" t="s">
        <v>555</v>
      </c>
      <c r="G227" s="57"/>
      <c r="H227" s="57"/>
      <c r="I227" s="57"/>
      <c r="J227" s="39"/>
      <c r="K227" s="31">
        <v>82</v>
      </c>
      <c r="L227" s="234">
        <f t="shared" si="24"/>
        <v>30.873000000000001</v>
      </c>
      <c r="M227" s="234">
        <f t="shared" si="25"/>
        <v>30.873000000000001</v>
      </c>
      <c r="N227" s="234">
        <f t="shared" si="26"/>
        <v>37.064</v>
      </c>
      <c r="O227" s="234">
        <f t="shared" si="27"/>
        <v>31.077999999999999</v>
      </c>
      <c r="P227" s="234">
        <f t="shared" si="21"/>
        <v>40.917999999999999</v>
      </c>
      <c r="Q227" s="234">
        <f t="shared" si="22"/>
        <v>35.26</v>
      </c>
      <c r="R227" s="234">
        <f t="shared" si="23"/>
        <v>39.606000000000002</v>
      </c>
      <c r="S227" s="329"/>
      <c r="T227" s="329"/>
      <c r="U227" s="329"/>
      <c r="V227" s="329"/>
      <c r="W227" s="329"/>
      <c r="X227" s="329"/>
      <c r="Y227" s="329"/>
      <c r="Z227" s="329"/>
      <c r="AA227" s="329"/>
      <c r="AB227" s="329"/>
      <c r="AC227" s="329"/>
      <c r="AD227" s="329"/>
      <c r="AE227" s="329"/>
      <c r="AF227" s="329"/>
      <c r="AG227" s="329"/>
      <c r="AH227" s="329"/>
      <c r="AI227" s="329"/>
      <c r="AJ227" s="329"/>
      <c r="AK227" s="329"/>
      <c r="AL227" s="329"/>
      <c r="AM227" s="329"/>
      <c r="AN227" s="329"/>
      <c r="AO227" s="329"/>
      <c r="AP227" s="329"/>
      <c r="AQ227" s="329"/>
    </row>
    <row r="228" spans="1:43" ht="41.4" x14ac:dyDescent="0.3">
      <c r="A228" s="269" t="s">
        <v>1527</v>
      </c>
      <c r="B228" s="269" t="s">
        <v>1528</v>
      </c>
      <c r="C228" s="49"/>
      <c r="D228" s="49" t="s">
        <v>294</v>
      </c>
      <c r="E228" s="281"/>
      <c r="F228" s="281" t="s">
        <v>549</v>
      </c>
      <c r="G228" s="281"/>
      <c r="H228" s="281" t="s">
        <v>550</v>
      </c>
      <c r="I228" s="281"/>
      <c r="J228" s="281" t="s">
        <v>551</v>
      </c>
      <c r="K228" s="37">
        <v>97</v>
      </c>
      <c r="L228" s="234">
        <f t="shared" si="24"/>
        <v>36.520499999999998</v>
      </c>
      <c r="M228" s="234">
        <f t="shared" si="25"/>
        <v>36.520499999999998</v>
      </c>
      <c r="N228" s="234">
        <f t="shared" si="26"/>
        <v>43.844000000000001</v>
      </c>
      <c r="O228" s="234">
        <f t="shared" si="27"/>
        <v>36.762999999999998</v>
      </c>
      <c r="P228" s="234">
        <f t="shared" si="21"/>
        <v>48.402999999999999</v>
      </c>
      <c r="Q228" s="234">
        <f t="shared" si="22"/>
        <v>41.71</v>
      </c>
      <c r="R228" s="234">
        <f t="shared" si="23"/>
        <v>46.850999999999999</v>
      </c>
    </row>
    <row r="229" spans="1:43" x14ac:dyDescent="0.3">
      <c r="A229" s="269" t="s">
        <v>1529</v>
      </c>
      <c r="B229" s="269" t="s">
        <v>552</v>
      </c>
      <c r="C229" s="49"/>
      <c r="D229" s="49" t="s">
        <v>294</v>
      </c>
      <c r="E229" s="281"/>
      <c r="F229" s="281" t="s">
        <v>553</v>
      </c>
      <c r="G229" s="281"/>
      <c r="H229" s="281"/>
      <c r="I229" s="281"/>
      <c r="J229" s="281"/>
      <c r="K229" s="37">
        <v>179</v>
      </c>
      <c r="L229" s="234">
        <f t="shared" si="24"/>
        <v>67.393500000000003</v>
      </c>
      <c r="M229" s="234">
        <f t="shared" si="25"/>
        <v>67.393500000000003</v>
      </c>
      <c r="N229" s="234">
        <f t="shared" si="26"/>
        <v>80.908000000000001</v>
      </c>
      <c r="O229" s="234">
        <f t="shared" si="27"/>
        <v>67.840999999999994</v>
      </c>
      <c r="P229" s="234">
        <f t="shared" si="21"/>
        <v>89.320999999999998</v>
      </c>
      <c r="Q229" s="234">
        <f t="shared" si="22"/>
        <v>76.97</v>
      </c>
      <c r="R229" s="234">
        <f t="shared" si="23"/>
        <v>86.456999999999994</v>
      </c>
    </row>
    <row r="230" spans="1:43" x14ac:dyDescent="0.3">
      <c r="A230" s="269"/>
      <c r="B230" s="269"/>
      <c r="C230" s="49"/>
      <c r="D230" s="49"/>
      <c r="E230" s="281"/>
      <c r="F230" s="281"/>
      <c r="G230" s="281"/>
      <c r="H230" s="281"/>
      <c r="I230" s="281"/>
      <c r="J230" s="281"/>
      <c r="K230" s="37"/>
      <c r="L230" s="234"/>
      <c r="M230" s="234"/>
      <c r="N230" s="234"/>
      <c r="O230" s="234"/>
      <c r="P230" s="234"/>
      <c r="Q230" s="234"/>
      <c r="R230" s="234"/>
    </row>
    <row r="231" spans="1:43" x14ac:dyDescent="0.3">
      <c r="A231" s="112" t="s">
        <v>340</v>
      </c>
      <c r="B231" s="124"/>
      <c r="C231" s="124"/>
      <c r="D231" s="124"/>
      <c r="E231" s="289"/>
      <c r="F231" s="289"/>
      <c r="G231" s="289"/>
      <c r="H231" s="289"/>
      <c r="I231" s="289"/>
      <c r="J231" s="289"/>
      <c r="K231" s="148"/>
      <c r="L231" s="148"/>
      <c r="M231" s="148"/>
      <c r="N231" s="148"/>
      <c r="O231" s="148"/>
      <c r="P231" s="148"/>
      <c r="Q231" s="148"/>
      <c r="R231" s="148"/>
    </row>
    <row r="232" spans="1:43" x14ac:dyDescent="0.3">
      <c r="A232" s="269" t="s">
        <v>556</v>
      </c>
      <c r="B232" s="269" t="s">
        <v>557</v>
      </c>
      <c r="C232" s="49"/>
      <c r="D232" s="49"/>
      <c r="E232" s="281"/>
      <c r="F232" s="281"/>
      <c r="G232" s="281" t="s">
        <v>558</v>
      </c>
      <c r="H232" s="281" t="s">
        <v>559</v>
      </c>
      <c r="I232" s="281" t="s">
        <v>560</v>
      </c>
      <c r="J232" s="281" t="s">
        <v>561</v>
      </c>
      <c r="K232" s="37">
        <v>3</v>
      </c>
      <c r="L232" s="234">
        <f t="shared" si="24"/>
        <v>1.1294999999999999</v>
      </c>
      <c r="M232" s="234">
        <f t="shared" si="25"/>
        <v>1.1294999999999999</v>
      </c>
      <c r="N232" s="234">
        <f t="shared" si="26"/>
        <v>1.3560000000000001</v>
      </c>
      <c r="O232" s="234">
        <f t="shared" si="27"/>
        <v>1.137</v>
      </c>
      <c r="P232" s="234">
        <f t="shared" si="21"/>
        <v>1.4969999999999999</v>
      </c>
      <c r="Q232" s="234">
        <f t="shared" si="22"/>
        <v>1.29</v>
      </c>
      <c r="R232" s="234">
        <f t="shared" si="23"/>
        <v>1.4489999999999998</v>
      </c>
    </row>
    <row r="233" spans="1:43" x14ac:dyDescent="0.3">
      <c r="A233" s="269" t="s">
        <v>562</v>
      </c>
      <c r="B233" s="269" t="s">
        <v>341</v>
      </c>
      <c r="C233" s="49"/>
      <c r="D233" s="49"/>
      <c r="E233" s="281"/>
      <c r="F233" s="281"/>
      <c r="G233" s="281" t="s">
        <v>563</v>
      </c>
      <c r="H233" s="281" t="s">
        <v>564</v>
      </c>
      <c r="I233" s="281" t="s">
        <v>565</v>
      </c>
      <c r="J233" s="281" t="s">
        <v>566</v>
      </c>
      <c r="K233" s="37">
        <v>82</v>
      </c>
      <c r="L233" s="234">
        <f t="shared" si="24"/>
        <v>30.873000000000001</v>
      </c>
      <c r="M233" s="234">
        <f t="shared" si="25"/>
        <v>30.873000000000001</v>
      </c>
      <c r="N233" s="234">
        <f t="shared" si="26"/>
        <v>37.064</v>
      </c>
      <c r="O233" s="234">
        <f t="shared" si="27"/>
        <v>31.077999999999999</v>
      </c>
      <c r="P233" s="234">
        <f t="shared" si="21"/>
        <v>40.917999999999999</v>
      </c>
      <c r="Q233" s="234">
        <f t="shared" si="22"/>
        <v>35.26</v>
      </c>
      <c r="R233" s="234">
        <f t="shared" si="23"/>
        <v>39.606000000000002</v>
      </c>
    </row>
    <row r="234" spans="1:43" s="330" customFormat="1" x14ac:dyDescent="0.3">
      <c r="A234" s="82" t="s">
        <v>1539</v>
      </c>
      <c r="B234" s="82" t="s">
        <v>1533</v>
      </c>
      <c r="C234" s="160"/>
      <c r="D234" s="160"/>
      <c r="E234" s="57"/>
      <c r="F234" s="57"/>
      <c r="G234" s="57" t="s">
        <v>1540</v>
      </c>
      <c r="H234" s="57" t="s">
        <v>1541</v>
      </c>
      <c r="I234" s="57" t="s">
        <v>1542</v>
      </c>
      <c r="J234" s="57" t="s">
        <v>1543</v>
      </c>
      <c r="K234" s="31">
        <v>82</v>
      </c>
      <c r="L234" s="234">
        <f t="shared" si="24"/>
        <v>30.873000000000001</v>
      </c>
      <c r="M234" s="234">
        <f t="shared" si="25"/>
        <v>30.873000000000001</v>
      </c>
      <c r="N234" s="234">
        <f t="shared" si="26"/>
        <v>37.064</v>
      </c>
      <c r="O234" s="234">
        <f t="shared" si="27"/>
        <v>31.077999999999999</v>
      </c>
      <c r="P234" s="234">
        <f t="shared" si="21"/>
        <v>40.917999999999999</v>
      </c>
      <c r="Q234" s="234">
        <f t="shared" si="22"/>
        <v>35.26</v>
      </c>
      <c r="R234" s="234">
        <f t="shared" si="23"/>
        <v>39.606000000000002</v>
      </c>
      <c r="S234" s="221"/>
      <c r="T234" s="221"/>
      <c r="U234" s="221"/>
      <c r="V234" s="221"/>
      <c r="W234" s="221"/>
      <c r="X234" s="221"/>
      <c r="Y234" s="221"/>
      <c r="Z234" s="221"/>
      <c r="AA234" s="221"/>
      <c r="AB234" s="221"/>
      <c r="AC234" s="221"/>
      <c r="AD234" s="221"/>
      <c r="AE234" s="221"/>
      <c r="AF234" s="221"/>
      <c r="AG234" s="221"/>
      <c r="AH234" s="221"/>
      <c r="AI234" s="221"/>
      <c r="AJ234" s="221"/>
      <c r="AK234" s="221"/>
      <c r="AL234" s="221"/>
      <c r="AM234" s="221"/>
      <c r="AN234" s="221"/>
      <c r="AO234" s="221"/>
      <c r="AP234" s="221"/>
      <c r="AQ234" s="221"/>
    </row>
    <row r="235" spans="1:43" x14ac:dyDescent="0.3">
      <c r="A235" s="269" t="s">
        <v>567</v>
      </c>
      <c r="B235" s="269" t="s">
        <v>347</v>
      </c>
      <c r="C235" s="49"/>
      <c r="D235" s="49"/>
      <c r="E235" s="281"/>
      <c r="F235" s="281"/>
      <c r="G235" s="281" t="s">
        <v>568</v>
      </c>
      <c r="H235" s="281" t="s">
        <v>569</v>
      </c>
      <c r="I235" s="281" t="s">
        <v>570</v>
      </c>
      <c r="J235" s="281" t="s">
        <v>571</v>
      </c>
      <c r="K235" s="37">
        <v>183</v>
      </c>
      <c r="L235" s="234">
        <f t="shared" si="24"/>
        <v>68.899500000000003</v>
      </c>
      <c r="M235" s="234">
        <f t="shared" si="25"/>
        <v>68.899500000000003</v>
      </c>
      <c r="N235" s="234">
        <f t="shared" si="26"/>
        <v>82.716000000000008</v>
      </c>
      <c r="O235" s="234">
        <f t="shared" si="27"/>
        <v>69.356999999999999</v>
      </c>
      <c r="P235" s="234">
        <f t="shared" si="21"/>
        <v>91.316999999999993</v>
      </c>
      <c r="Q235" s="234">
        <f t="shared" si="22"/>
        <v>78.69</v>
      </c>
      <c r="R235" s="234">
        <f t="shared" si="23"/>
        <v>88.388999999999996</v>
      </c>
    </row>
    <row r="236" spans="1:43" x14ac:dyDescent="0.3">
      <c r="A236" s="303"/>
      <c r="B236" s="168"/>
      <c r="C236" s="159"/>
      <c r="D236" s="159"/>
      <c r="E236" s="54"/>
      <c r="F236" s="54"/>
      <c r="G236" s="54"/>
      <c r="H236" s="54"/>
      <c r="I236" s="54"/>
      <c r="J236" s="54"/>
      <c r="K236" s="37"/>
      <c r="L236" s="234"/>
      <c r="M236" s="234"/>
      <c r="N236" s="234"/>
      <c r="O236" s="234"/>
      <c r="P236" s="234"/>
      <c r="Q236" s="234"/>
      <c r="R236" s="234"/>
    </row>
    <row r="237" spans="1:43" x14ac:dyDescent="0.3">
      <c r="A237" s="112" t="s">
        <v>353</v>
      </c>
      <c r="B237" s="124"/>
      <c r="C237" s="124"/>
      <c r="D237" s="124"/>
      <c r="E237" s="289"/>
      <c r="F237" s="289"/>
      <c r="G237" s="289"/>
      <c r="H237" s="289"/>
      <c r="I237" s="289"/>
      <c r="J237" s="293"/>
      <c r="K237" s="148"/>
      <c r="L237" s="148"/>
      <c r="M237" s="148"/>
      <c r="N237" s="148"/>
      <c r="O237" s="148"/>
      <c r="P237" s="148"/>
      <c r="Q237" s="148"/>
      <c r="R237" s="148"/>
    </row>
    <row r="238" spans="1:43" x14ac:dyDescent="0.3">
      <c r="A238" s="82" t="s">
        <v>1694</v>
      </c>
      <c r="B238" s="82" t="s">
        <v>356</v>
      </c>
      <c r="C238" s="160"/>
      <c r="D238" s="160"/>
      <c r="E238" s="57" t="s">
        <v>572</v>
      </c>
      <c r="F238" s="57" t="s">
        <v>573</v>
      </c>
      <c r="G238" s="57"/>
      <c r="H238" s="57"/>
      <c r="I238" s="57"/>
      <c r="J238" s="39"/>
      <c r="K238" s="31">
        <v>0</v>
      </c>
      <c r="L238" s="234">
        <f t="shared" si="24"/>
        <v>0</v>
      </c>
      <c r="M238" s="234">
        <f t="shared" si="25"/>
        <v>0</v>
      </c>
      <c r="N238" s="234">
        <f t="shared" si="26"/>
        <v>0</v>
      </c>
      <c r="O238" s="234">
        <f t="shared" si="27"/>
        <v>0</v>
      </c>
      <c r="P238" s="234">
        <f t="shared" si="21"/>
        <v>0</v>
      </c>
      <c r="Q238" s="234">
        <f t="shared" si="22"/>
        <v>0</v>
      </c>
      <c r="R238" s="234">
        <f t="shared" si="23"/>
        <v>0</v>
      </c>
    </row>
    <row r="239" spans="1:43" x14ac:dyDescent="0.3">
      <c r="A239" s="290" t="s">
        <v>1695</v>
      </c>
      <c r="B239" s="290" t="s">
        <v>576</v>
      </c>
      <c r="C239" s="247"/>
      <c r="D239" s="247"/>
      <c r="E239" s="251" t="s">
        <v>577</v>
      </c>
      <c r="F239" s="251" t="s">
        <v>578</v>
      </c>
      <c r="G239" s="372"/>
      <c r="H239" s="372"/>
      <c r="I239" s="372"/>
      <c r="J239" s="73"/>
      <c r="K239" s="31">
        <v>0</v>
      </c>
      <c r="L239" s="234">
        <f t="shared" si="24"/>
        <v>0</v>
      </c>
      <c r="M239" s="234">
        <f t="shared" si="25"/>
        <v>0</v>
      </c>
      <c r="N239" s="234">
        <f t="shared" si="26"/>
        <v>0</v>
      </c>
      <c r="O239" s="234">
        <f t="shared" si="27"/>
        <v>0</v>
      </c>
      <c r="P239" s="234">
        <f t="shared" si="21"/>
        <v>0</v>
      </c>
      <c r="Q239" s="234">
        <f t="shared" si="22"/>
        <v>0</v>
      </c>
      <c r="R239" s="234">
        <f t="shared" si="23"/>
        <v>0</v>
      </c>
    </row>
    <row r="240" spans="1:43" s="329" customFormat="1" x14ac:dyDescent="0.3">
      <c r="A240" s="269" t="s">
        <v>1696</v>
      </c>
      <c r="B240" s="269" t="s">
        <v>1564</v>
      </c>
      <c r="C240" s="49"/>
      <c r="D240" s="49"/>
      <c r="E240" s="281" t="s">
        <v>579</v>
      </c>
      <c r="F240" s="281" t="s">
        <v>580</v>
      </c>
      <c r="G240" s="281"/>
      <c r="H240" s="281"/>
      <c r="I240" s="281"/>
      <c r="J240" s="244"/>
      <c r="K240" s="37">
        <v>8</v>
      </c>
      <c r="L240" s="234">
        <f t="shared" si="24"/>
        <v>3.012</v>
      </c>
      <c r="M240" s="234">
        <f t="shared" si="25"/>
        <v>3.012</v>
      </c>
      <c r="N240" s="234">
        <f t="shared" si="26"/>
        <v>3.6160000000000001</v>
      </c>
      <c r="O240" s="234">
        <f t="shared" si="27"/>
        <v>3.032</v>
      </c>
      <c r="P240" s="234">
        <f t="shared" si="21"/>
        <v>3.992</v>
      </c>
      <c r="Q240" s="234">
        <f t="shared" si="22"/>
        <v>3.44</v>
      </c>
      <c r="R240" s="234">
        <f t="shared" si="23"/>
        <v>3.8639999999999999</v>
      </c>
    </row>
    <row r="241" spans="1:18" s="216" customFormat="1" x14ac:dyDescent="0.3">
      <c r="A241" s="82" t="s">
        <v>1697</v>
      </c>
      <c r="B241" s="82" t="s">
        <v>584</v>
      </c>
      <c r="C241" s="160"/>
      <c r="D241" s="160"/>
      <c r="E241" s="57" t="s">
        <v>581</v>
      </c>
      <c r="F241" s="57" t="s">
        <v>585</v>
      </c>
      <c r="G241" s="57"/>
      <c r="H241" s="57"/>
      <c r="I241" s="57"/>
      <c r="J241" s="39"/>
      <c r="K241" s="31">
        <v>25</v>
      </c>
      <c r="L241" s="234">
        <f t="shared" si="24"/>
        <v>9.4124999999999996</v>
      </c>
      <c r="M241" s="234">
        <f t="shared" si="25"/>
        <v>9.4124999999999996</v>
      </c>
      <c r="N241" s="234">
        <f t="shared" si="26"/>
        <v>11.3</v>
      </c>
      <c r="O241" s="234">
        <f t="shared" si="27"/>
        <v>9.4749999999999996</v>
      </c>
      <c r="P241" s="234">
        <f t="shared" si="21"/>
        <v>12.475</v>
      </c>
      <c r="Q241" s="234">
        <f t="shared" si="22"/>
        <v>10.75</v>
      </c>
      <c r="R241" s="234">
        <f t="shared" si="23"/>
        <v>12.074999999999999</v>
      </c>
    </row>
    <row r="242" spans="1:18" s="329" customFormat="1" x14ac:dyDescent="0.3">
      <c r="A242" s="82" t="s">
        <v>1698</v>
      </c>
      <c r="B242" s="269" t="s">
        <v>1565</v>
      </c>
      <c r="C242" s="49"/>
      <c r="D242" s="49"/>
      <c r="E242" s="281" t="s">
        <v>582</v>
      </c>
      <c r="F242" s="281" t="s">
        <v>583</v>
      </c>
      <c r="G242" s="281"/>
      <c r="H242" s="281"/>
      <c r="I242" s="281"/>
      <c r="J242" s="244"/>
      <c r="K242" s="37">
        <v>36</v>
      </c>
      <c r="L242" s="234">
        <f t="shared" si="24"/>
        <v>13.554</v>
      </c>
      <c r="M242" s="234">
        <f t="shared" si="25"/>
        <v>13.554</v>
      </c>
      <c r="N242" s="234">
        <f t="shared" si="26"/>
        <v>16.272000000000002</v>
      </c>
      <c r="O242" s="234">
        <f t="shared" si="27"/>
        <v>13.644</v>
      </c>
      <c r="P242" s="234">
        <f t="shared" si="21"/>
        <v>17.963999999999999</v>
      </c>
      <c r="Q242" s="234">
        <f t="shared" si="22"/>
        <v>15.48</v>
      </c>
      <c r="R242" s="234">
        <f t="shared" si="23"/>
        <v>17.387999999999998</v>
      </c>
    </row>
    <row r="243" spans="1:18" s="216" customFormat="1" x14ac:dyDescent="0.3">
      <c r="A243" s="82" t="s">
        <v>1699</v>
      </c>
      <c r="B243" s="82" t="s">
        <v>1566</v>
      </c>
      <c r="C243" s="160"/>
      <c r="D243" s="160"/>
      <c r="E243" s="57" t="s">
        <v>586</v>
      </c>
      <c r="F243" s="57" t="s">
        <v>587</v>
      </c>
      <c r="G243" s="57"/>
      <c r="H243" s="57"/>
      <c r="I243" s="57"/>
      <c r="J243" s="39"/>
      <c r="K243" s="31">
        <v>36</v>
      </c>
      <c r="L243" s="234">
        <f t="shared" si="24"/>
        <v>13.554</v>
      </c>
      <c r="M243" s="234">
        <f t="shared" si="25"/>
        <v>13.554</v>
      </c>
      <c r="N243" s="234">
        <f t="shared" si="26"/>
        <v>16.272000000000002</v>
      </c>
      <c r="O243" s="234">
        <f t="shared" si="27"/>
        <v>13.644</v>
      </c>
      <c r="P243" s="234">
        <f t="shared" si="21"/>
        <v>17.963999999999999</v>
      </c>
      <c r="Q243" s="234">
        <f t="shared" si="22"/>
        <v>15.48</v>
      </c>
      <c r="R243" s="234">
        <f t="shared" si="23"/>
        <v>17.387999999999998</v>
      </c>
    </row>
    <row r="244" spans="1:18" s="329" customFormat="1" x14ac:dyDescent="0.3">
      <c r="A244" s="82" t="s">
        <v>1700</v>
      </c>
      <c r="B244" s="269" t="s">
        <v>1567</v>
      </c>
      <c r="C244" s="49"/>
      <c r="D244" s="49"/>
      <c r="E244" s="281" t="s">
        <v>588</v>
      </c>
      <c r="F244" s="281" t="s">
        <v>589</v>
      </c>
      <c r="G244" s="281"/>
      <c r="H244" s="281"/>
      <c r="I244" s="281"/>
      <c r="J244" s="244"/>
      <c r="K244" s="37">
        <v>41</v>
      </c>
      <c r="L244" s="234">
        <f t="shared" si="24"/>
        <v>15.436500000000001</v>
      </c>
      <c r="M244" s="234">
        <f t="shared" si="25"/>
        <v>15.436500000000001</v>
      </c>
      <c r="N244" s="234">
        <f t="shared" si="26"/>
        <v>18.532</v>
      </c>
      <c r="O244" s="234">
        <f t="shared" si="27"/>
        <v>15.539</v>
      </c>
      <c r="P244" s="234">
        <f t="shared" si="21"/>
        <v>20.459</v>
      </c>
      <c r="Q244" s="234">
        <f t="shared" si="22"/>
        <v>17.63</v>
      </c>
      <c r="R244" s="234">
        <f t="shared" si="23"/>
        <v>19.803000000000001</v>
      </c>
    </row>
    <row r="245" spans="1:18" s="329" customFormat="1" x14ac:dyDescent="0.3">
      <c r="A245" s="82" t="s">
        <v>1701</v>
      </c>
      <c r="B245" s="269" t="s">
        <v>592</v>
      </c>
      <c r="C245" s="49"/>
      <c r="D245" s="49"/>
      <c r="E245" s="281" t="s">
        <v>593</v>
      </c>
      <c r="F245" s="57" t="s">
        <v>594</v>
      </c>
      <c r="G245" s="281"/>
      <c r="H245" s="281"/>
      <c r="I245" s="281"/>
      <c r="J245" s="244"/>
      <c r="K245" s="37">
        <v>91</v>
      </c>
      <c r="L245" s="234">
        <f t="shared" si="24"/>
        <v>34.261499999999998</v>
      </c>
      <c r="M245" s="234">
        <f t="shared" si="25"/>
        <v>34.261499999999998</v>
      </c>
      <c r="N245" s="234">
        <f t="shared" si="26"/>
        <v>41.131999999999998</v>
      </c>
      <c r="O245" s="234">
        <f t="shared" si="27"/>
        <v>34.488999999999997</v>
      </c>
      <c r="P245" s="234">
        <f t="shared" si="21"/>
        <v>45.408999999999999</v>
      </c>
      <c r="Q245" s="234">
        <f t="shared" si="22"/>
        <v>39.130000000000003</v>
      </c>
      <c r="R245" s="234">
        <f t="shared" si="23"/>
        <v>43.952999999999996</v>
      </c>
    </row>
    <row r="246" spans="1:18" s="329" customFormat="1" x14ac:dyDescent="0.3">
      <c r="A246" s="82" t="s">
        <v>1702</v>
      </c>
      <c r="B246" s="269" t="s">
        <v>1568</v>
      </c>
      <c r="C246" s="49"/>
      <c r="D246" s="49"/>
      <c r="E246" s="281" t="s">
        <v>590</v>
      </c>
      <c r="F246" s="281" t="s">
        <v>591</v>
      </c>
      <c r="G246" s="281"/>
      <c r="H246" s="281"/>
      <c r="I246" s="281"/>
      <c r="J246" s="244"/>
      <c r="K246" s="37">
        <v>91</v>
      </c>
      <c r="L246" s="234">
        <f t="shared" si="24"/>
        <v>34.261499999999998</v>
      </c>
      <c r="M246" s="234">
        <f t="shared" si="25"/>
        <v>34.261499999999998</v>
      </c>
      <c r="N246" s="234">
        <f t="shared" si="26"/>
        <v>41.131999999999998</v>
      </c>
      <c r="O246" s="234">
        <f t="shared" si="27"/>
        <v>34.488999999999997</v>
      </c>
      <c r="P246" s="234">
        <f t="shared" si="21"/>
        <v>45.408999999999999</v>
      </c>
      <c r="Q246" s="234">
        <f t="shared" si="22"/>
        <v>39.130000000000003</v>
      </c>
      <c r="R246" s="234">
        <f t="shared" si="23"/>
        <v>43.952999999999996</v>
      </c>
    </row>
    <row r="247" spans="1:18" s="329" customFormat="1" x14ac:dyDescent="0.3">
      <c r="A247" s="82" t="s">
        <v>1703</v>
      </c>
      <c r="B247" s="269" t="s">
        <v>574</v>
      </c>
      <c r="C247" s="49"/>
      <c r="D247" s="49"/>
      <c r="E247" s="57" t="s">
        <v>575</v>
      </c>
      <c r="F247" s="281" t="s">
        <v>595</v>
      </c>
      <c r="G247" s="281"/>
      <c r="H247" s="281"/>
      <c r="I247" s="281"/>
      <c r="J247" s="244"/>
      <c r="K247" s="37">
        <v>104</v>
      </c>
      <c r="L247" s="234">
        <f t="shared" si="24"/>
        <v>39.155999999999999</v>
      </c>
      <c r="M247" s="234">
        <f>K247*$M$9</f>
        <v>39.155999999999999</v>
      </c>
      <c r="N247" s="234">
        <f t="shared" si="26"/>
        <v>47.008000000000003</v>
      </c>
      <c r="O247" s="234">
        <f t="shared" si="27"/>
        <v>39.415999999999997</v>
      </c>
      <c r="P247" s="234">
        <f t="shared" si="21"/>
        <v>51.896000000000001</v>
      </c>
      <c r="Q247" s="234">
        <f t="shared" si="22"/>
        <v>44.72</v>
      </c>
      <c r="R247" s="234">
        <f t="shared" si="23"/>
        <v>50.231999999999999</v>
      </c>
    </row>
    <row r="248" spans="1:18" s="329" customFormat="1" x14ac:dyDescent="0.3">
      <c r="A248" s="303"/>
      <c r="B248" s="168"/>
      <c r="C248" s="159"/>
      <c r="D248" s="159"/>
      <c r="E248" s="54"/>
      <c r="F248" s="54"/>
      <c r="G248" s="54"/>
      <c r="H248" s="54"/>
      <c r="I248" s="54"/>
      <c r="J248" s="54"/>
      <c r="K248" s="37"/>
      <c r="L248" s="234"/>
      <c r="M248" s="234"/>
      <c r="N248" s="234"/>
      <c r="O248" s="234"/>
      <c r="P248" s="234"/>
      <c r="Q248" s="234"/>
      <c r="R248" s="234"/>
    </row>
    <row r="249" spans="1:18" s="329" customFormat="1" x14ac:dyDescent="0.3">
      <c r="A249" s="112" t="s">
        <v>178</v>
      </c>
      <c r="B249" s="119"/>
      <c r="C249" s="119"/>
      <c r="D249" s="119"/>
      <c r="E249" s="293"/>
      <c r="F249" s="293"/>
      <c r="G249" s="293"/>
      <c r="H249" s="293"/>
      <c r="I249" s="293"/>
      <c r="J249" s="293"/>
      <c r="K249" s="148"/>
      <c r="L249" s="148"/>
      <c r="M249" s="148"/>
      <c r="N249" s="148"/>
      <c r="O249" s="148"/>
      <c r="P249" s="148"/>
      <c r="Q249" s="148"/>
      <c r="R249" s="148"/>
    </row>
    <row r="250" spans="1:18" s="329" customFormat="1" x14ac:dyDescent="0.3">
      <c r="A250" s="269" t="s">
        <v>1677</v>
      </c>
      <c r="B250" s="269" t="s">
        <v>1530</v>
      </c>
      <c r="C250" s="49"/>
      <c r="D250" s="49"/>
      <c r="E250" s="281"/>
      <c r="F250" s="281"/>
      <c r="G250" s="281" t="s">
        <v>596</v>
      </c>
      <c r="H250" s="281" t="s">
        <v>597</v>
      </c>
      <c r="I250" s="281"/>
      <c r="J250" s="244"/>
      <c r="K250" s="37">
        <v>0</v>
      </c>
      <c r="L250" s="234">
        <f t="shared" si="24"/>
        <v>0</v>
      </c>
      <c r="M250" s="234">
        <f t="shared" si="25"/>
        <v>0</v>
      </c>
      <c r="N250" s="234">
        <f t="shared" si="26"/>
        <v>0</v>
      </c>
      <c r="O250" s="234">
        <f t="shared" si="27"/>
        <v>0</v>
      </c>
      <c r="P250" s="234">
        <f t="shared" si="21"/>
        <v>0</v>
      </c>
      <c r="Q250" s="234">
        <f t="shared" si="22"/>
        <v>0</v>
      </c>
      <c r="R250" s="234">
        <f t="shared" si="23"/>
        <v>0</v>
      </c>
    </row>
    <row r="251" spans="1:18" s="329" customFormat="1" x14ac:dyDescent="0.3">
      <c r="A251" s="269" t="s">
        <v>1704</v>
      </c>
      <c r="B251" s="269" t="s">
        <v>1556</v>
      </c>
      <c r="C251" s="49"/>
      <c r="D251" s="49"/>
      <c r="E251" s="281"/>
      <c r="F251" s="281"/>
      <c r="G251" s="281" t="s">
        <v>598</v>
      </c>
      <c r="H251" s="281" t="s">
        <v>599</v>
      </c>
      <c r="I251" s="281"/>
      <c r="J251" s="244"/>
      <c r="K251" s="37">
        <v>8</v>
      </c>
      <c r="L251" s="234">
        <f t="shared" si="24"/>
        <v>3.012</v>
      </c>
      <c r="M251" s="234">
        <f t="shared" si="25"/>
        <v>3.012</v>
      </c>
      <c r="N251" s="234">
        <f t="shared" si="26"/>
        <v>3.6160000000000001</v>
      </c>
      <c r="O251" s="234">
        <f t="shared" si="27"/>
        <v>3.032</v>
      </c>
      <c r="P251" s="234">
        <f t="shared" si="21"/>
        <v>3.992</v>
      </c>
      <c r="Q251" s="234">
        <f t="shared" si="22"/>
        <v>3.44</v>
      </c>
      <c r="R251" s="234">
        <f t="shared" si="23"/>
        <v>3.8639999999999999</v>
      </c>
    </row>
    <row r="252" spans="1:18" s="329" customFormat="1" x14ac:dyDescent="0.3">
      <c r="A252" s="269" t="s">
        <v>1705</v>
      </c>
      <c r="B252" s="269" t="s">
        <v>1557</v>
      </c>
      <c r="C252" s="49"/>
      <c r="D252" s="49"/>
      <c r="E252" s="281"/>
      <c r="F252" s="281"/>
      <c r="G252" s="281" t="s">
        <v>600</v>
      </c>
      <c r="H252" s="281" t="s">
        <v>601</v>
      </c>
      <c r="I252" s="281"/>
      <c r="J252" s="244"/>
      <c r="K252" s="37">
        <v>11</v>
      </c>
      <c r="L252" s="234">
        <f t="shared" si="24"/>
        <v>4.1414999999999997</v>
      </c>
      <c r="M252" s="234">
        <f t="shared" si="25"/>
        <v>4.1414999999999997</v>
      </c>
      <c r="N252" s="234">
        <f t="shared" si="26"/>
        <v>4.9720000000000004</v>
      </c>
      <c r="O252" s="234">
        <f t="shared" si="27"/>
        <v>4.1690000000000005</v>
      </c>
      <c r="P252" s="234">
        <f t="shared" si="21"/>
        <v>5.4889999999999999</v>
      </c>
      <c r="Q252" s="234">
        <f t="shared" si="22"/>
        <v>4.7299999999999995</v>
      </c>
      <c r="R252" s="234">
        <f t="shared" si="23"/>
        <v>5.3129999999999997</v>
      </c>
    </row>
    <row r="253" spans="1:18" s="329" customFormat="1" x14ac:dyDescent="0.3">
      <c r="A253" s="269" t="s">
        <v>1679</v>
      </c>
      <c r="B253" s="269" t="s">
        <v>1558</v>
      </c>
      <c r="C253" s="49"/>
      <c r="D253" s="49"/>
      <c r="E253" s="281"/>
      <c r="F253" s="281"/>
      <c r="G253" s="281" t="s">
        <v>602</v>
      </c>
      <c r="H253" s="281" t="s">
        <v>603</v>
      </c>
      <c r="I253" s="281"/>
      <c r="J253" s="244"/>
      <c r="K253" s="37">
        <v>30</v>
      </c>
      <c r="L253" s="234">
        <f t="shared" si="24"/>
        <v>11.295</v>
      </c>
      <c r="M253" s="234">
        <f t="shared" si="25"/>
        <v>11.295</v>
      </c>
      <c r="N253" s="234">
        <f t="shared" si="26"/>
        <v>13.56</v>
      </c>
      <c r="O253" s="234">
        <f t="shared" si="27"/>
        <v>11.370000000000001</v>
      </c>
      <c r="P253" s="234">
        <f t="shared" si="21"/>
        <v>14.97</v>
      </c>
      <c r="Q253" s="234">
        <f t="shared" si="22"/>
        <v>12.9</v>
      </c>
      <c r="R253" s="234">
        <f t="shared" si="23"/>
        <v>14.49</v>
      </c>
    </row>
    <row r="254" spans="1:18" s="329" customFormat="1" x14ac:dyDescent="0.3">
      <c r="A254" s="269" t="s">
        <v>1706</v>
      </c>
      <c r="B254" s="269" t="s">
        <v>1559</v>
      </c>
      <c r="C254" s="49"/>
      <c r="D254" s="49"/>
      <c r="E254" s="281"/>
      <c r="F254" s="281"/>
      <c r="G254" s="281" t="s">
        <v>604</v>
      </c>
      <c r="H254" s="281" t="s">
        <v>605</v>
      </c>
      <c r="I254" s="281"/>
      <c r="J254" s="244"/>
      <c r="K254" s="37">
        <v>36</v>
      </c>
      <c r="L254" s="234">
        <f t="shared" si="24"/>
        <v>13.554</v>
      </c>
      <c r="M254" s="234">
        <f t="shared" si="25"/>
        <v>13.554</v>
      </c>
      <c r="N254" s="234">
        <f t="shared" si="26"/>
        <v>16.272000000000002</v>
      </c>
      <c r="O254" s="234">
        <f t="shared" si="27"/>
        <v>13.644</v>
      </c>
      <c r="P254" s="234">
        <f t="shared" si="21"/>
        <v>17.963999999999999</v>
      </c>
      <c r="Q254" s="234">
        <f t="shared" si="22"/>
        <v>15.48</v>
      </c>
      <c r="R254" s="234">
        <f t="shared" si="23"/>
        <v>17.387999999999998</v>
      </c>
    </row>
    <row r="255" spans="1:18" s="329" customFormat="1" x14ac:dyDescent="0.3">
      <c r="A255" s="269" t="s">
        <v>1682</v>
      </c>
      <c r="B255" s="269" t="s">
        <v>1560</v>
      </c>
      <c r="C255" s="49"/>
      <c r="D255" s="49"/>
      <c r="E255" s="281"/>
      <c r="F255" s="281"/>
      <c r="G255" s="281" t="s">
        <v>606</v>
      </c>
      <c r="H255" s="281" t="s">
        <v>607</v>
      </c>
      <c r="I255" s="281"/>
      <c r="J255" s="244"/>
      <c r="K255" s="37">
        <v>71</v>
      </c>
      <c r="L255" s="234">
        <f t="shared" si="24"/>
        <v>26.7315</v>
      </c>
      <c r="M255" s="234">
        <f t="shared" si="25"/>
        <v>26.7315</v>
      </c>
      <c r="N255" s="234">
        <f t="shared" si="26"/>
        <v>32.091999999999999</v>
      </c>
      <c r="O255" s="234">
        <f t="shared" si="27"/>
        <v>26.908999999999999</v>
      </c>
      <c r="P255" s="234">
        <f t="shared" si="21"/>
        <v>35.429000000000002</v>
      </c>
      <c r="Q255" s="234">
        <f t="shared" si="22"/>
        <v>30.53</v>
      </c>
      <c r="R255" s="234">
        <f t="shared" si="23"/>
        <v>34.292999999999999</v>
      </c>
    </row>
    <row r="256" spans="1:18" x14ac:dyDescent="0.3">
      <c r="A256" s="269" t="s">
        <v>1707</v>
      </c>
      <c r="B256" s="269" t="s">
        <v>1561</v>
      </c>
      <c r="C256" s="49"/>
      <c r="D256" s="49"/>
      <c r="E256" s="281"/>
      <c r="F256" s="281"/>
      <c r="G256" s="281" t="s">
        <v>608</v>
      </c>
      <c r="H256" s="281" t="s">
        <v>609</v>
      </c>
      <c r="I256" s="281"/>
      <c r="J256" s="244"/>
      <c r="K256" s="37">
        <v>82</v>
      </c>
      <c r="L256" s="234">
        <f t="shared" si="24"/>
        <v>30.873000000000001</v>
      </c>
      <c r="M256" s="234">
        <f t="shared" si="25"/>
        <v>30.873000000000001</v>
      </c>
      <c r="N256" s="234">
        <f t="shared" si="26"/>
        <v>37.064</v>
      </c>
      <c r="O256" s="234">
        <f t="shared" si="27"/>
        <v>31.077999999999999</v>
      </c>
      <c r="P256" s="234">
        <f t="shared" si="21"/>
        <v>40.917999999999999</v>
      </c>
      <c r="Q256" s="234">
        <f t="shared" si="22"/>
        <v>35.26</v>
      </c>
      <c r="R256" s="234">
        <f t="shared" si="23"/>
        <v>39.606000000000002</v>
      </c>
    </row>
    <row r="257" spans="1:43" x14ac:dyDescent="0.3">
      <c r="A257" s="269" t="s">
        <v>1708</v>
      </c>
      <c r="B257" s="269" t="s">
        <v>610</v>
      </c>
      <c r="C257" s="49"/>
      <c r="D257" s="49"/>
      <c r="E257" s="281"/>
      <c r="F257" s="281"/>
      <c r="G257" s="281" t="s">
        <v>611</v>
      </c>
      <c r="H257" s="281" t="s">
        <v>615</v>
      </c>
      <c r="I257" s="281"/>
      <c r="J257" s="244"/>
      <c r="K257" s="37">
        <v>117</v>
      </c>
      <c r="L257" s="234">
        <f t="shared" si="24"/>
        <v>44.0505</v>
      </c>
      <c r="M257" s="234">
        <f t="shared" si="25"/>
        <v>44.0505</v>
      </c>
      <c r="N257" s="234">
        <f t="shared" si="26"/>
        <v>52.884</v>
      </c>
      <c r="O257" s="234">
        <f t="shared" si="27"/>
        <v>44.343000000000004</v>
      </c>
      <c r="P257" s="234">
        <f t="shared" si="21"/>
        <v>58.383000000000003</v>
      </c>
      <c r="Q257" s="234">
        <f t="shared" si="22"/>
        <v>50.31</v>
      </c>
      <c r="R257" s="234">
        <f t="shared" si="23"/>
        <v>56.510999999999996</v>
      </c>
    </row>
    <row r="258" spans="1:43" s="310" customFormat="1" x14ac:dyDescent="0.3">
      <c r="A258" s="269" t="s">
        <v>1709</v>
      </c>
      <c r="B258" s="269" t="s">
        <v>1562</v>
      </c>
      <c r="C258" s="49"/>
      <c r="D258" s="49"/>
      <c r="E258" s="281"/>
      <c r="F258" s="281"/>
      <c r="G258" s="281" t="s">
        <v>612</v>
      </c>
      <c r="H258" s="281" t="s">
        <v>613</v>
      </c>
      <c r="I258" s="281"/>
      <c r="J258" s="244"/>
      <c r="K258" s="37">
        <v>117</v>
      </c>
      <c r="L258" s="234">
        <f t="shared" si="24"/>
        <v>44.0505</v>
      </c>
      <c r="M258" s="234">
        <f t="shared" si="25"/>
        <v>44.0505</v>
      </c>
      <c r="N258" s="234">
        <f t="shared" si="26"/>
        <v>52.884</v>
      </c>
      <c r="O258" s="234">
        <f t="shared" si="27"/>
        <v>44.343000000000004</v>
      </c>
      <c r="P258" s="234">
        <f t="shared" si="21"/>
        <v>58.383000000000003</v>
      </c>
      <c r="Q258" s="234">
        <f t="shared" si="22"/>
        <v>50.31</v>
      </c>
      <c r="R258" s="234">
        <f t="shared" si="23"/>
        <v>56.510999999999996</v>
      </c>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row>
    <row r="259" spans="1:43" s="310" customFormat="1" x14ac:dyDescent="0.3">
      <c r="A259" s="269" t="s">
        <v>1710</v>
      </c>
      <c r="B259" s="269" t="s">
        <v>1563</v>
      </c>
      <c r="C259" s="49"/>
      <c r="D259" s="49"/>
      <c r="E259" s="281"/>
      <c r="F259" s="281"/>
      <c r="G259" s="281" t="s">
        <v>614</v>
      </c>
      <c r="H259" s="170" t="s">
        <v>1532</v>
      </c>
      <c r="I259" s="281"/>
      <c r="J259" s="244"/>
      <c r="K259" s="37">
        <v>128</v>
      </c>
      <c r="L259" s="234">
        <f t="shared" si="24"/>
        <v>48.192</v>
      </c>
      <c r="M259" s="234">
        <f t="shared" si="25"/>
        <v>48.192</v>
      </c>
      <c r="N259" s="234">
        <f t="shared" si="26"/>
        <v>57.856000000000002</v>
      </c>
      <c r="O259" s="234">
        <f t="shared" si="27"/>
        <v>48.512</v>
      </c>
      <c r="P259" s="234">
        <f t="shared" si="21"/>
        <v>63.872</v>
      </c>
      <c r="Q259" s="234">
        <f t="shared" si="22"/>
        <v>55.04</v>
      </c>
      <c r="R259" s="234">
        <f t="shared" si="23"/>
        <v>61.823999999999998</v>
      </c>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row>
    <row r="260" spans="1:43" s="42" customFormat="1" x14ac:dyDescent="0.3">
      <c r="A260" s="82" t="s">
        <v>1711</v>
      </c>
      <c r="B260" s="82" t="s">
        <v>616</v>
      </c>
      <c r="C260" s="182"/>
      <c r="D260" s="182"/>
      <c r="E260" s="120"/>
      <c r="F260" s="120"/>
      <c r="G260" s="175" t="s">
        <v>1531</v>
      </c>
      <c r="H260" s="175" t="s">
        <v>617</v>
      </c>
      <c r="I260" s="120"/>
      <c r="J260" s="120"/>
      <c r="K260" s="31">
        <v>158</v>
      </c>
      <c r="L260" s="234">
        <f t="shared" si="24"/>
        <v>59.487000000000002</v>
      </c>
      <c r="M260" s="234">
        <f t="shared" si="25"/>
        <v>59.487000000000002</v>
      </c>
      <c r="N260" s="234">
        <f t="shared" si="26"/>
        <v>71.415999999999997</v>
      </c>
      <c r="O260" s="234">
        <f t="shared" si="27"/>
        <v>59.881999999999998</v>
      </c>
      <c r="P260" s="234">
        <f t="shared" si="21"/>
        <v>78.841999999999999</v>
      </c>
      <c r="Q260" s="234">
        <f t="shared" si="22"/>
        <v>67.94</v>
      </c>
      <c r="R260" s="234">
        <f t="shared" si="23"/>
        <v>76.313999999999993</v>
      </c>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row>
    <row r="261" spans="1:43" s="42" customFormat="1" x14ac:dyDescent="0.3">
      <c r="A261" s="82"/>
      <c r="B261" s="82"/>
      <c r="C261" s="182"/>
      <c r="D261" s="182"/>
      <c r="E261" s="120"/>
      <c r="F261" s="120"/>
      <c r="G261" s="175"/>
      <c r="H261" s="175"/>
      <c r="I261" s="120"/>
      <c r="J261" s="120"/>
      <c r="K261" s="31"/>
      <c r="L261" s="234"/>
      <c r="M261" s="234"/>
      <c r="N261" s="234"/>
      <c r="O261" s="234"/>
      <c r="P261" s="234"/>
      <c r="Q261" s="234"/>
      <c r="R261" s="234"/>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row>
    <row r="262" spans="1:43" s="310" customFormat="1" x14ac:dyDescent="0.3">
      <c r="A262" s="112" t="s">
        <v>618</v>
      </c>
      <c r="B262" s="119"/>
      <c r="C262" s="119"/>
      <c r="D262" s="119"/>
      <c r="E262" s="293"/>
      <c r="F262" s="293"/>
      <c r="G262" s="293"/>
      <c r="H262" s="293"/>
      <c r="I262" s="293"/>
      <c r="J262" s="293"/>
      <c r="K262" s="148"/>
      <c r="L262" s="148"/>
      <c r="M262" s="148"/>
      <c r="N262" s="148"/>
      <c r="O262" s="148"/>
      <c r="P262" s="148"/>
      <c r="Q262" s="148"/>
      <c r="R262" s="148"/>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row>
    <row r="263" spans="1:43" s="310" customFormat="1" x14ac:dyDescent="0.3">
      <c r="A263" s="269" t="s">
        <v>1712</v>
      </c>
      <c r="B263" s="269" t="s">
        <v>399</v>
      </c>
      <c r="C263" s="49"/>
      <c r="D263" s="49"/>
      <c r="E263" s="281"/>
      <c r="F263" s="281"/>
      <c r="G263" s="281"/>
      <c r="H263" s="281"/>
      <c r="I263" s="81" t="s">
        <v>619</v>
      </c>
      <c r="J263" s="281" t="s">
        <v>620</v>
      </c>
      <c r="K263" s="37">
        <v>0</v>
      </c>
      <c r="L263" s="234">
        <f t="shared" si="24"/>
        <v>0</v>
      </c>
      <c r="M263" s="234">
        <f t="shared" si="25"/>
        <v>0</v>
      </c>
      <c r="N263" s="234">
        <f t="shared" si="26"/>
        <v>0</v>
      </c>
      <c r="O263" s="234">
        <f t="shared" si="27"/>
        <v>0</v>
      </c>
      <c r="P263" s="234">
        <f t="shared" si="21"/>
        <v>0</v>
      </c>
      <c r="Q263" s="234">
        <f t="shared" si="22"/>
        <v>0</v>
      </c>
      <c r="R263" s="234">
        <f t="shared" si="23"/>
        <v>0</v>
      </c>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row>
    <row r="264" spans="1:43" s="310" customFormat="1" x14ac:dyDescent="0.3">
      <c r="A264" s="269" t="s">
        <v>1713</v>
      </c>
      <c r="B264" s="269" t="s">
        <v>621</v>
      </c>
      <c r="C264" s="49"/>
      <c r="D264" s="49"/>
      <c r="E264" s="281"/>
      <c r="F264" s="281"/>
      <c r="G264" s="281"/>
      <c r="H264" s="281"/>
      <c r="I264" s="281" t="s">
        <v>622</v>
      </c>
      <c r="J264" s="281" t="s">
        <v>626</v>
      </c>
      <c r="K264" s="37">
        <v>0</v>
      </c>
      <c r="L264" s="234">
        <f t="shared" si="24"/>
        <v>0</v>
      </c>
      <c r="M264" s="234">
        <f t="shared" si="25"/>
        <v>0</v>
      </c>
      <c r="N264" s="234">
        <f t="shared" si="26"/>
        <v>0</v>
      </c>
      <c r="O264" s="234">
        <f t="shared" si="27"/>
        <v>0</v>
      </c>
      <c r="P264" s="234">
        <f t="shared" si="21"/>
        <v>0</v>
      </c>
      <c r="Q264" s="234">
        <f t="shared" si="22"/>
        <v>0</v>
      </c>
      <c r="R264" s="234">
        <f t="shared" si="23"/>
        <v>0</v>
      </c>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row>
    <row r="265" spans="1:43" s="337" customFormat="1" x14ac:dyDescent="0.3">
      <c r="A265" s="82" t="s">
        <v>1714</v>
      </c>
      <c r="B265" s="82" t="s">
        <v>623</v>
      </c>
      <c r="C265" s="160"/>
      <c r="D265" s="160"/>
      <c r="E265" s="57"/>
      <c r="F265" s="57"/>
      <c r="G265" s="57"/>
      <c r="H265" s="57"/>
      <c r="I265" s="57" t="s">
        <v>624</v>
      </c>
      <c r="J265" s="57" t="s">
        <v>625</v>
      </c>
      <c r="K265" s="31">
        <v>8</v>
      </c>
      <c r="L265" s="234">
        <f t="shared" si="24"/>
        <v>3.012</v>
      </c>
      <c r="M265" s="234">
        <f t="shared" si="25"/>
        <v>3.012</v>
      </c>
      <c r="N265" s="234">
        <f t="shared" si="26"/>
        <v>3.6160000000000001</v>
      </c>
      <c r="O265" s="234">
        <f t="shared" si="27"/>
        <v>3.032</v>
      </c>
      <c r="P265" s="234">
        <f t="shared" si="21"/>
        <v>3.992</v>
      </c>
      <c r="Q265" s="234">
        <f t="shared" si="22"/>
        <v>3.44</v>
      </c>
      <c r="R265" s="234">
        <f t="shared" si="23"/>
        <v>3.8639999999999999</v>
      </c>
    </row>
    <row r="266" spans="1:43" s="337" customFormat="1" x14ac:dyDescent="0.3">
      <c r="A266" s="82" t="s">
        <v>1715</v>
      </c>
      <c r="B266" s="82" t="s">
        <v>405</v>
      </c>
      <c r="C266" s="160"/>
      <c r="D266" s="160"/>
      <c r="E266" s="57"/>
      <c r="F266" s="57"/>
      <c r="G266" s="57"/>
      <c r="H266" s="57"/>
      <c r="I266" s="57" t="s">
        <v>627</v>
      </c>
      <c r="J266" s="57"/>
      <c r="K266" s="31">
        <v>30</v>
      </c>
      <c r="L266" s="234">
        <f t="shared" si="24"/>
        <v>11.295</v>
      </c>
      <c r="M266" s="234">
        <f t="shared" si="25"/>
        <v>11.295</v>
      </c>
      <c r="N266" s="234">
        <f t="shared" si="26"/>
        <v>13.56</v>
      </c>
      <c r="O266" s="234">
        <f t="shared" si="27"/>
        <v>11.370000000000001</v>
      </c>
      <c r="P266" s="234">
        <f t="shared" si="21"/>
        <v>14.97</v>
      </c>
      <c r="Q266" s="234">
        <f t="shared" si="22"/>
        <v>12.9</v>
      </c>
      <c r="R266" s="234">
        <f t="shared" si="23"/>
        <v>14.49</v>
      </c>
    </row>
    <row r="267" spans="1:43" s="337" customFormat="1" x14ac:dyDescent="0.3">
      <c r="A267" s="82" t="s">
        <v>1716</v>
      </c>
      <c r="B267" s="82" t="s">
        <v>628</v>
      </c>
      <c r="C267" s="160"/>
      <c r="D267" s="160"/>
      <c r="E267" s="57"/>
      <c r="F267" s="57"/>
      <c r="G267" s="57"/>
      <c r="H267" s="57"/>
      <c r="I267" s="57" t="s">
        <v>629</v>
      </c>
      <c r="J267" s="57"/>
      <c r="K267" s="31">
        <v>30</v>
      </c>
      <c r="L267" s="234">
        <f t="shared" si="24"/>
        <v>11.295</v>
      </c>
      <c r="M267" s="234">
        <f t="shared" si="25"/>
        <v>11.295</v>
      </c>
      <c r="N267" s="234">
        <f t="shared" si="26"/>
        <v>13.56</v>
      </c>
      <c r="O267" s="234">
        <f t="shared" si="27"/>
        <v>11.370000000000001</v>
      </c>
      <c r="P267" s="234">
        <f t="shared" ref="P267:P328" si="28">K267*$P$9</f>
        <v>14.97</v>
      </c>
      <c r="Q267" s="234">
        <f t="shared" ref="Q267:Q328" si="29">K267*$Q$9</f>
        <v>12.9</v>
      </c>
      <c r="R267" s="234">
        <f t="shared" ref="R267:R328" si="30">K267*$R$9</f>
        <v>14.49</v>
      </c>
    </row>
    <row r="268" spans="1:43" s="337" customFormat="1" x14ac:dyDescent="0.3">
      <c r="A268" s="82" t="s">
        <v>1715</v>
      </c>
      <c r="B268" s="82" t="s">
        <v>405</v>
      </c>
      <c r="C268" s="160"/>
      <c r="D268" s="160"/>
      <c r="E268" s="57"/>
      <c r="F268" s="57"/>
      <c r="G268" s="57"/>
      <c r="H268" s="57"/>
      <c r="I268" s="57"/>
      <c r="J268" s="57" t="s">
        <v>630</v>
      </c>
      <c r="K268" s="31">
        <v>36</v>
      </c>
      <c r="L268" s="234">
        <f t="shared" si="24"/>
        <v>13.554</v>
      </c>
      <c r="M268" s="234">
        <f t="shared" si="25"/>
        <v>13.554</v>
      </c>
      <c r="N268" s="234">
        <f t="shared" si="26"/>
        <v>16.272000000000002</v>
      </c>
      <c r="O268" s="234">
        <f t="shared" si="27"/>
        <v>13.644</v>
      </c>
      <c r="P268" s="234">
        <f t="shared" si="28"/>
        <v>17.963999999999999</v>
      </c>
      <c r="Q268" s="234">
        <f t="shared" si="29"/>
        <v>15.48</v>
      </c>
      <c r="R268" s="234">
        <f t="shared" si="30"/>
        <v>17.387999999999998</v>
      </c>
    </row>
    <row r="269" spans="1:43" s="337" customFormat="1" x14ac:dyDescent="0.3">
      <c r="A269" s="82" t="s">
        <v>1716</v>
      </c>
      <c r="B269" s="82" t="s">
        <v>628</v>
      </c>
      <c r="C269" s="160"/>
      <c r="D269" s="160"/>
      <c r="E269" s="57"/>
      <c r="F269" s="57"/>
      <c r="G269" s="57"/>
      <c r="H269" s="57"/>
      <c r="I269" s="57"/>
      <c r="J269" s="57" t="s">
        <v>631</v>
      </c>
      <c r="K269" s="31">
        <v>41</v>
      </c>
      <c r="L269" s="234">
        <f t="shared" si="24"/>
        <v>15.436500000000001</v>
      </c>
      <c r="M269" s="234">
        <f t="shared" si="25"/>
        <v>15.436500000000001</v>
      </c>
      <c r="N269" s="234">
        <f t="shared" si="26"/>
        <v>18.532</v>
      </c>
      <c r="O269" s="234">
        <f t="shared" si="27"/>
        <v>15.539</v>
      </c>
      <c r="P269" s="234">
        <f t="shared" si="28"/>
        <v>20.459</v>
      </c>
      <c r="Q269" s="234">
        <f t="shared" si="29"/>
        <v>17.63</v>
      </c>
      <c r="R269" s="234">
        <f t="shared" si="30"/>
        <v>19.803000000000001</v>
      </c>
    </row>
    <row r="270" spans="1:43" s="339" customFormat="1" x14ac:dyDescent="0.3">
      <c r="A270" s="269" t="s">
        <v>1717</v>
      </c>
      <c r="B270" s="269" t="s">
        <v>632</v>
      </c>
      <c r="C270" s="49"/>
      <c r="D270" s="49"/>
      <c r="E270" s="281"/>
      <c r="F270" s="281"/>
      <c r="G270" s="281"/>
      <c r="H270" s="281"/>
      <c r="I270" s="281" t="s">
        <v>633</v>
      </c>
      <c r="J270" s="281"/>
      <c r="K270" s="37">
        <v>76</v>
      </c>
      <c r="L270" s="234">
        <f t="shared" ref="L270:L333" si="31">K270*$L$9</f>
        <v>28.614000000000001</v>
      </c>
      <c r="M270" s="234">
        <f t="shared" si="25"/>
        <v>28.614000000000001</v>
      </c>
      <c r="N270" s="234">
        <f t="shared" si="26"/>
        <v>34.352000000000004</v>
      </c>
      <c r="O270" s="234">
        <f t="shared" si="27"/>
        <v>28.804000000000002</v>
      </c>
      <c r="P270" s="234">
        <f t="shared" si="28"/>
        <v>37.923999999999999</v>
      </c>
      <c r="Q270" s="234">
        <f t="shared" si="29"/>
        <v>32.68</v>
      </c>
      <c r="R270" s="234">
        <f t="shared" si="30"/>
        <v>36.707999999999998</v>
      </c>
      <c r="S270" s="338"/>
      <c r="T270" s="338"/>
      <c r="U270" s="338"/>
      <c r="V270" s="338"/>
      <c r="W270" s="338"/>
      <c r="X270" s="338"/>
      <c r="Y270" s="338"/>
      <c r="Z270" s="338"/>
      <c r="AA270" s="338"/>
      <c r="AB270" s="338"/>
      <c r="AC270" s="338"/>
      <c r="AD270" s="338"/>
      <c r="AE270" s="338"/>
      <c r="AF270" s="338"/>
      <c r="AG270" s="338"/>
      <c r="AH270" s="338"/>
      <c r="AI270" s="338"/>
      <c r="AJ270" s="338"/>
      <c r="AK270" s="338"/>
      <c r="AL270" s="338"/>
      <c r="AM270" s="338"/>
      <c r="AN270" s="338"/>
      <c r="AO270" s="338"/>
      <c r="AP270" s="338"/>
      <c r="AQ270" s="338"/>
    </row>
    <row r="271" spans="1:43" s="337" customFormat="1" x14ac:dyDescent="0.3">
      <c r="A271" s="82" t="s">
        <v>1717</v>
      </c>
      <c r="B271" s="82" t="s">
        <v>632</v>
      </c>
      <c r="C271" s="160"/>
      <c r="D271" s="160"/>
      <c r="E271" s="57"/>
      <c r="F271" s="57"/>
      <c r="G271" s="57"/>
      <c r="H271" s="57"/>
      <c r="I271" s="57"/>
      <c r="J271" s="57" t="s">
        <v>635</v>
      </c>
      <c r="K271" s="31">
        <v>82</v>
      </c>
      <c r="L271" s="234">
        <f t="shared" si="31"/>
        <v>30.873000000000001</v>
      </c>
      <c r="M271" s="234">
        <f t="shared" si="25"/>
        <v>30.873000000000001</v>
      </c>
      <c r="N271" s="234">
        <f t="shared" si="26"/>
        <v>37.064</v>
      </c>
      <c r="O271" s="234">
        <f t="shared" si="27"/>
        <v>31.077999999999999</v>
      </c>
      <c r="P271" s="234">
        <f t="shared" si="28"/>
        <v>40.917999999999999</v>
      </c>
      <c r="Q271" s="234">
        <f t="shared" si="29"/>
        <v>35.26</v>
      </c>
      <c r="R271" s="234">
        <f t="shared" si="30"/>
        <v>39.606000000000002</v>
      </c>
    </row>
    <row r="272" spans="1:43" s="330" customFormat="1" x14ac:dyDescent="0.3">
      <c r="A272" s="269" t="s">
        <v>1718</v>
      </c>
      <c r="B272" s="340" t="s">
        <v>636</v>
      </c>
      <c r="C272" s="93"/>
      <c r="D272" s="93"/>
      <c r="E272" s="46"/>
      <c r="F272" s="46"/>
      <c r="G272" s="46"/>
      <c r="H272" s="46"/>
      <c r="I272" s="46" t="s">
        <v>634</v>
      </c>
      <c r="J272" s="46"/>
      <c r="K272" s="341">
        <v>82</v>
      </c>
      <c r="L272" s="342">
        <f t="shared" si="31"/>
        <v>30.873000000000001</v>
      </c>
      <c r="M272" s="342">
        <f t="shared" ref="M272:M336" si="32">K272*$M$9</f>
        <v>30.873000000000001</v>
      </c>
      <c r="N272" s="342">
        <f t="shared" ref="N272:N336" si="33">K272*$N$9</f>
        <v>37.064</v>
      </c>
      <c r="O272" s="342">
        <f t="shared" ref="O272:O336" si="34">K272*$O$9</f>
        <v>31.077999999999999</v>
      </c>
      <c r="P272" s="342">
        <f t="shared" si="28"/>
        <v>40.917999999999999</v>
      </c>
      <c r="Q272" s="342">
        <f t="shared" si="29"/>
        <v>35.26</v>
      </c>
      <c r="R272" s="342">
        <f t="shared" si="30"/>
        <v>39.606000000000002</v>
      </c>
      <c r="S272" s="221"/>
      <c r="T272" s="221"/>
      <c r="U272" s="221"/>
      <c r="V272" s="221"/>
      <c r="W272" s="221"/>
      <c r="X272" s="221"/>
      <c r="Y272" s="221"/>
      <c r="Z272" s="221"/>
      <c r="AA272" s="221"/>
      <c r="AB272" s="221"/>
      <c r="AC272" s="221"/>
      <c r="AD272" s="221"/>
      <c r="AE272" s="221"/>
      <c r="AF272" s="221"/>
      <c r="AG272" s="221"/>
      <c r="AH272" s="221"/>
      <c r="AI272" s="221"/>
      <c r="AJ272" s="221"/>
      <c r="AK272" s="221"/>
      <c r="AL272" s="221"/>
      <c r="AM272" s="221"/>
      <c r="AN272" s="221"/>
      <c r="AO272" s="221"/>
      <c r="AP272" s="221"/>
      <c r="AQ272" s="221"/>
    </row>
    <row r="273" spans="1:43" s="330" customFormat="1" x14ac:dyDescent="0.3">
      <c r="A273" s="269" t="s">
        <v>1718</v>
      </c>
      <c r="B273" s="269" t="s">
        <v>636</v>
      </c>
      <c r="C273" s="49"/>
      <c r="D273" s="49"/>
      <c r="E273" s="281"/>
      <c r="F273" s="281"/>
      <c r="G273" s="281"/>
      <c r="H273" s="281"/>
      <c r="I273" s="281"/>
      <c r="J273" s="281" t="s">
        <v>637</v>
      </c>
      <c r="K273" s="37">
        <v>91</v>
      </c>
      <c r="L273" s="234">
        <f t="shared" si="31"/>
        <v>34.261499999999998</v>
      </c>
      <c r="M273" s="234">
        <f t="shared" si="32"/>
        <v>34.261499999999998</v>
      </c>
      <c r="N273" s="234">
        <f t="shared" si="33"/>
        <v>41.131999999999998</v>
      </c>
      <c r="O273" s="234">
        <f t="shared" si="34"/>
        <v>34.488999999999997</v>
      </c>
      <c r="P273" s="234">
        <f t="shared" si="28"/>
        <v>45.408999999999999</v>
      </c>
      <c r="Q273" s="234">
        <f t="shared" si="29"/>
        <v>39.130000000000003</v>
      </c>
      <c r="R273" s="234">
        <f t="shared" si="30"/>
        <v>43.952999999999996</v>
      </c>
      <c r="S273" s="221"/>
      <c r="T273" s="221"/>
      <c r="U273" s="221"/>
      <c r="V273" s="221"/>
      <c r="W273" s="221"/>
      <c r="X273" s="221"/>
      <c r="Y273" s="221"/>
      <c r="Z273" s="221"/>
      <c r="AA273" s="221"/>
      <c r="AB273" s="221"/>
      <c r="AC273" s="221"/>
      <c r="AD273" s="221"/>
      <c r="AE273" s="221"/>
      <c r="AF273" s="221"/>
      <c r="AG273" s="221"/>
      <c r="AH273" s="221"/>
      <c r="AI273" s="221"/>
      <c r="AJ273" s="221"/>
      <c r="AK273" s="221"/>
      <c r="AL273" s="221"/>
      <c r="AM273" s="221"/>
      <c r="AN273" s="221"/>
      <c r="AO273" s="221"/>
      <c r="AP273" s="221"/>
      <c r="AQ273" s="221"/>
    </row>
    <row r="274" spans="1:43" s="330" customFormat="1" x14ac:dyDescent="0.3">
      <c r="A274" s="269" t="s">
        <v>1719</v>
      </c>
      <c r="B274" s="269" t="s">
        <v>638</v>
      </c>
      <c r="C274" s="49"/>
      <c r="D274" s="49"/>
      <c r="E274" s="281"/>
      <c r="F274" s="281"/>
      <c r="G274" s="281"/>
      <c r="H274" s="281"/>
      <c r="I274" s="281" t="s">
        <v>639</v>
      </c>
      <c r="J274" s="281"/>
      <c r="K274" s="37">
        <v>151</v>
      </c>
      <c r="L274" s="234">
        <f t="shared" si="31"/>
        <v>56.851500000000001</v>
      </c>
      <c r="M274" s="234">
        <f t="shared" si="32"/>
        <v>56.851500000000001</v>
      </c>
      <c r="N274" s="234">
        <f t="shared" si="33"/>
        <v>68.251999999999995</v>
      </c>
      <c r="O274" s="234">
        <f t="shared" si="34"/>
        <v>57.228999999999999</v>
      </c>
      <c r="P274" s="234">
        <f t="shared" si="28"/>
        <v>75.349000000000004</v>
      </c>
      <c r="Q274" s="234">
        <f t="shared" si="29"/>
        <v>64.929999999999993</v>
      </c>
      <c r="R274" s="234">
        <f t="shared" si="30"/>
        <v>72.932999999999993</v>
      </c>
      <c r="S274" s="221"/>
      <c r="T274" s="221"/>
      <c r="U274" s="221"/>
      <c r="V274" s="221"/>
      <c r="W274" s="221"/>
      <c r="X274" s="221"/>
      <c r="Y274" s="221"/>
      <c r="Z274" s="221"/>
      <c r="AA274" s="221"/>
      <c r="AB274" s="221"/>
      <c r="AC274" s="221"/>
      <c r="AD274" s="221"/>
      <c r="AE274" s="221"/>
      <c r="AF274" s="221"/>
      <c r="AG274" s="221"/>
      <c r="AH274" s="221"/>
      <c r="AI274" s="221"/>
      <c r="AJ274" s="221"/>
      <c r="AK274" s="221"/>
      <c r="AL274" s="221"/>
      <c r="AM274" s="221"/>
      <c r="AN274" s="221"/>
      <c r="AO274" s="221"/>
      <c r="AP274" s="221"/>
      <c r="AQ274" s="221"/>
    </row>
    <row r="275" spans="1:43" s="330" customFormat="1" x14ac:dyDescent="0.3">
      <c r="A275" s="82" t="s">
        <v>1720</v>
      </c>
      <c r="B275" s="269" t="s">
        <v>640</v>
      </c>
      <c r="C275" s="49"/>
      <c r="D275" s="49"/>
      <c r="E275" s="281"/>
      <c r="F275" s="281"/>
      <c r="G275" s="281"/>
      <c r="H275" s="281"/>
      <c r="I275" s="281" t="s">
        <v>641</v>
      </c>
      <c r="J275" s="281" t="s">
        <v>643</v>
      </c>
      <c r="K275" s="37">
        <v>151</v>
      </c>
      <c r="L275" s="234">
        <f t="shared" si="31"/>
        <v>56.851500000000001</v>
      </c>
      <c r="M275" s="234">
        <f t="shared" si="32"/>
        <v>56.851500000000001</v>
      </c>
      <c r="N275" s="234">
        <f t="shared" si="33"/>
        <v>68.251999999999995</v>
      </c>
      <c r="O275" s="234">
        <f t="shared" si="34"/>
        <v>57.228999999999999</v>
      </c>
      <c r="P275" s="234">
        <f t="shared" si="28"/>
        <v>75.349000000000004</v>
      </c>
      <c r="Q275" s="234">
        <f t="shared" si="29"/>
        <v>64.929999999999993</v>
      </c>
      <c r="R275" s="234">
        <f t="shared" si="30"/>
        <v>72.932999999999993</v>
      </c>
      <c r="S275" s="221"/>
      <c r="T275" s="221"/>
      <c r="U275" s="221"/>
      <c r="V275" s="221"/>
      <c r="W275" s="221"/>
      <c r="X275" s="221"/>
      <c r="Y275" s="221"/>
      <c r="Z275" s="221"/>
      <c r="AA275" s="221"/>
      <c r="AB275" s="221"/>
      <c r="AC275" s="221"/>
      <c r="AD275" s="221"/>
      <c r="AE275" s="221"/>
      <c r="AF275" s="221"/>
      <c r="AG275" s="221"/>
      <c r="AH275" s="221"/>
      <c r="AI275" s="221"/>
      <c r="AJ275" s="221"/>
      <c r="AK275" s="221"/>
      <c r="AL275" s="221"/>
      <c r="AM275" s="221"/>
      <c r="AN275" s="221"/>
      <c r="AO275" s="221"/>
      <c r="AP275" s="221"/>
      <c r="AQ275" s="221"/>
    </row>
    <row r="276" spans="1:43" s="330" customFormat="1" x14ac:dyDescent="0.3">
      <c r="A276" s="269" t="s">
        <v>1721</v>
      </c>
      <c r="B276" s="269" t="s">
        <v>644</v>
      </c>
      <c r="C276" s="49"/>
      <c r="D276" s="49"/>
      <c r="E276" s="281"/>
      <c r="F276" s="281"/>
      <c r="G276" s="281"/>
      <c r="H276" s="281"/>
      <c r="I276" s="281" t="s">
        <v>642</v>
      </c>
      <c r="J276" s="57" t="s">
        <v>645</v>
      </c>
      <c r="K276" s="37">
        <v>151</v>
      </c>
      <c r="L276" s="234">
        <f t="shared" si="31"/>
        <v>56.851500000000001</v>
      </c>
      <c r="M276" s="234">
        <f t="shared" si="32"/>
        <v>56.851500000000001</v>
      </c>
      <c r="N276" s="234">
        <f t="shared" si="33"/>
        <v>68.251999999999995</v>
      </c>
      <c r="O276" s="234">
        <f t="shared" si="34"/>
        <v>57.228999999999999</v>
      </c>
      <c r="P276" s="234">
        <f t="shared" si="28"/>
        <v>75.349000000000004</v>
      </c>
      <c r="Q276" s="234">
        <f t="shared" si="29"/>
        <v>64.929999999999993</v>
      </c>
      <c r="R276" s="234">
        <f t="shared" si="30"/>
        <v>72.932999999999993</v>
      </c>
      <c r="S276" s="221"/>
      <c r="T276" s="221"/>
      <c r="U276" s="221"/>
      <c r="V276" s="221"/>
      <c r="W276" s="221"/>
      <c r="X276" s="221"/>
      <c r="Y276" s="221"/>
      <c r="Z276" s="221"/>
      <c r="AA276" s="221"/>
      <c r="AB276" s="221"/>
      <c r="AC276" s="221"/>
      <c r="AD276" s="221"/>
      <c r="AE276" s="221"/>
      <c r="AF276" s="221"/>
      <c r="AG276" s="221"/>
      <c r="AH276" s="221"/>
      <c r="AI276" s="221"/>
      <c r="AJ276" s="221"/>
      <c r="AK276" s="221"/>
      <c r="AL276" s="221"/>
      <c r="AM276" s="221"/>
      <c r="AN276" s="221"/>
      <c r="AO276" s="221"/>
      <c r="AP276" s="221"/>
      <c r="AQ276" s="221"/>
    </row>
    <row r="277" spans="1:43" s="330" customFormat="1" x14ac:dyDescent="0.3">
      <c r="A277" s="269"/>
      <c r="B277" s="269"/>
      <c r="C277" s="49"/>
      <c r="D277" s="49"/>
      <c r="E277" s="281"/>
      <c r="F277" s="281"/>
      <c r="G277" s="281"/>
      <c r="H277" s="281"/>
      <c r="I277" s="281"/>
      <c r="J277" s="57"/>
      <c r="K277" s="37"/>
      <c r="L277" s="234"/>
      <c r="M277" s="234"/>
      <c r="N277" s="234"/>
      <c r="O277" s="234"/>
      <c r="P277" s="234"/>
      <c r="Q277" s="234"/>
      <c r="R277" s="234"/>
      <c r="S277" s="221"/>
      <c r="T277" s="221"/>
      <c r="U277" s="221"/>
      <c r="V277" s="221"/>
      <c r="W277" s="221"/>
      <c r="X277" s="221"/>
      <c r="Y277" s="221"/>
      <c r="Z277" s="221"/>
      <c r="AA277" s="221"/>
      <c r="AB277" s="221"/>
      <c r="AC277" s="221"/>
      <c r="AD277" s="221"/>
      <c r="AE277" s="221"/>
      <c r="AF277" s="221"/>
      <c r="AG277" s="221"/>
      <c r="AH277" s="221"/>
      <c r="AI277" s="221"/>
      <c r="AJ277" s="221"/>
      <c r="AK277" s="221"/>
      <c r="AL277" s="221"/>
      <c r="AM277" s="221"/>
      <c r="AN277" s="221"/>
      <c r="AO277" s="221"/>
      <c r="AP277" s="221"/>
      <c r="AQ277" s="221"/>
    </row>
    <row r="278" spans="1:43" s="330" customFormat="1" x14ac:dyDescent="0.3">
      <c r="A278" s="112" t="s">
        <v>204</v>
      </c>
      <c r="B278" s="119"/>
      <c r="C278" s="119"/>
      <c r="D278" s="119"/>
      <c r="E278" s="293"/>
      <c r="F278" s="293"/>
      <c r="G278" s="293"/>
      <c r="H278" s="293"/>
      <c r="I278" s="293"/>
      <c r="J278" s="289"/>
      <c r="K278" s="148"/>
      <c r="L278" s="148"/>
      <c r="M278" s="148"/>
      <c r="N278" s="148"/>
      <c r="O278" s="148"/>
      <c r="P278" s="148"/>
      <c r="Q278" s="148"/>
      <c r="R278" s="148"/>
      <c r="S278" s="221"/>
      <c r="T278" s="221"/>
      <c r="U278" s="221"/>
      <c r="V278" s="221"/>
      <c r="W278" s="221"/>
      <c r="X278" s="221"/>
      <c r="Y278" s="221"/>
      <c r="Z278" s="221"/>
      <c r="AA278" s="221"/>
      <c r="AB278" s="221"/>
      <c r="AC278" s="221"/>
      <c r="AD278" s="221"/>
      <c r="AE278" s="221"/>
      <c r="AF278" s="221"/>
      <c r="AG278" s="221"/>
      <c r="AH278" s="221"/>
      <c r="AI278" s="221"/>
      <c r="AJ278" s="221"/>
      <c r="AK278" s="221"/>
      <c r="AL278" s="221"/>
      <c r="AM278" s="221"/>
      <c r="AN278" s="221"/>
      <c r="AO278" s="221"/>
      <c r="AP278" s="221"/>
      <c r="AQ278" s="221"/>
    </row>
    <row r="279" spans="1:43" s="310" customFormat="1" x14ac:dyDescent="0.3">
      <c r="A279" s="269" t="s">
        <v>1639</v>
      </c>
      <c r="B279" s="269" t="s">
        <v>646</v>
      </c>
      <c r="C279" s="49"/>
      <c r="D279" s="49"/>
      <c r="E279" s="281" t="s">
        <v>647</v>
      </c>
      <c r="F279" s="281" t="s">
        <v>648</v>
      </c>
      <c r="G279" s="281" t="s">
        <v>649</v>
      </c>
      <c r="H279" s="281" t="s">
        <v>650</v>
      </c>
      <c r="I279" s="281" t="s">
        <v>651</v>
      </c>
      <c r="J279" s="281" t="s">
        <v>652</v>
      </c>
      <c r="K279" s="37">
        <v>82</v>
      </c>
      <c r="L279" s="234">
        <f t="shared" si="31"/>
        <v>30.873000000000001</v>
      </c>
      <c r="M279" s="234">
        <f t="shared" si="32"/>
        <v>30.873000000000001</v>
      </c>
      <c r="N279" s="234">
        <f t="shared" si="33"/>
        <v>37.064</v>
      </c>
      <c r="O279" s="234">
        <f t="shared" si="34"/>
        <v>31.077999999999999</v>
      </c>
      <c r="P279" s="234">
        <f t="shared" si="28"/>
        <v>40.917999999999999</v>
      </c>
      <c r="Q279" s="234">
        <f t="shared" si="29"/>
        <v>35.26</v>
      </c>
      <c r="R279" s="234">
        <f t="shared" si="30"/>
        <v>39.606000000000002</v>
      </c>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row>
    <row r="280" spans="1:43" s="310" customFormat="1" x14ac:dyDescent="0.3">
      <c r="A280" s="29"/>
      <c r="B280" s="29"/>
      <c r="C280" s="29"/>
      <c r="D280" s="29"/>
      <c r="E280" s="188"/>
      <c r="F280" s="188"/>
      <c r="G280" s="188"/>
      <c r="H280" s="188"/>
      <c r="I280" s="188"/>
      <c r="J280" s="188"/>
      <c r="K280" s="37"/>
      <c r="L280" s="234"/>
      <c r="M280" s="234"/>
      <c r="N280" s="234"/>
      <c r="O280" s="234"/>
      <c r="P280" s="234"/>
      <c r="Q280" s="234"/>
      <c r="R280" s="234"/>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row>
    <row r="281" spans="1:43" s="310" customFormat="1" x14ac:dyDescent="0.3">
      <c r="A281" s="112" t="s">
        <v>653</v>
      </c>
      <c r="B281" s="119"/>
      <c r="C281" s="119"/>
      <c r="D281" s="119"/>
      <c r="E281" s="293"/>
      <c r="F281" s="293"/>
      <c r="G281" s="293"/>
      <c r="H281" s="293"/>
      <c r="I281" s="293"/>
      <c r="J281" s="289"/>
      <c r="K281" s="148"/>
      <c r="L281" s="148"/>
      <c r="M281" s="148"/>
      <c r="N281" s="148"/>
      <c r="O281" s="148"/>
      <c r="P281" s="148"/>
      <c r="Q281" s="148"/>
      <c r="R281" s="148"/>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row>
    <row r="282" spans="1:43" s="330" customFormat="1" x14ac:dyDescent="0.3">
      <c r="A282" s="80" t="s">
        <v>654</v>
      </c>
      <c r="B282" s="269" t="s">
        <v>655</v>
      </c>
      <c r="C282" s="49"/>
      <c r="D282" s="49"/>
      <c r="E282" s="281"/>
      <c r="F282" s="281"/>
      <c r="G282" s="281"/>
      <c r="H282" s="281"/>
      <c r="I282" s="281" t="s">
        <v>656</v>
      </c>
      <c r="J282" s="281" t="s">
        <v>657</v>
      </c>
      <c r="K282" s="37">
        <v>15</v>
      </c>
      <c r="L282" s="234">
        <f t="shared" si="31"/>
        <v>5.6475</v>
      </c>
      <c r="M282" s="234">
        <f t="shared" si="32"/>
        <v>5.6475</v>
      </c>
      <c r="N282" s="234">
        <f t="shared" si="33"/>
        <v>6.78</v>
      </c>
      <c r="O282" s="234">
        <f t="shared" si="34"/>
        <v>5.6850000000000005</v>
      </c>
      <c r="P282" s="234">
        <f t="shared" si="28"/>
        <v>7.4850000000000003</v>
      </c>
      <c r="Q282" s="234">
        <f t="shared" si="29"/>
        <v>6.45</v>
      </c>
      <c r="R282" s="234">
        <f t="shared" si="30"/>
        <v>7.2450000000000001</v>
      </c>
      <c r="S282" s="221"/>
      <c r="T282" s="221"/>
      <c r="U282" s="221"/>
      <c r="V282" s="221"/>
      <c r="W282" s="221"/>
      <c r="X282" s="221"/>
      <c r="Y282" s="221"/>
      <c r="Z282" s="221"/>
      <c r="AA282" s="221"/>
      <c r="AB282" s="221"/>
      <c r="AC282" s="221"/>
      <c r="AD282" s="221"/>
      <c r="AE282" s="221"/>
      <c r="AF282" s="221"/>
      <c r="AG282" s="221"/>
      <c r="AH282" s="221"/>
      <c r="AI282" s="221"/>
      <c r="AJ282" s="221"/>
      <c r="AK282" s="221"/>
      <c r="AL282" s="221"/>
      <c r="AM282" s="221"/>
      <c r="AN282" s="221"/>
      <c r="AO282" s="221"/>
      <c r="AP282" s="221"/>
      <c r="AQ282" s="221"/>
    </row>
    <row r="283" spans="1:43" s="330" customFormat="1" x14ac:dyDescent="0.3">
      <c r="A283" s="29"/>
      <c r="B283" s="29"/>
      <c r="C283" s="229"/>
      <c r="D283" s="229"/>
      <c r="E283" s="188"/>
      <c r="F283" s="188"/>
      <c r="G283" s="188"/>
      <c r="H283" s="188"/>
      <c r="I283" s="188"/>
      <c r="J283" s="188"/>
      <c r="K283" s="37"/>
      <c r="L283" s="234"/>
      <c r="M283" s="234"/>
      <c r="N283" s="234"/>
      <c r="O283" s="234"/>
      <c r="P283" s="234"/>
      <c r="Q283" s="234"/>
      <c r="R283" s="234"/>
      <c r="S283" s="221"/>
      <c r="T283" s="221"/>
      <c r="U283" s="221"/>
      <c r="V283" s="221"/>
      <c r="W283" s="221"/>
      <c r="X283" s="221"/>
      <c r="Y283" s="221"/>
      <c r="Z283" s="221"/>
      <c r="AA283" s="221"/>
      <c r="AB283" s="221"/>
      <c r="AC283" s="221"/>
      <c r="AD283" s="221"/>
      <c r="AE283" s="221"/>
      <c r="AF283" s="221"/>
      <c r="AG283" s="221"/>
      <c r="AH283" s="221"/>
      <c r="AI283" s="221"/>
      <c r="AJ283" s="221"/>
      <c r="AK283" s="221"/>
      <c r="AL283" s="221"/>
      <c r="AM283" s="221"/>
      <c r="AN283" s="221"/>
      <c r="AO283" s="221"/>
      <c r="AP283" s="221"/>
      <c r="AQ283" s="221"/>
    </row>
    <row r="284" spans="1:43" s="330" customFormat="1" x14ac:dyDescent="0.3">
      <c r="A284" s="112" t="s">
        <v>658</v>
      </c>
      <c r="B284" s="119"/>
      <c r="C284" s="119"/>
      <c r="D284" s="119"/>
      <c r="E284" s="293"/>
      <c r="F284" s="293"/>
      <c r="G284" s="293"/>
      <c r="H284" s="293"/>
      <c r="I284" s="293"/>
      <c r="J284" s="289"/>
      <c r="K284" s="148"/>
      <c r="L284" s="148"/>
      <c r="M284" s="148"/>
      <c r="N284" s="148"/>
      <c r="O284" s="148"/>
      <c r="P284" s="148"/>
      <c r="Q284" s="148"/>
      <c r="R284" s="148"/>
      <c r="S284" s="221"/>
      <c r="T284" s="221"/>
      <c r="U284" s="221"/>
      <c r="V284" s="221"/>
      <c r="W284" s="221"/>
      <c r="X284" s="221"/>
      <c r="Y284" s="221"/>
      <c r="Z284" s="221"/>
      <c r="AA284" s="221"/>
      <c r="AB284" s="221"/>
      <c r="AC284" s="221"/>
      <c r="AD284" s="221"/>
      <c r="AE284" s="221"/>
      <c r="AF284" s="221"/>
      <c r="AG284" s="221"/>
      <c r="AH284" s="221"/>
      <c r="AI284" s="221"/>
      <c r="AJ284" s="221"/>
      <c r="AK284" s="221"/>
      <c r="AL284" s="221"/>
      <c r="AM284" s="221"/>
      <c r="AN284" s="221"/>
      <c r="AO284" s="221"/>
      <c r="AP284" s="221"/>
      <c r="AQ284" s="221"/>
    </row>
    <row r="285" spans="1:43" s="226" customFormat="1" x14ac:dyDescent="0.3">
      <c r="A285" s="82" t="s">
        <v>435</v>
      </c>
      <c r="B285" s="82" t="s">
        <v>436</v>
      </c>
      <c r="C285" s="160"/>
      <c r="D285" s="160"/>
      <c r="E285" s="57" t="s">
        <v>659</v>
      </c>
      <c r="F285" s="57" t="s">
        <v>660</v>
      </c>
      <c r="G285" s="57" t="s">
        <v>661</v>
      </c>
      <c r="H285" s="57" t="s">
        <v>662</v>
      </c>
      <c r="I285" s="57" t="s">
        <v>663</v>
      </c>
      <c r="J285" s="57" t="s">
        <v>664</v>
      </c>
      <c r="K285" s="31">
        <v>5</v>
      </c>
      <c r="L285" s="234">
        <f t="shared" si="31"/>
        <v>1.8825000000000001</v>
      </c>
      <c r="M285" s="234">
        <f t="shared" si="32"/>
        <v>1.8825000000000001</v>
      </c>
      <c r="N285" s="234">
        <f t="shared" si="33"/>
        <v>2.2600000000000002</v>
      </c>
      <c r="O285" s="234">
        <f t="shared" si="34"/>
        <v>1.895</v>
      </c>
      <c r="P285" s="234">
        <f t="shared" si="28"/>
        <v>2.4950000000000001</v>
      </c>
      <c r="Q285" s="234">
        <f t="shared" si="29"/>
        <v>2.15</v>
      </c>
      <c r="R285" s="234">
        <f t="shared" si="30"/>
        <v>2.415</v>
      </c>
    </row>
    <row r="286" spans="1:43" s="330" customFormat="1" x14ac:dyDescent="0.3">
      <c r="A286" s="303"/>
      <c r="B286" s="168"/>
      <c r="C286" s="159"/>
      <c r="D286" s="159"/>
      <c r="E286" s="54"/>
      <c r="F286" s="54"/>
      <c r="G286" s="54"/>
      <c r="H286" s="54"/>
      <c r="I286" s="54"/>
      <c r="J286" s="63"/>
      <c r="K286" s="37"/>
      <c r="L286" s="234"/>
      <c r="M286" s="234"/>
      <c r="N286" s="234"/>
      <c r="O286" s="234"/>
      <c r="P286" s="234"/>
      <c r="Q286" s="234"/>
      <c r="R286" s="234"/>
      <c r="S286" s="221"/>
      <c r="T286" s="221"/>
      <c r="U286" s="221"/>
      <c r="V286" s="221"/>
      <c r="W286" s="221"/>
      <c r="X286" s="221"/>
      <c r="Y286" s="221"/>
      <c r="Z286" s="221"/>
      <c r="AA286" s="221"/>
      <c r="AB286" s="221"/>
      <c r="AC286" s="221"/>
      <c r="AD286" s="221"/>
      <c r="AE286" s="221"/>
      <c r="AF286" s="221"/>
      <c r="AG286" s="221"/>
      <c r="AH286" s="221"/>
      <c r="AI286" s="221"/>
      <c r="AJ286" s="221"/>
      <c r="AK286" s="221"/>
      <c r="AL286" s="221"/>
      <c r="AM286" s="221"/>
      <c r="AN286" s="221"/>
      <c r="AO286" s="221"/>
      <c r="AP286" s="221"/>
      <c r="AQ286" s="221"/>
    </row>
    <row r="287" spans="1:43" x14ac:dyDescent="0.3">
      <c r="A287" s="112" t="s">
        <v>226</v>
      </c>
      <c r="B287" s="119"/>
      <c r="C287" s="119"/>
      <c r="D287" s="119"/>
      <c r="E287" s="293"/>
      <c r="F287" s="293"/>
      <c r="G287" s="293"/>
      <c r="H287" s="293"/>
      <c r="I287" s="293"/>
      <c r="J287" s="289"/>
      <c r="K287" s="148"/>
      <c r="L287" s="148"/>
      <c r="M287" s="148"/>
      <c r="N287" s="148"/>
      <c r="O287" s="148"/>
      <c r="P287" s="148"/>
      <c r="Q287" s="148"/>
      <c r="R287" s="148"/>
    </row>
    <row r="288" spans="1:43" s="329" customFormat="1" x14ac:dyDescent="0.3">
      <c r="A288" s="269" t="s">
        <v>1642</v>
      </c>
      <c r="B288" s="269" t="s">
        <v>665</v>
      </c>
      <c r="C288" s="49"/>
      <c r="D288" s="49"/>
      <c r="E288" s="281" t="s">
        <v>666</v>
      </c>
      <c r="F288" s="281" t="s">
        <v>667</v>
      </c>
      <c r="G288" s="281" t="s">
        <v>668</v>
      </c>
      <c r="H288" s="281" t="s">
        <v>669</v>
      </c>
      <c r="I288" s="281"/>
      <c r="J288" s="281"/>
      <c r="K288" s="37">
        <v>0</v>
      </c>
      <c r="L288" s="234">
        <f t="shared" si="31"/>
        <v>0</v>
      </c>
      <c r="M288" s="234">
        <f t="shared" si="32"/>
        <v>0</v>
      </c>
      <c r="N288" s="234">
        <f t="shared" si="33"/>
        <v>0</v>
      </c>
      <c r="O288" s="234">
        <f t="shared" si="34"/>
        <v>0</v>
      </c>
      <c r="P288" s="234">
        <f t="shared" si="28"/>
        <v>0</v>
      </c>
      <c r="Q288" s="234">
        <f t="shared" si="29"/>
        <v>0</v>
      </c>
      <c r="R288" s="234">
        <f t="shared" si="30"/>
        <v>0</v>
      </c>
    </row>
    <row r="289" spans="1:43" s="329" customFormat="1" x14ac:dyDescent="0.3">
      <c r="A289" s="269" t="s">
        <v>1643</v>
      </c>
      <c r="B289" s="269" t="s">
        <v>665</v>
      </c>
      <c r="C289" s="49"/>
      <c r="D289" s="49"/>
      <c r="E289" s="281"/>
      <c r="F289" s="281"/>
      <c r="G289" s="281"/>
      <c r="H289" s="281"/>
      <c r="I289" s="281" t="s">
        <v>670</v>
      </c>
      <c r="J289" s="281" t="s">
        <v>671</v>
      </c>
      <c r="K289" s="37">
        <v>0</v>
      </c>
      <c r="L289" s="234">
        <f t="shared" si="31"/>
        <v>0</v>
      </c>
      <c r="M289" s="234">
        <f t="shared" si="32"/>
        <v>0</v>
      </c>
      <c r="N289" s="234">
        <f t="shared" si="33"/>
        <v>0</v>
      </c>
      <c r="O289" s="234">
        <f t="shared" si="34"/>
        <v>0</v>
      </c>
      <c r="P289" s="234">
        <f t="shared" si="28"/>
        <v>0</v>
      </c>
      <c r="Q289" s="234">
        <f t="shared" si="29"/>
        <v>0</v>
      </c>
      <c r="R289" s="234">
        <f t="shared" si="30"/>
        <v>0</v>
      </c>
    </row>
    <row r="290" spans="1:43" s="329" customFormat="1" x14ac:dyDescent="0.3">
      <c r="A290" s="303"/>
      <c r="B290" s="168"/>
      <c r="C290" s="159"/>
      <c r="D290" s="159"/>
      <c r="E290" s="54"/>
      <c r="F290" s="54"/>
      <c r="G290" s="54"/>
      <c r="H290" s="54"/>
      <c r="I290" s="54"/>
      <c r="J290" s="63"/>
      <c r="K290" s="37"/>
      <c r="L290" s="234"/>
      <c r="M290" s="234"/>
      <c r="N290" s="234"/>
      <c r="O290" s="234"/>
      <c r="P290" s="234"/>
      <c r="Q290" s="234"/>
      <c r="R290" s="234"/>
    </row>
    <row r="291" spans="1:43" s="329" customFormat="1" x14ac:dyDescent="0.3">
      <c r="A291" s="112" t="s">
        <v>235</v>
      </c>
      <c r="B291" s="119"/>
      <c r="C291" s="119"/>
      <c r="D291" s="119"/>
      <c r="E291" s="293"/>
      <c r="F291" s="293"/>
      <c r="G291" s="293"/>
      <c r="H291" s="293"/>
      <c r="I291" s="293"/>
      <c r="J291" s="289"/>
      <c r="K291" s="148"/>
      <c r="L291" s="148"/>
      <c r="M291" s="148"/>
      <c r="N291" s="148"/>
      <c r="O291" s="148"/>
      <c r="P291" s="148"/>
      <c r="Q291" s="148"/>
      <c r="R291" s="148"/>
    </row>
    <row r="292" spans="1:43" s="329" customFormat="1" x14ac:dyDescent="0.3">
      <c r="A292" s="269" t="s">
        <v>463</v>
      </c>
      <c r="B292" s="269" t="s">
        <v>464</v>
      </c>
      <c r="C292" s="49"/>
      <c r="D292" s="49"/>
      <c r="E292" s="281" t="s">
        <v>672</v>
      </c>
      <c r="F292" s="281" t="s">
        <v>673</v>
      </c>
      <c r="G292" s="281" t="s">
        <v>674</v>
      </c>
      <c r="H292" s="281" t="s">
        <v>675</v>
      </c>
      <c r="I292" s="281" t="s">
        <v>676</v>
      </c>
      <c r="J292" s="281" t="s">
        <v>677</v>
      </c>
      <c r="K292" s="37">
        <v>2</v>
      </c>
      <c r="L292" s="234">
        <f t="shared" si="31"/>
        <v>0.753</v>
      </c>
      <c r="M292" s="234">
        <f t="shared" si="32"/>
        <v>0.753</v>
      </c>
      <c r="N292" s="234">
        <f t="shared" si="33"/>
        <v>0.90400000000000003</v>
      </c>
      <c r="O292" s="234">
        <f t="shared" si="34"/>
        <v>0.75800000000000001</v>
      </c>
      <c r="P292" s="234">
        <f t="shared" si="28"/>
        <v>0.998</v>
      </c>
      <c r="Q292" s="234">
        <f t="shared" si="29"/>
        <v>0.86</v>
      </c>
      <c r="R292" s="234">
        <f t="shared" si="30"/>
        <v>0.96599999999999997</v>
      </c>
    </row>
    <row r="293" spans="1:43" s="329" customFormat="1" x14ac:dyDescent="0.3">
      <c r="A293" s="269" t="s">
        <v>98</v>
      </c>
      <c r="B293" s="269" t="s">
        <v>236</v>
      </c>
      <c r="C293" s="49"/>
      <c r="D293" s="49"/>
      <c r="E293" s="281" t="s">
        <v>678</v>
      </c>
      <c r="F293" s="281" t="s">
        <v>679</v>
      </c>
      <c r="G293" s="281" t="s">
        <v>680</v>
      </c>
      <c r="H293" s="281" t="s">
        <v>681</v>
      </c>
      <c r="I293" s="281" t="s">
        <v>682</v>
      </c>
      <c r="J293" s="281" t="s">
        <v>683</v>
      </c>
      <c r="K293" s="37">
        <v>6</v>
      </c>
      <c r="L293" s="234">
        <f t="shared" si="31"/>
        <v>2.2589999999999999</v>
      </c>
      <c r="M293" s="234">
        <f t="shared" si="32"/>
        <v>2.2589999999999999</v>
      </c>
      <c r="N293" s="234">
        <f t="shared" si="33"/>
        <v>2.7120000000000002</v>
      </c>
      <c r="O293" s="234">
        <f t="shared" si="34"/>
        <v>2.274</v>
      </c>
      <c r="P293" s="234">
        <f t="shared" si="28"/>
        <v>2.9939999999999998</v>
      </c>
      <c r="Q293" s="234">
        <f t="shared" si="29"/>
        <v>2.58</v>
      </c>
      <c r="R293" s="234">
        <f t="shared" si="30"/>
        <v>2.8979999999999997</v>
      </c>
    </row>
    <row r="294" spans="1:43" s="329" customFormat="1" x14ac:dyDescent="0.3">
      <c r="A294" s="303"/>
      <c r="B294" s="168"/>
      <c r="C294" s="159"/>
      <c r="D294" s="159"/>
      <c r="E294" s="54"/>
      <c r="F294" s="54"/>
      <c r="G294" s="54"/>
      <c r="H294" s="54"/>
      <c r="I294" s="54"/>
      <c r="J294" s="63"/>
      <c r="K294" s="37"/>
      <c r="L294" s="234"/>
      <c r="M294" s="234"/>
      <c r="N294" s="234"/>
      <c r="O294" s="234"/>
      <c r="P294" s="234"/>
      <c r="Q294" s="234"/>
      <c r="R294" s="234"/>
    </row>
    <row r="295" spans="1:43" s="329" customFormat="1" x14ac:dyDescent="0.3">
      <c r="A295" s="112" t="s">
        <v>475</v>
      </c>
      <c r="B295" s="119"/>
      <c r="C295" s="119"/>
      <c r="D295" s="119"/>
      <c r="E295" s="293"/>
      <c r="F295" s="293"/>
      <c r="G295" s="293"/>
      <c r="H295" s="293"/>
      <c r="I295" s="293"/>
      <c r="J295" s="289"/>
      <c r="K295" s="148"/>
      <c r="L295" s="148"/>
      <c r="M295" s="148"/>
      <c r="N295" s="148"/>
      <c r="O295" s="148"/>
      <c r="P295" s="148"/>
      <c r="Q295" s="148"/>
      <c r="R295" s="148"/>
    </row>
    <row r="296" spans="1:43" s="329" customFormat="1" x14ac:dyDescent="0.3">
      <c r="A296" s="269" t="s">
        <v>476</v>
      </c>
      <c r="B296" s="269" t="s">
        <v>477</v>
      </c>
      <c r="C296" s="49"/>
      <c r="D296" s="49"/>
      <c r="E296" s="281" t="s">
        <v>684</v>
      </c>
      <c r="F296" s="281" t="s">
        <v>685</v>
      </c>
      <c r="G296" s="281" t="s">
        <v>686</v>
      </c>
      <c r="H296" s="281" t="s">
        <v>687</v>
      </c>
      <c r="I296" s="281" t="s">
        <v>688</v>
      </c>
      <c r="J296" s="281" t="s">
        <v>689</v>
      </c>
      <c r="K296" s="37">
        <v>6</v>
      </c>
      <c r="L296" s="234">
        <f t="shared" si="31"/>
        <v>2.2589999999999999</v>
      </c>
      <c r="M296" s="234">
        <f t="shared" si="32"/>
        <v>2.2589999999999999</v>
      </c>
      <c r="N296" s="234">
        <f t="shared" si="33"/>
        <v>2.7120000000000002</v>
      </c>
      <c r="O296" s="234">
        <f t="shared" si="34"/>
        <v>2.274</v>
      </c>
      <c r="P296" s="234">
        <f t="shared" si="28"/>
        <v>2.9939999999999998</v>
      </c>
      <c r="Q296" s="234">
        <f t="shared" si="29"/>
        <v>2.58</v>
      </c>
      <c r="R296" s="234">
        <f t="shared" si="30"/>
        <v>2.8979999999999997</v>
      </c>
    </row>
    <row r="297" spans="1:43" s="329" customFormat="1" x14ac:dyDescent="0.3">
      <c r="A297" s="269" t="s">
        <v>1637</v>
      </c>
      <c r="B297" s="269" t="s">
        <v>690</v>
      </c>
      <c r="C297" s="49"/>
      <c r="D297" s="49"/>
      <c r="E297" s="281"/>
      <c r="F297" s="281" t="s">
        <v>691</v>
      </c>
      <c r="G297" s="281"/>
      <c r="H297" s="281" t="s">
        <v>692</v>
      </c>
      <c r="I297" s="281"/>
      <c r="J297" s="281" t="s">
        <v>693</v>
      </c>
      <c r="K297" s="37">
        <v>7</v>
      </c>
      <c r="L297" s="234">
        <f t="shared" si="31"/>
        <v>2.6355</v>
      </c>
      <c r="M297" s="234">
        <f t="shared" si="32"/>
        <v>2.6355</v>
      </c>
      <c r="N297" s="234">
        <f t="shared" si="33"/>
        <v>3.1640000000000001</v>
      </c>
      <c r="O297" s="234">
        <f t="shared" si="34"/>
        <v>2.653</v>
      </c>
      <c r="P297" s="234">
        <f t="shared" si="28"/>
        <v>3.4929999999999999</v>
      </c>
      <c r="Q297" s="234">
        <f t="shared" si="29"/>
        <v>3.01</v>
      </c>
      <c r="R297" s="234">
        <f t="shared" si="30"/>
        <v>3.3809999999999998</v>
      </c>
    </row>
    <row r="298" spans="1:43" s="329" customFormat="1" x14ac:dyDescent="0.3">
      <c r="A298" s="269" t="s">
        <v>1636</v>
      </c>
      <c r="B298" s="269" t="s">
        <v>483</v>
      </c>
      <c r="C298" s="49"/>
      <c r="D298" s="49"/>
      <c r="E298" s="281" t="s">
        <v>694</v>
      </c>
      <c r="F298" s="281"/>
      <c r="G298" s="281" t="s">
        <v>695</v>
      </c>
      <c r="H298" s="281"/>
      <c r="I298" s="281" t="s">
        <v>696</v>
      </c>
      <c r="J298" s="281"/>
      <c r="K298" s="37">
        <v>7</v>
      </c>
      <c r="L298" s="234">
        <f t="shared" si="31"/>
        <v>2.6355</v>
      </c>
      <c r="M298" s="234">
        <f t="shared" si="32"/>
        <v>2.6355</v>
      </c>
      <c r="N298" s="234">
        <f t="shared" si="33"/>
        <v>3.1640000000000001</v>
      </c>
      <c r="O298" s="234">
        <f t="shared" si="34"/>
        <v>2.653</v>
      </c>
      <c r="P298" s="234">
        <f t="shared" si="28"/>
        <v>3.4929999999999999</v>
      </c>
      <c r="Q298" s="234">
        <f t="shared" si="29"/>
        <v>3.01</v>
      </c>
      <c r="R298" s="234">
        <f t="shared" si="30"/>
        <v>3.3809999999999998</v>
      </c>
    </row>
    <row r="299" spans="1:43" s="329" customFormat="1" x14ac:dyDescent="0.3">
      <c r="A299" s="269" t="s">
        <v>697</v>
      </c>
      <c r="B299" s="269" t="s">
        <v>487</v>
      </c>
      <c r="C299" s="49"/>
      <c r="D299" s="49"/>
      <c r="E299" s="281" t="s">
        <v>698</v>
      </c>
      <c r="F299" s="281" t="s">
        <v>699</v>
      </c>
      <c r="G299" s="281" t="s">
        <v>700</v>
      </c>
      <c r="H299" s="281" t="s">
        <v>701</v>
      </c>
      <c r="I299" s="281" t="s">
        <v>702</v>
      </c>
      <c r="J299" s="281" t="s">
        <v>703</v>
      </c>
      <c r="K299" s="37">
        <v>87</v>
      </c>
      <c r="L299" s="234">
        <f t="shared" si="31"/>
        <v>32.755499999999998</v>
      </c>
      <c r="M299" s="234">
        <f t="shared" si="32"/>
        <v>32.755499999999998</v>
      </c>
      <c r="N299" s="234">
        <f t="shared" si="33"/>
        <v>39.323999999999998</v>
      </c>
      <c r="O299" s="234">
        <f t="shared" si="34"/>
        <v>32.972999999999999</v>
      </c>
      <c r="P299" s="234">
        <f t="shared" si="28"/>
        <v>43.412999999999997</v>
      </c>
      <c r="Q299" s="234">
        <f t="shared" si="29"/>
        <v>37.409999999999997</v>
      </c>
      <c r="R299" s="234">
        <f t="shared" si="30"/>
        <v>42.021000000000001</v>
      </c>
    </row>
    <row r="300" spans="1:43" s="329" customFormat="1" x14ac:dyDescent="0.3">
      <c r="A300" s="269" t="s">
        <v>704</v>
      </c>
      <c r="B300" s="269" t="s">
        <v>705</v>
      </c>
      <c r="C300" s="49"/>
      <c r="D300" s="49"/>
      <c r="E300" s="281" t="s">
        <v>706</v>
      </c>
      <c r="F300" s="57" t="s">
        <v>707</v>
      </c>
      <c r="G300" s="57" t="s">
        <v>708</v>
      </c>
      <c r="H300" s="57" t="s">
        <v>709</v>
      </c>
      <c r="I300" s="57" t="s">
        <v>710</v>
      </c>
      <c r="J300" s="57" t="s">
        <v>711</v>
      </c>
      <c r="K300" s="31">
        <v>267</v>
      </c>
      <c r="L300" s="234">
        <f t="shared" si="31"/>
        <v>100.52549999999999</v>
      </c>
      <c r="M300" s="234">
        <f t="shared" si="32"/>
        <v>100.52549999999999</v>
      </c>
      <c r="N300" s="234">
        <f t="shared" si="33"/>
        <v>120.684</v>
      </c>
      <c r="O300" s="234">
        <f t="shared" si="34"/>
        <v>101.193</v>
      </c>
      <c r="P300" s="234">
        <f t="shared" si="28"/>
        <v>133.233</v>
      </c>
      <c r="Q300" s="234">
        <f t="shared" si="29"/>
        <v>114.81</v>
      </c>
      <c r="R300" s="234">
        <f t="shared" si="30"/>
        <v>128.96099999999998</v>
      </c>
    </row>
    <row r="301" spans="1:43" s="329" customFormat="1" x14ac:dyDescent="0.3">
      <c r="A301" s="303"/>
      <c r="B301" s="168"/>
      <c r="C301" s="159"/>
      <c r="D301" s="159"/>
      <c r="E301" s="54"/>
      <c r="F301" s="54"/>
      <c r="G301" s="54"/>
      <c r="H301" s="54"/>
      <c r="I301" s="54"/>
      <c r="J301" s="63"/>
      <c r="K301" s="37"/>
      <c r="L301" s="234"/>
      <c r="M301" s="234"/>
      <c r="N301" s="234"/>
      <c r="O301" s="234"/>
      <c r="P301" s="234"/>
      <c r="Q301" s="234"/>
      <c r="R301" s="234"/>
    </row>
    <row r="302" spans="1:43" s="329" customFormat="1" x14ac:dyDescent="0.3">
      <c r="A302" s="112" t="s">
        <v>493</v>
      </c>
      <c r="B302" s="119"/>
      <c r="C302" s="119"/>
      <c r="D302" s="119"/>
      <c r="E302" s="293"/>
      <c r="F302" s="293"/>
      <c r="G302" s="293"/>
      <c r="H302" s="293"/>
      <c r="I302" s="293"/>
      <c r="J302" s="289"/>
      <c r="K302" s="148"/>
      <c r="L302" s="148"/>
      <c r="M302" s="148"/>
      <c r="N302" s="148"/>
      <c r="O302" s="148"/>
      <c r="P302" s="148"/>
      <c r="Q302" s="148"/>
      <c r="R302" s="148"/>
    </row>
    <row r="303" spans="1:43" s="329" customFormat="1" x14ac:dyDescent="0.3">
      <c r="A303" s="269" t="s">
        <v>712</v>
      </c>
      <c r="B303" s="269" t="s">
        <v>713</v>
      </c>
      <c r="C303" s="49"/>
      <c r="D303" s="49"/>
      <c r="E303" s="281" t="s">
        <v>714</v>
      </c>
      <c r="F303" s="281" t="s">
        <v>714</v>
      </c>
      <c r="G303" s="281" t="s">
        <v>714</v>
      </c>
      <c r="H303" s="281" t="s">
        <v>714</v>
      </c>
      <c r="I303" s="281" t="s">
        <v>714</v>
      </c>
      <c r="J303" s="281" t="s">
        <v>714</v>
      </c>
      <c r="K303" s="37">
        <v>1</v>
      </c>
      <c r="L303" s="234">
        <f t="shared" si="31"/>
        <v>0.3765</v>
      </c>
      <c r="M303" s="234">
        <f t="shared" si="32"/>
        <v>0.3765</v>
      </c>
      <c r="N303" s="234">
        <f t="shared" si="33"/>
        <v>0.45200000000000001</v>
      </c>
      <c r="O303" s="234">
        <f t="shared" si="34"/>
        <v>0.379</v>
      </c>
      <c r="P303" s="234">
        <f t="shared" si="28"/>
        <v>0.499</v>
      </c>
      <c r="Q303" s="234">
        <f t="shared" si="29"/>
        <v>0.43</v>
      </c>
      <c r="R303" s="234">
        <f t="shared" si="30"/>
        <v>0.48299999999999998</v>
      </c>
    </row>
    <row r="304" spans="1:43" s="330" customFormat="1" x14ac:dyDescent="0.3">
      <c r="A304" s="269" t="s">
        <v>715</v>
      </c>
      <c r="B304" s="269" t="s">
        <v>716</v>
      </c>
      <c r="C304" s="49"/>
      <c r="D304" s="49"/>
      <c r="E304" s="281" t="s">
        <v>717</v>
      </c>
      <c r="F304" s="281" t="s">
        <v>718</v>
      </c>
      <c r="G304" s="281" t="s">
        <v>719</v>
      </c>
      <c r="H304" s="281" t="s">
        <v>720</v>
      </c>
      <c r="I304" s="281" t="s">
        <v>721</v>
      </c>
      <c r="J304" s="281" t="s">
        <v>722</v>
      </c>
      <c r="K304" s="37">
        <v>7</v>
      </c>
      <c r="L304" s="234">
        <f t="shared" si="31"/>
        <v>2.6355</v>
      </c>
      <c r="M304" s="234">
        <f t="shared" si="32"/>
        <v>2.6355</v>
      </c>
      <c r="N304" s="234">
        <f t="shared" si="33"/>
        <v>3.1640000000000001</v>
      </c>
      <c r="O304" s="234">
        <f t="shared" si="34"/>
        <v>2.653</v>
      </c>
      <c r="P304" s="234">
        <f t="shared" si="28"/>
        <v>3.4929999999999999</v>
      </c>
      <c r="Q304" s="234">
        <f t="shared" si="29"/>
        <v>3.01</v>
      </c>
      <c r="R304" s="234">
        <f t="shared" si="30"/>
        <v>3.3809999999999998</v>
      </c>
      <c r="S304" s="221"/>
      <c r="T304" s="221"/>
      <c r="U304" s="221"/>
      <c r="V304" s="221"/>
      <c r="W304" s="221"/>
      <c r="X304" s="221"/>
      <c r="Y304" s="221"/>
      <c r="Z304" s="221"/>
      <c r="AA304" s="221"/>
      <c r="AB304" s="221"/>
      <c r="AC304" s="221"/>
      <c r="AD304" s="221"/>
      <c r="AE304" s="221"/>
      <c r="AF304" s="221"/>
      <c r="AG304" s="221"/>
      <c r="AH304" s="221"/>
      <c r="AI304" s="221"/>
      <c r="AJ304" s="221"/>
      <c r="AK304" s="221"/>
      <c r="AL304" s="221"/>
      <c r="AM304" s="221"/>
      <c r="AN304" s="221"/>
      <c r="AO304" s="221"/>
      <c r="AP304" s="221"/>
      <c r="AQ304" s="221"/>
    </row>
    <row r="305" spans="1:43" x14ac:dyDescent="0.3">
      <c r="A305" s="128" t="s">
        <v>723</v>
      </c>
      <c r="B305" s="269" t="s">
        <v>495</v>
      </c>
      <c r="C305" s="49"/>
      <c r="D305" s="49"/>
      <c r="E305" s="281"/>
      <c r="F305" s="281"/>
      <c r="G305" s="281"/>
      <c r="H305" s="281"/>
      <c r="I305" s="281" t="s">
        <v>724</v>
      </c>
      <c r="J305" s="281" t="s">
        <v>725</v>
      </c>
      <c r="K305" s="37">
        <v>10</v>
      </c>
      <c r="L305" s="234">
        <f t="shared" si="31"/>
        <v>3.7650000000000001</v>
      </c>
      <c r="M305" s="234">
        <f t="shared" si="32"/>
        <v>3.7650000000000001</v>
      </c>
      <c r="N305" s="234">
        <f t="shared" si="33"/>
        <v>4.5200000000000005</v>
      </c>
      <c r="O305" s="234">
        <f t="shared" si="34"/>
        <v>3.79</v>
      </c>
      <c r="P305" s="234">
        <f t="shared" si="28"/>
        <v>4.99</v>
      </c>
      <c r="Q305" s="234">
        <f t="shared" si="29"/>
        <v>4.3</v>
      </c>
      <c r="R305" s="234">
        <f t="shared" si="30"/>
        <v>4.83</v>
      </c>
    </row>
    <row r="306" spans="1:43" x14ac:dyDescent="0.3">
      <c r="A306" s="128"/>
      <c r="B306" s="187"/>
      <c r="C306" s="275"/>
      <c r="D306" s="275"/>
      <c r="E306" s="263"/>
      <c r="F306" s="263"/>
      <c r="G306" s="263"/>
      <c r="H306" s="263"/>
      <c r="I306" s="263"/>
      <c r="J306" s="166"/>
      <c r="K306" s="37"/>
      <c r="L306" s="234"/>
      <c r="M306" s="234"/>
      <c r="N306" s="234"/>
      <c r="O306" s="234"/>
      <c r="P306" s="234"/>
      <c r="Q306" s="234"/>
      <c r="R306" s="234"/>
    </row>
    <row r="307" spans="1:43" x14ac:dyDescent="0.3">
      <c r="A307" s="112" t="s">
        <v>726</v>
      </c>
      <c r="B307" s="124"/>
      <c r="C307" s="124"/>
      <c r="D307" s="124"/>
      <c r="E307" s="289"/>
      <c r="F307" s="289"/>
      <c r="G307" s="289"/>
      <c r="H307" s="289"/>
      <c r="I307" s="289"/>
      <c r="J307" s="289"/>
      <c r="K307" s="148"/>
      <c r="L307" s="148"/>
      <c r="M307" s="148"/>
      <c r="N307" s="148"/>
      <c r="O307" s="148"/>
      <c r="P307" s="148"/>
      <c r="Q307" s="148"/>
      <c r="R307" s="148"/>
    </row>
    <row r="308" spans="1:43" x14ac:dyDescent="0.3">
      <c r="A308" s="269" t="s">
        <v>263</v>
      </c>
      <c r="B308" s="269" t="s">
        <v>497</v>
      </c>
      <c r="C308" s="49"/>
      <c r="D308" s="49"/>
      <c r="E308" s="281" t="s">
        <v>727</v>
      </c>
      <c r="F308" s="281" t="s">
        <v>727</v>
      </c>
      <c r="G308" s="281" t="s">
        <v>727</v>
      </c>
      <c r="H308" s="281" t="s">
        <v>727</v>
      </c>
      <c r="I308" s="281" t="s">
        <v>727</v>
      </c>
      <c r="J308" s="281" t="s">
        <v>727</v>
      </c>
      <c r="K308" s="37">
        <v>20</v>
      </c>
      <c r="L308" s="234">
        <f t="shared" si="31"/>
        <v>7.53</v>
      </c>
      <c r="M308" s="234">
        <f t="shared" si="32"/>
        <v>7.53</v>
      </c>
      <c r="N308" s="234">
        <f t="shared" si="33"/>
        <v>9.0400000000000009</v>
      </c>
      <c r="O308" s="234">
        <f t="shared" si="34"/>
        <v>7.58</v>
      </c>
      <c r="P308" s="234">
        <f t="shared" si="28"/>
        <v>9.98</v>
      </c>
      <c r="Q308" s="234">
        <f t="shared" si="29"/>
        <v>8.6</v>
      </c>
      <c r="R308" s="234">
        <f t="shared" si="30"/>
        <v>9.66</v>
      </c>
    </row>
    <row r="309" spans="1:43" x14ac:dyDescent="0.3">
      <c r="A309" s="269" t="s">
        <v>266</v>
      </c>
      <c r="B309" s="269" t="s">
        <v>499</v>
      </c>
      <c r="C309" s="49"/>
      <c r="D309" s="49"/>
      <c r="E309" s="281" t="s">
        <v>728</v>
      </c>
      <c r="F309" s="281" t="s">
        <v>728</v>
      </c>
      <c r="G309" s="281" t="s">
        <v>728</v>
      </c>
      <c r="H309" s="281" t="s">
        <v>728</v>
      </c>
      <c r="I309" s="281" t="s">
        <v>728</v>
      </c>
      <c r="J309" s="281" t="s">
        <v>728</v>
      </c>
      <c r="K309" s="37">
        <v>60</v>
      </c>
      <c r="L309" s="234">
        <f t="shared" si="31"/>
        <v>22.59</v>
      </c>
      <c r="M309" s="234">
        <f t="shared" si="32"/>
        <v>22.59</v>
      </c>
      <c r="N309" s="234">
        <f t="shared" si="33"/>
        <v>27.12</v>
      </c>
      <c r="O309" s="234">
        <f t="shared" si="34"/>
        <v>22.740000000000002</v>
      </c>
      <c r="P309" s="234">
        <f t="shared" si="28"/>
        <v>29.94</v>
      </c>
      <c r="Q309" s="234">
        <f t="shared" si="29"/>
        <v>25.8</v>
      </c>
      <c r="R309" s="234">
        <f t="shared" si="30"/>
        <v>28.98</v>
      </c>
    </row>
    <row r="310" spans="1:43" x14ac:dyDescent="0.3">
      <c r="A310" s="269" t="s">
        <v>269</v>
      </c>
      <c r="B310" s="269" t="s">
        <v>501</v>
      </c>
      <c r="C310" s="49"/>
      <c r="D310" s="49"/>
      <c r="E310" s="281" t="s">
        <v>729</v>
      </c>
      <c r="F310" s="281" t="s">
        <v>729</v>
      </c>
      <c r="G310" s="281" t="s">
        <v>729</v>
      </c>
      <c r="H310" s="281" t="s">
        <v>729</v>
      </c>
      <c r="I310" s="281" t="s">
        <v>729</v>
      </c>
      <c r="J310" s="281" t="s">
        <v>729</v>
      </c>
      <c r="K310" s="37">
        <v>80</v>
      </c>
      <c r="L310" s="234">
        <f t="shared" si="31"/>
        <v>30.12</v>
      </c>
      <c r="M310" s="234">
        <f t="shared" si="32"/>
        <v>30.12</v>
      </c>
      <c r="N310" s="234">
        <f t="shared" si="33"/>
        <v>36.160000000000004</v>
      </c>
      <c r="O310" s="234">
        <f t="shared" si="34"/>
        <v>30.32</v>
      </c>
      <c r="P310" s="234">
        <f t="shared" si="28"/>
        <v>39.92</v>
      </c>
      <c r="Q310" s="234">
        <f t="shared" si="29"/>
        <v>34.4</v>
      </c>
      <c r="R310" s="234">
        <f t="shared" si="30"/>
        <v>38.64</v>
      </c>
    </row>
    <row r="311" spans="1:43" x14ac:dyDescent="0.3">
      <c r="A311" s="156" t="s">
        <v>503</v>
      </c>
      <c r="B311" s="156" t="s">
        <v>504</v>
      </c>
      <c r="C311" s="123"/>
      <c r="D311" s="123"/>
      <c r="E311" s="188" t="s">
        <v>730</v>
      </c>
      <c r="F311" s="188" t="s">
        <v>730</v>
      </c>
      <c r="G311" s="188" t="s">
        <v>730</v>
      </c>
      <c r="H311" s="188" t="s">
        <v>730</v>
      </c>
      <c r="I311" s="188" t="s">
        <v>730</v>
      </c>
      <c r="J311" s="188" t="s">
        <v>730</v>
      </c>
      <c r="K311" s="37">
        <v>20</v>
      </c>
      <c r="L311" s="234">
        <f t="shared" si="31"/>
        <v>7.53</v>
      </c>
      <c r="M311" s="234">
        <f t="shared" si="32"/>
        <v>7.53</v>
      </c>
      <c r="N311" s="234">
        <f t="shared" si="33"/>
        <v>9.0400000000000009</v>
      </c>
      <c r="O311" s="234">
        <f t="shared" si="34"/>
        <v>7.58</v>
      </c>
      <c r="P311" s="234">
        <f t="shared" si="28"/>
        <v>9.98</v>
      </c>
      <c r="Q311" s="234">
        <f t="shared" si="29"/>
        <v>8.6</v>
      </c>
      <c r="R311" s="234">
        <f t="shared" si="30"/>
        <v>9.66</v>
      </c>
    </row>
    <row r="312" spans="1:43" x14ac:dyDescent="0.3">
      <c r="A312" s="156" t="s">
        <v>271</v>
      </c>
      <c r="B312" s="156" t="s">
        <v>272</v>
      </c>
      <c r="C312" s="123"/>
      <c r="D312" s="123"/>
      <c r="E312" s="298" t="s">
        <v>273</v>
      </c>
      <c r="F312" s="298" t="s">
        <v>273</v>
      </c>
      <c r="G312" s="298" t="s">
        <v>273</v>
      </c>
      <c r="H312" s="298" t="s">
        <v>273</v>
      </c>
      <c r="I312" s="298" t="s">
        <v>273</v>
      </c>
      <c r="J312" s="298" t="s">
        <v>273</v>
      </c>
      <c r="K312" s="37">
        <v>158</v>
      </c>
      <c r="L312" s="234">
        <f t="shared" si="31"/>
        <v>59.487000000000002</v>
      </c>
      <c r="M312" s="234">
        <f t="shared" si="32"/>
        <v>59.487000000000002</v>
      </c>
      <c r="N312" s="234">
        <f t="shared" si="33"/>
        <v>71.415999999999997</v>
      </c>
      <c r="O312" s="234">
        <f t="shared" si="34"/>
        <v>59.881999999999998</v>
      </c>
      <c r="P312" s="234">
        <f t="shared" si="28"/>
        <v>78.841999999999999</v>
      </c>
      <c r="Q312" s="234">
        <f t="shared" si="29"/>
        <v>67.94</v>
      </c>
      <c r="R312" s="234">
        <f t="shared" si="30"/>
        <v>76.313999999999993</v>
      </c>
    </row>
    <row r="313" spans="1:43" x14ac:dyDescent="0.3">
      <c r="A313" s="156" t="s">
        <v>274</v>
      </c>
      <c r="B313" s="156" t="s">
        <v>275</v>
      </c>
      <c r="C313" s="123"/>
      <c r="D313" s="123"/>
      <c r="E313" s="298" t="s">
        <v>731</v>
      </c>
      <c r="F313" s="298" t="s">
        <v>731</v>
      </c>
      <c r="G313" s="298" t="s">
        <v>731</v>
      </c>
      <c r="H313" s="298" t="s">
        <v>731</v>
      </c>
      <c r="I313" s="298" t="s">
        <v>731</v>
      </c>
      <c r="J313" s="298" t="s">
        <v>731</v>
      </c>
      <c r="K313" s="37">
        <v>22</v>
      </c>
      <c r="L313" s="234">
        <f t="shared" si="31"/>
        <v>8.2829999999999995</v>
      </c>
      <c r="M313" s="234">
        <f t="shared" si="32"/>
        <v>8.2829999999999995</v>
      </c>
      <c r="N313" s="234">
        <f t="shared" si="33"/>
        <v>9.9440000000000008</v>
      </c>
      <c r="O313" s="234">
        <f t="shared" si="34"/>
        <v>8.338000000000001</v>
      </c>
      <c r="P313" s="234">
        <f t="shared" si="28"/>
        <v>10.978</v>
      </c>
      <c r="Q313" s="234">
        <f t="shared" si="29"/>
        <v>9.4599999999999991</v>
      </c>
      <c r="R313" s="234">
        <f t="shared" si="30"/>
        <v>10.625999999999999</v>
      </c>
    </row>
    <row r="314" spans="1:43" x14ac:dyDescent="0.3">
      <c r="A314" s="156" t="s">
        <v>278</v>
      </c>
      <c r="B314" s="113" t="s">
        <v>279</v>
      </c>
      <c r="C314" s="123"/>
      <c r="D314" s="123"/>
      <c r="E314" s="57" t="s">
        <v>1553</v>
      </c>
      <c r="F314" s="57" t="s">
        <v>1553</v>
      </c>
      <c r="G314" s="57" t="s">
        <v>1553</v>
      </c>
      <c r="H314" s="57" t="s">
        <v>1553</v>
      </c>
      <c r="I314" s="57" t="s">
        <v>1553</v>
      </c>
      <c r="J314" s="57" t="s">
        <v>1553</v>
      </c>
      <c r="K314" s="37">
        <v>82</v>
      </c>
      <c r="L314" s="234">
        <f t="shared" si="31"/>
        <v>30.873000000000001</v>
      </c>
      <c r="M314" s="234">
        <f t="shared" si="32"/>
        <v>30.873000000000001</v>
      </c>
      <c r="N314" s="234">
        <f t="shared" si="33"/>
        <v>37.064</v>
      </c>
      <c r="O314" s="234">
        <f t="shared" si="34"/>
        <v>31.077999999999999</v>
      </c>
      <c r="P314" s="234">
        <f t="shared" si="28"/>
        <v>40.917999999999999</v>
      </c>
      <c r="Q314" s="234">
        <f t="shared" si="29"/>
        <v>35.26</v>
      </c>
      <c r="R314" s="234">
        <f t="shared" si="30"/>
        <v>39.606000000000002</v>
      </c>
    </row>
    <row r="315" spans="1:43" s="308" customFormat="1" x14ac:dyDescent="0.3">
      <c r="A315" s="303"/>
      <c r="B315" s="168"/>
      <c r="C315" s="159"/>
      <c r="D315" s="159"/>
      <c r="E315" s="54"/>
      <c r="F315" s="54"/>
      <c r="G315" s="54"/>
      <c r="H315" s="54"/>
      <c r="I315" s="54"/>
      <c r="J315" s="54"/>
      <c r="K315" s="240"/>
      <c r="L315" s="234"/>
      <c r="M315" s="234"/>
      <c r="N315" s="234"/>
      <c r="O315" s="234"/>
      <c r="P315" s="234"/>
      <c r="Q315" s="234"/>
      <c r="R315" s="234"/>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row>
    <row r="316" spans="1:43" s="308" customFormat="1" x14ac:dyDescent="0.3">
      <c r="A316" s="197" t="s">
        <v>732</v>
      </c>
      <c r="B316" s="197"/>
      <c r="C316" s="197"/>
      <c r="D316" s="197"/>
      <c r="E316" s="41"/>
      <c r="F316" s="41"/>
      <c r="G316" s="41"/>
      <c r="H316" s="41"/>
      <c r="I316" s="41"/>
      <c r="J316" s="41"/>
      <c r="K316" s="242"/>
      <c r="L316" s="197"/>
      <c r="M316" s="197"/>
      <c r="N316" s="197"/>
      <c r="O316" s="197"/>
      <c r="P316" s="197"/>
      <c r="Q316" s="197"/>
      <c r="R316" s="197"/>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row>
    <row r="317" spans="1:43" s="16" customFormat="1" ht="82.8" x14ac:dyDescent="0.3">
      <c r="A317" s="36" t="s">
        <v>125</v>
      </c>
      <c r="B317" s="36" t="s">
        <v>126</v>
      </c>
      <c r="C317" s="36" t="s">
        <v>127</v>
      </c>
      <c r="D317" s="36"/>
      <c r="E317" s="246"/>
      <c r="F317" s="246"/>
      <c r="G317" s="246"/>
      <c r="H317" s="246"/>
      <c r="I317" s="246"/>
      <c r="J317" s="246"/>
      <c r="K317" s="191" t="s">
        <v>130</v>
      </c>
      <c r="L317" s="36"/>
      <c r="M317" s="36"/>
      <c r="N317" s="36"/>
      <c r="O317" s="36"/>
      <c r="P317" s="36"/>
      <c r="Q317" s="36"/>
      <c r="R317" s="36"/>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row>
    <row r="318" spans="1:43" x14ac:dyDescent="0.3">
      <c r="A318" s="303"/>
      <c r="B318" s="168"/>
      <c r="C318" s="159"/>
      <c r="D318" s="159"/>
      <c r="E318" s="54"/>
      <c r="F318" s="54"/>
      <c r="G318" s="54"/>
      <c r="H318" s="54"/>
      <c r="I318" s="54"/>
      <c r="J318" s="54"/>
      <c r="K318" s="240"/>
      <c r="L318" s="234"/>
      <c r="M318" s="234"/>
      <c r="N318" s="234"/>
      <c r="O318" s="234"/>
      <c r="P318" s="234"/>
      <c r="Q318" s="234"/>
      <c r="R318" s="234"/>
    </row>
    <row r="319" spans="1:43" s="216" customFormat="1" ht="151.80000000000001" x14ac:dyDescent="0.3">
      <c r="A319" s="84" t="s">
        <v>1623</v>
      </c>
      <c r="B319" s="62" t="s">
        <v>1494</v>
      </c>
      <c r="C319" s="182"/>
      <c r="D319" s="182"/>
      <c r="E319" s="120"/>
      <c r="F319" s="120"/>
      <c r="G319" s="120"/>
      <c r="H319" s="120"/>
      <c r="I319" s="120"/>
      <c r="J319" s="120"/>
      <c r="K319" s="31">
        <v>689</v>
      </c>
      <c r="L319" s="234">
        <f t="shared" si="31"/>
        <v>259.4085</v>
      </c>
      <c r="M319" s="234">
        <f t="shared" si="32"/>
        <v>259.4085</v>
      </c>
      <c r="N319" s="234">
        <f t="shared" si="33"/>
        <v>311.428</v>
      </c>
      <c r="O319" s="234">
        <f t="shared" si="34"/>
        <v>261.13100000000003</v>
      </c>
      <c r="P319" s="234">
        <f t="shared" si="28"/>
        <v>343.81099999999998</v>
      </c>
      <c r="Q319" s="234">
        <f t="shared" si="29"/>
        <v>296.27</v>
      </c>
      <c r="R319" s="234">
        <f t="shared" si="30"/>
        <v>332.78699999999998</v>
      </c>
    </row>
    <row r="320" spans="1:43" x14ac:dyDescent="0.3">
      <c r="A320" s="128"/>
      <c r="B320" s="187"/>
      <c r="C320" s="275"/>
      <c r="D320" s="275"/>
      <c r="E320" s="263"/>
      <c r="F320" s="263"/>
      <c r="G320" s="263"/>
      <c r="H320" s="263"/>
      <c r="I320" s="263"/>
      <c r="J320" s="263"/>
      <c r="K320" s="240"/>
      <c r="L320" s="234"/>
      <c r="M320" s="234"/>
      <c r="N320" s="234"/>
      <c r="O320" s="234"/>
      <c r="P320" s="234"/>
      <c r="Q320" s="234"/>
      <c r="R320" s="234"/>
    </row>
    <row r="321" spans="1:43" ht="151.80000000000001" x14ac:dyDescent="0.3">
      <c r="A321" s="269" t="s">
        <v>1624</v>
      </c>
      <c r="B321" s="187" t="s">
        <v>733</v>
      </c>
      <c r="C321" s="275"/>
      <c r="D321" s="275"/>
      <c r="E321" s="263"/>
      <c r="F321" s="263"/>
      <c r="G321" s="263"/>
      <c r="H321" s="263"/>
      <c r="I321" s="263"/>
      <c r="J321" s="263"/>
      <c r="K321" s="37">
        <v>873</v>
      </c>
      <c r="L321" s="234">
        <f t="shared" si="31"/>
        <v>328.68450000000001</v>
      </c>
      <c r="M321" s="234">
        <f t="shared" si="32"/>
        <v>328.68450000000001</v>
      </c>
      <c r="N321" s="234">
        <f t="shared" si="33"/>
        <v>394.596</v>
      </c>
      <c r="O321" s="234">
        <f t="shared" si="34"/>
        <v>330.86700000000002</v>
      </c>
      <c r="P321" s="234">
        <f t="shared" si="28"/>
        <v>435.62700000000001</v>
      </c>
      <c r="Q321" s="234">
        <f t="shared" si="29"/>
        <v>375.39</v>
      </c>
      <c r="R321" s="234">
        <f t="shared" si="30"/>
        <v>421.65899999999999</v>
      </c>
    </row>
    <row r="322" spans="1:43" x14ac:dyDescent="0.3">
      <c r="A322" s="269"/>
      <c r="B322" s="187"/>
      <c r="C322" s="275"/>
      <c r="D322" s="275"/>
      <c r="E322" s="263"/>
      <c r="F322" s="263"/>
      <c r="G322" s="263"/>
      <c r="H322" s="263"/>
      <c r="I322" s="263"/>
      <c r="J322" s="263"/>
      <c r="K322" s="240"/>
      <c r="L322" s="234"/>
      <c r="M322" s="234"/>
      <c r="N322" s="234"/>
      <c r="O322" s="234"/>
      <c r="P322" s="234"/>
      <c r="Q322" s="234"/>
      <c r="R322" s="234"/>
    </row>
    <row r="323" spans="1:43" s="16" customFormat="1" ht="27.6" x14ac:dyDescent="0.3">
      <c r="A323" s="169" t="s">
        <v>734</v>
      </c>
      <c r="B323" s="36" t="s">
        <v>287</v>
      </c>
      <c r="C323" s="36" t="s">
        <v>127</v>
      </c>
      <c r="D323" s="36"/>
      <c r="E323" s="36" t="s">
        <v>735</v>
      </c>
      <c r="F323" s="36" t="s">
        <v>733</v>
      </c>
      <c r="G323" s="36"/>
      <c r="H323" s="36"/>
      <c r="I323" s="36"/>
      <c r="J323" s="36"/>
      <c r="K323" s="19"/>
      <c r="L323" s="36"/>
      <c r="M323" s="36"/>
      <c r="N323" s="36"/>
      <c r="O323" s="36"/>
      <c r="P323" s="36"/>
      <c r="Q323" s="36"/>
      <c r="R323" s="36"/>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row>
    <row r="324" spans="1:43" x14ac:dyDescent="0.3">
      <c r="A324" s="112" t="s">
        <v>143</v>
      </c>
      <c r="B324" s="119"/>
      <c r="C324" s="119"/>
      <c r="D324" s="119"/>
      <c r="E324" s="293"/>
      <c r="F324" s="293"/>
      <c r="G324" s="293"/>
      <c r="H324" s="293"/>
      <c r="I324" s="293"/>
      <c r="J324" s="293"/>
      <c r="K324" s="131"/>
      <c r="L324" s="131"/>
      <c r="M324" s="131"/>
      <c r="N324" s="131"/>
      <c r="O324" s="131"/>
      <c r="P324" s="131"/>
      <c r="Q324" s="131"/>
      <c r="R324" s="131"/>
    </row>
    <row r="325" spans="1:43" s="330" customFormat="1" x14ac:dyDescent="0.3">
      <c r="A325" s="82" t="s">
        <v>1632</v>
      </c>
      <c r="B325" s="82" t="s">
        <v>1631</v>
      </c>
      <c r="C325" s="123" t="s">
        <v>294</v>
      </c>
      <c r="D325" s="123" t="s">
        <v>294</v>
      </c>
      <c r="E325" s="298"/>
      <c r="F325" s="298" t="s">
        <v>736</v>
      </c>
      <c r="G325" s="298"/>
      <c r="H325" s="298"/>
      <c r="I325" s="298"/>
      <c r="J325" s="85"/>
      <c r="K325" s="37">
        <v>122</v>
      </c>
      <c r="L325" s="234">
        <f t="shared" si="31"/>
        <v>45.933</v>
      </c>
      <c r="M325" s="234">
        <f t="shared" si="32"/>
        <v>45.933</v>
      </c>
      <c r="N325" s="234">
        <f t="shared" si="33"/>
        <v>55.143999999999998</v>
      </c>
      <c r="O325" s="234">
        <f t="shared" si="34"/>
        <v>46.238</v>
      </c>
      <c r="P325" s="234">
        <f t="shared" si="28"/>
        <v>60.878</v>
      </c>
      <c r="Q325" s="234">
        <f t="shared" si="29"/>
        <v>52.46</v>
      </c>
      <c r="R325" s="234">
        <f t="shared" si="30"/>
        <v>58.925999999999995</v>
      </c>
      <c r="S325" s="221"/>
      <c r="T325" s="221"/>
      <c r="U325" s="221"/>
      <c r="V325" s="221"/>
      <c r="W325" s="221"/>
      <c r="X325" s="221"/>
      <c r="Y325" s="221"/>
      <c r="Z325" s="221"/>
      <c r="AA325" s="221"/>
      <c r="AB325" s="221"/>
      <c r="AC325" s="221"/>
      <c r="AD325" s="221"/>
      <c r="AE325" s="221"/>
      <c r="AF325" s="221"/>
      <c r="AG325" s="221"/>
      <c r="AH325" s="221"/>
      <c r="AI325" s="221"/>
      <c r="AJ325" s="221"/>
      <c r="AK325" s="221"/>
      <c r="AL325" s="221"/>
      <c r="AM325" s="221"/>
      <c r="AN325" s="221"/>
      <c r="AO325" s="221"/>
      <c r="AP325" s="221"/>
      <c r="AQ325" s="221"/>
    </row>
    <row r="326" spans="1:43" s="226" customFormat="1" x14ac:dyDescent="0.3">
      <c r="A326" s="82" t="s">
        <v>1633</v>
      </c>
      <c r="B326" s="82" t="s">
        <v>737</v>
      </c>
      <c r="C326" s="160" t="s">
        <v>294</v>
      </c>
      <c r="D326" s="160" t="s">
        <v>294</v>
      </c>
      <c r="E326" s="57" t="s">
        <v>738</v>
      </c>
      <c r="F326" s="57"/>
      <c r="G326" s="57"/>
      <c r="H326" s="57"/>
      <c r="I326" s="57"/>
      <c r="J326" s="39"/>
      <c r="K326" s="31">
        <v>122</v>
      </c>
      <c r="L326" s="234">
        <f t="shared" si="31"/>
        <v>45.933</v>
      </c>
      <c r="M326" s="234">
        <f t="shared" si="32"/>
        <v>45.933</v>
      </c>
      <c r="N326" s="234">
        <f t="shared" si="33"/>
        <v>55.143999999999998</v>
      </c>
      <c r="O326" s="234">
        <f t="shared" si="34"/>
        <v>46.238</v>
      </c>
      <c r="P326" s="234">
        <f t="shared" si="28"/>
        <v>60.878</v>
      </c>
      <c r="Q326" s="234">
        <f t="shared" si="29"/>
        <v>52.46</v>
      </c>
      <c r="R326" s="234">
        <f t="shared" si="30"/>
        <v>58.925999999999995</v>
      </c>
    </row>
    <row r="327" spans="1:43" s="226" customFormat="1" x14ac:dyDescent="0.3">
      <c r="A327" s="82" t="s">
        <v>1634</v>
      </c>
      <c r="B327" s="82" t="s">
        <v>739</v>
      </c>
      <c r="C327" s="160" t="s">
        <v>294</v>
      </c>
      <c r="D327" s="160" t="s">
        <v>294</v>
      </c>
      <c r="E327" s="57" t="s">
        <v>740</v>
      </c>
      <c r="F327" s="57"/>
      <c r="G327" s="57"/>
      <c r="H327" s="57"/>
      <c r="I327" s="57"/>
      <c r="J327" s="39"/>
      <c r="K327" s="31">
        <v>249</v>
      </c>
      <c r="L327" s="234">
        <f t="shared" si="31"/>
        <v>93.748500000000007</v>
      </c>
      <c r="M327" s="234">
        <f t="shared" si="32"/>
        <v>93.748500000000007</v>
      </c>
      <c r="N327" s="234">
        <f t="shared" si="33"/>
        <v>112.548</v>
      </c>
      <c r="O327" s="234">
        <f t="shared" si="34"/>
        <v>94.370999999999995</v>
      </c>
      <c r="P327" s="234">
        <f t="shared" si="28"/>
        <v>124.251</v>
      </c>
      <c r="Q327" s="234">
        <f t="shared" si="29"/>
        <v>107.07</v>
      </c>
      <c r="R327" s="234">
        <f t="shared" si="30"/>
        <v>120.267</v>
      </c>
    </row>
    <row r="328" spans="1:43" s="330" customFormat="1" x14ac:dyDescent="0.3">
      <c r="A328" s="156" t="s">
        <v>1635</v>
      </c>
      <c r="B328" s="156" t="s">
        <v>741</v>
      </c>
      <c r="C328" s="123" t="s">
        <v>294</v>
      </c>
      <c r="D328" s="123" t="s">
        <v>294</v>
      </c>
      <c r="E328" s="298"/>
      <c r="F328" s="298" t="s">
        <v>742</v>
      </c>
      <c r="G328" s="298"/>
      <c r="H328" s="298"/>
      <c r="I328" s="298"/>
      <c r="J328" s="85"/>
      <c r="K328" s="37">
        <v>249</v>
      </c>
      <c r="L328" s="234">
        <f t="shared" si="31"/>
        <v>93.748500000000007</v>
      </c>
      <c r="M328" s="234">
        <f t="shared" si="32"/>
        <v>93.748500000000007</v>
      </c>
      <c r="N328" s="234">
        <f t="shared" si="33"/>
        <v>112.548</v>
      </c>
      <c r="O328" s="234">
        <f t="shared" si="34"/>
        <v>94.370999999999995</v>
      </c>
      <c r="P328" s="234">
        <f t="shared" si="28"/>
        <v>124.251</v>
      </c>
      <c r="Q328" s="234">
        <f t="shared" si="29"/>
        <v>107.07</v>
      </c>
      <c r="R328" s="234">
        <f t="shared" si="30"/>
        <v>120.267</v>
      </c>
      <c r="S328" s="221"/>
      <c r="T328" s="221"/>
      <c r="U328" s="221"/>
      <c r="V328" s="221"/>
      <c r="W328" s="221"/>
      <c r="X328" s="221"/>
      <c r="Y328" s="221"/>
      <c r="Z328" s="221"/>
      <c r="AA328" s="221"/>
      <c r="AB328" s="221"/>
      <c r="AC328" s="221"/>
      <c r="AD328" s="221"/>
      <c r="AE328" s="221"/>
      <c r="AF328" s="221"/>
      <c r="AG328" s="221"/>
      <c r="AH328" s="221"/>
      <c r="AI328" s="221"/>
      <c r="AJ328" s="221"/>
      <c r="AK328" s="221"/>
      <c r="AL328" s="221"/>
      <c r="AM328" s="221"/>
      <c r="AN328" s="221"/>
      <c r="AO328" s="221"/>
      <c r="AP328" s="221"/>
      <c r="AQ328" s="221"/>
    </row>
    <row r="329" spans="1:43" s="330" customFormat="1" x14ac:dyDescent="0.3">
      <c r="A329" s="303"/>
      <c r="B329" s="168"/>
      <c r="C329" s="159"/>
      <c r="D329" s="159"/>
      <c r="E329" s="54"/>
      <c r="F329" s="54"/>
      <c r="G329" s="54"/>
      <c r="H329" s="54"/>
      <c r="I329" s="54"/>
      <c r="J329" s="54"/>
      <c r="K329" s="37"/>
      <c r="L329" s="234">
        <f t="shared" si="31"/>
        <v>0</v>
      </c>
      <c r="M329" s="234">
        <f t="shared" si="32"/>
        <v>0</v>
      </c>
      <c r="N329" s="234">
        <f t="shared" si="33"/>
        <v>0</v>
      </c>
      <c r="O329" s="234">
        <f t="shared" si="34"/>
        <v>0</v>
      </c>
      <c r="P329" s="234"/>
      <c r="Q329" s="234"/>
      <c r="R329" s="234"/>
      <c r="S329" s="221"/>
      <c r="T329" s="221"/>
      <c r="U329" s="221"/>
      <c r="V329" s="221"/>
      <c r="W329" s="221"/>
      <c r="X329" s="221"/>
      <c r="Y329" s="221"/>
      <c r="Z329" s="221"/>
      <c r="AA329" s="221"/>
      <c r="AB329" s="221"/>
      <c r="AC329" s="221"/>
      <c r="AD329" s="221"/>
      <c r="AE329" s="221"/>
      <c r="AF329" s="221"/>
      <c r="AG329" s="221"/>
      <c r="AH329" s="221"/>
      <c r="AI329" s="221"/>
      <c r="AJ329" s="221"/>
      <c r="AK329" s="221"/>
      <c r="AL329" s="221"/>
      <c r="AM329" s="221"/>
      <c r="AN329" s="221"/>
      <c r="AO329" s="221"/>
      <c r="AP329" s="221"/>
      <c r="AQ329" s="221"/>
    </row>
    <row r="330" spans="1:43" s="330" customFormat="1" x14ac:dyDescent="0.3">
      <c r="A330" s="112" t="s">
        <v>1545</v>
      </c>
      <c r="B330" s="119"/>
      <c r="C330" s="119"/>
      <c r="D330" s="119"/>
      <c r="E330" s="293"/>
      <c r="F330" s="293"/>
      <c r="G330" s="293"/>
      <c r="H330" s="293"/>
      <c r="I330" s="293"/>
      <c r="J330" s="293"/>
      <c r="K330" s="131"/>
      <c r="L330" s="131"/>
      <c r="M330" s="131"/>
      <c r="N330" s="131"/>
      <c r="O330" s="131"/>
      <c r="P330" s="131"/>
      <c r="Q330" s="131"/>
      <c r="R330" s="131"/>
      <c r="S330" s="221"/>
      <c r="T330" s="221"/>
      <c r="U330" s="221"/>
      <c r="V330" s="221"/>
      <c r="W330" s="221"/>
      <c r="X330" s="221"/>
      <c r="Y330" s="221"/>
      <c r="Z330" s="221"/>
      <c r="AA330" s="221"/>
      <c r="AB330" s="221"/>
      <c r="AC330" s="221"/>
      <c r="AD330" s="221"/>
      <c r="AE330" s="221"/>
      <c r="AF330" s="221"/>
      <c r="AG330" s="221"/>
      <c r="AH330" s="221"/>
      <c r="AI330" s="221"/>
      <c r="AJ330" s="221"/>
      <c r="AK330" s="221"/>
      <c r="AL330" s="221"/>
      <c r="AM330" s="221"/>
      <c r="AN330" s="221"/>
      <c r="AO330" s="221"/>
      <c r="AP330" s="221"/>
      <c r="AQ330" s="221"/>
    </row>
    <row r="331" spans="1:43" s="225" customFormat="1" x14ac:dyDescent="0.3">
      <c r="A331" s="82" t="s">
        <v>1722</v>
      </c>
      <c r="B331" s="82" t="s">
        <v>743</v>
      </c>
      <c r="C331" s="160"/>
      <c r="D331" s="160"/>
      <c r="E331" s="57" t="s">
        <v>744</v>
      </c>
      <c r="F331" s="57"/>
      <c r="G331" s="57"/>
      <c r="H331" s="57"/>
      <c r="I331" s="57"/>
      <c r="J331" s="39"/>
      <c r="K331" s="31">
        <v>46</v>
      </c>
      <c r="L331" s="234">
        <f t="shared" si="31"/>
        <v>17.318999999999999</v>
      </c>
      <c r="M331" s="234">
        <f t="shared" si="32"/>
        <v>17.318999999999999</v>
      </c>
      <c r="N331" s="234">
        <f t="shared" si="33"/>
        <v>20.792000000000002</v>
      </c>
      <c r="O331" s="234">
        <f t="shared" si="34"/>
        <v>17.434000000000001</v>
      </c>
      <c r="P331" s="234">
        <f t="shared" ref="P331:P385" si="35">K331*$P$9</f>
        <v>22.954000000000001</v>
      </c>
      <c r="Q331" s="234">
        <f t="shared" ref="Q331:Q385" si="36">K331*$Q$9</f>
        <v>19.78</v>
      </c>
      <c r="R331" s="234">
        <f t="shared" ref="R331:R385" si="37">K331*$R$9</f>
        <v>22.218</v>
      </c>
      <c r="S331" s="221"/>
      <c r="T331" s="221"/>
      <c r="U331" s="221"/>
      <c r="V331" s="221"/>
      <c r="W331" s="221"/>
      <c r="X331" s="221"/>
      <c r="Y331" s="221"/>
      <c r="Z331" s="221"/>
      <c r="AA331" s="221"/>
      <c r="AB331" s="221"/>
      <c r="AC331" s="221"/>
      <c r="AD331" s="221"/>
      <c r="AE331" s="221"/>
      <c r="AF331" s="221"/>
      <c r="AG331" s="221"/>
      <c r="AH331" s="221"/>
      <c r="AI331" s="221"/>
      <c r="AJ331" s="221"/>
      <c r="AK331" s="221"/>
      <c r="AL331" s="221"/>
      <c r="AM331" s="221"/>
      <c r="AN331" s="221"/>
      <c r="AO331" s="221"/>
      <c r="AP331" s="221"/>
      <c r="AQ331" s="221"/>
    </row>
    <row r="332" spans="1:43" s="225" customFormat="1" x14ac:dyDescent="0.3">
      <c r="A332" s="82" t="s">
        <v>1723</v>
      </c>
      <c r="B332" s="82" t="s">
        <v>745</v>
      </c>
      <c r="C332" s="160"/>
      <c r="D332" s="160"/>
      <c r="E332" s="57" t="s">
        <v>746</v>
      </c>
      <c r="F332" s="57"/>
      <c r="G332" s="57"/>
      <c r="H332" s="57"/>
      <c r="I332" s="57"/>
      <c r="J332" s="39"/>
      <c r="K332" s="31">
        <v>76</v>
      </c>
      <c r="L332" s="234">
        <f t="shared" si="31"/>
        <v>28.614000000000001</v>
      </c>
      <c r="M332" s="234">
        <f t="shared" si="32"/>
        <v>28.614000000000001</v>
      </c>
      <c r="N332" s="234">
        <f t="shared" si="33"/>
        <v>34.352000000000004</v>
      </c>
      <c r="O332" s="234">
        <f t="shared" si="34"/>
        <v>28.804000000000002</v>
      </c>
      <c r="P332" s="234">
        <f t="shared" si="35"/>
        <v>37.923999999999999</v>
      </c>
      <c r="Q332" s="234">
        <f t="shared" si="36"/>
        <v>32.68</v>
      </c>
      <c r="R332" s="234">
        <f t="shared" si="37"/>
        <v>36.707999999999998</v>
      </c>
      <c r="S332" s="221"/>
      <c r="T332" s="221"/>
      <c r="U332" s="221"/>
      <c r="V332" s="221"/>
      <c r="W332" s="221"/>
      <c r="X332" s="221"/>
      <c r="Y332" s="221"/>
      <c r="Z332" s="221"/>
      <c r="AA332" s="221"/>
      <c r="AB332" s="221"/>
      <c r="AC332" s="221"/>
      <c r="AD332" s="221"/>
      <c r="AE332" s="221"/>
      <c r="AF332" s="221"/>
      <c r="AG332" s="221"/>
      <c r="AH332" s="221"/>
      <c r="AI332" s="221"/>
      <c r="AJ332" s="221"/>
      <c r="AK332" s="221"/>
      <c r="AL332" s="221"/>
      <c r="AM332" s="221"/>
      <c r="AN332" s="221"/>
      <c r="AO332" s="221"/>
      <c r="AP332" s="221"/>
      <c r="AQ332" s="221"/>
    </row>
    <row r="333" spans="1:43" s="225" customFormat="1" x14ac:dyDescent="0.3">
      <c r="A333" s="82" t="s">
        <v>1724</v>
      </c>
      <c r="B333" s="82" t="s">
        <v>747</v>
      </c>
      <c r="C333" s="182"/>
      <c r="D333" s="182"/>
      <c r="E333" s="57" t="s">
        <v>748</v>
      </c>
      <c r="F333" s="120"/>
      <c r="G333" s="120"/>
      <c r="H333" s="120"/>
      <c r="I333" s="120"/>
      <c r="J333" s="120"/>
      <c r="K333" s="31">
        <v>104</v>
      </c>
      <c r="L333" s="234">
        <f t="shared" si="31"/>
        <v>39.155999999999999</v>
      </c>
      <c r="M333" s="234">
        <f t="shared" si="32"/>
        <v>39.155999999999999</v>
      </c>
      <c r="N333" s="234">
        <f t="shared" si="33"/>
        <v>47.008000000000003</v>
      </c>
      <c r="O333" s="234">
        <f t="shared" si="34"/>
        <v>39.415999999999997</v>
      </c>
      <c r="P333" s="234">
        <f t="shared" si="35"/>
        <v>51.896000000000001</v>
      </c>
      <c r="Q333" s="234">
        <f t="shared" si="36"/>
        <v>44.72</v>
      </c>
      <c r="R333" s="234">
        <f t="shared" si="37"/>
        <v>50.231999999999999</v>
      </c>
      <c r="S333" s="221"/>
      <c r="T333" s="221"/>
      <c r="U333" s="221"/>
      <c r="V333" s="221"/>
      <c r="W333" s="221"/>
      <c r="X333" s="221"/>
      <c r="Y333" s="221"/>
      <c r="Z333" s="221"/>
      <c r="AA333" s="221"/>
      <c r="AB333" s="221"/>
      <c r="AC333" s="221"/>
      <c r="AD333" s="221"/>
      <c r="AE333" s="221"/>
      <c r="AF333" s="221"/>
      <c r="AG333" s="221"/>
      <c r="AH333" s="221"/>
      <c r="AI333" s="221"/>
      <c r="AJ333" s="221"/>
      <c r="AK333" s="221"/>
      <c r="AL333" s="221"/>
      <c r="AM333" s="221"/>
      <c r="AN333" s="221"/>
      <c r="AO333" s="221"/>
      <c r="AP333" s="221"/>
      <c r="AQ333" s="221"/>
    </row>
    <row r="334" spans="1:43" s="225" customFormat="1" x14ac:dyDescent="0.3">
      <c r="A334" s="82"/>
      <c r="B334" s="82"/>
      <c r="C334" s="182"/>
      <c r="D334" s="182"/>
      <c r="E334" s="57"/>
      <c r="F334" s="120"/>
      <c r="G334" s="120"/>
      <c r="H334" s="120"/>
      <c r="I334" s="120"/>
      <c r="J334" s="120"/>
      <c r="K334" s="31"/>
      <c r="L334" s="234"/>
      <c r="M334" s="234"/>
      <c r="N334" s="234"/>
      <c r="O334" s="234"/>
      <c r="P334" s="234"/>
      <c r="Q334" s="234"/>
      <c r="R334" s="234"/>
      <c r="S334" s="221"/>
      <c r="T334" s="221"/>
      <c r="U334" s="221"/>
      <c r="V334" s="221"/>
      <c r="W334" s="221"/>
      <c r="X334" s="221"/>
      <c r="Y334" s="221"/>
      <c r="Z334" s="221"/>
      <c r="AA334" s="221"/>
      <c r="AB334" s="221"/>
      <c r="AC334" s="221"/>
      <c r="AD334" s="221"/>
      <c r="AE334" s="221"/>
      <c r="AF334" s="221"/>
      <c r="AG334" s="221"/>
      <c r="AH334" s="221"/>
      <c r="AI334" s="221"/>
      <c r="AJ334" s="221"/>
      <c r="AK334" s="221"/>
      <c r="AL334" s="221"/>
      <c r="AM334" s="221"/>
      <c r="AN334" s="221"/>
      <c r="AO334" s="221"/>
      <c r="AP334" s="221"/>
      <c r="AQ334" s="221"/>
    </row>
    <row r="335" spans="1:43" s="330" customFormat="1" x14ac:dyDescent="0.3">
      <c r="A335" s="112" t="s">
        <v>749</v>
      </c>
      <c r="B335" s="119"/>
      <c r="C335" s="119"/>
      <c r="D335" s="119"/>
      <c r="E335" s="293"/>
      <c r="F335" s="293"/>
      <c r="G335" s="293"/>
      <c r="H335" s="293"/>
      <c r="I335" s="293"/>
      <c r="J335" s="293"/>
      <c r="K335" s="131"/>
      <c r="L335" s="131"/>
      <c r="M335" s="131"/>
      <c r="N335" s="131"/>
      <c r="O335" s="131"/>
      <c r="P335" s="131"/>
      <c r="Q335" s="131"/>
      <c r="R335" s="131"/>
      <c r="S335" s="221"/>
      <c r="T335" s="221"/>
      <c r="U335" s="221"/>
      <c r="V335" s="221"/>
      <c r="W335" s="221"/>
      <c r="X335" s="221"/>
      <c r="Y335" s="221"/>
      <c r="Z335" s="221"/>
      <c r="AA335" s="221"/>
      <c r="AB335" s="221"/>
      <c r="AC335" s="221"/>
      <c r="AD335" s="221"/>
      <c r="AE335" s="221"/>
      <c r="AF335" s="221"/>
      <c r="AG335" s="221"/>
      <c r="AH335" s="221"/>
      <c r="AI335" s="221"/>
      <c r="AJ335" s="221"/>
      <c r="AK335" s="221"/>
      <c r="AL335" s="221"/>
      <c r="AM335" s="221"/>
      <c r="AN335" s="221"/>
      <c r="AO335" s="221"/>
      <c r="AP335" s="221"/>
      <c r="AQ335" s="221"/>
    </row>
    <row r="336" spans="1:43" s="330" customFormat="1" x14ac:dyDescent="0.3">
      <c r="A336" s="82" t="s">
        <v>1725</v>
      </c>
      <c r="B336" s="156" t="s">
        <v>750</v>
      </c>
      <c r="C336" s="123"/>
      <c r="D336" s="123"/>
      <c r="E336" s="298"/>
      <c r="F336" s="298" t="s">
        <v>751</v>
      </c>
      <c r="G336" s="298"/>
      <c r="H336" s="298"/>
      <c r="I336" s="298"/>
      <c r="J336" s="85"/>
      <c r="K336" s="37">
        <v>57</v>
      </c>
      <c r="L336" s="234">
        <f t="shared" ref="L336" si="38">K336*$L$9</f>
        <v>21.4605</v>
      </c>
      <c r="M336" s="234">
        <f t="shared" si="32"/>
        <v>21.4605</v>
      </c>
      <c r="N336" s="234">
        <f t="shared" si="33"/>
        <v>25.763999999999999</v>
      </c>
      <c r="O336" s="234">
        <f t="shared" si="34"/>
        <v>21.603000000000002</v>
      </c>
      <c r="P336" s="234">
        <f t="shared" si="35"/>
        <v>28.443000000000001</v>
      </c>
      <c r="Q336" s="234">
        <f t="shared" si="36"/>
        <v>24.509999999999998</v>
      </c>
      <c r="R336" s="234">
        <f t="shared" si="37"/>
        <v>27.530999999999999</v>
      </c>
      <c r="S336" s="221"/>
      <c r="T336" s="221"/>
      <c r="U336" s="221"/>
      <c r="V336" s="221"/>
      <c r="W336" s="221"/>
      <c r="X336" s="221"/>
      <c r="Y336" s="221"/>
      <c r="Z336" s="221"/>
      <c r="AA336" s="221"/>
      <c r="AB336" s="221"/>
      <c r="AC336" s="221"/>
      <c r="AD336" s="221"/>
      <c r="AE336" s="221"/>
      <c r="AF336" s="221"/>
      <c r="AG336" s="221"/>
      <c r="AH336" s="221"/>
      <c r="AI336" s="221"/>
      <c r="AJ336" s="221"/>
      <c r="AK336" s="221"/>
      <c r="AL336" s="221"/>
      <c r="AM336" s="221"/>
      <c r="AN336" s="221"/>
      <c r="AO336" s="221"/>
      <c r="AP336" s="221"/>
      <c r="AQ336" s="221"/>
    </row>
    <row r="337" spans="1:43" s="330" customFormat="1" x14ac:dyDescent="0.3">
      <c r="A337" s="303"/>
      <c r="B337" s="168"/>
      <c r="C337" s="159"/>
      <c r="D337" s="159"/>
      <c r="E337" s="54"/>
      <c r="F337" s="54"/>
      <c r="G337" s="54"/>
      <c r="H337" s="54"/>
      <c r="I337" s="54"/>
      <c r="J337" s="54"/>
      <c r="K337" s="37"/>
      <c r="L337" s="234"/>
      <c r="M337" s="234"/>
      <c r="N337" s="234"/>
      <c r="O337" s="234"/>
      <c r="P337" s="234"/>
      <c r="Q337" s="234"/>
      <c r="R337" s="234"/>
      <c r="S337" s="221"/>
      <c r="T337" s="221"/>
      <c r="U337" s="221"/>
      <c r="V337" s="221"/>
      <c r="W337" s="221"/>
      <c r="X337" s="221"/>
      <c r="Y337" s="221"/>
      <c r="Z337" s="221"/>
      <c r="AA337" s="221"/>
      <c r="AB337" s="221"/>
      <c r="AC337" s="221"/>
      <c r="AD337" s="221"/>
      <c r="AE337" s="221"/>
      <c r="AF337" s="221"/>
      <c r="AG337" s="221"/>
      <c r="AH337" s="221"/>
      <c r="AI337" s="221"/>
      <c r="AJ337" s="221"/>
      <c r="AK337" s="221"/>
      <c r="AL337" s="221"/>
      <c r="AM337" s="221"/>
      <c r="AN337" s="221"/>
      <c r="AO337" s="221"/>
      <c r="AP337" s="221"/>
      <c r="AQ337" s="221"/>
    </row>
    <row r="338" spans="1:43" s="330" customFormat="1" x14ac:dyDescent="0.3">
      <c r="A338" s="112" t="s">
        <v>1544</v>
      </c>
      <c r="B338" s="119"/>
      <c r="C338" s="119"/>
      <c r="D338" s="119"/>
      <c r="E338" s="293"/>
      <c r="F338" s="293"/>
      <c r="G338" s="293"/>
      <c r="H338" s="293"/>
      <c r="I338" s="293"/>
      <c r="J338" s="293"/>
      <c r="K338" s="131"/>
      <c r="L338" s="131"/>
      <c r="M338" s="131"/>
      <c r="N338" s="131"/>
      <c r="O338" s="131"/>
      <c r="P338" s="131"/>
      <c r="Q338" s="131"/>
      <c r="R338" s="131"/>
      <c r="S338" s="221"/>
      <c r="T338" s="221"/>
      <c r="U338" s="221"/>
      <c r="V338" s="221"/>
      <c r="W338" s="221"/>
      <c r="X338" s="221"/>
      <c r="Y338" s="221"/>
      <c r="Z338" s="221"/>
      <c r="AA338" s="221"/>
      <c r="AB338" s="221"/>
      <c r="AC338" s="221"/>
      <c r="AD338" s="221"/>
      <c r="AE338" s="221"/>
      <c r="AF338" s="221"/>
      <c r="AG338" s="221"/>
      <c r="AH338" s="221"/>
      <c r="AI338" s="221"/>
      <c r="AJ338" s="221"/>
      <c r="AK338" s="221"/>
      <c r="AL338" s="221"/>
      <c r="AM338" s="221"/>
      <c r="AN338" s="221"/>
      <c r="AO338" s="221"/>
      <c r="AP338" s="221"/>
      <c r="AQ338" s="221"/>
    </row>
    <row r="339" spans="1:43" s="226" customFormat="1" x14ac:dyDescent="0.3">
      <c r="A339" s="82" t="s">
        <v>1625</v>
      </c>
      <c r="B339" s="220" t="s">
        <v>752</v>
      </c>
      <c r="C339" s="227"/>
      <c r="D339" s="227"/>
      <c r="E339" s="57" t="s">
        <v>753</v>
      </c>
      <c r="F339" s="108"/>
      <c r="G339" s="108"/>
      <c r="H339" s="108"/>
      <c r="I339" s="108"/>
      <c r="J339" s="167"/>
      <c r="K339" s="31">
        <v>50</v>
      </c>
      <c r="L339" s="234">
        <f t="shared" ref="L339:L385" si="39">K339*$L$9</f>
        <v>18.824999999999999</v>
      </c>
      <c r="M339" s="234">
        <f t="shared" ref="M339:M385" si="40">K339*$M$9</f>
        <v>18.824999999999999</v>
      </c>
      <c r="N339" s="234">
        <f t="shared" ref="N339:N385" si="41">K339*$N$9</f>
        <v>22.6</v>
      </c>
      <c r="O339" s="234">
        <f t="shared" ref="O339:O385" si="42">K339*$O$9</f>
        <v>18.95</v>
      </c>
      <c r="P339" s="234">
        <f t="shared" si="35"/>
        <v>24.95</v>
      </c>
      <c r="Q339" s="234">
        <f t="shared" si="36"/>
        <v>21.5</v>
      </c>
      <c r="R339" s="234">
        <f t="shared" si="37"/>
        <v>24.15</v>
      </c>
    </row>
    <row r="340" spans="1:43" s="226" customFormat="1" x14ac:dyDescent="0.3">
      <c r="A340" s="82"/>
      <c r="B340" s="220"/>
      <c r="C340" s="227"/>
      <c r="D340" s="227"/>
      <c r="E340" s="57"/>
      <c r="F340" s="108"/>
      <c r="G340" s="108"/>
      <c r="H340" s="108"/>
      <c r="I340" s="108"/>
      <c r="J340" s="167"/>
      <c r="K340" s="31"/>
      <c r="L340" s="234"/>
      <c r="M340" s="234"/>
      <c r="N340" s="234"/>
      <c r="O340" s="234"/>
      <c r="P340" s="234"/>
      <c r="Q340" s="234"/>
      <c r="R340" s="234"/>
    </row>
    <row r="341" spans="1:43" s="330" customFormat="1" x14ac:dyDescent="0.3">
      <c r="A341" s="112" t="s">
        <v>226</v>
      </c>
      <c r="B341" s="119"/>
      <c r="C341" s="119"/>
      <c r="D341" s="119"/>
      <c r="E341" s="293"/>
      <c r="F341" s="293"/>
      <c r="G341" s="293"/>
      <c r="H341" s="293"/>
      <c r="I341" s="293"/>
      <c r="J341" s="293"/>
      <c r="K341" s="131"/>
      <c r="L341" s="131"/>
      <c r="M341" s="131"/>
      <c r="N341" s="131"/>
      <c r="O341" s="131"/>
      <c r="P341" s="131"/>
      <c r="Q341" s="131"/>
      <c r="R341" s="131"/>
      <c r="S341" s="221"/>
      <c r="T341" s="221"/>
      <c r="U341" s="221"/>
      <c r="V341" s="221"/>
      <c r="W341" s="221"/>
      <c r="X341" s="221"/>
      <c r="Y341" s="221"/>
      <c r="Z341" s="221"/>
      <c r="AA341" s="221"/>
      <c r="AB341" s="221"/>
      <c r="AC341" s="221"/>
      <c r="AD341" s="221"/>
      <c r="AE341" s="221"/>
      <c r="AF341" s="221"/>
      <c r="AG341" s="221"/>
      <c r="AH341" s="221"/>
      <c r="AI341" s="221"/>
      <c r="AJ341" s="221"/>
      <c r="AK341" s="221"/>
      <c r="AL341" s="221"/>
      <c r="AM341" s="221"/>
      <c r="AN341" s="221"/>
      <c r="AO341" s="221"/>
      <c r="AP341" s="221"/>
      <c r="AQ341" s="221"/>
    </row>
    <row r="342" spans="1:43" s="310" customFormat="1" x14ac:dyDescent="0.3">
      <c r="A342" s="269" t="s">
        <v>754</v>
      </c>
      <c r="B342" s="269" t="s">
        <v>233</v>
      </c>
      <c r="C342" s="123"/>
      <c r="D342" s="123"/>
      <c r="E342" s="298"/>
      <c r="F342" s="298" t="s">
        <v>755</v>
      </c>
      <c r="G342" s="298"/>
      <c r="H342" s="298"/>
      <c r="I342" s="298"/>
      <c r="J342" s="85"/>
      <c r="K342" s="37">
        <v>0</v>
      </c>
      <c r="L342" s="234">
        <f t="shared" si="39"/>
        <v>0</v>
      </c>
      <c r="M342" s="234">
        <f t="shared" si="40"/>
        <v>0</v>
      </c>
      <c r="N342" s="234">
        <f t="shared" si="41"/>
        <v>0</v>
      </c>
      <c r="O342" s="234">
        <f t="shared" si="42"/>
        <v>0</v>
      </c>
      <c r="P342" s="234">
        <f t="shared" si="35"/>
        <v>0</v>
      </c>
      <c r="Q342" s="234">
        <f t="shared" si="36"/>
        <v>0</v>
      </c>
      <c r="R342" s="234">
        <f t="shared" si="37"/>
        <v>0</v>
      </c>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row>
    <row r="343" spans="1:43" s="219" customFormat="1" x14ac:dyDescent="0.3">
      <c r="A343" s="82" t="s">
        <v>756</v>
      </c>
      <c r="B343" s="82" t="s">
        <v>757</v>
      </c>
      <c r="C343" s="182"/>
      <c r="D343" s="182"/>
      <c r="E343" s="57" t="s">
        <v>758</v>
      </c>
      <c r="F343" s="120"/>
      <c r="G343" s="120"/>
      <c r="H343" s="120"/>
      <c r="I343" s="120"/>
      <c r="J343" s="120"/>
      <c r="K343" s="31">
        <v>0</v>
      </c>
      <c r="L343" s="234">
        <f t="shared" si="39"/>
        <v>0</v>
      </c>
      <c r="M343" s="234">
        <f t="shared" si="40"/>
        <v>0</v>
      </c>
      <c r="N343" s="234">
        <f t="shared" si="41"/>
        <v>0</v>
      </c>
      <c r="O343" s="234">
        <f t="shared" si="42"/>
        <v>0</v>
      </c>
      <c r="P343" s="234">
        <f t="shared" si="35"/>
        <v>0</v>
      </c>
      <c r="Q343" s="234">
        <f t="shared" si="36"/>
        <v>0</v>
      </c>
      <c r="R343" s="234">
        <f t="shared" si="37"/>
        <v>0</v>
      </c>
    </row>
    <row r="344" spans="1:43" s="219" customFormat="1" x14ac:dyDescent="0.3">
      <c r="A344" s="82"/>
      <c r="B344" s="82"/>
      <c r="C344" s="182"/>
      <c r="D344" s="182"/>
      <c r="E344" s="57"/>
      <c r="F344" s="120"/>
      <c r="G344" s="120"/>
      <c r="H344" s="120"/>
      <c r="I344" s="120"/>
      <c r="J344" s="120"/>
      <c r="K344" s="31"/>
      <c r="L344" s="234"/>
      <c r="M344" s="234"/>
      <c r="N344" s="234"/>
      <c r="O344" s="234"/>
      <c r="P344" s="234"/>
      <c r="Q344" s="234"/>
      <c r="R344" s="234"/>
    </row>
    <row r="345" spans="1:43" s="310" customFormat="1" x14ac:dyDescent="0.3">
      <c r="A345" s="112" t="s">
        <v>204</v>
      </c>
      <c r="B345" s="119"/>
      <c r="C345" s="119"/>
      <c r="D345" s="119"/>
      <c r="E345" s="293"/>
      <c r="F345" s="293"/>
      <c r="G345" s="293"/>
      <c r="H345" s="293"/>
      <c r="I345" s="293"/>
      <c r="J345" s="293"/>
      <c r="K345" s="131"/>
      <c r="L345" s="131"/>
      <c r="M345" s="131"/>
      <c r="N345" s="131"/>
      <c r="O345" s="131"/>
      <c r="P345" s="131"/>
      <c r="Q345" s="131"/>
      <c r="R345" s="131"/>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row>
    <row r="346" spans="1:43" s="310" customFormat="1" x14ac:dyDescent="0.3">
      <c r="A346" s="269" t="s">
        <v>760</v>
      </c>
      <c r="B346" s="269" t="s">
        <v>760</v>
      </c>
      <c r="C346" s="123"/>
      <c r="D346" s="123"/>
      <c r="E346" s="298"/>
      <c r="F346" s="298" t="s">
        <v>759</v>
      </c>
      <c r="G346" s="298"/>
      <c r="H346" s="298"/>
      <c r="I346" s="298"/>
      <c r="J346" s="85"/>
      <c r="K346" s="37">
        <v>6</v>
      </c>
      <c r="L346" s="234">
        <f t="shared" si="39"/>
        <v>2.2589999999999999</v>
      </c>
      <c r="M346" s="234">
        <f t="shared" si="40"/>
        <v>2.2589999999999999</v>
      </c>
      <c r="N346" s="234">
        <f t="shared" si="41"/>
        <v>2.7120000000000002</v>
      </c>
      <c r="O346" s="234">
        <f t="shared" si="42"/>
        <v>2.274</v>
      </c>
      <c r="P346" s="234">
        <f t="shared" si="35"/>
        <v>2.9939999999999998</v>
      </c>
      <c r="Q346" s="234">
        <f t="shared" si="36"/>
        <v>2.58</v>
      </c>
      <c r="R346" s="234">
        <f t="shared" si="37"/>
        <v>2.8979999999999997</v>
      </c>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row>
    <row r="347" spans="1:43" s="219" customFormat="1" x14ac:dyDescent="0.3">
      <c r="A347" s="82" t="s">
        <v>1726</v>
      </c>
      <c r="B347" s="269" t="s">
        <v>763</v>
      </c>
      <c r="C347" s="160"/>
      <c r="D347" s="160"/>
      <c r="E347" s="57" t="s">
        <v>761</v>
      </c>
      <c r="F347" s="57"/>
      <c r="G347" s="57"/>
      <c r="H347" s="57"/>
      <c r="I347" s="57"/>
      <c r="J347" s="39"/>
      <c r="K347" s="31">
        <v>6</v>
      </c>
      <c r="L347" s="234">
        <f t="shared" si="39"/>
        <v>2.2589999999999999</v>
      </c>
      <c r="M347" s="234">
        <f t="shared" si="40"/>
        <v>2.2589999999999999</v>
      </c>
      <c r="N347" s="234">
        <f t="shared" si="41"/>
        <v>2.7120000000000002</v>
      </c>
      <c r="O347" s="234">
        <f t="shared" si="42"/>
        <v>2.274</v>
      </c>
      <c r="P347" s="234">
        <f t="shared" si="35"/>
        <v>2.9939999999999998</v>
      </c>
      <c r="Q347" s="234">
        <f t="shared" si="36"/>
        <v>2.58</v>
      </c>
      <c r="R347" s="234">
        <f t="shared" si="37"/>
        <v>2.8979999999999997</v>
      </c>
    </row>
    <row r="348" spans="1:43" s="310" customFormat="1" x14ac:dyDescent="0.3">
      <c r="A348" s="269" t="s">
        <v>1727</v>
      </c>
      <c r="B348" s="269" t="s">
        <v>646</v>
      </c>
      <c r="C348" s="123"/>
      <c r="D348" s="123"/>
      <c r="E348" s="298"/>
      <c r="F348" s="298" t="s">
        <v>762</v>
      </c>
      <c r="G348" s="298"/>
      <c r="H348" s="298"/>
      <c r="I348" s="298"/>
      <c r="J348" s="85"/>
      <c r="K348" s="37">
        <v>6</v>
      </c>
      <c r="L348" s="234">
        <f t="shared" si="39"/>
        <v>2.2589999999999999</v>
      </c>
      <c r="M348" s="234">
        <f t="shared" si="40"/>
        <v>2.2589999999999999</v>
      </c>
      <c r="N348" s="234">
        <f t="shared" si="41"/>
        <v>2.7120000000000002</v>
      </c>
      <c r="O348" s="234">
        <f t="shared" si="42"/>
        <v>2.274</v>
      </c>
      <c r="P348" s="234">
        <f t="shared" si="35"/>
        <v>2.9939999999999998</v>
      </c>
      <c r="Q348" s="234">
        <f t="shared" si="36"/>
        <v>2.58</v>
      </c>
      <c r="R348" s="234">
        <f t="shared" si="37"/>
        <v>2.8979999999999997</v>
      </c>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row>
    <row r="349" spans="1:43" s="219" customFormat="1" x14ac:dyDescent="0.3">
      <c r="A349" s="82" t="s">
        <v>760</v>
      </c>
      <c r="B349" s="269" t="s">
        <v>760</v>
      </c>
      <c r="C349" s="160"/>
      <c r="D349" s="160"/>
      <c r="E349" s="57" t="s">
        <v>764</v>
      </c>
      <c r="F349" s="57"/>
      <c r="G349" s="57"/>
      <c r="H349" s="57"/>
      <c r="I349" s="57"/>
      <c r="J349" s="39"/>
      <c r="K349" s="31">
        <v>6</v>
      </c>
      <c r="L349" s="234">
        <f t="shared" si="39"/>
        <v>2.2589999999999999</v>
      </c>
      <c r="M349" s="234">
        <f t="shared" si="40"/>
        <v>2.2589999999999999</v>
      </c>
      <c r="N349" s="234">
        <f t="shared" si="41"/>
        <v>2.7120000000000002</v>
      </c>
      <c r="O349" s="234">
        <f t="shared" si="42"/>
        <v>2.274</v>
      </c>
      <c r="P349" s="234">
        <f t="shared" si="35"/>
        <v>2.9939999999999998</v>
      </c>
      <c r="Q349" s="234">
        <f t="shared" si="36"/>
        <v>2.58</v>
      </c>
      <c r="R349" s="234">
        <f t="shared" si="37"/>
        <v>2.8979999999999997</v>
      </c>
    </row>
    <row r="350" spans="1:43" x14ac:dyDescent="0.3">
      <c r="A350" s="269" t="s">
        <v>1728</v>
      </c>
      <c r="B350" s="269" t="s">
        <v>763</v>
      </c>
      <c r="C350" s="123"/>
      <c r="D350" s="123"/>
      <c r="E350" s="298"/>
      <c r="F350" s="298" t="s">
        <v>765</v>
      </c>
      <c r="G350" s="298"/>
      <c r="H350" s="298"/>
      <c r="I350" s="298"/>
      <c r="J350" s="85"/>
      <c r="K350" s="37">
        <v>82</v>
      </c>
      <c r="L350" s="234">
        <f t="shared" si="39"/>
        <v>30.873000000000001</v>
      </c>
      <c r="M350" s="234">
        <f t="shared" si="40"/>
        <v>30.873000000000001</v>
      </c>
      <c r="N350" s="234">
        <f t="shared" si="41"/>
        <v>37.064</v>
      </c>
      <c r="O350" s="234">
        <f t="shared" si="42"/>
        <v>31.077999999999999</v>
      </c>
      <c r="P350" s="234">
        <f t="shared" si="35"/>
        <v>40.917999999999999</v>
      </c>
      <c r="Q350" s="234">
        <f t="shared" si="36"/>
        <v>35.26</v>
      </c>
      <c r="R350" s="234">
        <f t="shared" si="37"/>
        <v>39.606000000000002</v>
      </c>
    </row>
    <row r="351" spans="1:43" s="219" customFormat="1" x14ac:dyDescent="0.3">
      <c r="A351" s="82" t="s">
        <v>1729</v>
      </c>
      <c r="B351" s="269" t="s">
        <v>429</v>
      </c>
      <c r="C351" s="182"/>
      <c r="D351" s="182"/>
      <c r="E351" s="57" t="s">
        <v>766</v>
      </c>
      <c r="F351" s="120"/>
      <c r="G351" s="120"/>
      <c r="H351" s="120"/>
      <c r="I351" s="120"/>
      <c r="J351" s="120"/>
      <c r="K351" s="31">
        <v>0</v>
      </c>
      <c r="L351" s="234">
        <f t="shared" si="39"/>
        <v>0</v>
      </c>
      <c r="M351" s="234">
        <f t="shared" si="40"/>
        <v>0</v>
      </c>
      <c r="N351" s="234">
        <f t="shared" si="41"/>
        <v>0</v>
      </c>
      <c r="O351" s="234">
        <f t="shared" si="42"/>
        <v>0</v>
      </c>
      <c r="P351" s="234">
        <f t="shared" si="35"/>
        <v>0</v>
      </c>
      <c r="Q351" s="234">
        <f t="shared" si="36"/>
        <v>0</v>
      </c>
      <c r="R351" s="234">
        <f t="shared" si="37"/>
        <v>0</v>
      </c>
    </row>
    <row r="352" spans="1:43" s="209" customFormat="1" x14ac:dyDescent="0.3">
      <c r="A352" s="303"/>
      <c r="B352" s="156"/>
      <c r="C352" s="159"/>
      <c r="D352" s="159"/>
      <c r="E352" s="298"/>
      <c r="F352" s="54"/>
      <c r="G352" s="54"/>
      <c r="H352" s="54"/>
      <c r="I352" s="54"/>
      <c r="J352" s="54"/>
      <c r="K352" s="37"/>
      <c r="L352" s="234"/>
      <c r="M352" s="234"/>
      <c r="N352" s="234"/>
      <c r="O352" s="234"/>
      <c r="P352" s="234"/>
      <c r="Q352" s="234"/>
      <c r="R352" s="234"/>
    </row>
    <row r="353" spans="1:43" s="310" customFormat="1" x14ac:dyDescent="0.3">
      <c r="A353" s="112" t="s">
        <v>653</v>
      </c>
      <c r="B353" s="119"/>
      <c r="C353" s="119"/>
      <c r="D353" s="119"/>
      <c r="E353" s="293"/>
      <c r="F353" s="293"/>
      <c r="G353" s="293"/>
      <c r="H353" s="293"/>
      <c r="I353" s="293"/>
      <c r="J353" s="293"/>
      <c r="K353" s="131"/>
      <c r="L353" s="131"/>
      <c r="M353" s="131"/>
      <c r="N353" s="131"/>
      <c r="O353" s="131"/>
      <c r="P353" s="131"/>
      <c r="Q353" s="131"/>
      <c r="R353" s="131"/>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row>
    <row r="354" spans="1:43" s="310" customFormat="1" x14ac:dyDescent="0.3">
      <c r="A354" s="156" t="s">
        <v>767</v>
      </c>
      <c r="B354" s="156" t="s">
        <v>768</v>
      </c>
      <c r="C354" s="123"/>
      <c r="D354" s="123"/>
      <c r="E354" s="298"/>
      <c r="F354" s="298" t="s">
        <v>769</v>
      </c>
      <c r="G354" s="298"/>
      <c r="H354" s="298"/>
      <c r="I354" s="298"/>
      <c r="J354" s="85"/>
      <c r="K354" s="37">
        <v>0</v>
      </c>
      <c r="L354" s="234">
        <f t="shared" si="39"/>
        <v>0</v>
      </c>
      <c r="M354" s="234">
        <f t="shared" si="40"/>
        <v>0</v>
      </c>
      <c r="N354" s="234">
        <f t="shared" si="41"/>
        <v>0</v>
      </c>
      <c r="O354" s="234">
        <f t="shared" si="42"/>
        <v>0</v>
      </c>
      <c r="P354" s="234">
        <f t="shared" si="35"/>
        <v>0</v>
      </c>
      <c r="Q354" s="234">
        <f t="shared" si="36"/>
        <v>0</v>
      </c>
      <c r="R354" s="234">
        <f t="shared" si="37"/>
        <v>0</v>
      </c>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row>
    <row r="355" spans="1:43" s="310" customFormat="1" x14ac:dyDescent="0.3">
      <c r="A355" s="156" t="s">
        <v>767</v>
      </c>
      <c r="B355" s="156" t="s">
        <v>1628</v>
      </c>
      <c r="C355" s="123"/>
      <c r="D355" s="123"/>
      <c r="E355" s="298" t="s">
        <v>1629</v>
      </c>
      <c r="F355" s="298"/>
      <c r="G355" s="298"/>
      <c r="H355" s="298"/>
      <c r="I355" s="298"/>
      <c r="J355" s="85"/>
      <c r="K355" s="37">
        <v>10</v>
      </c>
      <c r="L355" s="234">
        <f t="shared" ref="L355" si="43">K355*$L$9</f>
        <v>3.7650000000000001</v>
      </c>
      <c r="M355" s="234">
        <f t="shared" ref="M355" si="44">K355*$M$9</f>
        <v>3.7650000000000001</v>
      </c>
      <c r="N355" s="234">
        <f t="shared" ref="N355" si="45">K355*$N$9</f>
        <v>4.5200000000000005</v>
      </c>
      <c r="O355" s="234">
        <f t="shared" ref="O355" si="46">K355*$O$9</f>
        <v>3.79</v>
      </c>
      <c r="P355" s="234">
        <f t="shared" ref="P355" si="47">K355*$P$9</f>
        <v>4.99</v>
      </c>
      <c r="Q355" s="234">
        <f t="shared" ref="Q355" si="48">K355*$Q$9</f>
        <v>4.3</v>
      </c>
      <c r="R355" s="234">
        <f t="shared" ref="R355" si="49">K355*$R$9</f>
        <v>4.83</v>
      </c>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row>
    <row r="356" spans="1:43" s="310" customFormat="1" x14ac:dyDescent="0.3">
      <c r="A356" s="303"/>
      <c r="B356" s="168"/>
      <c r="C356" s="159"/>
      <c r="D356" s="159"/>
      <c r="E356" s="54"/>
      <c r="F356" s="54"/>
      <c r="G356" s="54"/>
      <c r="H356" s="54"/>
      <c r="I356" s="54"/>
      <c r="J356" s="54"/>
      <c r="K356" s="37"/>
      <c r="L356" s="234"/>
      <c r="M356" s="234"/>
      <c r="N356" s="234"/>
      <c r="O356" s="234"/>
      <c r="P356" s="234"/>
      <c r="Q356" s="234"/>
      <c r="R356" s="234"/>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row>
    <row r="357" spans="1:43" s="310" customFormat="1" x14ac:dyDescent="0.3">
      <c r="A357" s="112" t="s">
        <v>475</v>
      </c>
      <c r="B357" s="119"/>
      <c r="C357" s="119"/>
      <c r="D357" s="119"/>
      <c r="E357" s="293"/>
      <c r="F357" s="293"/>
      <c r="G357" s="293"/>
      <c r="H357" s="293"/>
      <c r="I357" s="293"/>
      <c r="J357" s="293"/>
      <c r="K357" s="131"/>
      <c r="L357" s="131"/>
      <c r="M357" s="131"/>
      <c r="N357" s="131"/>
      <c r="O357" s="131"/>
      <c r="P357" s="131"/>
      <c r="Q357" s="131"/>
      <c r="R357" s="131"/>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row>
    <row r="358" spans="1:43" s="208" customFormat="1" x14ac:dyDescent="0.3">
      <c r="A358" s="82" t="s">
        <v>476</v>
      </c>
      <c r="B358" s="82" t="s">
        <v>477</v>
      </c>
      <c r="C358" s="160"/>
      <c r="D358" s="160"/>
      <c r="E358" s="57"/>
      <c r="F358" s="57" t="s">
        <v>770</v>
      </c>
      <c r="G358" s="57"/>
      <c r="H358" s="57"/>
      <c r="I358" s="57"/>
      <c r="J358" s="39"/>
      <c r="K358" s="31">
        <v>6</v>
      </c>
      <c r="L358" s="234">
        <f t="shared" si="39"/>
        <v>2.2589999999999999</v>
      </c>
      <c r="M358" s="234">
        <f t="shared" si="40"/>
        <v>2.2589999999999999</v>
      </c>
      <c r="N358" s="234">
        <f t="shared" si="41"/>
        <v>2.7120000000000002</v>
      </c>
      <c r="O358" s="234">
        <f t="shared" si="42"/>
        <v>2.274</v>
      </c>
      <c r="P358" s="234">
        <f t="shared" si="35"/>
        <v>2.9939999999999998</v>
      </c>
      <c r="Q358" s="234">
        <f t="shared" si="36"/>
        <v>2.58</v>
      </c>
      <c r="R358" s="234">
        <f t="shared" si="37"/>
        <v>2.8979999999999997</v>
      </c>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row>
    <row r="359" spans="1:43" s="219" customFormat="1" x14ac:dyDescent="0.3">
      <c r="A359" s="82" t="s">
        <v>476</v>
      </c>
      <c r="B359" s="82" t="s">
        <v>477</v>
      </c>
      <c r="C359" s="160"/>
      <c r="D359" s="160"/>
      <c r="E359" s="57" t="s">
        <v>771</v>
      </c>
      <c r="F359" s="57"/>
      <c r="G359" s="57"/>
      <c r="H359" s="57"/>
      <c r="I359" s="57"/>
      <c r="J359" s="39"/>
      <c r="K359" s="31">
        <v>6</v>
      </c>
      <c r="L359" s="234">
        <f t="shared" si="39"/>
        <v>2.2589999999999999</v>
      </c>
      <c r="M359" s="234">
        <f t="shared" si="40"/>
        <v>2.2589999999999999</v>
      </c>
      <c r="N359" s="234">
        <f t="shared" si="41"/>
        <v>2.7120000000000002</v>
      </c>
      <c r="O359" s="234">
        <f t="shared" si="42"/>
        <v>2.274</v>
      </c>
      <c r="P359" s="234">
        <f t="shared" si="35"/>
        <v>2.9939999999999998</v>
      </c>
      <c r="Q359" s="234">
        <f t="shared" si="36"/>
        <v>2.58</v>
      </c>
      <c r="R359" s="234">
        <f t="shared" si="37"/>
        <v>2.8979999999999997</v>
      </c>
    </row>
    <row r="360" spans="1:43" s="208" customFormat="1" x14ac:dyDescent="0.3">
      <c r="A360" s="82" t="s">
        <v>1730</v>
      </c>
      <c r="B360" s="82" t="s">
        <v>772</v>
      </c>
      <c r="C360" s="160"/>
      <c r="D360" s="160"/>
      <c r="E360" s="57"/>
      <c r="F360" s="57" t="s">
        <v>773</v>
      </c>
      <c r="G360" s="57"/>
      <c r="H360" s="57"/>
      <c r="I360" s="57"/>
      <c r="J360" s="39"/>
      <c r="K360" s="31">
        <v>7</v>
      </c>
      <c r="L360" s="234">
        <f t="shared" si="39"/>
        <v>2.6355</v>
      </c>
      <c r="M360" s="234">
        <f t="shared" si="40"/>
        <v>2.6355</v>
      </c>
      <c r="N360" s="234">
        <f t="shared" si="41"/>
        <v>3.1640000000000001</v>
      </c>
      <c r="O360" s="234">
        <f t="shared" si="42"/>
        <v>2.653</v>
      </c>
      <c r="P360" s="234">
        <f t="shared" si="35"/>
        <v>3.4929999999999999</v>
      </c>
      <c r="Q360" s="234">
        <f t="shared" si="36"/>
        <v>3.01</v>
      </c>
      <c r="R360" s="234">
        <f t="shared" si="37"/>
        <v>3.3809999999999998</v>
      </c>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row>
    <row r="361" spans="1:43" s="219" customFormat="1" x14ac:dyDescent="0.3">
      <c r="A361" s="82" t="s">
        <v>1730</v>
      </c>
      <c r="B361" s="82" t="s">
        <v>483</v>
      </c>
      <c r="C361" s="160"/>
      <c r="D361" s="160"/>
      <c r="E361" s="57" t="s">
        <v>774</v>
      </c>
      <c r="F361" s="57"/>
      <c r="G361" s="57"/>
      <c r="H361" s="57"/>
      <c r="I361" s="57"/>
      <c r="J361" s="39"/>
      <c r="K361" s="31">
        <v>7</v>
      </c>
      <c r="L361" s="234">
        <f t="shared" si="39"/>
        <v>2.6355</v>
      </c>
      <c r="M361" s="234">
        <f t="shared" si="40"/>
        <v>2.6355</v>
      </c>
      <c r="N361" s="234">
        <f t="shared" si="41"/>
        <v>3.1640000000000001</v>
      </c>
      <c r="O361" s="234">
        <f t="shared" si="42"/>
        <v>2.653</v>
      </c>
      <c r="P361" s="234">
        <f t="shared" si="35"/>
        <v>3.4929999999999999</v>
      </c>
      <c r="Q361" s="234">
        <f t="shared" si="36"/>
        <v>3.01</v>
      </c>
      <c r="R361" s="234">
        <f t="shared" si="37"/>
        <v>3.3809999999999998</v>
      </c>
    </row>
    <row r="362" spans="1:43" s="208" customFormat="1" ht="27.6" x14ac:dyDescent="0.3">
      <c r="A362" s="82" t="s">
        <v>775</v>
      </c>
      <c r="B362" s="82" t="s">
        <v>243</v>
      </c>
      <c r="C362" s="160"/>
      <c r="D362" s="160"/>
      <c r="E362" s="57"/>
      <c r="F362" s="57" t="s">
        <v>776</v>
      </c>
      <c r="G362" s="57"/>
      <c r="H362" s="57"/>
      <c r="I362" s="57"/>
      <c r="J362" s="39"/>
      <c r="K362" s="31">
        <v>87</v>
      </c>
      <c r="L362" s="234">
        <f t="shared" si="39"/>
        <v>32.755499999999998</v>
      </c>
      <c r="M362" s="234">
        <f t="shared" si="40"/>
        <v>32.755499999999998</v>
      </c>
      <c r="N362" s="234">
        <f t="shared" si="41"/>
        <v>39.323999999999998</v>
      </c>
      <c r="O362" s="234">
        <f t="shared" si="42"/>
        <v>32.972999999999999</v>
      </c>
      <c r="P362" s="234">
        <f t="shared" si="35"/>
        <v>43.412999999999997</v>
      </c>
      <c r="Q362" s="234">
        <f t="shared" si="36"/>
        <v>37.409999999999997</v>
      </c>
      <c r="R362" s="234">
        <f t="shared" si="37"/>
        <v>42.021000000000001</v>
      </c>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row>
    <row r="363" spans="1:43" s="219" customFormat="1" x14ac:dyDescent="0.3">
      <c r="A363" s="82" t="s">
        <v>775</v>
      </c>
      <c r="B363" s="82" t="s">
        <v>487</v>
      </c>
      <c r="C363" s="160"/>
      <c r="D363" s="160"/>
      <c r="E363" s="57" t="s">
        <v>777</v>
      </c>
      <c r="F363" s="57"/>
      <c r="G363" s="57"/>
      <c r="H363" s="57"/>
      <c r="I363" s="57"/>
      <c r="J363" s="39"/>
      <c r="K363" s="31">
        <v>87</v>
      </c>
      <c r="L363" s="234">
        <f t="shared" si="39"/>
        <v>32.755499999999998</v>
      </c>
      <c r="M363" s="234">
        <f t="shared" si="40"/>
        <v>32.755499999999998</v>
      </c>
      <c r="N363" s="234">
        <f t="shared" si="41"/>
        <v>39.323999999999998</v>
      </c>
      <c r="O363" s="234">
        <f t="shared" si="42"/>
        <v>32.972999999999999</v>
      </c>
      <c r="P363" s="234">
        <f t="shared" si="35"/>
        <v>43.412999999999997</v>
      </c>
      <c r="Q363" s="234">
        <f t="shared" si="36"/>
        <v>37.409999999999997</v>
      </c>
      <c r="R363" s="234">
        <f t="shared" si="37"/>
        <v>42.021000000000001</v>
      </c>
    </row>
    <row r="364" spans="1:43" s="208" customFormat="1" ht="27.6" x14ac:dyDescent="0.3">
      <c r="A364" s="82" t="s">
        <v>704</v>
      </c>
      <c r="B364" s="82" t="s">
        <v>778</v>
      </c>
      <c r="C364" s="160"/>
      <c r="D364" s="160"/>
      <c r="E364" s="57"/>
      <c r="F364" s="57" t="s">
        <v>779</v>
      </c>
      <c r="G364" s="57"/>
      <c r="H364" s="57"/>
      <c r="I364" s="57"/>
      <c r="J364" s="39"/>
      <c r="K364" s="31">
        <v>267</v>
      </c>
      <c r="L364" s="234">
        <f t="shared" si="39"/>
        <v>100.52549999999999</v>
      </c>
      <c r="M364" s="234">
        <f t="shared" si="40"/>
        <v>100.52549999999999</v>
      </c>
      <c r="N364" s="234">
        <f t="shared" si="41"/>
        <v>120.684</v>
      </c>
      <c r="O364" s="234">
        <f t="shared" si="42"/>
        <v>101.193</v>
      </c>
      <c r="P364" s="234">
        <f t="shared" si="35"/>
        <v>133.233</v>
      </c>
      <c r="Q364" s="234">
        <f t="shared" si="36"/>
        <v>114.81</v>
      </c>
      <c r="R364" s="234">
        <f t="shared" si="37"/>
        <v>128.96099999999998</v>
      </c>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row>
    <row r="365" spans="1:43" s="219" customFormat="1" x14ac:dyDescent="0.3">
      <c r="A365" s="82" t="s">
        <v>704</v>
      </c>
      <c r="B365" s="82" t="s">
        <v>705</v>
      </c>
      <c r="C365" s="160"/>
      <c r="D365" s="160"/>
      <c r="E365" s="57" t="s">
        <v>780</v>
      </c>
      <c r="F365" s="57"/>
      <c r="G365" s="57"/>
      <c r="H365" s="57"/>
      <c r="I365" s="57"/>
      <c r="J365" s="39"/>
      <c r="K365" s="31">
        <v>267</v>
      </c>
      <c r="L365" s="234">
        <f t="shared" si="39"/>
        <v>100.52549999999999</v>
      </c>
      <c r="M365" s="234">
        <f t="shared" si="40"/>
        <v>100.52549999999999</v>
      </c>
      <c r="N365" s="234">
        <f t="shared" si="41"/>
        <v>120.684</v>
      </c>
      <c r="O365" s="234">
        <f t="shared" si="42"/>
        <v>101.193</v>
      </c>
      <c r="P365" s="234">
        <f t="shared" si="35"/>
        <v>133.233</v>
      </c>
      <c r="Q365" s="234">
        <f t="shared" si="36"/>
        <v>114.81</v>
      </c>
      <c r="R365" s="234">
        <f t="shared" si="37"/>
        <v>128.96099999999998</v>
      </c>
    </row>
    <row r="366" spans="1:43" s="330" customFormat="1" x14ac:dyDescent="0.3">
      <c r="A366" s="303"/>
      <c r="B366" s="168"/>
      <c r="C366" s="159"/>
      <c r="D366" s="159"/>
      <c r="E366" s="54"/>
      <c r="F366" s="54"/>
      <c r="G366" s="54"/>
      <c r="H366" s="54"/>
      <c r="I366" s="54"/>
      <c r="J366" s="54"/>
      <c r="K366" s="37"/>
      <c r="L366" s="234"/>
      <c r="M366" s="234"/>
      <c r="N366" s="234"/>
      <c r="O366" s="234"/>
      <c r="P366" s="234"/>
      <c r="Q366" s="234"/>
      <c r="R366" s="234"/>
      <c r="S366" s="221"/>
      <c r="T366" s="221"/>
      <c r="U366" s="221"/>
      <c r="V366" s="221"/>
      <c r="W366" s="221"/>
      <c r="X366" s="221"/>
      <c r="Y366" s="221"/>
      <c r="Z366" s="221"/>
      <c r="AA366" s="221"/>
      <c r="AB366" s="221"/>
      <c r="AC366" s="221"/>
      <c r="AD366" s="221"/>
      <c r="AE366" s="221"/>
      <c r="AF366" s="221"/>
      <c r="AG366" s="221"/>
      <c r="AH366" s="221"/>
      <c r="AI366" s="221"/>
      <c r="AJ366" s="221"/>
      <c r="AK366" s="221"/>
      <c r="AL366" s="221"/>
      <c r="AM366" s="221"/>
      <c r="AN366" s="221"/>
      <c r="AO366" s="221"/>
      <c r="AP366" s="221"/>
      <c r="AQ366" s="221"/>
    </row>
    <row r="367" spans="1:43" s="330" customFormat="1" x14ac:dyDescent="0.3">
      <c r="A367" s="112" t="s">
        <v>250</v>
      </c>
      <c r="B367" s="119"/>
      <c r="C367" s="119"/>
      <c r="D367" s="119"/>
      <c r="E367" s="293"/>
      <c r="F367" s="293"/>
      <c r="G367" s="293"/>
      <c r="H367" s="293"/>
      <c r="I367" s="293"/>
      <c r="J367" s="293"/>
      <c r="K367" s="131"/>
      <c r="L367" s="131"/>
      <c r="M367" s="131"/>
      <c r="N367" s="131"/>
      <c r="O367" s="131"/>
      <c r="P367" s="131"/>
      <c r="Q367" s="131"/>
      <c r="R367" s="131"/>
      <c r="S367" s="221"/>
      <c r="T367" s="221"/>
      <c r="U367" s="221"/>
      <c r="V367" s="221"/>
      <c r="W367" s="221"/>
      <c r="X367" s="221"/>
      <c r="Y367" s="221"/>
      <c r="Z367" s="221"/>
      <c r="AA367" s="221"/>
      <c r="AB367" s="221"/>
      <c r="AC367" s="221"/>
      <c r="AD367" s="221"/>
      <c r="AE367" s="221"/>
      <c r="AF367" s="221"/>
      <c r="AG367" s="221"/>
      <c r="AH367" s="221"/>
      <c r="AI367" s="221"/>
      <c r="AJ367" s="221"/>
      <c r="AK367" s="221"/>
      <c r="AL367" s="221"/>
      <c r="AM367" s="221"/>
      <c r="AN367" s="221"/>
      <c r="AO367" s="221"/>
      <c r="AP367" s="221"/>
      <c r="AQ367" s="221"/>
    </row>
    <row r="368" spans="1:43" s="226" customFormat="1" x14ac:dyDescent="0.3">
      <c r="A368" s="82" t="s">
        <v>715</v>
      </c>
      <c r="B368" s="82" t="s">
        <v>716</v>
      </c>
      <c r="C368" s="160"/>
      <c r="D368" s="160"/>
      <c r="E368" s="57" t="s">
        <v>781</v>
      </c>
      <c r="F368" s="57"/>
      <c r="G368" s="57"/>
      <c r="H368" s="57"/>
      <c r="I368" s="57"/>
      <c r="J368" s="39"/>
      <c r="K368" s="31">
        <v>7</v>
      </c>
      <c r="L368" s="234">
        <f t="shared" si="39"/>
        <v>2.6355</v>
      </c>
      <c r="M368" s="234">
        <f t="shared" si="40"/>
        <v>2.6355</v>
      </c>
      <c r="N368" s="234">
        <f t="shared" si="41"/>
        <v>3.1640000000000001</v>
      </c>
      <c r="O368" s="234">
        <f t="shared" si="42"/>
        <v>2.653</v>
      </c>
      <c r="P368" s="234">
        <f t="shared" si="35"/>
        <v>3.4929999999999999</v>
      </c>
      <c r="Q368" s="234">
        <f t="shared" si="36"/>
        <v>3.01</v>
      </c>
      <c r="R368" s="234">
        <f t="shared" si="37"/>
        <v>3.3809999999999998</v>
      </c>
    </row>
    <row r="369" spans="1:43" s="228" customFormat="1" x14ac:dyDescent="0.3">
      <c r="A369" s="82" t="s">
        <v>712</v>
      </c>
      <c r="B369" s="82" t="s">
        <v>782</v>
      </c>
      <c r="C369" s="160"/>
      <c r="D369" s="160"/>
      <c r="E369" s="298"/>
      <c r="F369" s="57" t="s">
        <v>783</v>
      </c>
      <c r="G369" s="57"/>
      <c r="H369" s="57"/>
      <c r="I369" s="57"/>
      <c r="J369" s="39"/>
      <c r="K369" s="31">
        <v>1</v>
      </c>
      <c r="L369" s="234">
        <f t="shared" si="39"/>
        <v>0.3765</v>
      </c>
      <c r="M369" s="234">
        <f t="shared" si="40"/>
        <v>0.3765</v>
      </c>
      <c r="N369" s="234">
        <f t="shared" si="41"/>
        <v>0.45200000000000001</v>
      </c>
      <c r="O369" s="234">
        <f t="shared" si="42"/>
        <v>0.379</v>
      </c>
      <c r="P369" s="234">
        <f t="shared" si="35"/>
        <v>0.499</v>
      </c>
      <c r="Q369" s="234">
        <f t="shared" si="36"/>
        <v>0.43</v>
      </c>
      <c r="R369" s="234">
        <f t="shared" si="37"/>
        <v>0.48299999999999998</v>
      </c>
      <c r="S369" s="221"/>
      <c r="T369" s="221"/>
      <c r="U369" s="221"/>
      <c r="V369" s="221"/>
      <c r="W369" s="221"/>
      <c r="X369" s="221"/>
      <c r="Y369" s="221"/>
      <c r="Z369" s="221"/>
      <c r="AA369" s="221"/>
      <c r="AB369" s="221"/>
      <c r="AC369" s="221"/>
      <c r="AD369" s="221"/>
      <c r="AE369" s="221"/>
      <c r="AF369" s="221"/>
      <c r="AG369" s="221"/>
      <c r="AH369" s="221"/>
      <c r="AI369" s="221"/>
      <c r="AJ369" s="221"/>
      <c r="AK369" s="221"/>
      <c r="AL369" s="221"/>
      <c r="AM369" s="221"/>
      <c r="AN369" s="221"/>
      <c r="AO369" s="221"/>
      <c r="AP369" s="221"/>
      <c r="AQ369" s="221"/>
    </row>
    <row r="370" spans="1:43" s="226" customFormat="1" x14ac:dyDescent="0.3">
      <c r="A370" s="82" t="s">
        <v>712</v>
      </c>
      <c r="B370" s="82" t="s">
        <v>713</v>
      </c>
      <c r="C370" s="182"/>
      <c r="D370" s="182"/>
      <c r="E370" s="57" t="s">
        <v>714</v>
      </c>
      <c r="F370" s="120"/>
      <c r="G370" s="120"/>
      <c r="H370" s="120"/>
      <c r="I370" s="120"/>
      <c r="J370" s="120"/>
      <c r="K370" s="31">
        <v>1</v>
      </c>
      <c r="L370" s="234">
        <f t="shared" si="39"/>
        <v>0.3765</v>
      </c>
      <c r="M370" s="234">
        <f t="shared" si="40"/>
        <v>0.3765</v>
      </c>
      <c r="N370" s="234">
        <f t="shared" si="41"/>
        <v>0.45200000000000001</v>
      </c>
      <c r="O370" s="234">
        <f t="shared" si="42"/>
        <v>0.379</v>
      </c>
      <c r="P370" s="234">
        <f t="shared" si="35"/>
        <v>0.499</v>
      </c>
      <c r="Q370" s="234">
        <f t="shared" si="36"/>
        <v>0.43</v>
      </c>
      <c r="R370" s="234">
        <f t="shared" si="37"/>
        <v>0.48299999999999998</v>
      </c>
    </row>
    <row r="371" spans="1:43" s="221" customFormat="1" x14ac:dyDescent="0.3">
      <c r="A371" s="303"/>
      <c r="B371" s="156"/>
      <c r="C371" s="159"/>
      <c r="D371" s="159"/>
      <c r="E371" s="298"/>
      <c r="F371" s="54"/>
      <c r="G371" s="54"/>
      <c r="H371" s="54"/>
      <c r="I371" s="54"/>
      <c r="J371" s="54"/>
      <c r="K371" s="37"/>
      <c r="L371" s="234"/>
      <c r="M371" s="234"/>
      <c r="N371" s="234"/>
      <c r="O371" s="234"/>
      <c r="P371" s="234"/>
      <c r="Q371" s="234"/>
      <c r="R371" s="234"/>
    </row>
    <row r="372" spans="1:43" s="330" customFormat="1" x14ac:dyDescent="0.3">
      <c r="A372" s="132" t="s">
        <v>235</v>
      </c>
      <c r="B372" s="142"/>
      <c r="C372" s="142"/>
      <c r="D372" s="142"/>
      <c r="E372" s="268"/>
      <c r="F372" s="268"/>
      <c r="G372" s="268"/>
      <c r="H372" s="268"/>
      <c r="I372" s="268"/>
      <c r="J372" s="268"/>
      <c r="K372" s="131"/>
      <c r="L372" s="131"/>
      <c r="M372" s="131"/>
      <c r="N372" s="131"/>
      <c r="O372" s="131"/>
      <c r="P372" s="131"/>
      <c r="Q372" s="131"/>
      <c r="R372" s="131"/>
      <c r="S372" s="221"/>
      <c r="T372" s="221"/>
      <c r="U372" s="221"/>
      <c r="V372" s="221"/>
      <c r="W372" s="221"/>
      <c r="X372" s="221"/>
      <c r="Y372" s="221"/>
      <c r="Z372" s="221"/>
      <c r="AA372" s="221"/>
      <c r="AB372" s="221"/>
      <c r="AC372" s="221"/>
      <c r="AD372" s="221"/>
      <c r="AE372" s="221"/>
      <c r="AF372" s="221"/>
      <c r="AG372" s="221"/>
      <c r="AH372" s="221"/>
      <c r="AI372" s="221"/>
      <c r="AJ372" s="221"/>
      <c r="AK372" s="221"/>
      <c r="AL372" s="221"/>
      <c r="AM372" s="221"/>
      <c r="AN372" s="221"/>
      <c r="AO372" s="221"/>
      <c r="AP372" s="221"/>
      <c r="AQ372" s="221"/>
    </row>
    <row r="373" spans="1:43" s="226" customFormat="1" x14ac:dyDescent="0.3">
      <c r="A373" s="82" t="s">
        <v>98</v>
      </c>
      <c r="B373" s="82" t="s">
        <v>236</v>
      </c>
      <c r="C373" s="182"/>
      <c r="D373" s="182"/>
      <c r="E373" s="57" t="s">
        <v>784</v>
      </c>
      <c r="F373" s="120"/>
      <c r="G373" s="120"/>
      <c r="H373" s="120"/>
      <c r="I373" s="120"/>
      <c r="J373" s="120"/>
      <c r="K373" s="31">
        <v>6</v>
      </c>
      <c r="L373" s="234">
        <f t="shared" si="39"/>
        <v>2.2589999999999999</v>
      </c>
      <c r="M373" s="234">
        <f t="shared" si="40"/>
        <v>2.2589999999999999</v>
      </c>
      <c r="N373" s="234">
        <f t="shared" si="41"/>
        <v>2.7120000000000002</v>
      </c>
      <c r="O373" s="234">
        <f t="shared" si="42"/>
        <v>2.274</v>
      </c>
      <c r="P373" s="234">
        <f t="shared" si="35"/>
        <v>2.9939999999999998</v>
      </c>
      <c r="Q373" s="234">
        <f t="shared" si="36"/>
        <v>2.58</v>
      </c>
      <c r="R373" s="234">
        <f t="shared" si="37"/>
        <v>2.8979999999999997</v>
      </c>
    </row>
    <row r="374" spans="1:43" s="221" customFormat="1" x14ac:dyDescent="0.3">
      <c r="A374" s="156"/>
      <c r="B374" s="156"/>
      <c r="C374" s="159"/>
      <c r="D374" s="159"/>
      <c r="E374" s="298"/>
      <c r="F374" s="54"/>
      <c r="G374" s="54"/>
      <c r="H374" s="54"/>
      <c r="I374" s="54"/>
      <c r="J374" s="54"/>
      <c r="K374" s="37"/>
      <c r="L374" s="234"/>
      <c r="M374" s="234"/>
      <c r="N374" s="234"/>
      <c r="O374" s="234"/>
      <c r="P374" s="234"/>
      <c r="Q374" s="234"/>
      <c r="R374" s="234"/>
    </row>
    <row r="375" spans="1:43" s="330" customFormat="1" x14ac:dyDescent="0.3">
      <c r="A375" s="112" t="s">
        <v>785</v>
      </c>
      <c r="B375" s="124"/>
      <c r="C375" s="124"/>
      <c r="D375" s="124"/>
      <c r="E375" s="289"/>
      <c r="F375" s="289"/>
      <c r="G375" s="289"/>
      <c r="H375" s="289"/>
      <c r="I375" s="289"/>
      <c r="J375" s="293"/>
      <c r="K375" s="131"/>
      <c r="L375" s="131"/>
      <c r="M375" s="131"/>
      <c r="N375" s="131"/>
      <c r="O375" s="131"/>
      <c r="P375" s="131"/>
      <c r="Q375" s="131"/>
      <c r="R375" s="131"/>
      <c r="S375" s="221"/>
      <c r="T375" s="221"/>
      <c r="U375" s="221"/>
      <c r="V375" s="221"/>
      <c r="W375" s="221"/>
      <c r="X375" s="221"/>
      <c r="Y375" s="221"/>
      <c r="Z375" s="221"/>
      <c r="AA375" s="221"/>
      <c r="AB375" s="221"/>
      <c r="AC375" s="221"/>
      <c r="AD375" s="221"/>
      <c r="AE375" s="221"/>
      <c r="AF375" s="221"/>
      <c r="AG375" s="221"/>
      <c r="AH375" s="221"/>
      <c r="AI375" s="221"/>
      <c r="AJ375" s="221"/>
      <c r="AK375" s="221"/>
      <c r="AL375" s="221"/>
      <c r="AM375" s="221"/>
      <c r="AN375" s="221"/>
      <c r="AO375" s="221"/>
      <c r="AP375" s="221"/>
      <c r="AQ375" s="221"/>
    </row>
    <row r="376" spans="1:43" s="228" customFormat="1" x14ac:dyDescent="0.3">
      <c r="A376" s="82" t="s">
        <v>263</v>
      </c>
      <c r="B376" s="82" t="s">
        <v>264</v>
      </c>
      <c r="C376" s="160"/>
      <c r="D376" s="160"/>
      <c r="E376" s="79"/>
      <c r="F376" s="79" t="s">
        <v>786</v>
      </c>
      <c r="G376" s="79"/>
      <c r="H376" s="79"/>
      <c r="I376" s="79"/>
      <c r="J376" s="64"/>
      <c r="K376" s="31">
        <v>10</v>
      </c>
      <c r="L376" s="234">
        <f t="shared" si="39"/>
        <v>3.7650000000000001</v>
      </c>
      <c r="M376" s="234">
        <f t="shared" si="40"/>
        <v>3.7650000000000001</v>
      </c>
      <c r="N376" s="234">
        <f t="shared" si="41"/>
        <v>4.5200000000000005</v>
      </c>
      <c r="O376" s="234">
        <f t="shared" si="42"/>
        <v>3.79</v>
      </c>
      <c r="P376" s="234">
        <f t="shared" si="35"/>
        <v>4.99</v>
      </c>
      <c r="Q376" s="234">
        <f t="shared" si="36"/>
        <v>4.3</v>
      </c>
      <c r="R376" s="234">
        <f t="shared" si="37"/>
        <v>4.83</v>
      </c>
      <c r="S376" s="221"/>
      <c r="T376" s="221"/>
      <c r="U376" s="221"/>
      <c r="V376" s="221"/>
      <c r="W376" s="221"/>
      <c r="X376" s="221"/>
      <c r="Y376" s="221"/>
      <c r="Z376" s="221"/>
      <c r="AA376" s="221"/>
      <c r="AB376" s="221"/>
      <c r="AC376" s="221"/>
      <c r="AD376" s="221"/>
      <c r="AE376" s="221"/>
      <c r="AF376" s="221"/>
      <c r="AG376" s="221"/>
      <c r="AH376" s="221"/>
      <c r="AI376" s="221"/>
      <c r="AJ376" s="221"/>
      <c r="AK376" s="221"/>
      <c r="AL376" s="221"/>
      <c r="AM376" s="221"/>
      <c r="AN376" s="221"/>
      <c r="AO376" s="221"/>
      <c r="AP376" s="221"/>
      <c r="AQ376" s="221"/>
    </row>
    <row r="377" spans="1:43" s="226" customFormat="1" x14ac:dyDescent="0.3">
      <c r="A377" s="82" t="s">
        <v>263</v>
      </c>
      <c r="B377" s="82" t="s">
        <v>497</v>
      </c>
      <c r="C377" s="160"/>
      <c r="D377" s="160"/>
      <c r="E377" s="57" t="s">
        <v>1737</v>
      </c>
      <c r="F377" s="79"/>
      <c r="G377" s="79"/>
      <c r="H377" s="79"/>
      <c r="I377" s="79"/>
      <c r="J377" s="64"/>
      <c r="K377" s="31">
        <v>10</v>
      </c>
      <c r="L377" s="234">
        <f t="shared" si="39"/>
        <v>3.7650000000000001</v>
      </c>
      <c r="M377" s="234">
        <f t="shared" si="40"/>
        <v>3.7650000000000001</v>
      </c>
      <c r="N377" s="234">
        <f t="shared" si="41"/>
        <v>4.5200000000000005</v>
      </c>
      <c r="O377" s="234">
        <f t="shared" si="42"/>
        <v>3.79</v>
      </c>
      <c r="P377" s="234">
        <f t="shared" si="35"/>
        <v>4.99</v>
      </c>
      <c r="Q377" s="234">
        <f t="shared" si="36"/>
        <v>4.3</v>
      </c>
      <c r="R377" s="234">
        <f t="shared" si="37"/>
        <v>4.83</v>
      </c>
    </row>
    <row r="378" spans="1:43" s="228" customFormat="1" x14ac:dyDescent="0.3">
      <c r="A378" s="82" t="s">
        <v>266</v>
      </c>
      <c r="B378" s="290" t="s">
        <v>267</v>
      </c>
      <c r="C378" s="247"/>
      <c r="D378" s="247"/>
      <c r="E378" s="79"/>
      <c r="F378" s="79" t="s">
        <v>787</v>
      </c>
      <c r="G378" s="79"/>
      <c r="H378" s="79"/>
      <c r="I378" s="79"/>
      <c r="J378" s="64"/>
      <c r="K378" s="31">
        <v>30</v>
      </c>
      <c r="L378" s="234">
        <f t="shared" si="39"/>
        <v>11.295</v>
      </c>
      <c r="M378" s="234">
        <f t="shared" si="40"/>
        <v>11.295</v>
      </c>
      <c r="N378" s="234">
        <f t="shared" si="41"/>
        <v>13.56</v>
      </c>
      <c r="O378" s="234">
        <f t="shared" si="42"/>
        <v>11.370000000000001</v>
      </c>
      <c r="P378" s="234">
        <f t="shared" si="35"/>
        <v>14.97</v>
      </c>
      <c r="Q378" s="234">
        <f t="shared" si="36"/>
        <v>12.9</v>
      </c>
      <c r="R378" s="234">
        <f t="shared" si="37"/>
        <v>14.49</v>
      </c>
      <c r="S378" s="221"/>
      <c r="T378" s="221"/>
      <c r="U378" s="221"/>
      <c r="V378" s="221"/>
      <c r="W378" s="221"/>
      <c r="X378" s="221"/>
      <c r="Y378" s="221"/>
      <c r="Z378" s="221"/>
      <c r="AA378" s="221"/>
      <c r="AB378" s="221"/>
      <c r="AC378" s="221"/>
      <c r="AD378" s="221"/>
      <c r="AE378" s="221"/>
      <c r="AF378" s="221"/>
      <c r="AG378" s="221"/>
      <c r="AH378" s="221"/>
      <c r="AI378" s="221"/>
      <c r="AJ378" s="221"/>
      <c r="AK378" s="221"/>
      <c r="AL378" s="221"/>
      <c r="AM378" s="221"/>
      <c r="AN378" s="221"/>
      <c r="AO378" s="221"/>
      <c r="AP378" s="221"/>
      <c r="AQ378" s="221"/>
    </row>
    <row r="379" spans="1:43" s="226" customFormat="1" x14ac:dyDescent="0.3">
      <c r="A379" s="82" t="s">
        <v>266</v>
      </c>
      <c r="B379" s="290" t="s">
        <v>499</v>
      </c>
      <c r="C379" s="247"/>
      <c r="D379" s="247"/>
      <c r="E379" s="57" t="s">
        <v>788</v>
      </c>
      <c r="F379" s="79"/>
      <c r="G379" s="79"/>
      <c r="H379" s="79"/>
      <c r="I379" s="79"/>
      <c r="J379" s="64"/>
      <c r="K379" s="31">
        <v>30</v>
      </c>
      <c r="L379" s="234">
        <f t="shared" si="39"/>
        <v>11.295</v>
      </c>
      <c r="M379" s="234">
        <f t="shared" si="40"/>
        <v>11.295</v>
      </c>
      <c r="N379" s="234">
        <f t="shared" si="41"/>
        <v>13.56</v>
      </c>
      <c r="O379" s="234">
        <f t="shared" si="42"/>
        <v>11.370000000000001</v>
      </c>
      <c r="P379" s="234">
        <f t="shared" si="35"/>
        <v>14.97</v>
      </c>
      <c r="Q379" s="234">
        <f t="shared" si="36"/>
        <v>12.9</v>
      </c>
      <c r="R379" s="234">
        <f t="shared" si="37"/>
        <v>14.49</v>
      </c>
    </row>
    <row r="380" spans="1:43" s="228" customFormat="1" x14ac:dyDescent="0.3">
      <c r="A380" s="82" t="s">
        <v>269</v>
      </c>
      <c r="B380" s="82" t="s">
        <v>270</v>
      </c>
      <c r="C380" s="160"/>
      <c r="D380" s="160"/>
      <c r="E380" s="79"/>
      <c r="F380" s="57" t="s">
        <v>789</v>
      </c>
      <c r="G380" s="108"/>
      <c r="H380" s="108"/>
      <c r="I380" s="108"/>
      <c r="J380" s="167"/>
      <c r="K380" s="31">
        <v>60</v>
      </c>
      <c r="L380" s="234">
        <f t="shared" si="39"/>
        <v>22.59</v>
      </c>
      <c r="M380" s="234">
        <f t="shared" si="40"/>
        <v>22.59</v>
      </c>
      <c r="N380" s="234">
        <f t="shared" si="41"/>
        <v>27.12</v>
      </c>
      <c r="O380" s="234">
        <f t="shared" si="42"/>
        <v>22.740000000000002</v>
      </c>
      <c r="P380" s="234">
        <f t="shared" si="35"/>
        <v>29.94</v>
      </c>
      <c r="Q380" s="234">
        <f t="shared" si="36"/>
        <v>25.8</v>
      </c>
      <c r="R380" s="234">
        <f t="shared" si="37"/>
        <v>28.98</v>
      </c>
      <c r="S380" s="221"/>
      <c r="T380" s="221"/>
      <c r="U380" s="221"/>
      <c r="V380" s="221"/>
      <c r="W380" s="221"/>
      <c r="X380" s="221"/>
      <c r="Y380" s="221"/>
      <c r="Z380" s="221"/>
      <c r="AA380" s="221"/>
      <c r="AB380" s="221"/>
      <c r="AC380" s="221"/>
      <c r="AD380" s="221"/>
      <c r="AE380" s="221"/>
      <c r="AF380" s="221"/>
      <c r="AG380" s="221"/>
      <c r="AH380" s="221"/>
      <c r="AI380" s="221"/>
      <c r="AJ380" s="221"/>
      <c r="AK380" s="221"/>
      <c r="AL380" s="221"/>
      <c r="AM380" s="221"/>
      <c r="AN380" s="221"/>
      <c r="AO380" s="221"/>
      <c r="AP380" s="221"/>
      <c r="AQ380" s="221"/>
    </row>
    <row r="381" spans="1:43" s="226" customFormat="1" x14ac:dyDescent="0.3">
      <c r="A381" s="82" t="s">
        <v>269</v>
      </c>
      <c r="B381" s="82" t="s">
        <v>501</v>
      </c>
      <c r="C381" s="82"/>
      <c r="D381" s="82"/>
      <c r="E381" s="57" t="s">
        <v>790</v>
      </c>
      <c r="F381" s="57"/>
      <c r="G381" s="108"/>
      <c r="H381" s="108"/>
      <c r="I381" s="108"/>
      <c r="J381" s="167"/>
      <c r="K381" s="31">
        <v>60</v>
      </c>
      <c r="L381" s="234">
        <f t="shared" si="39"/>
        <v>22.59</v>
      </c>
      <c r="M381" s="234">
        <f t="shared" si="40"/>
        <v>22.59</v>
      </c>
      <c r="N381" s="234">
        <f>K381*$N$9</f>
        <v>27.12</v>
      </c>
      <c r="O381" s="234">
        <f t="shared" si="42"/>
        <v>22.740000000000002</v>
      </c>
      <c r="P381" s="234">
        <f t="shared" si="35"/>
        <v>29.94</v>
      </c>
      <c r="Q381" s="234">
        <f t="shared" si="36"/>
        <v>25.8</v>
      </c>
      <c r="R381" s="234">
        <f t="shared" si="37"/>
        <v>28.98</v>
      </c>
    </row>
    <row r="382" spans="1:43" s="330" customFormat="1" x14ac:dyDescent="0.3">
      <c r="A382" s="156" t="s">
        <v>503</v>
      </c>
      <c r="B382" s="156" t="s">
        <v>1555</v>
      </c>
      <c r="C382" s="123"/>
      <c r="D382" s="123"/>
      <c r="E382" s="188" t="s">
        <v>791</v>
      </c>
      <c r="F382" s="188" t="s">
        <v>791</v>
      </c>
      <c r="G382" s="188"/>
      <c r="H382" s="188"/>
      <c r="I382" s="188"/>
      <c r="J382" s="75"/>
      <c r="K382" s="44">
        <v>20</v>
      </c>
      <c r="L382" s="234">
        <f t="shared" si="39"/>
        <v>7.53</v>
      </c>
      <c r="M382" s="234">
        <f t="shared" si="40"/>
        <v>7.53</v>
      </c>
      <c r="N382" s="234">
        <f t="shared" si="41"/>
        <v>9.0400000000000009</v>
      </c>
      <c r="O382" s="234">
        <f t="shared" si="42"/>
        <v>7.58</v>
      </c>
      <c r="P382" s="234">
        <f t="shared" si="35"/>
        <v>9.98</v>
      </c>
      <c r="Q382" s="234">
        <f t="shared" si="36"/>
        <v>8.6</v>
      </c>
      <c r="R382" s="234">
        <f t="shared" si="37"/>
        <v>9.66</v>
      </c>
      <c r="S382" s="221"/>
      <c r="T382" s="221"/>
      <c r="U382" s="221"/>
      <c r="V382" s="221"/>
      <c r="W382" s="221"/>
      <c r="X382" s="221"/>
      <c r="Y382" s="221"/>
      <c r="Z382" s="221"/>
      <c r="AA382" s="221"/>
      <c r="AB382" s="221"/>
      <c r="AC382" s="221"/>
      <c r="AD382" s="221"/>
      <c r="AE382" s="221"/>
      <c r="AF382" s="221"/>
      <c r="AG382" s="221"/>
      <c r="AH382" s="221"/>
      <c r="AI382" s="221"/>
      <c r="AJ382" s="221"/>
      <c r="AK382" s="221"/>
      <c r="AL382" s="221"/>
      <c r="AM382" s="221"/>
      <c r="AN382" s="221"/>
      <c r="AO382" s="221"/>
      <c r="AP382" s="221"/>
      <c r="AQ382" s="221"/>
    </row>
    <row r="383" spans="1:43" s="330" customFormat="1" x14ac:dyDescent="0.3">
      <c r="A383" s="156" t="s">
        <v>271</v>
      </c>
      <c r="B383" s="156" t="s">
        <v>272</v>
      </c>
      <c r="C383" s="123"/>
      <c r="D383" s="123"/>
      <c r="E383" s="298" t="s">
        <v>273</v>
      </c>
      <c r="F383" s="298" t="s">
        <v>273</v>
      </c>
      <c r="G383" s="298"/>
      <c r="H383" s="298"/>
      <c r="I383" s="298"/>
      <c r="J383" s="85"/>
      <c r="K383" s="44">
        <v>158</v>
      </c>
      <c r="L383" s="234">
        <f t="shared" si="39"/>
        <v>59.487000000000002</v>
      </c>
      <c r="M383" s="234">
        <f t="shared" si="40"/>
        <v>59.487000000000002</v>
      </c>
      <c r="N383" s="234">
        <f t="shared" si="41"/>
        <v>71.415999999999997</v>
      </c>
      <c r="O383" s="234">
        <f t="shared" si="42"/>
        <v>59.881999999999998</v>
      </c>
      <c r="P383" s="234">
        <f t="shared" si="35"/>
        <v>78.841999999999999</v>
      </c>
      <c r="Q383" s="234">
        <f t="shared" si="36"/>
        <v>67.94</v>
      </c>
      <c r="R383" s="234">
        <f t="shared" si="37"/>
        <v>76.313999999999993</v>
      </c>
      <c r="S383" s="221"/>
      <c r="T383" s="221"/>
      <c r="U383" s="221"/>
      <c r="V383" s="221"/>
      <c r="W383" s="221"/>
      <c r="X383" s="221"/>
      <c r="Y383" s="221"/>
      <c r="Z383" s="221"/>
      <c r="AA383" s="221"/>
      <c r="AB383" s="221"/>
      <c r="AC383" s="221"/>
      <c r="AD383" s="221"/>
      <c r="AE383" s="221"/>
      <c r="AF383" s="221"/>
      <c r="AG383" s="221"/>
      <c r="AH383" s="221"/>
      <c r="AI383" s="221"/>
      <c r="AJ383" s="221"/>
      <c r="AK383" s="221"/>
      <c r="AL383" s="221"/>
      <c r="AM383" s="221"/>
      <c r="AN383" s="221"/>
      <c r="AO383" s="221"/>
      <c r="AP383" s="221"/>
      <c r="AQ383" s="221"/>
    </row>
    <row r="384" spans="1:43" s="330" customFormat="1" x14ac:dyDescent="0.3">
      <c r="A384" s="269" t="s">
        <v>274</v>
      </c>
      <c r="B384" s="269" t="s">
        <v>275</v>
      </c>
      <c r="C384" s="123"/>
      <c r="D384" s="123"/>
      <c r="E384" s="281" t="s">
        <v>277</v>
      </c>
      <c r="F384" s="298" t="s">
        <v>277</v>
      </c>
      <c r="G384" s="298"/>
      <c r="H384" s="298"/>
      <c r="I384" s="298"/>
      <c r="J384" s="85"/>
      <c r="K384" s="44">
        <v>158</v>
      </c>
      <c r="L384" s="234">
        <f t="shared" si="39"/>
        <v>59.487000000000002</v>
      </c>
      <c r="M384" s="234">
        <f t="shared" si="40"/>
        <v>59.487000000000002</v>
      </c>
      <c r="N384" s="234">
        <f t="shared" si="41"/>
        <v>71.415999999999997</v>
      </c>
      <c r="O384" s="234">
        <f t="shared" si="42"/>
        <v>59.881999999999998</v>
      </c>
      <c r="P384" s="234">
        <f t="shared" si="35"/>
        <v>78.841999999999999</v>
      </c>
      <c r="Q384" s="234">
        <f t="shared" si="36"/>
        <v>67.94</v>
      </c>
      <c r="R384" s="234">
        <f t="shared" si="37"/>
        <v>76.313999999999993</v>
      </c>
      <c r="S384" s="221"/>
      <c r="T384" s="221"/>
      <c r="U384" s="221"/>
      <c r="V384" s="221"/>
      <c r="W384" s="221"/>
      <c r="X384" s="221"/>
      <c r="Y384" s="221"/>
      <c r="Z384" s="221"/>
      <c r="AA384" s="221"/>
      <c r="AB384" s="221"/>
      <c r="AC384" s="221"/>
      <c r="AD384" s="221"/>
      <c r="AE384" s="221"/>
      <c r="AF384" s="221"/>
      <c r="AG384" s="221"/>
      <c r="AH384" s="221"/>
      <c r="AI384" s="221"/>
      <c r="AJ384" s="221"/>
      <c r="AK384" s="221"/>
      <c r="AL384" s="221"/>
      <c r="AM384" s="221"/>
      <c r="AN384" s="221"/>
      <c r="AO384" s="221"/>
      <c r="AP384" s="221"/>
      <c r="AQ384" s="221"/>
    </row>
    <row r="385" spans="1:18" s="329" customFormat="1" x14ac:dyDescent="0.3">
      <c r="A385" s="269" t="s">
        <v>278</v>
      </c>
      <c r="B385" s="171" t="s">
        <v>279</v>
      </c>
      <c r="C385" s="229"/>
      <c r="D385" s="229"/>
      <c r="E385" s="57" t="s">
        <v>1551</v>
      </c>
      <c r="F385" s="57" t="s">
        <v>1551</v>
      </c>
      <c r="G385" s="298"/>
      <c r="H385" s="298"/>
      <c r="I385" s="188"/>
      <c r="J385" s="75"/>
      <c r="K385" s="44">
        <v>52</v>
      </c>
      <c r="L385" s="234">
        <f t="shared" si="39"/>
        <v>19.577999999999999</v>
      </c>
      <c r="M385" s="234">
        <f t="shared" si="40"/>
        <v>19.577999999999999</v>
      </c>
      <c r="N385" s="234">
        <f t="shared" si="41"/>
        <v>23.504000000000001</v>
      </c>
      <c r="O385" s="234">
        <f t="shared" si="42"/>
        <v>19.707999999999998</v>
      </c>
      <c r="P385" s="234">
        <f t="shared" si="35"/>
        <v>25.948</v>
      </c>
      <c r="Q385" s="234">
        <f t="shared" si="36"/>
        <v>22.36</v>
      </c>
      <c r="R385" s="234">
        <f t="shared" si="37"/>
        <v>25.116</v>
      </c>
    </row>
    <row r="386" spans="1:18" s="329" customFormat="1" x14ac:dyDescent="0.3">
      <c r="A386" s="307"/>
      <c r="B386" s="307"/>
      <c r="C386" s="307"/>
      <c r="D386" s="307"/>
      <c r="E386" s="265"/>
      <c r="F386" s="265"/>
      <c r="G386" s="265"/>
      <c r="H386" s="265"/>
      <c r="I386" s="265"/>
      <c r="J386" s="198"/>
      <c r="K386" s="214"/>
    </row>
    <row r="387" spans="1:18" s="329" customFormat="1" x14ac:dyDescent="0.3">
      <c r="A387" s="307"/>
      <c r="B387" s="307"/>
      <c r="C387" s="307"/>
      <c r="D387" s="307"/>
      <c r="E387" s="265"/>
      <c r="F387" s="265"/>
      <c r="G387" s="265"/>
      <c r="H387" s="265"/>
      <c r="I387" s="265"/>
      <c r="J387" s="198"/>
      <c r="K387" s="214"/>
    </row>
    <row r="388" spans="1:18" s="329" customFormat="1" x14ac:dyDescent="0.3">
      <c r="A388" s="307"/>
      <c r="B388" s="307"/>
      <c r="C388" s="307"/>
      <c r="D388" s="307"/>
      <c r="E388" s="198"/>
      <c r="F388" s="265"/>
      <c r="G388" s="265"/>
      <c r="H388" s="265"/>
      <c r="I388" s="265"/>
      <c r="J388" s="198"/>
      <c r="K388" s="214"/>
    </row>
    <row r="389" spans="1:18" s="329" customFormat="1" x14ac:dyDescent="0.3">
      <c r="A389" s="307"/>
      <c r="B389" s="307"/>
      <c r="C389" s="307"/>
      <c r="D389" s="307"/>
      <c r="E389" s="265"/>
      <c r="F389" s="265"/>
      <c r="G389" s="265"/>
      <c r="H389" s="265"/>
      <c r="I389" s="265"/>
      <c r="J389" s="198"/>
      <c r="K389" s="214"/>
    </row>
    <row r="390" spans="1:18" s="329" customFormat="1" x14ac:dyDescent="0.3">
      <c r="A390" s="307"/>
      <c r="B390" s="307"/>
      <c r="C390" s="307"/>
      <c r="D390" s="307"/>
      <c r="E390" s="265"/>
      <c r="F390" s="265"/>
      <c r="G390" s="265"/>
      <c r="H390" s="265"/>
      <c r="I390" s="265"/>
      <c r="J390" s="198"/>
      <c r="K390" s="214"/>
    </row>
    <row r="391" spans="1:18" s="329" customFormat="1" x14ac:dyDescent="0.3">
      <c r="A391" s="307"/>
      <c r="B391" s="307"/>
      <c r="C391" s="308"/>
      <c r="D391" s="308"/>
      <c r="E391" s="265"/>
      <c r="F391" s="265"/>
      <c r="G391" s="265"/>
      <c r="H391" s="265"/>
      <c r="I391" s="265"/>
      <c r="J391" s="198"/>
      <c r="K391" s="214"/>
    </row>
    <row r="392" spans="1:18" s="329" customFormat="1" x14ac:dyDescent="0.3">
      <c r="A392" s="307"/>
      <c r="B392" s="307"/>
      <c r="C392" s="308"/>
      <c r="D392" s="308"/>
      <c r="E392" s="265"/>
      <c r="F392" s="265"/>
      <c r="G392" s="265"/>
      <c r="H392" s="265"/>
      <c r="I392" s="265"/>
      <c r="J392" s="198"/>
      <c r="K392" s="214"/>
    </row>
    <row r="393" spans="1:18" s="329" customFormat="1" x14ac:dyDescent="0.3">
      <c r="A393" s="307"/>
      <c r="B393" s="307"/>
      <c r="C393" s="308"/>
      <c r="D393" s="308"/>
      <c r="E393" s="265"/>
      <c r="F393" s="265"/>
      <c r="G393" s="265"/>
      <c r="H393" s="265"/>
      <c r="I393" s="265"/>
      <c r="J393" s="198"/>
      <c r="K393" s="214"/>
    </row>
    <row r="394" spans="1:18" s="329" customFormat="1" x14ac:dyDescent="0.3">
      <c r="A394" s="307"/>
      <c r="B394" s="307"/>
      <c r="C394" s="308"/>
      <c r="D394" s="308"/>
      <c r="E394" s="265"/>
      <c r="F394" s="265"/>
      <c r="G394" s="265"/>
      <c r="H394" s="265"/>
      <c r="I394" s="265"/>
      <c r="J394" s="198"/>
      <c r="K394" s="214"/>
    </row>
    <row r="395" spans="1:18" s="329" customFormat="1" x14ac:dyDescent="0.3">
      <c r="A395" s="307"/>
      <c r="B395" s="307"/>
      <c r="C395" s="308"/>
      <c r="D395" s="308"/>
      <c r="E395" s="265"/>
      <c r="F395" s="265"/>
      <c r="G395" s="265"/>
      <c r="H395" s="265"/>
      <c r="I395" s="265"/>
      <c r="J395" s="198"/>
      <c r="K395" s="214"/>
    </row>
    <row r="396" spans="1:18" s="329" customFormat="1" x14ac:dyDescent="0.3">
      <c r="A396" s="307"/>
      <c r="B396" s="307"/>
      <c r="C396" s="308"/>
      <c r="D396" s="308"/>
      <c r="E396" s="265"/>
      <c r="F396" s="265"/>
      <c r="G396" s="265"/>
      <c r="H396" s="265"/>
      <c r="I396" s="265"/>
      <c r="J396" s="198"/>
      <c r="K396" s="214"/>
    </row>
    <row r="397" spans="1:18" s="329" customFormat="1" x14ac:dyDescent="0.3">
      <c r="A397" s="307"/>
      <c r="B397" s="307"/>
      <c r="C397" s="308"/>
      <c r="D397" s="308"/>
      <c r="E397" s="265"/>
      <c r="F397" s="265"/>
      <c r="G397" s="265"/>
      <c r="H397" s="265"/>
      <c r="I397" s="265"/>
      <c r="J397" s="198"/>
      <c r="K397" s="214"/>
    </row>
    <row r="398" spans="1:18" s="329" customFormat="1" x14ac:dyDescent="0.3">
      <c r="A398" s="307"/>
      <c r="B398" s="307"/>
      <c r="C398" s="308"/>
      <c r="D398" s="308"/>
      <c r="E398" s="265"/>
      <c r="F398" s="265"/>
      <c r="G398" s="265"/>
      <c r="H398" s="265"/>
      <c r="I398" s="265"/>
      <c r="J398" s="198"/>
      <c r="K398" s="214"/>
    </row>
    <row r="399" spans="1:18" s="329" customFormat="1" x14ac:dyDescent="0.3">
      <c r="A399" s="307"/>
      <c r="B399" s="307"/>
      <c r="C399" s="308"/>
      <c r="D399" s="308"/>
      <c r="E399" s="265"/>
      <c r="F399" s="265"/>
      <c r="G399" s="265"/>
      <c r="H399" s="265"/>
      <c r="I399" s="265"/>
      <c r="J399" s="198"/>
      <c r="K399" s="214"/>
    </row>
    <row r="400" spans="1:18" s="329" customFormat="1" x14ac:dyDescent="0.3">
      <c r="A400" s="307"/>
      <c r="B400" s="307"/>
      <c r="C400" s="308"/>
      <c r="D400" s="308"/>
      <c r="E400" s="265"/>
      <c r="F400" s="265"/>
      <c r="G400" s="265"/>
      <c r="H400" s="265"/>
      <c r="I400" s="265"/>
      <c r="J400" s="198"/>
      <c r="K400" s="214"/>
    </row>
    <row r="401" spans="1:11" s="329" customFormat="1" x14ac:dyDescent="0.3">
      <c r="A401" s="307"/>
      <c r="B401" s="307"/>
      <c r="C401" s="308"/>
      <c r="D401" s="308"/>
      <c r="E401" s="265"/>
      <c r="F401" s="265"/>
      <c r="G401" s="265"/>
      <c r="H401" s="265"/>
      <c r="I401" s="265"/>
      <c r="J401" s="198"/>
      <c r="K401" s="214"/>
    </row>
    <row r="402" spans="1:11" s="329" customFormat="1" x14ac:dyDescent="0.3">
      <c r="A402" s="307"/>
      <c r="B402" s="307"/>
      <c r="C402" s="308"/>
      <c r="D402" s="308"/>
      <c r="E402" s="265"/>
      <c r="F402" s="265"/>
      <c r="G402" s="265"/>
      <c r="H402" s="265"/>
      <c r="I402" s="265"/>
      <c r="J402" s="198"/>
      <c r="K402" s="214"/>
    </row>
  </sheetData>
  <mergeCells count="2">
    <mergeCell ref="L7:R7"/>
    <mergeCell ref="L10:R10"/>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7B92-1E97-49A4-ABC0-A240273B367C}">
  <sheetPr>
    <tabColor rgb="FFFFC000"/>
  </sheetPr>
  <dimension ref="A1:V275"/>
  <sheetViews>
    <sheetView zoomScale="80" zoomScaleNormal="80" workbookViewId="0">
      <selection activeCell="B135" sqref="B135"/>
    </sheetView>
  </sheetViews>
  <sheetFormatPr baseColWidth="10" defaultColWidth="9.33203125" defaultRowHeight="13.8" x14ac:dyDescent="0.25"/>
  <cols>
    <col min="1" max="1" width="94.5546875" style="311" customWidth="1"/>
    <col min="2" max="2" width="59.88671875" style="311" customWidth="1"/>
    <col min="3" max="3" width="19" style="311" bestFit="1" customWidth="1"/>
    <col min="4" max="4" width="17.6640625" style="311" bestFit="1" customWidth="1"/>
    <col min="5" max="5" width="9.44140625" style="311" customWidth="1"/>
    <col min="6" max="6" width="17.21875" style="311" customWidth="1"/>
    <col min="7" max="7" width="17" style="311" customWidth="1"/>
    <col min="8" max="12" width="12.33203125" style="311" bestFit="1" customWidth="1"/>
    <col min="13" max="13" width="14.6640625" style="311" bestFit="1" customWidth="1"/>
    <col min="14" max="14" width="12.33203125" style="311" bestFit="1" customWidth="1"/>
    <col min="15" max="15" width="12.33203125" style="311" customWidth="1"/>
    <col min="16" max="22" width="9.44140625" style="311" bestFit="1" customWidth="1"/>
    <col min="23" max="16384" width="9.33203125" style="311"/>
  </cols>
  <sheetData>
    <row r="1" spans="1:15" x14ac:dyDescent="0.25">
      <c r="D1" s="310"/>
    </row>
    <row r="2" spans="1:15" x14ac:dyDescent="0.25">
      <c r="D2" s="310"/>
    </row>
    <row r="3" spans="1:15" x14ac:dyDescent="0.25">
      <c r="D3" s="310"/>
    </row>
    <row r="4" spans="1:15" x14ac:dyDescent="0.25">
      <c r="D4" s="310"/>
    </row>
    <row r="5" spans="1:15" x14ac:dyDescent="0.25">
      <c r="D5" s="310"/>
    </row>
    <row r="6" spans="1:15" x14ac:dyDescent="0.25">
      <c r="D6" s="310"/>
    </row>
    <row r="7" spans="1:15" ht="63" customHeight="1" x14ac:dyDescent="0.25">
      <c r="A7" s="151" t="s">
        <v>122</v>
      </c>
      <c r="D7" s="310"/>
      <c r="F7" s="416" t="s">
        <v>1627</v>
      </c>
      <c r="G7" s="417"/>
      <c r="H7" s="417"/>
      <c r="I7" s="417"/>
      <c r="J7" s="417"/>
      <c r="K7" s="417"/>
      <c r="L7" s="418"/>
    </row>
    <row r="8" spans="1:15" ht="13.2" customHeight="1" x14ac:dyDescent="0.25">
      <c r="A8" s="357" t="s">
        <v>1626</v>
      </c>
      <c r="B8" s="47"/>
      <c r="C8" s="47"/>
      <c r="D8" s="310"/>
      <c r="E8" s="310"/>
      <c r="F8" s="343" t="s">
        <v>1429</v>
      </c>
      <c r="G8" s="343" t="s">
        <v>1430</v>
      </c>
      <c r="H8" s="343" t="s">
        <v>1431</v>
      </c>
      <c r="I8" s="343" t="s">
        <v>1432</v>
      </c>
      <c r="J8" s="343" t="s">
        <v>1433</v>
      </c>
      <c r="K8" s="343" t="s">
        <v>1434</v>
      </c>
      <c r="L8" s="343" t="s">
        <v>1439</v>
      </c>
      <c r="M8" s="310"/>
      <c r="N8" s="310"/>
      <c r="O8" s="310"/>
    </row>
    <row r="9" spans="1:15" x14ac:dyDescent="0.25">
      <c r="A9" s="286"/>
      <c r="B9" s="47"/>
      <c r="C9" s="47"/>
      <c r="D9" s="178"/>
      <c r="E9" s="310"/>
      <c r="F9" s="344">
        <v>0.3765</v>
      </c>
      <c r="G9" s="344">
        <v>0.3765</v>
      </c>
      <c r="H9" s="344">
        <v>0.45200000000000001</v>
      </c>
      <c r="I9" s="344">
        <v>0.379</v>
      </c>
      <c r="J9" s="344">
        <v>0.499</v>
      </c>
      <c r="K9" s="344">
        <v>0.43</v>
      </c>
      <c r="L9" s="344">
        <v>0.48299999999999998</v>
      </c>
      <c r="M9" s="310"/>
      <c r="N9" s="310"/>
      <c r="O9" s="310"/>
    </row>
    <row r="10" spans="1:15" ht="42.75" customHeight="1" x14ac:dyDescent="0.25">
      <c r="A10" s="126" t="s">
        <v>792</v>
      </c>
      <c r="B10" s="40"/>
      <c r="C10" s="100"/>
      <c r="D10" s="297"/>
      <c r="E10" s="310"/>
      <c r="F10" s="419" t="s">
        <v>1436</v>
      </c>
      <c r="G10" s="419"/>
      <c r="H10" s="419"/>
      <c r="I10" s="419"/>
      <c r="J10" s="419"/>
      <c r="K10" s="419"/>
      <c r="L10" s="419"/>
      <c r="M10" s="310"/>
      <c r="N10" s="310"/>
      <c r="O10" s="310"/>
    </row>
    <row r="11" spans="1:15" ht="42" customHeight="1" x14ac:dyDescent="0.25">
      <c r="A11" s="302" t="s">
        <v>793</v>
      </c>
      <c r="B11" s="302" t="s">
        <v>794</v>
      </c>
      <c r="C11" s="88" t="s">
        <v>129</v>
      </c>
      <c r="D11" s="292" t="s">
        <v>142</v>
      </c>
      <c r="F11" s="345" t="s">
        <v>1437</v>
      </c>
      <c r="G11" s="345" t="s">
        <v>1437</v>
      </c>
      <c r="H11" s="345" t="s">
        <v>1437</v>
      </c>
      <c r="I11" s="345" t="s">
        <v>1437</v>
      </c>
      <c r="J11" s="345" t="s">
        <v>1437</v>
      </c>
      <c r="K11" s="345" t="s">
        <v>1437</v>
      </c>
      <c r="L11" s="345" t="s">
        <v>1437</v>
      </c>
      <c r="M11" s="310"/>
      <c r="N11" s="310"/>
      <c r="O11" s="310"/>
    </row>
    <row r="12" spans="1:15" x14ac:dyDescent="0.25">
      <c r="A12" s="21" t="s">
        <v>795</v>
      </c>
      <c r="B12" s="50"/>
      <c r="C12" s="50"/>
      <c r="D12" s="6"/>
      <c r="F12" s="346"/>
      <c r="G12" s="346"/>
      <c r="H12" s="346"/>
      <c r="I12" s="346"/>
      <c r="J12" s="346"/>
      <c r="K12" s="346"/>
      <c r="L12" s="346"/>
      <c r="M12" s="310"/>
      <c r="N12" s="310"/>
      <c r="O12" s="310"/>
    </row>
    <row r="13" spans="1:15" x14ac:dyDescent="0.25">
      <c r="A13" s="269" t="s">
        <v>796</v>
      </c>
      <c r="B13" s="281" t="s">
        <v>797</v>
      </c>
      <c r="C13" s="49" t="s">
        <v>798</v>
      </c>
      <c r="D13" s="133">
        <v>47</v>
      </c>
      <c r="F13" s="347">
        <f>D13*$F$9</f>
        <v>17.695499999999999</v>
      </c>
      <c r="G13" s="347">
        <f>D13*$G$9</f>
        <v>17.695499999999999</v>
      </c>
      <c r="H13" s="347">
        <f>D13*$H$9</f>
        <v>21.244</v>
      </c>
      <c r="I13" s="347">
        <f>D13*$I$9</f>
        <v>17.812999999999999</v>
      </c>
      <c r="J13" s="347">
        <f>D13*$J$9</f>
        <v>23.452999999999999</v>
      </c>
      <c r="K13" s="347">
        <f>D13*$K$9</f>
        <v>20.21</v>
      </c>
      <c r="L13" s="347">
        <f>D13*$L$9</f>
        <v>22.701000000000001</v>
      </c>
      <c r="M13" s="310"/>
      <c r="N13" s="310"/>
      <c r="O13" s="310"/>
    </row>
    <row r="14" spans="1:15" x14ac:dyDescent="0.25">
      <c r="A14" s="269" t="s">
        <v>799</v>
      </c>
      <c r="B14" s="281" t="s">
        <v>800</v>
      </c>
      <c r="C14" s="58" t="s">
        <v>801</v>
      </c>
      <c r="D14" s="133">
        <v>89</v>
      </c>
      <c r="F14" s="347">
        <f t="shared" ref="F14:F77" si="0">D14*$F$9</f>
        <v>33.508499999999998</v>
      </c>
      <c r="G14" s="347">
        <f t="shared" ref="G14:G77" si="1">D14*$G$9</f>
        <v>33.508499999999998</v>
      </c>
      <c r="H14" s="56">
        <f t="shared" ref="H14:H77" si="2">D14*$H$9</f>
        <v>40.228000000000002</v>
      </c>
      <c r="I14" s="56">
        <f t="shared" ref="I14:I77" si="3">D14*$I$9</f>
        <v>33.731000000000002</v>
      </c>
      <c r="J14" s="56">
        <f t="shared" ref="J14:J77" si="4">D14*$J$9</f>
        <v>44.411000000000001</v>
      </c>
      <c r="K14" s="56">
        <f t="shared" ref="K14:K77" si="5">D14*$K$9</f>
        <v>38.269999999999996</v>
      </c>
      <c r="L14" s="56">
        <f t="shared" ref="L14:L77" si="6">D14*$L$9</f>
        <v>42.987000000000002</v>
      </c>
      <c r="M14" s="310"/>
      <c r="N14" s="310"/>
      <c r="O14" s="310"/>
    </row>
    <row r="15" spans="1:15" x14ac:dyDescent="0.25">
      <c r="A15" s="269" t="s">
        <v>802</v>
      </c>
      <c r="B15" s="183" t="s">
        <v>803</v>
      </c>
      <c r="C15" s="49" t="s">
        <v>804</v>
      </c>
      <c r="D15" s="133">
        <v>126</v>
      </c>
      <c r="F15" s="347">
        <f t="shared" si="0"/>
        <v>47.439</v>
      </c>
      <c r="G15" s="347">
        <f t="shared" si="1"/>
        <v>47.439</v>
      </c>
      <c r="H15" s="56">
        <f t="shared" si="2"/>
        <v>56.951999999999998</v>
      </c>
      <c r="I15" s="56">
        <f t="shared" si="3"/>
        <v>47.753999999999998</v>
      </c>
      <c r="J15" s="56">
        <f t="shared" si="4"/>
        <v>62.874000000000002</v>
      </c>
      <c r="K15" s="56">
        <f t="shared" si="5"/>
        <v>54.18</v>
      </c>
      <c r="L15" s="56">
        <f t="shared" si="6"/>
        <v>60.857999999999997</v>
      </c>
      <c r="M15" s="310"/>
      <c r="N15" s="310"/>
      <c r="O15" s="310"/>
    </row>
    <row r="16" spans="1:15" x14ac:dyDescent="0.25">
      <c r="A16" s="269" t="s">
        <v>805</v>
      </c>
      <c r="B16" s="183" t="s">
        <v>806</v>
      </c>
      <c r="C16" s="49" t="s">
        <v>807</v>
      </c>
      <c r="D16" s="133">
        <v>185</v>
      </c>
      <c r="F16" s="347">
        <f t="shared" si="0"/>
        <v>69.652500000000003</v>
      </c>
      <c r="G16" s="347">
        <f t="shared" si="1"/>
        <v>69.652500000000003</v>
      </c>
      <c r="H16" s="56">
        <f t="shared" si="2"/>
        <v>83.62</v>
      </c>
      <c r="I16" s="56">
        <f t="shared" si="3"/>
        <v>70.114999999999995</v>
      </c>
      <c r="J16" s="56">
        <f t="shared" si="4"/>
        <v>92.314999999999998</v>
      </c>
      <c r="K16" s="56">
        <f t="shared" si="5"/>
        <v>79.55</v>
      </c>
      <c r="L16" s="56">
        <f t="shared" si="6"/>
        <v>89.355000000000004</v>
      </c>
      <c r="M16" s="310"/>
      <c r="N16" s="310"/>
      <c r="O16" s="310"/>
    </row>
    <row r="17" spans="1:15" x14ac:dyDescent="0.25">
      <c r="A17" s="269"/>
      <c r="B17" s="281"/>
      <c r="C17" s="134"/>
      <c r="D17" s="56"/>
      <c r="F17" s="347"/>
      <c r="G17" s="347"/>
      <c r="H17" s="56"/>
      <c r="I17" s="56"/>
      <c r="J17" s="56"/>
      <c r="K17" s="56"/>
      <c r="L17" s="56"/>
      <c r="M17" s="310"/>
      <c r="N17" s="310"/>
      <c r="O17" s="310"/>
    </row>
    <row r="18" spans="1:15" x14ac:dyDescent="0.25">
      <c r="A18" s="21" t="s">
        <v>808</v>
      </c>
      <c r="B18" s="50"/>
      <c r="C18" s="50"/>
      <c r="D18" s="147"/>
      <c r="F18" s="346"/>
      <c r="G18" s="346"/>
      <c r="H18" s="346"/>
      <c r="I18" s="346"/>
      <c r="J18" s="346"/>
      <c r="K18" s="346"/>
      <c r="L18" s="346"/>
      <c r="M18" s="310"/>
      <c r="N18" s="310"/>
      <c r="O18" s="310"/>
    </row>
    <row r="19" spans="1:15" x14ac:dyDescent="0.25">
      <c r="A19" s="156" t="s">
        <v>809</v>
      </c>
      <c r="B19" s="298" t="s">
        <v>810</v>
      </c>
      <c r="C19" s="55" t="s">
        <v>811</v>
      </c>
      <c r="D19" s="133">
        <v>178</v>
      </c>
      <c r="F19" s="347">
        <f t="shared" si="0"/>
        <v>67.016999999999996</v>
      </c>
      <c r="G19" s="347">
        <f t="shared" si="1"/>
        <v>67.016999999999996</v>
      </c>
      <c r="H19" s="56">
        <f t="shared" si="2"/>
        <v>80.456000000000003</v>
      </c>
      <c r="I19" s="56">
        <f t="shared" si="3"/>
        <v>67.462000000000003</v>
      </c>
      <c r="J19" s="56">
        <f t="shared" si="4"/>
        <v>88.822000000000003</v>
      </c>
      <c r="K19" s="56">
        <f t="shared" si="5"/>
        <v>76.539999999999992</v>
      </c>
      <c r="L19" s="56">
        <f t="shared" si="6"/>
        <v>85.974000000000004</v>
      </c>
      <c r="M19" s="310"/>
      <c r="N19" s="310"/>
      <c r="O19" s="310"/>
    </row>
    <row r="20" spans="1:15" x14ac:dyDescent="0.25">
      <c r="A20" s="156" t="s">
        <v>812</v>
      </c>
      <c r="B20" s="298" t="s">
        <v>1581</v>
      </c>
      <c r="C20" s="55" t="s">
        <v>813</v>
      </c>
      <c r="D20" s="133">
        <v>26</v>
      </c>
      <c r="F20" s="347">
        <f t="shared" si="0"/>
        <v>9.7889999999999997</v>
      </c>
      <c r="G20" s="347">
        <f t="shared" si="1"/>
        <v>9.7889999999999997</v>
      </c>
      <c r="H20" s="56">
        <f t="shared" si="2"/>
        <v>11.752000000000001</v>
      </c>
      <c r="I20" s="56">
        <f t="shared" si="3"/>
        <v>9.8539999999999992</v>
      </c>
      <c r="J20" s="56">
        <f t="shared" si="4"/>
        <v>12.974</v>
      </c>
      <c r="K20" s="56">
        <f t="shared" si="5"/>
        <v>11.18</v>
      </c>
      <c r="L20" s="56">
        <f t="shared" si="6"/>
        <v>12.558</v>
      </c>
      <c r="M20" s="310"/>
      <c r="N20" s="310"/>
      <c r="O20" s="310"/>
    </row>
    <row r="21" spans="1:15" x14ac:dyDescent="0.25">
      <c r="A21" s="156" t="s">
        <v>814</v>
      </c>
      <c r="B21" s="298" t="s">
        <v>815</v>
      </c>
      <c r="C21" s="55" t="s">
        <v>816</v>
      </c>
      <c r="D21" s="133">
        <v>380</v>
      </c>
      <c r="F21" s="347">
        <f t="shared" si="0"/>
        <v>143.07</v>
      </c>
      <c r="G21" s="347">
        <f t="shared" si="1"/>
        <v>143.07</v>
      </c>
      <c r="H21" s="56">
        <f t="shared" si="2"/>
        <v>171.76</v>
      </c>
      <c r="I21" s="56">
        <f t="shared" si="3"/>
        <v>144.02000000000001</v>
      </c>
      <c r="J21" s="56">
        <f t="shared" si="4"/>
        <v>189.62</v>
      </c>
      <c r="K21" s="56">
        <f t="shared" si="5"/>
        <v>163.4</v>
      </c>
      <c r="L21" s="56">
        <f t="shared" si="6"/>
        <v>183.54</v>
      </c>
      <c r="M21" s="310"/>
      <c r="N21" s="310"/>
      <c r="O21" s="310"/>
    </row>
    <row r="22" spans="1:15" x14ac:dyDescent="0.25">
      <c r="A22" s="269"/>
      <c r="B22" s="281"/>
      <c r="C22" s="101"/>
      <c r="D22" s="56"/>
      <c r="F22" s="347"/>
      <c r="G22" s="347"/>
      <c r="H22" s="56"/>
      <c r="I22" s="56"/>
      <c r="J22" s="56"/>
      <c r="K22" s="56"/>
      <c r="L22" s="56"/>
      <c r="M22" s="310"/>
      <c r="N22" s="310"/>
      <c r="O22" s="310"/>
    </row>
    <row r="23" spans="1:15" x14ac:dyDescent="0.25">
      <c r="A23" s="21" t="s">
        <v>817</v>
      </c>
      <c r="B23" s="50"/>
      <c r="C23" s="50"/>
      <c r="D23" s="147"/>
      <c r="F23" s="346"/>
      <c r="G23" s="346"/>
      <c r="H23" s="346"/>
      <c r="I23" s="346"/>
      <c r="J23" s="346"/>
      <c r="K23" s="346"/>
      <c r="L23" s="346"/>
      <c r="M23" s="310"/>
      <c r="N23" s="310"/>
      <c r="O23" s="310"/>
    </row>
    <row r="24" spans="1:15" x14ac:dyDescent="0.25">
      <c r="A24" s="269" t="s">
        <v>818</v>
      </c>
      <c r="B24" s="281" t="s">
        <v>819</v>
      </c>
      <c r="C24" s="101" t="s">
        <v>820</v>
      </c>
      <c r="D24" s="133">
        <v>11</v>
      </c>
      <c r="F24" s="347">
        <f t="shared" si="0"/>
        <v>4.1414999999999997</v>
      </c>
      <c r="G24" s="347">
        <f t="shared" si="1"/>
        <v>4.1414999999999997</v>
      </c>
      <c r="H24" s="56">
        <f t="shared" si="2"/>
        <v>4.9720000000000004</v>
      </c>
      <c r="I24" s="56">
        <f t="shared" si="3"/>
        <v>4.1690000000000005</v>
      </c>
      <c r="J24" s="56">
        <f t="shared" si="4"/>
        <v>5.4889999999999999</v>
      </c>
      <c r="K24" s="56">
        <f t="shared" si="5"/>
        <v>4.7299999999999995</v>
      </c>
      <c r="L24" s="56">
        <f t="shared" si="6"/>
        <v>5.3129999999999997</v>
      </c>
      <c r="M24" s="310"/>
      <c r="N24" s="310"/>
      <c r="O24" s="310"/>
    </row>
    <row r="25" spans="1:15" x14ac:dyDescent="0.25">
      <c r="A25" s="269" t="s">
        <v>821</v>
      </c>
      <c r="B25" s="99" t="s">
        <v>822</v>
      </c>
      <c r="C25" s="101" t="s">
        <v>823</v>
      </c>
      <c r="D25" s="133">
        <v>122</v>
      </c>
      <c r="F25" s="347">
        <f t="shared" si="0"/>
        <v>45.933</v>
      </c>
      <c r="G25" s="347">
        <f t="shared" si="1"/>
        <v>45.933</v>
      </c>
      <c r="H25" s="56">
        <f t="shared" si="2"/>
        <v>55.143999999999998</v>
      </c>
      <c r="I25" s="56">
        <f t="shared" si="3"/>
        <v>46.238</v>
      </c>
      <c r="J25" s="56">
        <f t="shared" si="4"/>
        <v>60.878</v>
      </c>
      <c r="K25" s="56">
        <f t="shared" si="5"/>
        <v>52.46</v>
      </c>
      <c r="L25" s="56">
        <f t="shared" si="6"/>
        <v>58.925999999999995</v>
      </c>
      <c r="M25" s="310"/>
      <c r="N25" s="310"/>
      <c r="O25" s="310"/>
    </row>
    <row r="26" spans="1:15" x14ac:dyDescent="0.25">
      <c r="A26" s="269" t="s">
        <v>824</v>
      </c>
      <c r="B26" s="128" t="s">
        <v>825</v>
      </c>
      <c r="C26" s="127" t="s">
        <v>826</v>
      </c>
      <c r="D26" s="133">
        <v>14</v>
      </c>
      <c r="F26" s="347">
        <f t="shared" si="0"/>
        <v>5.2709999999999999</v>
      </c>
      <c r="G26" s="347">
        <f t="shared" si="1"/>
        <v>5.2709999999999999</v>
      </c>
      <c r="H26" s="56">
        <f t="shared" si="2"/>
        <v>6.3280000000000003</v>
      </c>
      <c r="I26" s="56">
        <f t="shared" si="3"/>
        <v>5.306</v>
      </c>
      <c r="J26" s="56">
        <f t="shared" si="4"/>
        <v>6.9859999999999998</v>
      </c>
      <c r="K26" s="56">
        <f t="shared" si="5"/>
        <v>6.02</v>
      </c>
      <c r="L26" s="56">
        <f t="shared" si="6"/>
        <v>6.7619999999999996</v>
      </c>
      <c r="M26" s="310"/>
      <c r="N26" s="310"/>
      <c r="O26" s="310"/>
    </row>
    <row r="27" spans="1:15" x14ac:dyDescent="0.25">
      <c r="A27" s="269" t="s">
        <v>827</v>
      </c>
      <c r="B27" s="99" t="s">
        <v>827</v>
      </c>
      <c r="C27" s="30" t="s">
        <v>828</v>
      </c>
      <c r="D27" s="133">
        <v>14</v>
      </c>
      <c r="F27" s="347">
        <f t="shared" si="0"/>
        <v>5.2709999999999999</v>
      </c>
      <c r="G27" s="347">
        <f t="shared" si="1"/>
        <v>5.2709999999999999</v>
      </c>
      <c r="H27" s="56">
        <f t="shared" si="2"/>
        <v>6.3280000000000003</v>
      </c>
      <c r="I27" s="56">
        <f t="shared" si="3"/>
        <v>5.306</v>
      </c>
      <c r="J27" s="56">
        <f t="shared" si="4"/>
        <v>6.9859999999999998</v>
      </c>
      <c r="K27" s="56">
        <f t="shared" si="5"/>
        <v>6.02</v>
      </c>
      <c r="L27" s="56">
        <f t="shared" si="6"/>
        <v>6.7619999999999996</v>
      </c>
      <c r="M27" s="310"/>
      <c r="N27" s="310"/>
      <c r="O27" s="310"/>
    </row>
    <row r="28" spans="1:15" x14ac:dyDescent="0.25">
      <c r="A28" s="156" t="s">
        <v>829</v>
      </c>
      <c r="B28" s="303" t="s">
        <v>830</v>
      </c>
      <c r="C28" s="55" t="s">
        <v>831</v>
      </c>
      <c r="D28" s="133">
        <v>30</v>
      </c>
      <c r="F28" s="347">
        <f t="shared" si="0"/>
        <v>11.295</v>
      </c>
      <c r="G28" s="347">
        <f t="shared" si="1"/>
        <v>11.295</v>
      </c>
      <c r="H28" s="56">
        <f t="shared" si="2"/>
        <v>13.56</v>
      </c>
      <c r="I28" s="56">
        <f t="shared" si="3"/>
        <v>11.370000000000001</v>
      </c>
      <c r="J28" s="56">
        <f t="shared" si="4"/>
        <v>14.97</v>
      </c>
      <c r="K28" s="56">
        <f t="shared" si="5"/>
        <v>12.9</v>
      </c>
      <c r="L28" s="56">
        <f t="shared" si="6"/>
        <v>14.49</v>
      </c>
      <c r="M28" s="310"/>
      <c r="N28" s="310"/>
      <c r="O28" s="310"/>
    </row>
    <row r="29" spans="1:15" x14ac:dyDescent="0.25">
      <c r="A29" s="156" t="s">
        <v>832</v>
      </c>
      <c r="B29" s="303" t="s">
        <v>833</v>
      </c>
      <c r="C29" s="55" t="s">
        <v>834</v>
      </c>
      <c r="D29" s="133">
        <v>19</v>
      </c>
      <c r="F29" s="347">
        <f t="shared" si="0"/>
        <v>7.1535000000000002</v>
      </c>
      <c r="G29" s="347">
        <f t="shared" si="1"/>
        <v>7.1535000000000002</v>
      </c>
      <c r="H29" s="56">
        <f t="shared" si="2"/>
        <v>8.588000000000001</v>
      </c>
      <c r="I29" s="56">
        <f t="shared" si="3"/>
        <v>7.2010000000000005</v>
      </c>
      <c r="J29" s="56">
        <f t="shared" si="4"/>
        <v>9.4809999999999999</v>
      </c>
      <c r="K29" s="56">
        <f t="shared" si="5"/>
        <v>8.17</v>
      </c>
      <c r="L29" s="56">
        <f t="shared" si="6"/>
        <v>9.1769999999999996</v>
      </c>
      <c r="M29" s="310"/>
      <c r="N29" s="310"/>
      <c r="O29" s="310"/>
    </row>
    <row r="30" spans="1:15" x14ac:dyDescent="0.25">
      <c r="A30" s="51" t="s">
        <v>835</v>
      </c>
      <c r="B30" s="51" t="s">
        <v>836</v>
      </c>
      <c r="C30" s="49" t="s">
        <v>837</v>
      </c>
      <c r="D30" s="133">
        <v>32</v>
      </c>
      <c r="F30" s="347">
        <f t="shared" si="0"/>
        <v>12.048</v>
      </c>
      <c r="G30" s="347">
        <f t="shared" si="1"/>
        <v>12.048</v>
      </c>
      <c r="H30" s="56">
        <f t="shared" si="2"/>
        <v>14.464</v>
      </c>
      <c r="I30" s="56">
        <f t="shared" si="3"/>
        <v>12.128</v>
      </c>
      <c r="J30" s="56">
        <f t="shared" si="4"/>
        <v>15.968</v>
      </c>
      <c r="K30" s="56">
        <f t="shared" si="5"/>
        <v>13.76</v>
      </c>
      <c r="L30" s="56">
        <f t="shared" si="6"/>
        <v>15.456</v>
      </c>
      <c r="M30" s="310"/>
      <c r="N30" s="310"/>
      <c r="O30" s="310"/>
    </row>
    <row r="31" spans="1:15" x14ac:dyDescent="0.25">
      <c r="A31" s="51" t="s">
        <v>838</v>
      </c>
      <c r="B31" s="51" t="s">
        <v>839</v>
      </c>
      <c r="C31" s="49" t="s">
        <v>840</v>
      </c>
      <c r="D31" s="133">
        <v>22</v>
      </c>
      <c r="F31" s="347">
        <f t="shared" si="0"/>
        <v>8.2829999999999995</v>
      </c>
      <c r="G31" s="347">
        <f t="shared" si="1"/>
        <v>8.2829999999999995</v>
      </c>
      <c r="H31" s="56">
        <f t="shared" si="2"/>
        <v>9.9440000000000008</v>
      </c>
      <c r="I31" s="56">
        <f t="shared" si="3"/>
        <v>8.338000000000001</v>
      </c>
      <c r="J31" s="56">
        <f t="shared" si="4"/>
        <v>10.978</v>
      </c>
      <c r="K31" s="56">
        <f t="shared" si="5"/>
        <v>9.4599999999999991</v>
      </c>
      <c r="L31" s="56">
        <f t="shared" si="6"/>
        <v>10.625999999999999</v>
      </c>
      <c r="M31" s="310"/>
      <c r="N31" s="310"/>
      <c r="O31" s="310"/>
    </row>
    <row r="32" spans="1:15" x14ac:dyDescent="0.25">
      <c r="A32" s="269"/>
      <c r="B32" s="281"/>
      <c r="C32" s="49"/>
      <c r="D32" s="56"/>
      <c r="F32" s="347"/>
      <c r="G32" s="347"/>
      <c r="H32" s="56"/>
      <c r="I32" s="56"/>
      <c r="J32" s="56"/>
      <c r="K32" s="56"/>
      <c r="L32" s="56"/>
      <c r="M32" s="310"/>
      <c r="N32" s="310"/>
      <c r="O32" s="310"/>
    </row>
    <row r="33" spans="1:15" x14ac:dyDescent="0.25">
      <c r="A33" s="21" t="s">
        <v>841</v>
      </c>
      <c r="B33" s="50"/>
      <c r="C33" s="50"/>
      <c r="D33" s="147"/>
      <c r="F33" s="346"/>
      <c r="G33" s="346"/>
      <c r="H33" s="346"/>
      <c r="I33" s="346"/>
      <c r="J33" s="346"/>
      <c r="K33" s="346"/>
      <c r="L33" s="346"/>
      <c r="M33" s="310"/>
      <c r="N33" s="310"/>
      <c r="O33" s="310"/>
    </row>
    <row r="34" spans="1:15" x14ac:dyDescent="0.25">
      <c r="A34" s="269" t="s">
        <v>842</v>
      </c>
      <c r="B34" s="281" t="s">
        <v>843</v>
      </c>
      <c r="C34" s="101" t="s">
        <v>844</v>
      </c>
      <c r="D34" s="133">
        <v>4</v>
      </c>
      <c r="F34" s="347">
        <f t="shared" si="0"/>
        <v>1.506</v>
      </c>
      <c r="G34" s="347">
        <f t="shared" si="1"/>
        <v>1.506</v>
      </c>
      <c r="H34" s="56">
        <f t="shared" si="2"/>
        <v>1.8080000000000001</v>
      </c>
      <c r="I34" s="56">
        <f t="shared" si="3"/>
        <v>1.516</v>
      </c>
      <c r="J34" s="56">
        <f t="shared" si="4"/>
        <v>1.996</v>
      </c>
      <c r="K34" s="56">
        <f t="shared" si="5"/>
        <v>1.72</v>
      </c>
      <c r="L34" s="56">
        <f t="shared" si="6"/>
        <v>1.9319999999999999</v>
      </c>
      <c r="M34" s="310"/>
      <c r="N34" s="310"/>
      <c r="O34" s="310"/>
    </row>
    <row r="35" spans="1:15" x14ac:dyDescent="0.25">
      <c r="A35" s="269" t="s">
        <v>845</v>
      </c>
      <c r="B35" s="281" t="s">
        <v>846</v>
      </c>
      <c r="C35" s="161" t="s">
        <v>847</v>
      </c>
      <c r="D35" s="133">
        <v>13</v>
      </c>
      <c r="F35" s="347">
        <f t="shared" si="0"/>
        <v>4.8944999999999999</v>
      </c>
      <c r="G35" s="347">
        <f t="shared" si="1"/>
        <v>4.8944999999999999</v>
      </c>
      <c r="H35" s="56">
        <f t="shared" si="2"/>
        <v>5.8760000000000003</v>
      </c>
      <c r="I35" s="56">
        <f t="shared" si="3"/>
        <v>4.9269999999999996</v>
      </c>
      <c r="J35" s="56">
        <f t="shared" si="4"/>
        <v>6.4870000000000001</v>
      </c>
      <c r="K35" s="56">
        <f t="shared" si="5"/>
        <v>5.59</v>
      </c>
      <c r="L35" s="56">
        <f t="shared" si="6"/>
        <v>6.2789999999999999</v>
      </c>
      <c r="M35" s="310"/>
      <c r="N35" s="310"/>
      <c r="O35" s="310"/>
    </row>
    <row r="36" spans="1:15" x14ac:dyDescent="0.25">
      <c r="A36" s="269" t="s">
        <v>848</v>
      </c>
      <c r="B36" s="281" t="s">
        <v>849</v>
      </c>
      <c r="C36" s="101" t="s">
        <v>850</v>
      </c>
      <c r="D36" s="133">
        <v>17</v>
      </c>
      <c r="F36" s="347">
        <f t="shared" si="0"/>
        <v>6.4005000000000001</v>
      </c>
      <c r="G36" s="347">
        <f t="shared" si="1"/>
        <v>6.4005000000000001</v>
      </c>
      <c r="H36" s="56">
        <f t="shared" si="2"/>
        <v>7.6840000000000002</v>
      </c>
      <c r="I36" s="56">
        <f t="shared" si="3"/>
        <v>6.4429999999999996</v>
      </c>
      <c r="J36" s="56">
        <f t="shared" si="4"/>
        <v>8.4830000000000005</v>
      </c>
      <c r="K36" s="56">
        <f t="shared" si="5"/>
        <v>7.31</v>
      </c>
      <c r="L36" s="56">
        <f t="shared" si="6"/>
        <v>8.2110000000000003</v>
      </c>
      <c r="M36" s="310"/>
      <c r="N36" s="310"/>
      <c r="O36" s="310"/>
    </row>
    <row r="37" spans="1:15" x14ac:dyDescent="0.25">
      <c r="A37" s="269" t="s">
        <v>851</v>
      </c>
      <c r="B37" s="281" t="s">
        <v>852</v>
      </c>
      <c r="C37" s="101" t="s">
        <v>853</v>
      </c>
      <c r="D37" s="133">
        <v>28</v>
      </c>
      <c r="F37" s="347">
        <f t="shared" si="0"/>
        <v>10.542</v>
      </c>
      <c r="G37" s="347">
        <f t="shared" si="1"/>
        <v>10.542</v>
      </c>
      <c r="H37" s="56">
        <f t="shared" si="2"/>
        <v>12.656000000000001</v>
      </c>
      <c r="I37" s="56">
        <f t="shared" si="3"/>
        <v>10.612</v>
      </c>
      <c r="J37" s="56">
        <f t="shared" si="4"/>
        <v>13.972</v>
      </c>
      <c r="K37" s="56">
        <f t="shared" si="5"/>
        <v>12.04</v>
      </c>
      <c r="L37" s="56">
        <f t="shared" si="6"/>
        <v>13.523999999999999</v>
      </c>
      <c r="M37" s="310"/>
      <c r="N37" s="310"/>
      <c r="O37" s="310"/>
    </row>
    <row r="38" spans="1:15" x14ac:dyDescent="0.25">
      <c r="A38" s="269" t="s">
        <v>854</v>
      </c>
      <c r="B38" s="281" t="s">
        <v>855</v>
      </c>
      <c r="C38" s="101" t="s">
        <v>856</v>
      </c>
      <c r="D38" s="133">
        <v>32</v>
      </c>
      <c r="F38" s="347">
        <f t="shared" si="0"/>
        <v>12.048</v>
      </c>
      <c r="G38" s="347">
        <f t="shared" si="1"/>
        <v>12.048</v>
      </c>
      <c r="H38" s="56">
        <f t="shared" si="2"/>
        <v>14.464</v>
      </c>
      <c r="I38" s="56">
        <f t="shared" si="3"/>
        <v>12.128</v>
      </c>
      <c r="J38" s="56">
        <f t="shared" si="4"/>
        <v>15.968</v>
      </c>
      <c r="K38" s="56">
        <f t="shared" si="5"/>
        <v>13.76</v>
      </c>
      <c r="L38" s="56">
        <f t="shared" si="6"/>
        <v>15.456</v>
      </c>
      <c r="M38" s="310"/>
      <c r="N38" s="310"/>
      <c r="O38" s="310"/>
    </row>
    <row r="39" spans="1:15" x14ac:dyDescent="0.25">
      <c r="A39" s="156" t="s">
        <v>857</v>
      </c>
      <c r="B39" s="298" t="s">
        <v>260</v>
      </c>
      <c r="C39" s="135" t="s">
        <v>858</v>
      </c>
      <c r="D39" s="133">
        <v>33</v>
      </c>
      <c r="F39" s="347">
        <f t="shared" si="0"/>
        <v>12.4245</v>
      </c>
      <c r="G39" s="347">
        <f t="shared" si="1"/>
        <v>12.4245</v>
      </c>
      <c r="H39" s="56">
        <f t="shared" si="2"/>
        <v>14.916</v>
      </c>
      <c r="I39" s="56">
        <f t="shared" si="3"/>
        <v>12.507</v>
      </c>
      <c r="J39" s="56">
        <f t="shared" si="4"/>
        <v>16.466999999999999</v>
      </c>
      <c r="K39" s="56">
        <f t="shared" si="5"/>
        <v>14.19</v>
      </c>
      <c r="L39" s="56">
        <f t="shared" si="6"/>
        <v>15.939</v>
      </c>
      <c r="M39" s="310"/>
      <c r="N39" s="310"/>
      <c r="O39" s="310"/>
    </row>
    <row r="40" spans="1:15" x14ac:dyDescent="0.25">
      <c r="A40" s="269" t="s">
        <v>1583</v>
      </c>
      <c r="B40" s="281" t="s">
        <v>1582</v>
      </c>
      <c r="C40" s="101" t="s">
        <v>859</v>
      </c>
      <c r="D40" s="133">
        <v>36</v>
      </c>
      <c r="F40" s="347">
        <f t="shared" si="0"/>
        <v>13.554</v>
      </c>
      <c r="G40" s="347">
        <f t="shared" si="1"/>
        <v>13.554</v>
      </c>
      <c r="H40" s="56">
        <f t="shared" si="2"/>
        <v>16.272000000000002</v>
      </c>
      <c r="I40" s="56">
        <f t="shared" si="3"/>
        <v>13.644</v>
      </c>
      <c r="J40" s="56">
        <f t="shared" si="4"/>
        <v>17.963999999999999</v>
      </c>
      <c r="K40" s="56">
        <f t="shared" si="5"/>
        <v>15.48</v>
      </c>
      <c r="L40" s="56">
        <f t="shared" si="6"/>
        <v>17.387999999999998</v>
      </c>
      <c r="M40" s="310"/>
      <c r="N40" s="310"/>
      <c r="O40" s="310"/>
    </row>
    <row r="41" spans="1:15" x14ac:dyDescent="0.25">
      <c r="A41" s="269" t="s">
        <v>860</v>
      </c>
      <c r="B41" s="281" t="s">
        <v>861</v>
      </c>
      <c r="C41" s="101" t="s">
        <v>862</v>
      </c>
      <c r="D41" s="133">
        <v>48</v>
      </c>
      <c r="F41" s="347">
        <f t="shared" si="0"/>
        <v>18.071999999999999</v>
      </c>
      <c r="G41" s="347">
        <f t="shared" si="1"/>
        <v>18.071999999999999</v>
      </c>
      <c r="H41" s="56">
        <f t="shared" si="2"/>
        <v>21.696000000000002</v>
      </c>
      <c r="I41" s="56">
        <f t="shared" si="3"/>
        <v>18.192</v>
      </c>
      <c r="J41" s="56">
        <f t="shared" si="4"/>
        <v>23.951999999999998</v>
      </c>
      <c r="K41" s="56">
        <f t="shared" si="5"/>
        <v>20.64</v>
      </c>
      <c r="L41" s="56">
        <f t="shared" si="6"/>
        <v>23.183999999999997</v>
      </c>
      <c r="M41" s="310"/>
      <c r="N41" s="310"/>
      <c r="O41" s="310"/>
    </row>
    <row r="42" spans="1:15" x14ac:dyDescent="0.25">
      <c r="A42" s="269" t="s">
        <v>863</v>
      </c>
      <c r="B42" s="281" t="s">
        <v>864</v>
      </c>
      <c r="C42" s="101" t="s">
        <v>865</v>
      </c>
      <c r="D42" s="133">
        <v>5</v>
      </c>
      <c r="F42" s="347">
        <f t="shared" si="0"/>
        <v>1.8825000000000001</v>
      </c>
      <c r="G42" s="347">
        <f t="shared" si="1"/>
        <v>1.8825000000000001</v>
      </c>
      <c r="H42" s="56">
        <f t="shared" si="2"/>
        <v>2.2600000000000002</v>
      </c>
      <c r="I42" s="56">
        <f t="shared" si="3"/>
        <v>1.895</v>
      </c>
      <c r="J42" s="56">
        <f t="shared" si="4"/>
        <v>2.4950000000000001</v>
      </c>
      <c r="K42" s="56">
        <f t="shared" si="5"/>
        <v>2.15</v>
      </c>
      <c r="L42" s="56">
        <f t="shared" si="6"/>
        <v>2.415</v>
      </c>
      <c r="M42" s="310"/>
      <c r="N42" s="310"/>
      <c r="O42" s="310"/>
    </row>
    <row r="43" spans="1:15" x14ac:dyDescent="0.25">
      <c r="A43" s="269" t="s">
        <v>866</v>
      </c>
      <c r="B43" s="281" t="s">
        <v>867</v>
      </c>
      <c r="C43" s="101" t="s">
        <v>868</v>
      </c>
      <c r="D43" s="133">
        <v>58</v>
      </c>
      <c r="F43" s="347">
        <f t="shared" si="0"/>
        <v>21.837</v>
      </c>
      <c r="G43" s="347">
        <f t="shared" si="1"/>
        <v>21.837</v>
      </c>
      <c r="H43" s="56">
        <f t="shared" si="2"/>
        <v>26.216000000000001</v>
      </c>
      <c r="I43" s="56">
        <f t="shared" si="3"/>
        <v>21.981999999999999</v>
      </c>
      <c r="J43" s="56">
        <f t="shared" si="4"/>
        <v>28.942</v>
      </c>
      <c r="K43" s="56">
        <f t="shared" si="5"/>
        <v>24.94</v>
      </c>
      <c r="L43" s="56">
        <f t="shared" si="6"/>
        <v>28.013999999999999</v>
      </c>
      <c r="M43" s="310"/>
      <c r="N43" s="310"/>
      <c r="O43" s="310"/>
    </row>
    <row r="44" spans="1:15" x14ac:dyDescent="0.25">
      <c r="A44" s="269" t="s">
        <v>869</v>
      </c>
      <c r="B44" s="281" t="s">
        <v>870</v>
      </c>
      <c r="C44" s="101" t="s">
        <v>871</v>
      </c>
      <c r="D44" s="133">
        <v>447</v>
      </c>
      <c r="F44" s="347">
        <f t="shared" si="0"/>
        <v>168.2955</v>
      </c>
      <c r="G44" s="347">
        <f t="shared" si="1"/>
        <v>168.2955</v>
      </c>
      <c r="H44" s="56">
        <f t="shared" si="2"/>
        <v>202.04400000000001</v>
      </c>
      <c r="I44" s="56">
        <f t="shared" si="3"/>
        <v>169.41300000000001</v>
      </c>
      <c r="J44" s="56">
        <f t="shared" si="4"/>
        <v>223.053</v>
      </c>
      <c r="K44" s="56">
        <f t="shared" si="5"/>
        <v>192.21</v>
      </c>
      <c r="L44" s="56">
        <f t="shared" si="6"/>
        <v>215.90099999999998</v>
      </c>
      <c r="M44" s="310"/>
      <c r="N44" s="310"/>
      <c r="O44" s="310"/>
    </row>
    <row r="45" spans="1:15" x14ac:dyDescent="0.25">
      <c r="A45" s="51" t="s">
        <v>872</v>
      </c>
      <c r="B45" s="51" t="s">
        <v>873</v>
      </c>
      <c r="C45" s="49" t="s">
        <v>874</v>
      </c>
      <c r="D45" s="133">
        <v>10</v>
      </c>
      <c r="F45" s="347">
        <f t="shared" si="0"/>
        <v>3.7650000000000001</v>
      </c>
      <c r="G45" s="347">
        <f t="shared" si="1"/>
        <v>3.7650000000000001</v>
      </c>
      <c r="H45" s="56">
        <f t="shared" si="2"/>
        <v>4.5200000000000005</v>
      </c>
      <c r="I45" s="56">
        <f t="shared" si="3"/>
        <v>3.79</v>
      </c>
      <c r="J45" s="56">
        <f t="shared" si="4"/>
        <v>4.99</v>
      </c>
      <c r="K45" s="56">
        <f t="shared" si="5"/>
        <v>4.3</v>
      </c>
      <c r="L45" s="56">
        <f t="shared" si="6"/>
        <v>4.83</v>
      </c>
      <c r="M45" s="310"/>
      <c r="N45" s="310"/>
      <c r="O45" s="310"/>
    </row>
    <row r="46" spans="1:15" x14ac:dyDescent="0.25">
      <c r="A46" s="269"/>
      <c r="B46" s="281"/>
      <c r="C46" s="101"/>
      <c r="D46" s="56"/>
      <c r="F46" s="347"/>
      <c r="G46" s="347"/>
      <c r="H46" s="56"/>
      <c r="I46" s="56"/>
      <c r="J46" s="56"/>
      <c r="K46" s="56"/>
      <c r="L46" s="56"/>
      <c r="M46" s="310"/>
      <c r="N46" s="310"/>
      <c r="O46" s="310"/>
    </row>
    <row r="47" spans="1:15" x14ac:dyDescent="0.25">
      <c r="A47" s="21" t="s">
        <v>875</v>
      </c>
      <c r="B47" s="50"/>
      <c r="C47" s="50"/>
      <c r="D47" s="147"/>
      <c r="F47" s="346"/>
      <c r="G47" s="346"/>
      <c r="H47" s="346"/>
      <c r="I47" s="346"/>
      <c r="J47" s="346"/>
      <c r="K47" s="346"/>
      <c r="L47" s="346"/>
      <c r="M47" s="310"/>
      <c r="N47" s="310"/>
      <c r="O47" s="310"/>
    </row>
    <row r="48" spans="1:15" x14ac:dyDescent="0.25">
      <c r="A48" s="156" t="s">
        <v>876</v>
      </c>
      <c r="B48" s="303" t="s">
        <v>877</v>
      </c>
      <c r="C48" s="55" t="s">
        <v>878</v>
      </c>
      <c r="D48" s="133">
        <v>18</v>
      </c>
      <c r="F48" s="347">
        <f t="shared" si="0"/>
        <v>6.7770000000000001</v>
      </c>
      <c r="G48" s="347">
        <f t="shared" si="1"/>
        <v>6.7770000000000001</v>
      </c>
      <c r="H48" s="56">
        <f t="shared" si="2"/>
        <v>8.136000000000001</v>
      </c>
      <c r="I48" s="56">
        <f t="shared" si="3"/>
        <v>6.8220000000000001</v>
      </c>
      <c r="J48" s="56">
        <f t="shared" si="4"/>
        <v>8.9819999999999993</v>
      </c>
      <c r="K48" s="56">
        <f t="shared" si="5"/>
        <v>7.74</v>
      </c>
      <c r="L48" s="56">
        <f t="shared" si="6"/>
        <v>8.6939999999999991</v>
      </c>
      <c r="M48" s="310"/>
      <c r="N48" s="310"/>
      <c r="O48" s="310"/>
    </row>
    <row r="49" spans="1:15" x14ac:dyDescent="0.25">
      <c r="A49" s="156" t="s">
        <v>879</v>
      </c>
      <c r="B49" s="303" t="s">
        <v>880</v>
      </c>
      <c r="C49" s="55" t="s">
        <v>881</v>
      </c>
      <c r="D49" s="133">
        <v>66</v>
      </c>
      <c r="F49" s="347">
        <f t="shared" si="0"/>
        <v>24.849</v>
      </c>
      <c r="G49" s="347">
        <f t="shared" si="1"/>
        <v>24.849</v>
      </c>
      <c r="H49" s="56">
        <f t="shared" si="2"/>
        <v>29.832000000000001</v>
      </c>
      <c r="I49" s="56">
        <f t="shared" si="3"/>
        <v>25.013999999999999</v>
      </c>
      <c r="J49" s="56">
        <f t="shared" si="4"/>
        <v>32.933999999999997</v>
      </c>
      <c r="K49" s="56">
        <f t="shared" si="5"/>
        <v>28.38</v>
      </c>
      <c r="L49" s="56">
        <f t="shared" si="6"/>
        <v>31.878</v>
      </c>
      <c r="M49" s="310"/>
      <c r="N49" s="310"/>
      <c r="O49" s="310"/>
    </row>
    <row r="50" spans="1:15" x14ac:dyDescent="0.25">
      <c r="A50" s="282"/>
      <c r="B50" s="282"/>
      <c r="C50" s="35"/>
      <c r="D50" s="56"/>
      <c r="F50" s="347"/>
      <c r="G50" s="347"/>
      <c r="H50" s="56"/>
      <c r="I50" s="56"/>
      <c r="J50" s="56"/>
      <c r="K50" s="56"/>
      <c r="L50" s="56"/>
      <c r="M50" s="310"/>
      <c r="N50" s="310"/>
      <c r="O50" s="310"/>
    </row>
    <row r="51" spans="1:15" x14ac:dyDescent="0.25">
      <c r="A51" s="21" t="s">
        <v>882</v>
      </c>
      <c r="B51" s="50"/>
      <c r="C51" s="50"/>
      <c r="D51" s="147"/>
      <c r="F51" s="346"/>
      <c r="G51" s="346"/>
      <c r="H51" s="346"/>
      <c r="I51" s="346"/>
      <c r="J51" s="346"/>
      <c r="K51" s="346"/>
      <c r="L51" s="346"/>
      <c r="M51" s="310"/>
      <c r="N51" s="310"/>
      <c r="O51" s="310"/>
    </row>
    <row r="52" spans="1:15" x14ac:dyDescent="0.25">
      <c r="A52" s="298" t="s">
        <v>883</v>
      </c>
      <c r="B52" s="298" t="s">
        <v>883</v>
      </c>
      <c r="C52" s="55" t="s">
        <v>884</v>
      </c>
      <c r="D52" s="133">
        <v>28</v>
      </c>
      <c r="F52" s="347">
        <f t="shared" si="0"/>
        <v>10.542</v>
      </c>
      <c r="G52" s="347">
        <f t="shared" si="1"/>
        <v>10.542</v>
      </c>
      <c r="H52" s="56">
        <f t="shared" si="2"/>
        <v>12.656000000000001</v>
      </c>
      <c r="I52" s="56">
        <f t="shared" si="3"/>
        <v>10.612</v>
      </c>
      <c r="J52" s="56">
        <f t="shared" si="4"/>
        <v>13.972</v>
      </c>
      <c r="K52" s="56">
        <f t="shared" si="5"/>
        <v>12.04</v>
      </c>
      <c r="L52" s="56">
        <f t="shared" si="6"/>
        <v>13.523999999999999</v>
      </c>
      <c r="M52" s="310"/>
      <c r="N52" s="310"/>
      <c r="O52" s="310"/>
    </row>
    <row r="53" spans="1:15" ht="14.25" customHeight="1" x14ac:dyDescent="0.25">
      <c r="A53" s="298" t="s">
        <v>885</v>
      </c>
      <c r="B53" s="298" t="s">
        <v>885</v>
      </c>
      <c r="C53" s="121" t="s">
        <v>886</v>
      </c>
      <c r="D53" s="133">
        <v>48</v>
      </c>
      <c r="F53" s="347">
        <f t="shared" si="0"/>
        <v>18.071999999999999</v>
      </c>
      <c r="G53" s="347">
        <f t="shared" si="1"/>
        <v>18.071999999999999</v>
      </c>
      <c r="H53" s="56">
        <f t="shared" si="2"/>
        <v>21.696000000000002</v>
      </c>
      <c r="I53" s="56">
        <f t="shared" si="3"/>
        <v>18.192</v>
      </c>
      <c r="J53" s="56">
        <f t="shared" si="4"/>
        <v>23.951999999999998</v>
      </c>
      <c r="K53" s="56">
        <f t="shared" si="5"/>
        <v>20.64</v>
      </c>
      <c r="L53" s="56">
        <f t="shared" si="6"/>
        <v>23.183999999999997</v>
      </c>
      <c r="M53" s="310"/>
      <c r="N53" s="310"/>
      <c r="O53" s="310"/>
    </row>
    <row r="54" spans="1:15" ht="14.25" customHeight="1" x14ac:dyDescent="0.25">
      <c r="A54" s="281" t="s">
        <v>887</v>
      </c>
      <c r="B54" s="281" t="s">
        <v>888</v>
      </c>
      <c r="C54" s="35" t="s">
        <v>889</v>
      </c>
      <c r="D54" s="56">
        <v>21</v>
      </c>
      <c r="F54" s="347">
        <f t="shared" si="0"/>
        <v>7.9065000000000003</v>
      </c>
      <c r="G54" s="347">
        <f t="shared" si="1"/>
        <v>7.9065000000000003</v>
      </c>
      <c r="H54" s="56">
        <f t="shared" si="2"/>
        <v>9.4920000000000009</v>
      </c>
      <c r="I54" s="56">
        <f t="shared" si="3"/>
        <v>7.9589999999999996</v>
      </c>
      <c r="J54" s="56">
        <f t="shared" si="4"/>
        <v>10.478999999999999</v>
      </c>
      <c r="K54" s="56">
        <f t="shared" si="5"/>
        <v>9.0299999999999994</v>
      </c>
      <c r="L54" s="56">
        <f t="shared" si="6"/>
        <v>10.142999999999999</v>
      </c>
      <c r="M54" s="310"/>
      <c r="N54" s="310"/>
      <c r="O54" s="310"/>
    </row>
    <row r="55" spans="1:15" ht="14.25" customHeight="1" x14ac:dyDescent="0.25">
      <c r="A55" s="269" t="s">
        <v>890</v>
      </c>
      <c r="B55" s="269" t="s">
        <v>891</v>
      </c>
      <c r="C55" s="49" t="s">
        <v>892</v>
      </c>
      <c r="D55" s="256">
        <v>24</v>
      </c>
      <c r="F55" s="347">
        <f t="shared" si="0"/>
        <v>9.0359999999999996</v>
      </c>
      <c r="G55" s="347">
        <f t="shared" si="1"/>
        <v>9.0359999999999996</v>
      </c>
      <c r="H55" s="56">
        <f t="shared" si="2"/>
        <v>10.848000000000001</v>
      </c>
      <c r="I55" s="56">
        <f t="shared" si="3"/>
        <v>9.0960000000000001</v>
      </c>
      <c r="J55" s="56">
        <f t="shared" si="4"/>
        <v>11.975999999999999</v>
      </c>
      <c r="K55" s="56">
        <f t="shared" si="5"/>
        <v>10.32</v>
      </c>
      <c r="L55" s="56">
        <f t="shared" si="6"/>
        <v>11.591999999999999</v>
      </c>
      <c r="M55" s="310"/>
      <c r="N55" s="310"/>
      <c r="O55" s="310"/>
    </row>
    <row r="56" spans="1:15" ht="14.25" customHeight="1" x14ac:dyDescent="0.25">
      <c r="A56" s="269" t="s">
        <v>893</v>
      </c>
      <c r="B56" s="269" t="s">
        <v>894</v>
      </c>
      <c r="C56" s="49" t="s">
        <v>895</v>
      </c>
      <c r="D56" s="256">
        <v>28</v>
      </c>
      <c r="F56" s="347">
        <f t="shared" si="0"/>
        <v>10.542</v>
      </c>
      <c r="G56" s="347">
        <f t="shared" si="1"/>
        <v>10.542</v>
      </c>
      <c r="H56" s="56">
        <f t="shared" si="2"/>
        <v>12.656000000000001</v>
      </c>
      <c r="I56" s="56">
        <f t="shared" si="3"/>
        <v>10.612</v>
      </c>
      <c r="J56" s="56">
        <f t="shared" si="4"/>
        <v>13.972</v>
      </c>
      <c r="K56" s="56">
        <f t="shared" si="5"/>
        <v>12.04</v>
      </c>
      <c r="L56" s="56">
        <f t="shared" si="6"/>
        <v>13.523999999999999</v>
      </c>
      <c r="M56" s="310"/>
      <c r="N56" s="310"/>
      <c r="O56" s="310"/>
    </row>
    <row r="57" spans="1:15" x14ac:dyDescent="0.25">
      <c r="A57" s="269" t="s">
        <v>896</v>
      </c>
      <c r="B57" s="128" t="s">
        <v>897</v>
      </c>
      <c r="C57" s="101" t="s">
        <v>898</v>
      </c>
      <c r="D57" s="56">
        <v>31</v>
      </c>
      <c r="F57" s="347">
        <f t="shared" si="0"/>
        <v>11.6715</v>
      </c>
      <c r="G57" s="347">
        <f t="shared" si="1"/>
        <v>11.6715</v>
      </c>
      <c r="H57" s="56">
        <f t="shared" si="2"/>
        <v>14.012</v>
      </c>
      <c r="I57" s="56">
        <f t="shared" si="3"/>
        <v>11.749000000000001</v>
      </c>
      <c r="J57" s="56">
        <f t="shared" si="4"/>
        <v>15.468999999999999</v>
      </c>
      <c r="K57" s="56">
        <f t="shared" si="5"/>
        <v>13.33</v>
      </c>
      <c r="L57" s="56">
        <f t="shared" si="6"/>
        <v>14.972999999999999</v>
      </c>
      <c r="M57" s="310"/>
      <c r="N57" s="310"/>
      <c r="O57" s="310"/>
    </row>
    <row r="58" spans="1:15" ht="14.25" customHeight="1" x14ac:dyDescent="0.25">
      <c r="A58" s="269" t="s">
        <v>899</v>
      </c>
      <c r="B58" s="128" t="s">
        <v>900</v>
      </c>
      <c r="C58" s="49" t="s">
        <v>901</v>
      </c>
      <c r="D58" s="60">
        <v>35</v>
      </c>
      <c r="F58" s="347">
        <f t="shared" si="0"/>
        <v>13.1775</v>
      </c>
      <c r="G58" s="347">
        <f t="shared" si="1"/>
        <v>13.1775</v>
      </c>
      <c r="H58" s="56">
        <f t="shared" si="2"/>
        <v>15.82</v>
      </c>
      <c r="I58" s="56">
        <f t="shared" si="3"/>
        <v>13.265000000000001</v>
      </c>
      <c r="J58" s="56">
        <f t="shared" si="4"/>
        <v>17.465</v>
      </c>
      <c r="K58" s="56">
        <f t="shared" si="5"/>
        <v>15.049999999999999</v>
      </c>
      <c r="L58" s="56">
        <f t="shared" si="6"/>
        <v>16.905000000000001</v>
      </c>
      <c r="M58" s="310"/>
      <c r="N58" s="310"/>
      <c r="O58" s="310"/>
    </row>
    <row r="59" spans="1:15" ht="14.25" customHeight="1" x14ac:dyDescent="0.25">
      <c r="A59" s="281" t="s">
        <v>902</v>
      </c>
      <c r="B59" s="281" t="s">
        <v>903</v>
      </c>
      <c r="C59" s="35" t="s">
        <v>904</v>
      </c>
      <c r="D59" s="56">
        <v>42</v>
      </c>
      <c r="F59" s="347">
        <f t="shared" si="0"/>
        <v>15.813000000000001</v>
      </c>
      <c r="G59" s="347">
        <f t="shared" si="1"/>
        <v>15.813000000000001</v>
      </c>
      <c r="H59" s="56">
        <f t="shared" si="2"/>
        <v>18.984000000000002</v>
      </c>
      <c r="I59" s="56">
        <f t="shared" si="3"/>
        <v>15.917999999999999</v>
      </c>
      <c r="J59" s="56">
        <f t="shared" si="4"/>
        <v>20.957999999999998</v>
      </c>
      <c r="K59" s="56">
        <f t="shared" si="5"/>
        <v>18.059999999999999</v>
      </c>
      <c r="L59" s="56">
        <f t="shared" si="6"/>
        <v>20.285999999999998</v>
      </c>
      <c r="M59" s="310"/>
      <c r="N59" s="310"/>
      <c r="O59" s="310"/>
    </row>
    <row r="60" spans="1:15" ht="27.6" x14ac:dyDescent="0.25">
      <c r="A60" s="281" t="s">
        <v>905</v>
      </c>
      <c r="B60" s="281" t="s">
        <v>906</v>
      </c>
      <c r="C60" s="101" t="s">
        <v>907</v>
      </c>
      <c r="D60" s="56">
        <v>71</v>
      </c>
      <c r="F60" s="347">
        <f t="shared" si="0"/>
        <v>26.7315</v>
      </c>
      <c r="G60" s="347">
        <f t="shared" si="1"/>
        <v>26.7315</v>
      </c>
      <c r="H60" s="56">
        <f t="shared" si="2"/>
        <v>32.091999999999999</v>
      </c>
      <c r="I60" s="56">
        <f t="shared" si="3"/>
        <v>26.908999999999999</v>
      </c>
      <c r="J60" s="56">
        <f t="shared" si="4"/>
        <v>35.429000000000002</v>
      </c>
      <c r="K60" s="56">
        <f t="shared" si="5"/>
        <v>30.53</v>
      </c>
      <c r="L60" s="56">
        <f t="shared" si="6"/>
        <v>34.292999999999999</v>
      </c>
      <c r="M60" s="310"/>
      <c r="N60" s="310"/>
      <c r="O60" s="310"/>
    </row>
    <row r="61" spans="1:15" x14ac:dyDescent="0.25">
      <c r="A61" s="38" t="s">
        <v>908</v>
      </c>
      <c r="B61" s="46" t="s">
        <v>909</v>
      </c>
      <c r="C61" s="134" t="s">
        <v>910</v>
      </c>
      <c r="D61" s="56">
        <v>79</v>
      </c>
      <c r="F61" s="347">
        <f t="shared" si="0"/>
        <v>29.743500000000001</v>
      </c>
      <c r="G61" s="347">
        <f t="shared" si="1"/>
        <v>29.743500000000001</v>
      </c>
      <c r="H61" s="56">
        <f t="shared" si="2"/>
        <v>35.707999999999998</v>
      </c>
      <c r="I61" s="56">
        <f t="shared" si="3"/>
        <v>29.940999999999999</v>
      </c>
      <c r="J61" s="56">
        <f t="shared" si="4"/>
        <v>39.420999999999999</v>
      </c>
      <c r="K61" s="56">
        <f t="shared" si="5"/>
        <v>33.97</v>
      </c>
      <c r="L61" s="56">
        <f t="shared" si="6"/>
        <v>38.156999999999996</v>
      </c>
      <c r="M61" s="310"/>
      <c r="N61" s="310"/>
      <c r="O61" s="310"/>
    </row>
    <row r="62" spans="1:15" x14ac:dyDescent="0.25">
      <c r="A62" s="269" t="s">
        <v>911</v>
      </c>
      <c r="B62" s="281" t="s">
        <v>912</v>
      </c>
      <c r="C62" s="101" t="s">
        <v>913</v>
      </c>
      <c r="D62" s="56">
        <v>93</v>
      </c>
      <c r="F62" s="347">
        <f t="shared" si="0"/>
        <v>35.014499999999998</v>
      </c>
      <c r="G62" s="347">
        <f t="shared" si="1"/>
        <v>35.014499999999998</v>
      </c>
      <c r="H62" s="56">
        <f t="shared" si="2"/>
        <v>42.036000000000001</v>
      </c>
      <c r="I62" s="56">
        <f t="shared" si="3"/>
        <v>35.247</v>
      </c>
      <c r="J62" s="56">
        <f t="shared" si="4"/>
        <v>46.406999999999996</v>
      </c>
      <c r="K62" s="56">
        <f t="shared" si="5"/>
        <v>39.99</v>
      </c>
      <c r="L62" s="56">
        <f t="shared" si="6"/>
        <v>44.918999999999997</v>
      </c>
      <c r="M62" s="310"/>
      <c r="N62" s="310"/>
      <c r="O62" s="310"/>
    </row>
    <row r="63" spans="1:15" x14ac:dyDescent="0.25">
      <c r="A63" s="269" t="s">
        <v>914</v>
      </c>
      <c r="B63" s="281" t="s">
        <v>915</v>
      </c>
      <c r="C63" s="101" t="s">
        <v>916</v>
      </c>
      <c r="D63" s="56">
        <v>105</v>
      </c>
      <c r="F63" s="347">
        <f t="shared" si="0"/>
        <v>39.532499999999999</v>
      </c>
      <c r="G63" s="347">
        <f t="shared" si="1"/>
        <v>39.532499999999999</v>
      </c>
      <c r="H63" s="56">
        <f t="shared" si="2"/>
        <v>47.46</v>
      </c>
      <c r="I63" s="56">
        <f t="shared" si="3"/>
        <v>39.795000000000002</v>
      </c>
      <c r="J63" s="56">
        <f t="shared" si="4"/>
        <v>52.395000000000003</v>
      </c>
      <c r="K63" s="56">
        <f t="shared" si="5"/>
        <v>45.15</v>
      </c>
      <c r="L63" s="56">
        <f t="shared" si="6"/>
        <v>50.714999999999996</v>
      </c>
      <c r="M63" s="310"/>
      <c r="N63" s="310"/>
      <c r="O63" s="310"/>
    </row>
    <row r="64" spans="1:15" x14ac:dyDescent="0.25">
      <c r="A64" s="269" t="s">
        <v>917</v>
      </c>
      <c r="B64" s="281" t="s">
        <v>918</v>
      </c>
      <c r="C64" s="101" t="s">
        <v>919</v>
      </c>
      <c r="D64" s="56">
        <v>121</v>
      </c>
      <c r="F64" s="347">
        <f t="shared" si="0"/>
        <v>45.5565</v>
      </c>
      <c r="G64" s="347">
        <f t="shared" si="1"/>
        <v>45.5565</v>
      </c>
      <c r="H64" s="56">
        <f t="shared" si="2"/>
        <v>54.692</v>
      </c>
      <c r="I64" s="56">
        <f t="shared" si="3"/>
        <v>45.859000000000002</v>
      </c>
      <c r="J64" s="56">
        <f t="shared" si="4"/>
        <v>60.378999999999998</v>
      </c>
      <c r="K64" s="56">
        <f t="shared" si="5"/>
        <v>52.03</v>
      </c>
      <c r="L64" s="56">
        <f t="shared" si="6"/>
        <v>58.442999999999998</v>
      </c>
      <c r="M64" s="310"/>
      <c r="N64" s="310"/>
      <c r="O64" s="310"/>
    </row>
    <row r="65" spans="1:15" ht="27.6" x14ac:dyDescent="0.25">
      <c r="A65" s="269" t="s">
        <v>920</v>
      </c>
      <c r="B65" s="281" t="s">
        <v>921</v>
      </c>
      <c r="C65" s="101" t="s">
        <v>922</v>
      </c>
      <c r="D65" s="56">
        <v>130</v>
      </c>
      <c r="F65" s="347">
        <f t="shared" si="0"/>
        <v>48.945</v>
      </c>
      <c r="G65" s="347">
        <f t="shared" si="1"/>
        <v>48.945</v>
      </c>
      <c r="H65" s="56">
        <f t="shared" si="2"/>
        <v>58.760000000000005</v>
      </c>
      <c r="I65" s="56">
        <f t="shared" si="3"/>
        <v>49.27</v>
      </c>
      <c r="J65" s="56">
        <f t="shared" si="4"/>
        <v>64.87</v>
      </c>
      <c r="K65" s="56">
        <f t="shared" si="5"/>
        <v>55.9</v>
      </c>
      <c r="L65" s="56">
        <f t="shared" si="6"/>
        <v>62.79</v>
      </c>
      <c r="M65" s="310"/>
      <c r="N65" s="310"/>
      <c r="O65" s="310"/>
    </row>
    <row r="66" spans="1:15" ht="27.6" x14ac:dyDescent="0.25">
      <c r="A66" s="156" t="s">
        <v>923</v>
      </c>
      <c r="B66" s="298" t="s">
        <v>924</v>
      </c>
      <c r="C66" s="55" t="s">
        <v>925</v>
      </c>
      <c r="D66" s="133">
        <v>45</v>
      </c>
      <c r="F66" s="347">
        <f t="shared" si="0"/>
        <v>16.942499999999999</v>
      </c>
      <c r="G66" s="347">
        <f t="shared" si="1"/>
        <v>16.942499999999999</v>
      </c>
      <c r="H66" s="56">
        <f t="shared" si="2"/>
        <v>20.34</v>
      </c>
      <c r="I66" s="56">
        <f t="shared" si="3"/>
        <v>17.055</v>
      </c>
      <c r="J66" s="56">
        <f t="shared" si="4"/>
        <v>22.454999999999998</v>
      </c>
      <c r="K66" s="56">
        <f t="shared" si="5"/>
        <v>19.350000000000001</v>
      </c>
      <c r="L66" s="56">
        <f t="shared" si="6"/>
        <v>21.734999999999999</v>
      </c>
      <c r="M66" s="310"/>
      <c r="N66" s="310"/>
      <c r="O66" s="310"/>
    </row>
    <row r="67" spans="1:15" x14ac:dyDescent="0.25">
      <c r="A67" s="109" t="s">
        <v>926</v>
      </c>
      <c r="B67" s="109" t="s">
        <v>927</v>
      </c>
      <c r="C67" s="121" t="s">
        <v>928</v>
      </c>
      <c r="D67" s="133">
        <v>84</v>
      </c>
      <c r="F67" s="347">
        <f t="shared" si="0"/>
        <v>31.626000000000001</v>
      </c>
      <c r="G67" s="347">
        <f t="shared" si="1"/>
        <v>31.626000000000001</v>
      </c>
      <c r="H67" s="250">
        <f t="shared" si="2"/>
        <v>37.968000000000004</v>
      </c>
      <c r="I67" s="250">
        <f t="shared" si="3"/>
        <v>31.835999999999999</v>
      </c>
      <c r="J67" s="56">
        <f t="shared" si="4"/>
        <v>41.915999999999997</v>
      </c>
      <c r="K67" s="56">
        <f t="shared" si="5"/>
        <v>36.119999999999997</v>
      </c>
      <c r="L67" s="56">
        <f t="shared" si="6"/>
        <v>40.571999999999996</v>
      </c>
      <c r="M67" s="310"/>
      <c r="N67" s="310"/>
      <c r="O67" s="310"/>
    </row>
    <row r="68" spans="1:15" x14ac:dyDescent="0.25">
      <c r="A68" s="156" t="s">
        <v>929</v>
      </c>
      <c r="B68" s="298" t="s">
        <v>930</v>
      </c>
      <c r="C68" s="55" t="s">
        <v>931</v>
      </c>
      <c r="D68" s="133">
        <v>134</v>
      </c>
      <c r="F68" s="347">
        <f t="shared" si="0"/>
        <v>50.451000000000001</v>
      </c>
      <c r="G68" s="347">
        <f t="shared" si="1"/>
        <v>50.451000000000001</v>
      </c>
      <c r="H68" s="250">
        <f t="shared" si="2"/>
        <v>60.568000000000005</v>
      </c>
      <c r="I68" s="250">
        <f t="shared" si="3"/>
        <v>50.786000000000001</v>
      </c>
      <c r="J68" s="56">
        <f t="shared" si="4"/>
        <v>66.866</v>
      </c>
      <c r="K68" s="56">
        <f t="shared" si="5"/>
        <v>57.62</v>
      </c>
      <c r="L68" s="56">
        <f t="shared" si="6"/>
        <v>64.721999999999994</v>
      </c>
      <c r="M68" s="310"/>
      <c r="N68" s="310"/>
      <c r="O68" s="310"/>
    </row>
    <row r="69" spans="1:15" x14ac:dyDescent="0.25">
      <c r="A69" s="156" t="s">
        <v>932</v>
      </c>
      <c r="B69" s="298" t="s">
        <v>933</v>
      </c>
      <c r="C69" s="55" t="s">
        <v>934</v>
      </c>
      <c r="D69" s="133">
        <v>223</v>
      </c>
      <c r="F69" s="347">
        <f t="shared" si="0"/>
        <v>83.959500000000006</v>
      </c>
      <c r="G69" s="347">
        <f t="shared" si="1"/>
        <v>83.959500000000006</v>
      </c>
      <c r="H69" s="250">
        <f t="shared" si="2"/>
        <v>100.79600000000001</v>
      </c>
      <c r="I69" s="250">
        <f t="shared" si="3"/>
        <v>84.516999999999996</v>
      </c>
      <c r="J69" s="56">
        <f t="shared" si="4"/>
        <v>111.277</v>
      </c>
      <c r="K69" s="56">
        <f t="shared" si="5"/>
        <v>95.89</v>
      </c>
      <c r="L69" s="56">
        <f t="shared" si="6"/>
        <v>107.709</v>
      </c>
      <c r="M69" s="310"/>
      <c r="N69" s="310"/>
      <c r="O69" s="310"/>
    </row>
    <row r="70" spans="1:15" x14ac:dyDescent="0.25">
      <c r="A70" s="156" t="s">
        <v>935</v>
      </c>
      <c r="B70" s="156" t="s">
        <v>936</v>
      </c>
      <c r="C70" s="123" t="s">
        <v>937</v>
      </c>
      <c r="D70" s="133">
        <v>112</v>
      </c>
      <c r="F70" s="347">
        <f t="shared" si="0"/>
        <v>42.167999999999999</v>
      </c>
      <c r="G70" s="347">
        <f t="shared" si="1"/>
        <v>42.167999999999999</v>
      </c>
      <c r="H70" s="250">
        <f t="shared" si="2"/>
        <v>50.624000000000002</v>
      </c>
      <c r="I70" s="250">
        <f t="shared" si="3"/>
        <v>42.448</v>
      </c>
      <c r="J70" s="56">
        <f t="shared" si="4"/>
        <v>55.887999999999998</v>
      </c>
      <c r="K70" s="56">
        <f t="shared" si="5"/>
        <v>48.16</v>
      </c>
      <c r="L70" s="56">
        <f t="shared" si="6"/>
        <v>54.095999999999997</v>
      </c>
      <c r="M70" s="310"/>
      <c r="N70" s="310"/>
      <c r="O70" s="310"/>
    </row>
    <row r="71" spans="1:15" x14ac:dyDescent="0.25">
      <c r="A71" s="269" t="s">
        <v>938</v>
      </c>
      <c r="B71" s="269" t="s">
        <v>939</v>
      </c>
      <c r="C71" s="49" t="s">
        <v>940</v>
      </c>
      <c r="D71" s="56">
        <v>65</v>
      </c>
      <c r="F71" s="347">
        <f t="shared" si="0"/>
        <v>24.4725</v>
      </c>
      <c r="G71" s="347">
        <f t="shared" si="1"/>
        <v>24.4725</v>
      </c>
      <c r="H71" s="56">
        <f t="shared" si="2"/>
        <v>29.380000000000003</v>
      </c>
      <c r="I71" s="56">
        <f t="shared" si="3"/>
        <v>24.635000000000002</v>
      </c>
      <c r="J71" s="56">
        <f t="shared" si="4"/>
        <v>32.435000000000002</v>
      </c>
      <c r="K71" s="56">
        <f t="shared" si="5"/>
        <v>27.95</v>
      </c>
      <c r="L71" s="56">
        <f t="shared" si="6"/>
        <v>31.395</v>
      </c>
      <c r="M71" s="310"/>
      <c r="N71" s="310"/>
      <c r="O71" s="310"/>
    </row>
    <row r="72" spans="1:15" x14ac:dyDescent="0.25">
      <c r="A72" s="269" t="s">
        <v>941</v>
      </c>
      <c r="B72" s="269" t="s">
        <v>942</v>
      </c>
      <c r="C72" s="49" t="s">
        <v>943</v>
      </c>
      <c r="D72" s="56">
        <v>120</v>
      </c>
      <c r="F72" s="347">
        <f t="shared" si="0"/>
        <v>45.18</v>
      </c>
      <c r="G72" s="347">
        <f t="shared" si="1"/>
        <v>45.18</v>
      </c>
      <c r="H72" s="250">
        <f t="shared" si="2"/>
        <v>54.24</v>
      </c>
      <c r="I72" s="250">
        <f t="shared" si="3"/>
        <v>45.480000000000004</v>
      </c>
      <c r="J72" s="250">
        <f t="shared" si="4"/>
        <v>59.88</v>
      </c>
      <c r="K72" s="250">
        <f t="shared" si="5"/>
        <v>51.6</v>
      </c>
      <c r="L72" s="250">
        <f t="shared" si="6"/>
        <v>57.96</v>
      </c>
    </row>
    <row r="73" spans="1:15" s="245" customFormat="1" x14ac:dyDescent="0.25">
      <c r="A73" s="82" t="s">
        <v>944</v>
      </c>
      <c r="B73" s="87" t="s">
        <v>945</v>
      </c>
      <c r="C73" s="155" t="s">
        <v>946</v>
      </c>
      <c r="D73" s="258">
        <v>465</v>
      </c>
      <c r="F73" s="347">
        <f t="shared" si="0"/>
        <v>175.07249999999999</v>
      </c>
      <c r="G73" s="347">
        <f t="shared" si="1"/>
        <v>175.07249999999999</v>
      </c>
      <c r="H73" s="348">
        <f t="shared" si="2"/>
        <v>210.18</v>
      </c>
      <c r="I73" s="348">
        <f t="shared" si="3"/>
        <v>176.23500000000001</v>
      </c>
      <c r="J73" s="348">
        <f t="shared" si="4"/>
        <v>232.035</v>
      </c>
      <c r="K73" s="348">
        <f t="shared" si="5"/>
        <v>199.95</v>
      </c>
      <c r="L73" s="348">
        <f t="shared" si="6"/>
        <v>224.595</v>
      </c>
    </row>
    <row r="74" spans="1:15" x14ac:dyDescent="0.25">
      <c r="A74" s="38"/>
      <c r="B74" s="46"/>
      <c r="C74" s="134"/>
      <c r="D74" s="56"/>
      <c r="F74" s="347"/>
      <c r="G74" s="347"/>
      <c r="H74" s="56"/>
      <c r="I74" s="56"/>
      <c r="J74" s="56"/>
      <c r="K74" s="56"/>
      <c r="L74" s="56"/>
      <c r="M74" s="310"/>
      <c r="N74" s="310"/>
      <c r="O74" s="310"/>
    </row>
    <row r="75" spans="1:15" x14ac:dyDescent="0.25">
      <c r="A75" s="21" t="s">
        <v>947</v>
      </c>
      <c r="B75" s="50"/>
      <c r="C75" s="50"/>
      <c r="D75" s="147"/>
      <c r="F75" s="346"/>
      <c r="G75" s="346"/>
      <c r="H75" s="346"/>
      <c r="I75" s="346"/>
      <c r="J75" s="346"/>
      <c r="K75" s="346"/>
      <c r="L75" s="346"/>
      <c r="M75" s="310"/>
      <c r="N75" s="310"/>
      <c r="O75" s="310"/>
    </row>
    <row r="76" spans="1:15" x14ac:dyDescent="0.25">
      <c r="A76" s="156" t="s">
        <v>1731</v>
      </c>
      <c r="B76" s="298" t="s">
        <v>948</v>
      </c>
      <c r="C76" s="123" t="s">
        <v>949</v>
      </c>
      <c r="D76" s="133">
        <v>30</v>
      </c>
      <c r="F76" s="347">
        <f t="shared" si="0"/>
        <v>11.295</v>
      </c>
      <c r="G76" s="347">
        <f t="shared" si="1"/>
        <v>11.295</v>
      </c>
      <c r="H76" s="56">
        <f t="shared" si="2"/>
        <v>13.56</v>
      </c>
      <c r="I76" s="56">
        <f t="shared" si="3"/>
        <v>11.370000000000001</v>
      </c>
      <c r="J76" s="56">
        <f t="shared" si="4"/>
        <v>14.97</v>
      </c>
      <c r="K76" s="56">
        <f t="shared" si="5"/>
        <v>12.9</v>
      </c>
      <c r="L76" s="56">
        <f t="shared" si="6"/>
        <v>14.49</v>
      </c>
      <c r="M76" s="310"/>
      <c r="N76" s="310"/>
      <c r="O76" s="310"/>
    </row>
    <row r="77" spans="1:15" x14ac:dyDescent="0.25">
      <c r="A77" s="156" t="s">
        <v>1732</v>
      </c>
      <c r="B77" s="298" t="s">
        <v>950</v>
      </c>
      <c r="C77" s="123" t="s">
        <v>951</v>
      </c>
      <c r="D77" s="133">
        <v>29</v>
      </c>
      <c r="F77" s="347">
        <f t="shared" si="0"/>
        <v>10.9185</v>
      </c>
      <c r="G77" s="347">
        <f t="shared" si="1"/>
        <v>10.9185</v>
      </c>
      <c r="H77" s="56">
        <f t="shared" si="2"/>
        <v>13.108000000000001</v>
      </c>
      <c r="I77" s="56">
        <f t="shared" si="3"/>
        <v>10.991</v>
      </c>
      <c r="J77" s="56">
        <f t="shared" si="4"/>
        <v>14.471</v>
      </c>
      <c r="K77" s="56">
        <f t="shared" si="5"/>
        <v>12.47</v>
      </c>
      <c r="L77" s="56">
        <f t="shared" si="6"/>
        <v>14.007</v>
      </c>
      <c r="M77" s="310"/>
      <c r="N77" s="310"/>
      <c r="O77" s="310"/>
    </row>
    <row r="78" spans="1:15" x14ac:dyDescent="0.25">
      <c r="A78" s="156" t="s">
        <v>1733</v>
      </c>
      <c r="B78" s="298" t="s">
        <v>952</v>
      </c>
      <c r="C78" s="123" t="s">
        <v>953</v>
      </c>
      <c r="D78" s="133">
        <v>25</v>
      </c>
      <c r="F78" s="347">
        <f t="shared" ref="F78:F141" si="7">D78*$F$9</f>
        <v>9.4124999999999996</v>
      </c>
      <c r="G78" s="347">
        <f t="shared" ref="G78:G141" si="8">D78*$G$9</f>
        <v>9.4124999999999996</v>
      </c>
      <c r="H78" s="56">
        <f t="shared" ref="H78:H141" si="9">D78*$H$9</f>
        <v>11.3</v>
      </c>
      <c r="I78" s="56">
        <f t="shared" ref="I78:I141" si="10">D78*$I$9</f>
        <v>9.4749999999999996</v>
      </c>
      <c r="J78" s="56">
        <f t="shared" ref="J78:J141" si="11">D78*$J$9</f>
        <v>12.475</v>
      </c>
      <c r="K78" s="56">
        <f t="shared" ref="K78:K141" si="12">D78*$K$9</f>
        <v>10.75</v>
      </c>
      <c r="L78" s="56">
        <f t="shared" ref="L78:L141" si="13">D78*$L$9</f>
        <v>12.074999999999999</v>
      </c>
      <c r="M78" s="310"/>
      <c r="N78" s="310"/>
      <c r="O78" s="310"/>
    </row>
    <row r="79" spans="1:15" x14ac:dyDescent="0.25">
      <c r="A79" s="156" t="s">
        <v>1734</v>
      </c>
      <c r="B79" s="298" t="s">
        <v>954</v>
      </c>
      <c r="C79" s="123" t="s">
        <v>955</v>
      </c>
      <c r="D79" s="133">
        <v>24</v>
      </c>
      <c r="F79" s="347">
        <f t="shared" si="7"/>
        <v>9.0359999999999996</v>
      </c>
      <c r="G79" s="347">
        <f t="shared" si="8"/>
        <v>9.0359999999999996</v>
      </c>
      <c r="H79" s="56">
        <f t="shared" si="9"/>
        <v>10.848000000000001</v>
      </c>
      <c r="I79" s="56">
        <f t="shared" si="10"/>
        <v>9.0960000000000001</v>
      </c>
      <c r="J79" s="56">
        <f t="shared" si="11"/>
        <v>11.975999999999999</v>
      </c>
      <c r="K79" s="56">
        <f t="shared" si="12"/>
        <v>10.32</v>
      </c>
      <c r="L79" s="56">
        <f t="shared" si="13"/>
        <v>11.591999999999999</v>
      </c>
      <c r="M79" s="310"/>
      <c r="N79" s="310"/>
      <c r="O79" s="310"/>
    </row>
    <row r="80" spans="1:15" x14ac:dyDescent="0.25">
      <c r="A80" s="156" t="s">
        <v>1735</v>
      </c>
      <c r="B80" s="298" t="s">
        <v>956</v>
      </c>
      <c r="C80" s="123" t="s">
        <v>957</v>
      </c>
      <c r="D80" s="133">
        <v>24</v>
      </c>
      <c r="F80" s="347">
        <f t="shared" si="7"/>
        <v>9.0359999999999996</v>
      </c>
      <c r="G80" s="347">
        <f t="shared" si="8"/>
        <v>9.0359999999999996</v>
      </c>
      <c r="H80" s="56">
        <f t="shared" si="9"/>
        <v>10.848000000000001</v>
      </c>
      <c r="I80" s="56">
        <f t="shared" si="10"/>
        <v>9.0960000000000001</v>
      </c>
      <c r="J80" s="56">
        <f t="shared" si="11"/>
        <v>11.975999999999999</v>
      </c>
      <c r="K80" s="56">
        <f t="shared" si="12"/>
        <v>10.32</v>
      </c>
      <c r="L80" s="56">
        <f t="shared" si="13"/>
        <v>11.591999999999999</v>
      </c>
      <c r="M80" s="310"/>
      <c r="N80" s="310"/>
      <c r="O80" s="310"/>
    </row>
    <row r="81" spans="1:15" x14ac:dyDescent="0.25">
      <c r="A81" s="156" t="s">
        <v>1736</v>
      </c>
      <c r="B81" s="298" t="s">
        <v>956</v>
      </c>
      <c r="C81" s="123" t="s">
        <v>958</v>
      </c>
      <c r="D81" s="133">
        <v>24</v>
      </c>
      <c r="F81" s="347">
        <f t="shared" si="7"/>
        <v>9.0359999999999996</v>
      </c>
      <c r="G81" s="347">
        <f t="shared" si="8"/>
        <v>9.0359999999999996</v>
      </c>
      <c r="H81" s="56">
        <f t="shared" si="9"/>
        <v>10.848000000000001</v>
      </c>
      <c r="I81" s="56">
        <f t="shared" si="10"/>
        <v>9.0960000000000001</v>
      </c>
      <c r="J81" s="56">
        <f t="shared" si="11"/>
        <v>11.975999999999999</v>
      </c>
      <c r="K81" s="56">
        <f t="shared" si="12"/>
        <v>10.32</v>
      </c>
      <c r="L81" s="56">
        <f t="shared" si="13"/>
        <v>11.591999999999999</v>
      </c>
      <c r="M81" s="310"/>
      <c r="N81" s="310"/>
      <c r="O81" s="310"/>
    </row>
    <row r="82" spans="1:15" x14ac:dyDescent="0.25">
      <c r="A82" s="269"/>
      <c r="B82" s="281"/>
      <c r="C82" s="49"/>
      <c r="D82" s="56"/>
      <c r="F82" s="347"/>
      <c r="G82" s="347"/>
      <c r="H82" s="56"/>
      <c r="I82" s="56"/>
      <c r="J82" s="56"/>
      <c r="K82" s="56"/>
      <c r="L82" s="56"/>
      <c r="M82" s="310"/>
      <c r="N82" s="310"/>
      <c r="O82" s="310"/>
    </row>
    <row r="83" spans="1:15" x14ac:dyDescent="0.25">
      <c r="A83" s="21" t="s">
        <v>959</v>
      </c>
      <c r="B83" s="50"/>
      <c r="C83" s="50"/>
      <c r="D83" s="147"/>
      <c r="F83" s="346"/>
      <c r="G83" s="346"/>
      <c r="H83" s="346"/>
      <c r="I83" s="346"/>
      <c r="J83" s="346"/>
      <c r="K83" s="346"/>
      <c r="L83" s="346"/>
      <c r="M83" s="310"/>
      <c r="N83" s="310"/>
      <c r="O83" s="310"/>
    </row>
    <row r="84" spans="1:15" x14ac:dyDescent="0.25">
      <c r="A84" s="269" t="s">
        <v>960</v>
      </c>
      <c r="B84" s="281" t="s">
        <v>961</v>
      </c>
      <c r="C84" s="49" t="s">
        <v>962</v>
      </c>
      <c r="D84" s="133">
        <v>19</v>
      </c>
      <c r="F84" s="347">
        <f t="shared" si="7"/>
        <v>7.1535000000000002</v>
      </c>
      <c r="G84" s="347">
        <f t="shared" si="8"/>
        <v>7.1535000000000002</v>
      </c>
      <c r="H84" s="56">
        <f t="shared" si="9"/>
        <v>8.588000000000001</v>
      </c>
      <c r="I84" s="56">
        <f t="shared" si="10"/>
        <v>7.2010000000000005</v>
      </c>
      <c r="J84" s="56">
        <f t="shared" si="11"/>
        <v>9.4809999999999999</v>
      </c>
      <c r="K84" s="56">
        <f t="shared" si="12"/>
        <v>8.17</v>
      </c>
      <c r="L84" s="56">
        <f t="shared" si="13"/>
        <v>9.1769999999999996</v>
      </c>
      <c r="M84" s="310"/>
      <c r="N84" s="310"/>
      <c r="O84" s="310"/>
    </row>
    <row r="85" spans="1:15" x14ac:dyDescent="0.25">
      <c r="A85" s="269" t="s">
        <v>963</v>
      </c>
      <c r="B85" s="281" t="s">
        <v>964</v>
      </c>
      <c r="C85" s="49" t="s">
        <v>965</v>
      </c>
      <c r="D85" s="133">
        <v>19</v>
      </c>
      <c r="F85" s="347">
        <f t="shared" si="7"/>
        <v>7.1535000000000002</v>
      </c>
      <c r="G85" s="347">
        <f t="shared" si="8"/>
        <v>7.1535000000000002</v>
      </c>
      <c r="H85" s="56">
        <f t="shared" si="9"/>
        <v>8.588000000000001</v>
      </c>
      <c r="I85" s="56">
        <f t="shared" si="10"/>
        <v>7.2010000000000005</v>
      </c>
      <c r="J85" s="56">
        <f t="shared" si="11"/>
        <v>9.4809999999999999</v>
      </c>
      <c r="K85" s="56">
        <f t="shared" si="12"/>
        <v>8.17</v>
      </c>
      <c r="L85" s="56">
        <f t="shared" si="13"/>
        <v>9.1769999999999996</v>
      </c>
      <c r="M85" s="310"/>
      <c r="N85" s="310"/>
      <c r="O85" s="310"/>
    </row>
    <row r="86" spans="1:15" x14ac:dyDescent="0.25">
      <c r="A86" s="269" t="s">
        <v>966</v>
      </c>
      <c r="B86" s="281" t="s">
        <v>967</v>
      </c>
      <c r="C86" s="49" t="s">
        <v>968</v>
      </c>
      <c r="D86" s="133">
        <v>14</v>
      </c>
      <c r="F86" s="347">
        <f t="shared" si="7"/>
        <v>5.2709999999999999</v>
      </c>
      <c r="G86" s="347">
        <f t="shared" si="8"/>
        <v>5.2709999999999999</v>
      </c>
      <c r="H86" s="56">
        <f t="shared" si="9"/>
        <v>6.3280000000000003</v>
      </c>
      <c r="I86" s="56">
        <f t="shared" si="10"/>
        <v>5.306</v>
      </c>
      <c r="J86" s="56">
        <f t="shared" si="11"/>
        <v>6.9859999999999998</v>
      </c>
      <c r="K86" s="56">
        <f t="shared" si="12"/>
        <v>6.02</v>
      </c>
      <c r="L86" s="56">
        <f t="shared" si="13"/>
        <v>6.7619999999999996</v>
      </c>
      <c r="M86" s="310"/>
      <c r="N86" s="310"/>
      <c r="O86" s="310"/>
    </row>
    <row r="87" spans="1:15" x14ac:dyDescent="0.25">
      <c r="A87" s="269" t="s">
        <v>969</v>
      </c>
      <c r="B87" s="281" t="s">
        <v>970</v>
      </c>
      <c r="C87" s="49" t="s">
        <v>971</v>
      </c>
      <c r="D87" s="133">
        <v>8</v>
      </c>
      <c r="F87" s="347">
        <f t="shared" si="7"/>
        <v>3.012</v>
      </c>
      <c r="G87" s="347">
        <f t="shared" si="8"/>
        <v>3.012</v>
      </c>
      <c r="H87" s="56">
        <f t="shared" si="9"/>
        <v>3.6160000000000001</v>
      </c>
      <c r="I87" s="56">
        <f t="shared" si="10"/>
        <v>3.032</v>
      </c>
      <c r="J87" s="56">
        <f t="shared" si="11"/>
        <v>3.992</v>
      </c>
      <c r="K87" s="56">
        <f t="shared" si="12"/>
        <v>3.44</v>
      </c>
      <c r="L87" s="56">
        <f t="shared" si="13"/>
        <v>3.8639999999999999</v>
      </c>
      <c r="M87" s="310"/>
      <c r="N87" s="310"/>
      <c r="O87" s="310"/>
    </row>
    <row r="88" spans="1:15" x14ac:dyDescent="0.25">
      <c r="A88" s="269"/>
      <c r="B88" s="281"/>
      <c r="C88" s="49"/>
      <c r="D88" s="56"/>
      <c r="F88" s="347"/>
      <c r="G88" s="347"/>
      <c r="H88" s="56"/>
      <c r="I88" s="56"/>
      <c r="J88" s="56"/>
      <c r="K88" s="56"/>
      <c r="L88" s="56"/>
      <c r="M88" s="310"/>
      <c r="N88" s="310"/>
      <c r="O88" s="310"/>
    </row>
    <row r="89" spans="1:15" x14ac:dyDescent="0.25">
      <c r="A89" s="21" t="s">
        <v>972</v>
      </c>
      <c r="B89" s="50"/>
      <c r="C89" s="50"/>
      <c r="D89" s="147"/>
      <c r="F89" s="346"/>
      <c r="G89" s="346"/>
      <c r="H89" s="346"/>
      <c r="I89" s="346"/>
      <c r="J89" s="346"/>
      <c r="K89" s="346"/>
      <c r="L89" s="346"/>
      <c r="M89" s="310"/>
      <c r="N89" s="310"/>
      <c r="O89" s="310"/>
    </row>
    <row r="90" spans="1:15" x14ac:dyDescent="0.25">
      <c r="A90" s="91" t="s">
        <v>973</v>
      </c>
      <c r="B90" s="91" t="s">
        <v>974</v>
      </c>
      <c r="C90" s="101" t="s">
        <v>1493</v>
      </c>
      <c r="D90" s="133">
        <v>887</v>
      </c>
      <c r="F90" s="347">
        <f t="shared" si="7"/>
        <v>333.95550000000003</v>
      </c>
      <c r="G90" s="347">
        <f t="shared" si="8"/>
        <v>333.95550000000003</v>
      </c>
      <c r="H90" s="56">
        <f t="shared" si="9"/>
        <v>400.92400000000004</v>
      </c>
      <c r="I90" s="56">
        <f t="shared" si="10"/>
        <v>336.173</v>
      </c>
      <c r="J90" s="56">
        <f t="shared" si="11"/>
        <v>442.613</v>
      </c>
      <c r="K90" s="56">
        <f t="shared" si="12"/>
        <v>381.40999999999997</v>
      </c>
      <c r="L90" s="56">
        <f t="shared" si="13"/>
        <v>428.42099999999999</v>
      </c>
      <c r="M90" s="310"/>
      <c r="N90" s="310"/>
      <c r="O90" s="310"/>
    </row>
    <row r="91" spans="1:15" x14ac:dyDescent="0.25">
      <c r="A91" s="91" t="s">
        <v>975</v>
      </c>
      <c r="B91" s="91" t="s">
        <v>1584</v>
      </c>
      <c r="C91" s="101" t="s">
        <v>976</v>
      </c>
      <c r="D91" s="133">
        <v>698</v>
      </c>
      <c r="F91" s="347">
        <f t="shared" si="7"/>
        <v>262.79700000000003</v>
      </c>
      <c r="G91" s="347">
        <f t="shared" si="8"/>
        <v>262.79700000000003</v>
      </c>
      <c r="H91" s="56">
        <f t="shared" si="9"/>
        <v>315.49599999999998</v>
      </c>
      <c r="I91" s="56">
        <f t="shared" si="10"/>
        <v>264.54200000000003</v>
      </c>
      <c r="J91" s="56">
        <f t="shared" si="11"/>
        <v>348.30200000000002</v>
      </c>
      <c r="K91" s="56">
        <f t="shared" si="12"/>
        <v>300.14</v>
      </c>
      <c r="L91" s="56">
        <f t="shared" si="13"/>
        <v>337.13400000000001</v>
      </c>
      <c r="M91" s="310"/>
      <c r="N91" s="310"/>
      <c r="O91" s="310"/>
    </row>
    <row r="92" spans="1:15" x14ac:dyDescent="0.25">
      <c r="A92" s="128" t="s">
        <v>977</v>
      </c>
      <c r="B92" s="282" t="s">
        <v>1585</v>
      </c>
      <c r="C92" s="101" t="s">
        <v>978</v>
      </c>
      <c r="D92" s="133">
        <v>272</v>
      </c>
      <c r="F92" s="347">
        <f t="shared" si="7"/>
        <v>102.408</v>
      </c>
      <c r="G92" s="347">
        <f t="shared" si="8"/>
        <v>102.408</v>
      </c>
      <c r="H92" s="56">
        <f t="shared" si="9"/>
        <v>122.944</v>
      </c>
      <c r="I92" s="56">
        <f t="shared" si="10"/>
        <v>103.08799999999999</v>
      </c>
      <c r="J92" s="56">
        <f t="shared" si="11"/>
        <v>135.72800000000001</v>
      </c>
      <c r="K92" s="56">
        <f t="shared" si="12"/>
        <v>116.96</v>
      </c>
      <c r="L92" s="56">
        <f t="shared" si="13"/>
        <v>131.376</v>
      </c>
      <c r="M92" s="310"/>
      <c r="N92" s="310"/>
      <c r="O92" s="310"/>
    </row>
    <row r="93" spans="1:15" x14ac:dyDescent="0.25">
      <c r="A93" s="52" t="s">
        <v>979</v>
      </c>
      <c r="B93" s="52" t="s">
        <v>980</v>
      </c>
      <c r="C93" s="101" t="s">
        <v>981</v>
      </c>
      <c r="D93" s="133">
        <v>203</v>
      </c>
      <c r="F93" s="347">
        <f t="shared" si="7"/>
        <v>76.429500000000004</v>
      </c>
      <c r="G93" s="347">
        <f t="shared" si="8"/>
        <v>76.429500000000004</v>
      </c>
      <c r="H93" s="56">
        <f t="shared" si="9"/>
        <v>91.756</v>
      </c>
      <c r="I93" s="56">
        <f t="shared" si="10"/>
        <v>76.936999999999998</v>
      </c>
      <c r="J93" s="56">
        <f t="shared" si="11"/>
        <v>101.297</v>
      </c>
      <c r="K93" s="56">
        <f t="shared" si="12"/>
        <v>87.289999999999992</v>
      </c>
      <c r="L93" s="56">
        <f t="shared" si="13"/>
        <v>98.048999999999992</v>
      </c>
      <c r="M93" s="310"/>
      <c r="N93" s="310"/>
      <c r="O93" s="310"/>
    </row>
    <row r="94" spans="1:15" s="245" customFormat="1" ht="27.6" x14ac:dyDescent="0.25">
      <c r="A94" s="140" t="s">
        <v>982</v>
      </c>
      <c r="B94" s="257" t="s">
        <v>983</v>
      </c>
      <c r="C94" s="163" t="s">
        <v>984</v>
      </c>
      <c r="D94" s="90">
        <v>203</v>
      </c>
      <c r="F94" s="347">
        <f t="shared" si="7"/>
        <v>76.429500000000004</v>
      </c>
      <c r="G94" s="347">
        <f t="shared" si="8"/>
        <v>76.429500000000004</v>
      </c>
      <c r="H94" s="258">
        <f t="shared" si="9"/>
        <v>91.756</v>
      </c>
      <c r="I94" s="258">
        <f t="shared" si="10"/>
        <v>76.936999999999998</v>
      </c>
      <c r="J94" s="258">
        <f t="shared" si="11"/>
        <v>101.297</v>
      </c>
      <c r="K94" s="258">
        <f t="shared" si="12"/>
        <v>87.289999999999992</v>
      </c>
      <c r="L94" s="258">
        <f t="shared" si="13"/>
        <v>98.048999999999992</v>
      </c>
      <c r="M94" s="219"/>
      <c r="N94" s="219"/>
      <c r="O94" s="219"/>
    </row>
    <row r="95" spans="1:15" x14ac:dyDescent="0.25">
      <c r="A95" s="52" t="s">
        <v>985</v>
      </c>
      <c r="B95" s="52" t="s">
        <v>986</v>
      </c>
      <c r="C95" s="101" t="s">
        <v>987</v>
      </c>
      <c r="D95" s="133">
        <v>165</v>
      </c>
      <c r="F95" s="347">
        <f t="shared" si="7"/>
        <v>62.122500000000002</v>
      </c>
      <c r="G95" s="347">
        <f t="shared" si="8"/>
        <v>62.122500000000002</v>
      </c>
      <c r="H95" s="56">
        <f t="shared" si="9"/>
        <v>74.58</v>
      </c>
      <c r="I95" s="56">
        <f t="shared" si="10"/>
        <v>62.535000000000004</v>
      </c>
      <c r="J95" s="56">
        <f t="shared" si="11"/>
        <v>82.334999999999994</v>
      </c>
      <c r="K95" s="56">
        <f t="shared" si="12"/>
        <v>70.95</v>
      </c>
      <c r="L95" s="56">
        <f t="shared" si="13"/>
        <v>79.694999999999993</v>
      </c>
      <c r="M95" s="310"/>
      <c r="N95" s="310"/>
      <c r="O95" s="310"/>
    </row>
    <row r="96" spans="1:15" x14ac:dyDescent="0.25">
      <c r="A96" s="52" t="s">
        <v>988</v>
      </c>
      <c r="B96" s="52" t="s">
        <v>989</v>
      </c>
      <c r="C96" s="101" t="s">
        <v>990</v>
      </c>
      <c r="D96" s="133">
        <v>164</v>
      </c>
      <c r="F96" s="347">
        <f t="shared" si="7"/>
        <v>61.746000000000002</v>
      </c>
      <c r="G96" s="347">
        <f t="shared" si="8"/>
        <v>61.746000000000002</v>
      </c>
      <c r="H96" s="56">
        <f t="shared" si="9"/>
        <v>74.128</v>
      </c>
      <c r="I96" s="56">
        <f t="shared" si="10"/>
        <v>62.155999999999999</v>
      </c>
      <c r="J96" s="56">
        <f t="shared" si="11"/>
        <v>81.835999999999999</v>
      </c>
      <c r="K96" s="56">
        <f t="shared" si="12"/>
        <v>70.52</v>
      </c>
      <c r="L96" s="56">
        <f t="shared" si="13"/>
        <v>79.212000000000003</v>
      </c>
      <c r="M96" s="310"/>
      <c r="N96" s="310"/>
      <c r="O96" s="310"/>
    </row>
    <row r="97" spans="1:15" x14ac:dyDescent="0.25">
      <c r="A97" s="52" t="s">
        <v>991</v>
      </c>
      <c r="B97" s="52" t="s">
        <v>992</v>
      </c>
      <c r="C97" s="101" t="s">
        <v>993</v>
      </c>
      <c r="D97" s="133">
        <v>151</v>
      </c>
      <c r="F97" s="347">
        <f t="shared" si="7"/>
        <v>56.851500000000001</v>
      </c>
      <c r="G97" s="347">
        <f t="shared" si="8"/>
        <v>56.851500000000001</v>
      </c>
      <c r="H97" s="56">
        <f t="shared" si="9"/>
        <v>68.251999999999995</v>
      </c>
      <c r="I97" s="56">
        <f t="shared" si="10"/>
        <v>57.228999999999999</v>
      </c>
      <c r="J97" s="56">
        <f t="shared" si="11"/>
        <v>75.349000000000004</v>
      </c>
      <c r="K97" s="56">
        <f t="shared" si="12"/>
        <v>64.929999999999993</v>
      </c>
      <c r="L97" s="56">
        <f t="shared" si="13"/>
        <v>72.932999999999993</v>
      </c>
      <c r="M97" s="310"/>
      <c r="N97" s="310"/>
      <c r="O97" s="310"/>
    </row>
    <row r="98" spans="1:15" s="245" customFormat="1" ht="27.6" x14ac:dyDescent="0.25">
      <c r="A98" s="28" t="s">
        <v>994</v>
      </c>
      <c r="B98" s="190" t="s">
        <v>995</v>
      </c>
      <c r="C98" s="163" t="s">
        <v>996</v>
      </c>
      <c r="D98" s="90">
        <v>151</v>
      </c>
      <c r="F98" s="347">
        <f t="shared" si="7"/>
        <v>56.851500000000001</v>
      </c>
      <c r="G98" s="347">
        <f t="shared" si="8"/>
        <v>56.851500000000001</v>
      </c>
      <c r="H98" s="258">
        <f t="shared" si="9"/>
        <v>68.251999999999995</v>
      </c>
      <c r="I98" s="258">
        <f t="shared" si="10"/>
        <v>57.228999999999999</v>
      </c>
      <c r="J98" s="258">
        <f t="shared" si="11"/>
        <v>75.349000000000004</v>
      </c>
      <c r="K98" s="258">
        <f t="shared" si="12"/>
        <v>64.929999999999993</v>
      </c>
      <c r="L98" s="258">
        <f t="shared" si="13"/>
        <v>72.932999999999993</v>
      </c>
      <c r="M98" s="219"/>
      <c r="N98" s="219"/>
      <c r="O98" s="219"/>
    </row>
    <row r="99" spans="1:15" x14ac:dyDescent="0.25">
      <c r="A99" s="52" t="s">
        <v>997</v>
      </c>
      <c r="B99" s="52" t="s">
        <v>998</v>
      </c>
      <c r="C99" s="101" t="s">
        <v>999</v>
      </c>
      <c r="D99" s="133">
        <v>131</v>
      </c>
      <c r="F99" s="347">
        <f t="shared" si="7"/>
        <v>49.3215</v>
      </c>
      <c r="G99" s="347">
        <f t="shared" si="8"/>
        <v>49.3215</v>
      </c>
      <c r="H99" s="56">
        <f t="shared" si="9"/>
        <v>59.212000000000003</v>
      </c>
      <c r="I99" s="56">
        <f t="shared" si="10"/>
        <v>49.649000000000001</v>
      </c>
      <c r="J99" s="56">
        <f t="shared" si="11"/>
        <v>65.369</v>
      </c>
      <c r="K99" s="56">
        <f t="shared" si="12"/>
        <v>56.33</v>
      </c>
      <c r="L99" s="56">
        <f t="shared" si="13"/>
        <v>63.272999999999996</v>
      </c>
      <c r="M99" s="310"/>
      <c r="N99" s="310"/>
      <c r="O99" s="310"/>
    </row>
    <row r="100" spans="1:15" s="245" customFormat="1" ht="27.6" x14ac:dyDescent="0.25">
      <c r="A100" s="28" t="s">
        <v>1000</v>
      </c>
      <c r="B100" s="190" t="s">
        <v>1001</v>
      </c>
      <c r="C100" s="163" t="s">
        <v>1002</v>
      </c>
      <c r="D100" s="90">
        <v>131</v>
      </c>
      <c r="F100" s="347">
        <f t="shared" si="7"/>
        <v>49.3215</v>
      </c>
      <c r="G100" s="347">
        <f t="shared" si="8"/>
        <v>49.3215</v>
      </c>
      <c r="H100" s="258">
        <f t="shared" si="9"/>
        <v>59.212000000000003</v>
      </c>
      <c r="I100" s="258">
        <f t="shared" si="10"/>
        <v>49.649000000000001</v>
      </c>
      <c r="J100" s="258">
        <f t="shared" si="11"/>
        <v>65.369</v>
      </c>
      <c r="K100" s="258">
        <f t="shared" si="12"/>
        <v>56.33</v>
      </c>
      <c r="L100" s="258">
        <f t="shared" si="13"/>
        <v>63.272999999999996</v>
      </c>
      <c r="M100" s="219"/>
      <c r="N100" s="219"/>
      <c r="O100" s="219"/>
    </row>
    <row r="101" spans="1:15" x14ac:dyDescent="0.25">
      <c r="A101" s="52" t="s">
        <v>1003</v>
      </c>
      <c r="B101" s="52" t="s">
        <v>1004</v>
      </c>
      <c r="C101" s="101" t="s">
        <v>1005</v>
      </c>
      <c r="D101" s="133">
        <v>128</v>
      </c>
      <c r="F101" s="347">
        <f t="shared" si="7"/>
        <v>48.192</v>
      </c>
      <c r="G101" s="347">
        <f t="shared" si="8"/>
        <v>48.192</v>
      </c>
      <c r="H101" s="56">
        <f t="shared" si="9"/>
        <v>57.856000000000002</v>
      </c>
      <c r="I101" s="56">
        <f t="shared" si="10"/>
        <v>48.512</v>
      </c>
      <c r="J101" s="56">
        <f t="shared" si="11"/>
        <v>63.872</v>
      </c>
      <c r="K101" s="56">
        <f t="shared" si="12"/>
        <v>55.04</v>
      </c>
      <c r="L101" s="56">
        <f t="shared" si="13"/>
        <v>61.823999999999998</v>
      </c>
      <c r="M101" s="310"/>
      <c r="N101" s="310"/>
      <c r="O101" s="310"/>
    </row>
    <row r="102" spans="1:15" x14ac:dyDescent="0.25">
      <c r="A102" s="67"/>
      <c r="B102" s="67"/>
      <c r="C102" s="49"/>
      <c r="D102" s="56"/>
      <c r="F102" s="347"/>
      <c r="G102" s="347"/>
      <c r="H102" s="56"/>
      <c r="I102" s="56"/>
      <c r="J102" s="56"/>
      <c r="K102" s="56"/>
      <c r="L102" s="56"/>
      <c r="M102" s="310"/>
      <c r="N102" s="310"/>
      <c r="O102" s="310"/>
    </row>
    <row r="103" spans="1:15" x14ac:dyDescent="0.25">
      <c r="A103" s="21" t="s">
        <v>1006</v>
      </c>
      <c r="B103" s="50"/>
      <c r="C103" s="50"/>
      <c r="D103" s="147"/>
      <c r="F103" s="346"/>
      <c r="G103" s="346"/>
      <c r="H103" s="346"/>
      <c r="I103" s="346"/>
      <c r="J103" s="346"/>
      <c r="K103" s="346"/>
      <c r="L103" s="346"/>
      <c r="M103" s="310"/>
      <c r="N103" s="310"/>
      <c r="O103" s="310"/>
    </row>
    <row r="104" spans="1:15" s="245" customFormat="1" x14ac:dyDescent="0.25">
      <c r="A104" s="84" t="s">
        <v>1007</v>
      </c>
      <c r="B104" s="152" t="s">
        <v>1008</v>
      </c>
      <c r="C104" s="127" t="s">
        <v>1009</v>
      </c>
      <c r="D104" s="258">
        <v>747</v>
      </c>
      <c r="F104" s="347">
        <f t="shared" si="7"/>
        <v>281.24549999999999</v>
      </c>
      <c r="G104" s="347">
        <f t="shared" si="8"/>
        <v>281.24549999999999</v>
      </c>
      <c r="H104" s="258">
        <f t="shared" si="9"/>
        <v>337.64400000000001</v>
      </c>
      <c r="I104" s="258">
        <f t="shared" si="10"/>
        <v>283.113</v>
      </c>
      <c r="J104" s="258">
        <f t="shared" si="11"/>
        <v>372.75299999999999</v>
      </c>
      <c r="K104" s="258">
        <f t="shared" si="12"/>
        <v>321.20999999999998</v>
      </c>
      <c r="L104" s="258">
        <f t="shared" si="13"/>
        <v>360.80099999999999</v>
      </c>
      <c r="M104" s="219"/>
      <c r="N104" s="219"/>
      <c r="O104" s="219"/>
    </row>
    <row r="105" spans="1:15" x14ac:dyDescent="0.25">
      <c r="A105" s="65" t="s">
        <v>1010</v>
      </c>
      <c r="B105" s="103" t="s">
        <v>1011</v>
      </c>
      <c r="C105" s="153" t="s">
        <v>1012</v>
      </c>
      <c r="D105" s="133">
        <v>344</v>
      </c>
      <c r="F105" s="347">
        <f t="shared" si="7"/>
        <v>129.51599999999999</v>
      </c>
      <c r="G105" s="347">
        <f t="shared" si="8"/>
        <v>129.51599999999999</v>
      </c>
      <c r="H105" s="56">
        <f t="shared" si="9"/>
        <v>155.488</v>
      </c>
      <c r="I105" s="56">
        <f t="shared" si="10"/>
        <v>130.376</v>
      </c>
      <c r="J105" s="56">
        <f t="shared" si="11"/>
        <v>171.65600000000001</v>
      </c>
      <c r="K105" s="56">
        <f t="shared" si="12"/>
        <v>147.91999999999999</v>
      </c>
      <c r="L105" s="56">
        <f t="shared" si="13"/>
        <v>166.15199999999999</v>
      </c>
      <c r="M105" s="310"/>
      <c r="N105" s="310"/>
      <c r="O105" s="310"/>
    </row>
    <row r="106" spans="1:15" s="245" customFormat="1" ht="27.6" x14ac:dyDescent="0.25">
      <c r="A106" s="77" t="s">
        <v>1013</v>
      </c>
      <c r="B106" s="77" t="s">
        <v>1014</v>
      </c>
      <c r="C106" s="163" t="s">
        <v>1015</v>
      </c>
      <c r="D106" s="90">
        <v>344</v>
      </c>
      <c r="F106" s="347">
        <f t="shared" si="7"/>
        <v>129.51599999999999</v>
      </c>
      <c r="G106" s="347">
        <f t="shared" si="8"/>
        <v>129.51599999999999</v>
      </c>
      <c r="H106" s="258">
        <f t="shared" si="9"/>
        <v>155.488</v>
      </c>
      <c r="I106" s="258">
        <f t="shared" si="10"/>
        <v>130.376</v>
      </c>
      <c r="J106" s="258">
        <f t="shared" si="11"/>
        <v>171.65600000000001</v>
      </c>
      <c r="K106" s="258">
        <f t="shared" si="12"/>
        <v>147.91999999999999</v>
      </c>
      <c r="L106" s="258">
        <f t="shared" si="13"/>
        <v>166.15199999999999</v>
      </c>
      <c r="M106" s="219"/>
      <c r="N106" s="219"/>
      <c r="O106" s="219"/>
    </row>
    <row r="107" spans="1:15" ht="27.6" x14ac:dyDescent="0.25">
      <c r="A107" s="282" t="s">
        <v>1016</v>
      </c>
      <c r="B107" s="282" t="s">
        <v>1017</v>
      </c>
      <c r="C107" s="61" t="s">
        <v>1018</v>
      </c>
      <c r="D107" s="133">
        <v>167</v>
      </c>
      <c r="F107" s="347">
        <f t="shared" si="7"/>
        <v>62.875500000000002</v>
      </c>
      <c r="G107" s="347">
        <f t="shared" si="8"/>
        <v>62.875500000000002</v>
      </c>
      <c r="H107" s="56">
        <f t="shared" si="9"/>
        <v>75.484000000000009</v>
      </c>
      <c r="I107" s="56">
        <f t="shared" si="10"/>
        <v>63.292999999999999</v>
      </c>
      <c r="J107" s="56">
        <f t="shared" si="11"/>
        <v>83.332999999999998</v>
      </c>
      <c r="K107" s="56">
        <f t="shared" si="12"/>
        <v>71.81</v>
      </c>
      <c r="L107" s="56">
        <f t="shared" si="13"/>
        <v>80.661000000000001</v>
      </c>
      <c r="M107" s="310"/>
      <c r="N107" s="310"/>
      <c r="O107" s="310"/>
    </row>
    <row r="108" spans="1:15" ht="27.6" x14ac:dyDescent="0.25">
      <c r="A108" s="65" t="s">
        <v>1019</v>
      </c>
      <c r="B108" s="103" t="s">
        <v>1020</v>
      </c>
      <c r="C108" s="153" t="s">
        <v>1021</v>
      </c>
      <c r="D108" s="133">
        <v>265</v>
      </c>
      <c r="F108" s="347">
        <f t="shared" si="7"/>
        <v>99.772499999999994</v>
      </c>
      <c r="G108" s="347">
        <f t="shared" si="8"/>
        <v>99.772499999999994</v>
      </c>
      <c r="H108" s="56">
        <f t="shared" si="9"/>
        <v>119.78</v>
      </c>
      <c r="I108" s="56">
        <f t="shared" si="10"/>
        <v>100.435</v>
      </c>
      <c r="J108" s="56">
        <f t="shared" si="11"/>
        <v>132.23500000000001</v>
      </c>
      <c r="K108" s="56">
        <f t="shared" si="12"/>
        <v>113.95</v>
      </c>
      <c r="L108" s="56">
        <f t="shared" si="13"/>
        <v>127.99499999999999</v>
      </c>
      <c r="M108" s="310"/>
      <c r="N108" s="310"/>
      <c r="O108" s="310"/>
    </row>
    <row r="109" spans="1:15" s="245" customFormat="1" ht="27.6" x14ac:dyDescent="0.25">
      <c r="A109" s="77" t="s">
        <v>1586</v>
      </c>
      <c r="B109" s="190" t="s">
        <v>1022</v>
      </c>
      <c r="C109" s="118" t="s">
        <v>1023</v>
      </c>
      <c r="D109" s="90">
        <v>265</v>
      </c>
      <c r="F109" s="347">
        <f t="shared" si="7"/>
        <v>99.772499999999994</v>
      </c>
      <c r="G109" s="347">
        <f t="shared" si="8"/>
        <v>99.772499999999994</v>
      </c>
      <c r="H109" s="258">
        <f t="shared" si="9"/>
        <v>119.78</v>
      </c>
      <c r="I109" s="258">
        <f t="shared" si="10"/>
        <v>100.435</v>
      </c>
      <c r="J109" s="258">
        <f t="shared" si="11"/>
        <v>132.23500000000001</v>
      </c>
      <c r="K109" s="258">
        <f t="shared" si="12"/>
        <v>113.95</v>
      </c>
      <c r="L109" s="258">
        <f t="shared" si="13"/>
        <v>127.99499999999999</v>
      </c>
      <c r="M109" s="219"/>
      <c r="N109" s="219"/>
      <c r="O109" s="219"/>
    </row>
    <row r="110" spans="1:15" x14ac:dyDescent="0.25">
      <c r="A110" s="65" t="s">
        <v>1024</v>
      </c>
      <c r="B110" s="103" t="s">
        <v>1025</v>
      </c>
      <c r="C110" s="153" t="s">
        <v>1026</v>
      </c>
      <c r="D110" s="133">
        <v>197</v>
      </c>
      <c r="F110" s="347">
        <f t="shared" si="7"/>
        <v>74.170500000000004</v>
      </c>
      <c r="G110" s="347">
        <f t="shared" si="8"/>
        <v>74.170500000000004</v>
      </c>
      <c r="H110" s="56">
        <f t="shared" si="9"/>
        <v>89.043999999999997</v>
      </c>
      <c r="I110" s="56">
        <f t="shared" si="10"/>
        <v>74.662999999999997</v>
      </c>
      <c r="J110" s="56">
        <f t="shared" si="11"/>
        <v>98.302999999999997</v>
      </c>
      <c r="K110" s="56">
        <f t="shared" si="12"/>
        <v>84.71</v>
      </c>
      <c r="L110" s="56">
        <f t="shared" si="13"/>
        <v>95.150999999999996</v>
      </c>
      <c r="M110" s="310"/>
      <c r="N110" s="310"/>
      <c r="O110" s="310"/>
    </row>
    <row r="111" spans="1:15" x14ac:dyDescent="0.25">
      <c r="A111" s="65" t="s">
        <v>1027</v>
      </c>
      <c r="B111" s="103" t="s">
        <v>1028</v>
      </c>
      <c r="C111" s="153" t="s">
        <v>1029</v>
      </c>
      <c r="D111" s="133">
        <v>141</v>
      </c>
      <c r="F111" s="347">
        <f t="shared" si="7"/>
        <v>53.086500000000001</v>
      </c>
      <c r="G111" s="347">
        <f t="shared" si="8"/>
        <v>53.086500000000001</v>
      </c>
      <c r="H111" s="56">
        <f t="shared" si="9"/>
        <v>63.731999999999999</v>
      </c>
      <c r="I111" s="56">
        <f t="shared" si="10"/>
        <v>53.439</v>
      </c>
      <c r="J111" s="56">
        <f t="shared" si="11"/>
        <v>70.358999999999995</v>
      </c>
      <c r="K111" s="56">
        <f t="shared" si="12"/>
        <v>60.63</v>
      </c>
      <c r="L111" s="56">
        <f t="shared" si="13"/>
        <v>68.102999999999994</v>
      </c>
      <c r="M111" s="310"/>
      <c r="N111" s="310"/>
      <c r="O111" s="310"/>
    </row>
    <row r="112" spans="1:15" x14ac:dyDescent="0.25">
      <c r="A112" s="282" t="s">
        <v>1030</v>
      </c>
      <c r="B112" s="282" t="s">
        <v>1031</v>
      </c>
      <c r="C112" s="49" t="s">
        <v>1032</v>
      </c>
      <c r="D112" s="133">
        <v>119</v>
      </c>
      <c r="F112" s="347">
        <f t="shared" si="7"/>
        <v>44.8035</v>
      </c>
      <c r="G112" s="347">
        <f t="shared" si="8"/>
        <v>44.8035</v>
      </c>
      <c r="H112" s="56">
        <f t="shared" si="9"/>
        <v>53.788000000000004</v>
      </c>
      <c r="I112" s="56">
        <f t="shared" si="10"/>
        <v>45.100999999999999</v>
      </c>
      <c r="J112" s="56">
        <f t="shared" si="11"/>
        <v>59.381</v>
      </c>
      <c r="K112" s="56">
        <f t="shared" si="12"/>
        <v>51.17</v>
      </c>
      <c r="L112" s="56">
        <f t="shared" si="13"/>
        <v>57.476999999999997</v>
      </c>
      <c r="M112" s="310"/>
      <c r="N112" s="310"/>
      <c r="O112" s="310"/>
    </row>
    <row r="113" spans="1:15" x14ac:dyDescent="0.25">
      <c r="A113" s="282" t="s">
        <v>1033</v>
      </c>
      <c r="B113" s="282" t="s">
        <v>1034</v>
      </c>
      <c r="C113" s="49" t="s">
        <v>1035</v>
      </c>
      <c r="D113" s="133">
        <v>107</v>
      </c>
      <c r="F113" s="347">
        <f t="shared" si="7"/>
        <v>40.285499999999999</v>
      </c>
      <c r="G113" s="347">
        <f t="shared" si="8"/>
        <v>40.285499999999999</v>
      </c>
      <c r="H113" s="56">
        <f t="shared" si="9"/>
        <v>48.364000000000004</v>
      </c>
      <c r="I113" s="56">
        <f t="shared" si="10"/>
        <v>40.552999999999997</v>
      </c>
      <c r="J113" s="56">
        <f t="shared" si="11"/>
        <v>53.393000000000001</v>
      </c>
      <c r="K113" s="56">
        <f t="shared" si="12"/>
        <v>46.01</v>
      </c>
      <c r="L113" s="56">
        <f t="shared" si="13"/>
        <v>51.680999999999997</v>
      </c>
      <c r="M113" s="310"/>
      <c r="N113" s="310"/>
      <c r="O113" s="310"/>
    </row>
    <row r="114" spans="1:15" x14ac:dyDescent="0.25">
      <c r="A114" s="282"/>
      <c r="B114" s="282"/>
      <c r="C114" s="49"/>
      <c r="D114" s="56"/>
      <c r="F114" s="347"/>
      <c r="G114" s="347"/>
      <c r="H114" s="56"/>
      <c r="I114" s="56"/>
      <c r="J114" s="56"/>
      <c r="K114" s="56"/>
      <c r="L114" s="56"/>
      <c r="M114" s="310"/>
      <c r="N114" s="310"/>
      <c r="O114" s="310"/>
    </row>
    <row r="115" spans="1:15" x14ac:dyDescent="0.25">
      <c r="A115" s="21" t="s">
        <v>1036</v>
      </c>
      <c r="B115" s="50"/>
      <c r="C115" s="50"/>
      <c r="D115" s="147"/>
      <c r="F115" s="346"/>
      <c r="G115" s="346"/>
      <c r="H115" s="346"/>
      <c r="I115" s="346"/>
      <c r="J115" s="346"/>
      <c r="K115" s="346"/>
      <c r="L115" s="346"/>
      <c r="M115" s="310"/>
      <c r="N115" s="310"/>
      <c r="O115" s="310"/>
    </row>
    <row r="116" spans="1:15" x14ac:dyDescent="0.25">
      <c r="A116" s="89" t="s">
        <v>1587</v>
      </c>
      <c r="B116" s="282" t="s">
        <v>1037</v>
      </c>
      <c r="C116" s="49" t="s">
        <v>1038</v>
      </c>
      <c r="D116" s="133">
        <v>19</v>
      </c>
      <c r="F116" s="347">
        <f t="shared" si="7"/>
        <v>7.1535000000000002</v>
      </c>
      <c r="G116" s="347">
        <f t="shared" si="8"/>
        <v>7.1535000000000002</v>
      </c>
      <c r="H116" s="56">
        <f t="shared" si="9"/>
        <v>8.588000000000001</v>
      </c>
      <c r="I116" s="56">
        <f t="shared" si="10"/>
        <v>7.2010000000000005</v>
      </c>
      <c r="J116" s="56">
        <f t="shared" si="11"/>
        <v>9.4809999999999999</v>
      </c>
      <c r="K116" s="56">
        <f t="shared" si="12"/>
        <v>8.17</v>
      </c>
      <c r="L116" s="56">
        <f t="shared" si="13"/>
        <v>9.1769999999999996</v>
      </c>
      <c r="M116" s="310"/>
      <c r="N116" s="310"/>
      <c r="O116" s="310"/>
    </row>
    <row r="117" spans="1:15" x14ac:dyDescent="0.25">
      <c r="A117" s="259" t="s">
        <v>1588</v>
      </c>
      <c r="B117" s="109" t="s">
        <v>1039</v>
      </c>
      <c r="C117" s="123" t="s">
        <v>1040</v>
      </c>
      <c r="D117" s="133">
        <v>18</v>
      </c>
      <c r="F117" s="347">
        <f t="shared" si="7"/>
        <v>6.7770000000000001</v>
      </c>
      <c r="G117" s="347">
        <f t="shared" si="8"/>
        <v>6.7770000000000001</v>
      </c>
      <c r="H117" s="56">
        <f t="shared" si="9"/>
        <v>8.136000000000001</v>
      </c>
      <c r="I117" s="56">
        <f t="shared" si="10"/>
        <v>6.8220000000000001</v>
      </c>
      <c r="J117" s="56">
        <f t="shared" si="11"/>
        <v>8.9819999999999993</v>
      </c>
      <c r="K117" s="56">
        <f t="shared" si="12"/>
        <v>7.74</v>
      </c>
      <c r="L117" s="56">
        <f t="shared" si="13"/>
        <v>8.6939999999999991</v>
      </c>
      <c r="M117" s="310"/>
      <c r="N117" s="310"/>
      <c r="O117" s="310"/>
    </row>
    <row r="118" spans="1:15" x14ac:dyDescent="0.25">
      <c r="A118" s="259" t="s">
        <v>1589</v>
      </c>
      <c r="B118" s="109" t="s">
        <v>1041</v>
      </c>
      <c r="C118" s="123" t="s">
        <v>1042</v>
      </c>
      <c r="D118" s="133">
        <v>19</v>
      </c>
      <c r="F118" s="347">
        <f t="shared" si="7"/>
        <v>7.1535000000000002</v>
      </c>
      <c r="G118" s="347">
        <f t="shared" si="8"/>
        <v>7.1535000000000002</v>
      </c>
      <c r="H118" s="56">
        <f t="shared" si="9"/>
        <v>8.588000000000001</v>
      </c>
      <c r="I118" s="56">
        <f t="shared" si="10"/>
        <v>7.2010000000000005</v>
      </c>
      <c r="J118" s="56">
        <f t="shared" si="11"/>
        <v>9.4809999999999999</v>
      </c>
      <c r="K118" s="56">
        <f t="shared" si="12"/>
        <v>8.17</v>
      </c>
      <c r="L118" s="56">
        <f t="shared" si="13"/>
        <v>9.1769999999999996</v>
      </c>
      <c r="M118" s="310"/>
      <c r="N118" s="310"/>
      <c r="O118" s="310"/>
    </row>
    <row r="119" spans="1:15" x14ac:dyDescent="0.25">
      <c r="A119" s="89" t="s">
        <v>1590</v>
      </c>
      <c r="B119" s="282" t="s">
        <v>1043</v>
      </c>
      <c r="C119" s="49" t="s">
        <v>1044</v>
      </c>
      <c r="D119" s="133">
        <v>19</v>
      </c>
      <c r="F119" s="347">
        <f t="shared" si="7"/>
        <v>7.1535000000000002</v>
      </c>
      <c r="G119" s="347">
        <f t="shared" si="8"/>
        <v>7.1535000000000002</v>
      </c>
      <c r="H119" s="56">
        <f t="shared" si="9"/>
        <v>8.588000000000001</v>
      </c>
      <c r="I119" s="56">
        <f t="shared" si="10"/>
        <v>7.2010000000000005</v>
      </c>
      <c r="J119" s="56">
        <f t="shared" si="11"/>
        <v>9.4809999999999999</v>
      </c>
      <c r="K119" s="56">
        <f t="shared" si="12"/>
        <v>8.17</v>
      </c>
      <c r="L119" s="56">
        <f t="shared" si="13"/>
        <v>9.1769999999999996</v>
      </c>
      <c r="M119" s="310"/>
      <c r="N119" s="310"/>
      <c r="O119" s="310"/>
    </row>
    <row r="120" spans="1:15" x14ac:dyDescent="0.25">
      <c r="A120" s="89" t="s">
        <v>1591</v>
      </c>
      <c r="B120" s="282" t="s">
        <v>1045</v>
      </c>
      <c r="C120" s="35" t="s">
        <v>1046</v>
      </c>
      <c r="D120" s="133">
        <v>18</v>
      </c>
      <c r="F120" s="347">
        <f t="shared" si="7"/>
        <v>6.7770000000000001</v>
      </c>
      <c r="G120" s="347">
        <f t="shared" si="8"/>
        <v>6.7770000000000001</v>
      </c>
      <c r="H120" s="56">
        <f t="shared" si="9"/>
        <v>8.136000000000001</v>
      </c>
      <c r="I120" s="56">
        <f t="shared" si="10"/>
        <v>6.8220000000000001</v>
      </c>
      <c r="J120" s="56">
        <f t="shared" si="11"/>
        <v>8.9819999999999993</v>
      </c>
      <c r="K120" s="56">
        <f t="shared" si="12"/>
        <v>7.74</v>
      </c>
      <c r="L120" s="56">
        <f t="shared" si="13"/>
        <v>8.6939999999999991</v>
      </c>
      <c r="M120" s="310"/>
      <c r="N120" s="310"/>
      <c r="O120" s="310"/>
    </row>
    <row r="121" spans="1:15" x14ac:dyDescent="0.25">
      <c r="A121" s="282" t="s">
        <v>1047</v>
      </c>
      <c r="B121" s="282" t="s">
        <v>1048</v>
      </c>
      <c r="C121" s="123" t="s">
        <v>1049</v>
      </c>
      <c r="D121" s="133">
        <v>149</v>
      </c>
      <c r="F121" s="347">
        <f t="shared" si="7"/>
        <v>56.098500000000001</v>
      </c>
      <c r="G121" s="347">
        <f t="shared" si="8"/>
        <v>56.098500000000001</v>
      </c>
      <c r="H121" s="56">
        <f t="shared" si="9"/>
        <v>67.347999999999999</v>
      </c>
      <c r="I121" s="56">
        <f t="shared" si="10"/>
        <v>56.471000000000004</v>
      </c>
      <c r="J121" s="56">
        <f t="shared" si="11"/>
        <v>74.350999999999999</v>
      </c>
      <c r="K121" s="56">
        <f t="shared" si="12"/>
        <v>64.069999999999993</v>
      </c>
      <c r="L121" s="56">
        <f t="shared" si="13"/>
        <v>71.966999999999999</v>
      </c>
      <c r="M121" s="310"/>
      <c r="N121" s="310"/>
      <c r="O121" s="310"/>
    </row>
    <row r="122" spans="1:15" x14ac:dyDescent="0.25">
      <c r="A122" s="282" t="s">
        <v>1050</v>
      </c>
      <c r="B122" s="282" t="s">
        <v>1051</v>
      </c>
      <c r="C122" s="49" t="s">
        <v>1052</v>
      </c>
      <c r="D122" s="133">
        <v>23</v>
      </c>
      <c r="F122" s="347">
        <f t="shared" si="7"/>
        <v>8.6594999999999995</v>
      </c>
      <c r="G122" s="347">
        <f t="shared" si="8"/>
        <v>8.6594999999999995</v>
      </c>
      <c r="H122" s="56">
        <f t="shared" si="9"/>
        <v>10.396000000000001</v>
      </c>
      <c r="I122" s="56">
        <f t="shared" si="10"/>
        <v>8.7170000000000005</v>
      </c>
      <c r="J122" s="56">
        <f t="shared" si="11"/>
        <v>11.477</v>
      </c>
      <c r="K122" s="56">
        <f t="shared" si="12"/>
        <v>9.89</v>
      </c>
      <c r="L122" s="56">
        <f t="shared" si="13"/>
        <v>11.109</v>
      </c>
      <c r="M122" s="310"/>
      <c r="N122" s="310"/>
      <c r="O122" s="310"/>
    </row>
    <row r="123" spans="1:15" x14ac:dyDescent="0.25">
      <c r="A123" s="269"/>
      <c r="B123" s="281"/>
      <c r="C123" s="49"/>
      <c r="D123" s="56"/>
      <c r="F123" s="347"/>
      <c r="G123" s="347"/>
      <c r="H123" s="56"/>
      <c r="I123" s="56"/>
      <c r="J123" s="56"/>
      <c r="K123" s="56"/>
      <c r="L123" s="56"/>
      <c r="M123" s="310"/>
      <c r="N123" s="310"/>
      <c r="O123" s="310"/>
    </row>
    <row r="124" spans="1:15" x14ac:dyDescent="0.25">
      <c r="A124" s="21" t="s">
        <v>1053</v>
      </c>
      <c r="B124" s="50"/>
      <c r="C124" s="50"/>
      <c r="D124" s="147"/>
      <c r="F124" s="346"/>
      <c r="G124" s="346"/>
      <c r="H124" s="346"/>
      <c r="I124" s="346"/>
      <c r="J124" s="346"/>
      <c r="K124" s="346"/>
      <c r="L124" s="346"/>
      <c r="M124" s="310"/>
      <c r="N124" s="310"/>
      <c r="O124" s="310"/>
    </row>
    <row r="125" spans="1:15" x14ac:dyDescent="0.25">
      <c r="A125" s="269" t="s">
        <v>1054</v>
      </c>
      <c r="B125" s="281" t="s">
        <v>1055</v>
      </c>
      <c r="C125" s="49" t="s">
        <v>1056</v>
      </c>
      <c r="D125" s="133">
        <v>160</v>
      </c>
      <c r="F125" s="347">
        <f t="shared" si="7"/>
        <v>60.24</v>
      </c>
      <c r="G125" s="347">
        <f t="shared" si="8"/>
        <v>60.24</v>
      </c>
      <c r="H125" s="56">
        <f t="shared" si="9"/>
        <v>72.320000000000007</v>
      </c>
      <c r="I125" s="56">
        <f t="shared" si="10"/>
        <v>60.64</v>
      </c>
      <c r="J125" s="56">
        <f t="shared" si="11"/>
        <v>79.84</v>
      </c>
      <c r="K125" s="56">
        <f t="shared" si="12"/>
        <v>68.8</v>
      </c>
      <c r="L125" s="56">
        <f t="shared" si="13"/>
        <v>77.28</v>
      </c>
      <c r="M125" s="310"/>
      <c r="N125" s="310"/>
      <c r="O125" s="310"/>
    </row>
    <row r="126" spans="1:15" s="69" customFormat="1" x14ac:dyDescent="0.25">
      <c r="A126" s="269" t="s">
        <v>1057</v>
      </c>
      <c r="B126" s="281" t="s">
        <v>1058</v>
      </c>
      <c r="C126" s="49" t="s">
        <v>1059</v>
      </c>
      <c r="D126" s="133">
        <v>94</v>
      </c>
      <c r="F126" s="347">
        <f t="shared" si="7"/>
        <v>35.390999999999998</v>
      </c>
      <c r="G126" s="347">
        <f t="shared" si="8"/>
        <v>35.390999999999998</v>
      </c>
      <c r="H126" s="349">
        <f t="shared" si="9"/>
        <v>42.488</v>
      </c>
      <c r="I126" s="349">
        <f t="shared" si="10"/>
        <v>35.625999999999998</v>
      </c>
      <c r="J126" s="349">
        <f t="shared" si="11"/>
        <v>46.905999999999999</v>
      </c>
      <c r="K126" s="349">
        <f t="shared" si="12"/>
        <v>40.42</v>
      </c>
      <c r="L126" s="349">
        <f t="shared" si="13"/>
        <v>45.402000000000001</v>
      </c>
    </row>
    <row r="127" spans="1:15" x14ac:dyDescent="0.25">
      <c r="A127" s="269" t="s">
        <v>1060</v>
      </c>
      <c r="B127" s="281" t="s">
        <v>1061</v>
      </c>
      <c r="C127" s="49" t="s">
        <v>1062</v>
      </c>
      <c r="D127" s="133">
        <v>153</v>
      </c>
      <c r="F127" s="347">
        <f t="shared" si="7"/>
        <v>57.604500000000002</v>
      </c>
      <c r="G127" s="347">
        <f t="shared" si="8"/>
        <v>57.604500000000002</v>
      </c>
      <c r="H127" s="56">
        <f t="shared" si="9"/>
        <v>69.156000000000006</v>
      </c>
      <c r="I127" s="56">
        <f t="shared" si="10"/>
        <v>57.987000000000002</v>
      </c>
      <c r="J127" s="56">
        <f t="shared" si="11"/>
        <v>76.346999999999994</v>
      </c>
      <c r="K127" s="56">
        <f t="shared" si="12"/>
        <v>65.789999999999992</v>
      </c>
      <c r="L127" s="56">
        <f t="shared" si="13"/>
        <v>73.899000000000001</v>
      </c>
      <c r="M127" s="310"/>
      <c r="N127" s="310"/>
      <c r="O127" s="310"/>
    </row>
    <row r="128" spans="1:15" s="195" customFormat="1" x14ac:dyDescent="0.25">
      <c r="A128" s="269" t="s">
        <v>1063</v>
      </c>
      <c r="B128" s="281" t="s">
        <v>1064</v>
      </c>
      <c r="C128" s="49" t="s">
        <v>1065</v>
      </c>
      <c r="D128" s="172">
        <v>76</v>
      </c>
      <c r="E128" s="209"/>
      <c r="F128" s="347">
        <f t="shared" si="7"/>
        <v>28.614000000000001</v>
      </c>
      <c r="G128" s="347">
        <f t="shared" si="8"/>
        <v>28.614000000000001</v>
      </c>
      <c r="H128" s="280">
        <f t="shared" si="9"/>
        <v>34.352000000000004</v>
      </c>
      <c r="I128" s="280">
        <f t="shared" si="10"/>
        <v>28.804000000000002</v>
      </c>
      <c r="J128" s="280">
        <f t="shared" si="11"/>
        <v>37.923999999999999</v>
      </c>
      <c r="K128" s="280">
        <f t="shared" si="12"/>
        <v>32.68</v>
      </c>
      <c r="L128" s="280">
        <f t="shared" si="13"/>
        <v>36.707999999999998</v>
      </c>
      <c r="M128" s="209"/>
    </row>
    <row r="129" spans="1:15" x14ac:dyDescent="0.25">
      <c r="A129" s="38"/>
      <c r="B129" s="46"/>
      <c r="C129" s="93"/>
      <c r="D129" s="56"/>
      <c r="F129" s="347"/>
      <c r="G129" s="347"/>
      <c r="H129" s="56"/>
      <c r="I129" s="56"/>
      <c r="J129" s="56"/>
      <c r="K129" s="56"/>
      <c r="L129" s="56"/>
      <c r="M129" s="310"/>
      <c r="N129" s="310"/>
      <c r="O129" s="310"/>
    </row>
    <row r="130" spans="1:15" x14ac:dyDescent="0.25">
      <c r="A130" s="21" t="s">
        <v>1066</v>
      </c>
      <c r="B130" s="50"/>
      <c r="C130" s="50"/>
      <c r="D130" s="147"/>
      <c r="F130" s="346"/>
      <c r="G130" s="346"/>
      <c r="H130" s="346"/>
      <c r="I130" s="346"/>
      <c r="J130" s="346"/>
      <c r="K130" s="346"/>
      <c r="L130" s="346"/>
      <c r="M130" s="310"/>
      <c r="N130" s="310"/>
      <c r="O130" s="310"/>
    </row>
    <row r="131" spans="1:15" x14ac:dyDescent="0.25">
      <c r="A131" s="269" t="s">
        <v>1592</v>
      </c>
      <c r="B131" s="281" t="s">
        <v>1067</v>
      </c>
      <c r="C131" s="49" t="s">
        <v>1068</v>
      </c>
      <c r="D131" s="133">
        <v>12</v>
      </c>
      <c r="F131" s="347">
        <f t="shared" si="7"/>
        <v>4.5179999999999998</v>
      </c>
      <c r="G131" s="347">
        <f t="shared" si="8"/>
        <v>4.5179999999999998</v>
      </c>
      <c r="H131" s="56">
        <f t="shared" si="9"/>
        <v>5.4240000000000004</v>
      </c>
      <c r="I131" s="56">
        <f t="shared" si="10"/>
        <v>4.548</v>
      </c>
      <c r="J131" s="56">
        <f t="shared" si="11"/>
        <v>5.9879999999999995</v>
      </c>
      <c r="K131" s="56">
        <f t="shared" si="12"/>
        <v>5.16</v>
      </c>
      <c r="L131" s="56">
        <f t="shared" si="13"/>
        <v>5.7959999999999994</v>
      </c>
      <c r="M131" s="310"/>
      <c r="N131" s="310"/>
      <c r="O131" s="310"/>
    </row>
    <row r="132" spans="1:15" x14ac:dyDescent="0.25">
      <c r="A132" s="269" t="s">
        <v>1593</v>
      </c>
      <c r="B132" s="281" t="s">
        <v>1069</v>
      </c>
      <c r="C132" s="49" t="s">
        <v>1070</v>
      </c>
      <c r="D132" s="133">
        <v>8</v>
      </c>
      <c r="F132" s="347">
        <f t="shared" si="7"/>
        <v>3.012</v>
      </c>
      <c r="G132" s="347">
        <f t="shared" si="8"/>
        <v>3.012</v>
      </c>
      <c r="H132" s="56">
        <f t="shared" si="9"/>
        <v>3.6160000000000001</v>
      </c>
      <c r="I132" s="56">
        <f t="shared" si="10"/>
        <v>3.032</v>
      </c>
      <c r="J132" s="56">
        <f t="shared" si="11"/>
        <v>3.992</v>
      </c>
      <c r="K132" s="56">
        <f t="shared" si="12"/>
        <v>3.44</v>
      </c>
      <c r="L132" s="56">
        <f t="shared" si="13"/>
        <v>3.8639999999999999</v>
      </c>
      <c r="M132" s="310"/>
      <c r="N132" s="310"/>
      <c r="O132" s="310"/>
    </row>
    <row r="133" spans="1:15" x14ac:dyDescent="0.25">
      <c r="A133" s="282" t="s">
        <v>1071</v>
      </c>
      <c r="B133" s="282" t="s">
        <v>1072</v>
      </c>
      <c r="C133" s="35" t="s">
        <v>1073</v>
      </c>
      <c r="D133" s="133">
        <v>16</v>
      </c>
      <c r="F133" s="347">
        <f t="shared" si="7"/>
        <v>6.024</v>
      </c>
      <c r="G133" s="347">
        <f t="shared" si="8"/>
        <v>6.024</v>
      </c>
      <c r="H133" s="56">
        <f t="shared" si="9"/>
        <v>7.2320000000000002</v>
      </c>
      <c r="I133" s="56">
        <f t="shared" si="10"/>
        <v>6.0640000000000001</v>
      </c>
      <c r="J133" s="56">
        <f t="shared" si="11"/>
        <v>7.984</v>
      </c>
      <c r="K133" s="56">
        <f t="shared" si="12"/>
        <v>6.88</v>
      </c>
      <c r="L133" s="56">
        <f t="shared" si="13"/>
        <v>7.7279999999999998</v>
      </c>
      <c r="M133" s="310"/>
      <c r="N133" s="310"/>
      <c r="O133" s="310"/>
    </row>
    <row r="134" spans="1:15" x14ac:dyDescent="0.25">
      <c r="A134" s="282" t="s">
        <v>1074</v>
      </c>
      <c r="B134" s="282" t="s">
        <v>1075</v>
      </c>
      <c r="C134" s="35" t="s">
        <v>1076</v>
      </c>
      <c r="D134" s="133">
        <v>12</v>
      </c>
      <c r="F134" s="347">
        <f t="shared" si="7"/>
        <v>4.5179999999999998</v>
      </c>
      <c r="G134" s="347">
        <f t="shared" si="8"/>
        <v>4.5179999999999998</v>
      </c>
      <c r="H134" s="56">
        <f t="shared" si="9"/>
        <v>5.4240000000000004</v>
      </c>
      <c r="I134" s="56">
        <f t="shared" si="10"/>
        <v>4.548</v>
      </c>
      <c r="J134" s="56">
        <f t="shared" si="11"/>
        <v>5.9879999999999995</v>
      </c>
      <c r="K134" s="56">
        <f t="shared" si="12"/>
        <v>5.16</v>
      </c>
      <c r="L134" s="56">
        <f t="shared" si="13"/>
        <v>5.7959999999999994</v>
      </c>
      <c r="M134" s="310"/>
      <c r="N134" s="310"/>
      <c r="O134" s="310"/>
    </row>
    <row r="135" spans="1:15" x14ac:dyDescent="0.25">
      <c r="A135" s="282" t="s">
        <v>1077</v>
      </c>
      <c r="B135" s="282" t="s">
        <v>1078</v>
      </c>
      <c r="C135" s="35" t="s">
        <v>1079</v>
      </c>
      <c r="D135" s="133">
        <v>8</v>
      </c>
      <c r="F135" s="347">
        <f t="shared" si="7"/>
        <v>3.012</v>
      </c>
      <c r="G135" s="347">
        <f t="shared" si="8"/>
        <v>3.012</v>
      </c>
      <c r="H135" s="56">
        <f t="shared" si="9"/>
        <v>3.6160000000000001</v>
      </c>
      <c r="I135" s="56">
        <f t="shared" si="10"/>
        <v>3.032</v>
      </c>
      <c r="J135" s="56">
        <f t="shared" si="11"/>
        <v>3.992</v>
      </c>
      <c r="K135" s="56">
        <f t="shared" si="12"/>
        <v>3.44</v>
      </c>
      <c r="L135" s="56">
        <f t="shared" si="13"/>
        <v>3.8639999999999999</v>
      </c>
      <c r="M135" s="310"/>
      <c r="N135" s="310"/>
      <c r="O135" s="310"/>
    </row>
    <row r="136" spans="1:15" x14ac:dyDescent="0.25">
      <c r="A136" s="269" t="s">
        <v>1080</v>
      </c>
      <c r="B136" s="281" t="s">
        <v>1081</v>
      </c>
      <c r="C136" s="101" t="s">
        <v>1082</v>
      </c>
      <c r="D136" s="133">
        <v>14</v>
      </c>
      <c r="F136" s="347">
        <f t="shared" si="7"/>
        <v>5.2709999999999999</v>
      </c>
      <c r="G136" s="347">
        <f t="shared" si="8"/>
        <v>5.2709999999999999</v>
      </c>
      <c r="H136" s="56">
        <f t="shared" si="9"/>
        <v>6.3280000000000003</v>
      </c>
      <c r="I136" s="56">
        <f t="shared" si="10"/>
        <v>5.306</v>
      </c>
      <c r="J136" s="56">
        <f t="shared" si="11"/>
        <v>6.9859999999999998</v>
      </c>
      <c r="K136" s="56">
        <f t="shared" si="12"/>
        <v>6.02</v>
      </c>
      <c r="L136" s="56">
        <f t="shared" si="13"/>
        <v>6.7619999999999996</v>
      </c>
      <c r="M136" s="310"/>
      <c r="N136" s="310"/>
      <c r="O136" s="310"/>
    </row>
    <row r="137" spans="1:15" x14ac:dyDescent="0.25">
      <c r="A137" s="269" t="s">
        <v>1594</v>
      </c>
      <c r="B137" s="281" t="s">
        <v>1083</v>
      </c>
      <c r="C137" s="101" t="s">
        <v>1084</v>
      </c>
      <c r="D137" s="133">
        <v>13</v>
      </c>
      <c r="F137" s="347">
        <f t="shared" si="7"/>
        <v>4.8944999999999999</v>
      </c>
      <c r="G137" s="347">
        <f t="shared" si="8"/>
        <v>4.8944999999999999</v>
      </c>
      <c r="H137" s="56">
        <f t="shared" si="9"/>
        <v>5.8760000000000003</v>
      </c>
      <c r="I137" s="56">
        <f t="shared" si="10"/>
        <v>4.9269999999999996</v>
      </c>
      <c r="J137" s="56">
        <f t="shared" si="11"/>
        <v>6.4870000000000001</v>
      </c>
      <c r="K137" s="56">
        <f t="shared" si="12"/>
        <v>5.59</v>
      </c>
      <c r="L137" s="56">
        <f t="shared" si="13"/>
        <v>6.2789999999999999</v>
      </c>
      <c r="M137" s="310"/>
      <c r="N137" s="310"/>
      <c r="O137" s="310"/>
    </row>
    <row r="138" spans="1:15" x14ac:dyDescent="0.25">
      <c r="A138" s="269" t="s">
        <v>1085</v>
      </c>
      <c r="B138" s="281" t="s">
        <v>1086</v>
      </c>
      <c r="C138" s="101" t="s">
        <v>1087</v>
      </c>
      <c r="D138" s="133">
        <v>11</v>
      </c>
      <c r="F138" s="347">
        <f t="shared" si="7"/>
        <v>4.1414999999999997</v>
      </c>
      <c r="G138" s="347">
        <f t="shared" si="8"/>
        <v>4.1414999999999997</v>
      </c>
      <c r="H138" s="56">
        <f t="shared" si="9"/>
        <v>4.9720000000000004</v>
      </c>
      <c r="I138" s="56">
        <f t="shared" si="10"/>
        <v>4.1690000000000005</v>
      </c>
      <c r="J138" s="56">
        <f t="shared" si="11"/>
        <v>5.4889999999999999</v>
      </c>
      <c r="K138" s="56">
        <f t="shared" si="12"/>
        <v>4.7299999999999995</v>
      </c>
      <c r="L138" s="56">
        <f t="shared" si="13"/>
        <v>5.3129999999999997</v>
      </c>
      <c r="M138" s="310"/>
      <c r="N138" s="310"/>
      <c r="O138" s="310"/>
    </row>
    <row r="139" spans="1:15" x14ac:dyDescent="0.25">
      <c r="A139" s="38" t="s">
        <v>1088</v>
      </c>
      <c r="B139" s="46" t="s">
        <v>1089</v>
      </c>
      <c r="C139" s="93" t="s">
        <v>1090</v>
      </c>
      <c r="D139" s="133">
        <v>35</v>
      </c>
      <c r="F139" s="347">
        <f t="shared" si="7"/>
        <v>13.1775</v>
      </c>
      <c r="G139" s="347">
        <f t="shared" si="8"/>
        <v>13.1775</v>
      </c>
      <c r="H139" s="56">
        <f t="shared" si="9"/>
        <v>15.82</v>
      </c>
      <c r="I139" s="56">
        <f t="shared" si="10"/>
        <v>13.265000000000001</v>
      </c>
      <c r="J139" s="56">
        <f t="shared" si="11"/>
        <v>17.465</v>
      </c>
      <c r="K139" s="56">
        <f t="shared" si="12"/>
        <v>15.049999999999999</v>
      </c>
      <c r="L139" s="56">
        <f t="shared" si="13"/>
        <v>16.905000000000001</v>
      </c>
      <c r="M139" s="310"/>
      <c r="N139" s="310"/>
      <c r="O139" s="310"/>
    </row>
    <row r="140" spans="1:15" x14ac:dyDescent="0.25">
      <c r="A140" s="269" t="s">
        <v>1091</v>
      </c>
      <c r="B140" s="281" t="s">
        <v>1092</v>
      </c>
      <c r="C140" s="101" t="s">
        <v>1093</v>
      </c>
      <c r="D140" s="133">
        <v>9</v>
      </c>
      <c r="F140" s="347">
        <f t="shared" si="7"/>
        <v>3.3885000000000001</v>
      </c>
      <c r="G140" s="347">
        <f t="shared" si="8"/>
        <v>3.3885000000000001</v>
      </c>
      <c r="H140" s="56">
        <f t="shared" si="9"/>
        <v>4.0680000000000005</v>
      </c>
      <c r="I140" s="56">
        <f t="shared" si="10"/>
        <v>3.411</v>
      </c>
      <c r="J140" s="56">
        <f t="shared" si="11"/>
        <v>4.4909999999999997</v>
      </c>
      <c r="K140" s="56">
        <f t="shared" si="12"/>
        <v>3.87</v>
      </c>
      <c r="L140" s="56">
        <f t="shared" si="13"/>
        <v>4.3469999999999995</v>
      </c>
      <c r="M140" s="310"/>
      <c r="N140" s="310"/>
      <c r="O140" s="310"/>
    </row>
    <row r="141" spans="1:15" x14ac:dyDescent="0.25">
      <c r="A141" s="269" t="s">
        <v>1094</v>
      </c>
      <c r="B141" s="281" t="s">
        <v>1095</v>
      </c>
      <c r="C141" s="101" t="s">
        <v>1096</v>
      </c>
      <c r="D141" s="133">
        <v>8</v>
      </c>
      <c r="F141" s="347">
        <f t="shared" si="7"/>
        <v>3.012</v>
      </c>
      <c r="G141" s="347">
        <f t="shared" si="8"/>
        <v>3.012</v>
      </c>
      <c r="H141" s="56">
        <f t="shared" si="9"/>
        <v>3.6160000000000001</v>
      </c>
      <c r="I141" s="56">
        <f t="shared" si="10"/>
        <v>3.032</v>
      </c>
      <c r="J141" s="56">
        <f t="shared" si="11"/>
        <v>3.992</v>
      </c>
      <c r="K141" s="56">
        <f t="shared" si="12"/>
        <v>3.44</v>
      </c>
      <c r="L141" s="56">
        <f t="shared" si="13"/>
        <v>3.8639999999999999</v>
      </c>
      <c r="M141" s="310"/>
      <c r="N141" s="310"/>
      <c r="O141" s="310"/>
    </row>
    <row r="142" spans="1:15" x14ac:dyDescent="0.25">
      <c r="A142" s="269" t="s">
        <v>1097</v>
      </c>
      <c r="B142" s="281" t="s">
        <v>1098</v>
      </c>
      <c r="C142" s="101" t="s">
        <v>1099</v>
      </c>
      <c r="D142" s="133">
        <v>6</v>
      </c>
      <c r="F142" s="347">
        <f t="shared" ref="F142:F205" si="14">D142*$F$9</f>
        <v>2.2589999999999999</v>
      </c>
      <c r="G142" s="347">
        <f t="shared" ref="G142:G205" si="15">D142*$G$9</f>
        <v>2.2589999999999999</v>
      </c>
      <c r="H142" s="56">
        <f t="shared" ref="H142:H205" si="16">D142*$H$9</f>
        <v>2.7120000000000002</v>
      </c>
      <c r="I142" s="56">
        <f t="shared" ref="I142:I205" si="17">D142*$I$9</f>
        <v>2.274</v>
      </c>
      <c r="J142" s="56">
        <f t="shared" ref="J142:J205" si="18">D142*$J$9</f>
        <v>2.9939999999999998</v>
      </c>
      <c r="K142" s="56">
        <f t="shared" ref="K142:K205" si="19">D142*$K$9</f>
        <v>2.58</v>
      </c>
      <c r="L142" s="56">
        <f t="shared" ref="L142:L205" si="20">D142*$L$9</f>
        <v>2.8979999999999997</v>
      </c>
      <c r="M142" s="310"/>
      <c r="N142" s="310"/>
      <c r="O142" s="310"/>
    </row>
    <row r="143" spans="1:15" x14ac:dyDescent="0.25">
      <c r="A143" s="269" t="s">
        <v>1100</v>
      </c>
      <c r="B143" s="281" t="s">
        <v>1101</v>
      </c>
      <c r="C143" s="101" t="s">
        <v>1102</v>
      </c>
      <c r="D143" s="133">
        <v>6</v>
      </c>
      <c r="F143" s="347">
        <f t="shared" si="14"/>
        <v>2.2589999999999999</v>
      </c>
      <c r="G143" s="347">
        <f t="shared" si="15"/>
        <v>2.2589999999999999</v>
      </c>
      <c r="H143" s="56">
        <f t="shared" si="16"/>
        <v>2.7120000000000002</v>
      </c>
      <c r="I143" s="56">
        <f t="shared" si="17"/>
        <v>2.274</v>
      </c>
      <c r="J143" s="56">
        <f t="shared" si="18"/>
        <v>2.9939999999999998</v>
      </c>
      <c r="K143" s="56">
        <f t="shared" si="19"/>
        <v>2.58</v>
      </c>
      <c r="L143" s="56">
        <f t="shared" si="20"/>
        <v>2.8979999999999997</v>
      </c>
      <c r="M143" s="310"/>
      <c r="N143" s="310"/>
      <c r="O143" s="310"/>
    </row>
    <row r="144" spans="1:15" x14ac:dyDescent="0.25">
      <c r="A144" s="269" t="s">
        <v>1103</v>
      </c>
      <c r="B144" s="281" t="s">
        <v>1104</v>
      </c>
      <c r="C144" s="101" t="s">
        <v>1105</v>
      </c>
      <c r="D144" s="133">
        <v>18</v>
      </c>
      <c r="F144" s="347">
        <f t="shared" si="14"/>
        <v>6.7770000000000001</v>
      </c>
      <c r="G144" s="347">
        <f t="shared" si="15"/>
        <v>6.7770000000000001</v>
      </c>
      <c r="H144" s="56">
        <f t="shared" si="16"/>
        <v>8.136000000000001</v>
      </c>
      <c r="I144" s="56">
        <f t="shared" si="17"/>
        <v>6.8220000000000001</v>
      </c>
      <c r="J144" s="56">
        <f t="shared" si="18"/>
        <v>8.9819999999999993</v>
      </c>
      <c r="K144" s="56">
        <f t="shared" si="19"/>
        <v>7.74</v>
      </c>
      <c r="L144" s="56">
        <f t="shared" si="20"/>
        <v>8.6939999999999991</v>
      </c>
      <c r="M144" s="310"/>
      <c r="N144" s="310"/>
      <c r="O144" s="310"/>
    </row>
    <row r="145" spans="1:15" x14ac:dyDescent="0.25">
      <c r="A145" s="282" t="s">
        <v>1106</v>
      </c>
      <c r="B145" s="282" t="s">
        <v>1107</v>
      </c>
      <c r="C145" s="35" t="s">
        <v>1108</v>
      </c>
      <c r="D145" s="133">
        <v>14</v>
      </c>
      <c r="F145" s="347">
        <f t="shared" si="14"/>
        <v>5.2709999999999999</v>
      </c>
      <c r="G145" s="347">
        <f t="shared" si="15"/>
        <v>5.2709999999999999</v>
      </c>
      <c r="H145" s="56">
        <f t="shared" si="16"/>
        <v>6.3280000000000003</v>
      </c>
      <c r="I145" s="56">
        <f t="shared" si="17"/>
        <v>5.306</v>
      </c>
      <c r="J145" s="56">
        <f t="shared" si="18"/>
        <v>6.9859999999999998</v>
      </c>
      <c r="K145" s="56">
        <f t="shared" si="19"/>
        <v>6.02</v>
      </c>
      <c r="L145" s="56">
        <f t="shared" si="20"/>
        <v>6.7619999999999996</v>
      </c>
      <c r="M145" s="310"/>
      <c r="N145" s="310"/>
      <c r="O145" s="310"/>
    </row>
    <row r="146" spans="1:15" x14ac:dyDescent="0.25">
      <c r="A146" s="282" t="s">
        <v>1109</v>
      </c>
      <c r="B146" s="282" t="s">
        <v>1110</v>
      </c>
      <c r="C146" s="35" t="s">
        <v>1111</v>
      </c>
      <c r="D146" s="133">
        <v>12</v>
      </c>
      <c r="F146" s="347">
        <f t="shared" si="14"/>
        <v>4.5179999999999998</v>
      </c>
      <c r="G146" s="347">
        <f t="shared" si="15"/>
        <v>4.5179999999999998</v>
      </c>
      <c r="H146" s="56">
        <f t="shared" si="16"/>
        <v>5.4240000000000004</v>
      </c>
      <c r="I146" s="56">
        <f t="shared" si="17"/>
        <v>4.548</v>
      </c>
      <c r="J146" s="56">
        <f t="shared" si="18"/>
        <v>5.9879999999999995</v>
      </c>
      <c r="K146" s="56">
        <f t="shared" si="19"/>
        <v>5.16</v>
      </c>
      <c r="L146" s="56">
        <f t="shared" si="20"/>
        <v>5.7959999999999994</v>
      </c>
      <c r="M146" s="310"/>
      <c r="N146" s="310"/>
      <c r="O146" s="310"/>
    </row>
    <row r="147" spans="1:15" x14ac:dyDescent="0.25">
      <c r="A147" s="282"/>
      <c r="B147" s="282"/>
      <c r="C147" s="162"/>
      <c r="D147" s="56"/>
      <c r="F147" s="347"/>
      <c r="G147" s="347"/>
      <c r="H147" s="56"/>
      <c r="I147" s="56"/>
      <c r="J147" s="56"/>
      <c r="K147" s="56"/>
      <c r="L147" s="56"/>
      <c r="M147" s="310"/>
      <c r="N147" s="310"/>
      <c r="O147" s="310"/>
    </row>
    <row r="148" spans="1:15" x14ac:dyDescent="0.25">
      <c r="A148" s="21" t="s">
        <v>1112</v>
      </c>
      <c r="B148" s="50"/>
      <c r="C148" s="50"/>
      <c r="D148" s="147"/>
      <c r="F148" s="346"/>
      <c r="G148" s="346"/>
      <c r="H148" s="346"/>
      <c r="I148" s="346"/>
      <c r="J148" s="346"/>
      <c r="K148" s="346"/>
      <c r="L148" s="346"/>
      <c r="M148" s="310"/>
      <c r="N148" s="310"/>
      <c r="O148" s="310"/>
    </row>
    <row r="149" spans="1:15" x14ac:dyDescent="0.25">
      <c r="A149" s="156" t="s">
        <v>1595</v>
      </c>
      <c r="B149" s="298" t="s">
        <v>1113</v>
      </c>
      <c r="C149" s="123" t="s">
        <v>1114</v>
      </c>
      <c r="D149" s="133">
        <v>11</v>
      </c>
      <c r="F149" s="347">
        <f t="shared" si="14"/>
        <v>4.1414999999999997</v>
      </c>
      <c r="G149" s="347">
        <f t="shared" si="15"/>
        <v>4.1414999999999997</v>
      </c>
      <c r="H149" s="56">
        <f t="shared" si="16"/>
        <v>4.9720000000000004</v>
      </c>
      <c r="I149" s="56">
        <f t="shared" si="17"/>
        <v>4.1690000000000005</v>
      </c>
      <c r="J149" s="56">
        <f t="shared" si="18"/>
        <v>5.4889999999999999</v>
      </c>
      <c r="K149" s="56">
        <f t="shared" si="19"/>
        <v>4.7299999999999995</v>
      </c>
      <c r="L149" s="56">
        <f t="shared" si="20"/>
        <v>5.3129999999999997</v>
      </c>
      <c r="M149" s="310"/>
      <c r="N149" s="310"/>
      <c r="O149" s="310"/>
    </row>
    <row r="150" spans="1:15" x14ac:dyDescent="0.25">
      <c r="A150" s="156" t="s">
        <v>1115</v>
      </c>
      <c r="B150" s="298" t="s">
        <v>1116</v>
      </c>
      <c r="C150" s="123" t="s">
        <v>1117</v>
      </c>
      <c r="D150" s="133">
        <v>9</v>
      </c>
      <c r="F150" s="347">
        <f t="shared" si="14"/>
        <v>3.3885000000000001</v>
      </c>
      <c r="G150" s="347">
        <f t="shared" si="15"/>
        <v>3.3885000000000001</v>
      </c>
      <c r="H150" s="56">
        <f t="shared" si="16"/>
        <v>4.0680000000000005</v>
      </c>
      <c r="I150" s="56">
        <f t="shared" si="17"/>
        <v>3.411</v>
      </c>
      <c r="J150" s="56">
        <f t="shared" si="18"/>
        <v>4.4909999999999997</v>
      </c>
      <c r="K150" s="56">
        <f t="shared" si="19"/>
        <v>3.87</v>
      </c>
      <c r="L150" s="56">
        <f t="shared" si="20"/>
        <v>4.3469999999999995</v>
      </c>
      <c r="M150" s="310"/>
      <c r="N150" s="310"/>
      <c r="O150" s="310"/>
    </row>
    <row r="151" spans="1:15" x14ac:dyDescent="0.25">
      <c r="A151" s="269"/>
      <c r="B151" s="281"/>
      <c r="C151" s="49"/>
      <c r="D151" s="56"/>
      <c r="F151" s="347"/>
      <c r="G151" s="347"/>
      <c r="H151" s="56"/>
      <c r="I151" s="56"/>
      <c r="J151" s="56"/>
      <c r="K151" s="56"/>
      <c r="L151" s="56"/>
      <c r="M151" s="310"/>
      <c r="N151" s="310"/>
      <c r="O151" s="310"/>
    </row>
    <row r="152" spans="1:15" x14ac:dyDescent="0.25">
      <c r="A152" s="21" t="s">
        <v>1118</v>
      </c>
      <c r="B152" s="50"/>
      <c r="C152" s="50"/>
      <c r="D152" s="147"/>
      <c r="F152" s="346"/>
      <c r="G152" s="346"/>
      <c r="H152" s="346"/>
      <c r="I152" s="346"/>
      <c r="J152" s="346"/>
      <c r="K152" s="346"/>
      <c r="L152" s="346"/>
      <c r="M152" s="310"/>
      <c r="N152" s="310"/>
      <c r="O152" s="310"/>
    </row>
    <row r="153" spans="1:15" x14ac:dyDescent="0.25">
      <c r="A153" s="269" t="s">
        <v>1119</v>
      </c>
      <c r="B153" s="281" t="s">
        <v>1120</v>
      </c>
      <c r="C153" s="123" t="s">
        <v>1121</v>
      </c>
      <c r="D153" s="133">
        <v>16</v>
      </c>
      <c r="F153" s="347">
        <f t="shared" si="14"/>
        <v>6.024</v>
      </c>
      <c r="G153" s="347">
        <f t="shared" si="15"/>
        <v>6.024</v>
      </c>
      <c r="H153" s="56">
        <f t="shared" si="16"/>
        <v>7.2320000000000002</v>
      </c>
      <c r="I153" s="56">
        <f t="shared" si="17"/>
        <v>6.0640000000000001</v>
      </c>
      <c r="J153" s="56">
        <f t="shared" si="18"/>
        <v>7.984</v>
      </c>
      <c r="K153" s="56">
        <f t="shared" si="19"/>
        <v>6.88</v>
      </c>
      <c r="L153" s="56">
        <f t="shared" si="20"/>
        <v>7.7279999999999998</v>
      </c>
      <c r="M153" s="310"/>
      <c r="N153" s="310"/>
      <c r="O153" s="310"/>
    </row>
    <row r="154" spans="1:15" s="195" customFormat="1" x14ac:dyDescent="0.25">
      <c r="A154" s="269" t="s">
        <v>1122</v>
      </c>
      <c r="B154" s="281" t="s">
        <v>1123</v>
      </c>
      <c r="C154" s="160" t="s">
        <v>1124</v>
      </c>
      <c r="D154" s="172">
        <v>25</v>
      </c>
      <c r="F154" s="347">
        <f t="shared" si="14"/>
        <v>9.4124999999999996</v>
      </c>
      <c r="G154" s="347">
        <f t="shared" si="15"/>
        <v>9.4124999999999996</v>
      </c>
      <c r="H154" s="280">
        <f t="shared" si="16"/>
        <v>11.3</v>
      </c>
      <c r="I154" s="280">
        <f t="shared" si="17"/>
        <v>9.4749999999999996</v>
      </c>
      <c r="J154" s="280">
        <f t="shared" si="18"/>
        <v>12.475</v>
      </c>
      <c r="K154" s="280">
        <f t="shared" si="19"/>
        <v>10.75</v>
      </c>
      <c r="L154" s="280">
        <f t="shared" si="20"/>
        <v>12.074999999999999</v>
      </c>
      <c r="M154" s="209"/>
      <c r="N154" s="209"/>
      <c r="O154" s="209"/>
    </row>
    <row r="155" spans="1:15" x14ac:dyDescent="0.25">
      <c r="A155" s="269" t="s">
        <v>1125</v>
      </c>
      <c r="B155" s="281" t="s">
        <v>1126</v>
      </c>
      <c r="C155" s="160" t="s">
        <v>1127</v>
      </c>
      <c r="D155" s="133">
        <v>12</v>
      </c>
      <c r="F155" s="347">
        <f t="shared" si="14"/>
        <v>4.5179999999999998</v>
      </c>
      <c r="G155" s="347">
        <f t="shared" si="15"/>
        <v>4.5179999999999998</v>
      </c>
      <c r="H155" s="56">
        <f t="shared" si="16"/>
        <v>5.4240000000000004</v>
      </c>
      <c r="I155" s="56">
        <f t="shared" si="17"/>
        <v>4.548</v>
      </c>
      <c r="J155" s="56">
        <f t="shared" si="18"/>
        <v>5.9879999999999995</v>
      </c>
      <c r="K155" s="56">
        <f t="shared" si="19"/>
        <v>5.16</v>
      </c>
      <c r="L155" s="56">
        <f t="shared" si="20"/>
        <v>5.7959999999999994</v>
      </c>
      <c r="M155" s="310"/>
      <c r="N155" s="310"/>
      <c r="O155" s="310"/>
    </row>
    <row r="156" spans="1:15" s="195" customFormat="1" x14ac:dyDescent="0.25">
      <c r="A156" s="269" t="s">
        <v>1128</v>
      </c>
      <c r="B156" s="281" t="s">
        <v>1129</v>
      </c>
      <c r="C156" s="160" t="s">
        <v>1130</v>
      </c>
      <c r="D156" s="172">
        <v>27</v>
      </c>
      <c r="F156" s="347">
        <f t="shared" si="14"/>
        <v>10.1655</v>
      </c>
      <c r="G156" s="347">
        <f t="shared" si="15"/>
        <v>10.1655</v>
      </c>
      <c r="H156" s="280">
        <f t="shared" si="16"/>
        <v>12.204000000000001</v>
      </c>
      <c r="I156" s="280">
        <f t="shared" si="17"/>
        <v>10.233000000000001</v>
      </c>
      <c r="J156" s="280">
        <f t="shared" si="18"/>
        <v>13.473000000000001</v>
      </c>
      <c r="K156" s="280">
        <f t="shared" si="19"/>
        <v>11.61</v>
      </c>
      <c r="L156" s="280">
        <f t="shared" si="20"/>
        <v>13.041</v>
      </c>
      <c r="M156" s="209"/>
      <c r="N156" s="209"/>
      <c r="O156" s="209"/>
    </row>
    <row r="157" spans="1:15" x14ac:dyDescent="0.25">
      <c r="A157" s="269" t="s">
        <v>1131</v>
      </c>
      <c r="B157" s="281" t="s">
        <v>1123</v>
      </c>
      <c r="C157" s="123" t="s">
        <v>1132</v>
      </c>
      <c r="D157" s="133">
        <v>12</v>
      </c>
      <c r="F157" s="347">
        <f t="shared" si="14"/>
        <v>4.5179999999999998</v>
      </c>
      <c r="G157" s="347">
        <f t="shared" si="15"/>
        <v>4.5179999999999998</v>
      </c>
      <c r="H157" s="56">
        <f t="shared" si="16"/>
        <v>5.4240000000000004</v>
      </c>
      <c r="I157" s="56">
        <f t="shared" si="17"/>
        <v>4.548</v>
      </c>
      <c r="J157" s="56">
        <f t="shared" si="18"/>
        <v>5.9879999999999995</v>
      </c>
      <c r="K157" s="56">
        <f t="shared" si="19"/>
        <v>5.16</v>
      </c>
      <c r="L157" s="56">
        <f t="shared" si="20"/>
        <v>5.7959999999999994</v>
      </c>
      <c r="M157" s="310"/>
      <c r="N157" s="310"/>
      <c r="O157" s="310"/>
    </row>
    <row r="158" spans="1:15" x14ac:dyDescent="0.25">
      <c r="A158" s="269"/>
      <c r="B158" s="281"/>
      <c r="C158" s="49"/>
      <c r="D158" s="56"/>
      <c r="F158" s="347"/>
      <c r="G158" s="347"/>
      <c r="H158" s="56"/>
      <c r="I158" s="56"/>
      <c r="J158" s="56"/>
      <c r="K158" s="56"/>
      <c r="L158" s="56"/>
      <c r="M158" s="310"/>
      <c r="N158" s="310"/>
      <c r="O158" s="310"/>
    </row>
    <row r="159" spans="1:15" x14ac:dyDescent="0.25">
      <c r="A159" s="21" t="s">
        <v>1133</v>
      </c>
      <c r="B159" s="50"/>
      <c r="C159" s="50"/>
      <c r="D159" s="147"/>
      <c r="E159" s="310"/>
      <c r="F159" s="346"/>
      <c r="G159" s="346"/>
      <c r="H159" s="346"/>
      <c r="I159" s="346"/>
      <c r="J159" s="346"/>
      <c r="K159" s="346"/>
      <c r="L159" s="346"/>
      <c r="M159" s="310"/>
    </row>
    <row r="160" spans="1:15" x14ac:dyDescent="0.25">
      <c r="A160" s="156" t="s">
        <v>1134</v>
      </c>
      <c r="B160" s="298" t="s">
        <v>1135</v>
      </c>
      <c r="C160" s="123" t="s">
        <v>1136</v>
      </c>
      <c r="D160" s="133">
        <v>8</v>
      </c>
      <c r="E160" s="310"/>
      <c r="F160" s="347">
        <f t="shared" si="14"/>
        <v>3.012</v>
      </c>
      <c r="G160" s="347">
        <f t="shared" si="15"/>
        <v>3.012</v>
      </c>
      <c r="H160" s="56">
        <f t="shared" si="16"/>
        <v>3.6160000000000001</v>
      </c>
      <c r="I160" s="56">
        <f t="shared" si="17"/>
        <v>3.032</v>
      </c>
      <c r="J160" s="56">
        <f t="shared" si="18"/>
        <v>3.992</v>
      </c>
      <c r="K160" s="56">
        <f t="shared" si="19"/>
        <v>3.44</v>
      </c>
      <c r="L160" s="56">
        <f t="shared" si="20"/>
        <v>3.8639999999999999</v>
      </c>
      <c r="M160" s="310"/>
    </row>
    <row r="161" spans="1:15" x14ac:dyDescent="0.25">
      <c r="A161" s="156" t="s">
        <v>1137</v>
      </c>
      <c r="B161" s="298" t="s">
        <v>1138</v>
      </c>
      <c r="C161" s="123" t="s">
        <v>1139</v>
      </c>
      <c r="D161" s="133">
        <v>171</v>
      </c>
      <c r="E161" s="310"/>
      <c r="F161" s="347">
        <f t="shared" si="14"/>
        <v>64.381500000000003</v>
      </c>
      <c r="G161" s="347">
        <f t="shared" si="15"/>
        <v>64.381500000000003</v>
      </c>
      <c r="H161" s="56">
        <f t="shared" si="16"/>
        <v>77.292000000000002</v>
      </c>
      <c r="I161" s="56">
        <f t="shared" si="17"/>
        <v>64.808999999999997</v>
      </c>
      <c r="J161" s="56">
        <f t="shared" si="18"/>
        <v>85.328999999999994</v>
      </c>
      <c r="K161" s="56">
        <f t="shared" si="19"/>
        <v>73.53</v>
      </c>
      <c r="L161" s="56">
        <f t="shared" si="20"/>
        <v>82.593000000000004</v>
      </c>
      <c r="M161" s="310"/>
    </row>
    <row r="162" spans="1:15" x14ac:dyDescent="0.25">
      <c r="A162" s="156" t="s">
        <v>1140</v>
      </c>
      <c r="B162" s="298" t="s">
        <v>1141</v>
      </c>
      <c r="C162" s="123" t="s">
        <v>1142</v>
      </c>
      <c r="D162" s="133">
        <v>9</v>
      </c>
      <c r="E162" s="279"/>
      <c r="F162" s="347">
        <f t="shared" si="14"/>
        <v>3.3885000000000001</v>
      </c>
      <c r="G162" s="347">
        <f t="shared" si="15"/>
        <v>3.3885000000000001</v>
      </c>
      <c r="H162" s="350">
        <f t="shared" si="16"/>
        <v>4.0680000000000005</v>
      </c>
      <c r="I162" s="351">
        <f t="shared" si="17"/>
        <v>3.411</v>
      </c>
      <c r="J162" s="351">
        <f t="shared" si="18"/>
        <v>4.4909999999999997</v>
      </c>
      <c r="K162" s="352">
        <f t="shared" si="19"/>
        <v>3.87</v>
      </c>
      <c r="L162" s="250">
        <f t="shared" si="20"/>
        <v>4.3469999999999995</v>
      </c>
    </row>
    <row r="163" spans="1:15" x14ac:dyDescent="0.25">
      <c r="A163" s="156" t="s">
        <v>1143</v>
      </c>
      <c r="B163" s="298" t="s">
        <v>1141</v>
      </c>
      <c r="C163" s="123" t="s">
        <v>1144</v>
      </c>
      <c r="D163" s="133">
        <v>151</v>
      </c>
      <c r="F163" s="347">
        <f t="shared" si="14"/>
        <v>56.851500000000001</v>
      </c>
      <c r="G163" s="347">
        <f t="shared" si="15"/>
        <v>56.851500000000001</v>
      </c>
      <c r="H163" s="350">
        <f t="shared" si="16"/>
        <v>68.251999999999995</v>
      </c>
      <c r="I163" s="350">
        <f t="shared" si="17"/>
        <v>57.228999999999999</v>
      </c>
      <c r="J163" s="351">
        <f t="shared" si="18"/>
        <v>75.349000000000004</v>
      </c>
      <c r="K163" s="351">
        <f t="shared" si="19"/>
        <v>64.929999999999993</v>
      </c>
      <c r="L163" s="352">
        <f t="shared" si="20"/>
        <v>72.932999999999993</v>
      </c>
    </row>
    <row r="164" spans="1:15" x14ac:dyDescent="0.25">
      <c r="A164" s="156" t="s">
        <v>1145</v>
      </c>
      <c r="B164" s="298" t="s">
        <v>1146</v>
      </c>
      <c r="C164" s="123" t="s">
        <v>1147</v>
      </c>
      <c r="D164" s="133">
        <v>35</v>
      </c>
      <c r="F164" s="347">
        <f t="shared" si="14"/>
        <v>13.1775</v>
      </c>
      <c r="G164" s="347">
        <f t="shared" si="15"/>
        <v>13.1775</v>
      </c>
      <c r="H164" s="56">
        <f t="shared" si="16"/>
        <v>15.82</v>
      </c>
      <c r="I164" s="56">
        <f t="shared" si="17"/>
        <v>13.265000000000001</v>
      </c>
      <c r="J164" s="56">
        <f t="shared" si="18"/>
        <v>17.465</v>
      </c>
      <c r="K164" s="56">
        <f t="shared" si="19"/>
        <v>15.049999999999999</v>
      </c>
      <c r="L164" s="56">
        <f t="shared" si="20"/>
        <v>16.905000000000001</v>
      </c>
    </row>
    <row r="165" spans="1:15" x14ac:dyDescent="0.25">
      <c r="A165" s="269" t="s">
        <v>1148</v>
      </c>
      <c r="B165" s="281" t="s">
        <v>1149</v>
      </c>
      <c r="C165" s="123" t="s">
        <v>1150</v>
      </c>
      <c r="D165" s="133">
        <v>12</v>
      </c>
      <c r="F165" s="347">
        <f t="shared" si="14"/>
        <v>4.5179999999999998</v>
      </c>
      <c r="G165" s="347">
        <f t="shared" si="15"/>
        <v>4.5179999999999998</v>
      </c>
      <c r="H165" s="56">
        <f t="shared" si="16"/>
        <v>5.4240000000000004</v>
      </c>
      <c r="I165" s="56">
        <f t="shared" si="17"/>
        <v>4.548</v>
      </c>
      <c r="J165" s="56">
        <f t="shared" si="18"/>
        <v>5.9879999999999995</v>
      </c>
      <c r="K165" s="56">
        <f t="shared" si="19"/>
        <v>5.16</v>
      </c>
      <c r="L165" s="56">
        <f t="shared" si="20"/>
        <v>5.7959999999999994</v>
      </c>
    </row>
    <row r="166" spans="1:15" x14ac:dyDescent="0.25">
      <c r="A166" s="269" t="s">
        <v>1151</v>
      </c>
      <c r="B166" s="281" t="s">
        <v>1152</v>
      </c>
      <c r="C166" s="123" t="s">
        <v>1153</v>
      </c>
      <c r="D166" s="133">
        <v>15</v>
      </c>
      <c r="F166" s="347">
        <f t="shared" si="14"/>
        <v>5.6475</v>
      </c>
      <c r="G166" s="347">
        <f t="shared" si="15"/>
        <v>5.6475</v>
      </c>
      <c r="H166" s="56">
        <f t="shared" si="16"/>
        <v>6.78</v>
      </c>
      <c r="I166" s="56">
        <f t="shared" si="17"/>
        <v>5.6850000000000005</v>
      </c>
      <c r="J166" s="56">
        <f t="shared" si="18"/>
        <v>7.4850000000000003</v>
      </c>
      <c r="K166" s="56">
        <f t="shared" si="19"/>
        <v>6.45</v>
      </c>
      <c r="L166" s="56">
        <f t="shared" si="20"/>
        <v>7.2450000000000001</v>
      </c>
    </row>
    <row r="167" spans="1:15" x14ac:dyDescent="0.25">
      <c r="A167" s="269" t="s">
        <v>1154</v>
      </c>
      <c r="B167" s="281" t="s">
        <v>1155</v>
      </c>
      <c r="C167" s="123" t="s">
        <v>1156</v>
      </c>
      <c r="D167" s="133">
        <v>6</v>
      </c>
      <c r="F167" s="347">
        <f t="shared" si="14"/>
        <v>2.2589999999999999</v>
      </c>
      <c r="G167" s="347">
        <f t="shared" si="15"/>
        <v>2.2589999999999999</v>
      </c>
      <c r="H167" s="56">
        <f t="shared" si="16"/>
        <v>2.7120000000000002</v>
      </c>
      <c r="I167" s="56">
        <f t="shared" si="17"/>
        <v>2.274</v>
      </c>
      <c r="J167" s="56">
        <f t="shared" si="18"/>
        <v>2.9939999999999998</v>
      </c>
      <c r="K167" s="56">
        <f t="shared" si="19"/>
        <v>2.58</v>
      </c>
      <c r="L167" s="56">
        <f t="shared" si="20"/>
        <v>2.8979999999999997</v>
      </c>
    </row>
    <row r="168" spans="1:15" x14ac:dyDescent="0.25">
      <c r="A168" s="269" t="s">
        <v>1157</v>
      </c>
      <c r="B168" s="281" t="s">
        <v>1158</v>
      </c>
      <c r="C168" s="123" t="s">
        <v>1159</v>
      </c>
      <c r="D168" s="133">
        <v>9</v>
      </c>
      <c r="F168" s="347">
        <f t="shared" si="14"/>
        <v>3.3885000000000001</v>
      </c>
      <c r="G168" s="347">
        <f t="shared" si="15"/>
        <v>3.3885000000000001</v>
      </c>
      <c r="H168" s="56">
        <f t="shared" si="16"/>
        <v>4.0680000000000005</v>
      </c>
      <c r="I168" s="56">
        <f t="shared" si="17"/>
        <v>3.411</v>
      </c>
      <c r="J168" s="56">
        <f t="shared" si="18"/>
        <v>4.4909999999999997</v>
      </c>
      <c r="K168" s="56">
        <f t="shared" si="19"/>
        <v>3.87</v>
      </c>
      <c r="L168" s="56">
        <f t="shared" si="20"/>
        <v>4.3469999999999995</v>
      </c>
      <c r="M168" s="310"/>
      <c r="N168" s="310"/>
      <c r="O168" s="310"/>
    </row>
    <row r="169" spans="1:15" x14ac:dyDescent="0.25">
      <c r="A169" s="269" t="s">
        <v>1160</v>
      </c>
      <c r="B169" s="281" t="s">
        <v>1161</v>
      </c>
      <c r="C169" s="43" t="s">
        <v>1162</v>
      </c>
      <c r="D169" s="133">
        <v>13</v>
      </c>
      <c r="F169" s="347">
        <f t="shared" si="14"/>
        <v>4.8944999999999999</v>
      </c>
      <c r="G169" s="347">
        <f t="shared" si="15"/>
        <v>4.8944999999999999</v>
      </c>
      <c r="H169" s="56">
        <f t="shared" si="16"/>
        <v>5.8760000000000003</v>
      </c>
      <c r="I169" s="56">
        <f t="shared" si="17"/>
        <v>4.9269999999999996</v>
      </c>
      <c r="J169" s="56">
        <f t="shared" si="18"/>
        <v>6.4870000000000001</v>
      </c>
      <c r="K169" s="56">
        <f t="shared" si="19"/>
        <v>5.59</v>
      </c>
      <c r="L169" s="56">
        <f t="shared" si="20"/>
        <v>6.2789999999999999</v>
      </c>
      <c r="M169" s="310"/>
      <c r="N169" s="310"/>
      <c r="O169" s="310"/>
    </row>
    <row r="170" spans="1:15" x14ac:dyDescent="0.25">
      <c r="A170" s="269" t="s">
        <v>1163</v>
      </c>
      <c r="B170" s="281" t="s">
        <v>1164</v>
      </c>
      <c r="C170" s="123" t="s">
        <v>1165</v>
      </c>
      <c r="D170" s="133">
        <v>30</v>
      </c>
      <c r="F170" s="347">
        <f t="shared" si="14"/>
        <v>11.295</v>
      </c>
      <c r="G170" s="347">
        <f t="shared" si="15"/>
        <v>11.295</v>
      </c>
      <c r="H170" s="56">
        <f t="shared" si="16"/>
        <v>13.56</v>
      </c>
      <c r="I170" s="56">
        <f t="shared" si="17"/>
        <v>11.370000000000001</v>
      </c>
      <c r="J170" s="56">
        <f t="shared" si="18"/>
        <v>14.97</v>
      </c>
      <c r="K170" s="56">
        <f t="shared" si="19"/>
        <v>12.9</v>
      </c>
      <c r="L170" s="56">
        <f t="shared" si="20"/>
        <v>14.49</v>
      </c>
      <c r="M170" s="310"/>
      <c r="N170" s="310"/>
      <c r="O170" s="310"/>
    </row>
    <row r="171" spans="1:15" x14ac:dyDescent="0.25">
      <c r="A171" s="156" t="s">
        <v>1166</v>
      </c>
      <c r="B171" s="298" t="s">
        <v>1167</v>
      </c>
      <c r="C171" s="123" t="s">
        <v>1168</v>
      </c>
      <c r="D171" s="133">
        <v>37</v>
      </c>
      <c r="F171" s="347">
        <f t="shared" si="14"/>
        <v>13.9305</v>
      </c>
      <c r="G171" s="347">
        <f t="shared" si="15"/>
        <v>13.9305</v>
      </c>
      <c r="H171" s="56">
        <f t="shared" si="16"/>
        <v>16.724</v>
      </c>
      <c r="I171" s="56">
        <f t="shared" si="17"/>
        <v>14.023</v>
      </c>
      <c r="J171" s="56">
        <f t="shared" si="18"/>
        <v>18.463000000000001</v>
      </c>
      <c r="K171" s="56">
        <f t="shared" si="19"/>
        <v>15.91</v>
      </c>
      <c r="L171" s="56">
        <f t="shared" si="20"/>
        <v>17.870999999999999</v>
      </c>
      <c r="M171" s="310"/>
      <c r="N171" s="310"/>
      <c r="O171" s="310"/>
    </row>
    <row r="172" spans="1:15" x14ac:dyDescent="0.25">
      <c r="A172" s="269" t="s">
        <v>1169</v>
      </c>
      <c r="B172" s="281" t="s">
        <v>1170</v>
      </c>
      <c r="C172" s="123" t="s">
        <v>1171</v>
      </c>
      <c r="D172" s="133">
        <v>191</v>
      </c>
      <c r="F172" s="347">
        <f t="shared" si="14"/>
        <v>71.911500000000004</v>
      </c>
      <c r="G172" s="347">
        <f t="shared" si="15"/>
        <v>71.911500000000004</v>
      </c>
      <c r="H172" s="56">
        <f t="shared" si="16"/>
        <v>86.332000000000008</v>
      </c>
      <c r="I172" s="56">
        <f t="shared" si="17"/>
        <v>72.388999999999996</v>
      </c>
      <c r="J172" s="56">
        <f t="shared" si="18"/>
        <v>95.308999999999997</v>
      </c>
      <c r="K172" s="56">
        <f t="shared" si="19"/>
        <v>82.13</v>
      </c>
      <c r="L172" s="56">
        <f t="shared" si="20"/>
        <v>92.253</v>
      </c>
      <c r="M172" s="310"/>
      <c r="N172" s="310"/>
      <c r="O172" s="310"/>
    </row>
    <row r="173" spans="1:15" x14ac:dyDescent="0.25">
      <c r="A173" s="269" t="s">
        <v>1172</v>
      </c>
      <c r="B173" s="281" t="s">
        <v>1173</v>
      </c>
      <c r="C173" s="123" t="s">
        <v>1174</v>
      </c>
      <c r="D173" s="133">
        <v>141</v>
      </c>
      <c r="F173" s="347">
        <f t="shared" si="14"/>
        <v>53.086500000000001</v>
      </c>
      <c r="G173" s="347">
        <f t="shared" si="15"/>
        <v>53.086500000000001</v>
      </c>
      <c r="H173" s="56">
        <f t="shared" si="16"/>
        <v>63.731999999999999</v>
      </c>
      <c r="I173" s="56">
        <f t="shared" si="17"/>
        <v>53.439</v>
      </c>
      <c r="J173" s="56">
        <f t="shared" si="18"/>
        <v>70.358999999999995</v>
      </c>
      <c r="K173" s="56">
        <f t="shared" si="19"/>
        <v>60.63</v>
      </c>
      <c r="L173" s="56">
        <f t="shared" si="20"/>
        <v>68.102999999999994</v>
      </c>
      <c r="M173" s="310"/>
      <c r="N173" s="310"/>
      <c r="O173" s="310"/>
    </row>
    <row r="174" spans="1:15" ht="14.25" customHeight="1" x14ac:dyDescent="0.25">
      <c r="A174" s="269" t="s">
        <v>1175</v>
      </c>
      <c r="B174" s="269" t="s">
        <v>1176</v>
      </c>
      <c r="C174" s="123" t="s">
        <v>1177</v>
      </c>
      <c r="D174" s="133">
        <v>6</v>
      </c>
      <c r="F174" s="347">
        <f t="shared" si="14"/>
        <v>2.2589999999999999</v>
      </c>
      <c r="G174" s="347">
        <f t="shared" si="15"/>
        <v>2.2589999999999999</v>
      </c>
      <c r="H174" s="56">
        <f t="shared" si="16"/>
        <v>2.7120000000000002</v>
      </c>
      <c r="I174" s="56">
        <f t="shared" si="17"/>
        <v>2.274</v>
      </c>
      <c r="J174" s="56">
        <f t="shared" si="18"/>
        <v>2.9939999999999998</v>
      </c>
      <c r="K174" s="56">
        <f t="shared" si="19"/>
        <v>2.58</v>
      </c>
      <c r="L174" s="56">
        <f t="shared" si="20"/>
        <v>2.8979999999999997</v>
      </c>
      <c r="M174" s="310"/>
      <c r="N174" s="310"/>
      <c r="O174" s="310"/>
    </row>
    <row r="175" spans="1:15" x14ac:dyDescent="0.25">
      <c r="A175" s="269" t="s">
        <v>1178</v>
      </c>
      <c r="B175" s="269" t="s">
        <v>1179</v>
      </c>
      <c r="C175" s="123" t="s">
        <v>1180</v>
      </c>
      <c r="D175" s="133">
        <v>6</v>
      </c>
      <c r="F175" s="347">
        <f t="shared" si="14"/>
        <v>2.2589999999999999</v>
      </c>
      <c r="G175" s="347">
        <f t="shared" si="15"/>
        <v>2.2589999999999999</v>
      </c>
      <c r="H175" s="56">
        <f t="shared" si="16"/>
        <v>2.7120000000000002</v>
      </c>
      <c r="I175" s="56">
        <f t="shared" si="17"/>
        <v>2.274</v>
      </c>
      <c r="J175" s="56">
        <f t="shared" si="18"/>
        <v>2.9939999999999998</v>
      </c>
      <c r="K175" s="56">
        <f t="shared" si="19"/>
        <v>2.58</v>
      </c>
      <c r="L175" s="56">
        <f t="shared" si="20"/>
        <v>2.8979999999999997</v>
      </c>
      <c r="M175" s="310"/>
      <c r="N175" s="310"/>
      <c r="O175" s="310"/>
    </row>
    <row r="176" spans="1:15" x14ac:dyDescent="0.25">
      <c r="A176" s="269" t="s">
        <v>1181</v>
      </c>
      <c r="B176" s="269" t="s">
        <v>1182</v>
      </c>
      <c r="C176" s="123" t="s">
        <v>1183</v>
      </c>
      <c r="D176" s="133">
        <v>8</v>
      </c>
      <c r="F176" s="347">
        <f t="shared" si="14"/>
        <v>3.012</v>
      </c>
      <c r="G176" s="347">
        <f t="shared" si="15"/>
        <v>3.012</v>
      </c>
      <c r="H176" s="56">
        <f t="shared" si="16"/>
        <v>3.6160000000000001</v>
      </c>
      <c r="I176" s="56">
        <f t="shared" si="17"/>
        <v>3.032</v>
      </c>
      <c r="J176" s="56">
        <f t="shared" si="18"/>
        <v>3.992</v>
      </c>
      <c r="K176" s="56">
        <f t="shared" si="19"/>
        <v>3.44</v>
      </c>
      <c r="L176" s="56">
        <f t="shared" si="20"/>
        <v>3.8639999999999999</v>
      </c>
      <c r="M176" s="310"/>
      <c r="N176" s="310"/>
      <c r="O176" s="310"/>
    </row>
    <row r="177" spans="1:15" x14ac:dyDescent="0.25">
      <c r="A177" s="269" t="s">
        <v>1184</v>
      </c>
      <c r="B177" s="269" t="s">
        <v>1185</v>
      </c>
      <c r="C177" s="123" t="s">
        <v>1186</v>
      </c>
      <c r="D177" s="133">
        <v>8</v>
      </c>
      <c r="F177" s="347">
        <f t="shared" si="14"/>
        <v>3.012</v>
      </c>
      <c r="G177" s="347">
        <f t="shared" si="15"/>
        <v>3.012</v>
      </c>
      <c r="H177" s="56">
        <f t="shared" si="16"/>
        <v>3.6160000000000001</v>
      </c>
      <c r="I177" s="56">
        <f t="shared" si="17"/>
        <v>3.032</v>
      </c>
      <c r="J177" s="56">
        <f t="shared" si="18"/>
        <v>3.992</v>
      </c>
      <c r="K177" s="56">
        <f t="shared" si="19"/>
        <v>3.44</v>
      </c>
      <c r="L177" s="56">
        <f t="shared" si="20"/>
        <v>3.8639999999999999</v>
      </c>
      <c r="M177" s="310"/>
      <c r="N177" s="310"/>
      <c r="O177" s="310"/>
    </row>
    <row r="178" spans="1:15" x14ac:dyDescent="0.25">
      <c r="A178" s="269" t="s">
        <v>1187</v>
      </c>
      <c r="B178" s="269" t="s">
        <v>1188</v>
      </c>
      <c r="C178" s="123" t="s">
        <v>1189</v>
      </c>
      <c r="D178" s="133">
        <v>9</v>
      </c>
      <c r="F178" s="347">
        <f t="shared" si="14"/>
        <v>3.3885000000000001</v>
      </c>
      <c r="G178" s="347">
        <f t="shared" si="15"/>
        <v>3.3885000000000001</v>
      </c>
      <c r="H178" s="56">
        <f t="shared" si="16"/>
        <v>4.0680000000000005</v>
      </c>
      <c r="I178" s="56">
        <f t="shared" si="17"/>
        <v>3.411</v>
      </c>
      <c r="J178" s="56">
        <f t="shared" si="18"/>
        <v>4.4909999999999997</v>
      </c>
      <c r="K178" s="56">
        <f t="shared" si="19"/>
        <v>3.87</v>
      </c>
      <c r="L178" s="56">
        <f t="shared" si="20"/>
        <v>4.3469999999999995</v>
      </c>
      <c r="M178" s="310"/>
      <c r="N178" s="310"/>
      <c r="O178" s="310"/>
    </row>
    <row r="179" spans="1:15" x14ac:dyDescent="0.25">
      <c r="A179" s="269" t="s">
        <v>1190</v>
      </c>
      <c r="B179" s="269" t="s">
        <v>1191</v>
      </c>
      <c r="C179" s="123" t="s">
        <v>1192</v>
      </c>
      <c r="D179" s="133">
        <v>9</v>
      </c>
      <c r="F179" s="347">
        <f t="shared" si="14"/>
        <v>3.3885000000000001</v>
      </c>
      <c r="G179" s="347">
        <f t="shared" si="15"/>
        <v>3.3885000000000001</v>
      </c>
      <c r="H179" s="250">
        <f t="shared" si="16"/>
        <v>4.0680000000000005</v>
      </c>
      <c r="I179" s="250">
        <f t="shared" si="17"/>
        <v>3.411</v>
      </c>
      <c r="J179" s="250">
        <f t="shared" si="18"/>
        <v>4.4909999999999997</v>
      </c>
      <c r="K179" s="250">
        <f t="shared" si="19"/>
        <v>3.87</v>
      </c>
      <c r="L179" s="250">
        <f t="shared" si="20"/>
        <v>4.3469999999999995</v>
      </c>
    </row>
    <row r="180" spans="1:15" x14ac:dyDescent="0.25">
      <c r="A180" s="269" t="s">
        <v>1193</v>
      </c>
      <c r="B180" s="269" t="s">
        <v>1194</v>
      </c>
      <c r="C180" s="123" t="s">
        <v>1195</v>
      </c>
      <c r="D180" s="133">
        <v>16</v>
      </c>
      <c r="F180" s="347">
        <f t="shared" si="14"/>
        <v>6.024</v>
      </c>
      <c r="G180" s="347">
        <f t="shared" si="15"/>
        <v>6.024</v>
      </c>
      <c r="H180" s="250">
        <f t="shared" si="16"/>
        <v>7.2320000000000002</v>
      </c>
      <c r="I180" s="250">
        <f t="shared" si="17"/>
        <v>6.0640000000000001</v>
      </c>
      <c r="J180" s="250">
        <f t="shared" si="18"/>
        <v>7.984</v>
      </c>
      <c r="K180" s="250">
        <f t="shared" si="19"/>
        <v>6.88</v>
      </c>
      <c r="L180" s="250">
        <f t="shared" si="20"/>
        <v>7.7279999999999998</v>
      </c>
    </row>
    <row r="181" spans="1:15" x14ac:dyDescent="0.25">
      <c r="A181" s="269" t="s">
        <v>1196</v>
      </c>
      <c r="B181" s="269" t="s">
        <v>1197</v>
      </c>
      <c r="C181" s="123" t="s">
        <v>1198</v>
      </c>
      <c r="D181" s="133">
        <v>23</v>
      </c>
      <c r="F181" s="347">
        <f t="shared" si="14"/>
        <v>8.6594999999999995</v>
      </c>
      <c r="G181" s="347">
        <f t="shared" si="15"/>
        <v>8.6594999999999995</v>
      </c>
      <c r="H181" s="250">
        <f t="shared" si="16"/>
        <v>10.396000000000001</v>
      </c>
      <c r="I181" s="250">
        <f t="shared" si="17"/>
        <v>8.7170000000000005</v>
      </c>
      <c r="J181" s="250">
        <f t="shared" si="18"/>
        <v>11.477</v>
      </c>
      <c r="K181" s="250">
        <f t="shared" si="19"/>
        <v>9.89</v>
      </c>
      <c r="L181" s="250">
        <f t="shared" si="20"/>
        <v>11.109</v>
      </c>
    </row>
    <row r="182" spans="1:15" x14ac:dyDescent="0.25">
      <c r="A182" s="269" t="s">
        <v>1199</v>
      </c>
      <c r="B182" s="269" t="s">
        <v>1200</v>
      </c>
      <c r="C182" s="123" t="s">
        <v>1201</v>
      </c>
      <c r="D182" s="133">
        <v>27</v>
      </c>
      <c r="F182" s="347">
        <f t="shared" si="14"/>
        <v>10.1655</v>
      </c>
      <c r="G182" s="347">
        <f t="shared" si="15"/>
        <v>10.1655</v>
      </c>
      <c r="H182" s="250">
        <f t="shared" si="16"/>
        <v>12.204000000000001</v>
      </c>
      <c r="I182" s="250">
        <f t="shared" si="17"/>
        <v>10.233000000000001</v>
      </c>
      <c r="J182" s="250">
        <f t="shared" si="18"/>
        <v>13.473000000000001</v>
      </c>
      <c r="K182" s="250">
        <f t="shared" si="19"/>
        <v>11.61</v>
      </c>
      <c r="L182" s="250">
        <f t="shared" si="20"/>
        <v>13.041</v>
      </c>
    </row>
    <row r="183" spans="1:15" x14ac:dyDescent="0.25">
      <c r="A183" s="269" t="s">
        <v>1202</v>
      </c>
      <c r="B183" s="269" t="s">
        <v>1203</v>
      </c>
      <c r="C183" s="123" t="s">
        <v>1204</v>
      </c>
      <c r="D183" s="133">
        <v>29</v>
      </c>
      <c r="F183" s="347">
        <f t="shared" si="14"/>
        <v>10.9185</v>
      </c>
      <c r="G183" s="347">
        <f t="shared" si="15"/>
        <v>10.9185</v>
      </c>
      <c r="H183" s="250">
        <f t="shared" si="16"/>
        <v>13.108000000000001</v>
      </c>
      <c r="I183" s="250">
        <f t="shared" si="17"/>
        <v>10.991</v>
      </c>
      <c r="J183" s="250">
        <f t="shared" si="18"/>
        <v>14.471</v>
      </c>
      <c r="K183" s="250">
        <f t="shared" si="19"/>
        <v>12.47</v>
      </c>
      <c r="L183" s="250">
        <f t="shared" si="20"/>
        <v>14.007</v>
      </c>
    </row>
    <row r="184" spans="1:15" x14ac:dyDescent="0.25">
      <c r="A184" s="269" t="s">
        <v>1205</v>
      </c>
      <c r="B184" s="269" t="s">
        <v>1206</v>
      </c>
      <c r="C184" s="123" t="s">
        <v>1207</v>
      </c>
      <c r="D184" s="133">
        <v>31</v>
      </c>
      <c r="F184" s="347">
        <f t="shared" si="14"/>
        <v>11.6715</v>
      </c>
      <c r="G184" s="347">
        <f t="shared" si="15"/>
        <v>11.6715</v>
      </c>
      <c r="H184" s="250">
        <f t="shared" si="16"/>
        <v>14.012</v>
      </c>
      <c r="I184" s="250">
        <f t="shared" si="17"/>
        <v>11.749000000000001</v>
      </c>
      <c r="J184" s="250">
        <f t="shared" si="18"/>
        <v>15.468999999999999</v>
      </c>
      <c r="K184" s="250">
        <f t="shared" si="19"/>
        <v>13.33</v>
      </c>
      <c r="L184" s="250">
        <f t="shared" si="20"/>
        <v>14.972999999999999</v>
      </c>
    </row>
    <row r="185" spans="1:15" x14ac:dyDescent="0.25">
      <c r="A185" s="269" t="s">
        <v>1208</v>
      </c>
      <c r="B185" s="269" t="s">
        <v>1209</v>
      </c>
      <c r="C185" s="123" t="s">
        <v>1210</v>
      </c>
      <c r="D185" s="133">
        <v>64</v>
      </c>
      <c r="F185" s="347">
        <f t="shared" si="14"/>
        <v>24.096</v>
      </c>
      <c r="G185" s="347">
        <f t="shared" si="15"/>
        <v>24.096</v>
      </c>
      <c r="H185" s="250">
        <f t="shared" si="16"/>
        <v>28.928000000000001</v>
      </c>
      <c r="I185" s="250">
        <f t="shared" si="17"/>
        <v>24.256</v>
      </c>
      <c r="J185" s="250">
        <f t="shared" si="18"/>
        <v>31.936</v>
      </c>
      <c r="K185" s="250">
        <f t="shared" si="19"/>
        <v>27.52</v>
      </c>
      <c r="L185" s="250">
        <f t="shared" si="20"/>
        <v>30.911999999999999</v>
      </c>
    </row>
    <row r="186" spans="1:15" x14ac:dyDescent="0.25">
      <c r="A186" s="269"/>
      <c r="B186" s="281"/>
      <c r="C186" s="123"/>
      <c r="D186" s="56"/>
      <c r="F186" s="347"/>
      <c r="G186" s="347"/>
      <c r="H186" s="56"/>
      <c r="I186" s="56"/>
      <c r="J186" s="56"/>
      <c r="K186" s="56"/>
      <c r="L186" s="56"/>
    </row>
    <row r="187" spans="1:15" x14ac:dyDescent="0.25">
      <c r="A187" s="21" t="s">
        <v>1211</v>
      </c>
      <c r="B187" s="50"/>
      <c r="C187" s="50"/>
      <c r="D187" s="147"/>
      <c r="F187" s="346"/>
      <c r="G187" s="346"/>
      <c r="H187" s="346"/>
      <c r="I187" s="346"/>
      <c r="J187" s="346"/>
      <c r="K187" s="346"/>
      <c r="L187" s="346"/>
    </row>
    <row r="188" spans="1:15" x14ac:dyDescent="0.25">
      <c r="A188" s="269" t="s">
        <v>1212</v>
      </c>
      <c r="B188" s="269" t="s">
        <v>1213</v>
      </c>
      <c r="C188" s="49" t="s">
        <v>1214</v>
      </c>
      <c r="D188" s="133">
        <v>2471</v>
      </c>
      <c r="F188" s="347">
        <f t="shared" si="14"/>
        <v>930.33150000000001</v>
      </c>
      <c r="G188" s="347">
        <f t="shared" si="15"/>
        <v>930.33150000000001</v>
      </c>
      <c r="H188" s="250">
        <f t="shared" si="16"/>
        <v>1116.8920000000001</v>
      </c>
      <c r="I188" s="250">
        <f t="shared" si="17"/>
        <v>936.50900000000001</v>
      </c>
      <c r="J188" s="250">
        <f t="shared" si="18"/>
        <v>1233.029</v>
      </c>
      <c r="K188" s="250">
        <f t="shared" si="19"/>
        <v>1062.53</v>
      </c>
      <c r="L188" s="250">
        <f t="shared" si="20"/>
        <v>1193.4929999999999</v>
      </c>
    </row>
    <row r="189" spans="1:15" x14ac:dyDescent="0.25">
      <c r="A189" s="269"/>
      <c r="B189" s="281"/>
      <c r="C189" s="49"/>
      <c r="D189" s="56"/>
      <c r="F189" s="347"/>
      <c r="G189" s="347"/>
      <c r="H189" s="56"/>
      <c r="I189" s="56"/>
      <c r="J189" s="56"/>
      <c r="K189" s="56"/>
      <c r="L189" s="56"/>
      <c r="M189" s="310"/>
      <c r="N189" s="310"/>
      <c r="O189" s="310"/>
    </row>
    <row r="190" spans="1:15" x14ac:dyDescent="0.25">
      <c r="A190" s="21" t="s">
        <v>1215</v>
      </c>
      <c r="B190" s="50"/>
      <c r="C190" s="50"/>
      <c r="D190" s="147"/>
      <c r="F190" s="346"/>
      <c r="G190" s="346"/>
      <c r="H190" s="346"/>
      <c r="I190" s="346"/>
      <c r="J190" s="346"/>
      <c r="K190" s="346"/>
      <c r="L190" s="346"/>
      <c r="M190" s="310"/>
      <c r="N190" s="310"/>
      <c r="O190" s="310"/>
    </row>
    <row r="191" spans="1:15" x14ac:dyDescent="0.25">
      <c r="A191" s="269" t="s">
        <v>1596</v>
      </c>
      <c r="B191" s="281" t="s">
        <v>1216</v>
      </c>
      <c r="C191" s="49" t="s">
        <v>1217</v>
      </c>
      <c r="D191" s="56">
        <v>3</v>
      </c>
      <c r="F191" s="347">
        <f t="shared" si="14"/>
        <v>1.1294999999999999</v>
      </c>
      <c r="G191" s="347">
        <f t="shared" si="15"/>
        <v>1.1294999999999999</v>
      </c>
      <c r="H191" s="56">
        <f t="shared" si="16"/>
        <v>1.3560000000000001</v>
      </c>
      <c r="I191" s="56">
        <f t="shared" si="17"/>
        <v>1.137</v>
      </c>
      <c r="J191" s="56">
        <f t="shared" si="18"/>
        <v>1.4969999999999999</v>
      </c>
      <c r="K191" s="56">
        <f t="shared" si="19"/>
        <v>1.29</v>
      </c>
      <c r="L191" s="56">
        <f t="shared" si="20"/>
        <v>1.4489999999999998</v>
      </c>
      <c r="M191" s="310"/>
      <c r="N191" s="310"/>
      <c r="O191" s="310"/>
    </row>
    <row r="192" spans="1:15" ht="27.6" x14ac:dyDescent="0.25">
      <c r="A192" s="51" t="s">
        <v>1218</v>
      </c>
      <c r="B192" s="282" t="s">
        <v>1219</v>
      </c>
      <c r="C192" s="49" t="s">
        <v>1220</v>
      </c>
      <c r="D192" s="56">
        <v>5</v>
      </c>
      <c r="F192" s="347">
        <f t="shared" si="14"/>
        <v>1.8825000000000001</v>
      </c>
      <c r="G192" s="347">
        <f t="shared" si="15"/>
        <v>1.8825000000000001</v>
      </c>
      <c r="H192" s="56">
        <f t="shared" si="16"/>
        <v>2.2600000000000002</v>
      </c>
      <c r="I192" s="56">
        <f t="shared" si="17"/>
        <v>1.895</v>
      </c>
      <c r="J192" s="56">
        <f t="shared" si="18"/>
        <v>2.4950000000000001</v>
      </c>
      <c r="K192" s="56">
        <f t="shared" si="19"/>
        <v>2.15</v>
      </c>
      <c r="L192" s="56">
        <f t="shared" si="20"/>
        <v>2.415</v>
      </c>
      <c r="M192" s="310"/>
      <c r="N192" s="310"/>
      <c r="O192" s="310"/>
    </row>
    <row r="193" spans="1:15" x14ac:dyDescent="0.25">
      <c r="A193" s="51" t="s">
        <v>1221</v>
      </c>
      <c r="B193" s="282" t="s">
        <v>1219</v>
      </c>
      <c r="C193" s="49" t="s">
        <v>1220</v>
      </c>
      <c r="D193" s="56">
        <v>5</v>
      </c>
      <c r="F193" s="347">
        <f t="shared" si="14"/>
        <v>1.8825000000000001</v>
      </c>
      <c r="G193" s="347">
        <f t="shared" si="15"/>
        <v>1.8825000000000001</v>
      </c>
      <c r="H193" s="56">
        <f t="shared" si="16"/>
        <v>2.2600000000000002</v>
      </c>
      <c r="I193" s="56">
        <f t="shared" si="17"/>
        <v>1.895</v>
      </c>
      <c r="J193" s="56">
        <f t="shared" si="18"/>
        <v>2.4950000000000001</v>
      </c>
      <c r="K193" s="56">
        <f t="shared" si="19"/>
        <v>2.15</v>
      </c>
      <c r="L193" s="56">
        <f t="shared" si="20"/>
        <v>2.415</v>
      </c>
      <c r="M193" s="310"/>
      <c r="N193" s="310"/>
      <c r="O193" s="310"/>
    </row>
    <row r="194" spans="1:15" x14ac:dyDescent="0.25">
      <c r="A194" s="269" t="s">
        <v>1597</v>
      </c>
      <c r="B194" s="281" t="s">
        <v>1222</v>
      </c>
      <c r="C194" s="49" t="s">
        <v>1223</v>
      </c>
      <c r="D194" s="56">
        <v>3</v>
      </c>
      <c r="F194" s="347">
        <f t="shared" si="14"/>
        <v>1.1294999999999999</v>
      </c>
      <c r="G194" s="347">
        <f t="shared" si="15"/>
        <v>1.1294999999999999</v>
      </c>
      <c r="H194" s="56">
        <f t="shared" si="16"/>
        <v>1.3560000000000001</v>
      </c>
      <c r="I194" s="56">
        <f t="shared" si="17"/>
        <v>1.137</v>
      </c>
      <c r="J194" s="56">
        <f t="shared" si="18"/>
        <v>1.4969999999999999</v>
      </c>
      <c r="K194" s="56">
        <f t="shared" si="19"/>
        <v>1.29</v>
      </c>
      <c r="L194" s="56">
        <f t="shared" si="20"/>
        <v>1.4489999999999998</v>
      </c>
      <c r="M194" s="310"/>
      <c r="N194" s="310"/>
      <c r="O194" s="310"/>
    </row>
    <row r="195" spans="1:15" ht="27.6" x14ac:dyDescent="0.25">
      <c r="A195" s="269" t="s">
        <v>1224</v>
      </c>
      <c r="B195" s="281" t="s">
        <v>1225</v>
      </c>
      <c r="C195" s="49" t="s">
        <v>1226</v>
      </c>
      <c r="D195" s="56">
        <v>6</v>
      </c>
      <c r="F195" s="347">
        <f t="shared" si="14"/>
        <v>2.2589999999999999</v>
      </c>
      <c r="G195" s="347">
        <f t="shared" si="15"/>
        <v>2.2589999999999999</v>
      </c>
      <c r="H195" s="56">
        <f t="shared" si="16"/>
        <v>2.7120000000000002</v>
      </c>
      <c r="I195" s="56">
        <f t="shared" si="17"/>
        <v>2.274</v>
      </c>
      <c r="J195" s="56">
        <f t="shared" si="18"/>
        <v>2.9939999999999998</v>
      </c>
      <c r="K195" s="56">
        <f t="shared" si="19"/>
        <v>2.58</v>
      </c>
      <c r="L195" s="56">
        <f t="shared" si="20"/>
        <v>2.8979999999999997</v>
      </c>
      <c r="M195" s="310"/>
      <c r="N195" s="310"/>
      <c r="O195" s="310"/>
    </row>
    <row r="196" spans="1:15" x14ac:dyDescent="0.25">
      <c r="A196" s="269" t="s">
        <v>1598</v>
      </c>
      <c r="B196" s="281" t="s">
        <v>1227</v>
      </c>
      <c r="C196" s="49" t="s">
        <v>1228</v>
      </c>
      <c r="D196" s="56">
        <v>6</v>
      </c>
      <c r="F196" s="347">
        <f t="shared" si="14"/>
        <v>2.2589999999999999</v>
      </c>
      <c r="G196" s="347">
        <f t="shared" si="15"/>
        <v>2.2589999999999999</v>
      </c>
      <c r="H196" s="56">
        <f t="shared" si="16"/>
        <v>2.7120000000000002</v>
      </c>
      <c r="I196" s="56">
        <f t="shared" si="17"/>
        <v>2.274</v>
      </c>
      <c r="J196" s="56">
        <f t="shared" si="18"/>
        <v>2.9939999999999998</v>
      </c>
      <c r="K196" s="56">
        <f t="shared" si="19"/>
        <v>2.58</v>
      </c>
      <c r="L196" s="56">
        <f t="shared" si="20"/>
        <v>2.8979999999999997</v>
      </c>
      <c r="M196" s="310"/>
      <c r="N196" s="310"/>
      <c r="O196" s="310"/>
    </row>
    <row r="197" spans="1:15" ht="27.6" x14ac:dyDescent="0.25">
      <c r="A197" s="269" t="s">
        <v>1599</v>
      </c>
      <c r="B197" s="281" t="s">
        <v>1229</v>
      </c>
      <c r="C197" s="49" t="s">
        <v>1230</v>
      </c>
      <c r="D197" s="56">
        <v>2</v>
      </c>
      <c r="F197" s="347">
        <f t="shared" si="14"/>
        <v>0.753</v>
      </c>
      <c r="G197" s="347">
        <f t="shared" si="15"/>
        <v>0.753</v>
      </c>
      <c r="H197" s="56">
        <f t="shared" si="16"/>
        <v>0.90400000000000003</v>
      </c>
      <c r="I197" s="56">
        <f t="shared" si="17"/>
        <v>0.75800000000000001</v>
      </c>
      <c r="J197" s="56">
        <f t="shared" si="18"/>
        <v>0.998</v>
      </c>
      <c r="K197" s="56">
        <f t="shared" si="19"/>
        <v>0.86</v>
      </c>
      <c r="L197" s="56">
        <f t="shared" si="20"/>
        <v>0.96599999999999997</v>
      </c>
      <c r="M197" s="310"/>
      <c r="N197" s="310"/>
      <c r="O197" s="310"/>
    </row>
    <row r="198" spans="1:15" ht="27.6" x14ac:dyDescent="0.25">
      <c r="A198" s="269" t="s">
        <v>1600</v>
      </c>
      <c r="B198" s="281" t="s">
        <v>1231</v>
      </c>
      <c r="C198" s="49" t="s">
        <v>1232</v>
      </c>
      <c r="D198" s="56">
        <v>2</v>
      </c>
      <c r="F198" s="347">
        <f t="shared" si="14"/>
        <v>0.753</v>
      </c>
      <c r="G198" s="347">
        <f t="shared" si="15"/>
        <v>0.753</v>
      </c>
      <c r="H198" s="56">
        <f t="shared" si="16"/>
        <v>0.90400000000000003</v>
      </c>
      <c r="I198" s="56">
        <f t="shared" si="17"/>
        <v>0.75800000000000001</v>
      </c>
      <c r="J198" s="56">
        <f t="shared" si="18"/>
        <v>0.998</v>
      </c>
      <c r="K198" s="56">
        <f t="shared" si="19"/>
        <v>0.86</v>
      </c>
      <c r="L198" s="56">
        <f t="shared" si="20"/>
        <v>0.96599999999999997</v>
      </c>
      <c r="M198" s="310"/>
      <c r="N198" s="310"/>
      <c r="O198" s="310"/>
    </row>
    <row r="199" spans="1:15" ht="27.6" x14ac:dyDescent="0.25">
      <c r="A199" s="269" t="s">
        <v>1601</v>
      </c>
      <c r="B199" s="281" t="s">
        <v>1233</v>
      </c>
      <c r="C199" s="49" t="s">
        <v>1234</v>
      </c>
      <c r="D199" s="56">
        <v>2</v>
      </c>
      <c r="F199" s="347">
        <f t="shared" si="14"/>
        <v>0.753</v>
      </c>
      <c r="G199" s="347">
        <f t="shared" si="15"/>
        <v>0.753</v>
      </c>
      <c r="H199" s="56">
        <f t="shared" si="16"/>
        <v>0.90400000000000003</v>
      </c>
      <c r="I199" s="56">
        <f t="shared" si="17"/>
        <v>0.75800000000000001</v>
      </c>
      <c r="J199" s="56">
        <f t="shared" si="18"/>
        <v>0.998</v>
      </c>
      <c r="K199" s="56">
        <f t="shared" si="19"/>
        <v>0.86</v>
      </c>
      <c r="L199" s="56">
        <f t="shared" si="20"/>
        <v>0.96599999999999997</v>
      </c>
      <c r="M199" s="310"/>
      <c r="N199" s="310"/>
      <c r="O199" s="310"/>
    </row>
    <row r="200" spans="1:15" x14ac:dyDescent="0.25">
      <c r="A200" s="156" t="s">
        <v>1235</v>
      </c>
      <c r="B200" s="298" t="s">
        <v>1236</v>
      </c>
      <c r="C200" s="123" t="s">
        <v>1237</v>
      </c>
      <c r="D200" s="280">
        <v>5</v>
      </c>
      <c r="F200" s="347">
        <f t="shared" si="14"/>
        <v>1.8825000000000001</v>
      </c>
      <c r="G200" s="347">
        <f t="shared" si="15"/>
        <v>1.8825000000000001</v>
      </c>
      <c r="H200" s="56">
        <f t="shared" si="16"/>
        <v>2.2600000000000002</v>
      </c>
      <c r="I200" s="56">
        <f t="shared" si="17"/>
        <v>1.895</v>
      </c>
      <c r="J200" s="56">
        <f t="shared" si="18"/>
        <v>2.4950000000000001</v>
      </c>
      <c r="K200" s="56">
        <f t="shared" si="19"/>
        <v>2.15</v>
      </c>
      <c r="L200" s="56">
        <f t="shared" si="20"/>
        <v>2.415</v>
      </c>
      <c r="M200" s="310"/>
      <c r="N200" s="310"/>
      <c r="O200" s="310"/>
    </row>
    <row r="201" spans="1:15" x14ac:dyDescent="0.25">
      <c r="A201" s="156" t="s">
        <v>1238</v>
      </c>
      <c r="B201" s="298" t="s">
        <v>1239</v>
      </c>
      <c r="C201" s="123" t="s">
        <v>1240</v>
      </c>
      <c r="D201" s="280">
        <v>20</v>
      </c>
      <c r="F201" s="347">
        <f t="shared" si="14"/>
        <v>7.53</v>
      </c>
      <c r="G201" s="347">
        <f t="shared" si="15"/>
        <v>7.53</v>
      </c>
      <c r="H201" s="56">
        <f t="shared" si="16"/>
        <v>9.0400000000000009</v>
      </c>
      <c r="I201" s="56">
        <f t="shared" si="17"/>
        <v>7.58</v>
      </c>
      <c r="J201" s="56">
        <f t="shared" si="18"/>
        <v>9.98</v>
      </c>
      <c r="K201" s="56">
        <f t="shared" si="19"/>
        <v>8.6</v>
      </c>
      <c r="L201" s="56">
        <f t="shared" si="20"/>
        <v>9.66</v>
      </c>
      <c r="M201" s="310"/>
      <c r="N201" s="310"/>
      <c r="O201" s="310"/>
    </row>
    <row r="202" spans="1:15" x14ac:dyDescent="0.25">
      <c r="A202" s="156"/>
      <c r="B202" s="298"/>
      <c r="C202" s="123"/>
      <c r="D202" s="280"/>
      <c r="F202" s="347"/>
      <c r="G202" s="347"/>
      <c r="H202" s="56"/>
      <c r="I202" s="56"/>
      <c r="J202" s="56"/>
      <c r="K202" s="56"/>
      <c r="L202" s="56"/>
      <c r="M202" s="310"/>
      <c r="N202" s="310"/>
      <c r="O202" s="310"/>
    </row>
    <row r="203" spans="1:15" x14ac:dyDescent="0.25">
      <c r="A203" s="21" t="s">
        <v>1241</v>
      </c>
      <c r="B203" s="50"/>
      <c r="C203" s="50"/>
      <c r="D203" s="147"/>
      <c r="F203" s="346"/>
      <c r="G203" s="346"/>
      <c r="H203" s="346"/>
      <c r="I203" s="346"/>
      <c r="J203" s="346"/>
      <c r="K203" s="346"/>
      <c r="L203" s="346"/>
      <c r="M203" s="310"/>
      <c r="N203" s="310"/>
      <c r="O203" s="310"/>
    </row>
    <row r="204" spans="1:15" x14ac:dyDescent="0.25">
      <c r="A204" s="282" t="s">
        <v>1242</v>
      </c>
      <c r="B204" s="282" t="s">
        <v>1242</v>
      </c>
      <c r="C204" s="49" t="s">
        <v>1243</v>
      </c>
      <c r="D204" s="56">
        <v>23</v>
      </c>
      <c r="F204" s="347">
        <f t="shared" si="14"/>
        <v>8.6594999999999995</v>
      </c>
      <c r="G204" s="347">
        <f t="shared" si="15"/>
        <v>8.6594999999999995</v>
      </c>
      <c r="H204" s="56">
        <f t="shared" si="16"/>
        <v>10.396000000000001</v>
      </c>
      <c r="I204" s="56">
        <f t="shared" si="17"/>
        <v>8.7170000000000005</v>
      </c>
      <c r="J204" s="56">
        <f t="shared" si="18"/>
        <v>11.477</v>
      </c>
      <c r="K204" s="56">
        <f t="shared" si="19"/>
        <v>9.89</v>
      </c>
      <c r="L204" s="56">
        <f t="shared" si="20"/>
        <v>11.109</v>
      </c>
      <c r="M204" s="310"/>
      <c r="N204" s="310"/>
      <c r="O204" s="310"/>
    </row>
    <row r="205" spans="1:15" x14ac:dyDescent="0.25">
      <c r="A205" s="282" t="s">
        <v>1244</v>
      </c>
      <c r="B205" s="282" t="s">
        <v>1244</v>
      </c>
      <c r="C205" s="49" t="s">
        <v>1245</v>
      </c>
      <c r="D205" s="56">
        <v>10</v>
      </c>
      <c r="F205" s="347">
        <f t="shared" si="14"/>
        <v>3.7650000000000001</v>
      </c>
      <c r="G205" s="347">
        <f t="shared" si="15"/>
        <v>3.7650000000000001</v>
      </c>
      <c r="H205" s="56">
        <f t="shared" si="16"/>
        <v>4.5200000000000005</v>
      </c>
      <c r="I205" s="56">
        <f t="shared" si="17"/>
        <v>3.79</v>
      </c>
      <c r="J205" s="56">
        <f t="shared" si="18"/>
        <v>4.99</v>
      </c>
      <c r="K205" s="56">
        <f t="shared" si="19"/>
        <v>4.3</v>
      </c>
      <c r="L205" s="56">
        <f t="shared" si="20"/>
        <v>4.83</v>
      </c>
      <c r="M205" s="310"/>
      <c r="N205" s="310"/>
      <c r="O205" s="310"/>
    </row>
    <row r="206" spans="1:15" x14ac:dyDescent="0.25">
      <c r="A206" s="282" t="s">
        <v>1246</v>
      </c>
      <c r="B206" s="282" t="s">
        <v>1246</v>
      </c>
      <c r="C206" s="49" t="s">
        <v>1247</v>
      </c>
      <c r="D206" s="56">
        <v>2</v>
      </c>
      <c r="F206" s="347">
        <f t="shared" ref="F206:F269" si="21">D206*$F$9</f>
        <v>0.753</v>
      </c>
      <c r="G206" s="347">
        <f t="shared" ref="G206:G269" si="22">D206*$G$9</f>
        <v>0.753</v>
      </c>
      <c r="H206" s="56">
        <f t="shared" ref="H206:H269" si="23">D206*$H$9</f>
        <v>0.90400000000000003</v>
      </c>
      <c r="I206" s="56">
        <f t="shared" ref="I206:I269" si="24">D206*$I$9</f>
        <v>0.75800000000000001</v>
      </c>
      <c r="J206" s="56">
        <f t="shared" ref="J206:J269" si="25">D206*$J$9</f>
        <v>0.998</v>
      </c>
      <c r="K206" s="56">
        <f t="shared" ref="K206:K269" si="26">D206*$K$9</f>
        <v>0.86</v>
      </c>
      <c r="L206" s="56">
        <f t="shared" ref="L206:L269" si="27">D206*$L$9</f>
        <v>0.96599999999999997</v>
      </c>
      <c r="M206" s="310"/>
      <c r="N206" s="310"/>
      <c r="O206" s="310"/>
    </row>
    <row r="207" spans="1:15" x14ac:dyDescent="0.25">
      <c r="A207" s="282"/>
      <c r="B207" s="282"/>
      <c r="C207" s="49"/>
      <c r="D207" s="56"/>
      <c r="F207" s="347"/>
      <c r="G207" s="347"/>
      <c r="H207" s="56"/>
      <c r="I207" s="56"/>
      <c r="J207" s="56"/>
      <c r="K207" s="56"/>
      <c r="L207" s="56"/>
      <c r="M207" s="310"/>
      <c r="N207" s="310"/>
      <c r="O207" s="310"/>
    </row>
    <row r="208" spans="1:15" ht="27.6" x14ac:dyDescent="0.25">
      <c r="A208" s="21" t="s">
        <v>1248</v>
      </c>
      <c r="B208" s="50"/>
      <c r="C208" s="50"/>
      <c r="D208" s="147"/>
      <c r="F208" s="346"/>
      <c r="G208" s="346"/>
      <c r="H208" s="346"/>
      <c r="I208" s="346"/>
      <c r="J208" s="346"/>
      <c r="K208" s="346"/>
      <c r="L208" s="346"/>
      <c r="M208" s="310"/>
      <c r="N208" s="310"/>
      <c r="O208" s="310"/>
    </row>
    <row r="209" spans="1:15" x14ac:dyDescent="0.25">
      <c r="A209" s="282" t="s">
        <v>1249</v>
      </c>
      <c r="B209" s="282" t="s">
        <v>1250</v>
      </c>
      <c r="C209" s="49" t="s">
        <v>1251</v>
      </c>
      <c r="D209" s="56">
        <v>75</v>
      </c>
      <c r="F209" s="347">
        <f t="shared" si="21"/>
        <v>28.237500000000001</v>
      </c>
      <c r="G209" s="347">
        <f t="shared" si="22"/>
        <v>28.237500000000001</v>
      </c>
      <c r="H209" s="56">
        <f t="shared" si="23"/>
        <v>33.9</v>
      </c>
      <c r="I209" s="56">
        <f t="shared" si="24"/>
        <v>28.425000000000001</v>
      </c>
      <c r="J209" s="56">
        <f t="shared" si="25"/>
        <v>37.424999999999997</v>
      </c>
      <c r="K209" s="56">
        <f t="shared" si="26"/>
        <v>32.25</v>
      </c>
      <c r="L209" s="56">
        <f t="shared" si="27"/>
        <v>36.225000000000001</v>
      </c>
      <c r="M209" s="310"/>
      <c r="N209" s="310"/>
      <c r="O209" s="310"/>
    </row>
    <row r="210" spans="1:15" x14ac:dyDescent="0.25">
      <c r="A210" s="282" t="s">
        <v>1252</v>
      </c>
      <c r="B210" s="282" t="s">
        <v>1253</v>
      </c>
      <c r="C210" s="49" t="s">
        <v>1254</v>
      </c>
      <c r="D210" s="56">
        <v>36</v>
      </c>
      <c r="F210" s="347">
        <f t="shared" si="21"/>
        <v>13.554</v>
      </c>
      <c r="G210" s="347">
        <f t="shared" si="22"/>
        <v>13.554</v>
      </c>
      <c r="H210" s="56">
        <f t="shared" si="23"/>
        <v>16.272000000000002</v>
      </c>
      <c r="I210" s="56">
        <f t="shared" si="24"/>
        <v>13.644</v>
      </c>
      <c r="J210" s="56">
        <f t="shared" si="25"/>
        <v>17.963999999999999</v>
      </c>
      <c r="K210" s="56">
        <f t="shared" si="26"/>
        <v>15.48</v>
      </c>
      <c r="L210" s="56">
        <f t="shared" si="27"/>
        <v>17.387999999999998</v>
      </c>
      <c r="M210" s="310"/>
      <c r="N210" s="310"/>
      <c r="O210" s="310"/>
    </row>
    <row r="211" spans="1:15" x14ac:dyDescent="0.25">
      <c r="A211" s="282" t="s">
        <v>1255</v>
      </c>
      <c r="B211" s="282" t="s">
        <v>1256</v>
      </c>
      <c r="C211" s="49" t="s">
        <v>1257</v>
      </c>
      <c r="D211" s="56">
        <v>75</v>
      </c>
      <c r="F211" s="347">
        <f t="shared" si="21"/>
        <v>28.237500000000001</v>
      </c>
      <c r="G211" s="347">
        <f t="shared" si="22"/>
        <v>28.237500000000001</v>
      </c>
      <c r="H211" s="56">
        <f t="shared" si="23"/>
        <v>33.9</v>
      </c>
      <c r="I211" s="56">
        <f t="shared" si="24"/>
        <v>28.425000000000001</v>
      </c>
      <c r="J211" s="56">
        <f t="shared" si="25"/>
        <v>37.424999999999997</v>
      </c>
      <c r="K211" s="56">
        <f t="shared" si="26"/>
        <v>32.25</v>
      </c>
      <c r="L211" s="56">
        <f t="shared" si="27"/>
        <v>36.225000000000001</v>
      </c>
      <c r="M211" s="310"/>
      <c r="N211" s="310"/>
      <c r="O211" s="310"/>
    </row>
    <row r="212" spans="1:15" x14ac:dyDescent="0.25">
      <c r="A212" s="282" t="s">
        <v>1258</v>
      </c>
      <c r="B212" s="282" t="s">
        <v>1259</v>
      </c>
      <c r="C212" s="49" t="s">
        <v>1260</v>
      </c>
      <c r="D212" s="56">
        <v>36</v>
      </c>
      <c r="F212" s="347">
        <f t="shared" si="21"/>
        <v>13.554</v>
      </c>
      <c r="G212" s="347">
        <f t="shared" si="22"/>
        <v>13.554</v>
      </c>
      <c r="H212" s="56">
        <f t="shared" si="23"/>
        <v>16.272000000000002</v>
      </c>
      <c r="I212" s="56">
        <f t="shared" si="24"/>
        <v>13.644</v>
      </c>
      <c r="J212" s="56">
        <f t="shared" si="25"/>
        <v>17.963999999999999</v>
      </c>
      <c r="K212" s="56">
        <f t="shared" si="26"/>
        <v>15.48</v>
      </c>
      <c r="L212" s="56">
        <f t="shared" si="27"/>
        <v>17.387999999999998</v>
      </c>
      <c r="M212" s="310"/>
      <c r="N212" s="310"/>
      <c r="O212" s="310"/>
    </row>
    <row r="213" spans="1:15" x14ac:dyDescent="0.25">
      <c r="A213" s="282"/>
      <c r="B213" s="282"/>
      <c r="C213" s="49"/>
      <c r="D213" s="56"/>
      <c r="F213" s="347"/>
      <c r="G213" s="347"/>
      <c r="H213" s="56"/>
      <c r="I213" s="56"/>
      <c r="J213" s="56"/>
      <c r="K213" s="56"/>
      <c r="L213" s="56"/>
      <c r="M213" s="310"/>
      <c r="N213" s="310"/>
      <c r="O213" s="310"/>
    </row>
    <row r="214" spans="1:15" ht="27.6" x14ac:dyDescent="0.25">
      <c r="A214" s="21" t="s">
        <v>1261</v>
      </c>
      <c r="B214" s="50"/>
      <c r="C214" s="50"/>
      <c r="D214" s="147"/>
      <c r="F214" s="346"/>
      <c r="G214" s="346"/>
      <c r="H214" s="346"/>
      <c r="I214" s="346"/>
      <c r="J214" s="346"/>
      <c r="K214" s="346"/>
      <c r="L214" s="346"/>
      <c r="M214" s="310"/>
      <c r="N214" s="310"/>
      <c r="O214" s="310"/>
    </row>
    <row r="215" spans="1:15" x14ac:dyDescent="0.25">
      <c r="A215" s="109" t="s">
        <v>1262</v>
      </c>
      <c r="B215" s="109" t="s">
        <v>1263</v>
      </c>
      <c r="C215" s="123" t="s">
        <v>1264</v>
      </c>
      <c r="D215" s="280">
        <v>8</v>
      </c>
      <c r="F215" s="347">
        <f t="shared" si="21"/>
        <v>3.012</v>
      </c>
      <c r="G215" s="347">
        <f t="shared" si="22"/>
        <v>3.012</v>
      </c>
      <c r="H215" s="56">
        <f t="shared" si="23"/>
        <v>3.6160000000000001</v>
      </c>
      <c r="I215" s="56">
        <f t="shared" si="24"/>
        <v>3.032</v>
      </c>
      <c r="J215" s="56">
        <f t="shared" si="25"/>
        <v>3.992</v>
      </c>
      <c r="K215" s="56">
        <f t="shared" si="26"/>
        <v>3.44</v>
      </c>
      <c r="L215" s="56">
        <f t="shared" si="27"/>
        <v>3.8639999999999999</v>
      </c>
      <c r="M215" s="310"/>
      <c r="N215" s="310"/>
      <c r="O215" s="310"/>
    </row>
    <row r="216" spans="1:15" x14ac:dyDescent="0.25">
      <c r="A216" s="109" t="s">
        <v>1265</v>
      </c>
      <c r="B216" s="109" t="s">
        <v>1265</v>
      </c>
      <c r="C216" s="123" t="s">
        <v>1266</v>
      </c>
      <c r="D216" s="280">
        <v>6</v>
      </c>
      <c r="F216" s="347">
        <f t="shared" si="21"/>
        <v>2.2589999999999999</v>
      </c>
      <c r="G216" s="347">
        <f t="shared" si="22"/>
        <v>2.2589999999999999</v>
      </c>
      <c r="H216" s="56">
        <f t="shared" si="23"/>
        <v>2.7120000000000002</v>
      </c>
      <c r="I216" s="56">
        <f t="shared" si="24"/>
        <v>2.274</v>
      </c>
      <c r="J216" s="56">
        <f t="shared" si="25"/>
        <v>2.9939999999999998</v>
      </c>
      <c r="K216" s="56">
        <f t="shared" si="26"/>
        <v>2.58</v>
      </c>
      <c r="L216" s="56">
        <f t="shared" si="27"/>
        <v>2.8979999999999997</v>
      </c>
      <c r="M216" s="310"/>
      <c r="N216" s="310"/>
      <c r="O216" s="310"/>
    </row>
    <row r="217" spans="1:15" x14ac:dyDescent="0.25">
      <c r="A217" s="109" t="s">
        <v>1267</v>
      </c>
      <c r="B217" s="109" t="s">
        <v>1268</v>
      </c>
      <c r="C217" s="123" t="s">
        <v>1269</v>
      </c>
      <c r="D217" s="280">
        <v>18</v>
      </c>
      <c r="F217" s="347">
        <f t="shared" si="21"/>
        <v>6.7770000000000001</v>
      </c>
      <c r="G217" s="347">
        <f t="shared" si="22"/>
        <v>6.7770000000000001</v>
      </c>
      <c r="H217" s="56">
        <f t="shared" si="23"/>
        <v>8.136000000000001</v>
      </c>
      <c r="I217" s="56">
        <f t="shared" si="24"/>
        <v>6.8220000000000001</v>
      </c>
      <c r="J217" s="56">
        <f t="shared" si="25"/>
        <v>8.9819999999999993</v>
      </c>
      <c r="K217" s="56">
        <f t="shared" si="26"/>
        <v>7.74</v>
      </c>
      <c r="L217" s="56">
        <f t="shared" si="27"/>
        <v>8.6939999999999991</v>
      </c>
      <c r="M217" s="310"/>
      <c r="N217" s="310"/>
      <c r="O217" s="310"/>
    </row>
    <row r="218" spans="1:15" x14ac:dyDescent="0.25">
      <c r="A218" s="109" t="s">
        <v>1270</v>
      </c>
      <c r="B218" s="109" t="s">
        <v>1271</v>
      </c>
      <c r="C218" s="123" t="s">
        <v>1272</v>
      </c>
      <c r="D218" s="280">
        <v>8</v>
      </c>
      <c r="F218" s="347">
        <f t="shared" si="21"/>
        <v>3.012</v>
      </c>
      <c r="G218" s="347">
        <f t="shared" si="22"/>
        <v>3.012</v>
      </c>
      <c r="H218" s="56">
        <f t="shared" si="23"/>
        <v>3.6160000000000001</v>
      </c>
      <c r="I218" s="56">
        <f t="shared" si="24"/>
        <v>3.032</v>
      </c>
      <c r="J218" s="56">
        <f t="shared" si="25"/>
        <v>3.992</v>
      </c>
      <c r="K218" s="56">
        <f t="shared" si="26"/>
        <v>3.44</v>
      </c>
      <c r="L218" s="56">
        <f t="shared" si="27"/>
        <v>3.8639999999999999</v>
      </c>
      <c r="M218" s="310"/>
      <c r="N218" s="310"/>
      <c r="O218" s="310"/>
    </row>
    <row r="219" spans="1:15" x14ac:dyDescent="0.25">
      <c r="A219" s="109" t="s">
        <v>1273</v>
      </c>
      <c r="B219" s="109" t="s">
        <v>1274</v>
      </c>
      <c r="C219" s="123" t="s">
        <v>1275</v>
      </c>
      <c r="D219" s="280">
        <v>4</v>
      </c>
      <c r="F219" s="347">
        <f t="shared" si="21"/>
        <v>1.506</v>
      </c>
      <c r="G219" s="347">
        <f t="shared" si="22"/>
        <v>1.506</v>
      </c>
      <c r="H219" s="56">
        <f t="shared" si="23"/>
        <v>1.8080000000000001</v>
      </c>
      <c r="I219" s="56">
        <f t="shared" si="24"/>
        <v>1.516</v>
      </c>
      <c r="J219" s="56">
        <f t="shared" si="25"/>
        <v>1.996</v>
      </c>
      <c r="K219" s="56">
        <f t="shared" si="26"/>
        <v>1.72</v>
      </c>
      <c r="L219" s="56">
        <f t="shared" si="27"/>
        <v>1.9319999999999999</v>
      </c>
      <c r="M219" s="310"/>
      <c r="N219" s="310"/>
      <c r="O219" s="310"/>
    </row>
    <row r="220" spans="1:15" x14ac:dyDescent="0.25">
      <c r="A220" s="109" t="s">
        <v>1276</v>
      </c>
      <c r="B220" s="109" t="s">
        <v>1277</v>
      </c>
      <c r="C220" s="123" t="s">
        <v>1278</v>
      </c>
      <c r="D220" s="280">
        <v>4</v>
      </c>
      <c r="F220" s="347">
        <f t="shared" si="21"/>
        <v>1.506</v>
      </c>
      <c r="G220" s="347">
        <f t="shared" si="22"/>
        <v>1.506</v>
      </c>
      <c r="H220" s="56">
        <f t="shared" si="23"/>
        <v>1.8080000000000001</v>
      </c>
      <c r="I220" s="56">
        <f t="shared" si="24"/>
        <v>1.516</v>
      </c>
      <c r="J220" s="56">
        <f t="shared" si="25"/>
        <v>1.996</v>
      </c>
      <c r="K220" s="56">
        <f t="shared" si="26"/>
        <v>1.72</v>
      </c>
      <c r="L220" s="56">
        <f t="shared" si="27"/>
        <v>1.9319999999999999</v>
      </c>
      <c r="M220" s="310"/>
      <c r="N220" s="310"/>
      <c r="O220" s="310"/>
    </row>
    <row r="221" spans="1:15" x14ac:dyDescent="0.25">
      <c r="A221" s="109" t="s">
        <v>1279</v>
      </c>
      <c r="B221" s="109" t="s">
        <v>1280</v>
      </c>
      <c r="C221" s="123" t="s">
        <v>1281</v>
      </c>
      <c r="D221" s="280">
        <v>4</v>
      </c>
      <c r="F221" s="347">
        <f t="shared" si="21"/>
        <v>1.506</v>
      </c>
      <c r="G221" s="347">
        <f t="shared" si="22"/>
        <v>1.506</v>
      </c>
      <c r="H221" s="56">
        <f t="shared" si="23"/>
        <v>1.8080000000000001</v>
      </c>
      <c r="I221" s="56">
        <f t="shared" si="24"/>
        <v>1.516</v>
      </c>
      <c r="J221" s="56">
        <f t="shared" si="25"/>
        <v>1.996</v>
      </c>
      <c r="K221" s="56">
        <f t="shared" si="26"/>
        <v>1.72</v>
      </c>
      <c r="L221" s="56">
        <f t="shared" si="27"/>
        <v>1.9319999999999999</v>
      </c>
      <c r="M221" s="310"/>
      <c r="N221" s="310"/>
      <c r="O221" s="310"/>
    </row>
    <row r="222" spans="1:15" x14ac:dyDescent="0.25">
      <c r="A222" s="109" t="s">
        <v>1282</v>
      </c>
      <c r="B222" s="109" t="s">
        <v>1283</v>
      </c>
      <c r="C222" s="123" t="s">
        <v>1284</v>
      </c>
      <c r="D222" s="280">
        <v>4</v>
      </c>
      <c r="F222" s="347">
        <f t="shared" si="21"/>
        <v>1.506</v>
      </c>
      <c r="G222" s="347">
        <f t="shared" si="22"/>
        <v>1.506</v>
      </c>
      <c r="H222" s="56">
        <f t="shared" si="23"/>
        <v>1.8080000000000001</v>
      </c>
      <c r="I222" s="56">
        <f t="shared" si="24"/>
        <v>1.516</v>
      </c>
      <c r="J222" s="56">
        <f t="shared" si="25"/>
        <v>1.996</v>
      </c>
      <c r="K222" s="56">
        <f t="shared" si="26"/>
        <v>1.72</v>
      </c>
      <c r="L222" s="56">
        <f t="shared" si="27"/>
        <v>1.9319999999999999</v>
      </c>
      <c r="M222" s="310"/>
      <c r="N222" s="310"/>
      <c r="O222" s="310"/>
    </row>
    <row r="223" spans="1:15" x14ac:dyDescent="0.25">
      <c r="A223" s="109" t="s">
        <v>1285</v>
      </c>
      <c r="B223" s="109" t="s">
        <v>1286</v>
      </c>
      <c r="C223" s="123" t="s">
        <v>1287</v>
      </c>
      <c r="D223" s="280">
        <v>10</v>
      </c>
      <c r="F223" s="347">
        <f t="shared" si="21"/>
        <v>3.7650000000000001</v>
      </c>
      <c r="G223" s="347">
        <f t="shared" si="22"/>
        <v>3.7650000000000001</v>
      </c>
      <c r="H223" s="56">
        <f t="shared" si="23"/>
        <v>4.5200000000000005</v>
      </c>
      <c r="I223" s="56">
        <f t="shared" si="24"/>
        <v>3.79</v>
      </c>
      <c r="J223" s="56">
        <f t="shared" si="25"/>
        <v>4.99</v>
      </c>
      <c r="K223" s="56">
        <f t="shared" si="26"/>
        <v>4.3</v>
      </c>
      <c r="L223" s="56">
        <f t="shared" si="27"/>
        <v>4.83</v>
      </c>
      <c r="M223" s="310"/>
      <c r="N223" s="310"/>
      <c r="O223" s="310"/>
    </row>
    <row r="224" spans="1:15" x14ac:dyDescent="0.25">
      <c r="A224" s="109" t="s">
        <v>1288</v>
      </c>
      <c r="B224" s="109" t="s">
        <v>1289</v>
      </c>
      <c r="C224" s="123" t="s">
        <v>1290</v>
      </c>
      <c r="D224" s="280">
        <v>4</v>
      </c>
      <c r="F224" s="347">
        <f t="shared" si="21"/>
        <v>1.506</v>
      </c>
      <c r="G224" s="347">
        <f t="shared" si="22"/>
        <v>1.506</v>
      </c>
      <c r="H224" s="56">
        <f t="shared" si="23"/>
        <v>1.8080000000000001</v>
      </c>
      <c r="I224" s="56">
        <f t="shared" si="24"/>
        <v>1.516</v>
      </c>
      <c r="J224" s="56">
        <f t="shared" si="25"/>
        <v>1.996</v>
      </c>
      <c r="K224" s="56">
        <f t="shared" si="26"/>
        <v>1.72</v>
      </c>
      <c r="L224" s="56">
        <f t="shared" si="27"/>
        <v>1.9319999999999999</v>
      </c>
      <c r="M224" s="310"/>
      <c r="N224" s="310"/>
      <c r="O224" s="310"/>
    </row>
    <row r="225" spans="1:15" x14ac:dyDescent="0.25">
      <c r="A225" s="109" t="s">
        <v>1291</v>
      </c>
      <c r="B225" s="109" t="s">
        <v>1292</v>
      </c>
      <c r="C225" s="123" t="s">
        <v>1293</v>
      </c>
      <c r="D225" s="280">
        <v>18</v>
      </c>
      <c r="F225" s="347">
        <f t="shared" si="21"/>
        <v>6.7770000000000001</v>
      </c>
      <c r="G225" s="347">
        <f t="shared" si="22"/>
        <v>6.7770000000000001</v>
      </c>
      <c r="H225" s="56">
        <f t="shared" si="23"/>
        <v>8.136000000000001</v>
      </c>
      <c r="I225" s="56">
        <f t="shared" si="24"/>
        <v>6.8220000000000001</v>
      </c>
      <c r="J225" s="56">
        <f t="shared" si="25"/>
        <v>8.9819999999999993</v>
      </c>
      <c r="K225" s="56">
        <f t="shared" si="26"/>
        <v>7.74</v>
      </c>
      <c r="L225" s="56">
        <f t="shared" si="27"/>
        <v>8.6939999999999991</v>
      </c>
      <c r="M225" s="310"/>
      <c r="N225" s="310"/>
      <c r="O225" s="310"/>
    </row>
    <row r="226" spans="1:15" x14ac:dyDescent="0.25">
      <c r="A226" s="282"/>
      <c r="B226" s="282"/>
      <c r="C226" s="282"/>
      <c r="D226" s="250"/>
      <c r="F226" s="347"/>
      <c r="G226" s="347"/>
      <c r="H226" s="56"/>
      <c r="I226" s="56"/>
      <c r="J226" s="56"/>
      <c r="K226" s="56"/>
      <c r="L226" s="56"/>
      <c r="M226" s="310"/>
      <c r="N226" s="310"/>
      <c r="O226" s="310"/>
    </row>
    <row r="227" spans="1:15" x14ac:dyDescent="0.25">
      <c r="A227" s="21" t="s">
        <v>1294</v>
      </c>
      <c r="B227" s="50"/>
      <c r="C227" s="50"/>
      <c r="D227" s="147"/>
      <c r="F227" s="346"/>
      <c r="G227" s="346"/>
      <c r="H227" s="346"/>
      <c r="I227" s="346"/>
      <c r="J227" s="346"/>
      <c r="K227" s="346"/>
      <c r="L227" s="346"/>
      <c r="M227" s="310"/>
      <c r="N227" s="310"/>
      <c r="O227" s="310"/>
    </row>
    <row r="228" spans="1:15" ht="27.6" x14ac:dyDescent="0.25">
      <c r="A228" s="281" t="s">
        <v>1295</v>
      </c>
      <c r="B228" s="281" t="s">
        <v>1296</v>
      </c>
      <c r="C228" s="49" t="s">
        <v>1297</v>
      </c>
      <c r="D228" s="144">
        <v>69</v>
      </c>
      <c r="F228" s="347">
        <f t="shared" si="21"/>
        <v>25.9785</v>
      </c>
      <c r="G228" s="347">
        <f t="shared" si="22"/>
        <v>25.9785</v>
      </c>
      <c r="H228" s="56">
        <f t="shared" si="23"/>
        <v>31.188000000000002</v>
      </c>
      <c r="I228" s="56">
        <f t="shared" si="24"/>
        <v>26.151</v>
      </c>
      <c r="J228" s="56">
        <f t="shared" si="25"/>
        <v>34.430999999999997</v>
      </c>
      <c r="K228" s="56">
        <f t="shared" si="26"/>
        <v>29.669999999999998</v>
      </c>
      <c r="L228" s="56">
        <f t="shared" si="27"/>
        <v>33.326999999999998</v>
      </c>
      <c r="M228" s="310"/>
      <c r="N228" s="310"/>
      <c r="O228" s="310"/>
    </row>
    <row r="229" spans="1:15" ht="27.6" x14ac:dyDescent="0.25">
      <c r="A229" s="281" t="s">
        <v>1295</v>
      </c>
      <c r="B229" s="281" t="s">
        <v>1298</v>
      </c>
      <c r="C229" s="49" t="s">
        <v>1299</v>
      </c>
      <c r="D229" s="144">
        <v>62</v>
      </c>
      <c r="F229" s="347">
        <f t="shared" si="21"/>
        <v>23.343</v>
      </c>
      <c r="G229" s="347">
        <f t="shared" si="22"/>
        <v>23.343</v>
      </c>
      <c r="H229" s="56">
        <f t="shared" si="23"/>
        <v>28.024000000000001</v>
      </c>
      <c r="I229" s="56">
        <f t="shared" si="24"/>
        <v>23.498000000000001</v>
      </c>
      <c r="J229" s="56">
        <f t="shared" si="25"/>
        <v>30.937999999999999</v>
      </c>
      <c r="K229" s="56">
        <f t="shared" si="26"/>
        <v>26.66</v>
      </c>
      <c r="L229" s="56">
        <f t="shared" si="27"/>
        <v>29.945999999999998</v>
      </c>
      <c r="M229" s="310"/>
      <c r="N229" s="310"/>
      <c r="O229" s="310"/>
    </row>
    <row r="230" spans="1:15" ht="27.6" x14ac:dyDescent="0.25">
      <c r="A230" s="281" t="s">
        <v>1300</v>
      </c>
      <c r="B230" s="281" t="s">
        <v>1301</v>
      </c>
      <c r="C230" s="49" t="s">
        <v>1302</v>
      </c>
      <c r="D230" s="176">
        <v>48</v>
      </c>
      <c r="F230" s="347">
        <f t="shared" si="21"/>
        <v>18.071999999999999</v>
      </c>
      <c r="G230" s="347">
        <f t="shared" si="22"/>
        <v>18.071999999999999</v>
      </c>
      <c r="H230" s="56">
        <f t="shared" si="23"/>
        <v>21.696000000000002</v>
      </c>
      <c r="I230" s="56">
        <f t="shared" si="24"/>
        <v>18.192</v>
      </c>
      <c r="J230" s="56">
        <f t="shared" si="25"/>
        <v>23.951999999999998</v>
      </c>
      <c r="K230" s="56">
        <f t="shared" si="26"/>
        <v>20.64</v>
      </c>
      <c r="L230" s="56">
        <f t="shared" si="27"/>
        <v>23.183999999999997</v>
      </c>
      <c r="M230" s="310"/>
      <c r="N230" s="310"/>
      <c r="O230" s="310"/>
    </row>
    <row r="231" spans="1:15" x14ac:dyDescent="0.25">
      <c r="A231" s="97"/>
      <c r="B231" s="97"/>
      <c r="C231" s="49"/>
      <c r="D231" s="56"/>
      <c r="F231" s="347"/>
      <c r="G231" s="347"/>
      <c r="H231" s="56"/>
      <c r="I231" s="56"/>
      <c r="J231" s="56"/>
      <c r="K231" s="56"/>
      <c r="L231" s="56"/>
      <c r="M231" s="310"/>
      <c r="N231" s="310"/>
      <c r="O231" s="310"/>
    </row>
    <row r="232" spans="1:15" ht="27.6" x14ac:dyDescent="0.25">
      <c r="A232" s="21" t="s">
        <v>1303</v>
      </c>
      <c r="B232" s="50"/>
      <c r="C232" s="50"/>
      <c r="D232" s="147"/>
      <c r="F232" s="346"/>
      <c r="G232" s="346"/>
      <c r="H232" s="346"/>
      <c r="I232" s="346"/>
      <c r="J232" s="346"/>
      <c r="K232" s="346"/>
      <c r="L232" s="346"/>
      <c r="M232" s="310"/>
      <c r="N232" s="310"/>
      <c r="O232" s="310"/>
    </row>
    <row r="233" spans="1:15" ht="27.6" x14ac:dyDescent="0.25">
      <c r="A233" s="298" t="s">
        <v>1304</v>
      </c>
      <c r="B233" s="298" t="s">
        <v>1305</v>
      </c>
      <c r="C233" s="123" t="s">
        <v>1306</v>
      </c>
      <c r="D233" s="177">
        <v>50</v>
      </c>
      <c r="F233" s="347">
        <f t="shared" si="21"/>
        <v>18.824999999999999</v>
      </c>
      <c r="G233" s="347">
        <f t="shared" si="22"/>
        <v>18.824999999999999</v>
      </c>
      <c r="H233" s="56">
        <f t="shared" si="23"/>
        <v>22.6</v>
      </c>
      <c r="I233" s="56">
        <f t="shared" si="24"/>
        <v>18.95</v>
      </c>
      <c r="J233" s="56">
        <f t="shared" si="25"/>
        <v>24.95</v>
      </c>
      <c r="K233" s="56">
        <f t="shared" si="26"/>
        <v>21.5</v>
      </c>
      <c r="L233" s="56">
        <f t="shared" si="27"/>
        <v>24.15</v>
      </c>
      <c r="M233" s="310"/>
      <c r="N233" s="310"/>
      <c r="O233" s="310"/>
    </row>
    <row r="234" spans="1:15" ht="27.6" x14ac:dyDescent="0.25">
      <c r="A234" s="298" t="s">
        <v>1307</v>
      </c>
      <c r="B234" s="298" t="s">
        <v>1305</v>
      </c>
      <c r="C234" s="123" t="s">
        <v>1308</v>
      </c>
      <c r="D234" s="177">
        <v>18</v>
      </c>
      <c r="F234" s="347">
        <f t="shared" si="21"/>
        <v>6.7770000000000001</v>
      </c>
      <c r="G234" s="347">
        <f t="shared" si="22"/>
        <v>6.7770000000000001</v>
      </c>
      <c r="H234" s="56">
        <f t="shared" si="23"/>
        <v>8.136000000000001</v>
      </c>
      <c r="I234" s="56">
        <f t="shared" si="24"/>
        <v>6.8220000000000001</v>
      </c>
      <c r="J234" s="56">
        <f t="shared" si="25"/>
        <v>8.9819999999999993</v>
      </c>
      <c r="K234" s="56">
        <f t="shared" si="26"/>
        <v>7.74</v>
      </c>
      <c r="L234" s="56">
        <f t="shared" si="27"/>
        <v>8.6939999999999991</v>
      </c>
      <c r="M234" s="310"/>
      <c r="N234" s="310"/>
      <c r="O234" s="310"/>
    </row>
    <row r="235" spans="1:15" x14ac:dyDescent="0.25">
      <c r="A235" s="298" t="s">
        <v>1309</v>
      </c>
      <c r="B235" s="298" t="s">
        <v>1305</v>
      </c>
      <c r="C235" s="123" t="s">
        <v>1310</v>
      </c>
      <c r="D235" s="158">
        <v>36</v>
      </c>
      <c r="F235" s="347">
        <f t="shared" si="21"/>
        <v>13.554</v>
      </c>
      <c r="G235" s="347">
        <f t="shared" si="22"/>
        <v>13.554</v>
      </c>
      <c r="H235" s="56">
        <f t="shared" si="23"/>
        <v>16.272000000000002</v>
      </c>
      <c r="I235" s="56">
        <f t="shared" si="24"/>
        <v>13.644</v>
      </c>
      <c r="J235" s="56">
        <f t="shared" si="25"/>
        <v>17.963999999999999</v>
      </c>
      <c r="K235" s="56">
        <f t="shared" si="26"/>
        <v>15.48</v>
      </c>
      <c r="L235" s="56">
        <f t="shared" si="27"/>
        <v>17.387999999999998</v>
      </c>
      <c r="M235" s="310"/>
      <c r="N235" s="310"/>
      <c r="O235" s="310"/>
    </row>
    <row r="236" spans="1:15" x14ac:dyDescent="0.25">
      <c r="A236" s="281"/>
      <c r="B236" s="281"/>
      <c r="C236" s="49"/>
      <c r="D236" s="56"/>
      <c r="F236" s="347"/>
      <c r="G236" s="347"/>
      <c r="H236" s="56"/>
      <c r="I236" s="56"/>
      <c r="J236" s="56"/>
      <c r="K236" s="56"/>
      <c r="L236" s="56"/>
      <c r="M236" s="310"/>
      <c r="N236" s="310"/>
      <c r="O236" s="310"/>
    </row>
    <row r="237" spans="1:15" ht="27.6" x14ac:dyDescent="0.25">
      <c r="A237" s="21" t="s">
        <v>1311</v>
      </c>
      <c r="B237" s="50"/>
      <c r="C237" s="50"/>
      <c r="D237" s="147"/>
      <c r="F237" s="346"/>
      <c r="G237" s="346"/>
      <c r="H237" s="346"/>
      <c r="I237" s="346"/>
      <c r="J237" s="346"/>
      <c r="K237" s="346"/>
      <c r="L237" s="346"/>
      <c r="M237" s="310"/>
      <c r="N237" s="310"/>
      <c r="O237" s="310"/>
    </row>
    <row r="238" spans="1:15" x14ac:dyDescent="0.25">
      <c r="A238" s="269" t="s">
        <v>1312</v>
      </c>
      <c r="B238" s="281" t="s">
        <v>1305</v>
      </c>
      <c r="C238" s="49" t="s">
        <v>1313</v>
      </c>
      <c r="D238" s="144">
        <v>90</v>
      </c>
      <c r="F238" s="347">
        <f t="shared" si="21"/>
        <v>33.884999999999998</v>
      </c>
      <c r="G238" s="347">
        <f t="shared" si="22"/>
        <v>33.884999999999998</v>
      </c>
      <c r="H238" s="56">
        <f t="shared" si="23"/>
        <v>40.68</v>
      </c>
      <c r="I238" s="56">
        <f t="shared" si="24"/>
        <v>34.11</v>
      </c>
      <c r="J238" s="56">
        <f t="shared" si="25"/>
        <v>44.91</v>
      </c>
      <c r="K238" s="56">
        <f t="shared" si="26"/>
        <v>38.700000000000003</v>
      </c>
      <c r="L238" s="56">
        <f t="shared" si="27"/>
        <v>43.47</v>
      </c>
      <c r="M238" s="310"/>
      <c r="N238" s="310"/>
      <c r="O238" s="310"/>
    </row>
    <row r="239" spans="1:15" x14ac:dyDescent="0.25">
      <c r="A239" s="281" t="s">
        <v>1314</v>
      </c>
      <c r="B239" s="281" t="s">
        <v>1305</v>
      </c>
      <c r="C239" s="49" t="s">
        <v>1315</v>
      </c>
      <c r="D239" s="144">
        <v>18</v>
      </c>
      <c r="F239" s="347">
        <f t="shared" si="21"/>
        <v>6.7770000000000001</v>
      </c>
      <c r="G239" s="347">
        <f t="shared" si="22"/>
        <v>6.7770000000000001</v>
      </c>
      <c r="H239" s="56">
        <f t="shared" si="23"/>
        <v>8.136000000000001</v>
      </c>
      <c r="I239" s="56">
        <f t="shared" si="24"/>
        <v>6.8220000000000001</v>
      </c>
      <c r="J239" s="56">
        <f t="shared" si="25"/>
        <v>8.9819999999999993</v>
      </c>
      <c r="K239" s="56">
        <f t="shared" si="26"/>
        <v>7.74</v>
      </c>
      <c r="L239" s="56">
        <f t="shared" si="27"/>
        <v>8.6939999999999991</v>
      </c>
      <c r="M239" s="310"/>
      <c r="N239" s="310"/>
      <c r="O239" s="310"/>
    </row>
    <row r="240" spans="1:15" x14ac:dyDescent="0.25">
      <c r="A240" s="281" t="s">
        <v>1316</v>
      </c>
      <c r="B240" s="281" t="s">
        <v>1305</v>
      </c>
      <c r="C240" s="49" t="s">
        <v>1317</v>
      </c>
      <c r="D240" s="176">
        <v>36</v>
      </c>
      <c r="F240" s="347">
        <f t="shared" si="21"/>
        <v>13.554</v>
      </c>
      <c r="G240" s="347">
        <f t="shared" si="22"/>
        <v>13.554</v>
      </c>
      <c r="H240" s="56">
        <f t="shared" si="23"/>
        <v>16.272000000000002</v>
      </c>
      <c r="I240" s="56">
        <f t="shared" si="24"/>
        <v>13.644</v>
      </c>
      <c r="J240" s="56">
        <f t="shared" si="25"/>
        <v>17.963999999999999</v>
      </c>
      <c r="K240" s="56">
        <f t="shared" si="26"/>
        <v>15.48</v>
      </c>
      <c r="L240" s="56">
        <f t="shared" si="27"/>
        <v>17.387999999999998</v>
      </c>
      <c r="M240" s="310"/>
      <c r="N240" s="310"/>
      <c r="O240" s="310"/>
    </row>
    <row r="241" spans="1:15" x14ac:dyDescent="0.25">
      <c r="A241" s="281"/>
      <c r="B241" s="281"/>
      <c r="C241" s="49"/>
      <c r="D241" s="56"/>
      <c r="F241" s="347"/>
      <c r="G241" s="347"/>
      <c r="H241" s="56"/>
      <c r="I241" s="56"/>
      <c r="J241" s="56"/>
      <c r="K241" s="56"/>
      <c r="L241" s="56"/>
      <c r="M241" s="310"/>
      <c r="N241" s="310"/>
      <c r="O241" s="310"/>
    </row>
    <row r="242" spans="1:15" ht="27.6" x14ac:dyDescent="0.25">
      <c r="A242" s="21" t="s">
        <v>1318</v>
      </c>
      <c r="B242" s="50"/>
      <c r="C242" s="50"/>
      <c r="D242" s="147"/>
      <c r="F242" s="346"/>
      <c r="G242" s="346"/>
      <c r="H242" s="346"/>
      <c r="I242" s="346"/>
      <c r="J242" s="346"/>
      <c r="K242" s="346"/>
      <c r="L242" s="346"/>
      <c r="M242" s="310"/>
      <c r="N242" s="310"/>
      <c r="O242" s="310"/>
    </row>
    <row r="243" spans="1:15" ht="27.6" x14ac:dyDescent="0.25">
      <c r="A243" s="269" t="s">
        <v>1319</v>
      </c>
      <c r="B243" s="281" t="s">
        <v>1320</v>
      </c>
      <c r="C243" s="49" t="s">
        <v>1321</v>
      </c>
      <c r="D243" s="144">
        <v>11030</v>
      </c>
      <c r="F243" s="347">
        <f t="shared" si="21"/>
        <v>4152.7950000000001</v>
      </c>
      <c r="G243" s="347">
        <f t="shared" si="22"/>
        <v>4152.7950000000001</v>
      </c>
      <c r="H243" s="56">
        <f t="shared" si="23"/>
        <v>4985.5600000000004</v>
      </c>
      <c r="I243" s="56">
        <f t="shared" si="24"/>
        <v>4180.37</v>
      </c>
      <c r="J243" s="56">
        <f t="shared" si="25"/>
        <v>5503.97</v>
      </c>
      <c r="K243" s="56">
        <f t="shared" si="26"/>
        <v>4742.8999999999996</v>
      </c>
      <c r="L243" s="56">
        <f t="shared" si="27"/>
        <v>5327.49</v>
      </c>
      <c r="M243" s="310"/>
      <c r="N243" s="310"/>
      <c r="O243" s="310"/>
    </row>
    <row r="244" spans="1:15" ht="41.4" x14ac:dyDescent="0.25">
      <c r="A244" s="269" t="s">
        <v>1322</v>
      </c>
      <c r="B244" s="281" t="s">
        <v>1323</v>
      </c>
      <c r="C244" s="49" t="s">
        <v>1324</v>
      </c>
      <c r="D244" s="144">
        <v>6</v>
      </c>
      <c r="F244" s="347">
        <f t="shared" si="21"/>
        <v>2.2589999999999999</v>
      </c>
      <c r="G244" s="347">
        <f t="shared" si="22"/>
        <v>2.2589999999999999</v>
      </c>
      <c r="H244" s="56">
        <f t="shared" si="23"/>
        <v>2.7120000000000002</v>
      </c>
      <c r="I244" s="56">
        <f t="shared" si="24"/>
        <v>2.274</v>
      </c>
      <c r="J244" s="56">
        <f t="shared" si="25"/>
        <v>2.9939999999999998</v>
      </c>
      <c r="K244" s="56">
        <f t="shared" si="26"/>
        <v>2.58</v>
      </c>
      <c r="L244" s="56">
        <f t="shared" si="27"/>
        <v>2.8979999999999997</v>
      </c>
      <c r="M244" s="310"/>
      <c r="N244" s="310"/>
      <c r="O244" s="310"/>
    </row>
    <row r="245" spans="1:15" ht="41.4" x14ac:dyDescent="0.25">
      <c r="A245" s="269" t="s">
        <v>1325</v>
      </c>
      <c r="B245" s="281" t="s">
        <v>1326</v>
      </c>
      <c r="C245" s="49" t="s">
        <v>1327</v>
      </c>
      <c r="D245" s="250">
        <v>5</v>
      </c>
      <c r="F245" s="347">
        <f t="shared" si="21"/>
        <v>1.8825000000000001</v>
      </c>
      <c r="G245" s="347">
        <f t="shared" si="22"/>
        <v>1.8825000000000001</v>
      </c>
      <c r="H245" s="56">
        <f t="shared" si="23"/>
        <v>2.2600000000000002</v>
      </c>
      <c r="I245" s="56">
        <f t="shared" si="24"/>
        <v>1.895</v>
      </c>
      <c r="J245" s="56">
        <f t="shared" si="25"/>
        <v>2.4950000000000001</v>
      </c>
      <c r="K245" s="56">
        <f t="shared" si="26"/>
        <v>2.15</v>
      </c>
      <c r="L245" s="56">
        <f t="shared" si="27"/>
        <v>2.415</v>
      </c>
      <c r="M245" s="310"/>
      <c r="N245" s="310"/>
      <c r="O245" s="310"/>
    </row>
    <row r="246" spans="1:15" ht="41.4" x14ac:dyDescent="0.25">
      <c r="A246" s="269" t="s">
        <v>1328</v>
      </c>
      <c r="B246" s="281" t="s">
        <v>1329</v>
      </c>
      <c r="C246" s="49" t="s">
        <v>1330</v>
      </c>
      <c r="D246" s="250">
        <v>4</v>
      </c>
      <c r="F246" s="347">
        <f t="shared" si="21"/>
        <v>1.506</v>
      </c>
      <c r="G246" s="347">
        <f t="shared" si="22"/>
        <v>1.506</v>
      </c>
      <c r="H246" s="56">
        <f t="shared" si="23"/>
        <v>1.8080000000000001</v>
      </c>
      <c r="I246" s="56">
        <f t="shared" si="24"/>
        <v>1.516</v>
      </c>
      <c r="J246" s="56">
        <f t="shared" si="25"/>
        <v>1.996</v>
      </c>
      <c r="K246" s="56">
        <f t="shared" si="26"/>
        <v>1.72</v>
      </c>
      <c r="L246" s="56">
        <f t="shared" si="27"/>
        <v>1.9319999999999999</v>
      </c>
      <c r="M246" s="310"/>
      <c r="N246" s="310"/>
      <c r="O246" s="310"/>
    </row>
    <row r="247" spans="1:15" ht="41.4" x14ac:dyDescent="0.25">
      <c r="A247" s="269" t="s">
        <v>1331</v>
      </c>
      <c r="B247" s="281" t="s">
        <v>1332</v>
      </c>
      <c r="C247" s="49" t="s">
        <v>1333</v>
      </c>
      <c r="D247" s="250">
        <v>4</v>
      </c>
      <c r="F247" s="347">
        <f t="shared" si="21"/>
        <v>1.506</v>
      </c>
      <c r="G247" s="347">
        <f t="shared" si="22"/>
        <v>1.506</v>
      </c>
      <c r="H247" s="56">
        <f t="shared" si="23"/>
        <v>1.8080000000000001</v>
      </c>
      <c r="I247" s="56">
        <f t="shared" si="24"/>
        <v>1.516</v>
      </c>
      <c r="J247" s="56">
        <f t="shared" si="25"/>
        <v>1.996</v>
      </c>
      <c r="K247" s="56">
        <f t="shared" si="26"/>
        <v>1.72</v>
      </c>
      <c r="L247" s="56">
        <f t="shared" si="27"/>
        <v>1.9319999999999999</v>
      </c>
      <c r="M247" s="310"/>
      <c r="N247" s="310"/>
      <c r="O247" s="310"/>
    </row>
    <row r="248" spans="1:15" ht="27.6" x14ac:dyDescent="0.25">
      <c r="A248" s="269" t="s">
        <v>1334</v>
      </c>
      <c r="B248" s="281" t="s">
        <v>1335</v>
      </c>
      <c r="C248" s="49" t="s">
        <v>1336</v>
      </c>
      <c r="D248" s="250">
        <v>3</v>
      </c>
      <c r="F248" s="347">
        <f t="shared" si="21"/>
        <v>1.1294999999999999</v>
      </c>
      <c r="G248" s="347">
        <f t="shared" si="22"/>
        <v>1.1294999999999999</v>
      </c>
      <c r="H248" s="56">
        <f t="shared" si="23"/>
        <v>1.3560000000000001</v>
      </c>
      <c r="I248" s="56">
        <f t="shared" si="24"/>
        <v>1.137</v>
      </c>
      <c r="J248" s="56">
        <f t="shared" si="25"/>
        <v>1.4969999999999999</v>
      </c>
      <c r="K248" s="56">
        <f t="shared" si="26"/>
        <v>1.29</v>
      </c>
      <c r="L248" s="56">
        <f t="shared" si="27"/>
        <v>1.4489999999999998</v>
      </c>
      <c r="M248" s="310"/>
      <c r="N248" s="310"/>
      <c r="O248" s="310"/>
    </row>
    <row r="249" spans="1:15" ht="27.6" x14ac:dyDescent="0.25">
      <c r="A249" s="269" t="s">
        <v>1337</v>
      </c>
      <c r="B249" s="281" t="s">
        <v>1338</v>
      </c>
      <c r="C249" s="49" t="s">
        <v>1339</v>
      </c>
      <c r="D249" s="250">
        <v>2</v>
      </c>
      <c r="F249" s="347">
        <f t="shared" si="21"/>
        <v>0.753</v>
      </c>
      <c r="G249" s="347">
        <f t="shared" si="22"/>
        <v>0.753</v>
      </c>
      <c r="H249" s="56">
        <f t="shared" si="23"/>
        <v>0.90400000000000003</v>
      </c>
      <c r="I249" s="56">
        <f t="shared" si="24"/>
        <v>0.75800000000000001</v>
      </c>
      <c r="J249" s="56">
        <f t="shared" si="25"/>
        <v>0.998</v>
      </c>
      <c r="K249" s="56">
        <f t="shared" si="26"/>
        <v>0.86</v>
      </c>
      <c r="L249" s="56">
        <f t="shared" si="27"/>
        <v>0.96599999999999997</v>
      </c>
      <c r="M249" s="310"/>
      <c r="N249" s="310"/>
      <c r="O249" s="310"/>
    </row>
    <row r="250" spans="1:15" ht="27.6" x14ac:dyDescent="0.25">
      <c r="A250" s="269" t="s">
        <v>1340</v>
      </c>
      <c r="B250" s="281" t="s">
        <v>1341</v>
      </c>
      <c r="C250" s="49" t="s">
        <v>1342</v>
      </c>
      <c r="D250" s="250">
        <v>1</v>
      </c>
      <c r="F250" s="347">
        <f t="shared" si="21"/>
        <v>0.3765</v>
      </c>
      <c r="G250" s="347">
        <f t="shared" si="22"/>
        <v>0.3765</v>
      </c>
      <c r="H250" s="56">
        <f t="shared" si="23"/>
        <v>0.45200000000000001</v>
      </c>
      <c r="I250" s="56">
        <f t="shared" si="24"/>
        <v>0.379</v>
      </c>
      <c r="J250" s="56">
        <f t="shared" si="25"/>
        <v>0.499</v>
      </c>
      <c r="K250" s="56">
        <f t="shared" si="26"/>
        <v>0.43</v>
      </c>
      <c r="L250" s="56">
        <f t="shared" si="27"/>
        <v>0.48299999999999998</v>
      </c>
      <c r="M250" s="310"/>
      <c r="N250" s="310"/>
      <c r="O250" s="310"/>
    </row>
    <row r="251" spans="1:15" ht="27.6" x14ac:dyDescent="0.25">
      <c r="A251" s="269" t="s">
        <v>1343</v>
      </c>
      <c r="B251" s="281" t="s">
        <v>1344</v>
      </c>
      <c r="C251" s="49" t="s">
        <v>1345</v>
      </c>
      <c r="D251" s="250">
        <v>1</v>
      </c>
      <c r="F251" s="347">
        <f t="shared" si="21"/>
        <v>0.3765</v>
      </c>
      <c r="G251" s="347">
        <f t="shared" si="22"/>
        <v>0.3765</v>
      </c>
      <c r="H251" s="56">
        <f t="shared" si="23"/>
        <v>0.45200000000000001</v>
      </c>
      <c r="I251" s="56">
        <f t="shared" si="24"/>
        <v>0.379</v>
      </c>
      <c r="J251" s="56">
        <f t="shared" si="25"/>
        <v>0.499</v>
      </c>
      <c r="K251" s="56">
        <f t="shared" si="26"/>
        <v>0.43</v>
      </c>
      <c r="L251" s="56">
        <f t="shared" si="27"/>
        <v>0.48299999999999998</v>
      </c>
      <c r="M251" s="310"/>
      <c r="N251" s="310"/>
      <c r="O251" s="310"/>
    </row>
    <row r="252" spans="1:15" ht="27.6" x14ac:dyDescent="0.25">
      <c r="A252" s="269" t="s">
        <v>1346</v>
      </c>
      <c r="B252" s="281" t="s">
        <v>1347</v>
      </c>
      <c r="C252" s="49" t="s">
        <v>1348</v>
      </c>
      <c r="D252" s="250">
        <v>1</v>
      </c>
      <c r="F252" s="347">
        <f t="shared" si="21"/>
        <v>0.3765</v>
      </c>
      <c r="G252" s="347">
        <f t="shared" si="22"/>
        <v>0.3765</v>
      </c>
      <c r="H252" s="56">
        <f t="shared" si="23"/>
        <v>0.45200000000000001</v>
      </c>
      <c r="I252" s="56">
        <f t="shared" si="24"/>
        <v>0.379</v>
      </c>
      <c r="J252" s="56">
        <f t="shared" si="25"/>
        <v>0.499</v>
      </c>
      <c r="K252" s="56">
        <f t="shared" si="26"/>
        <v>0.43</v>
      </c>
      <c r="L252" s="56">
        <f t="shared" si="27"/>
        <v>0.48299999999999998</v>
      </c>
      <c r="M252" s="310"/>
      <c r="N252" s="310"/>
      <c r="O252" s="310"/>
    </row>
    <row r="253" spans="1:15" x14ac:dyDescent="0.25">
      <c r="A253" s="269" t="s">
        <v>1349</v>
      </c>
      <c r="B253" s="281" t="s">
        <v>1350</v>
      </c>
      <c r="C253" s="49" t="s">
        <v>1351</v>
      </c>
      <c r="D253" s="250">
        <v>25</v>
      </c>
      <c r="F253" s="347">
        <f t="shared" si="21"/>
        <v>9.4124999999999996</v>
      </c>
      <c r="G253" s="347">
        <f t="shared" si="22"/>
        <v>9.4124999999999996</v>
      </c>
      <c r="H253" s="56">
        <f t="shared" si="23"/>
        <v>11.3</v>
      </c>
      <c r="I253" s="56">
        <f t="shared" si="24"/>
        <v>9.4749999999999996</v>
      </c>
      <c r="J253" s="56">
        <f t="shared" si="25"/>
        <v>12.475</v>
      </c>
      <c r="K253" s="56">
        <f t="shared" si="26"/>
        <v>10.75</v>
      </c>
      <c r="L253" s="56">
        <f t="shared" si="27"/>
        <v>12.074999999999999</v>
      </c>
      <c r="M253" s="310"/>
      <c r="N253" s="310"/>
      <c r="O253" s="310"/>
    </row>
    <row r="254" spans="1:15" x14ac:dyDescent="0.25">
      <c r="A254" s="269" t="s">
        <v>1352</v>
      </c>
      <c r="B254" s="281" t="s">
        <v>1353</v>
      </c>
      <c r="C254" s="49" t="s">
        <v>1354</v>
      </c>
      <c r="D254" s="250">
        <v>14</v>
      </c>
      <c r="F254" s="347">
        <f t="shared" si="21"/>
        <v>5.2709999999999999</v>
      </c>
      <c r="G254" s="347">
        <f t="shared" si="22"/>
        <v>5.2709999999999999</v>
      </c>
      <c r="H254" s="56">
        <f t="shared" si="23"/>
        <v>6.3280000000000003</v>
      </c>
      <c r="I254" s="56">
        <f t="shared" si="24"/>
        <v>5.306</v>
      </c>
      <c r="J254" s="56">
        <f t="shared" si="25"/>
        <v>6.9859999999999998</v>
      </c>
      <c r="K254" s="56">
        <f t="shared" si="26"/>
        <v>6.02</v>
      </c>
      <c r="L254" s="56">
        <f t="shared" si="27"/>
        <v>6.7619999999999996</v>
      </c>
      <c r="M254" s="310"/>
      <c r="N254" s="310"/>
      <c r="O254" s="310"/>
    </row>
    <row r="255" spans="1:15" x14ac:dyDescent="0.25">
      <c r="A255" s="269" t="s">
        <v>1355</v>
      </c>
      <c r="B255" s="281" t="s">
        <v>1356</v>
      </c>
      <c r="C255" s="101" t="s">
        <v>1357</v>
      </c>
      <c r="D255" s="250">
        <v>3</v>
      </c>
      <c r="F255" s="347">
        <f t="shared" si="21"/>
        <v>1.1294999999999999</v>
      </c>
      <c r="G255" s="347">
        <f t="shared" si="22"/>
        <v>1.1294999999999999</v>
      </c>
      <c r="H255" s="56">
        <f t="shared" si="23"/>
        <v>1.3560000000000001</v>
      </c>
      <c r="I255" s="56">
        <f t="shared" si="24"/>
        <v>1.137</v>
      </c>
      <c r="J255" s="56">
        <f t="shared" si="25"/>
        <v>1.4969999999999999</v>
      </c>
      <c r="K255" s="56">
        <f t="shared" si="26"/>
        <v>1.29</v>
      </c>
      <c r="L255" s="56">
        <f t="shared" si="27"/>
        <v>1.4489999999999998</v>
      </c>
      <c r="M255" s="310"/>
      <c r="N255" s="310"/>
      <c r="O255" s="310"/>
    </row>
    <row r="256" spans="1:15" x14ac:dyDescent="0.25">
      <c r="A256" s="269" t="s">
        <v>1358</v>
      </c>
      <c r="B256" s="281" t="s">
        <v>1359</v>
      </c>
      <c r="C256" s="101" t="s">
        <v>1360</v>
      </c>
      <c r="D256" s="250">
        <v>3</v>
      </c>
      <c r="F256" s="347">
        <f t="shared" si="21"/>
        <v>1.1294999999999999</v>
      </c>
      <c r="G256" s="347">
        <f t="shared" si="22"/>
        <v>1.1294999999999999</v>
      </c>
      <c r="H256" s="56">
        <f t="shared" si="23"/>
        <v>1.3560000000000001</v>
      </c>
      <c r="I256" s="56">
        <f t="shared" si="24"/>
        <v>1.137</v>
      </c>
      <c r="J256" s="56">
        <f t="shared" si="25"/>
        <v>1.4969999999999999</v>
      </c>
      <c r="K256" s="56">
        <f t="shared" si="26"/>
        <v>1.29</v>
      </c>
      <c r="L256" s="56">
        <f t="shared" si="27"/>
        <v>1.4489999999999998</v>
      </c>
      <c r="M256" s="310"/>
      <c r="N256" s="310"/>
      <c r="O256" s="310"/>
    </row>
    <row r="257" spans="1:22" x14ac:dyDescent="0.25">
      <c r="A257" s="269" t="s">
        <v>1361</v>
      </c>
      <c r="B257" s="281" t="s">
        <v>1362</v>
      </c>
      <c r="C257" s="101" t="s">
        <v>1363</v>
      </c>
      <c r="D257" s="250">
        <v>2</v>
      </c>
      <c r="F257" s="347">
        <f t="shared" si="21"/>
        <v>0.753</v>
      </c>
      <c r="G257" s="347">
        <f t="shared" si="22"/>
        <v>0.753</v>
      </c>
      <c r="H257" s="56">
        <f t="shared" si="23"/>
        <v>0.90400000000000003</v>
      </c>
      <c r="I257" s="56">
        <f t="shared" si="24"/>
        <v>0.75800000000000001</v>
      </c>
      <c r="J257" s="56">
        <f t="shared" si="25"/>
        <v>0.998</v>
      </c>
      <c r="K257" s="56">
        <f t="shared" si="26"/>
        <v>0.86</v>
      </c>
      <c r="L257" s="56">
        <f t="shared" si="27"/>
        <v>0.96599999999999997</v>
      </c>
      <c r="M257" s="310"/>
      <c r="N257" s="310"/>
      <c r="O257" s="310"/>
    </row>
    <row r="258" spans="1:22" x14ac:dyDescent="0.25">
      <c r="A258" s="269" t="s">
        <v>1364</v>
      </c>
      <c r="B258" s="281" t="s">
        <v>1365</v>
      </c>
      <c r="C258" s="101" t="s">
        <v>1366</v>
      </c>
      <c r="D258" s="250">
        <v>5</v>
      </c>
      <c r="F258" s="347">
        <f t="shared" si="21"/>
        <v>1.8825000000000001</v>
      </c>
      <c r="G258" s="347">
        <f t="shared" si="22"/>
        <v>1.8825000000000001</v>
      </c>
      <c r="H258" s="56">
        <f t="shared" si="23"/>
        <v>2.2600000000000002</v>
      </c>
      <c r="I258" s="56">
        <f t="shared" si="24"/>
        <v>1.895</v>
      </c>
      <c r="J258" s="56">
        <f t="shared" si="25"/>
        <v>2.4950000000000001</v>
      </c>
      <c r="K258" s="56">
        <f t="shared" si="26"/>
        <v>2.15</v>
      </c>
      <c r="L258" s="56">
        <f t="shared" si="27"/>
        <v>2.415</v>
      </c>
      <c r="M258" s="310"/>
      <c r="N258" s="310"/>
      <c r="O258" s="310"/>
    </row>
    <row r="259" spans="1:22" x14ac:dyDescent="0.25">
      <c r="A259" s="269" t="s">
        <v>1367</v>
      </c>
      <c r="B259" s="269" t="s">
        <v>1368</v>
      </c>
      <c r="C259" s="49" t="s">
        <v>1369</v>
      </c>
      <c r="D259" s="250">
        <v>150</v>
      </c>
      <c r="F259" s="347">
        <f t="shared" si="21"/>
        <v>56.475000000000001</v>
      </c>
      <c r="G259" s="347">
        <f t="shared" si="22"/>
        <v>56.475000000000001</v>
      </c>
      <c r="H259" s="56">
        <f t="shared" si="23"/>
        <v>67.8</v>
      </c>
      <c r="I259" s="56">
        <f t="shared" si="24"/>
        <v>56.85</v>
      </c>
      <c r="J259" s="56">
        <f t="shared" si="25"/>
        <v>74.849999999999994</v>
      </c>
      <c r="K259" s="56">
        <f t="shared" si="26"/>
        <v>64.5</v>
      </c>
      <c r="L259" s="56">
        <f t="shared" si="27"/>
        <v>72.45</v>
      </c>
      <c r="M259" s="310"/>
      <c r="N259" s="310"/>
      <c r="O259" s="310"/>
    </row>
    <row r="260" spans="1:22" x14ac:dyDescent="0.25">
      <c r="A260" s="269" t="s">
        <v>1370</v>
      </c>
      <c r="B260" s="281" t="s">
        <v>1371</v>
      </c>
      <c r="C260" s="49" t="s">
        <v>1372</v>
      </c>
      <c r="D260" s="250">
        <v>1</v>
      </c>
      <c r="F260" s="347">
        <f t="shared" si="21"/>
        <v>0.3765</v>
      </c>
      <c r="G260" s="347">
        <f t="shared" si="22"/>
        <v>0.3765</v>
      </c>
      <c r="H260" s="56">
        <f t="shared" si="23"/>
        <v>0.45200000000000001</v>
      </c>
      <c r="I260" s="56">
        <f t="shared" si="24"/>
        <v>0.379</v>
      </c>
      <c r="J260" s="56">
        <f t="shared" si="25"/>
        <v>0.499</v>
      </c>
      <c r="K260" s="56">
        <f t="shared" si="26"/>
        <v>0.43</v>
      </c>
      <c r="L260" s="56">
        <f t="shared" si="27"/>
        <v>0.48299999999999998</v>
      </c>
      <c r="M260" s="310"/>
      <c r="N260" s="310"/>
      <c r="O260" s="310"/>
    </row>
    <row r="261" spans="1:22" x14ac:dyDescent="0.25">
      <c r="A261" s="269" t="s">
        <v>1373</v>
      </c>
      <c r="B261" s="281" t="s">
        <v>1250</v>
      </c>
      <c r="C261" s="49" t="s">
        <v>1374</v>
      </c>
      <c r="D261" s="250">
        <v>75</v>
      </c>
      <c r="F261" s="347">
        <f t="shared" si="21"/>
        <v>28.237500000000001</v>
      </c>
      <c r="G261" s="347">
        <f t="shared" si="22"/>
        <v>28.237500000000001</v>
      </c>
      <c r="H261" s="56">
        <f t="shared" si="23"/>
        <v>33.9</v>
      </c>
      <c r="I261" s="56">
        <f t="shared" si="24"/>
        <v>28.425000000000001</v>
      </c>
      <c r="J261" s="56">
        <f t="shared" si="25"/>
        <v>37.424999999999997</v>
      </c>
      <c r="K261" s="56">
        <f t="shared" si="26"/>
        <v>32.25</v>
      </c>
      <c r="L261" s="56">
        <f t="shared" si="27"/>
        <v>36.225000000000001</v>
      </c>
      <c r="M261" s="310"/>
      <c r="N261" s="310"/>
      <c r="O261" s="310"/>
    </row>
    <row r="262" spans="1:22" x14ac:dyDescent="0.25">
      <c r="A262" s="269" t="s">
        <v>1375</v>
      </c>
      <c r="B262" s="281" t="s">
        <v>1253</v>
      </c>
      <c r="C262" s="49" t="s">
        <v>1376</v>
      </c>
      <c r="D262" s="250">
        <v>36</v>
      </c>
      <c r="F262" s="347">
        <f t="shared" si="21"/>
        <v>13.554</v>
      </c>
      <c r="G262" s="347">
        <f t="shared" si="22"/>
        <v>13.554</v>
      </c>
      <c r="H262" s="56">
        <f t="shared" si="23"/>
        <v>16.272000000000002</v>
      </c>
      <c r="I262" s="56">
        <f t="shared" si="24"/>
        <v>13.644</v>
      </c>
      <c r="J262" s="56">
        <f t="shared" si="25"/>
        <v>17.963999999999999</v>
      </c>
      <c r="K262" s="56">
        <f t="shared" si="26"/>
        <v>15.48</v>
      </c>
      <c r="L262" s="56">
        <f t="shared" si="27"/>
        <v>17.387999999999998</v>
      </c>
      <c r="M262" s="310"/>
      <c r="N262" s="310"/>
      <c r="O262" s="310"/>
    </row>
    <row r="263" spans="1:22" x14ac:dyDescent="0.25">
      <c r="A263" s="269" t="s">
        <v>1377</v>
      </c>
      <c r="B263" s="281" t="s">
        <v>1256</v>
      </c>
      <c r="C263" s="49" t="s">
        <v>1378</v>
      </c>
      <c r="D263" s="250">
        <v>75</v>
      </c>
      <c r="F263" s="347">
        <f t="shared" si="21"/>
        <v>28.237500000000001</v>
      </c>
      <c r="G263" s="347">
        <f t="shared" si="22"/>
        <v>28.237500000000001</v>
      </c>
      <c r="H263" s="56">
        <f t="shared" si="23"/>
        <v>33.9</v>
      </c>
      <c r="I263" s="56">
        <f t="shared" si="24"/>
        <v>28.425000000000001</v>
      </c>
      <c r="J263" s="56">
        <f t="shared" si="25"/>
        <v>37.424999999999997</v>
      </c>
      <c r="K263" s="56">
        <f t="shared" si="26"/>
        <v>32.25</v>
      </c>
      <c r="L263" s="56">
        <f t="shared" si="27"/>
        <v>36.225000000000001</v>
      </c>
      <c r="M263" s="310"/>
      <c r="N263" s="310"/>
      <c r="O263" s="310"/>
    </row>
    <row r="264" spans="1:22" x14ac:dyDescent="0.25">
      <c r="A264" s="269" t="s">
        <v>1379</v>
      </c>
      <c r="B264" s="281" t="s">
        <v>1259</v>
      </c>
      <c r="C264" s="49" t="s">
        <v>1380</v>
      </c>
      <c r="D264" s="250">
        <v>36</v>
      </c>
      <c r="F264" s="347">
        <f t="shared" si="21"/>
        <v>13.554</v>
      </c>
      <c r="G264" s="347">
        <f t="shared" si="22"/>
        <v>13.554</v>
      </c>
      <c r="H264" s="56">
        <f t="shared" si="23"/>
        <v>16.272000000000002</v>
      </c>
      <c r="I264" s="56">
        <f t="shared" si="24"/>
        <v>13.644</v>
      </c>
      <c r="J264" s="56">
        <f t="shared" si="25"/>
        <v>17.963999999999999</v>
      </c>
      <c r="K264" s="56">
        <f t="shared" si="26"/>
        <v>15.48</v>
      </c>
      <c r="L264" s="56">
        <f t="shared" si="27"/>
        <v>17.387999999999998</v>
      </c>
      <c r="M264" s="310"/>
      <c r="N264" s="310"/>
      <c r="O264" s="310"/>
    </row>
    <row r="265" spans="1:22" x14ac:dyDescent="0.25">
      <c r="A265" s="269" t="s">
        <v>1602</v>
      </c>
      <c r="B265" s="281" t="s">
        <v>1381</v>
      </c>
      <c r="C265" s="49" t="s">
        <v>1382</v>
      </c>
      <c r="D265" s="250">
        <v>25</v>
      </c>
      <c r="F265" s="347">
        <f t="shared" si="21"/>
        <v>9.4124999999999996</v>
      </c>
      <c r="G265" s="347">
        <f t="shared" si="22"/>
        <v>9.4124999999999996</v>
      </c>
      <c r="H265" s="56">
        <f t="shared" si="23"/>
        <v>11.3</v>
      </c>
      <c r="I265" s="56">
        <f t="shared" si="24"/>
        <v>9.4749999999999996</v>
      </c>
      <c r="J265" s="56">
        <f t="shared" si="25"/>
        <v>12.475</v>
      </c>
      <c r="K265" s="56">
        <f t="shared" si="26"/>
        <v>10.75</v>
      </c>
      <c r="L265" s="56">
        <f t="shared" si="27"/>
        <v>12.074999999999999</v>
      </c>
      <c r="M265" s="310"/>
      <c r="N265" s="310"/>
      <c r="O265" s="310"/>
    </row>
    <row r="266" spans="1:22" x14ac:dyDescent="0.25">
      <c r="A266" s="269" t="s">
        <v>1383</v>
      </c>
      <c r="B266" s="281" t="s">
        <v>1383</v>
      </c>
      <c r="C266" s="49" t="s">
        <v>1384</v>
      </c>
      <c r="D266" s="250">
        <v>3</v>
      </c>
      <c r="F266" s="347">
        <f t="shared" si="21"/>
        <v>1.1294999999999999</v>
      </c>
      <c r="G266" s="347">
        <f t="shared" si="22"/>
        <v>1.1294999999999999</v>
      </c>
      <c r="H266" s="56">
        <f t="shared" si="23"/>
        <v>1.3560000000000001</v>
      </c>
      <c r="I266" s="56">
        <f t="shared" si="24"/>
        <v>1.137</v>
      </c>
      <c r="J266" s="56">
        <f t="shared" si="25"/>
        <v>1.4969999999999999</v>
      </c>
      <c r="K266" s="56">
        <f t="shared" si="26"/>
        <v>1.29</v>
      </c>
      <c r="L266" s="56">
        <f t="shared" si="27"/>
        <v>1.4489999999999998</v>
      </c>
      <c r="M266" s="310"/>
      <c r="N266" s="310"/>
      <c r="O266" s="310"/>
    </row>
    <row r="267" spans="1:22" x14ac:dyDescent="0.25">
      <c r="A267" s="269" t="s">
        <v>1385</v>
      </c>
      <c r="B267" s="281" t="s">
        <v>1385</v>
      </c>
      <c r="C267" s="101" t="s">
        <v>1386</v>
      </c>
      <c r="D267" s="250">
        <v>2</v>
      </c>
      <c r="E267" s="310"/>
      <c r="F267" s="347">
        <f t="shared" si="21"/>
        <v>0.753</v>
      </c>
      <c r="G267" s="347">
        <f t="shared" si="22"/>
        <v>0.753</v>
      </c>
      <c r="H267" s="56">
        <f t="shared" si="23"/>
        <v>0.90400000000000003</v>
      </c>
      <c r="I267" s="56">
        <f t="shared" si="24"/>
        <v>0.75800000000000001</v>
      </c>
      <c r="J267" s="56">
        <f t="shared" si="25"/>
        <v>0.998</v>
      </c>
      <c r="K267" s="56">
        <f t="shared" si="26"/>
        <v>0.86</v>
      </c>
      <c r="L267" s="56">
        <f t="shared" si="27"/>
        <v>0.96599999999999997</v>
      </c>
      <c r="M267" s="310"/>
      <c r="N267" s="310"/>
      <c r="O267" s="310"/>
    </row>
    <row r="268" spans="1:22" x14ac:dyDescent="0.25">
      <c r="A268" s="269" t="s">
        <v>1387</v>
      </c>
      <c r="B268" s="281" t="s">
        <v>1387</v>
      </c>
      <c r="C268" s="101" t="s">
        <v>1388</v>
      </c>
      <c r="D268" s="250">
        <v>4</v>
      </c>
      <c r="F268" s="347">
        <f t="shared" si="21"/>
        <v>1.506</v>
      </c>
      <c r="G268" s="347">
        <f t="shared" si="22"/>
        <v>1.506</v>
      </c>
      <c r="H268" s="250">
        <f t="shared" si="23"/>
        <v>1.8080000000000001</v>
      </c>
      <c r="I268" s="250">
        <f t="shared" si="24"/>
        <v>1.516</v>
      </c>
      <c r="J268" s="250">
        <f t="shared" si="25"/>
        <v>1.996</v>
      </c>
      <c r="K268" s="250">
        <f t="shared" si="26"/>
        <v>1.72</v>
      </c>
      <c r="L268" s="250">
        <f t="shared" si="27"/>
        <v>1.9319999999999999</v>
      </c>
    </row>
    <row r="269" spans="1:22" ht="27.6" x14ac:dyDescent="0.25">
      <c r="A269" s="269" t="s">
        <v>1389</v>
      </c>
      <c r="B269" s="281" t="s">
        <v>1389</v>
      </c>
      <c r="C269" s="101" t="s">
        <v>1390</v>
      </c>
      <c r="D269" s="250">
        <v>4</v>
      </c>
      <c r="F269" s="347">
        <f t="shared" si="21"/>
        <v>1.506</v>
      </c>
      <c r="G269" s="347">
        <f t="shared" si="22"/>
        <v>1.506</v>
      </c>
      <c r="H269" s="250">
        <f t="shared" si="23"/>
        <v>1.8080000000000001</v>
      </c>
      <c r="I269" s="250">
        <f t="shared" si="24"/>
        <v>1.516</v>
      </c>
      <c r="J269" s="250">
        <f t="shared" si="25"/>
        <v>1.996</v>
      </c>
      <c r="K269" s="250">
        <f t="shared" si="26"/>
        <v>1.72</v>
      </c>
      <c r="L269" s="250">
        <f t="shared" si="27"/>
        <v>1.9319999999999999</v>
      </c>
      <c r="P269" s="411" t="s">
        <v>1429</v>
      </c>
      <c r="Q269" s="411" t="s">
        <v>1430</v>
      </c>
      <c r="R269" s="411" t="s">
        <v>1431</v>
      </c>
      <c r="S269" s="411" t="s">
        <v>1432</v>
      </c>
      <c r="T269" s="411" t="s">
        <v>1433</v>
      </c>
      <c r="U269" s="411" t="s">
        <v>1434</v>
      </c>
      <c r="V269" s="353" t="s">
        <v>1440</v>
      </c>
    </row>
    <row r="270" spans="1:22" ht="27.6" x14ac:dyDescent="0.25">
      <c r="A270" s="269" t="s">
        <v>1391</v>
      </c>
      <c r="B270" s="281" t="s">
        <v>1391</v>
      </c>
      <c r="C270" s="101" t="s">
        <v>1392</v>
      </c>
      <c r="D270" s="250">
        <v>4</v>
      </c>
      <c r="F270" s="347">
        <f t="shared" ref="F270:F271" si="28">D270*$F$9</f>
        <v>1.506</v>
      </c>
      <c r="G270" s="347">
        <f t="shared" ref="G270:G271" si="29">D270*$G$9</f>
        <v>1.506</v>
      </c>
      <c r="H270" s="250">
        <f t="shared" ref="H270:H271" si="30">D270*$H$9</f>
        <v>1.8080000000000001</v>
      </c>
      <c r="I270" s="250">
        <f t="shared" ref="I270:I271" si="31">D270*$I$9</f>
        <v>1.516</v>
      </c>
      <c r="J270" s="250">
        <f t="shared" ref="J270:J271" si="32">D270*$J$9</f>
        <v>1.996</v>
      </c>
      <c r="K270" s="250">
        <f t="shared" ref="K270:K271" si="33">D270*$K$9</f>
        <v>1.72</v>
      </c>
      <c r="L270" s="250">
        <f t="shared" ref="L270:L271" si="34">D270*$L$9</f>
        <v>1.9319999999999999</v>
      </c>
      <c r="P270" s="412"/>
      <c r="Q270" s="412"/>
      <c r="R270" s="412"/>
      <c r="S270" s="412"/>
      <c r="T270" s="412"/>
      <c r="U270" s="412"/>
      <c r="V270" s="354" t="s">
        <v>1441</v>
      </c>
    </row>
    <row r="271" spans="1:22" x14ac:dyDescent="0.25">
      <c r="A271" s="269" t="s">
        <v>1393</v>
      </c>
      <c r="B271" s="281" t="s">
        <v>1393</v>
      </c>
      <c r="C271" s="101" t="s">
        <v>1394</v>
      </c>
      <c r="D271" s="250">
        <v>3</v>
      </c>
      <c r="F271" s="347">
        <f t="shared" si="28"/>
        <v>1.1294999999999999</v>
      </c>
      <c r="G271" s="347">
        <f t="shared" si="29"/>
        <v>1.1294999999999999</v>
      </c>
      <c r="H271" s="250">
        <f t="shared" si="30"/>
        <v>1.3560000000000001</v>
      </c>
      <c r="I271" s="250">
        <f t="shared" si="31"/>
        <v>1.137</v>
      </c>
      <c r="J271" s="250">
        <f t="shared" si="32"/>
        <v>1.4969999999999999</v>
      </c>
      <c r="K271" s="250">
        <f t="shared" si="33"/>
        <v>1.29</v>
      </c>
      <c r="L271" s="250">
        <f t="shared" si="34"/>
        <v>1.4489999999999998</v>
      </c>
      <c r="P271" s="335">
        <v>0.3765</v>
      </c>
      <c r="Q271" s="335">
        <v>0.3765</v>
      </c>
      <c r="R271" s="335">
        <v>0.45200000000000001</v>
      </c>
      <c r="S271" s="335">
        <v>0.379</v>
      </c>
      <c r="T271" s="335">
        <v>0.499</v>
      </c>
      <c r="U271" s="335">
        <v>0.43</v>
      </c>
      <c r="V271" s="335">
        <v>0.48299999999999998</v>
      </c>
    </row>
    <row r="272" spans="1:22" x14ac:dyDescent="0.25">
      <c r="A272" s="310"/>
      <c r="B272" s="310"/>
      <c r="C272" s="53"/>
      <c r="P272" s="413" t="s">
        <v>1436</v>
      </c>
      <c r="Q272" s="414"/>
      <c r="R272" s="414"/>
      <c r="S272" s="414"/>
      <c r="T272" s="414"/>
      <c r="U272" s="414"/>
      <c r="V272" s="415"/>
    </row>
    <row r="273" spans="1:22" ht="27.6" x14ac:dyDescent="0.25">
      <c r="A273" s="92" t="s">
        <v>792</v>
      </c>
      <c r="B273" s="88" t="s">
        <v>126</v>
      </c>
      <c r="C273" s="88"/>
      <c r="D273" s="287" t="s">
        <v>142</v>
      </c>
      <c r="E273" s="88" t="s">
        <v>290</v>
      </c>
      <c r="F273" s="88" t="s">
        <v>292</v>
      </c>
      <c r="G273" s="88" t="s">
        <v>515</v>
      </c>
      <c r="H273" s="88" t="s">
        <v>516</v>
      </c>
      <c r="I273" s="88" t="s">
        <v>517</v>
      </c>
      <c r="J273" s="88" t="s">
        <v>518</v>
      </c>
      <c r="K273" s="88" t="s">
        <v>519</v>
      </c>
      <c r="L273" s="88" t="s">
        <v>520</v>
      </c>
      <c r="M273" s="88" t="s">
        <v>735</v>
      </c>
      <c r="N273" s="88" t="s">
        <v>733</v>
      </c>
      <c r="P273" s="336" t="s">
        <v>1438</v>
      </c>
      <c r="Q273" s="336" t="s">
        <v>1438</v>
      </c>
      <c r="R273" s="336" t="s">
        <v>1438</v>
      </c>
      <c r="S273" s="336" t="s">
        <v>1438</v>
      </c>
      <c r="T273" s="336" t="s">
        <v>1438</v>
      </c>
      <c r="U273" s="336" t="s">
        <v>1438</v>
      </c>
      <c r="V273" s="336" t="s">
        <v>1438</v>
      </c>
    </row>
    <row r="274" spans="1:22" x14ac:dyDescent="0.25">
      <c r="A274" s="21" t="s">
        <v>1395</v>
      </c>
      <c r="B274" s="50"/>
      <c r="C274" s="50"/>
      <c r="D274" s="164"/>
      <c r="E274" s="50"/>
      <c r="F274" s="50"/>
      <c r="G274" s="50"/>
      <c r="H274" s="50"/>
      <c r="I274" s="50"/>
      <c r="J274" s="50"/>
      <c r="K274" s="50"/>
      <c r="L274" s="50"/>
      <c r="M274" s="50"/>
      <c r="N274" s="50"/>
      <c r="P274" s="355" t="s">
        <v>1442</v>
      </c>
      <c r="Q274" s="355" t="s">
        <v>1442</v>
      </c>
      <c r="R274" s="355" t="s">
        <v>1442</v>
      </c>
      <c r="S274" s="355" t="s">
        <v>1442</v>
      </c>
      <c r="T274" s="355" t="s">
        <v>1442</v>
      </c>
      <c r="U274" s="355" t="s">
        <v>1442</v>
      </c>
      <c r="V274" s="355" t="s">
        <v>1442</v>
      </c>
    </row>
    <row r="275" spans="1:22" ht="27.6" x14ac:dyDescent="0.25">
      <c r="A275" s="269" t="s">
        <v>1396</v>
      </c>
      <c r="B275" s="281" t="s">
        <v>1397</v>
      </c>
      <c r="C275" s="101"/>
      <c r="D275" s="76">
        <v>110</v>
      </c>
      <c r="E275" s="113" t="s">
        <v>1398</v>
      </c>
      <c r="F275" s="156" t="s">
        <v>1399</v>
      </c>
      <c r="G275" s="156" t="s">
        <v>1400</v>
      </c>
      <c r="H275" s="156" t="s">
        <v>1401</v>
      </c>
      <c r="I275" s="156" t="s">
        <v>1402</v>
      </c>
      <c r="J275" s="156" t="s">
        <v>1605</v>
      </c>
      <c r="K275" s="156" t="s">
        <v>1403</v>
      </c>
      <c r="L275" s="156" t="s">
        <v>1404</v>
      </c>
      <c r="M275" s="123" t="s">
        <v>1485</v>
      </c>
      <c r="N275" s="123" t="s">
        <v>1405</v>
      </c>
      <c r="P275" s="356">
        <v>41.42</v>
      </c>
      <c r="Q275" s="356">
        <v>41.42</v>
      </c>
      <c r="R275" s="356">
        <v>49.72</v>
      </c>
      <c r="S275" s="356">
        <v>41.69</v>
      </c>
      <c r="T275" s="356">
        <v>54.89</v>
      </c>
      <c r="U275" s="356">
        <v>47.3</v>
      </c>
      <c r="V275" s="356">
        <v>53.13</v>
      </c>
    </row>
  </sheetData>
  <mergeCells count="9">
    <mergeCell ref="U269:U270"/>
    <mergeCell ref="P272:V272"/>
    <mergeCell ref="F7:L7"/>
    <mergeCell ref="F10:L10"/>
    <mergeCell ref="P269:P270"/>
    <mergeCell ref="Q269:Q270"/>
    <mergeCell ref="R269:R270"/>
    <mergeCell ref="S269:S270"/>
    <mergeCell ref="T269:T270"/>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64F9-3AB1-4240-A8B0-26AD0CC27467}">
  <sheetPr>
    <tabColor rgb="FFFFC000"/>
  </sheetPr>
  <dimension ref="A5:S24"/>
  <sheetViews>
    <sheetView zoomScale="80" zoomScaleNormal="80" workbookViewId="0">
      <selection activeCell="W12" sqref="W12"/>
    </sheetView>
  </sheetViews>
  <sheetFormatPr baseColWidth="10" defaultColWidth="11.44140625" defaultRowHeight="13.8" x14ac:dyDescent="0.3"/>
  <cols>
    <col min="1" max="1" width="12.88671875" style="201" bestFit="1" customWidth="1"/>
    <col min="2" max="2" width="10.33203125" style="201" bestFit="1" customWidth="1"/>
    <col min="3" max="3" width="55.5546875" style="201" bestFit="1" customWidth="1"/>
    <col min="4" max="4" width="18.21875" style="201" bestFit="1" customWidth="1"/>
    <col min="5" max="5" width="10.88671875" style="201" customWidth="1"/>
    <col min="6" max="6" width="16.77734375" style="201" bestFit="1" customWidth="1"/>
    <col min="7" max="7" width="4.77734375" style="201" bestFit="1" customWidth="1"/>
    <col min="8" max="8" width="30.33203125" style="200" bestFit="1" customWidth="1"/>
    <col min="9" max="9" width="4.33203125" style="201" bestFit="1" customWidth="1"/>
    <col min="10" max="10" width="16.21875" style="201" bestFit="1" customWidth="1"/>
    <col min="11" max="11" width="15.5546875" style="201" bestFit="1" customWidth="1"/>
    <col min="12" max="12" width="11.44140625" style="201"/>
    <col min="13" max="13" width="15.5546875" style="53" customWidth="1"/>
    <col min="14" max="14" width="14.109375" style="53" customWidth="1"/>
    <col min="15" max="16" width="11" style="53" bestFit="1" customWidth="1"/>
    <col min="17" max="17" width="11" style="201" bestFit="1" customWidth="1"/>
    <col min="18" max="18" width="13.6640625" style="201" customWidth="1"/>
    <col min="19" max="19" width="11.88671875" style="201" bestFit="1" customWidth="1"/>
    <col min="20" max="16384" width="11.44140625" style="201"/>
  </cols>
  <sheetData>
    <row r="5" spans="1:19" ht="58.8" customHeight="1" x14ac:dyDescent="0.3">
      <c r="M5" s="423" t="s">
        <v>1627</v>
      </c>
      <c r="N5" s="424"/>
      <c r="O5" s="424"/>
      <c r="P5" s="424"/>
      <c r="Q5" s="424"/>
      <c r="R5" s="424"/>
      <c r="S5" s="425"/>
    </row>
    <row r="6" spans="1:19" s="310" customFormat="1" x14ac:dyDescent="0.3">
      <c r="H6" s="309"/>
      <c r="M6" s="331"/>
      <c r="N6" s="332"/>
      <c r="O6" s="332"/>
      <c r="P6" s="332"/>
      <c r="Q6" s="332"/>
      <c r="R6" s="332"/>
      <c r="S6" s="333"/>
    </row>
    <row r="7" spans="1:19" s="310" customFormat="1" x14ac:dyDescent="0.3">
      <c r="A7" s="117" t="s">
        <v>122</v>
      </c>
      <c r="H7" s="309"/>
      <c r="M7" s="331"/>
      <c r="N7" s="332"/>
      <c r="O7" s="332"/>
      <c r="P7" s="332"/>
      <c r="Q7" s="332"/>
      <c r="R7" s="332"/>
      <c r="S7" s="333"/>
    </row>
    <row r="8" spans="1:19" s="199" customFormat="1" ht="31.2" x14ac:dyDescent="0.3">
      <c r="A8" s="117" t="s">
        <v>1626</v>
      </c>
      <c r="B8" s="305"/>
      <c r="C8" s="305"/>
      <c r="D8" s="305"/>
      <c r="E8" s="305"/>
      <c r="F8" s="305"/>
      <c r="G8" s="305"/>
      <c r="H8" s="200"/>
      <c r="M8" s="203" t="s">
        <v>1429</v>
      </c>
      <c r="N8" s="203" t="s">
        <v>1430</v>
      </c>
      <c r="O8" s="203" t="s">
        <v>1431</v>
      </c>
      <c r="P8" s="203" t="s">
        <v>1432</v>
      </c>
      <c r="Q8" s="203" t="s">
        <v>1433</v>
      </c>
      <c r="R8" s="203" t="s">
        <v>1434</v>
      </c>
      <c r="S8" s="203" t="s">
        <v>1439</v>
      </c>
    </row>
    <row r="9" spans="1:19" s="199" customFormat="1" ht="21" x14ac:dyDescent="0.25">
      <c r="A9" s="305"/>
      <c r="B9" s="305"/>
      <c r="C9" s="305"/>
      <c r="D9" s="305"/>
      <c r="E9" s="305"/>
      <c r="F9" s="305"/>
      <c r="G9" s="305"/>
      <c r="H9" s="202"/>
      <c r="M9" s="204">
        <v>0.3765</v>
      </c>
      <c r="N9" s="204">
        <v>0.3765</v>
      </c>
      <c r="O9" s="204">
        <v>0.45200000000000001</v>
      </c>
      <c r="P9" s="204">
        <v>0.379</v>
      </c>
      <c r="Q9" s="204">
        <v>0.499</v>
      </c>
      <c r="R9" s="204">
        <v>0.43</v>
      </c>
      <c r="S9" s="204">
        <v>0.48299999999999998</v>
      </c>
    </row>
    <row r="10" spans="1:19" s="200" customFormat="1" ht="21" customHeight="1" x14ac:dyDescent="0.3">
      <c r="A10" s="427" t="s">
        <v>1406</v>
      </c>
      <c r="B10" s="428"/>
      <c r="C10" s="428"/>
      <c r="D10" s="428"/>
      <c r="E10" s="428"/>
      <c r="F10" s="428"/>
      <c r="G10" s="428"/>
      <c r="H10" s="428"/>
      <c r="I10" s="428"/>
      <c r="J10" s="428"/>
      <c r="K10" s="429"/>
      <c r="M10" s="426" t="s">
        <v>1436</v>
      </c>
      <c r="N10" s="426"/>
      <c r="O10" s="426"/>
      <c r="P10" s="426"/>
      <c r="Q10" s="426"/>
      <c r="R10" s="426"/>
      <c r="S10" s="426"/>
    </row>
    <row r="11" spans="1:19" s="210" customFormat="1" ht="26.4" x14ac:dyDescent="0.3">
      <c r="A11" s="7" t="s">
        <v>1407</v>
      </c>
      <c r="B11" s="8" t="s">
        <v>129</v>
      </c>
      <c r="C11" s="7" t="s">
        <v>1408</v>
      </c>
      <c r="D11" s="7" t="s">
        <v>1409</v>
      </c>
      <c r="E11" s="7" t="s">
        <v>1410</v>
      </c>
      <c r="F11" s="7" t="s">
        <v>1411</v>
      </c>
      <c r="G11" s="7" t="s">
        <v>1412</v>
      </c>
      <c r="H11" s="7" t="s">
        <v>1603</v>
      </c>
      <c r="I11" s="9" t="s">
        <v>1415</v>
      </c>
      <c r="J11" s="9" t="s">
        <v>1413</v>
      </c>
      <c r="K11" s="205" t="s">
        <v>142</v>
      </c>
      <c r="M11" s="145" t="s">
        <v>1437</v>
      </c>
      <c r="N11" s="145" t="s">
        <v>1437</v>
      </c>
      <c r="O11" s="145" t="s">
        <v>1437</v>
      </c>
      <c r="P11" s="145" t="s">
        <v>1437</v>
      </c>
      <c r="Q11" s="145" t="s">
        <v>1437</v>
      </c>
      <c r="R11" s="145" t="s">
        <v>1437</v>
      </c>
      <c r="S11" s="145" t="s">
        <v>1437</v>
      </c>
    </row>
    <row r="12" spans="1:19" s="200" customFormat="1" ht="26.4" customHeight="1" x14ac:dyDescent="0.3">
      <c r="A12" s="420" t="s">
        <v>1604</v>
      </c>
      <c r="B12" s="421"/>
      <c r="C12" s="421"/>
      <c r="D12" s="421"/>
      <c r="E12" s="421"/>
      <c r="F12" s="421"/>
      <c r="G12" s="421"/>
      <c r="H12" s="421"/>
      <c r="I12" s="421"/>
      <c r="J12" s="421"/>
      <c r="K12" s="422"/>
    </row>
    <row r="13" spans="1:19" s="231" customFormat="1" ht="13.2" x14ac:dyDescent="0.25">
      <c r="A13" s="218" t="s">
        <v>1484</v>
      </c>
      <c r="B13" s="215" t="s">
        <v>1580</v>
      </c>
      <c r="C13" s="215" t="s">
        <v>1417</v>
      </c>
      <c r="D13" s="215" t="s">
        <v>1480</v>
      </c>
      <c r="E13" s="215" t="s">
        <v>1414</v>
      </c>
      <c r="F13" s="215" t="s">
        <v>1481</v>
      </c>
      <c r="G13" s="215" t="s">
        <v>1418</v>
      </c>
      <c r="H13" s="215" t="s">
        <v>1482</v>
      </c>
      <c r="I13" s="215" t="s">
        <v>1415</v>
      </c>
      <c r="J13" s="215" t="s">
        <v>1483</v>
      </c>
      <c r="K13" s="232">
        <v>707</v>
      </c>
      <c r="M13" s="206">
        <f>K13*$M$9</f>
        <v>266.18549999999999</v>
      </c>
      <c r="N13" s="206">
        <f>K13*$N$9</f>
        <v>266.18549999999999</v>
      </c>
      <c r="O13" s="206">
        <f>K13*$O$9</f>
        <v>319.56400000000002</v>
      </c>
      <c r="P13" s="206">
        <f>K13*$P$9</f>
        <v>267.95299999999997</v>
      </c>
      <c r="Q13" s="206">
        <f>K13*$Q$9</f>
        <v>352.79300000000001</v>
      </c>
      <c r="R13" s="206">
        <f>K13*$R$9</f>
        <v>304.01</v>
      </c>
      <c r="S13" s="206">
        <f>K13*$S$9</f>
        <v>341.48099999999999</v>
      </c>
    </row>
    <row r="14" spans="1:19" s="217" customFormat="1" ht="13.2" x14ac:dyDescent="0.25">
      <c r="A14" s="10" t="s">
        <v>1484</v>
      </c>
      <c r="B14" s="230" t="s">
        <v>1419</v>
      </c>
      <c r="C14" s="215" t="s">
        <v>1579</v>
      </c>
      <c r="D14" s="230" t="s">
        <v>1480</v>
      </c>
      <c r="E14" s="230" t="s">
        <v>1414</v>
      </c>
      <c r="F14" s="230" t="s">
        <v>1481</v>
      </c>
      <c r="G14" s="230" t="s">
        <v>294</v>
      </c>
      <c r="H14" s="230" t="s">
        <v>1420</v>
      </c>
      <c r="I14" s="230" t="s">
        <v>1415</v>
      </c>
      <c r="J14" s="11" t="s">
        <v>1416</v>
      </c>
      <c r="K14" s="232">
        <v>616</v>
      </c>
      <c r="M14" s="206">
        <f>K14*$M$9</f>
        <v>231.92400000000001</v>
      </c>
      <c r="N14" s="206">
        <f>K14*$N$9</f>
        <v>231.92400000000001</v>
      </c>
      <c r="O14" s="206">
        <f>K14*$O$9</f>
        <v>278.43200000000002</v>
      </c>
      <c r="P14" s="206">
        <f>K14*$P$9</f>
        <v>233.464</v>
      </c>
      <c r="Q14" s="206">
        <f>K14*$Q$9</f>
        <v>307.38400000000001</v>
      </c>
      <c r="R14" s="206">
        <f>K14*$R$9</f>
        <v>264.88</v>
      </c>
      <c r="S14" s="206">
        <f>K14*$S$9</f>
        <v>297.52799999999996</v>
      </c>
    </row>
    <row r="15" spans="1:19" s="200" customFormat="1" ht="14.4" x14ac:dyDescent="0.3">
      <c r="A15" s="201"/>
      <c r="B15" s="201"/>
      <c r="C15" s="201"/>
      <c r="D15" s="201"/>
      <c r="E15" s="201"/>
      <c r="F15" s="201"/>
      <c r="G15" s="201"/>
      <c r="I15" s="243"/>
      <c r="J15" s="243"/>
      <c r="M15" s="210"/>
      <c r="N15" s="210"/>
      <c r="O15" s="210"/>
      <c r="P15" s="210"/>
    </row>
    <row r="16" spans="1:19" s="200" customFormat="1" x14ac:dyDescent="0.3">
      <c r="A16" s="201"/>
      <c r="B16" s="201"/>
      <c r="C16" s="201"/>
      <c r="D16" s="201"/>
      <c r="E16" s="201"/>
      <c r="F16" s="201"/>
      <c r="G16" s="201"/>
      <c r="I16" s="201"/>
      <c r="J16" s="201"/>
      <c r="M16" s="210"/>
      <c r="N16" s="210"/>
      <c r="O16" s="210"/>
      <c r="P16" s="210"/>
    </row>
    <row r="17" spans="1:16" s="200" customFormat="1" x14ac:dyDescent="0.3">
      <c r="A17" s="201"/>
      <c r="B17" s="201"/>
      <c r="C17" s="201"/>
      <c r="D17" s="201"/>
      <c r="E17" s="201"/>
      <c r="F17" s="201"/>
      <c r="G17" s="201"/>
      <c r="I17" s="201"/>
      <c r="J17" s="201"/>
      <c r="M17" s="210"/>
      <c r="N17" s="210"/>
      <c r="O17" s="210"/>
      <c r="P17" s="210"/>
    </row>
    <row r="18" spans="1:16" s="200" customFormat="1" x14ac:dyDescent="0.3">
      <c r="A18" s="201"/>
      <c r="B18" s="201"/>
      <c r="C18" s="201"/>
      <c r="D18" s="201"/>
      <c r="E18" s="201"/>
      <c r="F18" s="201"/>
      <c r="G18" s="201"/>
      <c r="I18" s="201"/>
      <c r="J18" s="201"/>
      <c r="M18" s="210"/>
      <c r="N18" s="210"/>
      <c r="O18" s="210"/>
      <c r="P18" s="210"/>
    </row>
    <row r="19" spans="1:16" s="200" customFormat="1" x14ac:dyDescent="0.3">
      <c r="A19" s="201"/>
      <c r="B19" s="201"/>
      <c r="C19" s="201"/>
      <c r="D19" s="201"/>
      <c r="E19" s="201"/>
      <c r="F19" s="201"/>
      <c r="G19" s="201"/>
      <c r="I19" s="201"/>
      <c r="J19" s="201"/>
      <c r="M19" s="210"/>
      <c r="N19" s="210"/>
      <c r="O19" s="210"/>
      <c r="P19" s="210"/>
    </row>
    <row r="20" spans="1:16" s="200" customFormat="1" x14ac:dyDescent="0.3">
      <c r="A20" s="201"/>
      <c r="B20" s="201"/>
      <c r="C20" s="201"/>
      <c r="D20" s="201"/>
      <c r="E20" s="201"/>
      <c r="F20" s="201"/>
      <c r="G20" s="201"/>
      <c r="I20" s="201"/>
      <c r="J20" s="201"/>
      <c r="M20" s="210"/>
      <c r="N20" s="210"/>
      <c r="O20" s="210"/>
      <c r="P20" s="210"/>
    </row>
    <row r="21" spans="1:16" s="200" customFormat="1" x14ac:dyDescent="0.3">
      <c r="A21" s="201"/>
      <c r="B21" s="201"/>
      <c r="C21" s="201"/>
      <c r="D21" s="201"/>
      <c r="E21" s="201"/>
      <c r="F21" s="201"/>
      <c r="G21" s="201"/>
      <c r="I21" s="201"/>
      <c r="J21" s="201"/>
      <c r="M21" s="210"/>
      <c r="N21" s="210"/>
      <c r="O21" s="210"/>
      <c r="P21" s="210"/>
    </row>
    <row r="22" spans="1:16" s="200" customFormat="1" x14ac:dyDescent="0.3">
      <c r="A22" s="201"/>
      <c r="B22" s="201"/>
      <c r="C22" s="201"/>
      <c r="D22" s="201"/>
      <c r="E22" s="201"/>
      <c r="F22" s="201"/>
      <c r="G22" s="201"/>
      <c r="I22" s="201"/>
      <c r="J22" s="201"/>
      <c r="M22" s="210"/>
      <c r="N22" s="210"/>
      <c r="O22" s="210"/>
      <c r="P22" s="210"/>
    </row>
    <row r="23" spans="1:16" s="200" customFormat="1" x14ac:dyDescent="0.3">
      <c r="A23" s="201"/>
      <c r="B23" s="201"/>
      <c r="C23" s="201"/>
      <c r="D23" s="201"/>
      <c r="E23" s="201"/>
      <c r="F23" s="201"/>
      <c r="G23" s="201"/>
      <c r="I23" s="201"/>
      <c r="J23" s="201"/>
      <c r="M23" s="210"/>
      <c r="N23" s="210"/>
      <c r="O23" s="210"/>
      <c r="P23" s="210"/>
    </row>
    <row r="24" spans="1:16" s="200" customFormat="1" x14ac:dyDescent="0.3">
      <c r="A24" s="201"/>
      <c r="B24" s="201"/>
      <c r="C24" s="201"/>
      <c r="D24" s="201"/>
      <c r="E24" s="201"/>
      <c r="F24" s="201"/>
      <c r="G24" s="201"/>
      <c r="I24" s="201"/>
      <c r="J24" s="201"/>
      <c r="M24" s="210"/>
      <c r="N24" s="210"/>
      <c r="O24" s="210"/>
      <c r="P24" s="210"/>
    </row>
  </sheetData>
  <mergeCells count="4">
    <mergeCell ref="A12:K12"/>
    <mergeCell ref="M5:S5"/>
    <mergeCell ref="M10:S10"/>
    <mergeCell ref="A10:K10"/>
  </mergeCells>
  <conditionalFormatting sqref="B11">
    <cfRule type="duplicateValues" dxfId="3" priority="2"/>
    <cfRule type="duplicateValues" dxfId="2" priority="3"/>
    <cfRule type="duplicateValues" dxfId="1" priority="4"/>
  </conditionalFormatting>
  <conditionalFormatting sqref="B14">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C000"/>
  </sheetPr>
  <dimension ref="A1:J16"/>
  <sheetViews>
    <sheetView showGridLines="0" zoomScale="80" zoomScaleNormal="80" workbookViewId="0">
      <selection activeCell="G20" sqref="G20"/>
    </sheetView>
  </sheetViews>
  <sheetFormatPr baseColWidth="10" defaultColWidth="10.6640625" defaultRowHeight="14.4" x14ac:dyDescent="0.3"/>
  <cols>
    <col min="1" max="1" width="25.6640625" customWidth="1"/>
    <col min="2" max="2" width="29.44140625" bestFit="1" customWidth="1"/>
    <col min="3" max="3" width="11" bestFit="1" customWidth="1"/>
    <col min="4" max="10" width="15" customWidth="1"/>
  </cols>
  <sheetData>
    <row r="1" spans="1:10" ht="36.6" x14ac:dyDescent="0.7">
      <c r="A1" s="430" t="s">
        <v>1443</v>
      </c>
      <c r="B1" s="430"/>
      <c r="C1" s="430"/>
      <c r="D1" s="430"/>
      <c r="E1" s="430"/>
      <c r="F1" s="430"/>
      <c r="G1" s="430"/>
      <c r="H1" s="430"/>
      <c r="I1" s="430"/>
      <c r="J1" s="430"/>
    </row>
    <row r="2" spans="1:10" x14ac:dyDescent="0.3">
      <c r="A2" s="2"/>
      <c r="B2" s="2"/>
      <c r="C2" s="2"/>
    </row>
    <row r="3" spans="1:10" ht="47.25" customHeight="1" x14ac:dyDescent="0.3">
      <c r="A3" s="3" t="s">
        <v>1444</v>
      </c>
      <c r="B3" s="3" t="s">
        <v>1445</v>
      </c>
      <c r="C3" s="3" t="s">
        <v>1446</v>
      </c>
      <c r="D3" s="1" t="s">
        <v>1429</v>
      </c>
      <c r="E3" s="1" t="s">
        <v>1430</v>
      </c>
      <c r="F3" s="1" t="s">
        <v>1431</v>
      </c>
      <c r="G3" s="1" t="s">
        <v>1432</v>
      </c>
      <c r="H3" s="1" t="s">
        <v>1433</v>
      </c>
      <c r="I3" s="1" t="s">
        <v>1434</v>
      </c>
      <c r="J3" s="1" t="s">
        <v>1435</v>
      </c>
    </row>
    <row r="4" spans="1:10" x14ac:dyDescent="0.3">
      <c r="A4" s="431" t="s">
        <v>1447</v>
      </c>
      <c r="B4" s="3" t="s">
        <v>1448</v>
      </c>
      <c r="C4" s="3" t="s">
        <v>1449</v>
      </c>
      <c r="D4" s="4">
        <v>3</v>
      </c>
      <c r="E4" s="4">
        <v>3</v>
      </c>
      <c r="F4" s="4">
        <v>3</v>
      </c>
      <c r="G4" s="4">
        <v>3</v>
      </c>
      <c r="H4" s="4">
        <v>4</v>
      </c>
      <c r="I4" s="4">
        <v>4</v>
      </c>
      <c r="J4" s="4">
        <v>4</v>
      </c>
    </row>
    <row r="5" spans="1:10" x14ac:dyDescent="0.3">
      <c r="A5" s="431"/>
      <c r="B5" s="3" t="s">
        <v>1450</v>
      </c>
      <c r="C5" s="3" t="s">
        <v>1451</v>
      </c>
      <c r="D5" s="4">
        <v>50</v>
      </c>
      <c r="E5" s="4">
        <v>50</v>
      </c>
      <c r="F5" s="4">
        <v>50</v>
      </c>
      <c r="G5" s="4">
        <v>50</v>
      </c>
      <c r="H5" s="4">
        <v>70</v>
      </c>
      <c r="I5" s="4">
        <v>70</v>
      </c>
      <c r="J5" s="4">
        <v>70</v>
      </c>
    </row>
    <row r="6" spans="1:10" x14ac:dyDescent="0.3">
      <c r="A6" s="3" t="s">
        <v>1452</v>
      </c>
      <c r="B6" s="3" t="s">
        <v>1453</v>
      </c>
      <c r="C6" s="3" t="s">
        <v>1454</v>
      </c>
      <c r="D6" s="4">
        <v>4</v>
      </c>
      <c r="E6" s="4">
        <v>4</v>
      </c>
      <c r="F6" s="4">
        <v>4</v>
      </c>
      <c r="G6" s="4">
        <v>4</v>
      </c>
      <c r="H6" s="4">
        <v>5</v>
      </c>
      <c r="I6" s="4">
        <v>5</v>
      </c>
      <c r="J6" s="4">
        <v>5</v>
      </c>
    </row>
    <row r="7" spans="1:10" x14ac:dyDescent="0.3">
      <c r="A7" s="431" t="s">
        <v>1455</v>
      </c>
      <c r="B7" s="3" t="s">
        <v>1456</v>
      </c>
      <c r="C7" s="3" t="s">
        <v>1457</v>
      </c>
      <c r="D7" s="4">
        <v>380</v>
      </c>
      <c r="E7" s="4">
        <v>380</v>
      </c>
      <c r="F7" s="4">
        <v>380</v>
      </c>
      <c r="G7" s="4">
        <v>380</v>
      </c>
      <c r="H7" s="4">
        <v>420</v>
      </c>
      <c r="I7" s="4">
        <v>420</v>
      </c>
      <c r="J7" s="4">
        <v>420</v>
      </c>
    </row>
    <row r="8" spans="1:10" x14ac:dyDescent="0.3">
      <c r="A8" s="431"/>
      <c r="B8" s="3" t="s">
        <v>1458</v>
      </c>
      <c r="C8" s="3" t="s">
        <v>1459</v>
      </c>
      <c r="D8" s="4">
        <v>430</v>
      </c>
      <c r="E8" s="4">
        <v>430</v>
      </c>
      <c r="F8" s="4">
        <v>430</v>
      </c>
      <c r="G8" s="4">
        <v>430</v>
      </c>
      <c r="H8" s="4">
        <v>490</v>
      </c>
      <c r="I8" s="4">
        <v>490</v>
      </c>
      <c r="J8" s="4">
        <v>490</v>
      </c>
    </row>
    <row r="9" spans="1:10" x14ac:dyDescent="0.3">
      <c r="A9" s="431" t="s">
        <v>1460</v>
      </c>
      <c r="B9" s="3" t="s">
        <v>1461</v>
      </c>
      <c r="C9" s="3" t="s">
        <v>1462</v>
      </c>
      <c r="D9" s="5">
        <v>0.12</v>
      </c>
      <c r="E9" s="5">
        <v>0.12</v>
      </c>
      <c r="F9" s="5">
        <v>0.12</v>
      </c>
      <c r="G9" s="5">
        <v>0.12</v>
      </c>
      <c r="H9" s="5">
        <v>0.15</v>
      </c>
      <c r="I9" s="5">
        <v>0.15</v>
      </c>
      <c r="J9" s="5">
        <v>0.15</v>
      </c>
    </row>
    <row r="10" spans="1:10" x14ac:dyDescent="0.3">
      <c r="A10" s="431"/>
      <c r="B10" s="3" t="s">
        <v>1463</v>
      </c>
      <c r="C10" s="3" t="s">
        <v>1464</v>
      </c>
      <c r="D10" s="5">
        <v>0.09</v>
      </c>
      <c r="E10" s="5">
        <v>0.09</v>
      </c>
      <c r="F10" s="5">
        <v>0.09</v>
      </c>
      <c r="G10" s="5">
        <v>0.09</v>
      </c>
      <c r="H10" s="5">
        <v>0.12</v>
      </c>
      <c r="I10" s="5">
        <v>0.12</v>
      </c>
      <c r="J10" s="5">
        <v>0.12</v>
      </c>
    </row>
    <row r="11" spans="1:10" x14ac:dyDescent="0.3">
      <c r="A11" s="431"/>
      <c r="B11" s="3" t="s">
        <v>1465</v>
      </c>
      <c r="C11" s="3" t="s">
        <v>1466</v>
      </c>
      <c r="D11" s="5">
        <v>0.09</v>
      </c>
      <c r="E11" s="5">
        <v>0.09</v>
      </c>
      <c r="F11" s="5">
        <v>0.09</v>
      </c>
      <c r="G11" s="5">
        <v>0.09</v>
      </c>
      <c r="H11" s="5">
        <v>0.12</v>
      </c>
      <c r="I11" s="5">
        <v>0.12</v>
      </c>
      <c r="J11" s="5">
        <v>0.12</v>
      </c>
    </row>
    <row r="12" spans="1:10" x14ac:dyDescent="0.3">
      <c r="A12" s="431" t="s">
        <v>1467</v>
      </c>
      <c r="B12" s="3" t="s">
        <v>1461</v>
      </c>
      <c r="C12" s="3" t="s">
        <v>1468</v>
      </c>
      <c r="D12" s="5">
        <v>0.2</v>
      </c>
      <c r="E12" s="5">
        <v>0.2</v>
      </c>
      <c r="F12" s="5">
        <v>0.2</v>
      </c>
      <c r="G12" s="5">
        <v>0.2</v>
      </c>
      <c r="H12" s="5">
        <v>0.25</v>
      </c>
      <c r="I12" s="5">
        <v>0.25</v>
      </c>
      <c r="J12" s="5">
        <v>0.25</v>
      </c>
    </row>
    <row r="13" spans="1:10" x14ac:dyDescent="0.3">
      <c r="A13" s="431"/>
      <c r="B13" s="3" t="s">
        <v>1463</v>
      </c>
      <c r="C13" s="3" t="s">
        <v>1469</v>
      </c>
      <c r="D13" s="5">
        <v>0.15</v>
      </c>
      <c r="E13" s="5">
        <v>0.15</v>
      </c>
      <c r="F13" s="5">
        <v>0.15</v>
      </c>
      <c r="G13" s="5">
        <v>0.15</v>
      </c>
      <c r="H13" s="5">
        <v>0.2</v>
      </c>
      <c r="I13" s="5">
        <v>0.2</v>
      </c>
      <c r="J13" s="5">
        <v>0.2</v>
      </c>
    </row>
    <row r="14" spans="1:10" x14ac:dyDescent="0.3">
      <c r="A14" s="431"/>
      <c r="B14" s="3" t="s">
        <v>1465</v>
      </c>
      <c r="C14" s="3" t="s">
        <v>1470</v>
      </c>
      <c r="D14" s="5">
        <v>0.15</v>
      </c>
      <c r="E14" s="5">
        <v>0.15</v>
      </c>
      <c r="F14" s="5">
        <v>0.15</v>
      </c>
      <c r="G14" s="5">
        <v>0.15</v>
      </c>
      <c r="H14" s="5">
        <v>0.2</v>
      </c>
      <c r="I14" s="5">
        <v>0.2</v>
      </c>
      <c r="J14" s="5">
        <v>0.2</v>
      </c>
    </row>
    <row r="16" spans="1:10" x14ac:dyDescent="0.3">
      <c r="A16" t="s">
        <v>1471</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C5849C6-FCFB-4E2A-97C4-F1DC79F6DB33}">
  <ds:schemaRefs>
    <ds:schemaRef ds:uri="http://schemas.microsoft.com/sharepoint/v3/contenttype/forms"/>
  </ds:schemaRefs>
</ds:datastoreItem>
</file>

<file path=customXml/itemProps2.xml><?xml version="1.0" encoding="utf-8"?>
<ds:datastoreItem xmlns:ds="http://schemas.openxmlformats.org/officeDocument/2006/customXml" ds:itemID="{BC33C87E-6177-4392-ADD4-17A95AC2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E8C133-FBFD-4A08-8969-B172F9F80FA4}">
  <ds:schemaRefs>
    <ds:schemaRef ds:uri="http://schemas.microsoft.com/office/2006/documentManagement/types"/>
    <ds:schemaRef ds:uri="http://schemas.microsoft.com/office/2006/metadata/properties"/>
    <ds:schemaRef ds:uri="http://purl.org/dc/terms/"/>
    <ds:schemaRef ds:uri="http://purl.org/dc/elements/1.1/"/>
    <ds:schemaRef ds:uri="http://schemas.openxmlformats.org/package/2006/metadata/core-properties"/>
    <ds:schemaRef ds:uri="c526f6ae-98d2-4465-96f7-d6548217b1cd"/>
    <ds:schemaRef ds:uri="http://purl.org/dc/dcmitype/"/>
    <ds:schemaRef ds:uri="998a3a80-ab39-4905-b96f-d633e6269bc9"/>
    <ds:schemaRef ds:uri="http://schemas.microsoft.com/office/infopath/2007/PartnerControls"/>
    <ds:schemaRef ds:uri="64fe8c59-3550-437a-9cc1-69277fe2ea73"/>
    <ds:schemaRef ds:uri="http://www.w3.org/XML/1998/namespace"/>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Laëtitia Goënse</cp:lastModifiedBy>
  <cp:revision/>
  <dcterms:created xsi:type="dcterms:W3CDTF">2021-12-28T21:33:45Z</dcterms:created>
  <dcterms:modified xsi:type="dcterms:W3CDTF">2024-09-02T07:56:59Z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